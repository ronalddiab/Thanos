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13_ncr:1_{C0C3E17D-8EF5-4A59-85BD-93FF527BF1DC}" xr6:coauthVersionLast="47" xr6:coauthVersionMax="47" xr10:uidLastSave="{00000000-0000-0000-0000-000000000000}"/>
  <bookViews>
    <workbookView xWindow="-120" yWindow="-120" windowWidth="20730" windowHeight="11160" tabRatio="911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'14'!$A$1:$J$167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5" i="16" l="1"/>
  <c r="E15" i="16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56" i="15"/>
  <c r="E157" i="15"/>
  <c r="E158" i="15"/>
  <c r="E155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E157" i="14"/>
  <c r="E158" i="14"/>
  <c r="E155" i="14"/>
  <c r="E134" i="14"/>
  <c r="E10" i="14"/>
  <c r="E158" i="13"/>
  <c r="E157" i="13"/>
  <c r="E134" i="13"/>
  <c r="E50" i="13"/>
  <c r="E43" i="13"/>
  <c r="E15" i="15" l="1"/>
  <c r="E15" i="31"/>
  <c r="E15" i="43"/>
  <c r="E15" i="30"/>
  <c r="E15" i="29"/>
  <c r="E15" i="28"/>
  <c r="E15" i="27"/>
  <c r="E15" i="40"/>
  <c r="E15" i="25"/>
  <c r="E15" i="24"/>
  <c r="E15" i="23"/>
  <c r="E15" i="22"/>
  <c r="E15" i="21"/>
  <c r="E15" i="20"/>
  <c r="E15" i="19"/>
  <c r="E15" i="18"/>
  <c r="E15" i="17"/>
  <c r="F10" i="29"/>
  <c r="F9" i="29"/>
  <c r="F8" i="29"/>
  <c r="F7" i="29"/>
  <c r="F8" i="43"/>
  <c r="F10" i="31"/>
  <c r="F9" i="31"/>
  <c r="F8" i="31"/>
  <c r="F7" i="31"/>
  <c r="F146" i="12"/>
  <c r="F139" i="12"/>
  <c r="F138" i="12"/>
  <c r="F156" i="12"/>
  <c r="F155" i="12"/>
  <c r="F156" i="11"/>
  <c r="F155" i="11"/>
  <c r="E118" i="12"/>
  <c r="E54" i="12"/>
  <c r="O8" i="12"/>
  <c r="P8" i="12" s="1"/>
  <c r="F142" i="11"/>
  <c r="H159" i="10"/>
  <c r="J159" i="10" s="1"/>
  <c r="E7" i="8" l="1"/>
  <c r="E8" i="8"/>
  <c r="E7" i="7"/>
  <c r="E7" i="3" l="1"/>
  <c r="E129" i="30"/>
  <c r="E130" i="30"/>
  <c r="E131" i="30"/>
  <c r="E132" i="30"/>
  <c r="E133" i="30"/>
  <c r="E134" i="30"/>
  <c r="E8" i="30"/>
  <c r="F8" i="30" s="1"/>
  <c r="E9" i="30"/>
  <c r="F9" i="30" s="1"/>
  <c r="E10" i="30"/>
  <c r="F10" i="30" s="1"/>
  <c r="E11" i="30"/>
  <c r="E12" i="30"/>
  <c r="F123" i="27" l="1"/>
  <c r="F115" i="27"/>
  <c r="F114" i="27"/>
  <c r="F113" i="27"/>
  <c r="F112" i="27"/>
  <c r="E41" i="27"/>
  <c r="F123" i="40"/>
  <c r="F115" i="40"/>
  <c r="F114" i="40"/>
  <c r="F113" i="40"/>
  <c r="F112" i="40"/>
  <c r="E151" i="25"/>
  <c r="F123" i="25"/>
  <c r="F115" i="25"/>
  <c r="F114" i="25"/>
  <c r="F113" i="25"/>
  <c r="F112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168" i="19"/>
  <c r="E167" i="19"/>
  <c r="E166" i="19"/>
  <c r="E165" i="19"/>
  <c r="E164" i="19"/>
  <c r="E163" i="19"/>
  <c r="E162" i="19"/>
  <c r="E83" i="19"/>
  <c r="E84" i="19"/>
  <c r="E85" i="19"/>
  <c r="E86" i="19"/>
  <c r="E87" i="19"/>
  <c r="E88" i="19"/>
  <c r="E89" i="19"/>
  <c r="E90" i="19"/>
  <c r="E91" i="19"/>
  <c r="E92" i="19"/>
  <c r="E83" i="18"/>
  <c r="E84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5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E8" i="10"/>
  <c r="G8" i="10" s="1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G7" i="29" l="1"/>
  <c r="E157" i="7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9" i="5"/>
  <c r="E10" i="5"/>
  <c r="E11" i="5"/>
  <c r="E12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8" i="27"/>
  <c r="E69" i="27"/>
  <c r="E70" i="27"/>
  <c r="E7" i="30" l="1"/>
  <c r="F7" i="30" s="1"/>
  <c r="G152" i="30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5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G157" i="10"/>
  <c r="G15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G15" i="15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45" i="18"/>
  <c r="E146" i="18"/>
  <c r="E114" i="18"/>
  <c r="H191" i="17"/>
  <c r="I191" i="17" s="1"/>
  <c r="K191" i="17" s="1"/>
  <c r="P15" i="17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46" i="3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5" i="20"/>
  <c r="E23" i="20"/>
  <c r="E24" i="20"/>
  <c r="E22" i="20"/>
  <c r="E11" i="20"/>
  <c r="E12" i="20"/>
  <c r="E57" i="19"/>
  <c r="J158" i="14" l="1"/>
  <c r="H158" i="15"/>
  <c r="J157" i="15"/>
  <c r="H157" i="16"/>
  <c r="E84" i="17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E92" i="9"/>
  <c r="G2" i="48"/>
  <c r="E155" i="4"/>
  <c r="J158" i="16" l="1"/>
  <c r="H158" i="17"/>
  <c r="J157" i="17"/>
  <c r="H157" i="18"/>
  <c r="O11" i="2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2" i="24"/>
  <c r="E121" i="24"/>
  <c r="E120" i="24"/>
  <c r="E119" i="24"/>
  <c r="E118" i="24"/>
  <c r="E117" i="24"/>
  <c r="E116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G55" i="21" s="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8" i="19"/>
  <c r="E117" i="19"/>
  <c r="E116" i="19"/>
  <c r="E115" i="19"/>
  <c r="E114" i="19"/>
  <c r="E113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5" i="15"/>
  <c r="E184" i="15"/>
  <c r="E183" i="15"/>
  <c r="E178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8" i="10"/>
  <c r="E133" i="10"/>
  <c r="E132" i="10"/>
  <c r="E131" i="10"/>
  <c r="E130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J155" i="5" l="1"/>
  <c r="J155" i="4"/>
  <c r="H155" i="7"/>
  <c r="H155" i="8" s="1"/>
  <c r="J156" i="5"/>
  <c r="J156" i="4"/>
  <c r="I92" i="17"/>
  <c r="E27" i="2"/>
  <c r="G27" i="2" s="1"/>
  <c r="G22" i="19"/>
  <c r="G24" i="19" s="1"/>
  <c r="E29" i="19" s="1"/>
  <c r="E24" i="19"/>
  <c r="G8" i="3"/>
  <c r="E27" i="3" s="1"/>
  <c r="G27" i="3" s="1"/>
  <c r="E8" i="33"/>
  <c r="E15" i="4"/>
  <c r="E15" i="5" s="1"/>
  <c r="E15" i="33" s="1"/>
  <c r="E7" i="4"/>
  <c r="E7" i="5" s="1"/>
  <c r="E7" i="33" s="1"/>
  <c r="E10" i="4"/>
  <c r="E10" i="33" s="1"/>
  <c r="E10" i="7" s="1"/>
  <c r="E10" i="8" s="1"/>
  <c r="E10" i="9" s="1"/>
  <c r="E10" i="11" s="1"/>
  <c r="E10" i="12" s="1"/>
  <c r="E10" i="13" s="1"/>
  <c r="G9" i="3"/>
  <c r="E9" i="4"/>
  <c r="E9" i="33" s="1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15" i="17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AA16" i="1" s="1"/>
  <c r="G84" i="14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E10" i="17" l="1"/>
  <c r="F10" i="17" s="1"/>
  <c r="E10" i="18" s="1"/>
  <c r="F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G15" i="16"/>
  <c r="G79" i="16" s="1"/>
  <c r="G80" i="16" s="1"/>
  <c r="G15" i="18"/>
  <c r="G79" i="18" s="1"/>
  <c r="G80" i="18" s="1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6" i="15"/>
  <c r="G79" i="15"/>
  <c r="G80" i="15" s="1"/>
  <c r="G181" i="14"/>
  <c r="G189" i="14" s="1"/>
  <c r="G176" i="13"/>
  <c r="G181" i="13"/>
  <c r="G189" i="13" s="1"/>
  <c r="G186" i="12"/>
  <c r="G47" i="12"/>
  <c r="G71" i="11"/>
  <c r="G47" i="11"/>
  <c r="G186" i="10"/>
  <c r="G47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81" i="40"/>
  <c r="G189" i="40" s="1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E28" i="17"/>
  <c r="G28" i="17" s="1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E28" i="15"/>
  <c r="G28" i="15" s="1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60" i="11" s="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G60" i="13" l="1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G7" i="8"/>
  <c r="G60" i="18"/>
  <c r="G60" i="29"/>
  <c r="E28" i="18"/>
  <c r="G28" i="18" s="1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10" i="17" l="1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E8" i="9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E10" i="19"/>
  <c r="G15" i="19"/>
  <c r="H20" i="7"/>
  <c r="G19" i="8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F10" i="19" l="1"/>
  <c r="E10" i="20" s="1"/>
  <c r="F10" i="20" s="1"/>
  <c r="G10" i="20" s="1"/>
  <c r="O7" i="9"/>
  <c r="E15" i="10"/>
  <c r="G15" i="10" s="1"/>
  <c r="G79" i="9"/>
  <c r="G80" i="9" s="1"/>
  <c r="E28" i="9"/>
  <c r="G28" i="9" s="1"/>
  <c r="H28" i="9" s="1"/>
  <c r="H15" i="9"/>
  <c r="H112" i="5"/>
  <c r="J112" i="5" s="1"/>
  <c r="J64" i="43"/>
  <c r="H71" i="31"/>
  <c r="J71" i="31" s="1"/>
  <c r="G79" i="19"/>
  <c r="G80" i="19" s="1"/>
  <c r="H80" i="19" s="1"/>
  <c r="E28" i="19"/>
  <c r="G28" i="19" s="1"/>
  <c r="E19" i="9"/>
  <c r="G19" i="9" s="1"/>
  <c r="E27" i="10"/>
  <c r="G27" i="10" s="1"/>
  <c r="G187" i="8"/>
  <c r="E30" i="8"/>
  <c r="G30" i="8" s="1"/>
  <c r="G20" i="8"/>
  <c r="H20" i="8" s="1"/>
  <c r="H19" i="8"/>
  <c r="G15" i="21"/>
  <c r="G15" i="20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0" i="19" l="1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E10" i="21"/>
  <c r="F10" i="21" s="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7" i="10" l="1"/>
  <c r="N7" i="10"/>
  <c r="J112" i="33"/>
  <c r="H30" i="9"/>
  <c r="E7" i="11"/>
  <c r="H32" i="9"/>
  <c r="G19" i="10"/>
  <c r="H19" i="10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F15" i="13" s="1"/>
  <c r="E15" i="14" s="1"/>
  <c r="G15" i="14" s="1"/>
  <c r="G15" i="12"/>
  <c r="G79" i="23"/>
  <c r="G80" i="23" s="1"/>
  <c r="E28" i="23"/>
  <c r="G28" i="23" s="1"/>
  <c r="G15" i="24"/>
  <c r="E27" i="11"/>
  <c r="G27" i="11" s="1"/>
  <c r="H8" i="11"/>
  <c r="E9" i="12"/>
  <c r="G9" i="11"/>
  <c r="H9" i="11" s="1"/>
  <c r="E10" i="22"/>
  <c r="F10" i="22" s="1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19" i="11"/>
  <c r="G32" i="10"/>
  <c r="H32" i="10" s="1"/>
  <c r="H30" i="10"/>
  <c r="G79" i="12"/>
  <c r="G80" i="12" s="1"/>
  <c r="E28" i="12"/>
  <c r="G28" i="12" s="1"/>
  <c r="H28" i="12" s="1"/>
  <c r="G15" i="13"/>
  <c r="G15" i="25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G7" i="13" s="1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G79" i="25"/>
  <c r="E28" i="25"/>
  <c r="G28" i="25" s="1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9" i="13"/>
  <c r="E9" i="14"/>
  <c r="E10" i="23"/>
  <c r="F10" i="23" s="1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13" l="1"/>
  <c r="O9" i="13"/>
  <c r="G105" i="12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E7" i="14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G105" i="13"/>
  <c r="G97" i="13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7" i="13" l="1"/>
  <c r="H99" i="13"/>
  <c r="H95" i="13"/>
  <c r="H105" i="13"/>
  <c r="H103" i="13"/>
  <c r="H101" i="13"/>
  <c r="G7" i="14"/>
  <c r="H19" i="12"/>
  <c r="G187" i="12"/>
  <c r="E10" i="24"/>
  <c r="E30" i="12"/>
  <c r="G30" i="12" s="1"/>
  <c r="G32" i="12" s="1"/>
  <c r="G20" i="12"/>
  <c r="H20" i="12" s="1"/>
  <c r="E19" i="13"/>
  <c r="G15" i="28"/>
  <c r="E28" i="27"/>
  <c r="G28" i="27" s="1"/>
  <c r="H15" i="27"/>
  <c r="G79" i="27"/>
  <c r="H28" i="40"/>
  <c r="G80" i="40"/>
  <c r="G80" i="14"/>
  <c r="H79" i="14"/>
  <c r="H79" i="15" s="1"/>
  <c r="G8" i="15"/>
  <c r="E8" i="16"/>
  <c r="E9" i="16"/>
  <c r="G9" i="15"/>
  <c r="H9" i="15" s="1"/>
  <c r="H27" i="14"/>
  <c r="H135" i="22"/>
  <c r="H135" i="23"/>
  <c r="H135" i="18"/>
  <c r="H135" i="19"/>
  <c r="H135" i="24"/>
  <c r="H135" i="20"/>
  <c r="H135" i="16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8" i="17" l="1"/>
  <c r="F8" i="17" s="1"/>
  <c r="E8" i="18" s="1"/>
  <c r="F8" i="18" s="1"/>
  <c r="F10" i="24"/>
  <c r="E10" i="25" s="1"/>
  <c r="F10" i="25" s="1"/>
  <c r="E10" i="40" s="1"/>
  <c r="F10" i="40" s="1"/>
  <c r="E10" i="27" s="1"/>
  <c r="F10" i="27" s="1"/>
  <c r="E10" i="28" s="1"/>
  <c r="F10" i="28" s="1"/>
  <c r="E9" i="17"/>
  <c r="F9" i="17" s="1"/>
  <c r="E9" i="18" s="1"/>
  <c r="F9" i="18" s="1"/>
  <c r="H135" i="30"/>
  <c r="H135" i="29"/>
  <c r="H135" i="14"/>
  <c r="J135" i="14" s="1"/>
  <c r="J135" i="13"/>
  <c r="E7" i="15"/>
  <c r="G15" i="29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G19" i="13"/>
  <c r="G187" i="13" s="1"/>
  <c r="H32" i="12"/>
  <c r="H30" i="12"/>
  <c r="G80" i="27"/>
  <c r="H28" i="27"/>
  <c r="H15" i="28"/>
  <c r="E28" i="28"/>
  <c r="G28" i="28" s="1"/>
  <c r="G79" i="28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G9" i="16" l="1"/>
  <c r="H9" i="16" s="1"/>
  <c r="G10" i="24"/>
  <c r="H10" i="24" s="1"/>
  <c r="E7" i="16"/>
  <c r="G79" i="29"/>
  <c r="G80" i="29" s="1"/>
  <c r="E28" i="29"/>
  <c r="G28" i="29" s="1"/>
  <c r="H15" i="29"/>
  <c r="H79" i="40"/>
  <c r="H79" i="27" s="1"/>
  <c r="H79" i="28" s="1"/>
  <c r="H28" i="28"/>
  <c r="H28" i="29" s="1"/>
  <c r="G20" i="13"/>
  <c r="H20" i="13" s="1"/>
  <c r="E30" i="13"/>
  <c r="G30" i="13" s="1"/>
  <c r="G32" i="13" s="1"/>
  <c r="H32" i="13" s="1"/>
  <c r="H19" i="13"/>
  <c r="E19" i="14"/>
  <c r="G80" i="28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10" i="25" l="1"/>
  <c r="H9" i="17"/>
  <c r="E7" i="17"/>
  <c r="G7" i="16"/>
  <c r="G103" i="16" s="1"/>
  <c r="G7" i="15"/>
  <c r="G105" i="15" s="1"/>
  <c r="H105" i="15" s="1"/>
  <c r="H79" i="29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E9" i="19"/>
  <c r="F9" i="19" s="1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F7" i="17" l="1"/>
  <c r="E7" i="18" s="1"/>
  <c r="F7" i="18" s="1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F8" i="19" s="1"/>
  <c r="H27" i="17"/>
  <c r="H156" i="40"/>
  <c r="H156" i="27" s="1"/>
  <c r="H156" i="28" s="1"/>
  <c r="J156" i="25"/>
  <c r="E28" i="43"/>
  <c r="G28" i="43" s="1"/>
  <c r="G79" i="43"/>
  <c r="G80" i="43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" i="17" l="1"/>
  <c r="G101" i="17" s="1"/>
  <c r="E7" i="19"/>
  <c r="G7" i="18"/>
  <c r="G95" i="18" s="1"/>
  <c r="H95" i="16"/>
  <c r="H99" i="16"/>
  <c r="H101" i="16"/>
  <c r="H97" i="16"/>
  <c r="H28" i="43"/>
  <c r="G80" i="30"/>
  <c r="H79" i="30"/>
  <c r="H79" i="43" s="1"/>
  <c r="O8" i="18"/>
  <c r="E27" i="18"/>
  <c r="G27" i="18" s="1"/>
  <c r="H27" i="18" s="1"/>
  <c r="G19" i="15"/>
  <c r="G32" i="14"/>
  <c r="H32" i="14" s="1"/>
  <c r="H30" i="14"/>
  <c r="G15" i="31"/>
  <c r="E8" i="20"/>
  <c r="F8" i="20" s="1"/>
  <c r="G8" i="19"/>
  <c r="H9" i="19"/>
  <c r="E9" i="20"/>
  <c r="F9" i="20" s="1"/>
  <c r="G97" i="18"/>
  <c r="G99" i="18"/>
  <c r="G105" i="18"/>
  <c r="G103" i="18"/>
  <c r="G101" i="18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99" i="17" l="1"/>
  <c r="H99" i="17" s="1"/>
  <c r="H99" i="18" s="1"/>
  <c r="G103" i="17"/>
  <c r="H103" i="17" s="1"/>
  <c r="H103" i="18" s="1"/>
  <c r="H101" i="17"/>
  <c r="H101" i="18" s="1"/>
  <c r="G95" i="17"/>
  <c r="H95" i="17" s="1"/>
  <c r="H95" i="18" s="1"/>
  <c r="H7" i="17"/>
  <c r="H7" i="18" s="1"/>
  <c r="I59" i="17"/>
  <c r="G105" i="17"/>
  <c r="H105" i="17" s="1"/>
  <c r="H105" i="18" s="1"/>
  <c r="G97" i="17"/>
  <c r="H97" i="17" s="1"/>
  <c r="H97" i="18" s="1"/>
  <c r="I59" i="18"/>
  <c r="F7" i="19"/>
  <c r="G7" i="19" s="1"/>
  <c r="G95" i="19" s="1"/>
  <c r="E27" i="19"/>
  <c r="G27" i="19" s="1"/>
  <c r="H27" i="19" s="1"/>
  <c r="N8" i="19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G79" i="31"/>
  <c r="G80" i="31" s="1"/>
  <c r="G28" i="31"/>
  <c r="H28" i="31" s="1"/>
  <c r="G9" i="20"/>
  <c r="H9" i="20" s="1"/>
  <c r="E9" i="21"/>
  <c r="F9" i="21" s="1"/>
  <c r="G10" i="27"/>
  <c r="H10" i="27" s="1"/>
  <c r="E8" i="21"/>
  <c r="F8" i="21" s="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G99" i="19" l="1"/>
  <c r="H99" i="19" s="1"/>
  <c r="G103" i="19"/>
  <c r="H103" i="19" s="1"/>
  <c r="O8" i="19"/>
  <c r="G97" i="19"/>
  <c r="H97" i="19" s="1"/>
  <c r="H7" i="19"/>
  <c r="I59" i="19"/>
  <c r="H95" i="19"/>
  <c r="G101" i="19"/>
  <c r="H101" i="19" s="1"/>
  <c r="G105" i="19"/>
  <c r="H105" i="19" s="1"/>
  <c r="E7" i="20"/>
  <c r="F7" i="20" s="1"/>
  <c r="H79" i="3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F9" i="22" s="1"/>
  <c r="E8" i="22"/>
  <c r="F8" i="22" s="1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7" i="20" l="1"/>
  <c r="E7" i="21"/>
  <c r="F7" i="21" s="1"/>
  <c r="G8" i="21"/>
  <c r="E27" i="21" s="1"/>
  <c r="G27" i="21" s="1"/>
  <c r="H27" i="21" s="1"/>
  <c r="H30" i="16"/>
  <c r="G19" i="17"/>
  <c r="E9" i="23"/>
  <c r="F9" i="23" s="1"/>
  <c r="G8" i="22"/>
  <c r="E27" i="22" s="1"/>
  <c r="G27" i="22" s="1"/>
  <c r="E8" i="23"/>
  <c r="F8" i="23" s="1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 l="1"/>
  <c r="E7" i="22"/>
  <c r="F7" i="22" s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E9" i="24"/>
  <c r="F9" i="24" s="1"/>
  <c r="G10" i="29"/>
  <c r="H10" i="29" s="1"/>
  <c r="G8" i="23"/>
  <c r="E27" i="23" s="1"/>
  <c r="G27" i="23" s="1"/>
  <c r="E8" i="24"/>
  <c r="F8" i="24" s="1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G7" i="22" l="1"/>
  <c r="E7" i="23"/>
  <c r="F7" i="23" s="1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G32" i="17"/>
  <c r="H32" i="17" s="1"/>
  <c r="H30" i="17"/>
  <c r="G9" i="24"/>
  <c r="E9" i="25"/>
  <c r="F9" i="25" s="1"/>
  <c r="E9" i="40" s="1"/>
  <c r="F9" i="40" s="1"/>
  <c r="E9" i="27" s="1"/>
  <c r="F9" i="27" s="1"/>
  <c r="E9" i="28" s="1"/>
  <c r="F9" i="28" s="1"/>
  <c r="G8" i="24"/>
  <c r="E27" i="24" s="1"/>
  <c r="G27" i="24" s="1"/>
  <c r="E8" i="25"/>
  <c r="F8" i="25" s="1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7" i="23" l="1"/>
  <c r="E7" i="24"/>
  <c r="F7" i="24" s="1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F8" i="40" s="1"/>
  <c r="H9" i="24"/>
  <c r="G20" i="18"/>
  <c r="H20" i="18" s="1"/>
  <c r="G187" i="18"/>
  <c r="H187" i="18" s="1"/>
  <c r="J187" i="18" s="1"/>
  <c r="E30" i="18"/>
  <c r="G30" i="18" s="1"/>
  <c r="G32" i="18" s="1"/>
  <c r="H32" i="18" s="1"/>
  <c r="E19" i="19"/>
  <c r="H19" i="18"/>
  <c r="G9" i="25"/>
  <c r="G10" i="30"/>
  <c r="H10" i="30" s="1"/>
  <c r="H27" i="24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E7" i="25" l="1"/>
  <c r="F7" i="25" s="1"/>
  <c r="G7" i="24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G8" i="40"/>
  <c r="E27" i="40" s="1"/>
  <c r="G27" i="40" s="1"/>
  <c r="G8" i="25"/>
  <c r="E27" i="25" s="1"/>
  <c r="G27" i="25" s="1"/>
  <c r="H9" i="25"/>
  <c r="E19" i="20"/>
  <c r="G19" i="19"/>
  <c r="H30" i="18"/>
  <c r="E10" i="43"/>
  <c r="F10" i="43" s="1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F8" i="27" l="1"/>
  <c r="E8" i="28" s="1"/>
  <c r="F8" i="28" s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F7" i="40" s="1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G8" i="27" l="1"/>
  <c r="E27" i="27" s="1"/>
  <c r="G27" i="27" s="1"/>
  <c r="H27" i="27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E7" i="27"/>
  <c r="G7" i="40"/>
  <c r="G8" i="28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I59" i="29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97" i="40" l="1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F7" i="27"/>
  <c r="G7" i="27" s="1"/>
  <c r="E27" i="28"/>
  <c r="G27" i="28" s="1"/>
  <c r="H27" i="28" s="1"/>
  <c r="G8" i="29"/>
  <c r="G32" i="20"/>
  <c r="H32" i="20" s="1"/>
  <c r="H9" i="28"/>
  <c r="G103" i="29"/>
  <c r="G101" i="29"/>
  <c r="G97" i="29"/>
  <c r="G105" i="29"/>
  <c r="G95" i="29"/>
  <c r="G99" i="29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G9" i="29"/>
  <c r="G9" i="30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99" i="27" l="1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E7" i="28"/>
  <c r="O8" i="29"/>
  <c r="E27" i="29"/>
  <c r="G27" i="29" s="1"/>
  <c r="H27" i="29" s="1"/>
  <c r="O15" i="29"/>
  <c r="G8" i="30"/>
  <c r="E27" i="30" s="1"/>
  <c r="G27" i="30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G105" i="30"/>
  <c r="G99" i="30"/>
  <c r="G97" i="30"/>
  <c r="G95" i="30"/>
  <c r="G103" i="30"/>
  <c r="G101" i="30"/>
  <c r="I59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F7" i="28" l="1"/>
  <c r="G7" i="28" s="1"/>
  <c r="F9" i="43"/>
  <c r="G9" i="43" s="1"/>
  <c r="H9" i="43" s="1"/>
  <c r="H9" i="50" s="1"/>
  <c r="J9" i="50" s="1"/>
  <c r="H27" i="30"/>
  <c r="G8" i="43"/>
  <c r="E27" i="43" s="1"/>
  <c r="G27" i="43" s="1"/>
  <c r="O10" i="29"/>
  <c r="O12" i="29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G101" i="28" l="1"/>
  <c r="H101" i="28" s="1"/>
  <c r="H101" i="29" s="1"/>
  <c r="H101" i="30" s="1"/>
  <c r="G105" i="28"/>
  <c r="H105" i="28" s="1"/>
  <c r="H105" i="29" s="1"/>
  <c r="H105" i="30" s="1"/>
  <c r="G99" i="28"/>
  <c r="H99" i="28" s="1"/>
  <c r="H99" i="29" s="1"/>
  <c r="H99" i="30" s="1"/>
  <c r="G103" i="28"/>
  <c r="H103" i="28" s="1"/>
  <c r="H103" i="29" s="1"/>
  <c r="H103" i="30" s="1"/>
  <c r="G95" i="28"/>
  <c r="H95" i="28" s="1"/>
  <c r="H95" i="29" s="1"/>
  <c r="H95" i="30" s="1"/>
  <c r="G97" i="28"/>
  <c r="H97" i="28" s="1"/>
  <c r="H97" i="29" s="1"/>
  <c r="H97" i="30" s="1"/>
  <c r="I59" i="28"/>
  <c r="O9" i="28"/>
  <c r="H7" i="28"/>
  <c r="H7" i="29" s="1"/>
  <c r="H7" i="30" s="1"/>
  <c r="H27" i="43"/>
  <c r="G8" i="31"/>
  <c r="G27" i="31" s="1"/>
  <c r="H32" i="23"/>
  <c r="H9" i="31"/>
  <c r="H30" i="23"/>
  <c r="G19" i="24"/>
  <c r="AB25" i="49"/>
  <c r="N7" i="31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H27" i="31" l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32" i="25" l="1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16" l="1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J12" i="43"/>
  <c r="J9" i="43"/>
  <c r="J10" i="43"/>
  <c r="J9" i="31"/>
  <c r="J10" i="31"/>
  <c r="J15" i="43"/>
  <c r="I16" i="43" s="1"/>
  <c r="J15" i="31"/>
  <c r="I16" i="31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11" i="19" l="1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<sst xmlns="http://schemas.openxmlformats.org/spreadsheetml/2006/main" count="10749" uniqueCount="376">
  <si>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</si>
  <si>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</si>
  <si>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</si>
  <si>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</si>
  <si>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</si>
  <si>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</si>
  <si>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</si>
  <si>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</si>
  <si>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</si>
  <si>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</si>
  <si>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</si>
  <si>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</si>
  <si>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</si>
  <si>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</si>
  <si>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</si>
  <si>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</si>
  <si>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</si>
  <si>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</si>
  <si>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</si>
  <si>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</si>
  <si>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</si>
  <si>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</si>
  <si>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</si>
  <si>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</si>
  <si>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</si>
  <si>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</si>
  <si>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</si>
  <si>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</si>
  <si>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</si>
  <si>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</si>
  <si>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</si>
  <si>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</si>
  <si>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</si>
  <si>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</si>
  <si>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</si>
  <si>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</si>
  <si>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</si>
  <si>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</si>
  <si>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</si>
  <si>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</si>
  <si>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</si>
  <si>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</si>
  <si>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</si>
  <si>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</si>
  <si>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</si>
  <si>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</si>
  <si>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</si>
  <si>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</si>
  <si>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</si>
  <si>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</si>
  <si>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</si>
  <si>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</si>
  <si>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</si>
  <si>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</si>
  <si>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</si>
  <si>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</si>
  <si>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</si>
  <si>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</si>
  <si>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</si>
  <si>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</si>
  <si>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</si>
  <si>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</si>
  <si>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</si>
  <si>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</si>
  <si>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</si>
  <si>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</si>
  <si>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</si>
  <si>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</si>
  <si>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</si>
  <si>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</si>
  <si>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</si>
  <si>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</si>
  <si>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</si>
  <si>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</si>
  <si>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</si>
  <si>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</si>
  <si>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</si>
  <si>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</si>
  <si>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</si>
  <si>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</si>
  <si>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</si>
  <si>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</si>
  <si>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</si>
  <si>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</si>
  <si>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</si>
  <si>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</si>
  <si>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</si>
  <si>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</si>
  <si>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</si>
  <si>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</si>
  <si>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</si>
  <si>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</si>
  <si>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</si>
  <si>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</si>
  <si>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</si>
  <si>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</si>
  <si>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</si>
  <si>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</si>
  <si>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</si>
  <si>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</si>
  <si>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</si>
  <si>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</si>
  <si>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</si>
  <si>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</si>
  <si>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</si>
  <si>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</si>
  <si>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</si>
  <si>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</si>
  <si>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</si>
  <si>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</si>
  <si>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</si>
  <si>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</si>
  <si>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</si>
  <si>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</si>
  <si>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</si>
  <si>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</si>
  <si>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</si>
  <si>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</si>
  <si>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</si>
  <si>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</si>
  <si>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</si>
  <si>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</si>
  <si>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</si>
  <si>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</si>
  <si>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</si>
  <si>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</si>
  <si>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</si>
  <si>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</si>
  <si>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</si>
  <si>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</si>
  <si>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</si>
  <si>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</si>
  <si>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</si>
  <si>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</si>
  <si>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</si>
  <si>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</si>
  <si>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</si>
  <si>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</si>
  <si>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</si>
  <si>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</si>
  <si>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</si>
  <si>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</si>
  <si>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</si>
  <si>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</si>
  <si>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</si>
  <si>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</si>
  <si>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</si>
  <si>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</si>
  <si>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</si>
  <si>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</si>
  <si>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</si>
  <si>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</si>
  <si>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</si>
  <si>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</si>
  <si>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</si>
  <si>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</si>
  <si>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</si>
  <si>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</si>
  <si>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</si>
  <si>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</si>
  <si>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</si>
  <si>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</si>
  <si>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</si>
  <si>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</si>
  <si>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</si>
  <si>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</si>
  <si>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</si>
  <si>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</si>
  <si>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</si>
  <si>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</si>
  <si>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</si>
  <si>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</si>
  <si>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</si>
  <si>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</si>
  <si>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</si>
  <si>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</si>
  <si>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</si>
  <si>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</si>
  <si>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</si>
  <si>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</si>
  <si>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</si>
  <si>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</si>
  <si>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</si>
  <si>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</si>
  <si>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</si>
  <si>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</si>
  <si>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</si>
  <si>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</si>
  <si>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</si>
  <si>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</si>
  <si>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</si>
  <si>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</si>
  <si>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</si>
  <si>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</si>
  <si>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</si>
  <si>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</si>
  <si>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</si>
  <si>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</si>
  <si>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</si>
  <si>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</si>
  <si>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</si>
  <si>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</si>
  <si>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</si>
  <si>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</si>
  <si>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</si>
  <si>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</si>
  <si>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</si>
  <si>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</si>
  <si>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</si>
  <si>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</si>
  <si>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</si>
  <si>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</si>
  <si>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</si>
  <si>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</si>
  <si>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</si>
  <si>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</si>
  <si>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</si>
  <si>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</si>
  <si>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</si>
  <si>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</si>
  <si>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</si>
  <si>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</si>
  <si>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</si>
  <si>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</si>
  <si>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</si>
  <si>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</si>
  <si>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</si>
  <si>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</si>
  <si>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</si>
  <si>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</si>
  <si>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</si>
  <si>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</si>
  <si>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</si>
  <si>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</si>
  <si>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</si>
  <si>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</si>
  <si>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</si>
  <si>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</si>
  <si>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</si>
  <si>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</si>
  <si>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</si>
  <si>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</si>
  <si>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</si>
  <si>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</si>
  <si>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</si>
  <si>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</si>
  <si>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</si>
  <si>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</si>
  <si>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</si>
  <si>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</si>
  <si>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</si>
  <si>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</si>
  <si>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</si>
  <si>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</si>
  <si>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</si>
  <si>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</si>
  <si>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</si>
  <si>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</si>
  <si>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</si>
  <si>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</si>
  <si>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</si>
  <si>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</si>
  <si>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</si>
  <si>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</si>
  <si>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</si>
  <si>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</si>
  <si>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</si>
  <si>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</si>
  <si>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</si>
  <si>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</si>
  <si>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</si>
  <si>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</si>
  <si>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</si>
  <si>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</si>
  <si>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</si>
  <si>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</si>
  <si>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</si>
  <si>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</si>
  <si>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</si>
  <si>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</si>
  <si>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</si>
  <si>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</si>
  <si>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</si>
  <si>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</si>
  <si>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</si>
  <si>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</si>
  <si>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</si>
  <si>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</si>
  <si>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</si>
  <si>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</si>
  <si>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</si>
  <si>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</si>
  <si>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</si>
  <si>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</si>
  <si>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</si>
  <si>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</si>
  <si>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</si>
  <si>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</si>
  <si>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</si>
  <si>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</si>
  <si>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</si>
  <si>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</si>
  <si>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</si>
  <si>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</si>
  <si>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</si>
  <si>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</si>
  <si>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</si>
  <si>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</si>
  <si>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</si>
  <si>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</si>
  <si>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</si>
  <si>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</si>
  <si>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</si>
  <si>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</si>
  <si>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</si>
  <si>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</si>
  <si>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</si>
  <si>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</si>
  <si>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</si>
  <si>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</si>
  <si>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</si>
  <si>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</si>
  <si>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</si>
  <si>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</si>
  <si>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</si>
  <si>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</si>
  <si>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</si>
  <si>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</si>
  <si>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</si>
  <si>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</si>
  <si>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</si>
  <si>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</si>
  <si>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</si>
  <si>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</si>
  <si>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</si>
  <si>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</si>
  <si>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</si>
  <si>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</si>
  <si>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</si>
  <si>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</si>
  <si>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</si>
  <si>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</si>
  <si>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</si>
  <si>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</si>
  <si>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</si>
  <si>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</si>
  <si>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</si>
  <si>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</si>
  <si>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</si>
  <si>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</si>
  <si>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</si>
  <si>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</si>
  <si>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</si>
  <si>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</si>
  <si>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</si>
  <si>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</si>
  <si>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</si>
  <si>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</si>
  <si>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</si>
  <si>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</si>
  <si>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</si>
  <si>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</si>
  <si>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</si>
  <si>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</si>
  <si>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</si>
  <si>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</si>
  <si>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</si>
  <si>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</si>
  <si>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</si>
  <si>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  `1</t>
  </si>
  <si>
    <t xml:space="preserve">Emergency Power Panel ( capacitor bank area) </t>
  </si>
  <si>
    <t xml:space="preserve"> .</t>
  </si>
  <si>
    <t>Prepaired by--- Devendra</t>
  </si>
  <si>
    <t xml:space="preserve">Prepaired by---Devendra </t>
  </si>
  <si>
    <t xml:space="preserve">Prepaired by--- Nilesh </t>
  </si>
  <si>
    <t>Water Tanker strike 9thMay-10-11-12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</si>
</sst>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8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994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7" fillId="0" borderId="0" xfId="0" applyFont="1"/>
    <xf numFmtId="168" fontId="78" fillId="9" borderId="16" xfId="3" applyNumberFormat="1" applyFont="1" applyFill="1" applyBorder="1" applyAlignment="1">
      <alignment horizontal="left"/>
    </xf>
    <xf numFmtId="9" fontId="78" fillId="9" borderId="16" xfId="3" applyNumberFormat="1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166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6" fontId="78" fillId="8" borderId="12" xfId="3" applyNumberFormat="1" applyFont="1" applyFill="1" applyBorder="1" applyAlignment="1">
      <alignment horizontal="center" wrapText="1" shrinkToFit="1"/>
    </xf>
    <xf numFmtId="166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9" fontId="78" fillId="8" borderId="16" xfId="3" applyNumberFormat="1" applyFont="1" applyFill="1" applyBorder="1" applyAlignment="1">
      <alignment vertical="center"/>
    </xf>
    <xf numFmtId="1" fontId="83" fillId="2" borderId="0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8" fillId="2" borderId="16" xfId="3" applyFont="1" applyFill="1" applyBorder="1" applyAlignment="1">
      <alignment horizontal="left" vertical="center"/>
    </xf>
    <xf numFmtId="0" fontId="78" fillId="13" borderId="16" xfId="3" applyFont="1" applyFill="1" applyBorder="1" applyAlignment="1">
      <alignment horizontal="center" vertical="center"/>
    </xf>
    <xf numFmtId="0" fontId="84" fillId="2" borderId="13" xfId="3" applyFont="1" applyFill="1" applyBorder="1" applyAlignment="1">
      <alignment horizontal="center"/>
    </xf>
    <xf numFmtId="0" fontId="84" fillId="13" borderId="13" xfId="3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6" xfId="3" applyNumberFormat="1" applyFont="1" applyFill="1" applyBorder="1" applyAlignment="1">
      <alignment horizontal="left" vertical="center"/>
    </xf>
    <xf numFmtId="0" fontId="83" fillId="2" borderId="0" xfId="3" applyFont="1" applyFill="1" applyBorder="1" applyAlignment="1">
      <alignment horizontal="center" vertical="center"/>
    </xf>
    <xf numFmtId="166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0" xfId="4" applyFont="1"/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1" fontId="77" fillId="0" borderId="0" xfId="0" applyNumberFormat="1" applyFont="1" applyFill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0" fontId="85" fillId="0" borderId="16" xfId="4" applyFont="1" applyFill="1" applyBorder="1"/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1" xfId="0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/>
    </xf>
    <xf numFmtId="2" fontId="44" fillId="10" borderId="1" xfId="4" applyNumberFormat="1" applyFont="1" applyFill="1" applyBorder="1" applyAlignment="1">
      <alignment horizont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81" fillId="0" borderId="1" xfId="0" applyFont="1" applyBorder="1" applyAlignment="1">
      <alignment horizontal="center"/>
    </xf>
    <xf numFmtId="38" fontId="81" fillId="0" borderId="1" xfId="0" applyNumberFormat="1" applyFont="1" applyBorder="1" applyAlignment="1">
      <alignment horizontal="center"/>
    </xf>
    <xf numFmtId="0" fontId="78" fillId="8" borderId="1" xfId="3" applyFont="1" applyFill="1" applyBorder="1" applyAlignment="1">
      <alignment horizontal="left" vertical="center"/>
    </xf>
    <xf numFmtId="1" fontId="78" fillId="0" borderId="1" xfId="5" applyNumberFormat="1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1" fontId="78" fillId="8" borderId="12" xfId="5" applyNumberFormat="1" applyFont="1" applyFill="1" applyBorder="1" applyAlignment="1" applyProtection="1">
      <alignment horizontal="center"/>
    </xf>
    <xf numFmtId="0" fontId="78" fillId="8" borderId="5" xfId="3" applyFont="1" applyFill="1" applyBorder="1" applyAlignment="1">
      <alignment horizontal="left" vertical="center"/>
    </xf>
    <xf numFmtId="0" fontId="78" fillId="8" borderId="10" xfId="3" applyFont="1" applyFill="1" applyBorder="1" applyAlignment="1">
      <alignment horizontal="left" vertical="center"/>
    </xf>
    <xf numFmtId="1" fontId="78" fillId="2" borderId="7" xfId="3" applyNumberFormat="1" applyFont="1" applyFill="1" applyBorder="1" applyAlignment="1">
      <alignment horizontal="center"/>
    </xf>
    <xf numFmtId="169" fontId="78" fillId="8" borderId="1" xfId="3" applyNumberFormat="1" applyFont="1" applyFill="1" applyBorder="1" applyAlignment="1">
      <alignment vertical="center"/>
    </xf>
    <xf numFmtId="1" fontId="78" fillId="0" borderId="1" xfId="4" applyNumberFormat="1" applyFont="1" applyBorder="1" applyAlignment="1">
      <alignment horizontal="center"/>
    </xf>
    <xf numFmtId="1" fontId="78" fillId="2" borderId="1" xfId="5" applyNumberFormat="1" applyFont="1" applyFill="1" applyBorder="1" applyAlignment="1">
      <alignment horizontal="center"/>
    </xf>
    <xf numFmtId="0" fontId="78" fillId="13" borderId="1" xfId="3" applyFont="1" applyFill="1" applyBorder="1" applyAlignment="1">
      <alignment horizontal="center"/>
    </xf>
    <xf numFmtId="1" fontId="78" fillId="12" borderId="1" xfId="3" applyNumberFormat="1" applyFont="1" applyFill="1" applyBorder="1" applyAlignment="1">
      <alignment horizontal="center"/>
    </xf>
    <xf numFmtId="1" fontId="81" fillId="12" borderId="1" xfId="3" applyNumberFormat="1" applyFont="1" applyFill="1" applyBorder="1" applyAlignment="1">
      <alignment horizontal="center"/>
    </xf>
    <xf numFmtId="1" fontId="78" fillId="12" borderId="12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left"/>
    </xf>
    <xf numFmtId="1" fontId="86" fillId="2" borderId="1" xfId="4" applyNumberFormat="1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center"/>
    </xf>
    <xf numFmtId="1" fontId="78" fillId="2" borderId="1" xfId="4" applyNumberFormat="1" applyFont="1" applyFill="1" applyBorder="1" applyAlignment="1">
      <alignment horizontal="center"/>
    </xf>
    <xf numFmtId="1" fontId="78" fillId="2" borderId="12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8" fillId="2" borderId="1" xfId="5" applyNumberFormat="1" applyFont="1" applyFill="1" applyBorder="1" applyAlignment="1" applyProtection="1">
      <alignment horizontal="center"/>
    </xf>
    <xf numFmtId="0" fontId="78" fillId="13" borderId="1" xfId="3" applyFont="1" applyFill="1" applyBorder="1" applyAlignment="1">
      <alignment horizontal="center" vertical="center"/>
    </xf>
    <xf numFmtId="1" fontId="87" fillId="2" borderId="1" xfId="4" applyNumberFormat="1" applyFont="1" applyFill="1" applyBorder="1" applyAlignment="1">
      <alignment horizontal="center"/>
    </xf>
    <xf numFmtId="1" fontId="85" fillId="12" borderId="1" xfId="3" applyNumberFormat="1" applyFont="1" applyFill="1" applyBorder="1" applyAlignment="1">
      <alignment horizontal="center"/>
    </xf>
    <xf numFmtId="0" fontId="84" fillId="2" borderId="3" xfId="3" applyFont="1" applyFill="1" applyBorder="1" applyAlignment="1">
      <alignment horizontal="center"/>
    </xf>
    <xf numFmtId="0" fontId="84" fillId="2" borderId="4" xfId="3" applyFont="1" applyFill="1" applyBorder="1" applyAlignment="1">
      <alignment horizontal="center"/>
    </xf>
    <xf numFmtId="164" fontId="84" fillId="8" borderId="1" xfId="8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0" fontId="84" fillId="8" borderId="1" xfId="3" applyFont="1" applyFill="1" applyBorder="1" applyAlignment="1">
      <alignment horizontal="center"/>
    </xf>
    <xf numFmtId="1" fontId="81" fillId="8" borderId="1" xfId="5" applyNumberFormat="1" applyFont="1" applyFill="1" applyBorder="1" applyAlignment="1" applyProtection="1">
      <alignment horizontal="center"/>
    </xf>
    <xf numFmtId="1" fontId="85" fillId="8" borderId="1" xfId="5" applyNumberFormat="1" applyFont="1" applyFill="1" applyBorder="1" applyAlignment="1" applyProtection="1">
      <alignment horizontal="center"/>
    </xf>
    <xf numFmtId="0" fontId="84" fillId="13" borderId="3" xfId="3" applyFont="1" applyFill="1" applyBorder="1" applyAlignment="1">
      <alignment horizontal="center"/>
    </xf>
    <xf numFmtId="0" fontId="84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43" fontId="87" fillId="8" borderId="1" xfId="19" applyFont="1" applyFill="1" applyBorder="1" applyAlignment="1" applyProtection="1">
      <alignment horizontal="center"/>
    </xf>
    <xf numFmtId="43" fontId="78" fillId="8" borderId="1" xfId="19" applyFont="1" applyFill="1" applyBorder="1" applyAlignment="1">
      <alignment horizontal="center"/>
    </xf>
    <xf numFmtId="43" fontId="87" fillId="2" borderId="1" xfId="19" applyFont="1" applyFill="1" applyBorder="1" applyAlignment="1">
      <alignment horizontal="center"/>
    </xf>
    <xf numFmtId="43" fontId="78" fillId="8" borderId="12" xfId="19" applyFont="1" applyFill="1" applyBorder="1" applyAlignment="1" applyProtection="1">
      <alignment horizontal="center"/>
    </xf>
    <xf numFmtId="0" fontId="75" fillId="17" borderId="3" xfId="3" applyFont="1" applyFill="1" applyBorder="1" applyAlignment="1">
      <alignment vertical="justify"/>
    </xf>
    <xf numFmtId="1" fontId="75" fillId="17" borderId="3" xfId="3" applyNumberFormat="1" applyFont="1" applyFill="1" applyBorder="1" applyAlignment="1">
      <alignment horizontal="center"/>
    </xf>
    <xf numFmtId="1" fontId="75" fillId="17" borderId="21" xfId="3" applyNumberFormat="1" applyFont="1" applyFill="1" applyBorder="1" applyAlignment="1">
      <alignment horizontal="center"/>
    </xf>
    <xf numFmtId="0" fontId="78" fillId="12" borderId="1" xfId="3" applyFont="1" applyFill="1" applyBorder="1" applyAlignment="1">
      <alignment horizontal="left"/>
    </xf>
    <xf numFmtId="2" fontId="78" fillId="8" borderId="1" xfId="3" applyNumberFormat="1" applyFont="1" applyFill="1" applyBorder="1" applyAlignment="1">
      <alignment horizontal="left" vertical="center"/>
    </xf>
    <xf numFmtId="1" fontId="78" fillId="8" borderId="1" xfId="3" applyNumberFormat="1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left" vertical="justify"/>
    </xf>
    <xf numFmtId="0" fontId="78" fillId="17" borderId="1" xfId="3" applyFont="1" applyFill="1" applyBorder="1" applyAlignment="1">
      <alignment horizontal="center"/>
    </xf>
    <xf numFmtId="1" fontId="78" fillId="17" borderId="1" xfId="3" applyNumberFormat="1" applyFont="1" applyFill="1" applyBorder="1" applyAlignment="1">
      <alignment horizontal="center"/>
    </xf>
    <xf numFmtId="1" fontId="81" fillId="17" borderId="1" xfId="3" applyNumberFormat="1" applyFont="1" applyFill="1" applyBorder="1" applyAlignment="1">
      <alignment horizontal="center"/>
    </xf>
    <xf numFmtId="1" fontId="78" fillId="17" borderId="12" xfId="3" applyNumberFormat="1" applyFont="1" applyFill="1" applyBorder="1" applyAlignment="1">
      <alignment horizontal="center"/>
    </xf>
    <xf numFmtId="0" fontId="86" fillId="0" borderId="1" xfId="4" applyFont="1" applyBorder="1" applyAlignment="1">
      <alignment horizontal="center"/>
    </xf>
    <xf numFmtId="38" fontId="78" fillId="2" borderId="1" xfId="5" applyNumberFormat="1" applyFont="1" applyFill="1" applyBorder="1" applyAlignment="1">
      <alignment horizontal="center"/>
    </xf>
    <xf numFmtId="38" fontId="81" fillId="2" borderId="1" xfId="3" applyNumberFormat="1" applyFont="1" applyFill="1" applyBorder="1" applyAlignment="1">
      <alignment horizontal="center"/>
    </xf>
    <xf numFmtId="165" fontId="78" fillId="8" borderId="1" xfId="7" applyFont="1" applyFill="1" applyBorder="1" applyAlignment="1">
      <alignment horizontal="center" wrapText="1"/>
    </xf>
    <xf numFmtId="0" fontId="81" fillId="0" borderId="1" xfId="0" applyFont="1" applyBorder="1" applyAlignment="1">
      <alignment horizontal="left"/>
    </xf>
    <xf numFmtId="0" fontId="81" fillId="0" borderId="0" xfId="0" applyFont="1" applyBorder="1" applyAlignment="1">
      <alignment horizontal="center"/>
    </xf>
    <xf numFmtId="38" fontId="81" fillId="0" borderId="0" xfId="0" applyNumberFormat="1" applyFont="1" applyBorder="1" applyAlignment="1">
      <alignment horizontal="center"/>
    </xf>
    <xf numFmtId="1" fontId="81" fillId="0" borderId="0" xfId="0" applyNumberFormat="1" applyFont="1" applyBorder="1" applyAlignment="1">
      <alignment horizontal="center"/>
    </xf>
    <xf numFmtId="1" fontId="81" fillId="0" borderId="24" xfId="0" applyNumberFormat="1" applyFont="1" applyBorder="1" applyAlignment="1">
      <alignment horizontal="center"/>
    </xf>
    <xf numFmtId="38" fontId="81" fillId="17" borderId="1" xfId="3" applyNumberFormat="1" applyFont="1" applyFill="1" applyBorder="1" applyAlignment="1">
      <alignment horizontal="center"/>
    </xf>
    <xf numFmtId="0" fontId="81" fillId="17" borderId="1" xfId="3" applyFont="1" applyFill="1" applyBorder="1" applyAlignment="1">
      <alignment horizontal="center"/>
    </xf>
    <xf numFmtId="0" fontId="81" fillId="17" borderId="12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38" fontId="78" fillId="12" borderId="1" xfId="5" applyNumberFormat="1" applyFont="1" applyFill="1" applyBorder="1" applyAlignment="1">
      <alignment horizontal="center"/>
    </xf>
    <xf numFmtId="1" fontId="78" fillId="12" borderId="1" xfId="5" applyNumberFormat="1" applyFont="1" applyFill="1" applyBorder="1" applyAlignment="1">
      <alignment horizontal="center"/>
    </xf>
    <xf numFmtId="1" fontId="78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38" fontId="78" fillId="0" borderId="1" xfId="5" applyNumberFormat="1" applyFont="1" applyFill="1" applyBorder="1" applyAlignment="1">
      <alignment horizontal="center"/>
    </xf>
    <xf numFmtId="38" fontId="81" fillId="12" borderId="1" xfId="3" applyNumberFormat="1" applyFont="1" applyFill="1" applyBorder="1" applyAlignment="1">
      <alignment horizontal="center"/>
    </xf>
    <xf numFmtId="0" fontId="81" fillId="12" borderId="1" xfId="3" applyFont="1" applyFill="1" applyBorder="1" applyAlignment="1">
      <alignment horizontal="center"/>
    </xf>
    <xf numFmtId="0" fontId="81" fillId="12" borderId="12" xfId="3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/>
    </xf>
    <xf numFmtId="38" fontId="78" fillId="8" borderId="1" xfId="6" applyNumberFormat="1" applyFont="1" applyFill="1" applyBorder="1" applyAlignment="1">
      <alignment horizontal="center"/>
    </xf>
    <xf numFmtId="167" fontId="78" fillId="0" borderId="1" xfId="6" applyNumberFormat="1" applyFont="1" applyFill="1" applyBorder="1" applyAlignment="1">
      <alignment horizontal="center"/>
    </xf>
    <xf numFmtId="0" fontId="78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38" fontId="78" fillId="8" borderId="6" xfId="6" applyNumberFormat="1" applyFont="1" applyFill="1" applyBorder="1" applyAlignment="1">
      <alignment horizontal="center"/>
    </xf>
    <xf numFmtId="1" fontId="78" fillId="8" borderId="17" xfId="5" applyNumberFormat="1" applyFont="1" applyFill="1" applyBorder="1" applyAlignment="1" applyProtection="1">
      <alignment horizontal="center"/>
    </xf>
    <xf numFmtId="0" fontId="81" fillId="0" borderId="0" xfId="0" applyFont="1" applyAlignment="1">
      <alignment horizontal="center"/>
    </xf>
    <xf numFmtId="38" fontId="81" fillId="0" borderId="0" xfId="0" applyNumberFormat="1" applyFont="1" applyAlignment="1">
      <alignment horizontal="center"/>
    </xf>
    <xf numFmtId="1" fontId="81" fillId="0" borderId="0" xfId="0" applyNumberFormat="1" applyFont="1" applyAlignment="1">
      <alignment horizontal="center"/>
    </xf>
    <xf numFmtId="0" fontId="78" fillId="0" borderId="1" xfId="0" applyFont="1" applyBorder="1" applyAlignment="1">
      <alignment horizontal="center"/>
    </xf>
    <xf numFmtId="1" fontId="78" fillId="8" borderId="1" xfId="5" applyNumberFormat="1" applyFont="1" applyFill="1" applyBorder="1" applyAlignment="1" applyProtection="1">
      <alignment horizontal="center"/>
    </xf>
    <xf numFmtId="0" fontId="78" fillId="0" borderId="1" xfId="0" applyFont="1" applyFill="1" applyBorder="1" applyAlignment="1">
      <alignment horizontal="center"/>
    </xf>
    <xf numFmtId="0" fontId="81" fillId="0" borderId="3" xfId="0" applyFont="1" applyBorder="1" applyAlignment="1"/>
    <xf numFmtId="0" fontId="81" fillId="0" borderId="4" xfId="0" applyFont="1" applyBorder="1" applyAlignment="1"/>
    <xf numFmtId="0" fontId="81" fillId="0" borderId="1" xfId="0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78" fillId="0" borderId="1" xfId="3" applyFont="1" applyFill="1" applyBorder="1" applyAlignment="1">
      <alignment horizontal="center"/>
    </xf>
    <xf numFmtId="1" fontId="78" fillId="0" borderId="1" xfId="3" applyNumberFormat="1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1" fontId="78" fillId="0" borderId="1" xfId="5" applyNumberFormat="1" applyFont="1" applyFill="1" applyBorder="1" applyAlignment="1" applyProtection="1">
      <alignment horizontal="center"/>
    </xf>
    <xf numFmtId="2" fontId="85" fillId="0" borderId="1" xfId="3" applyNumberFormat="1" applyFont="1" applyFill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0" borderId="1" xfId="3" applyFont="1" applyFill="1" applyBorder="1" applyAlignment="1">
      <alignment horizontal="center" vertical="center"/>
    </xf>
    <xf numFmtId="0" fontId="78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38" fontId="78" fillId="0" borderId="0" xfId="5" applyNumberFormat="1" applyFont="1" applyFill="1" applyBorder="1" applyAlignment="1">
      <alignment horizontal="center"/>
    </xf>
    <xf numFmtId="1" fontId="78" fillId="0" borderId="0" xfId="3" applyNumberFormat="1" applyFont="1" applyFill="1" applyBorder="1" applyAlignment="1">
      <alignment horizontal="center"/>
    </xf>
    <xf numFmtId="1" fontId="78" fillId="0" borderId="2" xfId="5" applyNumberFormat="1" applyFont="1" applyFill="1" applyBorder="1" applyAlignment="1" applyProtection="1">
      <alignment horizontal="center"/>
    </xf>
    <xf numFmtId="0" fontId="81" fillId="0" borderId="1" xfId="0" applyFont="1" applyFill="1" applyBorder="1"/>
    <xf numFmtId="1" fontId="81" fillId="0" borderId="1" xfId="0" applyNumberFormat="1" applyFont="1" applyFill="1" applyBorder="1" applyAlignment="1">
      <alignment horizontal="center"/>
    </xf>
    <xf numFmtId="0" fontId="85" fillId="0" borderId="1" xfId="0" applyFont="1" applyFill="1" applyBorder="1"/>
    <xf numFmtId="0" fontId="78" fillId="0" borderId="1" xfId="4" applyFont="1" applyFill="1" applyBorder="1"/>
    <xf numFmtId="0" fontId="81" fillId="0" borderId="1" xfId="3" applyFont="1" applyFill="1" applyBorder="1" applyAlignment="1">
      <alignment horizontal="center"/>
    </xf>
    <xf numFmtId="38" fontId="78" fillId="0" borderId="1" xfId="3" applyNumberFormat="1" applyFont="1" applyFill="1" applyBorder="1" applyAlignment="1">
      <alignment horizontal="center"/>
    </xf>
    <xf numFmtId="1" fontId="78" fillId="0" borderId="12" xfId="5" applyNumberFormat="1" applyFont="1" applyFill="1" applyBorder="1" applyAlignment="1" applyProtection="1">
      <alignment horizontal="center"/>
    </xf>
    <xf numFmtId="0" fontId="81" fillId="2" borderId="0" xfId="0" applyFont="1" applyFill="1" applyBorder="1"/>
    <xf numFmtId="0" fontId="81" fillId="0" borderId="4" xfId="0" applyFont="1" applyBorder="1" applyAlignment="1">
      <alignment horizontal="center"/>
    </xf>
    <xf numFmtId="1" fontId="81" fillId="0" borderId="12" xfId="0" applyNumberFormat="1" applyFont="1" applyBorder="1" applyAlignment="1">
      <alignment horizontal="center"/>
    </xf>
    <xf numFmtId="0" fontId="81" fillId="2" borderId="1" xfId="0" applyFont="1" applyFill="1" applyBorder="1" applyAlignment="1">
      <alignment horizontal="left"/>
    </xf>
    <xf numFmtId="38" fontId="81" fillId="0" borderId="1" xfId="0" applyNumberFormat="1" applyFont="1" applyFill="1" applyBorder="1" applyAlignment="1">
      <alignment horizontal="center"/>
    </xf>
    <xf numFmtId="1" fontId="81" fillId="0" borderId="12" xfId="0" applyNumberFormat="1" applyFont="1" applyFill="1" applyBorder="1" applyAlignment="1">
      <alignment horizontal="center"/>
    </xf>
    <xf numFmtId="0" fontId="81" fillId="0" borderId="4" xfId="0" applyFont="1" applyFill="1" applyBorder="1"/>
    <xf numFmtId="0" fontId="81" fillId="0" borderId="4" xfId="0" applyFont="1" applyFill="1" applyBorder="1" applyAlignment="1">
      <alignment horizontal="center"/>
    </xf>
    <xf numFmtId="38" fontId="81" fillId="12" borderId="1" xfId="0" applyNumberFormat="1" applyFont="1" applyFill="1" applyBorder="1" applyAlignment="1">
      <alignment horizontal="center"/>
    </xf>
    <xf numFmtId="172" fontId="78" fillId="9" borderId="1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center"/>
    </xf>
    <xf numFmtId="9" fontId="78" fillId="9" borderId="1" xfId="4" applyNumberFormat="1" applyFont="1" applyFill="1" applyBorder="1"/>
    <xf numFmtId="38" fontId="78" fillId="9" borderId="1" xfId="3" applyNumberFormat="1" applyFont="1" applyFill="1" applyBorder="1" applyAlignment="1">
      <alignment horizontal="center"/>
    </xf>
    <xf numFmtId="1" fontId="78" fillId="9" borderId="12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left"/>
    </xf>
    <xf numFmtId="0" fontId="78" fillId="9" borderId="1" xfId="3" applyFont="1" applyFill="1" applyBorder="1" applyAlignment="1"/>
    <xf numFmtId="1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center"/>
    </xf>
    <xf numFmtId="0" fontId="0" fillId="10" borderId="0" xfId="0" applyFill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86" fillId="0" borderId="2" xfId="4" applyFont="1" applyFill="1" applyBorder="1" applyAlignment="1">
      <alignment horizontal="center"/>
    </xf>
    <xf numFmtId="0" fontId="86" fillId="0" borderId="3" xfId="4" applyFont="1" applyFill="1" applyBorder="1" applyAlignment="1">
      <alignment horizontal="center"/>
    </xf>
    <xf numFmtId="0" fontId="86" fillId="0" borderId="4" xfId="4" applyFont="1" applyFill="1" applyBorder="1" applyAlignment="1">
      <alignment horizontal="center"/>
    </xf>
    <xf numFmtId="0" fontId="81" fillId="11" borderId="13" xfId="0" applyFont="1" applyFill="1" applyBorder="1" applyAlignment="1">
      <alignment horizontal="left"/>
    </xf>
    <xf numFmtId="0" fontId="81" fillId="11" borderId="4" xfId="0" applyFont="1" applyFill="1" applyBorder="1" applyAlignment="1">
      <alignment horizontal="left"/>
    </xf>
    <xf numFmtId="0" fontId="81" fillId="2" borderId="13" xfId="0" applyFont="1" applyFill="1" applyBorder="1" applyAlignment="1">
      <alignment horizontal="left"/>
    </xf>
    <xf numFmtId="0" fontId="81" fillId="2" borderId="4" xfId="0" applyFont="1" applyFill="1" applyBorder="1" applyAlignment="1">
      <alignment horizontal="left"/>
    </xf>
    <xf numFmtId="0" fontId="77" fillId="2" borderId="1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8" fillId="2" borderId="20" xfId="0" applyFont="1" applyFill="1" applyBorder="1" applyAlignment="1">
      <alignment horizontal="center"/>
    </xf>
    <xf numFmtId="0" fontId="78" fillId="2" borderId="5" xfId="0" applyFont="1" applyFill="1" applyBorder="1" applyAlignment="1">
      <alignment horizontal="center"/>
    </xf>
    <xf numFmtId="0" fontId="81" fillId="12" borderId="1" xfId="0" applyFont="1" applyFill="1" applyBorder="1" applyAlignment="1">
      <alignment horizontal="center"/>
    </xf>
    <xf numFmtId="0" fontId="81" fillId="0" borderId="1" xfId="0" applyFont="1" applyBorder="1" applyAlignment="1">
      <alignment horizontal="left"/>
    </xf>
    <xf numFmtId="0" fontId="78" fillId="12" borderId="23" xfId="3" applyFont="1" applyFill="1" applyBorder="1" applyAlignment="1">
      <alignment horizontal="center" vertical="center"/>
    </xf>
    <xf numFmtId="0" fontId="78" fillId="12" borderId="0" xfId="3" applyFont="1" applyFill="1" applyBorder="1" applyAlignment="1">
      <alignment horizontal="center" vertical="center"/>
    </xf>
    <xf numFmtId="0" fontId="78" fillId="12" borderId="24" xfId="3" applyFont="1" applyFill="1" applyBorder="1" applyAlignment="1">
      <alignment horizontal="center" vertical="center"/>
    </xf>
    <xf numFmtId="0" fontId="81" fillId="2" borderId="3" xfId="0" applyFont="1" applyFill="1" applyBorder="1" applyAlignment="1">
      <alignment horizontal="left"/>
    </xf>
    <xf numFmtId="0" fontId="78" fillId="0" borderId="1" xfId="4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86" fillId="0" borderId="1" xfId="4" applyFont="1" applyFill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1" fillId="0" borderId="3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81" fillId="2" borderId="2" xfId="0" applyFont="1" applyFill="1" applyBorder="1" applyAlignment="1">
      <alignment horizontal="left"/>
    </xf>
    <xf numFmtId="0" fontId="78" fillId="13" borderId="13" xfId="3" applyFont="1" applyFill="1" applyBorder="1" applyAlignment="1">
      <alignment horizontal="left"/>
    </xf>
    <xf numFmtId="0" fontId="78" fillId="13" borderId="3" xfId="3" applyFont="1" applyFill="1" applyBorder="1" applyAlignment="1">
      <alignment horizontal="left"/>
    </xf>
    <xf numFmtId="0" fontId="78" fillId="13" borderId="4" xfId="3" applyFont="1" applyFill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78" fillId="8" borderId="0" xfId="3" applyFont="1" applyFill="1" applyBorder="1" applyAlignment="1">
      <alignment vertical="center"/>
    </xf>
    <xf numFmtId="0" fontId="78" fillId="0" borderId="2" xfId="4" applyFont="1" applyBorder="1" applyAlignment="1">
      <alignment horizontal="left" vertical="center"/>
    </xf>
    <xf numFmtId="0" fontId="78" fillId="0" borderId="3" xfId="4" applyFont="1" applyBorder="1" applyAlignment="1">
      <alignment horizontal="left" vertical="center"/>
    </xf>
    <xf numFmtId="0" fontId="78" fillId="0" borderId="4" xfId="4" applyFont="1" applyBorder="1" applyAlignment="1">
      <alignment horizontal="left" vertical="center"/>
    </xf>
    <xf numFmtId="0" fontId="78" fillId="8" borderId="19" xfId="3" applyFont="1" applyFill="1" applyBorder="1" applyAlignment="1">
      <alignment horizontal="left"/>
    </xf>
    <xf numFmtId="0" fontId="78" fillId="8" borderId="8" xfId="3" applyFont="1" applyFill="1" applyBorder="1" applyAlignment="1">
      <alignment horizontal="left"/>
    </xf>
    <xf numFmtId="0" fontId="78" fillId="8" borderId="9" xfId="3" applyFont="1" applyFill="1" applyBorder="1" applyAlignment="1">
      <alignment horizontal="left"/>
    </xf>
    <xf numFmtId="0" fontId="81" fillId="12" borderId="0" xfId="0" applyFont="1" applyFill="1" applyAlignment="1">
      <alignment horizontal="center"/>
    </xf>
    <xf numFmtId="0" fontId="81" fillId="12" borderId="2" xfId="0" applyFont="1" applyFill="1" applyBorder="1" applyAlignment="1">
      <alignment horizontal="center"/>
    </xf>
    <xf numFmtId="0" fontId="81" fillId="12" borderId="3" xfId="0" applyFont="1" applyFill="1" applyBorder="1" applyAlignment="1">
      <alignment horizontal="center"/>
    </xf>
    <xf numFmtId="0" fontId="81" fillId="12" borderId="4" xfId="0" applyFont="1" applyFill="1" applyBorder="1" applyAlignment="1">
      <alignment horizontal="center"/>
    </xf>
    <xf numFmtId="0" fontId="78" fillId="12" borderId="13" xfId="3" applyFont="1" applyFill="1" applyBorder="1" applyAlignment="1">
      <alignment horizontal="center" vertical="center"/>
    </xf>
    <xf numFmtId="0" fontId="78" fillId="12" borderId="3" xfId="3" applyFont="1" applyFill="1" applyBorder="1" applyAlignment="1">
      <alignment horizontal="center" vertical="center"/>
    </xf>
    <xf numFmtId="0" fontId="78" fillId="12" borderId="4" xfId="3" applyFont="1" applyFill="1" applyBorder="1" applyAlignment="1">
      <alignment horizontal="center" vertical="center"/>
    </xf>
    <xf numFmtId="0" fontId="78" fillId="12" borderId="13" xfId="3" applyFont="1" applyFill="1" applyBorder="1" applyAlignment="1">
      <alignment horizontal="center"/>
    </xf>
    <xf numFmtId="0" fontId="78" fillId="12" borderId="3" xfId="3" applyFont="1" applyFill="1" applyBorder="1" applyAlignment="1">
      <alignment horizontal="center"/>
    </xf>
    <xf numFmtId="0" fontId="78" fillId="12" borderId="4" xfId="3" applyFont="1" applyFill="1" applyBorder="1" applyAlignment="1">
      <alignment horizontal="center"/>
    </xf>
    <xf numFmtId="0" fontId="82" fillId="17" borderId="13" xfId="3" applyFont="1" applyFill="1" applyBorder="1" applyAlignment="1">
      <alignment horizontal="center"/>
    </xf>
    <xf numFmtId="0" fontId="82" fillId="17" borderId="3" xfId="3" applyFont="1" applyFill="1" applyBorder="1" applyAlignment="1">
      <alignment horizontal="center"/>
    </xf>
    <xf numFmtId="0" fontId="82" fillId="17" borderId="4" xfId="3" applyFont="1" applyFill="1" applyBorder="1" applyAlignment="1">
      <alignment horizontal="center"/>
    </xf>
    <xf numFmtId="0" fontId="78" fillId="0" borderId="13" xfId="4" applyFont="1" applyBorder="1" applyAlignment="1">
      <alignment horizontal="left"/>
    </xf>
    <xf numFmtId="0" fontId="78" fillId="0" borderId="3" xfId="4" applyFont="1" applyBorder="1" applyAlignment="1">
      <alignment horizontal="left"/>
    </xf>
    <xf numFmtId="0" fontId="78" fillId="0" borderId="4" xfId="4" applyFont="1" applyBorder="1" applyAlignment="1">
      <alignment horizontal="left"/>
    </xf>
    <xf numFmtId="0" fontId="85" fillId="8" borderId="14" xfId="3" applyFont="1" applyFill="1" applyBorder="1" applyAlignment="1">
      <alignment horizontal="center"/>
    </xf>
    <xf numFmtId="0" fontId="85" fillId="8" borderId="11" xfId="3" applyFont="1" applyFill="1" applyBorder="1" applyAlignment="1">
      <alignment horizontal="center"/>
    </xf>
    <xf numFmtId="0" fontId="85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2" fillId="12" borderId="13" xfId="3" applyFont="1" applyFill="1" applyBorder="1" applyAlignment="1">
      <alignment horizontal="center"/>
    </xf>
    <xf numFmtId="0" fontId="82" fillId="12" borderId="3" xfId="3" applyFont="1" applyFill="1" applyBorder="1" applyAlignment="1">
      <alignment horizontal="center"/>
    </xf>
    <xf numFmtId="0" fontId="82" fillId="12" borderId="4" xfId="3" applyFont="1" applyFill="1" applyBorder="1" applyAlignment="1">
      <alignment horizontal="center"/>
    </xf>
    <xf numFmtId="0" fontId="78" fillId="9" borderId="2" xfId="3" applyFont="1" applyFill="1" applyBorder="1" applyAlignment="1">
      <alignment horizontal="center"/>
    </xf>
    <xf numFmtId="0" fontId="78" fillId="9" borderId="4" xfId="3" applyFont="1" applyFill="1" applyBorder="1" applyAlignment="1">
      <alignment horizontal="center"/>
    </xf>
    <xf numFmtId="0" fontId="88" fillId="17" borderId="13" xfId="3" applyFont="1" applyFill="1" applyBorder="1" applyAlignment="1">
      <alignment horizontal="center" vertical="center"/>
    </xf>
    <xf numFmtId="0" fontId="88" fillId="17" borderId="3" xfId="3" applyFont="1" applyFill="1" applyBorder="1" applyAlignment="1">
      <alignment horizontal="center" vertical="center"/>
    </xf>
    <xf numFmtId="0" fontId="81" fillId="0" borderId="13" xfId="0" applyFont="1" applyBorder="1" applyAlignment="1">
      <alignment horizontal="left"/>
    </xf>
    <xf numFmtId="0" fontId="86" fillId="0" borderId="2" xfId="4" applyFont="1" applyFill="1" applyBorder="1" applyAlignment="1">
      <alignment horizontal="left"/>
    </xf>
    <xf numFmtId="0" fontId="86" fillId="0" borderId="3" xfId="4" applyFont="1" applyFill="1" applyBorder="1" applyAlignment="1">
      <alignment horizontal="left"/>
    </xf>
    <xf numFmtId="0" fontId="86" fillId="0" borderId="4" xfId="4" applyFont="1" applyFill="1" applyBorder="1" applyAlignment="1">
      <alignment horizontal="left"/>
    </xf>
    <xf numFmtId="0" fontId="81" fillId="0" borderId="1" xfId="0" applyFont="1" applyFill="1" applyBorder="1" applyAlignment="1">
      <alignment horizontal="center"/>
    </xf>
    <xf numFmtId="0" fontId="78" fillId="0" borderId="1" xfId="4" applyFont="1" applyFill="1" applyBorder="1" applyAlignment="1">
      <alignment horizontal="left"/>
    </xf>
    <xf numFmtId="0" fontId="78" fillId="0" borderId="2" xfId="4" applyFont="1" applyFill="1" applyBorder="1" applyAlignment="1">
      <alignment horizontal="left"/>
    </xf>
    <xf numFmtId="0" fontId="78" fillId="0" borderId="3" xfId="4" applyFont="1" applyFill="1" applyBorder="1" applyAlignment="1">
      <alignment horizontal="left"/>
    </xf>
    <xf numFmtId="0" fontId="78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45.260000000000218</c:v>
                </c:pt>
                <c:pt idx="1">
                  <c:v>40.470000000002528</c:v>
                </c:pt>
                <c:pt idx="2">
                  <c:v>39.999999999999091</c:v>
                </c:pt>
                <c:pt idx="3">
                  <c:v>38.819999999998799</c:v>
                </c:pt>
                <c:pt idx="4">
                  <c:v>40.269999999996799</c:v>
                </c:pt>
                <c:pt idx="5">
                  <c:v>40.970000000001164</c:v>
                </c:pt>
                <c:pt idx="6">
                  <c:v>41.459999999999127</c:v>
                </c:pt>
                <c:pt idx="7">
                  <c:v>40.809999999999945</c:v>
                </c:pt>
                <c:pt idx="8">
                  <c:v>40</c:v>
                </c:pt>
                <c:pt idx="9">
                  <c:v>40.400000000000091</c:v>
                </c:pt>
                <c:pt idx="10">
                  <c:v>38</c:v>
                </c:pt>
                <c:pt idx="11">
                  <c:v>42.140000000003511</c:v>
                </c:pt>
                <c:pt idx="12">
                  <c:v>39.969999999998436</c:v>
                </c:pt>
                <c:pt idx="13">
                  <c:v>41.430000000000291</c:v>
                </c:pt>
                <c:pt idx="14">
                  <c:v>40</c:v>
                </c:pt>
                <c:pt idx="15">
                  <c:v>-1191</c:v>
                </c:pt>
                <c:pt idx="16">
                  <c:v>40.470000000001164</c:v>
                </c:pt>
                <c:pt idx="17">
                  <c:v>39.260000000002037</c:v>
                </c:pt>
                <c:pt idx="18">
                  <c:v>41.759999999994761</c:v>
                </c:pt>
                <c:pt idx="19">
                  <c:v>42.509999999995671</c:v>
                </c:pt>
                <c:pt idx="20">
                  <c:v>41.840000000003783</c:v>
                </c:pt>
                <c:pt idx="21">
                  <c:v>41.090000000003783</c:v>
                </c:pt>
                <c:pt idx="22">
                  <c:v>49.059999999997672</c:v>
                </c:pt>
                <c:pt idx="23">
                  <c:v>44.21999999999889</c:v>
                </c:pt>
                <c:pt idx="24">
                  <c:v>40.300000000005639</c:v>
                </c:pt>
                <c:pt idx="25">
                  <c:v>39.670000000002801</c:v>
                </c:pt>
                <c:pt idx="26">
                  <c:v>38.299999999996999</c:v>
                </c:pt>
                <c:pt idx="27">
                  <c:v>40.519999999996799</c:v>
                </c:pt>
                <c:pt idx="28">
                  <c:v>42.579999999999927</c:v>
                </c:pt>
                <c:pt idx="29">
                  <c:v>39.420000000000073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64775424"/>
        <c:axId val="171299584"/>
      </c:lineChart>
      <c:catAx>
        <c:axId val="16477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99584"/>
        <c:crosses val="autoZero"/>
        <c:auto val="1"/>
        <c:lblAlgn val="ctr"/>
        <c:lblOffset val="100"/>
        <c:noMultiLvlLbl val="0"/>
      </c:catAx>
      <c:valAx>
        <c:axId val="171299584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64775424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19.849999999994907</c:v>
                </c:pt>
                <c:pt idx="1">
                  <c:v>19.270000000000437</c:v>
                </c:pt>
                <c:pt idx="2">
                  <c:v>18.700000000011642</c:v>
                </c:pt>
                <c:pt idx="3">
                  <c:v>19.369999999988067</c:v>
                </c:pt>
                <c:pt idx="4">
                  <c:v>17.020000000000437</c:v>
                </c:pt>
                <c:pt idx="5">
                  <c:v>18.97000000000844</c:v>
                </c:pt>
                <c:pt idx="6">
                  <c:v>20.38999999999578</c:v>
                </c:pt>
                <c:pt idx="7">
                  <c:v>22.319999999996071</c:v>
                </c:pt>
                <c:pt idx="8">
                  <c:v>20.909999999999854</c:v>
                </c:pt>
                <c:pt idx="9">
                  <c:v>17.470000000004802</c:v>
                </c:pt>
                <c:pt idx="10">
                  <c:v>11.390000000003056</c:v>
                </c:pt>
                <c:pt idx="11">
                  <c:v>12.440000000002328</c:v>
                </c:pt>
                <c:pt idx="12">
                  <c:v>13.72999999998865</c:v>
                </c:pt>
                <c:pt idx="13">
                  <c:v>18.300000000006548</c:v>
                </c:pt>
                <c:pt idx="14">
                  <c:v>19</c:v>
                </c:pt>
                <c:pt idx="15">
                  <c:v>-552</c:v>
                </c:pt>
                <c:pt idx="16">
                  <c:v>21.380000000001019</c:v>
                </c:pt>
                <c:pt idx="17">
                  <c:v>19.619999999998981</c:v>
                </c:pt>
                <c:pt idx="18">
                  <c:v>22</c:v>
                </c:pt>
                <c:pt idx="19">
                  <c:v>20.680000000003929</c:v>
                </c:pt>
                <c:pt idx="20">
                  <c:v>22.139999999988504</c:v>
                </c:pt>
                <c:pt idx="21">
                  <c:v>19.850000000002183</c:v>
                </c:pt>
                <c:pt idx="22">
                  <c:v>22.290000000008149</c:v>
                </c:pt>
                <c:pt idx="23">
                  <c:v>17.849999999987631</c:v>
                </c:pt>
                <c:pt idx="24">
                  <c:v>20.950000000000728</c:v>
                </c:pt>
                <c:pt idx="25">
                  <c:v>19.710000000006403</c:v>
                </c:pt>
                <c:pt idx="26">
                  <c:v>18.510000000002037</c:v>
                </c:pt>
                <c:pt idx="27">
                  <c:v>21.200000000004366</c:v>
                </c:pt>
                <c:pt idx="28">
                  <c:v>16.819999999996071</c:v>
                </c:pt>
                <c:pt idx="29">
                  <c:v>19.869999999998981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2141824"/>
        <c:axId val="112143360"/>
      </c:lineChart>
      <c:catAx>
        <c:axId val="11214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43360"/>
        <c:crosses val="autoZero"/>
        <c:auto val="1"/>
        <c:lblAlgn val="ctr"/>
        <c:lblOffset val="100"/>
        <c:noMultiLvlLbl val="0"/>
      </c:catAx>
      <c:valAx>
        <c:axId val="11214336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4182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948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312</c:v>
                </c:pt>
                <c:pt idx="1">
                  <c:v>255</c:v>
                </c:pt>
                <c:pt idx="2">
                  <c:v>273</c:v>
                </c:pt>
                <c:pt idx="3">
                  <c:v>254</c:v>
                </c:pt>
                <c:pt idx="4">
                  <c:v>274</c:v>
                </c:pt>
                <c:pt idx="5">
                  <c:v>285</c:v>
                </c:pt>
                <c:pt idx="6">
                  <c:v>306</c:v>
                </c:pt>
                <c:pt idx="7">
                  <c:v>408</c:v>
                </c:pt>
                <c:pt idx="8">
                  <c:v>398</c:v>
                </c:pt>
                <c:pt idx="9">
                  <c:v>81</c:v>
                </c:pt>
                <c:pt idx="10">
                  <c:v>54</c:v>
                </c:pt>
                <c:pt idx="11">
                  <c:v>55</c:v>
                </c:pt>
                <c:pt idx="12">
                  <c:v>326</c:v>
                </c:pt>
                <c:pt idx="13">
                  <c:v>484</c:v>
                </c:pt>
                <c:pt idx="14">
                  <c:v>295</c:v>
                </c:pt>
                <c:pt idx="15">
                  <c:v>-1209</c:v>
                </c:pt>
                <c:pt idx="16">
                  <c:v>270</c:v>
                </c:pt>
                <c:pt idx="17">
                  <c:v>255</c:v>
                </c:pt>
                <c:pt idx="18">
                  <c:v>274</c:v>
                </c:pt>
                <c:pt idx="19">
                  <c:v>307</c:v>
                </c:pt>
                <c:pt idx="20">
                  <c:v>277</c:v>
                </c:pt>
                <c:pt idx="21">
                  <c:v>296</c:v>
                </c:pt>
                <c:pt idx="22">
                  <c:v>291</c:v>
                </c:pt>
                <c:pt idx="23">
                  <c:v>307</c:v>
                </c:pt>
                <c:pt idx="24">
                  <c:v>381</c:v>
                </c:pt>
                <c:pt idx="25">
                  <c:v>328</c:v>
                </c:pt>
                <c:pt idx="26">
                  <c:v>280</c:v>
                </c:pt>
                <c:pt idx="27">
                  <c:v>313</c:v>
                </c:pt>
                <c:pt idx="28">
                  <c:v>311</c:v>
                </c:pt>
                <c:pt idx="29">
                  <c:v>379</c:v>
                </c:pt>
                <c:pt idx="30">
                  <c:v>220</c:v>
                </c:pt>
                <c:pt idx="31">
                  <c:v>7340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12168960"/>
        <c:axId val="112170496"/>
      </c:lineChart>
      <c:catAx>
        <c:axId val="112168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70496"/>
        <c:crosses val="autoZero"/>
        <c:auto val="1"/>
        <c:lblAlgn val="ctr"/>
        <c:lblOffset val="100"/>
        <c:noMultiLvlLbl val="0"/>
      </c:catAx>
      <c:valAx>
        <c:axId val="11217049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68960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028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1103.9899999999907</c:v>
                </c:pt>
                <c:pt idx="1">
                  <c:v>1042.8600000001024</c:v>
                </c:pt>
                <c:pt idx="2">
                  <c:v>1104.2899999998044</c:v>
                </c:pt>
                <c:pt idx="3">
                  <c:v>1058.3100000000559</c:v>
                </c:pt>
                <c:pt idx="4">
                  <c:v>1073.9499999999534</c:v>
                </c:pt>
                <c:pt idx="5">
                  <c:v>1193.4600000001956</c:v>
                </c:pt>
                <c:pt idx="6">
                  <c:v>1134.1399999998976</c:v>
                </c:pt>
                <c:pt idx="7">
                  <c:v>1142</c:v>
                </c:pt>
                <c:pt idx="8">
                  <c:v>1104</c:v>
                </c:pt>
                <c:pt idx="9">
                  <c:v>1064</c:v>
                </c:pt>
                <c:pt idx="10">
                  <c:v>926.10000000009313</c:v>
                </c:pt>
                <c:pt idx="11">
                  <c:v>1100</c:v>
                </c:pt>
                <c:pt idx="12">
                  <c:v>672.5</c:v>
                </c:pt>
                <c:pt idx="13">
                  <c:v>992.39999999990687</c:v>
                </c:pt>
                <c:pt idx="14">
                  <c:v>1045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95072"/>
        <c:axId val="112196608"/>
      </c:lineChart>
      <c:catAx>
        <c:axId val="11219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96608"/>
        <c:crosses val="autoZero"/>
        <c:auto val="1"/>
        <c:lblAlgn val="ctr"/>
        <c:lblOffset val="100"/>
        <c:noMultiLvlLbl val="0"/>
      </c:catAx>
      <c:valAx>
        <c:axId val="11219660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195072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088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2754.710000000021</c:v>
                </c:pt>
                <c:pt idx="1">
                  <c:v>2842.8399999999674</c:v>
                </c:pt>
                <c:pt idx="2">
                  <c:v>2822.7600000000093</c:v>
                </c:pt>
                <c:pt idx="3">
                  <c:v>2892.679999999993</c:v>
                </c:pt>
                <c:pt idx="4">
                  <c:v>2924</c:v>
                </c:pt>
                <c:pt idx="5">
                  <c:v>2947.0800000000163</c:v>
                </c:pt>
                <c:pt idx="6">
                  <c:v>2980.929999999993</c:v>
                </c:pt>
                <c:pt idx="7">
                  <c:v>2937</c:v>
                </c:pt>
                <c:pt idx="8">
                  <c:v>2883</c:v>
                </c:pt>
                <c:pt idx="9">
                  <c:v>2899.1900000000023</c:v>
                </c:pt>
                <c:pt idx="10">
                  <c:v>2876.8099999999977</c:v>
                </c:pt>
                <c:pt idx="11">
                  <c:v>3034.9000000000233</c:v>
                </c:pt>
                <c:pt idx="12">
                  <c:v>3015.1300000000047</c:v>
                </c:pt>
                <c:pt idx="13">
                  <c:v>2696.9699999999721</c:v>
                </c:pt>
                <c:pt idx="14">
                  <c:v>2956</c:v>
                </c:pt>
                <c:pt idx="15">
                  <c:v>-86763</c:v>
                </c:pt>
                <c:pt idx="16">
                  <c:v>3351</c:v>
                </c:pt>
                <c:pt idx="17">
                  <c:v>3285</c:v>
                </c:pt>
                <c:pt idx="18">
                  <c:v>3229</c:v>
                </c:pt>
                <c:pt idx="19">
                  <c:v>3276.3699999999953</c:v>
                </c:pt>
                <c:pt idx="20">
                  <c:v>3181.3800000000047</c:v>
                </c:pt>
                <c:pt idx="21">
                  <c:v>3155.179999999993</c:v>
                </c:pt>
                <c:pt idx="22">
                  <c:v>3156.7999999999884</c:v>
                </c:pt>
                <c:pt idx="23">
                  <c:v>3178.3800000000047</c:v>
                </c:pt>
                <c:pt idx="24">
                  <c:v>3106.2800000000279</c:v>
                </c:pt>
                <c:pt idx="25">
                  <c:v>2871.9400000000023</c:v>
                </c:pt>
                <c:pt idx="26">
                  <c:v>2859.6699999999837</c:v>
                </c:pt>
                <c:pt idx="27">
                  <c:v>2899</c:v>
                </c:pt>
                <c:pt idx="28">
                  <c:v>2849</c:v>
                </c:pt>
                <c:pt idx="29">
                  <c:v>2900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12230784"/>
        <c:axId val="112232320"/>
      </c:lineChart>
      <c:catAx>
        <c:axId val="11223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32320"/>
        <c:crosses val="autoZero"/>
        <c:auto val="1"/>
        <c:lblAlgn val="ctr"/>
        <c:lblOffset val="100"/>
        <c:noMultiLvlLbl val="0"/>
      </c:catAx>
      <c:valAx>
        <c:axId val="112232320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230784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2255.9700000000012</c:v>
                </c:pt>
                <c:pt idx="1">
                  <c:v>2092.859999999986</c:v>
                </c:pt>
                <c:pt idx="2">
                  <c:v>2045.1700000000128</c:v>
                </c:pt>
                <c:pt idx="3">
                  <c:v>2132.8299999999872</c:v>
                </c:pt>
                <c:pt idx="4">
                  <c:v>2094.4000000000233</c:v>
                </c:pt>
                <c:pt idx="5">
                  <c:v>2128.0599999999977</c:v>
                </c:pt>
                <c:pt idx="6">
                  <c:v>2062.7099999999919</c:v>
                </c:pt>
                <c:pt idx="7">
                  <c:v>2067</c:v>
                </c:pt>
                <c:pt idx="8">
                  <c:v>1968</c:v>
                </c:pt>
                <c:pt idx="9">
                  <c:v>2112.390000000014</c:v>
                </c:pt>
                <c:pt idx="10">
                  <c:v>2035.5</c:v>
                </c:pt>
                <c:pt idx="11">
                  <c:v>2259.7099999999919</c:v>
                </c:pt>
                <c:pt idx="12">
                  <c:v>2211.0499999999884</c:v>
                </c:pt>
                <c:pt idx="13">
                  <c:v>2071.3500000000058</c:v>
                </c:pt>
                <c:pt idx="14">
                  <c:v>2191</c:v>
                </c:pt>
                <c:pt idx="15">
                  <c:v>-61829</c:v>
                </c:pt>
                <c:pt idx="16">
                  <c:v>2161</c:v>
                </c:pt>
                <c:pt idx="17">
                  <c:v>2143</c:v>
                </c:pt>
                <c:pt idx="18">
                  <c:v>2112</c:v>
                </c:pt>
                <c:pt idx="19">
                  <c:v>2147.609999999986</c:v>
                </c:pt>
                <c:pt idx="20">
                  <c:v>2215.4400000000023</c:v>
                </c:pt>
                <c:pt idx="21">
                  <c:v>2146.2000000000116</c:v>
                </c:pt>
                <c:pt idx="22">
                  <c:v>2048.820000000007</c:v>
                </c:pt>
                <c:pt idx="23">
                  <c:v>2081</c:v>
                </c:pt>
                <c:pt idx="24">
                  <c:v>2131.6199999999953</c:v>
                </c:pt>
                <c:pt idx="25">
                  <c:v>2058.2000000000116</c:v>
                </c:pt>
                <c:pt idx="26">
                  <c:v>2069.109999999986</c:v>
                </c:pt>
                <c:pt idx="27">
                  <c:v>2136</c:v>
                </c:pt>
                <c:pt idx="28">
                  <c:v>2288</c:v>
                </c:pt>
                <c:pt idx="29">
                  <c:v>2363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31008"/>
        <c:axId val="112332800"/>
      </c:lineChart>
      <c:catAx>
        <c:axId val="11233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32800"/>
        <c:crosses val="autoZero"/>
        <c:auto val="1"/>
        <c:lblAlgn val="ctr"/>
        <c:lblOffset val="100"/>
        <c:noMultiLvlLbl val="0"/>
      </c:catAx>
      <c:valAx>
        <c:axId val="112332800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310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</c:v>
                </c:pt>
                <c:pt idx="1">
                  <c:v>0.86</c:v>
                </c:pt>
                <c:pt idx="2">
                  <c:v>0.8</c:v>
                </c:pt>
                <c:pt idx="3">
                  <c:v>1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0.65</c:v>
                </c:pt>
                <c:pt idx="8">
                  <c:v>0.65</c:v>
                </c:pt>
                <c:pt idx="9">
                  <c:v>0.91</c:v>
                </c:pt>
                <c:pt idx="10">
                  <c:v>0.72</c:v>
                </c:pt>
                <c:pt idx="11">
                  <c:v>0.82</c:v>
                </c:pt>
                <c:pt idx="12">
                  <c:v>0.83</c:v>
                </c:pt>
                <c:pt idx="13">
                  <c:v>0.98</c:v>
                </c:pt>
                <c:pt idx="14">
                  <c:v>0.92</c:v>
                </c:pt>
                <c:pt idx="15">
                  <c:v>1</c:v>
                </c:pt>
                <c:pt idx="16">
                  <c:v>0.91</c:v>
                </c:pt>
                <c:pt idx="17">
                  <c:v>0.88</c:v>
                </c:pt>
                <c:pt idx="18">
                  <c:v>1</c:v>
                </c:pt>
                <c:pt idx="19">
                  <c:v>0.68310000000000004</c:v>
                </c:pt>
                <c:pt idx="20">
                  <c:v>0.71</c:v>
                </c:pt>
                <c:pt idx="21">
                  <c:v>0.98</c:v>
                </c:pt>
                <c:pt idx="22">
                  <c:v>0.99</c:v>
                </c:pt>
                <c:pt idx="23">
                  <c:v>1</c:v>
                </c:pt>
                <c:pt idx="24">
                  <c:v>0.98</c:v>
                </c:pt>
                <c:pt idx="25">
                  <c:v>1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0.72</c:v>
                </c:pt>
                <c:pt idx="30">
                  <c:v>32</c:v>
                </c:pt>
                <c:pt idx="31">
                  <c:v>1.8539709677419356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57376"/>
        <c:axId val="112358912"/>
      </c:lineChart>
      <c:catAx>
        <c:axId val="11235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58912"/>
        <c:crosses val="autoZero"/>
        <c:auto val="1"/>
        <c:lblAlgn val="ctr"/>
        <c:lblOffset val="100"/>
        <c:noMultiLvlLbl val="0"/>
      </c:catAx>
      <c:valAx>
        <c:axId val="1123589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23573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30041.630000000005</c:v>
                </c:pt>
                <c:pt idx="1">
                  <c:v>28016.479999999981</c:v>
                </c:pt>
                <c:pt idx="2">
                  <c:v>27972</c:v>
                </c:pt>
                <c:pt idx="3">
                  <c:v>26434.260000000002</c:v>
                </c:pt>
                <c:pt idx="4">
                  <c:v>27257.829999999998</c:v>
                </c:pt>
                <c:pt idx="5">
                  <c:v>27308.960000000006</c:v>
                </c:pt>
                <c:pt idx="6">
                  <c:v>28747.119999999995</c:v>
                </c:pt>
                <c:pt idx="7">
                  <c:v>27957</c:v>
                </c:pt>
                <c:pt idx="8">
                  <c:v>27275</c:v>
                </c:pt>
                <c:pt idx="9">
                  <c:v>27145.899999999994</c:v>
                </c:pt>
                <c:pt idx="10">
                  <c:v>27110.100000000006</c:v>
                </c:pt>
                <c:pt idx="11">
                  <c:v>29161.899999999994</c:v>
                </c:pt>
                <c:pt idx="12">
                  <c:v>28981.500000000029</c:v>
                </c:pt>
                <c:pt idx="13">
                  <c:v>27804.599999999977</c:v>
                </c:pt>
                <c:pt idx="14">
                  <c:v>27198</c:v>
                </c:pt>
                <c:pt idx="15">
                  <c:v>26500</c:v>
                </c:pt>
                <c:pt idx="16">
                  <c:v>26500</c:v>
                </c:pt>
                <c:pt idx="17">
                  <c:v>26500</c:v>
                </c:pt>
                <c:pt idx="18">
                  <c:v>26500</c:v>
                </c:pt>
                <c:pt idx="19">
                  <c:v>26500</c:v>
                </c:pt>
                <c:pt idx="20">
                  <c:v>26500</c:v>
                </c:pt>
                <c:pt idx="21">
                  <c:v>26500</c:v>
                </c:pt>
                <c:pt idx="22">
                  <c:v>26500</c:v>
                </c:pt>
                <c:pt idx="23">
                  <c:v>26500</c:v>
                </c:pt>
                <c:pt idx="24">
                  <c:v>26500</c:v>
                </c:pt>
                <c:pt idx="25">
                  <c:v>26500</c:v>
                </c:pt>
                <c:pt idx="26">
                  <c:v>26500</c:v>
                </c:pt>
                <c:pt idx="27">
                  <c:v>26500</c:v>
                </c:pt>
                <c:pt idx="28">
                  <c:v>26500</c:v>
                </c:pt>
                <c:pt idx="29">
                  <c:v>26500</c:v>
                </c:pt>
                <c:pt idx="30">
                  <c:v>26500</c:v>
                </c:pt>
                <c:pt idx="31">
                  <c:v>842412.27999999991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2387968"/>
        <c:axId val="112389504"/>
      </c:lineChart>
      <c:catAx>
        <c:axId val="11238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89504"/>
        <c:crosses val="autoZero"/>
        <c:auto val="1"/>
        <c:lblAlgn val="ctr"/>
        <c:lblOffset val="100"/>
        <c:noMultiLvlLbl val="0"/>
      </c:catAx>
      <c:valAx>
        <c:axId val="112389504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387968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12.090000000000146</c:v>
                </c:pt>
                <c:pt idx="1">
                  <c:v>10.990000000000236</c:v>
                </c:pt>
                <c:pt idx="2">
                  <c:v>11.099999999999909</c:v>
                </c:pt>
                <c:pt idx="3">
                  <c:v>10.289999999999964</c:v>
                </c:pt>
                <c:pt idx="4">
                  <c:v>10.840000000000146</c:v>
                </c:pt>
                <c:pt idx="5">
                  <c:v>10.569999999999709</c:v>
                </c:pt>
                <c:pt idx="6">
                  <c:v>11.880000000000109</c:v>
                </c:pt>
                <c:pt idx="7">
                  <c:v>11.069999999999709</c:v>
                </c:pt>
                <c:pt idx="8">
                  <c:v>11.210000000000036</c:v>
                </c:pt>
                <c:pt idx="9">
                  <c:v>11.140000000000327</c:v>
                </c:pt>
                <c:pt idx="10">
                  <c:v>11.199999999999818</c:v>
                </c:pt>
                <c:pt idx="11">
                  <c:v>10.729999999999563</c:v>
                </c:pt>
                <c:pt idx="12">
                  <c:v>11.650000000000546</c:v>
                </c:pt>
                <c:pt idx="13">
                  <c:v>11</c:v>
                </c:pt>
                <c:pt idx="14">
                  <c:v>12</c:v>
                </c:pt>
                <c:pt idx="15">
                  <c:v>-332</c:v>
                </c:pt>
                <c:pt idx="16">
                  <c:v>12</c:v>
                </c:pt>
                <c:pt idx="17">
                  <c:v>11</c:v>
                </c:pt>
                <c:pt idx="18">
                  <c:v>12.480000000000018</c:v>
                </c:pt>
                <c:pt idx="19">
                  <c:v>12.079999999999927</c:v>
                </c:pt>
                <c:pt idx="20">
                  <c:v>11.429999999999836</c:v>
                </c:pt>
                <c:pt idx="21">
                  <c:v>11.890000000000327</c:v>
                </c:pt>
                <c:pt idx="22">
                  <c:v>11.7199999999998</c:v>
                </c:pt>
                <c:pt idx="23">
                  <c:v>10.7800000000002</c:v>
                </c:pt>
                <c:pt idx="24">
                  <c:v>12.049999999999727</c:v>
                </c:pt>
                <c:pt idx="25">
                  <c:v>10.990000000000236</c:v>
                </c:pt>
                <c:pt idx="26">
                  <c:v>11.949999999999818</c:v>
                </c:pt>
                <c:pt idx="27">
                  <c:v>12.110000000000127</c:v>
                </c:pt>
                <c:pt idx="28">
                  <c:v>11.519999999999982</c:v>
                </c:pt>
                <c:pt idx="29">
                  <c:v>12.239999999999782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42368"/>
        <c:axId val="112444160"/>
      </c:lineChart>
      <c:catAx>
        <c:axId val="11244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44160"/>
        <c:crosses val="autoZero"/>
        <c:auto val="1"/>
        <c:lblAlgn val="ctr"/>
        <c:lblOffset val="100"/>
        <c:noMultiLvlLbl val="0"/>
      </c:catAx>
      <c:valAx>
        <c:axId val="112444160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4423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280.46999999997206</c:v>
                </c:pt>
                <c:pt idx="1">
                  <c:v>294.60999999998603</c:v>
                </c:pt>
                <c:pt idx="2">
                  <c:v>293.18000000005122</c:v>
                </c:pt>
                <c:pt idx="3">
                  <c:v>345.59999999997672</c:v>
                </c:pt>
                <c:pt idx="4">
                  <c:v>322</c:v>
                </c:pt>
                <c:pt idx="5">
                  <c:v>323</c:v>
                </c:pt>
                <c:pt idx="6">
                  <c:v>323.7489999999525</c:v>
                </c:pt>
                <c:pt idx="7">
                  <c:v>321.19099999999162</c:v>
                </c:pt>
                <c:pt idx="8">
                  <c:v>311.06000000005588</c:v>
                </c:pt>
                <c:pt idx="9">
                  <c:v>326.3399999999674</c:v>
                </c:pt>
                <c:pt idx="10">
                  <c:v>313.6600000000326</c:v>
                </c:pt>
                <c:pt idx="11">
                  <c:v>341</c:v>
                </c:pt>
                <c:pt idx="12">
                  <c:v>-9224</c:v>
                </c:pt>
                <c:pt idx="13">
                  <c:v>346</c:v>
                </c:pt>
                <c:pt idx="14">
                  <c:v>314</c:v>
                </c:pt>
                <c:pt idx="15">
                  <c:v>331</c:v>
                </c:pt>
                <c:pt idx="16">
                  <c:v>333.11999999999534</c:v>
                </c:pt>
                <c:pt idx="17">
                  <c:v>311.35999999998603</c:v>
                </c:pt>
                <c:pt idx="18">
                  <c:v>321.5</c:v>
                </c:pt>
                <c:pt idx="19">
                  <c:v>318.35999999998603</c:v>
                </c:pt>
                <c:pt idx="20">
                  <c:v>292.45000000006985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604.81000000007043</c:v>
                </c:pt>
                <c:pt idx="1">
                  <c:v>629.92999999996573</c:v>
                </c:pt>
                <c:pt idx="2">
                  <c:v>709.62000000014086</c:v>
                </c:pt>
                <c:pt idx="3">
                  <c:v>614.04999999993015</c:v>
                </c:pt>
                <c:pt idx="4">
                  <c:v>659</c:v>
                </c:pt>
                <c:pt idx="5">
                  <c:v>609</c:v>
                </c:pt>
                <c:pt idx="6">
                  <c:v>566.65100000004713</c:v>
                </c:pt>
                <c:pt idx="7">
                  <c:v>419.90900000010151</c:v>
                </c:pt>
                <c:pt idx="8">
                  <c:v>609.33999999994739</c:v>
                </c:pt>
                <c:pt idx="9">
                  <c:v>129.16000000003078</c:v>
                </c:pt>
                <c:pt idx="10">
                  <c:v>516.33999999987282</c:v>
                </c:pt>
                <c:pt idx="11">
                  <c:v>551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128.23000000001048</c:v>
                </c:pt>
                <c:pt idx="1">
                  <c:v>108.91000000000349</c:v>
                </c:pt>
                <c:pt idx="2">
                  <c:v>113.66000000000349</c:v>
                </c:pt>
                <c:pt idx="3">
                  <c:v>104.48999999999069</c:v>
                </c:pt>
                <c:pt idx="4">
                  <c:v>103</c:v>
                </c:pt>
                <c:pt idx="5">
                  <c:v>120</c:v>
                </c:pt>
                <c:pt idx="6">
                  <c:v>117</c:v>
                </c:pt>
                <c:pt idx="7">
                  <c:v>125</c:v>
                </c:pt>
                <c:pt idx="8">
                  <c:v>119</c:v>
                </c:pt>
                <c:pt idx="9">
                  <c:v>146</c:v>
                </c:pt>
                <c:pt idx="10">
                  <c:v>102</c:v>
                </c:pt>
                <c:pt idx="11">
                  <c:v>106</c:v>
                </c:pt>
                <c:pt idx="12">
                  <c:v>-3419</c:v>
                </c:pt>
                <c:pt idx="13">
                  <c:v>119</c:v>
                </c:pt>
                <c:pt idx="14">
                  <c:v>114</c:v>
                </c:pt>
                <c:pt idx="15">
                  <c:v>99</c:v>
                </c:pt>
                <c:pt idx="16">
                  <c:v>125.57999999998719</c:v>
                </c:pt>
                <c:pt idx="17">
                  <c:v>124.24000000001979</c:v>
                </c:pt>
                <c:pt idx="18">
                  <c:v>114.86999999999534</c:v>
                </c:pt>
                <c:pt idx="19">
                  <c:v>121.41000000000349</c:v>
                </c:pt>
                <c:pt idx="20">
                  <c:v>143.79999999998836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57696"/>
        <c:axId val="112967680"/>
      </c:lineChart>
      <c:catAx>
        <c:axId val="11295769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2967680"/>
        <c:crosses val="autoZero"/>
        <c:auto val="1"/>
        <c:lblAlgn val="ctr"/>
        <c:lblOffset val="100"/>
        <c:noMultiLvlLbl val="0"/>
      </c:catAx>
      <c:valAx>
        <c:axId val="1129676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29576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03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0.34870172080953071</c:v>
                </c:pt>
                <c:pt idx="1">
                  <c:v>9353.7600000000202</c:v>
                </c:pt>
                <c:pt idx="2">
                  <c:v>9444.609999999986</c:v>
                </c:pt>
                <c:pt idx="3">
                  <c:v>8846.0199999999968</c:v>
                </c:pt>
                <c:pt idx="4">
                  <c:v>0</c:v>
                </c:pt>
                <c:pt idx="5">
                  <c:v>7938.730000000025</c:v>
                </c:pt>
                <c:pt idx="6">
                  <c:v>8551.6799999999785</c:v>
                </c:pt>
                <c:pt idx="7">
                  <c:v>7883</c:v>
                </c:pt>
                <c:pt idx="8">
                  <c:v>7880</c:v>
                </c:pt>
                <c:pt idx="9">
                  <c:v>7288.4600000000355</c:v>
                </c:pt>
                <c:pt idx="10">
                  <c:v>7732.4799999999523</c:v>
                </c:pt>
                <c:pt idx="11">
                  <c:v>8008.2300000000105</c:v>
                </c:pt>
                <c:pt idx="12">
                  <c:v>7952.4400000000314</c:v>
                </c:pt>
                <c:pt idx="13">
                  <c:v>7185.0299999999697</c:v>
                </c:pt>
                <c:pt idx="14">
                  <c:v>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9240192"/>
        <c:axId val="119241728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43520"/>
        <c:axId val="119245056"/>
      </c:lineChart>
      <c:catAx>
        <c:axId val="11924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41728"/>
        <c:crosses val="autoZero"/>
        <c:auto val="1"/>
        <c:lblAlgn val="ctr"/>
        <c:lblOffset val="100"/>
        <c:noMultiLvlLbl val="0"/>
      </c:catAx>
      <c:valAx>
        <c:axId val="11924172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40192"/>
        <c:crosses val="autoZero"/>
        <c:crossBetween val="between"/>
        <c:minorUnit val="50"/>
      </c:valAx>
      <c:catAx>
        <c:axId val="119243520"/>
        <c:scaling>
          <c:orientation val="minMax"/>
        </c:scaling>
        <c:delete val="1"/>
        <c:axPos val="b"/>
        <c:majorTickMark val="out"/>
        <c:minorTickMark val="none"/>
        <c:tickLblPos val="none"/>
        <c:crossAx val="119245056"/>
        <c:crosses val="autoZero"/>
        <c:auto val="1"/>
        <c:lblAlgn val="ctr"/>
        <c:lblOffset val="100"/>
        <c:noMultiLvlLbl val="0"/>
      </c:catAx>
      <c:valAx>
        <c:axId val="11924505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43520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281920"/>
        <c:axId val="119300096"/>
      </c:lineChart>
      <c:catAx>
        <c:axId val="119281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00096"/>
        <c:crosses val="autoZero"/>
        <c:auto val="1"/>
        <c:lblAlgn val="ctr"/>
        <c:lblOffset val="100"/>
        <c:noMultiLvlLbl val="0"/>
      </c:catAx>
      <c:valAx>
        <c:axId val="11930009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81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19329152"/>
        <c:axId val="119330688"/>
      </c:lineChart>
      <c:catAx>
        <c:axId val="11932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30688"/>
        <c:crosses val="autoZero"/>
        <c:auto val="1"/>
        <c:lblAlgn val="ctr"/>
        <c:lblOffset val="100"/>
        <c:noMultiLvlLbl val="0"/>
      </c:catAx>
      <c:valAx>
        <c:axId val="119330688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291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3192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268</c:v>
                </c:pt>
                <c:pt idx="1">
                  <c:v>217</c:v>
                </c:pt>
                <c:pt idx="2">
                  <c:v>221</c:v>
                </c:pt>
                <c:pt idx="3">
                  <c:v>222</c:v>
                </c:pt>
                <c:pt idx="4">
                  <c:v>0</c:v>
                </c:pt>
                <c:pt idx="5">
                  <c:v>234</c:v>
                </c:pt>
                <c:pt idx="6">
                  <c:v>253</c:v>
                </c:pt>
                <c:pt idx="7">
                  <c:v>287</c:v>
                </c:pt>
                <c:pt idx="8">
                  <c:v>234</c:v>
                </c:pt>
                <c:pt idx="9">
                  <c:v>272</c:v>
                </c:pt>
                <c:pt idx="10">
                  <c:v>225</c:v>
                </c:pt>
                <c:pt idx="11">
                  <c:v>5291</c:v>
                </c:pt>
                <c:pt idx="12">
                  <c:v>211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14144"/>
        <c:axId val="11941593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17472"/>
        <c:axId val="119447936"/>
      </c:lineChart>
      <c:catAx>
        <c:axId val="11941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15936"/>
        <c:crosses val="autoZero"/>
        <c:auto val="1"/>
        <c:lblAlgn val="ctr"/>
        <c:lblOffset val="100"/>
        <c:noMultiLvlLbl val="0"/>
      </c:catAx>
      <c:valAx>
        <c:axId val="11941593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14144"/>
        <c:crosses val="autoZero"/>
        <c:crossBetween val="between"/>
      </c:valAx>
      <c:catAx>
        <c:axId val="119417472"/>
        <c:scaling>
          <c:orientation val="minMax"/>
        </c:scaling>
        <c:delete val="1"/>
        <c:axPos val="b"/>
        <c:majorTickMark val="out"/>
        <c:minorTickMark val="none"/>
        <c:tickLblPos val="none"/>
        <c:crossAx val="119447936"/>
        <c:crosses val="autoZero"/>
        <c:auto val="1"/>
        <c:lblAlgn val="ctr"/>
        <c:lblOffset val="100"/>
        <c:noMultiLvlLbl val="0"/>
      </c:catAx>
      <c:valAx>
        <c:axId val="11944793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174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41</c:v>
                </c:pt>
                <c:pt idx="1">
                  <c:v>22</c:v>
                </c:pt>
                <c:pt idx="2">
                  <c:v>27</c:v>
                </c:pt>
                <c:pt idx="3">
                  <c:v>26</c:v>
                </c:pt>
                <c:pt idx="4">
                  <c:v>0</c:v>
                </c:pt>
                <c:pt idx="5">
                  <c:v>18</c:v>
                </c:pt>
                <c:pt idx="6">
                  <c:v>29</c:v>
                </c:pt>
                <c:pt idx="7">
                  <c:v>38</c:v>
                </c:pt>
                <c:pt idx="8">
                  <c:v>25</c:v>
                </c:pt>
                <c:pt idx="9">
                  <c:v>34</c:v>
                </c:pt>
                <c:pt idx="10">
                  <c:v>37</c:v>
                </c:pt>
                <c:pt idx="11">
                  <c:v>5085</c:v>
                </c:pt>
                <c:pt idx="12">
                  <c:v>21</c:v>
                </c:pt>
                <c:pt idx="13">
                  <c:v>40</c:v>
                </c:pt>
                <c:pt idx="1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13</c:v>
                </c:pt>
                <c:pt idx="1">
                  <c:v>6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6</c:v>
                </c:pt>
                <c:pt idx="6">
                  <c:v>13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262</c:v>
                </c:pt>
                <c:pt idx="14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74432"/>
        <c:axId val="119484416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485952"/>
        <c:axId val="119487488"/>
      </c:lineChart>
      <c:catAx>
        <c:axId val="11947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84416"/>
        <c:crosses val="autoZero"/>
        <c:auto val="1"/>
        <c:lblAlgn val="ctr"/>
        <c:lblOffset val="100"/>
        <c:noMultiLvlLbl val="0"/>
      </c:catAx>
      <c:valAx>
        <c:axId val="119484416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74432"/>
        <c:crosses val="autoZero"/>
        <c:crossBetween val="between"/>
        <c:majorUnit val="2"/>
      </c:valAx>
      <c:catAx>
        <c:axId val="119485952"/>
        <c:scaling>
          <c:orientation val="minMax"/>
        </c:scaling>
        <c:delete val="1"/>
        <c:axPos val="b"/>
        <c:majorTickMark val="out"/>
        <c:minorTickMark val="none"/>
        <c:tickLblPos val="none"/>
        <c:crossAx val="119487488"/>
        <c:crosses val="autoZero"/>
        <c:auto val="1"/>
        <c:lblAlgn val="ctr"/>
        <c:lblOffset val="100"/>
        <c:noMultiLvlLbl val="0"/>
      </c:catAx>
      <c:valAx>
        <c:axId val="119487488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8595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2"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4</v>
      </c>
      <c r="D2" s="274">
        <v>2022</v>
      </c>
      <c r="E2" s="275">
        <f>(IF('Daily HLP'!H4&gt;0,'Daily HLP'!H4,0))</f>
        <v>30041.630000000005</v>
      </c>
      <c r="F2" s="276">
        <v>9</v>
      </c>
      <c r="G2" s="276">
        <f>(IF('Daily HLP'!L4&gt;0,'Daily HLP'!L4,0))</f>
        <v>1103.9899999999907</v>
      </c>
      <c r="H2" s="276">
        <v>75</v>
      </c>
      <c r="I2" s="276">
        <f>(IF('Daily HLP'!O4&gt;0,'Daily HLP'!O4,0))</f>
        <v>312</v>
      </c>
      <c r="J2" s="276">
        <v>100</v>
      </c>
      <c r="K2" s="281">
        <f>Occupancy!G2</f>
        <v>161</v>
      </c>
      <c r="L2" s="275">
        <f>Occupancy!F2</f>
        <v>451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4</v>
      </c>
      <c r="D3" s="274">
        <v>2022</v>
      </c>
      <c r="E3" s="275">
        <f>(IF('Daily HLP'!H5&gt;0,'Daily HLP'!H5,0))</f>
        <v>28016.479999999981</v>
      </c>
      <c r="F3" s="276">
        <v>9</v>
      </c>
      <c r="G3" s="276">
        <f>(IF('Daily HLP'!L5&gt;0,'Daily HLP'!L5,0))</f>
        <v>1042.8600000001024</v>
      </c>
      <c r="H3" s="276">
        <v>75</v>
      </c>
      <c r="I3" s="276">
        <f>(IF('Daily HLP'!O5&gt;0,'Daily HLP'!O5,0))</f>
        <v>255</v>
      </c>
      <c r="J3" s="276">
        <v>100</v>
      </c>
      <c r="K3" s="281">
        <f>Occupancy!G3</f>
        <v>152</v>
      </c>
      <c r="L3" s="275">
        <f>Occupancy!F3</f>
        <v>351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4</v>
      </c>
      <c r="D4" s="274">
        <v>2022</v>
      </c>
      <c r="E4" s="275">
        <f>(IF('Daily HLP'!H6&gt;0,'Daily HLP'!H6,0))</f>
        <v>27972</v>
      </c>
      <c r="F4" s="276">
        <v>9</v>
      </c>
      <c r="G4" s="276">
        <f>(IF('Daily HLP'!L6&gt;0,'Daily HLP'!L6,0))</f>
        <v>1104.2899999998044</v>
      </c>
      <c r="H4" s="276">
        <v>75</v>
      </c>
      <c r="I4" s="276">
        <f>(IF('Daily HLP'!O6&gt;0,'Daily HLP'!O6,0))</f>
        <v>273</v>
      </c>
      <c r="J4" s="276">
        <v>100</v>
      </c>
      <c r="K4" s="281">
        <f>Occupancy!G4</f>
        <v>176</v>
      </c>
      <c r="L4" s="275">
        <f>Occupancy!F4</f>
        <v>369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4</v>
      </c>
      <c r="D5" s="274">
        <v>2022</v>
      </c>
      <c r="E5" s="275">
        <f>(IF('Daily HLP'!H7&gt;0,'Daily HLP'!H7,0))</f>
        <v>26434.260000000002</v>
      </c>
      <c r="F5" s="276">
        <v>9</v>
      </c>
      <c r="G5" s="276">
        <f>(IF('Daily HLP'!L7&gt;0,'Daily HLP'!L7,0))</f>
        <v>1058.3100000000559</v>
      </c>
      <c r="H5" s="276">
        <v>75</v>
      </c>
      <c r="I5" s="276">
        <f>(IF('Daily HLP'!O7&gt;0,'Daily HLP'!O7,0))</f>
        <v>254</v>
      </c>
      <c r="J5" s="276">
        <v>100</v>
      </c>
      <c r="K5" s="281">
        <f>Occupancy!G5</f>
        <v>179</v>
      </c>
      <c r="L5" s="275">
        <f>Occupancy!F5</f>
        <v>455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4</v>
      </c>
      <c r="D6" s="274">
        <v>2022</v>
      </c>
      <c r="E6" s="275">
        <f>(IF('Daily HLP'!H8&gt;0,'Daily HLP'!H8,0))</f>
        <v>27257.829999999998</v>
      </c>
      <c r="F6" s="276">
        <v>9</v>
      </c>
      <c r="G6" s="276">
        <f>(IF('Daily HLP'!L8&gt;0,'Daily HLP'!L8,0))</f>
        <v>1073.9499999999534</v>
      </c>
      <c r="H6" s="276">
        <v>75</v>
      </c>
      <c r="I6" s="276">
        <f>(IF('Daily HLP'!O8&gt;0,'Daily HLP'!O8,0))</f>
        <v>274</v>
      </c>
      <c r="J6" s="276">
        <v>100</v>
      </c>
      <c r="K6" s="281">
        <f>Occupancy!G6</f>
        <v>174</v>
      </c>
      <c r="L6" s="275">
        <f>Occupancy!F6</f>
        <v>482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4</v>
      </c>
      <c r="D7" s="274">
        <v>2022</v>
      </c>
      <c r="E7" s="275">
        <f>(IF('Daily HLP'!H9&gt;0,'Daily HLP'!H9,0))</f>
        <v>27308.960000000006</v>
      </c>
      <c r="F7" s="276">
        <v>9</v>
      </c>
      <c r="G7" s="276">
        <f>(IF('Daily HLP'!L9&gt;0,'Daily HLP'!L9,0))</f>
        <v>1193.4600000001956</v>
      </c>
      <c r="H7" s="276">
        <v>75</v>
      </c>
      <c r="I7" s="276">
        <f>(IF('Daily HLP'!O9&gt;0,'Daily HLP'!O9,0))</f>
        <v>285</v>
      </c>
      <c r="J7" s="276">
        <v>100</v>
      </c>
      <c r="K7" s="281">
        <f>Occupancy!G7</f>
        <v>167</v>
      </c>
      <c r="L7" s="275">
        <f>Occupancy!F7</f>
        <v>551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4</v>
      </c>
      <c r="D8" s="274">
        <v>2022</v>
      </c>
      <c r="E8" s="275">
        <f>(IF('Daily HLP'!H10&gt;0,'Daily HLP'!H10,0))</f>
        <v>28747.119999999995</v>
      </c>
      <c r="F8" s="276">
        <v>9</v>
      </c>
      <c r="G8" s="276">
        <f>(IF('Daily HLP'!L10&gt;0,'Daily HLP'!L10,0))</f>
        <v>1134.1399999998976</v>
      </c>
      <c r="H8" s="276">
        <v>75</v>
      </c>
      <c r="I8" s="276">
        <f>(IF('Daily HLP'!O10&gt;0,'Daily HLP'!O10,0))</f>
        <v>306</v>
      </c>
      <c r="J8" s="276">
        <v>100</v>
      </c>
      <c r="K8" s="281">
        <f>Occupancy!G8</f>
        <v>161</v>
      </c>
      <c r="L8" s="275">
        <f>Occupancy!F8</f>
        <v>658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4</v>
      </c>
      <c r="D9" s="274">
        <v>2022</v>
      </c>
      <c r="E9" s="275">
        <f>(IF('Daily HLP'!H11&gt;0,'Daily HLP'!H11,0))</f>
        <v>27957</v>
      </c>
      <c r="F9" s="276">
        <v>9</v>
      </c>
      <c r="G9" s="276">
        <f>(IF('Daily HLP'!L11&gt;0,'Daily HLP'!L11,0))</f>
        <v>1142</v>
      </c>
      <c r="H9" s="276">
        <v>75</v>
      </c>
      <c r="I9" s="276">
        <f>(IF('Daily HLP'!O11&gt;0,'Daily HLP'!O11,0))</f>
        <v>408</v>
      </c>
      <c r="J9" s="276">
        <v>100</v>
      </c>
      <c r="K9" s="281">
        <f>Occupancy!G9</f>
        <v>145</v>
      </c>
      <c r="L9" s="275">
        <f>Occupancy!F9</f>
        <v>542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4</v>
      </c>
      <c r="D10" s="274">
        <v>2022</v>
      </c>
      <c r="E10" s="275">
        <f>(IF('Daily HLP'!H12&gt;0,'Daily HLP'!H12,0))</f>
        <v>27275</v>
      </c>
      <c r="F10" s="276">
        <v>9</v>
      </c>
      <c r="G10" s="276">
        <f>(IF('Daily HLP'!L12&gt;0,'Daily HLP'!L12,0))</f>
        <v>1104</v>
      </c>
      <c r="H10" s="276">
        <v>75</v>
      </c>
      <c r="I10" s="276">
        <f>(IF('Daily HLP'!O12&gt;0,'Daily HLP'!O12,0))</f>
        <v>398</v>
      </c>
      <c r="J10" s="276">
        <v>100</v>
      </c>
      <c r="K10" s="281">
        <f>Occupancy!G10</f>
        <v>161</v>
      </c>
      <c r="L10" s="275">
        <f>Occupancy!F10</f>
        <v>398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4</v>
      </c>
      <c r="D11" s="274">
        <v>2022</v>
      </c>
      <c r="E11" s="275">
        <f>(IF('Daily HLP'!H13&gt;0,'Daily HLP'!H13,0))</f>
        <v>27145.899999999994</v>
      </c>
      <c r="F11" s="276">
        <v>9</v>
      </c>
      <c r="G11" s="276">
        <f>(IF('Daily HLP'!L13&gt;0,'Daily HLP'!L13,0))</f>
        <v>1064</v>
      </c>
      <c r="H11" s="276">
        <v>75</v>
      </c>
      <c r="I11" s="276">
        <f>(IF('Daily HLP'!O13&gt;0,'Daily HLP'!O13,0))</f>
        <v>81</v>
      </c>
      <c r="J11" s="276">
        <v>100</v>
      </c>
      <c r="K11" s="281">
        <f>Occupancy!G11</f>
        <v>158</v>
      </c>
      <c r="L11" s="275">
        <f>Occupancy!F11</f>
        <v>474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4</v>
      </c>
      <c r="D12" s="274">
        <v>2022</v>
      </c>
      <c r="E12" s="275">
        <f>(IF('Daily HLP'!H14&gt;0,'Daily HLP'!H14,0))</f>
        <v>27110.100000000006</v>
      </c>
      <c r="F12" s="276">
        <v>9</v>
      </c>
      <c r="G12" s="276">
        <f>(IF('Daily HLP'!L14&gt;0,'Daily HLP'!L14,0))</f>
        <v>926.10000000009313</v>
      </c>
      <c r="H12" s="276">
        <v>75</v>
      </c>
      <c r="I12" s="276">
        <f>(IF('Daily HLP'!O14&gt;0,'Daily HLP'!O14,0))</f>
        <v>54</v>
      </c>
      <c r="J12" s="276">
        <v>100</v>
      </c>
      <c r="K12" s="281">
        <f>Occupancy!G12</f>
        <v>164</v>
      </c>
      <c r="L12" s="275">
        <f>Occupancy!F12</f>
        <v>0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4</v>
      </c>
      <c r="D13" s="274">
        <v>2022</v>
      </c>
      <c r="E13" s="275">
        <f>(IF('Daily HLP'!H15&gt;0,'Daily HLP'!H15,0))</f>
        <v>29161.899999999994</v>
      </c>
      <c r="F13" s="276">
        <v>9</v>
      </c>
      <c r="G13" s="276">
        <f>(IF('Daily HLP'!L15&gt;0,'Daily HLP'!L15,0))</f>
        <v>1100</v>
      </c>
      <c r="H13" s="276">
        <v>75</v>
      </c>
      <c r="I13" s="276">
        <f>(IF('Daily HLP'!O15&gt;0,'Daily HLP'!O15,0))</f>
        <v>55</v>
      </c>
      <c r="J13" s="276">
        <v>100</v>
      </c>
      <c r="K13" s="281">
        <f>Occupancy!G13</f>
        <v>164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4</v>
      </c>
      <c r="D14" s="274">
        <v>2022</v>
      </c>
      <c r="E14" s="275">
        <f>(IF('Daily HLP'!H16&gt;0,'Daily HLP'!H16,0))</f>
        <v>28981.500000000029</v>
      </c>
      <c r="F14" s="276">
        <v>9</v>
      </c>
      <c r="G14" s="276">
        <f>(IF('Daily HLP'!L16&gt;0,'Daily HLP'!L16,0))</f>
        <v>672.5</v>
      </c>
      <c r="H14" s="276">
        <v>75</v>
      </c>
      <c r="I14" s="276">
        <f>(IF('Daily HLP'!O16&gt;0,'Daily HLP'!O16,0))</f>
        <v>326</v>
      </c>
      <c r="J14" s="276">
        <v>100</v>
      </c>
      <c r="K14" s="281">
        <f>Occupancy!G14</f>
        <v>167</v>
      </c>
      <c r="L14" s="275">
        <f>Occupancy!F14</f>
        <v>0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4</v>
      </c>
      <c r="D15" s="274">
        <v>2022</v>
      </c>
      <c r="E15" s="275">
        <f>(IF('Daily HLP'!H17&gt;0,'Daily HLP'!H17,0))</f>
        <v>27804.599999999977</v>
      </c>
      <c r="F15" s="276">
        <v>9</v>
      </c>
      <c r="G15" s="276">
        <f>(IF('Daily HLP'!L17&gt;0,'Daily HLP'!L17,0))</f>
        <v>992.39999999990687</v>
      </c>
      <c r="H15" s="276">
        <v>75</v>
      </c>
      <c r="I15" s="276">
        <f>(IF('Daily HLP'!O17&gt;0,'Daily HLP'!O17,0))</f>
        <v>484</v>
      </c>
      <c r="J15" s="276">
        <v>100</v>
      </c>
      <c r="K15" s="281">
        <f>Occupancy!G15</f>
        <v>169</v>
      </c>
      <c r="L15" s="275">
        <f>Occupancy!F15</f>
        <v>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4</v>
      </c>
      <c r="D16" s="274">
        <v>2022</v>
      </c>
      <c r="E16" s="275">
        <f>(IF('Daily HLP'!H18&gt;0,'Daily HLP'!H18,0))</f>
        <v>27198</v>
      </c>
      <c r="F16" s="276">
        <v>9</v>
      </c>
      <c r="G16" s="276">
        <f>(IF('Daily HLP'!L18&gt;0,'Daily HLP'!L18,0))</f>
        <v>1045</v>
      </c>
      <c r="H16" s="276">
        <v>75</v>
      </c>
      <c r="I16" s="276">
        <f>(IF('Daily HLP'!O18&gt;0,'Daily HLP'!O18,0))</f>
        <v>295</v>
      </c>
      <c r="J16" s="276">
        <v>100</v>
      </c>
      <c r="K16" s="281">
        <f>Occupancy!G16</f>
        <v>122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4</v>
      </c>
      <c r="D17" s="274">
        <v>2022</v>
      </c>
      <c r="E17" s="275">
        <f>(IF('Daily HLP'!H19&gt;0,'Daily HLP'!H19,0))</f>
        <v>26500</v>
      </c>
      <c r="F17" s="276">
        <v>9</v>
      </c>
      <c r="G17" s="276" t="e">
        <f>(IF('Daily HLP'!L19&gt;0,'Daily HLP'!L19,0))</f>
        <v>#VALUE!</v>
      </c>
      <c r="H17" s="276">
        <v>75</v>
      </c>
      <c r="I17" s="276">
        <f>(IF('Daily HLP'!O19&gt;0,'Daily HLP'!O19,0))</f>
        <v>0</v>
      </c>
      <c r="J17" s="276">
        <v>100</v>
      </c>
      <c r="K17" s="281">
        <f>Occupancy!G17</f>
        <v>0</v>
      </c>
      <c r="L17" s="275">
        <f>Occupancy!F17</f>
        <v>0</v>
      </c>
      <c r="M17" s="277" t="e">
        <f>E17*F17+G17*H17+#REF!*#REF!+I17*J17</f>
        <v>#VALUE!</v>
      </c>
    </row>
    <row r="18" spans="1:13">
      <c r="A18" s="272" t="s">
        <v>268</v>
      </c>
      <c r="B18" s="273">
        <f t="shared" si="0"/>
        <v>17</v>
      </c>
      <c r="C18" s="273">
        <v>4</v>
      </c>
      <c r="D18" s="274">
        <v>2022</v>
      </c>
      <c r="E18" s="275">
        <f>(IF('Daily HLP'!H20&gt;0,'Daily HLP'!H20,0))</f>
        <v>26500</v>
      </c>
      <c r="F18" s="276">
        <v>9</v>
      </c>
      <c r="G18" s="276" t="e">
        <f>(IF('Daily HLP'!L20&gt;0,'Daily HLP'!L20,0))</f>
        <v>#VALUE!</v>
      </c>
      <c r="H18" s="276">
        <v>75</v>
      </c>
      <c r="I18" s="276">
        <f>(IF('Daily HLP'!O20&gt;0,'Daily HLP'!O20,0))</f>
        <v>270</v>
      </c>
      <c r="J18" s="276">
        <v>100</v>
      </c>
      <c r="K18" s="281">
        <f>Occupancy!G18</f>
        <v>0</v>
      </c>
      <c r="L18" s="275">
        <f>Occupancy!F18</f>
        <v>0</v>
      </c>
      <c r="M18" s="277" t="e">
        <f>E18*F18+G18*H18+#REF!*#REF!+I18*J18</f>
        <v>#VALUE!</v>
      </c>
    </row>
    <row r="19" spans="1:13">
      <c r="A19" s="272" t="s">
        <v>268</v>
      </c>
      <c r="B19" s="273">
        <f t="shared" si="0"/>
        <v>18</v>
      </c>
      <c r="C19" s="273">
        <v>4</v>
      </c>
      <c r="D19" s="274">
        <v>2022</v>
      </c>
      <c r="E19" s="275">
        <f>(IF('Daily HLP'!H21&gt;0,'Daily HLP'!H21,0))</f>
        <v>26500</v>
      </c>
      <c r="F19" s="276">
        <v>9</v>
      </c>
      <c r="G19" s="276" t="e">
        <f>(IF('Daily HLP'!L21&gt;0,'Daily HLP'!L21,0))</f>
        <v>#VALUE!</v>
      </c>
      <c r="H19" s="276">
        <v>75</v>
      </c>
      <c r="I19" s="276">
        <f>(IF('Daily HLP'!O21&gt;0,'Daily HLP'!O21,0))</f>
        <v>255</v>
      </c>
      <c r="J19" s="276">
        <v>100</v>
      </c>
      <c r="K19" s="281">
        <f>Occupancy!G19</f>
        <v>0</v>
      </c>
      <c r="L19" s="275">
        <f>Occupancy!F19</f>
        <v>0</v>
      </c>
      <c r="M19" s="277" t="e">
        <f>E19*F19+G19*H19+#REF!*#REF!+I19*J19</f>
        <v>#VALUE!</v>
      </c>
    </row>
    <row r="20" spans="1:13">
      <c r="A20" s="272" t="s">
        <v>268</v>
      </c>
      <c r="B20" s="273">
        <f t="shared" si="0"/>
        <v>19</v>
      </c>
      <c r="C20" s="273">
        <v>4</v>
      </c>
      <c r="D20" s="274">
        <v>2022</v>
      </c>
      <c r="E20" s="275">
        <f>(IF('Daily HLP'!H22&gt;0,'Daily HLP'!H22,0))</f>
        <v>26500</v>
      </c>
      <c r="F20" s="276">
        <v>9</v>
      </c>
      <c r="G20" s="276" t="e">
        <f>(IF('Daily HLP'!L22&gt;0,'Daily HLP'!L22,0))</f>
        <v>#VALUE!</v>
      </c>
      <c r="H20" s="276">
        <v>75</v>
      </c>
      <c r="I20" s="276">
        <f>(IF('Daily HLP'!O22&gt;0,'Daily HLP'!O22,0))</f>
        <v>274</v>
      </c>
      <c r="J20" s="276">
        <v>100</v>
      </c>
      <c r="K20" s="281">
        <f>Occupancy!G20</f>
        <v>0</v>
      </c>
      <c r="L20" s="275">
        <f>Occupancy!F20</f>
        <v>0</v>
      </c>
      <c r="M20" s="277" t="e">
        <f>E20*F20+G20*H20+#REF!*#REF!+I20*J20</f>
        <v>#VALUE!</v>
      </c>
    </row>
    <row r="21" spans="1:13">
      <c r="A21" s="272" t="s">
        <v>268</v>
      </c>
      <c r="B21" s="273">
        <f t="shared" si="0"/>
        <v>20</v>
      </c>
      <c r="C21" s="273">
        <v>4</v>
      </c>
      <c r="D21" s="274">
        <v>2022</v>
      </c>
      <c r="E21" s="275">
        <f>(IF('Daily HLP'!H23&gt;0,'Daily HLP'!H23,0))</f>
        <v>26500</v>
      </c>
      <c r="F21" s="276">
        <v>9</v>
      </c>
      <c r="G21" s="276" t="e">
        <f>(IF('Daily HLP'!L23&gt;0,'Daily HLP'!L23,0))</f>
        <v>#VALUE!</v>
      </c>
      <c r="H21" s="276">
        <v>75</v>
      </c>
      <c r="I21" s="276">
        <f>(IF('Daily HLP'!O23&gt;0,'Daily HLP'!O23,0))</f>
        <v>307</v>
      </c>
      <c r="J21" s="276">
        <v>100</v>
      </c>
      <c r="K21" s="281">
        <f>Occupancy!G21</f>
        <v>0</v>
      </c>
      <c r="L21" s="275">
        <f>Occupancy!F21</f>
        <v>0</v>
      </c>
      <c r="M21" s="277" t="e">
        <f>E21*F21+G21*H21+#REF!*#REF!+I21*J21</f>
        <v>#VALUE!</v>
      </c>
    </row>
    <row r="22" spans="1:13">
      <c r="A22" s="272" t="s">
        <v>268</v>
      </c>
      <c r="B22" s="273">
        <f t="shared" si="0"/>
        <v>21</v>
      </c>
      <c r="C22" s="273">
        <v>4</v>
      </c>
      <c r="D22" s="274">
        <v>2022</v>
      </c>
      <c r="E22" s="275">
        <f>(IF('Daily HLP'!H24&gt;0,'Daily HLP'!H24,0))</f>
        <v>26500</v>
      </c>
      <c r="F22" s="276">
        <v>9</v>
      </c>
      <c r="G22" s="276" t="e">
        <f>(IF('Daily HLP'!L24&gt;0,'Daily HLP'!L24,0))</f>
        <v>#VALUE!</v>
      </c>
      <c r="H22" s="276">
        <v>75</v>
      </c>
      <c r="I22" s="276">
        <f>(IF('Daily HLP'!O24&gt;0,'Daily HLP'!O24,0))</f>
        <v>277</v>
      </c>
      <c r="J22" s="276">
        <v>100</v>
      </c>
      <c r="K22" s="281">
        <f>Occupancy!G22</f>
        <v>0</v>
      </c>
      <c r="L22" s="275">
        <f>Occupancy!F22</f>
        <v>0</v>
      </c>
      <c r="M22" s="277" t="e">
        <f>E22*F22+G22*H22+#REF!*#REF!+I22*J22</f>
        <v>#VALUE!</v>
      </c>
    </row>
    <row r="23" spans="1:13">
      <c r="A23" s="272" t="s">
        <v>268</v>
      </c>
      <c r="B23" s="273">
        <f t="shared" si="0"/>
        <v>22</v>
      </c>
      <c r="C23" s="273">
        <v>4</v>
      </c>
      <c r="D23" s="274">
        <v>2022</v>
      </c>
      <c r="E23" s="275">
        <f>(IF('Daily HLP'!H25&gt;0,'Daily HLP'!H25,0))</f>
        <v>26500</v>
      </c>
      <c r="F23" s="276">
        <v>9</v>
      </c>
      <c r="G23" s="276" t="e">
        <f>(IF('Daily HLP'!L25&gt;0,'Daily HLP'!L25,0))</f>
        <v>#VALUE!</v>
      </c>
      <c r="H23" s="276">
        <v>75</v>
      </c>
      <c r="I23" s="276">
        <f>(IF('Daily HLP'!O25&gt;0,'Daily HLP'!O25,0))</f>
        <v>296</v>
      </c>
      <c r="J23" s="276">
        <v>100</v>
      </c>
      <c r="K23" s="281">
        <f>Occupancy!G23</f>
        <v>0</v>
      </c>
      <c r="L23" s="275">
        <f>Occupancy!F23</f>
        <v>0</v>
      </c>
      <c r="M23" s="277" t="e">
        <f>E23*F23+G23*H23+#REF!*#REF!+I23*J23</f>
        <v>#VALUE!</v>
      </c>
    </row>
    <row r="24" spans="1:13">
      <c r="A24" s="272" t="s">
        <v>268</v>
      </c>
      <c r="B24" s="273">
        <f t="shared" si="0"/>
        <v>23</v>
      </c>
      <c r="C24" s="273">
        <v>4</v>
      </c>
      <c r="D24" s="274">
        <v>2022</v>
      </c>
      <c r="E24" s="275">
        <f>(IF('Daily HLP'!H26&gt;0,'Daily HLP'!H26,0))</f>
        <v>26500</v>
      </c>
      <c r="F24" s="276">
        <v>9</v>
      </c>
      <c r="G24" s="276" t="e">
        <f>(IF('Daily HLP'!L26&gt;0,'Daily HLP'!L26,0))</f>
        <v>#VALUE!</v>
      </c>
      <c r="H24" s="276">
        <v>75</v>
      </c>
      <c r="I24" s="276">
        <f>(IF('Daily HLP'!O26&gt;0,'Daily HLP'!O26,0))</f>
        <v>291</v>
      </c>
      <c r="J24" s="276">
        <v>100</v>
      </c>
      <c r="K24" s="281">
        <f>Occupancy!G24</f>
        <v>0</v>
      </c>
      <c r="L24" s="275">
        <f>Occupancy!F24</f>
        <v>0</v>
      </c>
      <c r="M24" s="277" t="e">
        <f>E24*F24+G24*H24+#REF!*#REF!+I24*J24</f>
        <v>#VALUE!</v>
      </c>
    </row>
    <row r="25" spans="1:13">
      <c r="A25" s="272" t="s">
        <v>268</v>
      </c>
      <c r="B25" s="273">
        <f t="shared" si="0"/>
        <v>24</v>
      </c>
      <c r="C25" s="273">
        <v>4</v>
      </c>
      <c r="D25" s="274">
        <v>2022</v>
      </c>
      <c r="E25" s="275">
        <f>(IF('Daily HLP'!H27&gt;0,'Daily HLP'!H27,0))</f>
        <v>26500</v>
      </c>
      <c r="F25" s="276">
        <v>9</v>
      </c>
      <c r="G25" s="276" t="e">
        <f>(IF('Daily HLP'!L27&gt;0,'Daily HLP'!L27,0))</f>
        <v>#VALUE!</v>
      </c>
      <c r="H25" s="276">
        <v>75</v>
      </c>
      <c r="I25" s="276">
        <f>(IF('Daily HLP'!O27&gt;0,'Daily HLP'!O27,0))</f>
        <v>307</v>
      </c>
      <c r="J25" s="276">
        <v>100</v>
      </c>
      <c r="K25" s="281">
        <f>Occupancy!G25</f>
        <v>0</v>
      </c>
      <c r="L25" s="275">
        <f>Occupancy!F25</f>
        <v>0</v>
      </c>
      <c r="M25" s="277" t="e">
        <f>E25*F25+G25*H25+#REF!*#REF!+I25*J25</f>
        <v>#VALUE!</v>
      </c>
    </row>
    <row r="26" spans="1:13">
      <c r="A26" s="272" t="s">
        <v>268</v>
      </c>
      <c r="B26" s="273">
        <f>B25+1</f>
        <v>25</v>
      </c>
      <c r="C26" s="273">
        <v>4</v>
      </c>
      <c r="D26" s="274">
        <v>2022</v>
      </c>
      <c r="E26" s="275">
        <f>(IF('Daily HLP'!H28&gt;0,'Daily HLP'!H28,0))</f>
        <v>26500</v>
      </c>
      <c r="F26" s="276">
        <v>9</v>
      </c>
      <c r="G26" s="276" t="e">
        <f>(IF('Daily HLP'!L28&gt;0,'Daily HLP'!L28,0))</f>
        <v>#VALUE!</v>
      </c>
      <c r="H26" s="276">
        <v>75</v>
      </c>
      <c r="I26" s="276">
        <f>(IF('Daily HLP'!O28&gt;0,'Daily HLP'!O28,0))</f>
        <v>381</v>
      </c>
      <c r="J26" s="276">
        <v>100</v>
      </c>
      <c r="K26" s="281">
        <f>Occupancy!G26</f>
        <v>0</v>
      </c>
      <c r="L26" s="275">
        <f>Occupancy!F26</f>
        <v>0</v>
      </c>
      <c r="M26" s="277" t="e">
        <f>E26*F26+G26*H26+#REF!*#REF!+I26*J26</f>
        <v>#VALUE!</v>
      </c>
    </row>
    <row r="27" spans="1:13">
      <c r="A27" s="272" t="s">
        <v>268</v>
      </c>
      <c r="B27" s="273">
        <f t="shared" si="0"/>
        <v>26</v>
      </c>
      <c r="C27" s="273">
        <v>4</v>
      </c>
      <c r="D27" s="274">
        <v>2022</v>
      </c>
      <c r="E27" s="275">
        <f>(IF('Daily HLP'!H29&gt;0,'Daily HLP'!H29,0))</f>
        <v>26500</v>
      </c>
      <c r="F27" s="276">
        <v>9</v>
      </c>
      <c r="G27" s="276" t="e">
        <f>(IF('Daily HLP'!L29&gt;0,'Daily HLP'!L29,0))</f>
        <v>#VALUE!</v>
      </c>
      <c r="H27" s="276">
        <v>75</v>
      </c>
      <c r="I27" s="276">
        <f>(IF('Daily HLP'!O29&gt;0,'Daily HLP'!O29,0))</f>
        <v>328</v>
      </c>
      <c r="J27" s="276">
        <v>100</v>
      </c>
      <c r="K27" s="281">
        <f>Occupancy!G27</f>
        <v>0</v>
      </c>
      <c r="L27" s="275">
        <f>Occupancy!F27</f>
        <v>0</v>
      </c>
      <c r="M27" s="277" t="e">
        <f>E27*F27+G27*H27+#REF!*#REF!+I27*J27</f>
        <v>#VALUE!</v>
      </c>
    </row>
    <row r="28" spans="1:13">
      <c r="A28" s="272" t="s">
        <v>268</v>
      </c>
      <c r="B28" s="273">
        <f t="shared" si="0"/>
        <v>27</v>
      </c>
      <c r="C28" s="273">
        <v>4</v>
      </c>
      <c r="D28" s="274">
        <v>2022</v>
      </c>
      <c r="E28" s="275">
        <f>(IF('Daily HLP'!H30&gt;0,'Daily HLP'!H30,0))</f>
        <v>26500</v>
      </c>
      <c r="F28" s="276">
        <v>9</v>
      </c>
      <c r="G28" s="276" t="e">
        <f>(IF('Daily HLP'!L30&gt;0,'Daily HLP'!L30,0))</f>
        <v>#VALUE!</v>
      </c>
      <c r="H28" s="276">
        <v>75</v>
      </c>
      <c r="I28" s="276">
        <f>(IF('Daily HLP'!O30&gt;0,'Daily HLP'!O30,0))</f>
        <v>280</v>
      </c>
      <c r="J28" s="276">
        <v>100</v>
      </c>
      <c r="K28" s="281">
        <f>Occupancy!G28</f>
        <v>0</v>
      </c>
      <c r="L28" s="275">
        <f>Occupancy!F28</f>
        <v>0</v>
      </c>
      <c r="M28" s="277" t="e">
        <f>E28*F28+G28*H28+#REF!*#REF!+I28*J28</f>
        <v>#VALUE!</v>
      </c>
    </row>
    <row r="29" spans="1:13">
      <c r="A29" s="272" t="s">
        <v>268</v>
      </c>
      <c r="B29" s="273">
        <f t="shared" si="0"/>
        <v>28</v>
      </c>
      <c r="C29" s="273">
        <v>4</v>
      </c>
      <c r="D29" s="274">
        <v>2022</v>
      </c>
      <c r="E29" s="275">
        <f>(IF('Daily HLP'!H31&gt;0,'Daily HLP'!H31,0))</f>
        <v>26500</v>
      </c>
      <c r="F29" s="276">
        <v>9</v>
      </c>
      <c r="G29" s="276" t="e">
        <f>(IF('Daily HLP'!L31&gt;0,'Daily HLP'!L31,0))</f>
        <v>#VALUE!</v>
      </c>
      <c r="H29" s="276">
        <v>75</v>
      </c>
      <c r="I29" s="276">
        <f>(IF('Daily HLP'!O31&gt;0,'Daily HLP'!O31,0))</f>
        <v>313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#VALUE!</v>
      </c>
    </row>
    <row r="30" spans="1:13">
      <c r="A30" s="272" t="s">
        <v>268</v>
      </c>
      <c r="B30" s="273">
        <f t="shared" si="0"/>
        <v>29</v>
      </c>
      <c r="C30" s="273">
        <v>4</v>
      </c>
      <c r="D30" s="274">
        <v>2022</v>
      </c>
      <c r="E30" s="275">
        <f>(IF('Daily HLP'!H32&gt;0,'Daily HLP'!H32,0))</f>
        <v>26500</v>
      </c>
      <c r="F30" s="276">
        <v>9</v>
      </c>
      <c r="G30" s="276" t="e">
        <f>(IF('Daily HLP'!L32&gt;0,'Daily HLP'!L32,0))</f>
        <v>#VALUE!</v>
      </c>
      <c r="H30" s="276">
        <v>75</v>
      </c>
      <c r="I30" s="276">
        <f>(IF('Daily HLP'!O32&gt;0,'Daily HLP'!O32,0))</f>
        <v>311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#VALUE!</v>
      </c>
    </row>
    <row r="31" spans="1:13">
      <c r="A31" s="272" t="s">
        <v>268</v>
      </c>
      <c r="B31" s="273">
        <f t="shared" si="0"/>
        <v>30</v>
      </c>
      <c r="C31" s="273">
        <v>4</v>
      </c>
      <c r="D31" s="274">
        <v>2022</v>
      </c>
      <c r="E31" s="275">
        <f>(IF('Daily HLP'!H33&gt;0,'Daily HLP'!H33,0))</f>
        <v>26500</v>
      </c>
      <c r="F31" s="276">
        <v>9</v>
      </c>
      <c r="G31" s="276" t="e">
        <f>(IF('Daily HLP'!L33&gt;0,'Daily HLP'!L33,0))</f>
        <v>#VALUE!</v>
      </c>
      <c r="H31" s="276">
        <v>75</v>
      </c>
      <c r="I31" s="276">
        <f>(IF('Daily HLP'!O33&gt;0,'Daily HLP'!O33,0))</f>
        <v>379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#VALUE!</v>
      </c>
    </row>
    <row r="32" spans="1:13" s="275" customFormat="1">
      <c r="A32" s="272" t="s">
        <v>268</v>
      </c>
      <c r="B32" s="273">
        <f t="shared" si="0"/>
        <v>31</v>
      </c>
      <c r="C32" s="273">
        <v>4</v>
      </c>
      <c r="D32" s="274">
        <v>2022</v>
      </c>
      <c r="E32" s="275">
        <f>(IF('Daily HLP'!H34&gt;0,'Daily HLP'!H34,0))</f>
        <v>26500</v>
      </c>
      <c r="F32" s="276">
        <v>9</v>
      </c>
      <c r="G32" s="276" t="e">
        <f>(IF('Daily HLP'!L34&gt;0,'Daily HLP'!L34,0))</f>
        <v>#VALUE!</v>
      </c>
      <c r="H32" s="276">
        <v>75</v>
      </c>
      <c r="I32" s="276">
        <f>(IF('Daily HLP'!O34&gt;0,'Daily HLP'!O34,0))</f>
        <v>220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6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4</v>
      </c>
      <c r="D2" s="288">
        <v>2022</v>
      </c>
      <c r="E2" s="294">
        <f>(IF('Section Load'!F5&gt;0,'Section Load'!F5,0))</f>
        <v>4118.6199999999953</v>
      </c>
      <c r="F2" s="294">
        <f>(IF('Section Load'!G5&gt;0,'Section Load'!G5,0))</f>
        <v>1677.9500000000116</v>
      </c>
      <c r="G2" s="294">
        <f>(IF('Section Load'!H5&gt;0,'Section Load'!H5,0))</f>
        <v>2358.2700000000095</v>
      </c>
      <c r="H2" s="294">
        <f>(IF('Section Load'!I5&gt;0,'Section Load'!I5,0))</f>
        <v>2754.710000000021</v>
      </c>
      <c r="I2" s="294">
        <f>(IF('Section Load'!J5&gt;0,'Section Load'!J5,0))</f>
        <v>10283.279999999995</v>
      </c>
      <c r="J2" s="294">
        <f>(IF('Section Load'!K5&gt;0,'Section Load'!K5,0))</f>
        <v>3821.9899999999907</v>
      </c>
      <c r="K2" s="294">
        <f>(IF('Section Load'!L5&gt;0,'Section Load'!L5,0))</f>
        <v>1774.4100000000035</v>
      </c>
      <c r="L2" s="294">
        <f>(IF('Section Load'!M5&gt;0,'Section Load'!M5,0))</f>
        <v>844.20000000001164</v>
      </c>
      <c r="M2" s="294">
        <f>(IF('Section Load'!N5&gt;0,'Section Load'!N5,0))</f>
        <v>145</v>
      </c>
      <c r="N2" s="294">
        <f>(IF('Section Load'!O5&gt;0,'Section Load'!O5,0))</f>
        <v>153</v>
      </c>
      <c r="O2" s="294">
        <f>(IF('Section Load'!P5&gt;0,'Section Load'!P5,0))</f>
        <v>11</v>
      </c>
      <c r="P2" s="294">
        <f>(IF('Section Load'!Q5&gt;0,'Section Load'!Q5,0))</f>
        <v>227.16000000000349</v>
      </c>
      <c r="Q2" s="294">
        <f>(IF('Section Load'!R5&gt;0,'Section Load'!R5,0))</f>
        <v>67.849999999998545</v>
      </c>
      <c r="R2" s="294">
        <f>(IF('Section Load'!S5&gt;0,'Section Load'!S5,0))</f>
        <v>2.2600000000002183</v>
      </c>
      <c r="S2" s="294">
        <f>(IF('Section Load'!T5&gt;0,'Section Load'!T5,0))</f>
        <v>0</v>
      </c>
      <c r="T2" s="294">
        <f>(IF('Section Load'!U5&gt;0,'Section Load'!U5,0))</f>
        <v>238</v>
      </c>
      <c r="U2" s="294">
        <f>(IF('Section Load'!V5&gt;0,'Section Load'!V5,0))</f>
        <v>381.89000000001397</v>
      </c>
      <c r="V2" s="294">
        <f>(IF('Section Load'!W5&gt;0,'Section Load'!W5,0))</f>
        <v>411.76000000000931</v>
      </c>
      <c r="W2" s="294">
        <f>(IF('Section Load'!X5&gt;0,'Section Load'!X5,0))</f>
        <v>23.699999999999818</v>
      </c>
      <c r="X2" s="294">
        <f>(IF('Section Load'!Y5&gt;0,'Section Load'!Y5,0))</f>
        <v>231.5099999999984</v>
      </c>
      <c r="Y2" s="294">
        <f>(IF('Section Load'!Z5&gt;0,'Section Load'!Z5,0))</f>
        <v>304</v>
      </c>
      <c r="Z2" s="294">
        <f>(IF('Section Load'!AA5&gt;0,'Section Load'!AA5,0))</f>
        <v>25.919999999983702</v>
      </c>
      <c r="AA2" s="294">
        <f>(IF('Section Load'!AB5&gt;0,'Section Load'!AB5,0))</f>
        <v>21.19999999999709</v>
      </c>
      <c r="AB2" s="294">
        <f>(IF('Section Load'!AC5&gt;0,'Section Load'!AC5,0))</f>
        <v>0</v>
      </c>
      <c r="AC2" s="294">
        <f>(IF('Section Load'!AD5&gt;0,'Section Load'!AD5,0))</f>
        <v>165.5</v>
      </c>
      <c r="AD2" s="294">
        <f>(IF('Section Load'!AE5&gt;0,'Section Load'!AE5,0))</f>
        <v>299.91000000000349</v>
      </c>
      <c r="AE2" s="294">
        <f>(IF('Section Load'!AF5&gt;0,'Section Load'!AF5,0))</f>
        <v>166.0099999999984</v>
      </c>
      <c r="AF2" s="294">
        <f>(IF('Section Load'!AG5&gt;0,'Section Load'!AG5,0))</f>
        <v>500.01000000000022</v>
      </c>
      <c r="AG2" s="294">
        <f>(IF('Section Load'!AH5&gt;0,'Section Load'!AH5,0))</f>
        <v>448.81999999999971</v>
      </c>
      <c r="AH2" s="294">
        <f>(IF('Section Load'!AI5&gt;0,'Section Load'!AI5,0))</f>
        <v>437.98999999999978</v>
      </c>
      <c r="AI2" s="294">
        <f>(IF('Section Load'!AJ5&gt;0,'Section Load'!AJ5,0))</f>
        <v>440.70000000000073</v>
      </c>
      <c r="AJ2" s="294">
        <f>(IF('Section Load'!AK5&gt;0,'Section Load'!AK5,0))</f>
        <v>175.94000000000005</v>
      </c>
      <c r="AK2" s="294">
        <f>(IF('Section Load'!AL5&gt;0,'Section Load'!AL5,0))</f>
        <v>308.74</v>
      </c>
      <c r="AL2" s="294">
        <f>(IF('Section Load'!AM5&gt;0,'Section Load'!AM5,0))</f>
        <v>898.08999999999651</v>
      </c>
      <c r="AM2" s="295">
        <f>(IF('Water Report'!$D$7&gt;0,'Water Report'!$D$7,0))</f>
        <v>174</v>
      </c>
      <c r="AN2" s="295">
        <f>(IF('Water Report'!$D$8&gt;0,'Water Report'!$D$8,0))</f>
        <v>159</v>
      </c>
      <c r="AO2" s="295">
        <f>(IF('Water Report'!$D$9&gt;0,'Water Report'!$D$9,0))</f>
        <v>113</v>
      </c>
      <c r="AP2" s="295">
        <f>(IF('Water Report'!$D$10&gt;0,'Water Report'!$D$10,0))</f>
        <v>24</v>
      </c>
      <c r="AQ2" s="295">
        <f>(IF('Water Report'!$D$11&gt;0,'Water Report'!$D$11,0))</f>
        <v>77</v>
      </c>
      <c r="AR2" s="295">
        <f>(IF('Water Report'!$D$13&gt;0,'Water Report'!$D$13,0))</f>
        <v>34</v>
      </c>
      <c r="AS2" s="295">
        <f>(IF('Water Report'!$D$14&gt;0,'Water Report'!$D$14,0))</f>
        <v>7</v>
      </c>
      <c r="AT2" s="295">
        <f>(IF('Water Report'!$D$15&gt;0,'Water Report'!$D$15,0))</f>
        <v>13</v>
      </c>
      <c r="AU2" s="295">
        <f>(IF('Water Report'!$D$17&gt;0,'Water Report'!$D$17,0))</f>
        <v>4</v>
      </c>
      <c r="AV2" s="295">
        <f>(IF('Water Report'!$D$18&gt;0,'Water Report'!$D$18,0))</f>
        <v>18</v>
      </c>
      <c r="AW2" s="295">
        <f>(IF('Water Report'!$D$19&gt;0,'Water Report'!$D$19,0))</f>
        <v>14</v>
      </c>
      <c r="AX2" s="301">
        <f>(IF('Water Report'!$D$21&gt;0,'Water Report'!$D$21,0))</f>
        <v>130</v>
      </c>
      <c r="AY2" s="301">
        <f>(IF('Water Report'!$D$22&gt;0,'Water Report'!$D$22,0))</f>
        <v>0</v>
      </c>
      <c r="AZ2" s="301">
        <f>(IF('Water Report'!$D$23&gt;0,'Water Report'!$D$23,0))</f>
        <v>4</v>
      </c>
      <c r="BA2" s="301">
        <f>(IF('Water Report'!$D$14&gt;0,'Water Report'!$D$14,0))</f>
        <v>7</v>
      </c>
      <c r="BB2" s="301">
        <f>(IF('Water Report'!$D$15&gt;0,'Water Report'!$D$15,0))</f>
        <v>13</v>
      </c>
      <c r="BC2" s="301">
        <f>(IF('Water Report'!$D$13&gt;0,'Water Report'!$D$13,0))</f>
        <v>34</v>
      </c>
      <c r="BD2" s="301">
        <f>(IF('Water Report'!$D$24&gt;0,'Water Report'!$D$24,0))</f>
        <v>312</v>
      </c>
      <c r="BE2" s="301">
        <f>(IF('Water Report'!$D$25&gt;0,'Water Report'!$D$25,0))</f>
        <v>234</v>
      </c>
      <c r="BF2" s="301">
        <f>(IF('Water Report'!$D$27&gt;0,'Water Report'!$D$27,0))</f>
        <v>168</v>
      </c>
      <c r="BG2" s="296">
        <f>(IF('Section Load'!AN5&gt;0,'Section Load'!AN5,0))</f>
        <v>1103.9899999999907</v>
      </c>
      <c r="BH2" s="296">
        <f>(IF('Section Load'!AO5&gt;0,'Section Load'!AO5,0))</f>
        <v>330.14000000001397</v>
      </c>
      <c r="BI2" s="296">
        <f>(IF('Section Load'!AP5&gt;0,'Section Load'!AP5,0))</f>
        <v>0</v>
      </c>
      <c r="BJ2" s="296">
        <f>(IF('Section Load'!AQ5&gt;0,'Section Load'!AQ5,0))</f>
        <v>109.60000000000582</v>
      </c>
      <c r="BK2" s="296">
        <f>(IF('Section Load'!AR5&gt;0,'Section Load'!AR5,0))</f>
        <v>45.19999999999709</v>
      </c>
      <c r="BL2" s="296">
        <f>(IF('Section Load'!AS5&gt;0,'Section Load'!AS5,0))</f>
        <v>0</v>
      </c>
      <c r="BM2" s="296">
        <f>(IF('Section Load'!AT5&gt;0,'Section Load'!AT5,0))</f>
        <v>619.04999999997381</v>
      </c>
    </row>
    <row r="3" spans="1:65">
      <c r="A3" s="287" t="s">
        <v>268</v>
      </c>
      <c r="B3" s="288">
        <f>B2+1</f>
        <v>2</v>
      </c>
      <c r="C3" s="288">
        <v>4</v>
      </c>
      <c r="D3" s="288">
        <v>2022</v>
      </c>
      <c r="E3" s="294">
        <f>(IF('Section Load'!F6&gt;0,'Section Load'!F6,0))</f>
        <v>3927.9799999999814</v>
      </c>
      <c r="F3" s="294">
        <f>(IF('Section Load'!G6&gt;0,'Section Load'!G6,0))</f>
        <v>1678.2200000000012</v>
      </c>
      <c r="G3" s="294">
        <f>(IF('Section Load'!H6&gt;0,'Section Load'!H6,0))</f>
        <v>2338.0799999999872</v>
      </c>
      <c r="H3" s="294">
        <f>(IF('Section Load'!I6&gt;0,'Section Load'!I6,0))</f>
        <v>2842.8399999999674</v>
      </c>
      <c r="I3" s="294">
        <f>(IF('Section Load'!J6&gt;0,'Section Load'!J6,0))</f>
        <v>9353.7600000000202</v>
      </c>
      <c r="J3" s="294">
        <f>(IF('Section Load'!K6&gt;0,'Section Load'!K6,0))</f>
        <v>3687.2399999999907</v>
      </c>
      <c r="K3" s="294">
        <f>(IF('Section Load'!L6&gt;0,'Section Load'!L6,0))</f>
        <v>1115.6999999999825</v>
      </c>
      <c r="L3" s="294">
        <f>(IF('Section Load'!M6&gt;0,'Section Load'!M6,0))</f>
        <v>816.61999999999534</v>
      </c>
      <c r="M3" s="294">
        <f>(IF('Section Load'!N6&gt;0,'Section Load'!N6,0))</f>
        <v>150</v>
      </c>
      <c r="N3" s="294">
        <f>(IF('Section Load'!O6&gt;0,'Section Load'!O6,0))</f>
        <v>151</v>
      </c>
      <c r="O3" s="294">
        <f>(IF('Section Load'!P6&gt;0,'Section Load'!P6,0))</f>
        <v>11.120000000000005</v>
      </c>
      <c r="P3" s="294">
        <f>(IF('Section Load'!Q6&gt;0,'Section Load'!Q6,0))</f>
        <v>210.67999999999302</v>
      </c>
      <c r="Q3" s="294">
        <f>(IF('Section Load'!R6&gt;0,'Section Load'!R6,0))</f>
        <v>65.909999999999854</v>
      </c>
      <c r="R3" s="294">
        <f>(IF('Section Load'!S6&gt;0,'Section Load'!S6,0))</f>
        <v>2.319999999999709</v>
      </c>
      <c r="S3" s="294">
        <f>(IF('Section Load'!T6&gt;0,'Section Load'!T6,0))</f>
        <v>15</v>
      </c>
      <c r="T3" s="294">
        <f>(IF('Section Load'!U6&gt;0,'Section Load'!U6,0))</f>
        <v>243</v>
      </c>
      <c r="U3" s="294">
        <f>(IF('Section Load'!V6&gt;0,'Section Load'!V6,0))</f>
        <v>385.42999999993481</v>
      </c>
      <c r="V3" s="294">
        <f>(IF('Section Load'!W6&gt;0,'Section Load'!W6,0))</f>
        <v>323.76000000000931</v>
      </c>
      <c r="W3" s="294">
        <f>(IF('Section Load'!X6&gt;0,'Section Load'!X6,0))</f>
        <v>24.590000000000146</v>
      </c>
      <c r="X3" s="294">
        <f>(IF('Section Load'!Y6&gt;0,'Section Load'!Y6,0))</f>
        <v>251.30000000000291</v>
      </c>
      <c r="Y3" s="294">
        <f>(IF('Section Load'!Z6&gt;0,'Section Load'!Z6,0))</f>
        <v>275</v>
      </c>
      <c r="Z3" s="294">
        <f>(IF('Section Load'!AA6&gt;0,'Section Load'!AA6,0))</f>
        <v>24.320000000006985</v>
      </c>
      <c r="AA3" s="294">
        <f>(IF('Section Load'!AB6&gt;0,'Section Load'!AB6,0))</f>
        <v>44.30000000000291</v>
      </c>
      <c r="AB3" s="294">
        <f>(IF('Section Load'!AC6&gt;0,'Section Load'!AC6,0))</f>
        <v>0</v>
      </c>
      <c r="AC3" s="294">
        <f>(IF('Section Load'!AD6&gt;0,'Section Load'!AD6,0))</f>
        <v>187.20000000000255</v>
      </c>
      <c r="AD3" s="294">
        <f>(IF('Section Load'!AE6&gt;0,'Section Load'!AE6,0))</f>
        <v>312.60999999999331</v>
      </c>
      <c r="AE3" s="294">
        <f>(IF('Section Load'!AF6&gt;0,'Section Load'!AF6,0))</f>
        <v>177.17000000000189</v>
      </c>
      <c r="AF3" s="294">
        <f>(IF('Section Load'!AG6&gt;0,'Section Load'!AG6,0))</f>
        <v>535.61000000000058</v>
      </c>
      <c r="AG3" s="294">
        <f>(IF('Section Load'!AH6&gt;0,'Section Load'!AH6,0))</f>
        <v>441.74000000000069</v>
      </c>
      <c r="AH3" s="294">
        <f>(IF('Section Load'!AI6&gt;0,'Section Load'!AI6,0))</f>
        <v>440.63000000000011</v>
      </c>
      <c r="AI3" s="294">
        <f>(IF('Section Load'!AJ6&gt;0,'Section Load'!AJ6,0))</f>
        <v>448.04999999999927</v>
      </c>
      <c r="AJ3" s="294">
        <f>(IF('Section Load'!AK6&gt;0,'Section Load'!AK6,0))</f>
        <v>203.94000000000005</v>
      </c>
      <c r="AK3" s="294">
        <f>(IF('Section Load'!AL6&gt;0,'Section Load'!AL6,0))</f>
        <v>311.70000000000005</v>
      </c>
      <c r="AL3" s="294">
        <f>(IF('Section Load'!AM6&gt;0,'Section Load'!AM6,0))</f>
        <v>864.64000000001397</v>
      </c>
      <c r="AM3" s="295">
        <f>(IF('Water Report'!$E$7&gt;0,'Water Report'!$E$7,0))</f>
        <v>160</v>
      </c>
      <c r="AN3" s="295">
        <f>(IF('Water Report'!$E$8&gt;0,'Water Report'!$E$8,0))</f>
        <v>132</v>
      </c>
      <c r="AO3" s="295">
        <f>(IF('Water Report'!$E$9&gt;0,'Water Report'!$E$9,0))</f>
        <v>93</v>
      </c>
      <c r="AP3" s="295">
        <f>(IF('Water Report'!$E$10&gt;0,'Water Report'!$E$10,0))</f>
        <v>18</v>
      </c>
      <c r="AQ3" s="295">
        <f>(IF('Water Report'!$E$11&gt;0,'Water Report'!$E$11,0))</f>
        <v>78</v>
      </c>
      <c r="AR3" s="295">
        <f>(IF('Water Report'!$E$13&gt;0,'Water Report'!$E$13,0))</f>
        <v>14</v>
      </c>
      <c r="AS3" s="295">
        <f>(IF('Water Report'!$E$14&gt;0,'Water Report'!$E$14,0))</f>
        <v>8</v>
      </c>
      <c r="AT3" s="295">
        <f>(IF('Water Report'!$E$15&gt;0,'Water Report'!$E$15,0))</f>
        <v>6</v>
      </c>
      <c r="AU3" s="295">
        <f>(IF('Water Report'!$E$17&gt;0,'Water Report'!$E$17,0))</f>
        <v>0</v>
      </c>
      <c r="AV3" s="295">
        <f>(IF('Water Report'!$E$18&gt;0,'Water Report'!$E$18,0))</f>
        <v>14</v>
      </c>
      <c r="AW3" s="295">
        <f>(IF('Water Report'!$E$19&gt;0,'Water Report'!$E$19,0))</f>
        <v>11</v>
      </c>
      <c r="AX3" s="301">
        <f>(IF('Water Report'!$E$21&gt;0,'Water Report'!$E$21,0))</f>
        <v>108</v>
      </c>
      <c r="AY3" s="301">
        <f>(IF('Water Report'!$E$22&gt;0,'Water Report'!$E$22,0))</f>
        <v>0</v>
      </c>
      <c r="AZ3" s="301">
        <f>(IF('Water Report'!$E$23&gt;0,'Water Report'!$E$23,0))</f>
        <v>7</v>
      </c>
      <c r="BA3" s="301">
        <f>(IF('Water Report'!$E$14&gt;0,'Water Report'!$E$14,0))</f>
        <v>8</v>
      </c>
      <c r="BB3" s="301">
        <f>(IF('Water Report'!$E$15&gt;0,'Water Report'!$E$15,0))</f>
        <v>6</v>
      </c>
      <c r="BC3" s="301">
        <f>(IF('Water Report'!$E$13&gt;0,'Water Report'!$E$13,0))</f>
        <v>14</v>
      </c>
      <c r="BD3" s="301">
        <f>(IF('Water Report'!$E$24&gt;0,'Water Report'!$E$24,0))</f>
        <v>255</v>
      </c>
      <c r="BE3" s="301">
        <f>(IF('Water Report'!$E$25&gt;0,'Water Report'!$E$25,0))</f>
        <v>203</v>
      </c>
      <c r="BF3" s="301">
        <f>(IF('Water Report'!$E$27&gt;0,'Water Report'!$E$27,0))</f>
        <v>129</v>
      </c>
      <c r="BG3" s="296">
        <f>(IF('Section Load'!AN6&gt;0,'Section Load'!AN6,0))</f>
        <v>1042.8600000001024</v>
      </c>
      <c r="BH3" s="296">
        <f>(IF('Section Load'!AO6&gt;0,'Section Load'!AO6,0))</f>
        <v>299.75</v>
      </c>
      <c r="BI3" s="296">
        <f>(IF('Section Load'!AP6&gt;0,'Section Load'!AP6,0))</f>
        <v>0</v>
      </c>
      <c r="BJ3" s="296">
        <f>(IF('Section Load'!AQ6&gt;0,'Section Load'!AQ6,0))</f>
        <v>110.13000000000466</v>
      </c>
      <c r="BK3" s="296">
        <f>(IF('Section Load'!AR6&gt;0,'Section Load'!AR6,0))</f>
        <v>44.700000000004366</v>
      </c>
      <c r="BL3" s="296">
        <f>(IF('Section Load'!AS6&gt;0,'Section Load'!AS6,0))</f>
        <v>0</v>
      </c>
      <c r="BM3" s="296">
        <f>(IF('Section Load'!AT6&gt;0,'Section Load'!AT6,0))</f>
        <v>588.68000000009306</v>
      </c>
    </row>
    <row r="4" spans="1:65">
      <c r="A4" s="287" t="s">
        <v>268</v>
      </c>
      <c r="B4" s="288">
        <f t="shared" ref="B4:B32" si="0">B3+1</f>
        <v>3</v>
      </c>
      <c r="C4" s="288">
        <v>4</v>
      </c>
      <c r="D4" s="288">
        <v>2022</v>
      </c>
      <c r="E4" s="294">
        <f>(IF('Section Load'!F7&gt;0,'Section Load'!F7,0))</f>
        <v>3838.3500000000349</v>
      </c>
      <c r="F4" s="294">
        <f>(IF('Section Load'!G7&gt;0,'Section Load'!G7,0))</f>
        <v>1686.5799999999872</v>
      </c>
      <c r="G4" s="294">
        <f>(IF('Section Load'!H7&gt;0,'Section Load'!H7,0))</f>
        <v>2350.0300000000079</v>
      </c>
      <c r="H4" s="294">
        <f>(IF('Section Load'!I7&gt;0,'Section Load'!I7,0))</f>
        <v>2822.7600000000093</v>
      </c>
      <c r="I4" s="294">
        <f>(IF('Section Load'!J7&gt;0,'Section Load'!J7,0))</f>
        <v>9444.609999999986</v>
      </c>
      <c r="J4" s="294">
        <f>(IF('Section Load'!K7&gt;0,'Section Load'!K7,0))</f>
        <v>3246.4000000000233</v>
      </c>
      <c r="K4" s="294">
        <f>(IF('Section Load'!L7&gt;0,'Section Load'!L7,0))</f>
        <v>1200.960000000021</v>
      </c>
      <c r="L4" s="294">
        <f>(IF('Section Load'!M7&gt;0,'Section Load'!M7,0))</f>
        <v>1105.8099999999977</v>
      </c>
      <c r="M4" s="294">
        <f>(IF('Section Load'!N7&gt;0,'Section Load'!N7,0))</f>
        <v>151</v>
      </c>
      <c r="N4" s="294">
        <f>(IF('Section Load'!O7&gt;0,'Section Load'!O7,0))</f>
        <v>130</v>
      </c>
      <c r="O4" s="294">
        <f>(IF('Section Load'!P7&gt;0,'Section Load'!P7,0))</f>
        <v>18.590000000000003</v>
      </c>
      <c r="P4" s="294">
        <f>(IF('Section Load'!Q7&gt;0,'Section Load'!Q7,0))</f>
        <v>194.93000000000757</v>
      </c>
      <c r="Q4" s="294">
        <f>(IF('Section Load'!R7&gt;0,'Section Load'!R7,0))</f>
        <v>67.950000000000728</v>
      </c>
      <c r="R4" s="294">
        <f>(IF('Section Load'!S7&gt;0,'Section Load'!S7,0))</f>
        <v>2.4499999999998181</v>
      </c>
      <c r="S4" s="294">
        <f>(IF('Section Load'!T7&gt;0,'Section Load'!T7,0))</f>
        <v>43</v>
      </c>
      <c r="T4" s="294">
        <f>(IF('Section Load'!U7&gt;0,'Section Load'!U7,0))</f>
        <v>263</v>
      </c>
      <c r="U4" s="294">
        <f>(IF('Section Load'!V7&gt;0,'Section Load'!V7,0))</f>
        <v>410.11999999999534</v>
      </c>
      <c r="V4" s="294">
        <f>(IF('Section Load'!W7&gt;0,'Section Load'!W7,0))</f>
        <v>306.47999999998137</v>
      </c>
      <c r="W4" s="294">
        <f>(IF('Section Load'!X7&gt;0,'Section Load'!X7,0))</f>
        <v>29.119999999999891</v>
      </c>
      <c r="X4" s="294">
        <f>(IF('Section Load'!Y7&gt;0,'Section Load'!Y7,0))</f>
        <v>226.22999999999956</v>
      </c>
      <c r="Y4" s="294">
        <f>(IF('Section Load'!Z7&gt;0,'Section Load'!Z7,0))</f>
        <v>302</v>
      </c>
      <c r="Z4" s="294">
        <f>(IF('Section Load'!AA7&gt;0,'Section Load'!AA7,0))</f>
        <v>22.239999999990687</v>
      </c>
      <c r="AA4" s="294">
        <f>(IF('Section Load'!AB7&gt;0,'Section Load'!AB7,0))</f>
        <v>36.600000000005821</v>
      </c>
      <c r="AB4" s="294">
        <f>(IF('Section Load'!AC7&gt;0,'Section Load'!AC7,0))</f>
        <v>0</v>
      </c>
      <c r="AC4" s="294">
        <f>(IF('Section Load'!AD7&gt;0,'Section Load'!AD7,0))</f>
        <v>178.29999999999745</v>
      </c>
      <c r="AD4" s="294">
        <f>(IF('Section Load'!AE7&gt;0,'Section Load'!AE7,0))</f>
        <v>325.62000000000262</v>
      </c>
      <c r="AE4" s="294">
        <f>(IF('Section Load'!AF7&gt;0,'Section Load'!AF7,0))</f>
        <v>159.77000000000044</v>
      </c>
      <c r="AF4" s="294">
        <f>(IF('Section Load'!AG7&gt;0,'Section Load'!AG7,0))</f>
        <v>547.25</v>
      </c>
      <c r="AG4" s="294">
        <f>(IF('Section Load'!AH7&gt;0,'Section Load'!AH7,0))</f>
        <v>413.53999999999996</v>
      </c>
      <c r="AH4" s="294">
        <f>(IF('Section Load'!AI7&gt;0,'Section Load'!AI7,0))</f>
        <v>423.61999999999989</v>
      </c>
      <c r="AI4" s="294">
        <f>(IF('Section Load'!AJ7&gt;0,'Section Load'!AJ7,0))</f>
        <v>460.6299999999992</v>
      </c>
      <c r="AJ4" s="294">
        <f>(IF('Section Load'!AK7&gt;0,'Section Load'!AK7,0))</f>
        <v>205.86999999999989</v>
      </c>
      <c r="AK4" s="294">
        <f>(IF('Section Load'!AL7&gt;0,'Section Load'!AL7,0))</f>
        <v>317.67999999999984</v>
      </c>
      <c r="AL4" s="294">
        <f>(IF('Section Load'!AM7&gt;0,'Section Load'!AM7,0))</f>
        <v>854.26999999998952</v>
      </c>
      <c r="AM4" s="295">
        <f>(IF('Water Report'!$F$7&gt;0,'Water Report'!$F$7,0))</f>
        <v>138</v>
      </c>
      <c r="AN4" s="295">
        <f>(IF('Water Report'!$F$8&gt;0,'Water Report'!$F$8,0))</f>
        <v>163</v>
      </c>
      <c r="AO4" s="295">
        <f>(IF('Water Report'!$F$9&gt;0,'Water Report'!$G$9,0))</f>
        <v>94</v>
      </c>
      <c r="AP4" s="295">
        <f>(IF('Water Report'!$F$10&gt;0,'Water Report'!$F$10,0))</f>
        <v>20</v>
      </c>
      <c r="AQ4" s="295">
        <f>(IF('Water Report'!$F$11&gt;0,'Water Report'!$F$11,0))</f>
        <v>69</v>
      </c>
      <c r="AR4" s="295">
        <f>(IF('Water Report'!$F$13&gt;0,'Water Report'!$F$13,0))</f>
        <v>15</v>
      </c>
      <c r="AS4" s="295">
        <f>(IF('Water Report'!$F$14&gt;0,'Water Report'!$F$14,0))</f>
        <v>11</v>
      </c>
      <c r="AT4" s="295">
        <f>(IF('Water Report'!$F$15&gt;0,'Water Report'!$F$15,0))</f>
        <v>6</v>
      </c>
      <c r="AU4" s="295">
        <f>(IF('Water Report'!$F$17&gt;0,'Water Report'!$F$17,0))</f>
        <v>0</v>
      </c>
      <c r="AV4" s="295">
        <f>(IF('Water Report'!$F$18&gt;0,'Water Report'!$F$18,0))</f>
        <v>15</v>
      </c>
      <c r="AW4" s="295">
        <f>(IF('Water Report'!$F$19&gt;0,'Water Report'!$F$19,0))</f>
        <v>13</v>
      </c>
      <c r="AX4" s="301">
        <f>(IF('Water Report'!$F$21&gt;0,'Water Report'!$F$21,0))</f>
        <v>106</v>
      </c>
      <c r="AY4" s="301">
        <f>(IF('Water Report'!$F$22&gt;0,'Water Report'!$F$22,0))</f>
        <v>0</v>
      </c>
      <c r="AZ4" s="301">
        <f>(IF('Water Report'!$F$23&gt;0,'Water Report'!$F$23,0))</f>
        <v>11</v>
      </c>
      <c r="BA4" s="301">
        <f>(IF('Water Report'!$F$14&gt;0,'Water Report'!$F$14,0))</f>
        <v>11</v>
      </c>
      <c r="BB4" s="301">
        <f>(IF('Water Report'!$F$15&gt;0,'Water Report'!$F$15,0))</f>
        <v>6</v>
      </c>
      <c r="BC4" s="301">
        <f>(IF('Water Report'!$F$13&gt;0,'Water Report'!$F$13,0))</f>
        <v>15</v>
      </c>
      <c r="BD4" s="301">
        <f>(IF('Water Report'!$F$24&gt;0,'Water Report'!$F$24,0))</f>
        <v>273</v>
      </c>
      <c r="BE4" s="301">
        <f>(IF('Water Report'!$F$25&gt;0,'Water Report'!$F$25,0))</f>
        <v>207</v>
      </c>
      <c r="BF4" s="301">
        <f>(IF('Water Report'!$F$27&gt;0,'Water Report'!$F$27,0))</f>
        <v>132</v>
      </c>
      <c r="BG4" s="296">
        <f>(IF('Section Load'!AN7&gt;0,'Section Load'!AN7,0))</f>
        <v>1104.2899999998044</v>
      </c>
      <c r="BH4" s="296">
        <f>(IF('Section Load'!AO7&gt;0,'Section Load'!AO7,0))</f>
        <v>302.25</v>
      </c>
      <c r="BI4" s="296">
        <f>(IF('Section Load'!AP7&gt;0,'Section Load'!AP7,0))</f>
        <v>0</v>
      </c>
      <c r="BJ4" s="296">
        <f>(IF('Section Load'!AQ7&gt;0,'Section Load'!AQ7,0))</f>
        <v>118.97999999998137</v>
      </c>
      <c r="BK4" s="296">
        <f>(IF('Section Load'!AR7&gt;0,'Section Load'!AR7,0))</f>
        <v>59.19999999999709</v>
      </c>
      <c r="BL4" s="296">
        <f>(IF('Section Load'!AS7&gt;0,'Section Load'!AS7,0))</f>
        <v>0</v>
      </c>
      <c r="BM4" s="296">
        <f>(IF('Section Load'!AT7&gt;0,'Section Load'!AT7,0))</f>
        <v>623.85999999982596</v>
      </c>
    </row>
    <row r="5" spans="1:65">
      <c r="A5" s="287" t="s">
        <v>268</v>
      </c>
      <c r="B5" s="288">
        <f t="shared" si="0"/>
        <v>4</v>
      </c>
      <c r="C5" s="288">
        <v>4</v>
      </c>
      <c r="D5" s="288">
        <v>2022</v>
      </c>
      <c r="E5" s="294">
        <f>(IF('Section Load'!F8&gt;0,'Section Load'!F8,0))</f>
        <v>3989.5299999999697</v>
      </c>
      <c r="F5" s="294">
        <f>(IF('Section Load'!G8&gt;0,'Section Load'!G8,0))</f>
        <v>1623.0400000000081</v>
      </c>
      <c r="G5" s="294">
        <f>(IF('Section Load'!H8&gt;0,'Section Load'!H8,0))</f>
        <v>2401.0799999999872</v>
      </c>
      <c r="H5" s="294">
        <f>(IF('Section Load'!I8&gt;0,'Section Load'!I8,0))</f>
        <v>2892.679999999993</v>
      </c>
      <c r="I5" s="294">
        <f>(IF('Section Load'!J8&gt;0,'Section Load'!J8,0))</f>
        <v>8846.0199999999968</v>
      </c>
      <c r="J5" s="294">
        <f>(IF('Section Load'!K8&gt;0,'Section Load'!K8,0))</f>
        <v>2503.320000000007</v>
      </c>
      <c r="K5" s="294">
        <f>(IF('Section Load'!L8&gt;0,'Section Load'!L8,0))</f>
        <v>1095.1600000000035</v>
      </c>
      <c r="L5" s="294">
        <f>(IF('Section Load'!M8&gt;0,'Section Load'!M8,0))</f>
        <v>904.52999999999884</v>
      </c>
      <c r="M5" s="294">
        <f>(IF('Section Load'!N8&gt;0,'Section Load'!N8,0))</f>
        <v>141</v>
      </c>
      <c r="N5" s="294">
        <f>(IF('Section Load'!O8&gt;0,'Section Load'!O8,0))</f>
        <v>173</v>
      </c>
      <c r="O5" s="294">
        <f>(IF('Section Load'!P8&gt;0,'Section Load'!P8,0))</f>
        <v>15.269999999999982</v>
      </c>
      <c r="P5" s="294">
        <f>(IF('Section Load'!Q8&gt;0,'Section Load'!Q8,0))</f>
        <v>199.83999999999651</v>
      </c>
      <c r="Q5" s="294">
        <f>(IF('Section Load'!R8&gt;0,'Section Load'!R8,0))</f>
        <v>68.120000000002619</v>
      </c>
      <c r="R5" s="294">
        <f>(IF('Section Load'!S8&gt;0,'Section Load'!S8,0))</f>
        <v>2.5</v>
      </c>
      <c r="S5" s="294">
        <f>(IF('Section Load'!T8&gt;0,'Section Load'!T8,0))</f>
        <v>45</v>
      </c>
      <c r="T5" s="294">
        <f>(IF('Section Load'!U8&gt;0,'Section Load'!U8,0))</f>
        <v>267</v>
      </c>
      <c r="U5" s="294">
        <f>(IF('Section Load'!V8&gt;0,'Section Load'!V8,0))</f>
        <v>412.36000000010245</v>
      </c>
      <c r="V5" s="294">
        <f>(IF('Section Load'!W8&gt;0,'Section Load'!W8,0))</f>
        <v>306.56000000005588</v>
      </c>
      <c r="W5" s="294">
        <f>(IF('Section Load'!X8&gt;0,'Section Load'!X8,0))</f>
        <v>27.050000000000182</v>
      </c>
      <c r="X5" s="294">
        <f>(IF('Section Load'!Y8&gt;0,'Section Load'!Y8,0))</f>
        <v>231.64999999999782</v>
      </c>
      <c r="Y5" s="294">
        <f>(IF('Section Load'!Z8&gt;0,'Section Load'!Z8,0))</f>
        <v>299</v>
      </c>
      <c r="Z5" s="294">
        <f>(IF('Section Load'!AA8&gt;0,'Section Load'!AA8,0))</f>
        <v>24.360000000044238</v>
      </c>
      <c r="AA5" s="294">
        <f>(IF('Section Load'!AB8&gt;0,'Section Load'!AB8,0))</f>
        <v>39.899999999994179</v>
      </c>
      <c r="AB5" s="294">
        <f>(IF('Section Load'!AC8&gt;0,'Section Load'!AC8,0))</f>
        <v>0</v>
      </c>
      <c r="AC5" s="294">
        <f>(IF('Section Load'!AD8&gt;0,'Section Load'!AD8,0))</f>
        <v>188.49999999999454</v>
      </c>
      <c r="AD5" s="294">
        <f>(IF('Section Load'!AE8&gt;0,'Section Load'!AE8,0))</f>
        <v>312.69000000000233</v>
      </c>
      <c r="AE5" s="294">
        <f>(IF('Section Load'!AF8&gt;0,'Section Load'!AF8,0))</f>
        <v>187.79000000000087</v>
      </c>
      <c r="AF5" s="294">
        <f>(IF('Section Load'!AG8&gt;0,'Section Load'!AG8,0))</f>
        <v>570.8799999999992</v>
      </c>
      <c r="AG5" s="294">
        <f>(IF('Section Load'!AH8&gt;0,'Section Load'!AH8,0))</f>
        <v>421.00999999999931</v>
      </c>
      <c r="AH5" s="294">
        <f>(IF('Section Load'!AI8&gt;0,'Section Load'!AI8,0))</f>
        <v>416.67000000000007</v>
      </c>
      <c r="AI5" s="294">
        <f>(IF('Section Load'!AJ8&gt;0,'Section Load'!AJ8,0))</f>
        <v>448.94000000000051</v>
      </c>
      <c r="AJ5" s="294">
        <f>(IF('Section Load'!AK8&gt;0,'Section Load'!AK8,0))</f>
        <v>195.01000000000022</v>
      </c>
      <c r="AK5" s="294">
        <f>(IF('Section Load'!AL8&gt;0,'Section Load'!AL8,0))</f>
        <v>327.76000000000022</v>
      </c>
      <c r="AL5" s="294">
        <f>(IF('Section Load'!AM8&gt;0,'Section Load'!AM8,0))</f>
        <v>876.07000000000698</v>
      </c>
      <c r="AM5" s="295">
        <f>(IF('Water Report'!$G$7&gt;0,'Water Report'!$F$7,0))</f>
        <v>138</v>
      </c>
      <c r="AN5" s="295">
        <f>(IF('Water Report'!$G$8&gt;0,'Water Report'!$F$8,0))</f>
        <v>163</v>
      </c>
      <c r="AO5" s="295">
        <f>(IF('Water Report'!$G$9&gt;0,'Water Report'!$H$9,0))</f>
        <v>106</v>
      </c>
      <c r="AP5" s="295">
        <f>(IF('Water Report'!$G$10&gt;0,'Water Report'!$G$10,0))</f>
        <v>16</v>
      </c>
      <c r="AQ5" s="295">
        <f>(IF('Water Report'!$G$11&gt;0,'Water Report'!$G$11,0))</f>
        <v>75</v>
      </c>
      <c r="AR5" s="295">
        <f>(IF('Water Report'!$G$13&gt;0,'Water Report'!$G$13,0))</f>
        <v>14</v>
      </c>
      <c r="AS5" s="295">
        <f>(IF('Water Report'!$G$14&gt;0,'Water Report'!$G$14,0))</f>
        <v>13</v>
      </c>
      <c r="AT5" s="295">
        <f>(IF('Water Report'!$G$15&gt;0,'Water Report'!$G$15,0))</f>
        <v>9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11</v>
      </c>
      <c r="AX5" s="301">
        <f>(IF('Water Report'!$G$21&gt;0,'Water Report'!$G$21,0))</f>
        <v>87</v>
      </c>
      <c r="AY5" s="301">
        <f>(IF('Water Report'!$G$22&gt;0,'Water Report'!$G$22,0))</f>
        <v>0</v>
      </c>
      <c r="AZ5" s="301">
        <f>(IF('Water Report'!$G$23&gt;0,'Water Report'!$G$23,0))</f>
        <v>4</v>
      </c>
      <c r="BA5" s="301">
        <f>(IF('Water Report'!$G$14&gt;0,'Water Report'!$G$14,0))</f>
        <v>13</v>
      </c>
      <c r="BB5" s="301">
        <f>(IF('Water Report'!$G$15&gt;0,'Water Report'!$G$15,0))</f>
        <v>9</v>
      </c>
      <c r="BC5" s="301">
        <f>(IF('Water Report'!$G$13&gt;0,'Water Report'!$G$13,0))</f>
        <v>14</v>
      </c>
      <c r="BD5" s="301">
        <f>(IF('Water Report'!$G$24&gt;0,'Water Report'!$G$24,0))</f>
        <v>254</v>
      </c>
      <c r="BE5" s="301">
        <f>(IF('Water Report'!$G$25&gt;0,'Water Report'!$G$25,0))</f>
        <v>207</v>
      </c>
      <c r="BF5" s="301">
        <f>(IF('Water Report'!$G$27&gt;0,'Water Report'!$G$27,0))</f>
        <v>105</v>
      </c>
      <c r="BG5" s="296">
        <f>(IF('Section Load'!AN8&gt;0,'Section Load'!AN8,0))</f>
        <v>1058.3100000000559</v>
      </c>
      <c r="BH5" s="296">
        <f>(IF('Section Load'!AO8&gt;0,'Section Load'!AO8,0))</f>
        <v>280.46999999997206</v>
      </c>
      <c r="BI5" s="296">
        <f>(IF('Section Load'!AP8&gt;0,'Section Load'!AP8,0))</f>
        <v>0</v>
      </c>
      <c r="BJ5" s="296">
        <f>(IF('Section Load'!AQ8&gt;0,'Section Load'!AQ8,0))</f>
        <v>128.23000000001048</v>
      </c>
      <c r="BK5" s="296">
        <f>(IF('Section Load'!AR8&gt;0,'Section Load'!AR8,0))</f>
        <v>44.80000000000291</v>
      </c>
      <c r="BL5" s="296">
        <f>(IF('Section Load'!AS8&gt;0,'Section Load'!AS8,0))</f>
        <v>0</v>
      </c>
      <c r="BM5" s="296">
        <f>(IF('Section Load'!AT8&gt;0,'Section Load'!AT8,0))</f>
        <v>604.81000000007043</v>
      </c>
    </row>
    <row r="6" spans="1:65">
      <c r="A6" s="287" t="s">
        <v>268</v>
      </c>
      <c r="B6" s="288">
        <f t="shared" si="0"/>
        <v>5</v>
      </c>
      <c r="C6" s="288">
        <v>4</v>
      </c>
      <c r="D6" s="288">
        <v>2022</v>
      </c>
      <c r="E6" s="294">
        <f>(IF('Section Load'!F9&gt;0,'Section Load'!F9,0))</f>
        <v>3995.7800000000279</v>
      </c>
      <c r="F6" s="294">
        <f>(IF('Section Load'!G9&gt;0,'Section Load'!G9,0))</f>
        <v>1586.539999999979</v>
      </c>
      <c r="G6" s="294">
        <f>(IF('Section Load'!H9&gt;0,'Section Load'!H9,0))</f>
        <v>2499.5900000000165</v>
      </c>
      <c r="H6" s="294">
        <f>(IF('Section Load'!I9&gt;0,'Section Load'!I9,0))</f>
        <v>2924</v>
      </c>
      <c r="I6" s="294">
        <f>(IF('Section Load'!J9&gt;0,'Section Load'!J9,0))</f>
        <v>8015.7799999999988</v>
      </c>
      <c r="J6" s="294">
        <f>(IF('Section Load'!K9&gt;0,'Section Load'!K9,0))</f>
        <v>2594.8800000000047</v>
      </c>
      <c r="K6" s="294">
        <f>(IF('Section Load'!L9&gt;0,'Section Load'!L9,0))</f>
        <v>1110.1399999999849</v>
      </c>
      <c r="L6" s="294">
        <f>(IF('Section Load'!M9&gt;0,'Section Load'!M9,0))</f>
        <v>980.10999999998603</v>
      </c>
      <c r="M6" s="294">
        <f>(IF('Section Load'!N9&gt;0,'Section Load'!N9,0))</f>
        <v>139</v>
      </c>
      <c r="N6" s="294">
        <f>(IF('Section Load'!O9&gt;0,'Section Load'!O9,0))</f>
        <v>170</v>
      </c>
      <c r="O6" s="294">
        <f>(IF('Section Load'!P9&gt;0,'Section Load'!P9,0))</f>
        <v>11.25</v>
      </c>
      <c r="P6" s="294">
        <f>(IF('Section Load'!Q9&gt;0,'Section Load'!Q9,0))</f>
        <v>202.72999999999593</v>
      </c>
      <c r="Q6" s="294">
        <f>(IF('Section Load'!R9&gt;0,'Section Load'!R9,0))</f>
        <v>67.779999999998836</v>
      </c>
      <c r="R6" s="294">
        <f>(IF('Section Load'!S9&gt;0,'Section Load'!S9,0))</f>
        <v>2.5100000000002183</v>
      </c>
      <c r="S6" s="294">
        <f>(IF('Section Load'!T9&gt;0,'Section Load'!T9,0))</f>
        <v>22</v>
      </c>
      <c r="T6" s="294">
        <f>(IF('Section Load'!U9&gt;0,'Section Load'!U9,0))</f>
        <v>256</v>
      </c>
      <c r="U6" s="294">
        <f>(IF('Section Load'!V9&gt;0,'Section Load'!V9,0))</f>
        <v>394.71999999997206</v>
      </c>
      <c r="V6" s="294">
        <f>(IF('Section Load'!W9&gt;0,'Section Load'!W9,0))</f>
        <v>335.7599999998929</v>
      </c>
      <c r="W6" s="294">
        <f>(IF('Section Load'!X9&gt;0,'Section Load'!X9,0))</f>
        <v>26.050000000000182</v>
      </c>
      <c r="X6" s="294">
        <f>(IF('Section Load'!Y9&gt;0,'Section Load'!Y9,0))</f>
        <v>250.40000000000146</v>
      </c>
      <c r="Y6" s="294">
        <f>(IF('Section Load'!Z9&gt;0,'Section Load'!Z9,0))</f>
        <v>320</v>
      </c>
      <c r="Z6" s="294">
        <f>(IF('Section Load'!AA9&gt;0,'Section Load'!AA9,0))</f>
        <v>22.159999999974389</v>
      </c>
      <c r="AA6" s="294">
        <f>(IF('Section Load'!AB9&gt;0,'Section Load'!AB9,0))</f>
        <v>39</v>
      </c>
      <c r="AB6" s="294">
        <f>(IF('Section Load'!AC9&gt;0,'Section Load'!AC9,0))</f>
        <v>0</v>
      </c>
      <c r="AC6" s="294">
        <f>(IF('Section Load'!AD9&gt;0,'Section Load'!AD9,0))</f>
        <v>152.90000000000873</v>
      </c>
      <c r="AD6" s="294">
        <f>(IF('Section Load'!AE9&gt;0,'Section Load'!AE9,0))</f>
        <v>470.58000000000175</v>
      </c>
      <c r="AE6" s="294">
        <f>(IF('Section Load'!AF9&gt;0,'Section Load'!AF9,0))</f>
        <v>197.53999999999724</v>
      </c>
      <c r="AF6" s="294">
        <f>(IF('Section Load'!AG9&gt;0,'Section Load'!AG9,0))</f>
        <v>532.32999999999993</v>
      </c>
      <c r="AG6" s="294">
        <f>(IF('Section Load'!AH9&gt;0,'Section Load'!AH9,0))</f>
        <v>400.34000000000015</v>
      </c>
      <c r="AH6" s="294">
        <f>(IF('Section Load'!AI9&gt;0,'Section Load'!AI9,0))</f>
        <v>406.27000000000044</v>
      </c>
      <c r="AI6" s="294">
        <f>(IF('Section Load'!AJ9&gt;0,'Section Load'!AJ9,0))</f>
        <v>428.40999999999985</v>
      </c>
      <c r="AJ6" s="294">
        <f>(IF('Section Load'!AK9&gt;0,'Section Load'!AK9,0))</f>
        <v>210.30000000000018</v>
      </c>
      <c r="AK6" s="294">
        <f>(IF('Section Load'!AL9&gt;0,'Section Load'!AL9,0))</f>
        <v>313.05999999999995</v>
      </c>
      <c r="AL6" s="294">
        <f>(IF('Section Load'!AM9&gt;0,'Section Load'!AM9,0))</f>
        <v>911.47999999998137</v>
      </c>
      <c r="AM6" s="295">
        <f>(IF('Water Report'!$H$7&gt;0,'Water Report'!$H$7,0))</f>
        <v>159</v>
      </c>
      <c r="AN6" s="295">
        <f>(IF('Water Report'!$H$8&gt;0,'Water Report'!$H$8,0))</f>
        <v>144</v>
      </c>
      <c r="AO6" s="295">
        <f>(IF('Water Report'!$H$9&gt;0,'Water Report'!$H$9,0))</f>
        <v>106</v>
      </c>
      <c r="AP6" s="295">
        <f>(IF('Water Report'!$H$10&gt;0,'Water Report'!$H$10,0))</f>
        <v>18</v>
      </c>
      <c r="AQ6" s="295">
        <f>(IF('Water Report'!$H$11&gt;0,'Water Report'!$H$11,0))</f>
        <v>76</v>
      </c>
      <c r="AR6" s="295">
        <f>(IF('Water Report'!$H$13&gt;0,'Water Report'!$H$13,0))</f>
        <v>13</v>
      </c>
      <c r="AS6" s="295">
        <f>(IF('Water Report'!$H$14&gt;0,'Water Report'!$H$14,0))</f>
        <v>8</v>
      </c>
      <c r="AT6" s="295">
        <f>(IF('Water Report'!$H$15&gt;0,'Water Report'!$H$15,0))</f>
        <v>13</v>
      </c>
      <c r="AU6" s="295">
        <f>(IF('Water Report'!$H$17&gt;0,'Water Report'!$H$17,0))</f>
        <v>0</v>
      </c>
      <c r="AV6" s="295">
        <f>(IF('Water Report'!$H$18&gt;0,'Water Report'!$H$18,0))</f>
        <v>15</v>
      </c>
      <c r="AW6" s="295">
        <f>(IF('Water Report'!$H$19&gt;0,'Water Report'!$H$19,0))</f>
        <v>14</v>
      </c>
      <c r="AX6" s="301">
        <f>(IF('Water Report'!$H$21&gt;0,'Water Report'!$H$21,0))</f>
        <v>99</v>
      </c>
      <c r="AY6" s="301">
        <f>(IF('Water Report'!$H$22&gt;0,'Water Report'!$H$22,0))</f>
        <v>0</v>
      </c>
      <c r="AZ6" s="301">
        <f>(IF('Water Report'!$H$23&gt;0,'Water Report'!$H$23,0))</f>
        <v>16</v>
      </c>
      <c r="BA6" s="301">
        <f>(IF('Water Report'!$H$14&gt;0,'Water Report'!$H$14,0))</f>
        <v>8</v>
      </c>
      <c r="BB6" s="301">
        <f>(IF('Water Report'!$H$15&gt;0,'Water Report'!$H$15,0))</f>
        <v>13</v>
      </c>
      <c r="BC6" s="301">
        <f>(IF('Water Report'!$H$13&gt;0,'Water Report'!$H$13,0))</f>
        <v>13</v>
      </c>
      <c r="BD6" s="301">
        <f>(IF('Water Report'!$H$24&gt;0,'Water Report'!$H$24,0))</f>
        <v>274</v>
      </c>
      <c r="BE6" s="301">
        <f>(IF('Water Report'!$H$25&gt;0,'Water Report'!$H$25,0))</f>
        <v>221</v>
      </c>
      <c r="BF6" s="301">
        <f>(IF('Water Report'!$H$27&gt;0,'Water Report'!$H$27,0))</f>
        <v>128</v>
      </c>
      <c r="BG6" s="296">
        <f>(IF('Section Load'!AN9&gt;0,'Section Load'!AN9,0))</f>
        <v>1073.9499999999534</v>
      </c>
      <c r="BH6" s="296">
        <f>(IF('Section Load'!AO9&gt;0,'Section Load'!AO9,0))</f>
        <v>294.60999999998603</v>
      </c>
      <c r="BI6" s="296">
        <f>(IF('Section Load'!AP9&gt;0,'Section Load'!AP9,0))</f>
        <v>0</v>
      </c>
      <c r="BJ6" s="296">
        <f>(IF('Section Load'!AQ9&gt;0,'Section Load'!AQ9,0))</f>
        <v>108.91000000000349</v>
      </c>
      <c r="BK6" s="296">
        <f>(IF('Section Load'!AR9&gt;0,'Section Load'!AR9,0))</f>
        <v>40.099999999998545</v>
      </c>
      <c r="BL6" s="296">
        <f>(IF('Section Load'!AS9&gt;0,'Section Load'!AS9,0))</f>
        <v>0.3999999999996362</v>
      </c>
      <c r="BM6" s="296">
        <f>(IF('Section Load'!AT9&gt;0,'Section Load'!AT9,0))</f>
        <v>629.92999999996573</v>
      </c>
    </row>
    <row r="7" spans="1:65">
      <c r="A7" s="287" t="s">
        <v>268</v>
      </c>
      <c r="B7" s="288">
        <f t="shared" si="0"/>
        <v>6</v>
      </c>
      <c r="C7" s="288">
        <v>4</v>
      </c>
      <c r="D7" s="288">
        <v>2022</v>
      </c>
      <c r="E7" s="294">
        <f>(IF('Section Load'!F10&gt;0,'Section Load'!F10,0))</f>
        <v>4272.8800000000047</v>
      </c>
      <c r="F7" s="294">
        <f>(IF('Section Load'!G10&gt;0,'Section Load'!G10,0))</f>
        <v>1557.2799999999988</v>
      </c>
      <c r="G7" s="294">
        <f>(IF('Section Load'!H10&gt;0,'Section Load'!H10,0))</f>
        <v>2445.359999999986</v>
      </c>
      <c r="H7" s="294">
        <f>(IF('Section Load'!I10&gt;0,'Section Load'!I10,0))</f>
        <v>2947.0800000000163</v>
      </c>
      <c r="I7" s="294">
        <f>(IF('Section Load'!J10&gt;0,'Section Load'!J10,0))</f>
        <v>7938.730000000025</v>
      </c>
      <c r="J7" s="294">
        <f>(IF('Section Load'!K10&gt;0,'Section Load'!K10,0))</f>
        <v>2691.7999999999884</v>
      </c>
      <c r="K7" s="294">
        <f>(IF('Section Load'!L10&gt;0,'Section Load'!L10,0))</f>
        <v>1230.4400000000023</v>
      </c>
      <c r="L7" s="294">
        <f>(IF('Section Load'!M10&gt;0,'Section Load'!M10,0))</f>
        <v>862.08999999999651</v>
      </c>
      <c r="M7" s="294">
        <f>(IF('Section Load'!N10&gt;0,'Section Load'!N10,0))</f>
        <v>123</v>
      </c>
      <c r="N7" s="294">
        <f>(IF('Section Load'!O10&gt;0,'Section Load'!O10,0))</f>
        <v>150</v>
      </c>
      <c r="O7" s="294">
        <f>(IF('Section Load'!P10&gt;0,'Section Load'!P10,0))</f>
        <v>16.960000000000008</v>
      </c>
      <c r="P7" s="294">
        <f>(IF('Section Load'!Q10&gt;0,'Section Load'!Q10,0))</f>
        <v>213.6200000000099</v>
      </c>
      <c r="Q7" s="294">
        <f>(IF('Section Load'!R10&gt;0,'Section Load'!R10,0))</f>
        <v>69.729999999999563</v>
      </c>
      <c r="R7" s="294">
        <f>(IF('Section Load'!S10&gt;0,'Section Load'!S10,0))</f>
        <v>2.5299999999997453</v>
      </c>
      <c r="S7" s="294">
        <f>(IF('Section Load'!T10&gt;0,'Section Load'!T10,0))</f>
        <v>27</v>
      </c>
      <c r="T7" s="294">
        <f>(IF('Section Load'!U10&gt;0,'Section Load'!U10,0))</f>
        <v>260</v>
      </c>
      <c r="U7" s="294">
        <f>(IF('Section Load'!V10&gt;0,'Section Load'!V10,0))</f>
        <v>397.54000000003725</v>
      </c>
      <c r="V7" s="294">
        <f>(IF('Section Load'!W10&gt;0,'Section Load'!W10,0))</f>
        <v>335.92000000004191</v>
      </c>
      <c r="W7" s="294">
        <f>(IF('Section Load'!X10&gt;0,'Section Load'!X10,0))</f>
        <v>26.989999999999782</v>
      </c>
      <c r="X7" s="294">
        <f>(IF('Section Load'!Y10&gt;0,'Section Load'!Y10,0))</f>
        <v>244.84000000000015</v>
      </c>
      <c r="Y7" s="294">
        <f>(IF('Section Load'!Z10&gt;0,'Section Load'!Z10,0))</f>
        <v>338</v>
      </c>
      <c r="Z7" s="294">
        <f>(IF('Section Load'!AA10&gt;0,'Section Load'!AA10,0))</f>
        <v>22.64000000001397</v>
      </c>
      <c r="AA7" s="294">
        <f>(IF('Section Load'!AB10&gt;0,'Section Load'!AB10,0))</f>
        <v>38.30000000000291</v>
      </c>
      <c r="AB7" s="294">
        <f>(IF('Section Load'!AC10&gt;0,'Section Load'!AC10,0))</f>
        <v>0</v>
      </c>
      <c r="AC7" s="294">
        <f>(IF('Section Load'!AD10&gt;0,'Section Load'!AD10,0))</f>
        <v>149</v>
      </c>
      <c r="AD7" s="294">
        <f>(IF('Section Load'!AE10&gt;0,'Section Load'!AE10,0))</f>
        <v>456.58999999999651</v>
      </c>
      <c r="AE7" s="294">
        <f>(IF('Section Load'!AF10&gt;0,'Section Load'!AF10,0))</f>
        <v>196.61000000000058</v>
      </c>
      <c r="AF7" s="294">
        <f>(IF('Section Load'!AG10&gt;0,'Section Load'!AG10,0))</f>
        <v>531.71999999999935</v>
      </c>
      <c r="AG7" s="294">
        <f>(IF('Section Load'!AH10&gt;0,'Section Load'!AH10,0))</f>
        <v>401.52999999999975</v>
      </c>
      <c r="AH7" s="294">
        <f>(IF('Section Load'!AI10&gt;0,'Section Load'!AI10,0))</f>
        <v>397.47999999999956</v>
      </c>
      <c r="AI7" s="294">
        <f>(IF('Section Load'!AJ10&gt;0,'Section Load'!AJ10,0))</f>
        <v>443.82999999999993</v>
      </c>
      <c r="AJ7" s="294">
        <f>(IF('Section Load'!AK10&gt;0,'Section Load'!AK10,0))</f>
        <v>206.44999999999982</v>
      </c>
      <c r="AK7" s="294">
        <f>(IF('Section Load'!AL10&gt;0,'Section Load'!AL10,0))</f>
        <v>322.17000000000007</v>
      </c>
      <c r="AL7" s="294">
        <f>(IF('Section Load'!AM10&gt;0,'Section Load'!AM10,0))</f>
        <v>1116.6200000000244</v>
      </c>
      <c r="AM7" s="295">
        <f>(IF('Water Report'!$I$7&gt;0,'Water Report'!$I$7,0))</f>
        <v>171</v>
      </c>
      <c r="AN7" s="295">
        <f>(IF('Water Report'!$I$8&gt;0,'Water Report'!$I$8,0))</f>
        <v>165</v>
      </c>
      <c r="AO7" s="295">
        <f>(IF('Water Report'!$I$9&gt;0,'Water Report'!$I$9,0))</f>
        <v>114</v>
      </c>
      <c r="AP7" s="295">
        <f>(IF('Water Report'!$I$10&gt;0,'Water Report'!$I$10,0))</f>
        <v>24</v>
      </c>
      <c r="AQ7" s="295">
        <f>(IF('Water Report'!$I$11&gt;0,'Water Report'!$I$11,0))</f>
        <v>72</v>
      </c>
      <c r="AR7" s="295">
        <f>(IF('Water Report'!$I$13&gt;0,'Water Report'!$I$13,0))</f>
        <v>11</v>
      </c>
      <c r="AS7" s="295">
        <f>(IF('Water Report'!$I$14&gt;0,'Water Report'!$I$14,0))</f>
        <v>7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14</v>
      </c>
      <c r="AW7" s="295">
        <f>(IF('Water Report'!$I$19&gt;0,'Water Report'!$I$19,0))</f>
        <v>14</v>
      </c>
      <c r="AX7" s="301">
        <f>(IF('Water Report'!$I$21&gt;0,'Water Report'!$I$21,0))</f>
        <v>109</v>
      </c>
      <c r="AY7" s="301">
        <f>(IF('Water Report'!$I$22&gt;0,'Water Report'!$I$22,0))</f>
        <v>0</v>
      </c>
      <c r="AZ7" s="301">
        <f>(IF('Water Report'!$I$23&gt;0,'Water Report'!$I$23,0))</f>
        <v>14</v>
      </c>
      <c r="BA7" s="301">
        <f>(IF('Water Report'!$I$14&gt;0,'Water Report'!$I$14,0))</f>
        <v>7</v>
      </c>
      <c r="BB7" s="301">
        <f>(IF('Water Report'!$I$15&gt;0,'Water Report'!$I$15,0))</f>
        <v>6</v>
      </c>
      <c r="BC7" s="301">
        <f>(IF('Water Report'!$I$13&gt;0,'Water Report'!$I$13,0))</f>
        <v>11</v>
      </c>
      <c r="BD7" s="301">
        <f>(IF('Water Report'!$I$24&gt;0,'Water Report'!$I$24,0))</f>
        <v>285</v>
      </c>
      <c r="BE7" s="301">
        <f>(IF('Water Report'!$I$25&gt;0,'Water Report'!$I$25,0))</f>
        <v>223</v>
      </c>
      <c r="BF7" s="301">
        <f>(IF('Water Report'!$I$27&gt;0,'Water Report'!$I$27,0))</f>
        <v>134</v>
      </c>
      <c r="BG7" s="296">
        <f>(IF('Section Load'!AN10&gt;0,'Section Load'!AN10,0))</f>
        <v>1193.4600000001956</v>
      </c>
      <c r="BH7" s="296">
        <f>(IF('Section Load'!AO10&gt;0,'Section Load'!AO10,0))</f>
        <v>293.18000000005122</v>
      </c>
      <c r="BI7" s="296">
        <f>(IF('Section Load'!AP10&gt;0,'Section Load'!AP10,0))</f>
        <v>0</v>
      </c>
      <c r="BJ7" s="296">
        <f>(IF('Section Load'!AQ10&gt;0,'Section Load'!AQ10,0))</f>
        <v>113.66000000000349</v>
      </c>
      <c r="BK7" s="296">
        <f>(IF('Section Load'!AR10&gt;0,'Section Load'!AR10,0))</f>
        <v>77</v>
      </c>
      <c r="BL7" s="296">
        <f>(IF('Section Load'!AS10&gt;0,'Section Load'!AS10,0))</f>
        <v>0</v>
      </c>
      <c r="BM7" s="296">
        <f>(IF('Section Load'!AT10&gt;0,'Section Load'!AT10,0))</f>
        <v>709.62000000014086</v>
      </c>
    </row>
    <row r="8" spans="1:65">
      <c r="A8" s="287" t="s">
        <v>268</v>
      </c>
      <c r="B8" s="288">
        <f t="shared" si="0"/>
        <v>7</v>
      </c>
      <c r="C8" s="288">
        <v>4</v>
      </c>
      <c r="D8" s="288">
        <v>2022</v>
      </c>
      <c r="E8" s="294">
        <f>(IF('Section Load'!F11&gt;0,'Section Load'!F11,0))</f>
        <v>4098.859999999986</v>
      </c>
      <c r="F8" s="294">
        <f>(IF('Section Load'!G11&gt;0,'Section Load'!G11,0))</f>
        <v>1615.390000000014</v>
      </c>
      <c r="G8" s="294">
        <f>(IF('Section Load'!H11&gt;0,'Section Load'!H11,0))</f>
        <v>2452.3500000000058</v>
      </c>
      <c r="H8" s="294">
        <f>(IF('Section Load'!I11&gt;0,'Section Load'!I11,0))</f>
        <v>2980.929999999993</v>
      </c>
      <c r="I8" s="294">
        <f>(IF('Section Load'!J11&gt;0,'Section Load'!J11,0))</f>
        <v>8551.6799999999785</v>
      </c>
      <c r="J8" s="294">
        <f>(IF('Section Load'!K11&gt;0,'Section Load'!K11,0))</f>
        <v>2791.3699999999953</v>
      </c>
      <c r="K8" s="294">
        <f>(IF('Section Load'!L11&gt;0,'Section Load'!L11,0))</f>
        <v>1480.1900000000023</v>
      </c>
      <c r="L8" s="294">
        <f>(IF('Section Load'!M11&gt;0,'Section Load'!M11,0))</f>
        <v>1050.640000000014</v>
      </c>
      <c r="M8" s="294">
        <f>(IF('Section Load'!N11&gt;0,'Section Load'!N11,0))</f>
        <v>145</v>
      </c>
      <c r="N8" s="294">
        <f>(IF('Section Load'!O11&gt;0,'Section Load'!O11,0))</f>
        <v>150</v>
      </c>
      <c r="O8" s="294">
        <f>(IF('Section Load'!P11&gt;0,'Section Load'!P11,0))</f>
        <v>14.810000000000002</v>
      </c>
      <c r="P8" s="294">
        <f>(IF('Section Load'!Q11&gt;0,'Section Load'!Q11,0))</f>
        <v>203.0399999999936</v>
      </c>
      <c r="Q8" s="294">
        <f>(IF('Section Load'!R11&gt;0,'Section Load'!R11,0))</f>
        <v>69.659999999999854</v>
      </c>
      <c r="R8" s="294">
        <f>(IF('Section Load'!S11&gt;0,'Section Load'!S11,0))</f>
        <v>2.430000000000291</v>
      </c>
      <c r="S8" s="294">
        <f>(IF('Section Load'!T11&gt;0,'Section Load'!T11,0))</f>
        <v>61</v>
      </c>
      <c r="T8" s="294">
        <f>(IF('Section Load'!U11&gt;0,'Section Load'!U11,0))</f>
        <v>250</v>
      </c>
      <c r="U8" s="294">
        <f>(IF('Section Load'!V11&gt;0,'Section Load'!V11,0))</f>
        <v>422.93999999994412</v>
      </c>
      <c r="V8" s="294">
        <f>(IF('Section Load'!W11&gt;0,'Section Load'!W11,0))</f>
        <v>374.76000000000931</v>
      </c>
      <c r="W8" s="294">
        <f>(IF('Section Load'!X11&gt;0,'Section Load'!X11,0))</f>
        <v>29.5</v>
      </c>
      <c r="X8" s="294">
        <f>(IF('Section Load'!Y11&gt;0,'Section Load'!Y11,0))</f>
        <v>229.06999999999971</v>
      </c>
      <c r="Y8" s="294">
        <f>(IF('Section Load'!Z11&gt;0,'Section Load'!Z11,0))</f>
        <v>292</v>
      </c>
      <c r="Z8" s="294">
        <f>(IF('Section Load'!AA11&gt;0,'Section Load'!AA11,0))</f>
        <v>22.35999999998603</v>
      </c>
      <c r="AA8" s="294">
        <f>(IF('Section Load'!AB11&gt;0,'Section Load'!AB11,0))</f>
        <v>46.69999999999709</v>
      </c>
      <c r="AB8" s="294">
        <f>(IF('Section Load'!AC11&gt;0,'Section Load'!AC11,0))</f>
        <v>0</v>
      </c>
      <c r="AC8" s="294">
        <f>(IF('Section Load'!AD11&gt;0,'Section Load'!AD11,0))</f>
        <v>182.59999999999673</v>
      </c>
      <c r="AD8" s="294">
        <f>(IF('Section Load'!AE11&gt;0,'Section Load'!AE11,0))</f>
        <v>453</v>
      </c>
      <c r="AE8" s="294">
        <f>(IF('Section Load'!AF11&gt;0,'Section Load'!AF11,0))</f>
        <v>209.11000000000058</v>
      </c>
      <c r="AF8" s="294">
        <f>(IF('Section Load'!AG11&gt;0,'Section Load'!AG11,0))</f>
        <v>565.20000000000073</v>
      </c>
      <c r="AG8" s="294">
        <f>(IF('Section Load'!AH11&gt;0,'Section Load'!AH11,0))</f>
        <v>408.02000000000044</v>
      </c>
      <c r="AH8" s="294">
        <f>(IF('Section Load'!AI11&gt;0,'Section Load'!AI11,0))</f>
        <v>405.34000000000015</v>
      </c>
      <c r="AI8" s="294">
        <f>(IF('Section Load'!AJ11&gt;0,'Section Load'!AJ11,0))</f>
        <v>473.44000000000051</v>
      </c>
      <c r="AJ8" s="294">
        <f>(IF('Section Load'!AK11&gt;0,'Section Load'!AK11,0))</f>
        <v>189.48999999999978</v>
      </c>
      <c r="AK8" s="294">
        <f>(IF('Section Load'!AL11&gt;0,'Section Load'!AL11,0))</f>
        <v>329.88999999999987</v>
      </c>
      <c r="AL8" s="294">
        <f>(IF('Section Load'!AM11&gt;0,'Section Load'!AM11,0))</f>
        <v>1044.8299999999872</v>
      </c>
      <c r="AM8" s="295">
        <f>(IF('Water Report'!$J$7&gt;0,'Water Report'!$J$7,0))</f>
        <v>180</v>
      </c>
      <c r="AN8" s="295">
        <f>(IF('Water Report'!$J$8&gt;0,'Water Report'!$J$8,0))</f>
        <v>135</v>
      </c>
      <c r="AO8" s="295">
        <f>(IF('Water Report'!$J$9&gt;0,'Water Report'!$J$9,0))</f>
        <v>105</v>
      </c>
      <c r="AP8" s="295">
        <f>(IF('Water Report'!$J$10&gt;0,'Water Report'!$J$10,0))</f>
        <v>28</v>
      </c>
      <c r="AQ8" s="295">
        <f>(IF('Water Report'!$J$11&gt;0,'Water Report'!$J$11,0))</f>
        <v>78</v>
      </c>
      <c r="AR8" s="295">
        <f>(IF('Water Report'!$J$13&gt;0,'Water Report'!$J$13,0))</f>
        <v>20</v>
      </c>
      <c r="AS8" s="295">
        <f>(IF('Water Report'!$J$14&gt;0,'Water Report'!$J$14,0))</f>
        <v>9</v>
      </c>
      <c r="AT8" s="295">
        <f>(IF('Water Report'!$J$15&gt;0,'Water Report'!$J$15,0))</f>
        <v>13</v>
      </c>
      <c r="AU8" s="295">
        <f>(IF('Water Report'!$J$17&gt;0,'Water Report'!$J$17,0))</f>
        <v>0</v>
      </c>
      <c r="AV8" s="295">
        <f>(IF('Water Report'!$J$18&gt;0,'Water Report'!$J$18,0))</f>
        <v>17</v>
      </c>
      <c r="AW8" s="295">
        <f>(IF('Water Report'!$J$19&gt;0,'Water Report'!$J$19,0))</f>
        <v>14</v>
      </c>
      <c r="AX8" s="301">
        <f>(IF('Water Report'!$J$21&gt;0,'Water Report'!$J$21,0))</f>
        <v>104</v>
      </c>
      <c r="AY8" s="301">
        <f>(IF('Water Report'!$J$22&gt;0,'Water Report'!$J$22,0))</f>
        <v>0</v>
      </c>
      <c r="AZ8" s="301">
        <f>(IF('Water Report'!$J$23&gt;0,'Water Report'!$J$23,0))</f>
        <v>2</v>
      </c>
      <c r="BA8" s="301">
        <f>(IF('Water Report'!$J$14&gt;0,'Water Report'!$J$14,0))</f>
        <v>9</v>
      </c>
      <c r="BB8" s="301">
        <f>(IF('Water Report'!$J$15&gt;0,'Water Report'!$J$15,0))</f>
        <v>13</v>
      </c>
      <c r="BC8" s="301">
        <f>(IF('Water Report'!$J$13&gt;0,'Water Report'!$J$13,0))</f>
        <v>20</v>
      </c>
      <c r="BD8" s="301">
        <f>(IF('Water Report'!$J$24&gt;0,'Water Report'!$J$24,0))</f>
        <v>306</v>
      </c>
      <c r="BE8" s="301">
        <f>(IF('Water Report'!$J$25&gt;0,'Water Report'!$J$25,0))</f>
        <v>233</v>
      </c>
      <c r="BF8" s="301">
        <f>(IF('Water Report'!$J$27&gt;0,'Water Report'!$J$27,0))</f>
        <v>126</v>
      </c>
      <c r="BG8" s="296">
        <f>(IF('Section Load'!AN11&gt;0,'Section Load'!AN11,0))</f>
        <v>1134.1399999998976</v>
      </c>
      <c r="BH8" s="296">
        <f>(IF('Section Load'!AO11&gt;0,'Section Load'!AO11,0))</f>
        <v>345.59999999997672</v>
      </c>
      <c r="BI8" s="296">
        <f>(IF('Section Load'!AP11&gt;0,'Section Load'!AP11,0))</f>
        <v>0</v>
      </c>
      <c r="BJ8" s="296">
        <f>(IF('Section Load'!AQ11&gt;0,'Section Load'!AQ11,0))</f>
        <v>104.48999999999069</v>
      </c>
      <c r="BK8" s="296">
        <f>(IF('Section Load'!AR11&gt;0,'Section Load'!AR11,0))</f>
        <v>70</v>
      </c>
      <c r="BL8" s="296">
        <f>(IF('Section Load'!AS11&gt;0,'Section Load'!AS11,0))</f>
        <v>0</v>
      </c>
      <c r="BM8" s="296">
        <f>(IF('Section Load'!AT11&gt;0,'Section Load'!AT11,0))</f>
        <v>614.04999999993015</v>
      </c>
    </row>
    <row r="9" spans="1:65">
      <c r="A9" s="287" t="s">
        <v>268</v>
      </c>
      <c r="B9" s="288">
        <f t="shared" si="0"/>
        <v>8</v>
      </c>
      <c r="C9" s="288">
        <v>4</v>
      </c>
      <c r="D9" s="288">
        <v>2022</v>
      </c>
      <c r="E9" s="294">
        <f>(IF('Section Load'!F12&gt;0,'Section Load'!F12,0))</f>
        <v>4144</v>
      </c>
      <c r="F9" s="294">
        <f>(IF('Section Load'!G12&gt;0,'Section Load'!G12,0))</f>
        <v>1582</v>
      </c>
      <c r="G9" s="294">
        <f>(IF('Section Load'!H12&gt;0,'Section Load'!H12,0))</f>
        <v>2503</v>
      </c>
      <c r="H9" s="294">
        <f>(IF('Section Load'!I12&gt;0,'Section Load'!I12,0))</f>
        <v>2937</v>
      </c>
      <c r="I9" s="294">
        <f>(IF('Section Load'!J12&gt;0,'Section Load'!J12,0))</f>
        <v>7883</v>
      </c>
      <c r="J9" s="294">
        <f>(IF('Section Load'!K12&gt;0,'Section Load'!K12,0))</f>
        <v>2856</v>
      </c>
      <c r="K9" s="294">
        <f>(IF('Section Load'!L12&gt;0,'Section Load'!L12,0))</f>
        <v>1290</v>
      </c>
      <c r="L9" s="294">
        <f>(IF('Section Load'!M12&gt;0,'Section Load'!M12,0))</f>
        <v>1079</v>
      </c>
      <c r="M9" s="294">
        <f>(IF('Section Load'!N12&gt;0,'Section Load'!N12,0))</f>
        <v>149</v>
      </c>
      <c r="N9" s="294">
        <f>(IF('Section Load'!O12&gt;0,'Section Load'!O12,0))</f>
        <v>146</v>
      </c>
      <c r="O9" s="294">
        <f>(IF('Section Load'!P12&gt;0,'Section Load'!P12,0))</f>
        <v>13</v>
      </c>
      <c r="P9" s="294">
        <f>(IF('Section Load'!Q12&gt;0,'Section Load'!Q12,0))</f>
        <v>205</v>
      </c>
      <c r="Q9" s="294">
        <f>(IF('Section Load'!R12&gt;0,'Section Load'!R12,0))</f>
        <v>73</v>
      </c>
      <c r="R9" s="294">
        <f>(IF('Section Load'!S12&gt;0,'Section Load'!S12,0))</f>
        <v>2</v>
      </c>
      <c r="S9" s="294">
        <f>(IF('Section Load'!T12&gt;0,'Section Load'!T12,0))</f>
        <v>45</v>
      </c>
      <c r="T9" s="294">
        <f>(IF('Section Load'!U12&gt;0,'Section Load'!U12,0))</f>
        <v>257</v>
      </c>
      <c r="U9" s="294">
        <f>(IF('Section Load'!V12&gt;0,'Section Load'!V12,0))</f>
        <v>414</v>
      </c>
      <c r="V9" s="294">
        <f>(IF('Section Load'!W12&gt;0,'Section Load'!W12,0))</f>
        <v>384</v>
      </c>
      <c r="W9" s="294">
        <f>(IF('Section Load'!X12&gt;0,'Section Load'!X12,0))</f>
        <v>31</v>
      </c>
      <c r="X9" s="294">
        <f>(IF('Section Load'!Y12&gt;0,'Section Load'!Y12,0))</f>
        <v>241</v>
      </c>
      <c r="Y9" s="294">
        <f>(IF('Section Load'!Z12&gt;0,'Section Load'!Z12,0))</f>
        <v>332</v>
      </c>
      <c r="Z9" s="294">
        <f>(IF('Section Load'!AA12&gt;0,'Section Load'!AA12,0))</f>
        <v>23</v>
      </c>
      <c r="AA9" s="294">
        <f>(IF('Section Load'!AB12&gt;0,'Section Load'!AB12,0))</f>
        <v>17</v>
      </c>
      <c r="AB9" s="294">
        <f>(IF('Section Load'!AC12&gt;0,'Section Load'!AC12,0))</f>
        <v>0</v>
      </c>
      <c r="AC9" s="294">
        <f>(IF('Section Load'!AD12&gt;0,'Section Load'!AD12,0))</f>
        <v>182</v>
      </c>
      <c r="AD9" s="294">
        <f>(IF('Section Load'!AE12&gt;0,'Section Load'!AE12,0))</f>
        <v>426</v>
      </c>
      <c r="AE9" s="294">
        <f>(IF('Section Load'!AF12&gt;0,'Section Load'!AF12,0))</f>
        <v>204</v>
      </c>
      <c r="AF9" s="294">
        <f>(IF('Section Load'!AG12&gt;0,'Section Load'!AG12,0))</f>
        <v>567</v>
      </c>
      <c r="AG9" s="294">
        <f>(IF('Section Load'!AH12&gt;0,'Section Load'!AH12,0))</f>
        <v>411</v>
      </c>
      <c r="AH9" s="294">
        <f>(IF('Section Load'!AI12&gt;0,'Section Load'!AI12,0))</f>
        <v>409</v>
      </c>
      <c r="AI9" s="294">
        <f>(IF('Section Load'!AJ12&gt;0,'Section Load'!AJ12,0))</f>
        <v>445</v>
      </c>
      <c r="AJ9" s="294">
        <f>(IF('Section Load'!AK12&gt;0,'Section Load'!AK12,0))</f>
        <v>196</v>
      </c>
      <c r="AK9" s="294">
        <f>(IF('Section Load'!AL12&gt;0,'Section Load'!AL12,0))</f>
        <v>331</v>
      </c>
      <c r="AL9" s="294">
        <f>(IF('Section Load'!AM12&gt;0,'Section Load'!AM12,0))</f>
        <v>1026</v>
      </c>
      <c r="AM9" s="295">
        <f>(IF('Water Report'!$K$7&gt;0,'Water Report'!$K$7,0))</f>
        <v>203</v>
      </c>
      <c r="AN9" s="295">
        <f>(IF('Water Report'!$K$8&gt;0,'Water Report'!$K$8,0))</f>
        <v>184</v>
      </c>
      <c r="AO9" s="295">
        <f>(IF('Water Report'!$K$9&gt;0,'Water Report'!$K$9,0))</f>
        <v>122</v>
      </c>
      <c r="AP9" s="295">
        <f>(IF('Water Report'!$K$10&gt;0,'Water Report'!$K$10,0))</f>
        <v>30</v>
      </c>
      <c r="AQ9" s="295">
        <f>(IF('Water Report'!$K$11&gt;0,'Water Report'!$K$11,0))</f>
        <v>92</v>
      </c>
      <c r="AR9" s="295">
        <f>(IF('Water Report'!$K$13&gt;0,'Water Report'!$K$13,0))</f>
        <v>30</v>
      </c>
      <c r="AS9" s="295">
        <f>(IF('Water Report'!$K$14&gt;0,'Water Report'!$K$14,0))</f>
        <v>8</v>
      </c>
      <c r="AT9" s="295">
        <f>(IF('Water Report'!$K$15&gt;0,'Water Report'!$K$15,0))</f>
        <v>5</v>
      </c>
      <c r="AU9" s="295">
        <f>(IF('Water Report'!$K$17&gt;0,'Water Report'!$K$17,0))</f>
        <v>0</v>
      </c>
      <c r="AV9" s="295">
        <f>(IF('Water Report'!$K$18&gt;0,'Water Report'!$K$18,0))</f>
        <v>13</v>
      </c>
      <c r="AW9" s="295">
        <f>(IF('Water Report'!$K$19&gt;0,'Water Report'!$K$19,0))</f>
        <v>15</v>
      </c>
      <c r="AX9" s="301">
        <f>(IF('Water Report'!$K$21&gt;0,'Water Report'!$K$21,0))</f>
        <v>127</v>
      </c>
      <c r="AY9" s="301">
        <f>(IF('Water Report'!$K$22&gt;0,'Water Report'!$K$22,0))</f>
        <v>0</v>
      </c>
      <c r="AZ9" s="301">
        <f>(IF('Water Report'!$K$23&gt;0,'Water Report'!$K$23,0))</f>
        <v>5</v>
      </c>
      <c r="BA9" s="301">
        <f>(IF('Water Report'!$K$14&gt;0,'Water Report'!$K$14,0))</f>
        <v>8</v>
      </c>
      <c r="BB9" s="301">
        <f>(IF('Water Report'!$K$15&gt;0,'Water Report'!$K$15,0))</f>
        <v>5</v>
      </c>
      <c r="BC9" s="301">
        <f>(IF('Water Report'!$K$13&gt;0,'Water Report'!$K$13,0))</f>
        <v>30</v>
      </c>
      <c r="BD9" s="301">
        <f>(IF('Water Report'!$K$24&gt;0,'Water Report'!$K$24,0))</f>
        <v>408</v>
      </c>
      <c r="BE9" s="301">
        <f>(IF('Water Report'!$K$25&gt;0,'Water Report'!$K$25,0))</f>
        <v>257</v>
      </c>
      <c r="BF9" s="301">
        <f>(IF('Water Report'!$K$27&gt;0,'Water Report'!$K$27,0))</f>
        <v>162</v>
      </c>
      <c r="BG9" s="296">
        <f>(IF('Section Load'!AN12&gt;0,'Section Load'!AN12,0))</f>
        <v>1142</v>
      </c>
      <c r="BH9" s="296">
        <f>(IF('Section Load'!AO12&gt;0,'Section Load'!AO12,0))</f>
        <v>322</v>
      </c>
      <c r="BI9" s="296">
        <f>(IF('Section Load'!AP12&gt;0,'Section Load'!AP12,0))</f>
        <v>0</v>
      </c>
      <c r="BJ9" s="296">
        <f>(IF('Section Load'!AQ12&gt;0,'Section Load'!AQ12,0))</f>
        <v>103</v>
      </c>
      <c r="BK9" s="296">
        <f>(IF('Section Load'!AR12&gt;0,'Section Load'!AR12,0))</f>
        <v>58</v>
      </c>
      <c r="BL9" s="296">
        <f>(IF('Section Load'!AS12&gt;0,'Section Load'!AS12,0))</f>
        <v>0</v>
      </c>
      <c r="BM9" s="296">
        <f>(IF('Section Load'!AT12&gt;0,'Section Load'!AT12,0))</f>
        <v>659</v>
      </c>
    </row>
    <row r="10" spans="1:65">
      <c r="A10" s="287" t="s">
        <v>268</v>
      </c>
      <c r="B10" s="288">
        <f t="shared" si="0"/>
        <v>9</v>
      </c>
      <c r="C10" s="288">
        <v>4</v>
      </c>
      <c r="D10" s="288">
        <v>2022</v>
      </c>
      <c r="E10" s="294">
        <f>(IF('Section Load'!F13&gt;0,'Section Load'!F13,0))</f>
        <v>4018</v>
      </c>
      <c r="F10" s="294">
        <f>(IF('Section Load'!G13&gt;0,'Section Load'!G13,0))</f>
        <v>1657.32</v>
      </c>
      <c r="G10" s="294">
        <f>(IF('Section Load'!H13&gt;0,'Section Load'!H13,0))</f>
        <v>2411.2399999999998</v>
      </c>
      <c r="H10" s="294">
        <f>(IF('Section Load'!I13&gt;0,'Section Load'!I13,0))</f>
        <v>2883</v>
      </c>
      <c r="I10" s="294">
        <f>(IF('Section Load'!J13&gt;0,'Section Load'!J13,0))</f>
        <v>7880</v>
      </c>
      <c r="J10" s="294">
        <f>(IF('Section Load'!K13&gt;0,'Section Load'!K13,0))</f>
        <v>2856</v>
      </c>
      <c r="K10" s="294">
        <f>(IF('Section Load'!L13&gt;0,'Section Load'!L13,0))</f>
        <v>1117</v>
      </c>
      <c r="L10" s="294">
        <f>(IF('Section Load'!M13&gt;0,'Section Load'!M13,0))</f>
        <v>1162</v>
      </c>
      <c r="M10" s="294">
        <f>(IF('Section Load'!N13&gt;0,'Section Load'!N13,0))</f>
        <v>159</v>
      </c>
      <c r="N10" s="294">
        <f>(IF('Section Load'!O13&gt;0,'Section Load'!O13,0))</f>
        <v>157</v>
      </c>
      <c r="O10" s="294">
        <f>(IF('Section Load'!P13&gt;0,'Section Load'!P13,0))</f>
        <v>12</v>
      </c>
      <c r="P10" s="294">
        <f>(IF('Section Load'!Q13&gt;0,'Section Load'!Q13,0))</f>
        <v>193</v>
      </c>
      <c r="Q10" s="294">
        <f>(IF('Section Load'!R13&gt;0,'Section Load'!R13,0))</f>
        <v>67</v>
      </c>
      <c r="R10" s="294">
        <f>(IF('Section Load'!S13&gt;0,'Section Load'!S13,0))</f>
        <v>3</v>
      </c>
      <c r="S10" s="294">
        <f>(IF('Section Load'!T13&gt;0,'Section Load'!T13,0))</f>
        <v>29</v>
      </c>
      <c r="T10" s="294">
        <f>(IF('Section Load'!U13&gt;0,'Section Load'!U13,0))</f>
        <v>261</v>
      </c>
      <c r="U10" s="294">
        <f>(IF('Section Load'!V13&gt;0,'Section Load'!V13,0))</f>
        <v>394</v>
      </c>
      <c r="V10" s="294">
        <f>(IF('Section Load'!W13&gt;0,'Section Load'!W13,0))</f>
        <v>342</v>
      </c>
      <c r="W10" s="294">
        <f>(IF('Section Load'!X13&gt;0,'Section Load'!X13,0))</f>
        <v>27</v>
      </c>
      <c r="X10" s="294">
        <f>(IF('Section Load'!Y13&gt;0,'Section Load'!Y13,0))</f>
        <v>233</v>
      </c>
      <c r="Y10" s="294">
        <f>(IF('Section Load'!Z13&gt;0,'Section Load'!Z13,0))</f>
        <v>302</v>
      </c>
      <c r="Z10" s="294">
        <f>(IF('Section Load'!AA13&gt;0,'Section Load'!AA13,0))</f>
        <v>22</v>
      </c>
      <c r="AA10" s="294">
        <f>(IF('Section Load'!AB13&gt;0,'Section Load'!AB13,0))</f>
        <v>39</v>
      </c>
      <c r="AB10" s="294">
        <f>(IF('Section Load'!AC13&gt;0,'Section Load'!AC13,0))</f>
        <v>0</v>
      </c>
      <c r="AC10" s="294">
        <f>(IF('Section Load'!AD13&gt;0,'Section Load'!AD13,0))</f>
        <v>183</v>
      </c>
      <c r="AD10" s="294">
        <f>(IF('Section Load'!AE13&gt;0,'Section Load'!AE13,0))</f>
        <v>359</v>
      </c>
      <c r="AE10" s="294">
        <f>(IF('Section Load'!AF13&gt;0,'Section Load'!AF13,0))</f>
        <v>181</v>
      </c>
      <c r="AF10" s="294">
        <f>(IF('Section Load'!AG13&gt;0,'Section Load'!AG13,0))</f>
        <v>577</v>
      </c>
      <c r="AG10" s="294">
        <f>(IF('Section Load'!AH13&gt;0,'Section Load'!AH13,0))</f>
        <v>415</v>
      </c>
      <c r="AH10" s="294">
        <f>(IF('Section Load'!AI13&gt;0,'Section Load'!AI13,0))</f>
        <v>416</v>
      </c>
      <c r="AI10" s="294">
        <f>(IF('Section Load'!AJ13&gt;0,'Section Load'!AJ13,0))</f>
        <v>440</v>
      </c>
      <c r="AJ10" s="294">
        <f>(IF('Section Load'!AK13&gt;0,'Section Load'!AK13,0))</f>
        <v>223</v>
      </c>
      <c r="AK10" s="294">
        <f>(IF('Section Load'!AL13&gt;0,'Section Load'!AL13,0))</f>
        <v>328</v>
      </c>
      <c r="AL10" s="294">
        <f>(IF('Section Load'!AM13&gt;0,'Section Load'!AM13,0))</f>
        <v>1037</v>
      </c>
      <c r="AM10" s="295">
        <f>(IF('Water Report'!$L$7&gt;0,'Water Report'!$L$7,0))</f>
        <v>152</v>
      </c>
      <c r="AN10" s="295">
        <f>(IF('Water Report'!$L$8&gt;0,'Water Report'!$L$8,0))</f>
        <v>105</v>
      </c>
      <c r="AO10" s="295">
        <f>(IF('Water Report'!$L$9&gt;0,'Water Report'!$L$9,0))</f>
        <v>105</v>
      </c>
      <c r="AP10" s="295">
        <f>(IF('Water Report'!$L$10&gt;0,'Water Report'!$L$10,0))</f>
        <v>18</v>
      </c>
      <c r="AQ10" s="295">
        <f>(IF('Water Report'!$L$11&gt;0,'Water Report'!$L$11,0))</f>
        <v>80</v>
      </c>
      <c r="AR10" s="295">
        <f>(IF('Water Report'!$L$13&gt;0,'Water Report'!$L$13,0))</f>
        <v>21</v>
      </c>
      <c r="AS10" s="295">
        <f>(IF('Water Report'!$L$14&gt;0,'Water Report'!$L$14,0))</f>
        <v>4</v>
      </c>
      <c r="AT10" s="295">
        <f>(IF('Water Report'!$L$15&gt;0,'Water Report'!$L$15,0))</f>
        <v>6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11</v>
      </c>
      <c r="AX10" s="301">
        <f>(IF('Water Report'!$L$21&gt;0,'Water Report'!$L$21,0))</f>
        <v>126</v>
      </c>
      <c r="AY10" s="301">
        <f>(IF('Water Report'!$L$22&gt;0,'Water Report'!$L$22,0))</f>
        <v>0</v>
      </c>
      <c r="AZ10" s="301">
        <f>(IF('Water Report'!$L$23&gt;0,'Water Report'!$L$23,0))</f>
        <v>1</v>
      </c>
      <c r="BA10" s="301">
        <f>(IF('Water Report'!$L$14&gt;0,'Water Report'!$L$14,0))</f>
        <v>4</v>
      </c>
      <c r="BB10" s="301">
        <f>(IF('Water Report'!$L$15&gt;0,'Water Report'!$L$15,0))</f>
        <v>6</v>
      </c>
      <c r="BC10" s="301">
        <f>(IF('Water Report'!$L$13&gt;0,'Water Report'!$L$13,0))</f>
        <v>21</v>
      </c>
      <c r="BD10" s="301">
        <f>(IF('Water Report'!$L$24&gt;0,'Water Report'!$L$24,0))</f>
        <v>398</v>
      </c>
      <c r="BE10" s="301">
        <f>(IF('Water Report'!$L$25&gt;0,'Water Report'!$L$25,0))</f>
        <v>213</v>
      </c>
      <c r="BF10" s="301">
        <f>(IF('Water Report'!$L$27&gt;0,'Water Report'!$L$27,0))</f>
        <v>148</v>
      </c>
      <c r="BG10" s="296">
        <f>(IF('Section Load'!AN13&gt;0,'Section Load'!AN13,0))</f>
        <v>1104</v>
      </c>
      <c r="BH10" s="296">
        <f>(IF('Section Load'!AO13&gt;0,'Section Load'!AO13,0))</f>
        <v>323</v>
      </c>
      <c r="BI10" s="296">
        <f>(IF('Section Load'!AP13&gt;0,'Section Load'!AP13,0))</f>
        <v>0</v>
      </c>
      <c r="BJ10" s="296">
        <f>(IF('Section Load'!AQ13&gt;0,'Section Load'!AQ13,0))</f>
        <v>120</v>
      </c>
      <c r="BK10" s="296">
        <f>(IF('Section Load'!AR13&gt;0,'Section Load'!AR13,0))</f>
        <v>52</v>
      </c>
      <c r="BL10" s="296">
        <f>(IF('Section Load'!AS13&gt;0,'Section Load'!AS13,0))</f>
        <v>0</v>
      </c>
      <c r="BM10" s="296">
        <f>(IF('Section Load'!AT13&gt;0,'Section Load'!AT13,0))</f>
        <v>609</v>
      </c>
    </row>
    <row r="11" spans="1:65">
      <c r="A11" s="287" t="s">
        <v>268</v>
      </c>
      <c r="B11" s="288">
        <f t="shared" si="0"/>
        <v>10</v>
      </c>
      <c r="C11" s="288">
        <v>4</v>
      </c>
      <c r="D11" s="288">
        <v>2022</v>
      </c>
      <c r="E11" s="294">
        <f>(IF('Section Load'!F14&gt;0,'Section Load'!F14,0))</f>
        <v>4223.2000000000116</v>
      </c>
      <c r="F11" s="294">
        <f>(IF('Section Load'!G14&gt;0,'Section Load'!G14,0))</f>
        <v>1683</v>
      </c>
      <c r="G11" s="294">
        <f>(IF('Section Load'!H14&gt;0,'Section Load'!H14,0))</f>
        <v>2214.9500000000116</v>
      </c>
      <c r="H11" s="294">
        <f>(IF('Section Load'!I14&gt;0,'Section Load'!I14,0))</f>
        <v>2899.1900000000023</v>
      </c>
      <c r="I11" s="294">
        <f>(IF('Section Load'!J14&gt;0,'Section Load'!J14,0))</f>
        <v>7288.4600000000355</v>
      </c>
      <c r="J11" s="294">
        <f>(IF('Section Load'!K14&gt;0,'Section Load'!K14,0))</f>
        <v>2909.0300000000279</v>
      </c>
      <c r="K11" s="294">
        <f>(IF('Section Load'!L14&gt;0,'Section Load'!L14,0))</f>
        <v>1086.7000000000116</v>
      </c>
      <c r="L11" s="294">
        <f>(IF('Section Load'!M14&gt;0,'Section Load'!M14,0))</f>
        <v>927.77999999999884</v>
      </c>
      <c r="M11" s="294">
        <f>(IF('Section Load'!N14&gt;0,'Section Load'!N14,0))</f>
        <v>162</v>
      </c>
      <c r="N11" s="294">
        <f>(IF('Section Load'!O14&gt;0,'Section Load'!O14,0))</f>
        <v>157</v>
      </c>
      <c r="O11" s="294">
        <f>(IF('Section Load'!P14&gt;0,'Section Load'!P14,0))</f>
        <v>0</v>
      </c>
      <c r="P11" s="294">
        <f>(IF('Section Load'!Q14&gt;0,'Section Load'!Q14,0))</f>
        <v>199.27000000000407</v>
      </c>
      <c r="Q11" s="294">
        <f>(IF('Section Load'!R14&gt;0,'Section Load'!R14,0))</f>
        <v>67</v>
      </c>
      <c r="R11" s="294">
        <f>(IF('Section Load'!S14&gt;0,'Section Load'!S14,0))</f>
        <v>2.7600000000002183</v>
      </c>
      <c r="S11" s="294">
        <f>(IF('Section Load'!T14&gt;0,'Section Load'!T14,0))</f>
        <v>26</v>
      </c>
      <c r="T11" s="294">
        <f>(IF('Section Load'!U14&gt;0,'Section Load'!U14,0))</f>
        <v>267</v>
      </c>
      <c r="U11" s="294">
        <f>(IF('Section Load'!V14&gt;0,'Section Load'!V14,0))</f>
        <v>415.80000000004657</v>
      </c>
      <c r="V11" s="294">
        <f>(IF('Section Load'!W14&gt;0,'Section Load'!W14,0))</f>
        <v>406.28000000002794</v>
      </c>
      <c r="W11" s="294">
        <f>(IF('Section Load'!X14&gt;0,'Section Load'!X14,0))</f>
        <v>35.090000000000146</v>
      </c>
      <c r="X11" s="294">
        <f>(IF('Section Load'!Y14&gt;0,'Section Load'!Y14,0))</f>
        <v>203.40000000000146</v>
      </c>
      <c r="Y11" s="294">
        <f>(IF('Section Load'!Z14&gt;0,'Section Load'!Z14,0))</f>
        <v>293</v>
      </c>
      <c r="Z11" s="294">
        <f>(IF('Section Load'!AA14&gt;0,'Section Load'!AA14,0))</f>
        <v>24.64000000001397</v>
      </c>
      <c r="AA11" s="294">
        <f>(IF('Section Load'!AB14&gt;0,'Section Load'!AB14,0))</f>
        <v>42.19999999999709</v>
      </c>
      <c r="AB11" s="294">
        <f>(IF('Section Load'!AC14&gt;0,'Section Load'!AC14,0))</f>
        <v>0</v>
      </c>
      <c r="AC11" s="294">
        <f>(IF('Section Load'!AD14&gt;0,'Section Load'!AD14,0))</f>
        <v>202.10000000000582</v>
      </c>
      <c r="AD11" s="294">
        <f>(IF('Section Load'!AE14&gt;0,'Section Load'!AE14,0))</f>
        <v>380.09999999999854</v>
      </c>
      <c r="AE11" s="294">
        <f>(IF('Section Load'!AF14&gt;0,'Section Load'!AF14,0))</f>
        <v>191.5</v>
      </c>
      <c r="AF11" s="294">
        <f>(IF('Section Load'!AG14&gt;0,'Section Load'!AG14,0))</f>
        <v>573.20000000000073</v>
      </c>
      <c r="AG11" s="294">
        <f>(IF('Section Load'!AH14&gt;0,'Section Load'!AH14,0))</f>
        <v>408.5</v>
      </c>
      <c r="AH11" s="294">
        <f>(IF('Section Load'!AI14&gt;0,'Section Load'!AI14,0))</f>
        <v>416.29999999999927</v>
      </c>
      <c r="AI11" s="294">
        <f>(IF('Section Load'!AJ14&gt;0,'Section Load'!AJ14,0))</f>
        <v>420.20000000000073</v>
      </c>
      <c r="AJ11" s="294">
        <f>(IF('Section Load'!AK14&gt;0,'Section Load'!AK14,0))</f>
        <v>205.89999999999964</v>
      </c>
      <c r="AK11" s="294">
        <f>(IF('Section Load'!AL14&gt;0,'Section Load'!AL14,0))</f>
        <v>322.60000000000036</v>
      </c>
      <c r="AL11" s="294">
        <f>(IF('Section Load'!AM14&gt;0,'Section Load'!AM14,0))</f>
        <v>1021.75</v>
      </c>
      <c r="AM11" s="295">
        <f>(IF('Water Report'!$M$7&gt;0,'Water Report'!$M$7,0))</f>
        <v>52</v>
      </c>
      <c r="AN11" s="295">
        <f>(IF('Water Report'!$M$8&gt;0,'Water Report'!$M$8,0))</f>
        <v>149</v>
      </c>
      <c r="AO11" s="295">
        <f>(IF('Water Report'!$M$9&gt;0,'Water Report'!$M$9,0))</f>
        <v>136</v>
      </c>
      <c r="AP11" s="295">
        <f>(IF('Water Report'!$M$10&gt;0,'Water Report'!$M$10,0))</f>
        <v>18</v>
      </c>
      <c r="AQ11" s="295">
        <f>(IF('Water Report'!$M$11&gt;0,'Water Report'!$M$11,0))</f>
        <v>78</v>
      </c>
      <c r="AR11" s="295">
        <f>(IF('Water Report'!$M$13&gt;0,'Water Report'!$M$13,0))</f>
        <v>29</v>
      </c>
      <c r="AS11" s="295">
        <f>(IF('Water Report'!$M$14&gt;0,'Water Report'!$M$14,0))</f>
        <v>5</v>
      </c>
      <c r="AT11" s="295">
        <f>(IF('Water Report'!$M$15&gt;0,'Water Report'!$M$15,0))</f>
        <v>6</v>
      </c>
      <c r="AU11" s="295">
        <f>(IF('Water Report'!$M$17&gt;0,'Water Report'!$M$17,0))</f>
        <v>0</v>
      </c>
      <c r="AV11" s="295">
        <f>(IF('Water Report'!$M$18&gt;0,'Water Report'!$M$18,0))</f>
        <v>10</v>
      </c>
      <c r="AW11" s="295">
        <f>(IF('Water Report'!$M$19&gt;0,'Water Report'!$M$19,0))</f>
        <v>11</v>
      </c>
      <c r="AX11" s="301">
        <f>(IF('Water Report'!$M$21&gt;0,'Water Report'!$M$21,0))</f>
        <v>80</v>
      </c>
      <c r="AY11" s="301">
        <f>(IF('Water Report'!$M$22&gt;0,'Water Report'!$M$22,0))</f>
        <v>0</v>
      </c>
      <c r="AZ11" s="301">
        <f>(IF('Water Report'!$M$23&gt;0,'Water Report'!$M$23,0))</f>
        <v>17</v>
      </c>
      <c r="BA11" s="301">
        <f>(IF('Water Report'!$M$14&gt;0,'Water Report'!$M$14,0))</f>
        <v>5</v>
      </c>
      <c r="BB11" s="301">
        <f>(IF('Water Report'!$M$15&gt;0,'Water Report'!$M$15,0))</f>
        <v>6</v>
      </c>
      <c r="BC11" s="301">
        <f>(IF('Water Report'!$M$13&gt;0,'Water Report'!$M$13,0))</f>
        <v>29</v>
      </c>
      <c r="BD11" s="301">
        <f>(IF('Water Report'!$M$24&gt;0,'Water Report'!$M$24,0))</f>
        <v>81</v>
      </c>
      <c r="BE11" s="301">
        <f>(IF('Water Report'!$M$25&gt;0,'Water Report'!$M$25,0))</f>
        <v>243</v>
      </c>
      <c r="BF11" s="301">
        <f>(IF('Water Report'!$M$27&gt;0,'Water Report'!$M$27,0))</f>
        <v>126</v>
      </c>
      <c r="BG11" s="296">
        <f>(IF('Section Load'!AN14&gt;0,'Section Load'!AN14,0))</f>
        <v>1064</v>
      </c>
      <c r="BH11" s="296">
        <f>(IF('Section Load'!AO14&gt;0,'Section Load'!AO14,0))</f>
        <v>323.7489999999525</v>
      </c>
      <c r="BI11" s="296">
        <f>(IF('Section Load'!AP14&gt;0,'Section Load'!AP14,0))</f>
        <v>0</v>
      </c>
      <c r="BJ11" s="296">
        <f>(IF('Section Load'!AQ14&gt;0,'Section Load'!AQ14,0))</f>
        <v>117</v>
      </c>
      <c r="BK11" s="296">
        <f>(IF('Section Load'!AR14&gt;0,'Section Load'!AR14,0))</f>
        <v>57</v>
      </c>
      <c r="BL11" s="296">
        <f>(IF('Section Load'!AS14&gt;0,'Section Load'!AS14,0))</f>
        <v>0</v>
      </c>
      <c r="BM11" s="296">
        <f>(IF('Section Load'!AT14&gt;0,'Section Load'!AT14,0))</f>
        <v>566.65100000004713</v>
      </c>
    </row>
    <row r="12" spans="1:65">
      <c r="A12" s="287" t="s">
        <v>268</v>
      </c>
      <c r="B12" s="288">
        <f t="shared" si="0"/>
        <v>11</v>
      </c>
      <c r="C12" s="288">
        <v>4</v>
      </c>
      <c r="D12" s="288">
        <v>2022</v>
      </c>
      <c r="E12" s="294">
        <f>(IF('Section Load'!F15&gt;0,'Section Load'!F15,0))</f>
        <v>4088.640000000014</v>
      </c>
      <c r="F12" s="294">
        <f>(IF('Section Load'!G15&gt;0,'Section Load'!G15,0))</f>
        <v>1648.570000000007</v>
      </c>
      <c r="G12" s="294">
        <f>(IF('Section Load'!H15&gt;0,'Section Load'!H15,0))</f>
        <v>2018.5599999999977</v>
      </c>
      <c r="H12" s="294">
        <f>(IF('Section Load'!I15&gt;0,'Section Load'!I15,0))</f>
        <v>2876.8099999999977</v>
      </c>
      <c r="I12" s="294">
        <f>(IF('Section Load'!J15&gt;0,'Section Load'!J15,0))</f>
        <v>7732.4799999999523</v>
      </c>
      <c r="J12" s="294">
        <f>(IF('Section Load'!K15&gt;0,'Section Load'!K15,0))</f>
        <v>2632.9199999999837</v>
      </c>
      <c r="K12" s="294">
        <f>(IF('Section Load'!L15&gt;0,'Section Load'!L15,0))</f>
        <v>1311.5</v>
      </c>
      <c r="L12" s="294">
        <f>(IF('Section Load'!M15&gt;0,'Section Load'!M15,0))</f>
        <v>994.38000000000466</v>
      </c>
      <c r="M12" s="294">
        <f>(IF('Section Load'!N15&gt;0,'Section Load'!N15,0))</f>
        <v>160</v>
      </c>
      <c r="N12" s="294">
        <f>(IF('Section Load'!O15&gt;0,'Section Load'!O15,0))</f>
        <v>156</v>
      </c>
      <c r="O12" s="294">
        <f>(IF('Section Load'!P15&gt;0,'Section Load'!P15,0))</f>
        <v>25.720000000000027</v>
      </c>
      <c r="P12" s="294">
        <f>(IF('Section Load'!Q15&gt;0,'Section Load'!Q15,0))</f>
        <v>185.83000000000175</v>
      </c>
      <c r="Q12" s="294">
        <f>(IF('Section Load'!R15&gt;0,'Section Load'!R15,0))</f>
        <v>60.580000000001746</v>
      </c>
      <c r="R12" s="294">
        <f>(IF('Section Load'!S15&gt;0,'Section Load'!S15,0))</f>
        <v>2.5100000000002183</v>
      </c>
      <c r="S12" s="294">
        <f>(IF('Section Load'!T15&gt;0,'Section Load'!T15,0))</f>
        <v>25</v>
      </c>
      <c r="T12" s="294">
        <f>(IF('Section Load'!U15&gt;0,'Section Load'!U15,0))</f>
        <v>258</v>
      </c>
      <c r="U12" s="294">
        <f>(IF('Section Load'!V15&gt;0,'Section Load'!V15,0))</f>
        <v>399.19999999995343</v>
      </c>
      <c r="V12" s="294">
        <f>(IF('Section Load'!W15&gt;0,'Section Load'!W15,0))</f>
        <v>327.71999999997206</v>
      </c>
      <c r="W12" s="294">
        <f>(IF('Section Load'!X15&gt;0,'Section Load'!X15,0))</f>
        <v>27.930000000000291</v>
      </c>
      <c r="X12" s="294">
        <f>(IF('Section Load'!Y15&gt;0,'Section Load'!Y15,0))</f>
        <v>148.43000000000029</v>
      </c>
      <c r="Y12" s="294">
        <f>(IF('Section Load'!Z15&gt;0,'Section Load'!Z15,0))</f>
        <v>253</v>
      </c>
      <c r="Z12" s="294">
        <f>(IF('Section Load'!AA15&gt;0,'Section Load'!AA15,0))</f>
        <v>25.07999999995809</v>
      </c>
      <c r="AA12" s="294">
        <f>(IF('Section Load'!AB15&gt;0,'Section Load'!AB15,0))</f>
        <v>45.5</v>
      </c>
      <c r="AB12" s="294">
        <f>(IF('Section Load'!AC15&gt;0,'Section Load'!AC15,0))</f>
        <v>0</v>
      </c>
      <c r="AC12" s="294">
        <f>(IF('Section Load'!AD15&gt;0,'Section Load'!AD15,0))</f>
        <v>183.29999999999109</v>
      </c>
      <c r="AD12" s="294">
        <f>(IF('Section Load'!AE15&gt;0,'Section Load'!AE15,0))</f>
        <v>375.59999999999854</v>
      </c>
      <c r="AE12" s="294">
        <f>(IF('Section Load'!AF15&gt;0,'Section Load'!AF15,0))</f>
        <v>178.29999999999927</v>
      </c>
      <c r="AF12" s="294">
        <f>(IF('Section Load'!AG15&gt;0,'Section Load'!AG15,0))</f>
        <v>549.53999999999905</v>
      </c>
      <c r="AG12" s="294">
        <f>(IF('Section Load'!AH15&gt;0,'Section Load'!AH15,0))</f>
        <v>406.70999999999913</v>
      </c>
      <c r="AH12" s="294">
        <f>(IF('Section Load'!AI15&gt;0,'Section Load'!AI15,0))</f>
        <v>403.20000000000073</v>
      </c>
      <c r="AI12" s="294">
        <f>(IF('Section Load'!AJ15&gt;0,'Section Load'!AJ15,0))</f>
        <v>454.79999999999927</v>
      </c>
      <c r="AJ12" s="294">
        <f>(IF('Section Load'!AK15&gt;0,'Section Load'!AK15,0))</f>
        <v>208.3700000000008</v>
      </c>
      <c r="AK12" s="294">
        <f>(IF('Section Load'!AL15&gt;0,'Section Load'!AL15,0))</f>
        <v>314.33999999999924</v>
      </c>
      <c r="AL12" s="294">
        <f>(IF('Section Load'!AM15&gt;0,'Section Load'!AM15,0))</f>
        <v>994.25</v>
      </c>
      <c r="AM12" s="295">
        <f>(IF('Water Report'!$N$7&gt;0,'Water Report'!$N$7,0))</f>
        <v>0</v>
      </c>
      <c r="AN12" s="295">
        <f>(IF('Water Report'!$N$8&gt;0,'Water Report'!$N$8,0))</f>
        <v>120</v>
      </c>
      <c r="AO12" s="295">
        <f>(IF('Water Report'!$N$9&gt;0,'Water Report'!$N$9,0))</f>
        <v>82</v>
      </c>
      <c r="AP12" s="295">
        <f>(IF('Water Report'!$N$10&gt;0,'Water Report'!$N$10,0))</f>
        <v>22</v>
      </c>
      <c r="AQ12" s="295">
        <f>(IF('Water Report'!$N$11&gt;0,'Water Report'!$N$11,0))</f>
        <v>79</v>
      </c>
      <c r="AR12" s="295">
        <f>(IF('Water Report'!$N$13&gt;0,'Water Report'!$N$13,0))</f>
        <v>28</v>
      </c>
      <c r="AS12" s="295">
        <f>(IF('Water Report'!$N$14&gt;0,'Water Report'!$N$14,0))</f>
        <v>9</v>
      </c>
      <c r="AT12" s="295">
        <f>(IF('Water Report'!$N$15&gt;0,'Water Report'!$N$15,0))</f>
        <v>5</v>
      </c>
      <c r="AU12" s="295">
        <f>(IF('Water Report'!$N$17&gt;0,'Water Report'!$N$17,0))</f>
        <v>0</v>
      </c>
      <c r="AV12" s="295">
        <f>(IF('Water Report'!$N$18&gt;0,'Water Report'!$N$18,0))</f>
        <v>3</v>
      </c>
      <c r="AW12" s="295">
        <f>(IF('Water Report'!$N$19&gt;0,'Water Report'!$N$19,0))</f>
        <v>7</v>
      </c>
      <c r="AX12" s="301">
        <f>(IF('Water Report'!$N$21&gt;0,'Water Report'!$N$21,0))</f>
        <v>78</v>
      </c>
      <c r="AY12" s="301">
        <f>(IF('Water Report'!$N$22&gt;0,'Water Report'!$N$22,0))</f>
        <v>2</v>
      </c>
      <c r="AZ12" s="301">
        <f>(IF('Water Report'!$N$23&gt;0,'Water Report'!$N$23,0))</f>
        <v>17</v>
      </c>
      <c r="BA12" s="301">
        <f>(IF('Water Report'!$N$14&gt;0,'Water Report'!$N$14,0))</f>
        <v>9</v>
      </c>
      <c r="BB12" s="301">
        <f>(IF('Water Report'!$N$15&gt;0,'Water Report'!$N$15,0))</f>
        <v>5</v>
      </c>
      <c r="BC12" s="301">
        <f>(IF('Water Report'!$N$13&gt;0,'Water Report'!$N$13,0))</f>
        <v>28</v>
      </c>
      <c r="BD12" s="301">
        <f>(IF('Water Report'!$N$24&gt;0,'Water Report'!$N$24,0))</f>
        <v>54</v>
      </c>
      <c r="BE12" s="301">
        <f>(IF('Water Report'!$N$25&gt;0,'Water Report'!$N$25,0))</f>
        <v>197</v>
      </c>
      <c r="BF12" s="301">
        <f>(IF('Water Report'!$N$27&gt;0,'Water Report'!$N$27,0))</f>
        <v>123</v>
      </c>
      <c r="BG12" s="296">
        <f>(IF('Section Load'!AN15&gt;0,'Section Load'!AN15,0))</f>
        <v>926.10000000009313</v>
      </c>
      <c r="BH12" s="296">
        <f>(IF('Section Load'!AO15&gt;0,'Section Load'!AO15,0))</f>
        <v>321.19099999999162</v>
      </c>
      <c r="BI12" s="296">
        <f>(IF('Section Load'!AP15&gt;0,'Section Load'!AP15,0))</f>
        <v>0</v>
      </c>
      <c r="BJ12" s="296">
        <f>(IF('Section Load'!AQ15&gt;0,'Section Load'!AQ15,0))</f>
        <v>125</v>
      </c>
      <c r="BK12" s="296">
        <f>(IF('Section Load'!AR15&gt;0,'Section Load'!AR15,0))</f>
        <v>60</v>
      </c>
      <c r="BL12" s="296">
        <f>(IF('Section Load'!AS15&gt;0,'Section Load'!AS15,0))</f>
        <v>0</v>
      </c>
      <c r="BM12" s="296">
        <f>(IF('Section Load'!AT15&gt;0,'Section Load'!AT15,0))</f>
        <v>419.90900000010151</v>
      </c>
    </row>
    <row r="13" spans="1:65">
      <c r="A13" s="287" t="s">
        <v>268</v>
      </c>
      <c r="B13" s="288">
        <f t="shared" si="0"/>
        <v>12</v>
      </c>
      <c r="C13" s="288">
        <v>4</v>
      </c>
      <c r="D13" s="288">
        <v>2022</v>
      </c>
      <c r="E13" s="294">
        <f>(IF('Section Load'!F16&gt;0,'Section Load'!F16,0))</f>
        <v>4379.4499999999825</v>
      </c>
      <c r="F13" s="294">
        <f>(IF('Section Load'!G16&gt;0,'Section Load'!G16,0))</f>
        <v>1709.3999999999942</v>
      </c>
      <c r="G13" s="294">
        <f>(IF('Section Load'!H16&gt;0,'Section Load'!H16,0))</f>
        <v>1983.4199999999837</v>
      </c>
      <c r="H13" s="294">
        <f>(IF('Section Load'!I16&gt;0,'Section Load'!I16,0))</f>
        <v>3034.9000000000233</v>
      </c>
      <c r="I13" s="294">
        <f>(IF('Section Load'!J16&gt;0,'Section Load'!J16,0))</f>
        <v>8008.2300000000105</v>
      </c>
      <c r="J13" s="294">
        <f>(IF('Section Load'!K16&gt;0,'Section Load'!K16,0))</f>
        <v>2977.5199999999604</v>
      </c>
      <c r="K13" s="294">
        <f>(IF('Section Load'!L16&gt;0,'Section Load'!L16,0))</f>
        <v>1568.4700000000012</v>
      </c>
      <c r="L13" s="294">
        <f>(IF('Section Load'!M16&gt;0,'Section Load'!M16,0))</f>
        <v>1246.3399999999965</v>
      </c>
      <c r="M13" s="294">
        <f>(IF('Section Load'!N16&gt;0,'Section Load'!N16,0))</f>
        <v>80</v>
      </c>
      <c r="N13" s="294">
        <f>(IF('Section Load'!O16&gt;0,'Section Load'!O16,0))</f>
        <v>186</v>
      </c>
      <c r="O13" s="294">
        <f>(IF('Section Load'!P16&gt;0,'Section Load'!P16,0))</f>
        <v>15.629999999999995</v>
      </c>
      <c r="P13" s="294">
        <f>(IF('Section Load'!Q16&gt;0,'Section Load'!Q16,0))</f>
        <v>184.89999999999418</v>
      </c>
      <c r="Q13" s="294">
        <f>(IF('Section Load'!R16&gt;0,'Section Load'!R16,0))</f>
        <v>66.509999999998399</v>
      </c>
      <c r="R13" s="294">
        <f>(IF('Section Load'!S16&gt;0,'Section Load'!S16,0))</f>
        <v>2.5799999999999272</v>
      </c>
      <c r="S13" s="294">
        <f>(IF('Section Load'!T16&gt;0,'Section Load'!T16,0))</f>
        <v>147</v>
      </c>
      <c r="T13" s="294">
        <f>(IF('Section Load'!U16&gt;0,'Section Load'!U16,0))</f>
        <v>262</v>
      </c>
      <c r="U13" s="294">
        <f>(IF('Section Load'!V16&gt;0,'Section Load'!V16,0))</f>
        <v>422.04000000003725</v>
      </c>
      <c r="V13" s="294">
        <f>(IF('Section Load'!W16&gt;0,'Section Load'!W16,0))</f>
        <v>422.28000000002794</v>
      </c>
      <c r="W13" s="294">
        <f>(IF('Section Load'!X16&gt;0,'Section Load'!X16,0))</f>
        <v>32.679999999999382</v>
      </c>
      <c r="X13" s="294">
        <f>(IF('Section Load'!Y16&gt;0,'Section Load'!Y16,0))</f>
        <v>51.969999999997526</v>
      </c>
      <c r="Y13" s="294">
        <f>(IF('Section Load'!Z16&gt;0,'Section Load'!Z16,0))</f>
        <v>267</v>
      </c>
      <c r="Z13" s="294">
        <f>(IF('Section Load'!AA16&gt;0,'Section Load'!AA16,0))</f>
        <v>34.520000000018626</v>
      </c>
      <c r="AA13" s="294">
        <f>(IF('Section Load'!AB16&gt;0,'Section Load'!AB16,0))</f>
        <v>45.5</v>
      </c>
      <c r="AB13" s="294">
        <f>(IF('Section Load'!AC16&gt;0,'Section Load'!AC16,0))</f>
        <v>0</v>
      </c>
      <c r="AC13" s="294">
        <f>(IF('Section Load'!AD16&gt;0,'Section Load'!AD16,0))</f>
        <v>178.90000000000327</v>
      </c>
      <c r="AD13" s="294">
        <f>(IF('Section Load'!AE16&gt;0,'Section Load'!AE16,0))</f>
        <v>371.70000000000437</v>
      </c>
      <c r="AE13" s="294">
        <f>(IF('Section Load'!AF16&gt;0,'Section Load'!AF16,0))</f>
        <v>271.40000000000146</v>
      </c>
      <c r="AF13" s="294">
        <f>(IF('Section Load'!AG16&gt;0,'Section Load'!AG16,0))</f>
        <v>563.53000000000065</v>
      </c>
      <c r="AG13" s="294">
        <f>(IF('Section Load'!AH16&gt;0,'Section Load'!AH16,0))</f>
        <v>408.19000000000051</v>
      </c>
      <c r="AH13" s="294">
        <f>(IF('Section Load'!AI16&gt;0,'Section Load'!AI16,0))</f>
        <v>405</v>
      </c>
      <c r="AI13" s="294">
        <f>(IF('Section Load'!AJ16&gt;0,'Section Load'!AJ16,0))</f>
        <v>492</v>
      </c>
      <c r="AJ13" s="294">
        <f>(IF('Section Load'!AK16&gt;0,'Section Load'!AK16,0))</f>
        <v>226.1299999999992</v>
      </c>
      <c r="AK13" s="294">
        <f>(IF('Section Load'!AL16&gt;0,'Section Load'!AL16,0))</f>
        <v>323.76000000000022</v>
      </c>
      <c r="AL13" s="294">
        <f>(IF('Section Load'!AM16&gt;0,'Section Load'!AM16,0))</f>
        <v>1029.9700000000012</v>
      </c>
      <c r="AM13" s="295">
        <f>(IF('Water Report'!$O$7&gt;0,'Water Report'!$O$7,0))</f>
        <v>0</v>
      </c>
      <c r="AN13" s="295">
        <f>(IF('Water Report'!$O$8&gt;0,'Water Report'!$O$8,0))</f>
        <v>139</v>
      </c>
      <c r="AO13" s="295">
        <f>(IF('Water Report'!$O$9&gt;0,'Water Report'!$O$9,0))</f>
        <v>99</v>
      </c>
      <c r="AP13" s="295">
        <f>(IF('Water Report'!$O$10&gt;0,'Water Report'!$O$10,0))</f>
        <v>27</v>
      </c>
      <c r="AQ13" s="295">
        <f>(IF('Water Report'!$O$11&gt;0,'Water Report'!$O$11,0))</f>
        <v>75</v>
      </c>
      <c r="AR13" s="295">
        <f>(IF('Water Report'!$O$13&gt;0,'Water Report'!$O$13,0))</f>
        <v>29</v>
      </c>
      <c r="AS13" s="295">
        <f>(IF('Water Report'!$O$14&gt;0,'Water Report'!$O$14,0))</f>
        <v>5056</v>
      </c>
      <c r="AT13" s="295">
        <f>(IF('Water Report'!$O$15&gt;0,'Water Report'!$O$15,0))</f>
        <v>5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4</v>
      </c>
      <c r="AX13" s="301">
        <f>(IF('Water Report'!$O$21&gt;0,'Water Report'!$O$21,0))</f>
        <v>100</v>
      </c>
      <c r="AY13" s="301">
        <f>(IF('Water Report'!$O$22&gt;0,'Water Report'!$O$22,0))</f>
        <v>0</v>
      </c>
      <c r="AZ13" s="301">
        <f>(IF('Water Report'!$O$23&gt;0,'Water Report'!$O$23,0))</f>
        <v>13</v>
      </c>
      <c r="BA13" s="301">
        <f>(IF('Water Report'!$O$14&gt;0,'Water Report'!$O$14,0))</f>
        <v>5056</v>
      </c>
      <c r="BB13" s="301">
        <f>(IF('Water Report'!$O$15&gt;0,'Water Report'!$O$15,0))</f>
        <v>5</v>
      </c>
      <c r="BC13" s="301">
        <f>(IF('Water Report'!$O$13&gt;0,'Water Report'!$O$13,0))</f>
        <v>29</v>
      </c>
      <c r="BD13" s="301">
        <f>(IF('Water Report'!$O$24&gt;0,'Water Report'!$O$24,0))</f>
        <v>55</v>
      </c>
      <c r="BE13" s="301">
        <f>(IF('Water Report'!$O$25&gt;0,'Water Report'!$O$25,0))</f>
        <v>5262</v>
      </c>
      <c r="BF13" s="301">
        <f>(IF('Water Report'!$O$27&gt;0,'Water Report'!$O$27,0))</f>
        <v>142</v>
      </c>
      <c r="BG13" s="296">
        <f>(IF('Section Load'!AN16&gt;0,'Section Load'!AN16,0))</f>
        <v>1100</v>
      </c>
      <c r="BH13" s="296">
        <f>(IF('Section Load'!AO16&gt;0,'Section Load'!AO16,0))</f>
        <v>311.06000000005588</v>
      </c>
      <c r="BI13" s="296">
        <f>(IF('Section Load'!AP16&gt;0,'Section Load'!AP16,0))</f>
        <v>0.19999999999708962</v>
      </c>
      <c r="BJ13" s="296">
        <f>(IF('Section Load'!AQ16&gt;0,'Section Load'!AQ16,0))</f>
        <v>119</v>
      </c>
      <c r="BK13" s="296">
        <f>(IF('Section Load'!AR16&gt;0,'Section Load'!AR16,0))</f>
        <v>60</v>
      </c>
      <c r="BL13" s="296">
        <f>(IF('Section Load'!AS16&gt;0,'Section Load'!AS16,0))</f>
        <v>0.3999999999996362</v>
      </c>
      <c r="BM13" s="296">
        <f>(IF('Section Load'!AT16&gt;0,'Section Load'!AT16,0))</f>
        <v>609.33999999994739</v>
      </c>
    </row>
    <row r="14" spans="1:65">
      <c r="A14" s="287" t="s">
        <v>268</v>
      </c>
      <c r="B14" s="288">
        <f t="shared" si="0"/>
        <v>13</v>
      </c>
      <c r="C14" s="288">
        <v>4</v>
      </c>
      <c r="D14" s="288">
        <v>2022</v>
      </c>
      <c r="E14" s="294">
        <f>(IF('Section Load'!F17&gt;0,'Section Load'!F17,0))</f>
        <v>4305.8899999999849</v>
      </c>
      <c r="F14" s="294">
        <f>(IF('Section Load'!G17&gt;0,'Section Load'!G17,0))</f>
        <v>1722.429999999993</v>
      </c>
      <c r="G14" s="294">
        <f>(IF('Section Load'!H17&gt;0,'Section Load'!H17,0))</f>
        <v>2047.5200000000186</v>
      </c>
      <c r="H14" s="294">
        <f>(IF('Section Load'!I17&gt;0,'Section Load'!I17,0))</f>
        <v>3015.1300000000047</v>
      </c>
      <c r="I14" s="294">
        <f>(IF('Section Load'!J17&gt;0,'Section Load'!J17,0))</f>
        <v>7952.4400000000314</v>
      </c>
      <c r="J14" s="294">
        <f>(IF('Section Load'!K17&gt;0,'Section Load'!K17,0))</f>
        <v>2739.2400000000489</v>
      </c>
      <c r="K14" s="294">
        <f>(IF('Section Load'!L17&gt;0,'Section Load'!L17,0))</f>
        <v>1582.0799999999872</v>
      </c>
      <c r="L14" s="294">
        <f>(IF('Section Load'!M17&gt;0,'Section Load'!M17,0))</f>
        <v>1084.5</v>
      </c>
      <c r="M14" s="294">
        <f>(IF('Section Load'!N17&gt;0,'Section Load'!N17,0))</f>
        <v>115</v>
      </c>
      <c r="N14" s="294">
        <f>(IF('Section Load'!O17&gt;0,'Section Load'!O17,0))</f>
        <v>98</v>
      </c>
      <c r="O14" s="294">
        <f>(IF('Section Load'!P17&gt;0,'Section Load'!P17,0))</f>
        <v>15.649999999999977</v>
      </c>
      <c r="P14" s="294">
        <f>(IF('Section Load'!Q17&gt;0,'Section Load'!Q17,0))</f>
        <v>191.39999999999418</v>
      </c>
      <c r="Q14" s="294">
        <f>(IF('Section Load'!R17&gt;0,'Section Load'!R17,0))</f>
        <v>64.409999999999854</v>
      </c>
      <c r="R14" s="294">
        <f>(IF('Section Load'!S17&gt;0,'Section Load'!S17,0))</f>
        <v>1.3999999999996362</v>
      </c>
      <c r="S14" s="294">
        <f>(IF('Section Load'!T17&gt;0,'Section Load'!T17,0))</f>
        <v>74</v>
      </c>
      <c r="T14" s="294">
        <f>(IF('Section Load'!U17&gt;0,'Section Load'!U17,0))</f>
        <v>277</v>
      </c>
      <c r="U14" s="294">
        <f>(IF('Section Load'!V17&gt;0,'Section Load'!V17,0))</f>
        <v>442.79999999993015</v>
      </c>
      <c r="V14" s="294">
        <f>(IF('Section Load'!W17&gt;0,'Section Load'!W17,0))</f>
        <v>332.07999999995809</v>
      </c>
      <c r="W14" s="294">
        <f>(IF('Section Load'!X17&gt;0,'Section Load'!X17,0))</f>
        <v>20.699999999999818</v>
      </c>
      <c r="X14" s="294">
        <f>(IF('Section Load'!Y17&gt;0,'Section Load'!Y17,0))</f>
        <v>133.29999999999927</v>
      </c>
      <c r="Y14" s="294">
        <f>(IF('Section Load'!Z17&gt;0,'Section Load'!Z17,0))</f>
        <v>271</v>
      </c>
      <c r="Z14" s="294">
        <f>(IF('Section Load'!AA17&gt;0,'Section Load'!AA17,0))</f>
        <v>33.760000000009313</v>
      </c>
      <c r="AA14" s="294">
        <f>(IF('Section Load'!AB17&gt;0,'Section Load'!AB17,0))</f>
        <v>40.80000000000291</v>
      </c>
      <c r="AB14" s="294">
        <f>(IF('Section Load'!AC17&gt;0,'Section Load'!AC17,0))</f>
        <v>0</v>
      </c>
      <c r="AC14" s="294">
        <f>(IF('Section Load'!AD17&gt;0,'Section Load'!AD17,0))</f>
        <v>183.10000000000582</v>
      </c>
      <c r="AD14" s="294">
        <f>(IF('Section Load'!AE17&gt;0,'Section Load'!AE17,0))</f>
        <v>370.40000000000146</v>
      </c>
      <c r="AE14" s="294">
        <f>(IF('Section Load'!AF17&gt;0,'Section Load'!AF17,0))</f>
        <v>235.79999999999927</v>
      </c>
      <c r="AF14" s="294">
        <f>(IF('Section Load'!AG17&gt;0,'Section Load'!AG17,0))</f>
        <v>572.72999999999956</v>
      </c>
      <c r="AG14" s="294">
        <f>(IF('Section Load'!AH17&gt;0,'Section Load'!AH17,0))</f>
        <v>416.10000000000036</v>
      </c>
      <c r="AH14" s="294">
        <f>(IF('Section Load'!AI17&gt;0,'Section Load'!AI17,0))</f>
        <v>408.60000000000036</v>
      </c>
      <c r="AI14" s="294">
        <f>(IF('Section Load'!AJ17&gt;0,'Section Load'!AJ17,0))</f>
        <v>462.79999999999927</v>
      </c>
      <c r="AJ14" s="294">
        <f>(IF('Section Load'!AK17&gt;0,'Section Load'!AK17,0))</f>
        <v>223.70000000000073</v>
      </c>
      <c r="AK14" s="294">
        <f>(IF('Section Load'!AL17&gt;0,'Section Load'!AL17,0))</f>
        <v>327.80000000000018</v>
      </c>
      <c r="AL14" s="294">
        <f>(IF('Section Load'!AM17&gt;0,'Section Load'!AM17,0))</f>
        <v>1022.8299999999872</v>
      </c>
      <c r="AM14" s="295">
        <f>(IF('Water Report'!$P$7&gt;0,'Water Report'!$P$7,0))</f>
        <v>103</v>
      </c>
      <c r="AN14" s="295">
        <f>(IF('Water Report'!$P$8&gt;0,'Water Report'!$P$8,0))</f>
        <v>137</v>
      </c>
      <c r="AO14" s="295">
        <f>(IF('Water Report'!$P$9&gt;0,'Water Report'!$P$9,0))</f>
        <v>81</v>
      </c>
      <c r="AP14" s="295">
        <f>(IF('Water Report'!$P$10&gt;0,'Water Report'!$P$10,0))</f>
        <v>23</v>
      </c>
      <c r="AQ14" s="295">
        <f>(IF('Water Report'!$P$11&gt;0,'Water Report'!$P$11,0))</f>
        <v>79</v>
      </c>
      <c r="AR14" s="295">
        <f>(IF('Water Report'!$P$13&gt;0,'Water Report'!$P$13,0))</f>
        <v>11</v>
      </c>
      <c r="AS14" s="295">
        <f>(IF('Water Report'!$P$14&gt;0,'Water Report'!$P$14,0))</f>
        <v>10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6</v>
      </c>
      <c r="AW14" s="295">
        <f>(IF('Water Report'!$P$19&gt;0,'Water Report'!$P$19,0))</f>
        <v>9</v>
      </c>
      <c r="AX14" s="301">
        <f>(IF('Water Report'!$P$21&gt;0,'Water Report'!$P$21,0))</f>
        <v>107</v>
      </c>
      <c r="AY14" s="301">
        <f>(IF('Water Report'!$P$22&gt;0,'Water Report'!$P$22,0))</f>
        <v>0</v>
      </c>
      <c r="AZ14" s="301">
        <f>(IF('Water Report'!$P$23&gt;0,'Water Report'!$P$23,0))</f>
        <v>3</v>
      </c>
      <c r="BA14" s="301">
        <f>(IF('Water Report'!$P$14&gt;0,'Water Report'!$P$14,0))</f>
        <v>10</v>
      </c>
      <c r="BB14" s="301">
        <f>(IF('Water Report'!$P$15&gt;0,'Water Report'!$P$15,0))</f>
        <v>7</v>
      </c>
      <c r="BC14" s="301">
        <f>(IF('Water Report'!$P$13&gt;0,'Water Report'!$P$13,0))</f>
        <v>11</v>
      </c>
      <c r="BD14" s="301">
        <f>(IF('Water Report'!$P$24&gt;0,'Water Report'!$P$24,0))</f>
        <v>326</v>
      </c>
      <c r="BE14" s="301">
        <f>(IF('Water Report'!$P$25&gt;0,'Water Report'!$P$25,0))</f>
        <v>200</v>
      </c>
      <c r="BF14" s="301">
        <f>(IF('Water Report'!$P$27&gt;0,'Water Report'!$P$27,0))</f>
        <v>121</v>
      </c>
      <c r="BG14" s="296">
        <f>(IF('Section Load'!AN17&gt;0,'Section Load'!AN17,0))</f>
        <v>672.5</v>
      </c>
      <c r="BH14" s="296">
        <f>(IF('Section Load'!AO17&gt;0,'Section Load'!AO17,0))</f>
        <v>326.3399999999674</v>
      </c>
      <c r="BI14" s="296">
        <f>(IF('Section Load'!AP17&gt;0,'Section Load'!AP17,0))</f>
        <v>0</v>
      </c>
      <c r="BJ14" s="296">
        <f>(IF('Section Load'!AQ17&gt;0,'Section Load'!AQ17,0))</f>
        <v>146</v>
      </c>
      <c r="BK14" s="296">
        <f>(IF('Section Load'!AR17&gt;0,'Section Load'!AR17,0))</f>
        <v>70.599999999998545</v>
      </c>
      <c r="BL14" s="296">
        <f>(IF('Section Load'!AS17&gt;0,'Section Load'!AS17,0))</f>
        <v>0.6000000000003638</v>
      </c>
      <c r="BM14" s="296">
        <f>(IF('Section Load'!AT17&gt;0,'Section Load'!AT17,0))</f>
        <v>129.16000000003078</v>
      </c>
    </row>
    <row r="15" spans="1:65">
      <c r="A15" s="287" t="s">
        <v>268</v>
      </c>
      <c r="B15" s="288">
        <f t="shared" si="0"/>
        <v>14</v>
      </c>
      <c r="C15" s="288">
        <v>4</v>
      </c>
      <c r="D15" s="288">
        <v>2022</v>
      </c>
      <c r="E15" s="294">
        <f>(IF('Section Load'!F18&gt;0,'Section Load'!F18,0))</f>
        <v>3960.820000000007</v>
      </c>
      <c r="F15" s="294">
        <f>(IF('Section Load'!G18&gt;0,'Section Load'!G18,0))</f>
        <v>1751.6000000000058</v>
      </c>
      <c r="G15" s="294">
        <f>(IF('Section Load'!H18&gt;0,'Section Load'!H18,0))</f>
        <v>2301.5499999999884</v>
      </c>
      <c r="H15" s="294">
        <f>(IF('Section Load'!I18&gt;0,'Section Load'!I18,0))</f>
        <v>2696.9699999999721</v>
      </c>
      <c r="I15" s="294">
        <f>(IF('Section Load'!J18&gt;0,'Section Load'!J18,0))</f>
        <v>7185.0299999999697</v>
      </c>
      <c r="J15" s="294">
        <f>(IF('Section Load'!K18&gt;0,'Section Load'!K18,0))</f>
        <v>2744.289999999979</v>
      </c>
      <c r="K15" s="294">
        <f>(IF('Section Load'!L18&gt;0,'Section Load'!L18,0))</f>
        <v>1333.25</v>
      </c>
      <c r="L15" s="294">
        <f>(IF('Section Load'!M18&gt;0,'Section Load'!M18,0))</f>
        <v>825</v>
      </c>
      <c r="M15" s="294">
        <f>(IF('Section Load'!N18&gt;0,'Section Load'!N18,0))</f>
        <v>175</v>
      </c>
      <c r="N15" s="294">
        <f>(IF('Section Load'!O18&gt;0,'Section Load'!O18,0))</f>
        <v>115</v>
      </c>
      <c r="O15" s="294">
        <f>(IF('Section Load'!P18&gt;0,'Section Load'!P18,0))</f>
        <v>14</v>
      </c>
      <c r="P15" s="294">
        <f>(IF('Section Load'!Q18&gt;0,'Section Load'!Q18,0))</f>
        <v>168.60000000000582</v>
      </c>
      <c r="Q15" s="294">
        <f>(IF('Section Load'!R18&gt;0,'Section Load'!R18,0))</f>
        <v>59.5</v>
      </c>
      <c r="R15" s="294">
        <f>(IF('Section Load'!S18&gt;0,'Section Load'!S18,0))</f>
        <v>0</v>
      </c>
      <c r="S15" s="294">
        <f>(IF('Section Load'!T18&gt;0,'Section Load'!T18,0))</f>
        <v>39</v>
      </c>
      <c r="T15" s="294">
        <f>(IF('Section Load'!U18&gt;0,'Section Load'!U18,0))</f>
        <v>266</v>
      </c>
      <c r="U15" s="294">
        <f>(IF('Section Load'!V18&gt;0,'Section Load'!V18,0))</f>
        <v>419.1600000000326</v>
      </c>
      <c r="V15" s="294">
        <f>(IF('Section Load'!W18&gt;0,'Section Load'!W18,0))</f>
        <v>273.64000000001397</v>
      </c>
      <c r="W15" s="294">
        <f>(IF('Section Load'!X18&gt;0,'Section Load'!X18,0))</f>
        <v>30.600000000000364</v>
      </c>
      <c r="X15" s="294">
        <f>(IF('Section Load'!Y18&gt;0,'Section Load'!Y18,0))</f>
        <v>247.90000000000146</v>
      </c>
      <c r="Y15" s="294">
        <f>(IF('Section Load'!Z18&gt;0,'Section Load'!Z18,0))</f>
        <v>277</v>
      </c>
      <c r="Z15" s="294">
        <f>(IF('Section Load'!AA18&gt;0,'Section Load'!AA18,0))</f>
        <v>34</v>
      </c>
      <c r="AA15" s="294">
        <f>(IF('Section Load'!AB18&gt;0,'Section Load'!AB18,0))</f>
        <v>25</v>
      </c>
      <c r="AB15" s="294">
        <f>(IF('Section Load'!AC18&gt;0,'Section Load'!AC18,0))</f>
        <v>9.680000000000291</v>
      </c>
      <c r="AC15" s="294">
        <f>(IF('Section Load'!AD18&gt;0,'Section Load'!AD18,0))</f>
        <v>182.599999999994</v>
      </c>
      <c r="AD15" s="294">
        <f>(IF('Section Load'!AE18&gt;0,'Section Load'!AE18,0))</f>
        <v>407.19999999999709</v>
      </c>
      <c r="AE15" s="294">
        <f>(IF('Section Load'!AF18&gt;0,'Section Load'!AF18,0))</f>
        <v>180</v>
      </c>
      <c r="AF15" s="294">
        <f>(IF('Section Load'!AG18&gt;0,'Section Load'!AG18,0))</f>
        <v>515</v>
      </c>
      <c r="AG15" s="294">
        <f>(IF('Section Load'!AH18&gt;0,'Section Load'!AH18,0))</f>
        <v>373.5</v>
      </c>
      <c r="AH15" s="294">
        <f>(IF('Section Load'!AI18&gt;0,'Section Load'!AI18,0))</f>
        <v>361.89999999999964</v>
      </c>
      <c r="AI15" s="294">
        <f>(IF('Section Load'!AJ18&gt;0,'Section Load'!AJ18,0))</f>
        <v>396.20000000000073</v>
      </c>
      <c r="AJ15" s="294">
        <f>(IF('Section Load'!AK18&gt;0,'Section Load'!AK18,0))</f>
        <v>194.89999999999964</v>
      </c>
      <c r="AK15" s="294">
        <f>(IF('Section Load'!AL18&gt;0,'Section Load'!AL18,0))</f>
        <v>90.5</v>
      </c>
      <c r="AL15" s="294">
        <f>(IF('Section Load'!AM18&gt;0,'Section Load'!AM18,0))</f>
        <v>934.20000000001164</v>
      </c>
      <c r="AM15" s="295">
        <f>(IF('Water Report'!$Q$7&gt;0,'Water Report'!$Q$7,0))</f>
        <v>180</v>
      </c>
      <c r="AN15" s="295">
        <f>(IF('Water Report'!$Q$8&gt;0,'Water Report'!$Q$8,0))</f>
        <v>72</v>
      </c>
      <c r="AO15" s="295">
        <f>(IF('Water Report'!$Q$9&gt;0,'Water Report'!$Q$9,0))</f>
        <v>110</v>
      </c>
      <c r="AP15" s="295">
        <f>(IF('Water Report'!$Q$10&gt;0,'Water Report'!$Q$10,0))</f>
        <v>27</v>
      </c>
      <c r="AQ15" s="295">
        <f>(IF('Water Report'!$Q$11&gt;0,'Water Report'!$Q$11,0))</f>
        <v>80</v>
      </c>
      <c r="AR15" s="295">
        <f>(IF('Water Report'!$Q$13&gt;0,'Water Report'!$Q$13,0))</f>
        <v>24</v>
      </c>
      <c r="AS15" s="295">
        <f>(IF('Water Report'!$Q$14&gt;0,'Water Report'!$Q$14,0))</f>
        <v>16</v>
      </c>
      <c r="AT15" s="295">
        <f>(IF('Water Report'!$Q$15&gt;0,'Water Report'!$Q$15,0))</f>
        <v>5</v>
      </c>
      <c r="AU15" s="295">
        <f>(IF('Water Report'!$Q$17&gt;0,'Water Report'!$Q$17,0))</f>
        <v>0</v>
      </c>
      <c r="AV15" s="295">
        <f>(IF('Water Report'!$Q$18&gt;0,'Water Report'!$Q$18,0))</f>
        <v>11</v>
      </c>
      <c r="AW15" s="295">
        <f>(IF('Water Report'!$Q$19&gt;0,'Water Report'!$Q$19,0))</f>
        <v>11</v>
      </c>
      <c r="AX15" s="301">
        <f>(IF('Water Report'!$Q$21&gt;0,'Water Report'!$Q$21,0))</f>
        <v>89</v>
      </c>
      <c r="AY15" s="301">
        <f>(IF('Water Report'!$Q$22&gt;0,'Water Report'!$Q$22,0))</f>
        <v>0</v>
      </c>
      <c r="AZ15" s="301">
        <f>(IF('Water Report'!$Q$23&gt;0,'Water Report'!$Q$23,0))</f>
        <v>21</v>
      </c>
      <c r="BA15" s="301">
        <f>(IF('Water Report'!$Q$14&gt;0,'Water Report'!$Q$14,0))</f>
        <v>16</v>
      </c>
      <c r="BB15" s="301">
        <f>(IF('Water Report'!$Q$15&gt;0,'Water Report'!$Q$15,0))</f>
        <v>5</v>
      </c>
      <c r="BC15" s="301">
        <f>(IF('Water Report'!$Q$13&gt;0,'Water Report'!$Q$13,0))</f>
        <v>24</v>
      </c>
      <c r="BD15" s="301">
        <f>(IF('Water Report'!$Q$24&gt;0,'Water Report'!$Q$24,0))</f>
        <v>484</v>
      </c>
      <c r="BE15" s="301">
        <f>(IF('Water Report'!$Q$25&gt;0,'Water Report'!$Q$25,0))</f>
        <v>238</v>
      </c>
      <c r="BF15" s="301">
        <f>(IF('Water Report'!$Q$27&gt;0,'Water Report'!$Q$27,0))</f>
        <v>134</v>
      </c>
      <c r="BG15" s="296">
        <f>(IF('Section Load'!AN18&gt;0,'Section Load'!AN18,0))</f>
        <v>992.39999999990687</v>
      </c>
      <c r="BH15" s="296">
        <f>(IF('Section Load'!AO18&gt;0,'Section Load'!AO18,0))</f>
        <v>313.6600000000326</v>
      </c>
      <c r="BI15" s="296">
        <f>(IF('Section Load'!AP18&gt;0,'Section Load'!AP18,0))</f>
        <v>0</v>
      </c>
      <c r="BJ15" s="296">
        <f>(IF('Section Load'!AQ18&gt;0,'Section Load'!AQ18,0))</f>
        <v>102</v>
      </c>
      <c r="BK15" s="296">
        <f>(IF('Section Load'!AR18&gt;0,'Section Load'!AR18,0))</f>
        <v>60.400000000001455</v>
      </c>
      <c r="BL15" s="296">
        <f>(IF('Section Load'!AS18&gt;0,'Section Load'!AS18,0))</f>
        <v>0</v>
      </c>
      <c r="BM15" s="296">
        <f>(IF('Section Load'!AT18&gt;0,'Section Load'!AT18,0))</f>
        <v>516.33999999987282</v>
      </c>
    </row>
    <row r="16" spans="1:65">
      <c r="A16" s="287" t="s">
        <v>268</v>
      </c>
      <c r="B16" s="288">
        <f t="shared" si="0"/>
        <v>15</v>
      </c>
      <c r="C16" s="288">
        <v>4</v>
      </c>
      <c r="D16" s="288">
        <v>2022</v>
      </c>
      <c r="E16" s="294">
        <f>(IF('Section Load'!F19&gt;0,'Section Load'!F19,0))</f>
        <v>4297</v>
      </c>
      <c r="F16" s="294">
        <f>(IF('Section Load'!G19&gt;0,'Section Load'!G19,0))</f>
        <v>1671</v>
      </c>
      <c r="G16" s="294">
        <f>(IF('Section Load'!H19&gt;0,'Section Load'!H19,0))</f>
        <v>2239.7600000000002</v>
      </c>
      <c r="H16" s="294">
        <f>(IF('Section Load'!I19&gt;0,'Section Load'!I19,0))</f>
        <v>2956</v>
      </c>
      <c r="I16" s="294">
        <f>(IF('Section Load'!J19&gt;0,'Section Load'!J19,0))</f>
        <v>7898</v>
      </c>
      <c r="J16" s="294">
        <f>(IF('Section Load'!K19&gt;0,'Section Load'!K19,0))</f>
        <v>3034</v>
      </c>
      <c r="K16" s="294">
        <f>(IF('Section Load'!L19&gt;0,'Section Load'!L19,0))</f>
        <v>1074</v>
      </c>
      <c r="L16" s="294">
        <f>(IF('Section Load'!M19&gt;0,'Section Load'!M19,0))</f>
        <v>698</v>
      </c>
      <c r="M16" s="294">
        <f>(IF('Section Load'!N19&gt;0,'Section Load'!N19,0))</f>
        <v>145</v>
      </c>
      <c r="N16" s="294">
        <f>(IF('Section Load'!O19&gt;0,'Section Load'!O19,0))</f>
        <v>131</v>
      </c>
      <c r="O16" s="294">
        <f>(IF('Section Load'!P19&gt;0,'Section Load'!P19,0))</f>
        <v>14</v>
      </c>
      <c r="P16" s="294">
        <f>(IF('Section Load'!Q19&gt;0,'Section Load'!Q19,0))</f>
        <v>210</v>
      </c>
      <c r="Q16" s="294">
        <f>(IF('Section Load'!R19&gt;0,'Section Load'!R19,0))</f>
        <v>61</v>
      </c>
      <c r="R16" s="294">
        <f>(IF('Section Load'!S19&gt;0,'Section Load'!S19,0))</f>
        <v>0</v>
      </c>
      <c r="S16" s="294">
        <f>(IF('Section Load'!T19&gt;0,'Section Load'!T19,0))</f>
        <v>38</v>
      </c>
      <c r="T16" s="294">
        <f>(IF('Section Load'!U19&gt;0,'Section Load'!U19,0))</f>
        <v>254</v>
      </c>
      <c r="U16" s="294">
        <f>(IF('Section Load'!V19&gt;0,'Section Load'!V19,0))</f>
        <v>415</v>
      </c>
      <c r="V16" s="294">
        <f>(IF('Section Load'!W19&gt;0,'Section Load'!W19,0))</f>
        <v>245</v>
      </c>
      <c r="W16" s="294">
        <f>(IF('Section Load'!X19&gt;0,'Section Load'!X19,0))</f>
        <v>23</v>
      </c>
      <c r="X16" s="294">
        <f>(IF('Section Load'!Y19&gt;0,'Section Load'!Y19,0))</f>
        <v>283</v>
      </c>
      <c r="Y16" s="294">
        <f>(IF('Section Load'!Z19&gt;0,'Section Load'!Z19,0))</f>
        <v>274</v>
      </c>
      <c r="Z16" s="294">
        <f>(IF('Section Load'!AA19&gt;0,'Section Load'!AA19,0))</f>
        <v>33</v>
      </c>
      <c r="AA16" s="294">
        <f>(IF('Section Load'!AB19&gt;0,'Section Load'!AB19,0))</f>
        <v>22</v>
      </c>
      <c r="AB16" s="294">
        <f>(IF('Section Load'!AC19&gt;0,'Section Load'!AC19,0))</f>
        <v>1</v>
      </c>
      <c r="AC16" s="294">
        <f>(IF('Section Load'!AD19&gt;0,'Section Load'!AD19,0))</f>
        <v>183</v>
      </c>
      <c r="AD16" s="294">
        <f>(IF('Section Load'!AE19&gt;0,'Section Load'!AE19,0))</f>
        <v>333</v>
      </c>
      <c r="AE16" s="294">
        <f>(IF('Section Load'!AF19&gt;0,'Section Load'!AF19,0))</f>
        <v>224</v>
      </c>
      <c r="AF16" s="294">
        <f>(IF('Section Load'!AG19&gt;0,'Section Load'!AG19,0))</f>
        <v>610</v>
      </c>
      <c r="AG16" s="294">
        <f>(IF('Section Load'!AH19&gt;0,'Section Load'!AH19,0))</f>
        <v>430</v>
      </c>
      <c r="AH16" s="294">
        <f>(IF('Section Load'!AI19&gt;0,'Section Load'!AI19,0))</f>
        <v>447</v>
      </c>
      <c r="AI16" s="294">
        <f>(IF('Section Load'!AJ19&gt;0,'Section Load'!AJ19,0))</f>
        <v>479</v>
      </c>
      <c r="AJ16" s="294">
        <f>(IF('Section Load'!AK19&gt;0,'Section Load'!AK19,0))</f>
        <v>182</v>
      </c>
      <c r="AK16" s="294">
        <f>(IF('Section Load'!AL19&gt;0,'Section Load'!AL19,0))</f>
        <v>335</v>
      </c>
      <c r="AL16" s="294">
        <f>(IF('Section Load'!AM19&gt;0,'Section Load'!AM19,0))</f>
        <v>1029</v>
      </c>
      <c r="AM16" s="295">
        <f>(IF('Water Report'!$R$7&gt;0,'Water Report'!$R$7,0))</f>
        <v>175</v>
      </c>
      <c r="AN16" s="295">
        <f>(IF('Water Report'!$R$8&gt;0,'Water Report'!$R$8,0))</f>
        <v>79</v>
      </c>
      <c r="AO16" s="295">
        <f>(IF('Water Report'!$R$9&gt;0,'Water Report'!$R$9,0))</f>
        <v>90</v>
      </c>
      <c r="AP16" s="295">
        <f>(IF('Water Report'!$R$10&gt;0,'Water Report'!$R$10,0))</f>
        <v>38</v>
      </c>
      <c r="AQ16" s="295">
        <f>(IF('Water Report'!$R$11&gt;0,'Water Report'!$R$11,0))</f>
        <v>76</v>
      </c>
      <c r="AR16" s="295">
        <f>(IF('Water Report'!$R$13&gt;0,'Water Report'!$R$13,0))</f>
        <v>27</v>
      </c>
      <c r="AS16" s="295">
        <f>(IF('Water Report'!$R$14&gt;0,'Water Report'!$R$14,0))</f>
        <v>9</v>
      </c>
      <c r="AT16" s="295">
        <f>(IF('Water Report'!$R$15&gt;0,'Water Report'!$R$15,0))</f>
        <v>5</v>
      </c>
      <c r="AU16" s="295">
        <f>(IF('Water Report'!$R$17&gt;0,'Water Report'!$R$17,0))</f>
        <v>0</v>
      </c>
      <c r="AV16" s="295">
        <f>(IF('Water Report'!$R$18&gt;0,'Water Report'!$R$18,0))</f>
        <v>12</v>
      </c>
      <c r="AW16" s="295">
        <f>(IF('Water Report'!$R$19&gt;0,'Water Report'!$R$19,0))</f>
        <v>11</v>
      </c>
      <c r="AX16" s="301">
        <f>(IF('Water Report'!$R$21&gt;0,'Water Report'!$R$21,0))</f>
        <v>122</v>
      </c>
      <c r="AY16" s="301">
        <f>(IF('Water Report'!$R$22&gt;0,'Water Report'!$R$22,0))</f>
        <v>0</v>
      </c>
      <c r="AZ16" s="301">
        <f>(IF('Water Report'!$R$23&gt;0,'Water Report'!$R$23,0))</f>
        <v>0</v>
      </c>
      <c r="BA16" s="301">
        <f>(IF('Water Report'!$R$14&gt;0,'Water Report'!$R$14,0))</f>
        <v>9</v>
      </c>
      <c r="BB16" s="301">
        <f>(IF('Water Report'!$R$15&gt;0,'Water Report'!$R$15,0))</f>
        <v>5</v>
      </c>
      <c r="BC16" s="301">
        <f>(IF('Water Report'!$R$13&gt;0,'Water Report'!$R$13,0))</f>
        <v>27</v>
      </c>
      <c r="BD16" s="301">
        <f>(IF('Water Report'!$R$24&gt;0,'Water Report'!$R$24,0))</f>
        <v>295</v>
      </c>
      <c r="BE16" s="301">
        <f>(IF('Water Report'!$R$25&gt;0,'Water Report'!$R$25,0))</f>
        <v>218</v>
      </c>
      <c r="BF16" s="301">
        <f>(IF('Water Report'!$R$27&gt;0,'Water Report'!$R$27,0))</f>
        <v>149</v>
      </c>
      <c r="BG16" s="296">
        <f>(IF('Section Load'!AN19&gt;0,'Section Load'!AN19,0))</f>
        <v>1045</v>
      </c>
      <c r="BH16" s="296">
        <f>(IF('Section Load'!AO19&gt;0,'Section Load'!AO19,0))</f>
        <v>341</v>
      </c>
      <c r="BI16" s="296">
        <f>(IF('Section Load'!AP19&gt;0,'Section Load'!AP19,0))</f>
        <v>0</v>
      </c>
      <c r="BJ16" s="296">
        <f>(IF('Section Load'!AQ19&gt;0,'Section Load'!AQ19,0))</f>
        <v>106</v>
      </c>
      <c r="BK16" s="296">
        <f>(IF('Section Load'!AR19&gt;0,'Section Load'!AR19,0))</f>
        <v>47</v>
      </c>
      <c r="BL16" s="296">
        <f>(IF('Section Load'!AS19&gt;0,'Section Load'!AS19,0))</f>
        <v>0</v>
      </c>
      <c r="BM16" s="296">
        <f>(IF('Section Load'!AT19&gt;0,'Section Load'!AT19,0))</f>
        <v>551</v>
      </c>
    </row>
    <row r="17" spans="1:65">
      <c r="A17" s="287" t="s">
        <v>268</v>
      </c>
      <c r="B17" s="288">
        <f t="shared" si="0"/>
        <v>16</v>
      </c>
      <c r="C17" s="288">
        <v>4</v>
      </c>
      <c r="D17" s="288">
        <v>2022</v>
      </c>
      <c r="E17" s="294">
        <f>(IF('Section Load'!F20&gt;0,'Section Load'!F20,0))</f>
        <v>0</v>
      </c>
      <c r="F17" s="294">
        <f>(IF('Section Load'!G20&gt;0,'Section Load'!G20,0))</f>
        <v>0</v>
      </c>
      <c r="G17" s="294">
        <f>(IF('Section Load'!H20&gt;0,'Section Load'!H20,0))</f>
        <v>0</v>
      </c>
      <c r="H17" s="294">
        <f>(IF('Section Load'!I20&gt;0,'Section Load'!I20,0))</f>
        <v>0</v>
      </c>
      <c r="I17" s="294">
        <f>(IF('Section Load'!J20&gt;0,'Section Load'!J20,0))</f>
        <v>0</v>
      </c>
      <c r="J17" s="294">
        <f>(IF('Section Load'!K20&gt;0,'Section Load'!K20,0))</f>
        <v>0</v>
      </c>
      <c r="K17" s="294">
        <f>(IF('Section Load'!L20&gt;0,'Section Load'!L20,0))</f>
        <v>0</v>
      </c>
      <c r="L17" s="294">
        <f>(IF('Section Load'!M20&gt;0,'Section Load'!M20,0))</f>
        <v>0</v>
      </c>
      <c r="M17" s="294">
        <f>(IF('Section Load'!N20&gt;0,'Section Load'!N20,0))</f>
        <v>0</v>
      </c>
      <c r="N17" s="294">
        <f>(IF('Section Load'!O20&gt;0,'Section Load'!O20,0))</f>
        <v>0</v>
      </c>
      <c r="O17" s="294">
        <f>(IF('Section Load'!P20&gt;0,'Section Load'!P20,0))</f>
        <v>88676</v>
      </c>
      <c r="P17" s="294">
        <f>(IF('Section Load'!Q20&gt;0,'Section Load'!Q20,0))</f>
        <v>0</v>
      </c>
      <c r="Q17" s="294">
        <f>(IF('Section Load'!R20&gt;0,'Section Load'!R20,0))</f>
        <v>0</v>
      </c>
      <c r="R17" s="294">
        <f>(IF('Section Load'!S20&gt;0,'Section Load'!S20,0))</f>
        <v>0</v>
      </c>
      <c r="S17" s="294">
        <f>(IF('Section Load'!T20&gt;0,'Section Load'!T20,0))</f>
        <v>0</v>
      </c>
      <c r="T17" s="294">
        <f>(IF('Section Load'!U20&gt;0,'Section Load'!U20,0))</f>
        <v>0</v>
      </c>
      <c r="U17" s="294">
        <f>(IF('Section Load'!V20&gt;0,'Section Load'!V20,0))</f>
        <v>0</v>
      </c>
      <c r="V17" s="294">
        <f>(IF('Section Load'!W20&gt;0,'Section Load'!W20,0))</f>
        <v>0</v>
      </c>
      <c r="W17" s="294">
        <f>(IF('Section Load'!X20&gt;0,'Section Load'!X20,0))</f>
        <v>0</v>
      </c>
      <c r="X17" s="294">
        <f>(IF('Section Load'!Y20&gt;0,'Section Load'!Y20,0))</f>
        <v>0</v>
      </c>
      <c r="Y17" s="294">
        <f>(IF('Section Load'!Z20&gt;0,'Section Load'!Z20,0))</f>
        <v>0</v>
      </c>
      <c r="Z17" s="294">
        <f>(IF('Section Load'!AA20&gt;0,'Section Load'!AA20,0))</f>
        <v>0</v>
      </c>
      <c r="AA17" s="294">
        <f>(IF('Section Load'!AB20&gt;0,'Section Load'!AB20,0))</f>
        <v>0</v>
      </c>
      <c r="AB17" s="294">
        <f>(IF('Section Load'!AC20&gt;0,'Section Load'!AC20,0))</f>
        <v>0</v>
      </c>
      <c r="AC17" s="294">
        <f>(IF('Section Load'!AD20&gt;0,'Section Load'!AD20,0))</f>
        <v>0</v>
      </c>
      <c r="AD17" s="294">
        <f>(IF('Section Load'!AE20&gt;0,'Section Load'!AE20,0))</f>
        <v>0</v>
      </c>
      <c r="AE17" s="294">
        <f>(IF('Section Load'!AF20&gt;0,'Section Load'!AF20,0))</f>
        <v>0</v>
      </c>
      <c r="AF17" s="294">
        <f>(IF('Section Load'!AG20&gt;0,'Section Load'!AG20,0))</f>
        <v>0</v>
      </c>
      <c r="AG17" s="294">
        <f>(IF('Section Load'!AH20&gt;0,'Section Load'!AH20,0))</f>
        <v>277961</v>
      </c>
      <c r="AH17" s="294">
        <f>(IF('Section Load'!AI20&gt;0,'Section Load'!AI20,0))</f>
        <v>0</v>
      </c>
      <c r="AI17" s="294">
        <f>(IF('Section Load'!AJ20&gt;0,'Section Load'!AJ20,0))</f>
        <v>0</v>
      </c>
      <c r="AJ17" s="294">
        <f>(IF('Section Load'!AK20&gt;0,'Section Load'!AK20,0))</f>
        <v>0</v>
      </c>
      <c r="AK17" s="294">
        <f>(IF('Section Load'!AL20&gt;0,'Section Load'!AL20,0))</f>
        <v>167970</v>
      </c>
      <c r="AL17" s="294">
        <f>(IF('Section Load'!AM20&gt;0,'Section Load'!AM20,0))</f>
        <v>0</v>
      </c>
      <c r="AM17" s="295">
        <f>(IF('Water Report'!$S$7&gt;0,'Water Report'!$S$7,0))</f>
        <v>0</v>
      </c>
      <c r="AN17" s="295">
        <f>(IF('Water Report'!$S$8&gt;0,'Water Report'!$S$8,0))</f>
        <v>0</v>
      </c>
      <c r="AO17" s="295">
        <f>(IF('Water Report'!$S$9&gt;0,'Water Report'!$S$9,0))</f>
        <v>0</v>
      </c>
      <c r="AP17" s="295">
        <f>(IF('Water Report'!$S$10&gt;0,'Water Report'!$D$10,0))</f>
        <v>0</v>
      </c>
      <c r="AQ17" s="295">
        <f>(IF('Water Report'!$S$11&gt;0,'Water Report'!$D$11,0))</f>
        <v>0</v>
      </c>
      <c r="AR17" s="295">
        <f>(IF('Water Report'!$S$13&gt;0,'Water Report'!$D$13,0))</f>
        <v>0</v>
      </c>
      <c r="AS17" s="295">
        <f>(IF('Water Report'!$S$14&gt;0,'Water Report'!$D$14,0))</f>
        <v>0</v>
      </c>
      <c r="AT17" s="295">
        <f>(IF('Water Report'!$S$15&gt;0,'Water Report'!$D$15,0))</f>
        <v>0</v>
      </c>
      <c r="AU17" s="295">
        <f>(IF('Water Report'!$S$17&gt;0,'Water Report'!$D$17,0))</f>
        <v>4</v>
      </c>
      <c r="AV17" s="295">
        <f>(IF('Water Report'!$S$18&gt;0,'Water Report'!$D$18,0))</f>
        <v>0</v>
      </c>
      <c r="AW17" s="295">
        <f>(IF('Water Report'!$S$19&gt;0,'Water Report'!$D$19,0))</f>
        <v>0</v>
      </c>
      <c r="AX17" s="301">
        <f>(IF('Water Report'!$S$21&gt;0,'Water Report'!$D$21,0))</f>
        <v>0</v>
      </c>
      <c r="AY17" s="301">
        <f>(IF('Water Report'!$S$22&gt;0,'Water Report'!$D$22,0))</f>
        <v>0</v>
      </c>
      <c r="AZ17" s="301">
        <f>(IF('Water Report'!$S$23&gt;0,'Water Report'!$D$23,0))</f>
        <v>0</v>
      </c>
      <c r="BA17" s="301">
        <f>(IF('Water Report'!$S$14&gt;0,'Water Report'!$D$14,0))</f>
        <v>0</v>
      </c>
      <c r="BB17" s="301">
        <f>(IF('Water Report'!$S$15&gt;0,'Water Report'!$D$15,0))</f>
        <v>0</v>
      </c>
      <c r="BC17" s="301">
        <f>(IF('Water Report'!$S$13&gt;0,'Water Report'!$D$13,0))</f>
        <v>0</v>
      </c>
      <c r="BD17" s="301">
        <f>(IF('Water Report'!$S$24&gt;0,'Water Report'!$D$24,0))</f>
        <v>0</v>
      </c>
      <c r="BE17" s="301">
        <f>(IF('Water Report'!$S$25&gt;0,'Water Report'!$D$25,0))</f>
        <v>0</v>
      </c>
      <c r="BF17" s="301">
        <f>(IF('Water Report'!$S$27&gt;0,'Water Report'!$D$27,0))</f>
        <v>0</v>
      </c>
      <c r="BG17" s="296" t="e">
        <f>(IF('Section Load'!AN20&gt;0,'Section Load'!AN20,0))</f>
        <v>#VALUE!</v>
      </c>
      <c r="BH17" s="296">
        <f>(IF('Section Load'!AO20&gt;0,'Section Load'!AO20,0))</f>
        <v>0</v>
      </c>
      <c r="BI17" s="296">
        <f>(IF('Section Load'!AP20&gt;0,'Section Load'!AP20,0))</f>
        <v>0</v>
      </c>
      <c r="BJ17" s="296">
        <f>(IF('Section Load'!AQ20&gt;0,'Section Load'!AQ20,0))</f>
        <v>0</v>
      </c>
      <c r="BK17" s="296">
        <f>(IF('Section Load'!AR20&gt;0,'Section Load'!AR20,0))</f>
        <v>0</v>
      </c>
      <c r="BL17" s="296">
        <f>(IF('Section Load'!AS20&gt;0,'Section Load'!AS20,0))</f>
        <v>0</v>
      </c>
      <c r="BM17" s="296" t="e">
        <f>(IF('Section Load'!AT20&gt;0,'Section Load'!AT20,0))</f>
        <v>#VALUE!</v>
      </c>
    </row>
    <row r="18" spans="1:65">
      <c r="A18" s="287" t="s">
        <v>268</v>
      </c>
      <c r="B18" s="288">
        <f t="shared" si="0"/>
        <v>17</v>
      </c>
      <c r="C18" s="288">
        <v>4</v>
      </c>
      <c r="D18" s="288">
        <v>2022</v>
      </c>
      <c r="E18" s="294">
        <f>(IF('Section Load'!F21&gt;0,'Section Load'!F21,0))</f>
        <v>3966</v>
      </c>
      <c r="F18" s="294">
        <f>(IF('Section Load'!G21&gt;0,'Section Load'!G21,0))</f>
        <v>1602</v>
      </c>
      <c r="G18" s="294">
        <f>(IF('Section Load'!H21&gt;0,'Section Load'!H21,0))</f>
        <v>2369</v>
      </c>
      <c r="H18" s="294">
        <f>(IF('Section Load'!I21&gt;0,'Section Load'!I21,0))</f>
        <v>3351</v>
      </c>
      <c r="I18" s="294">
        <f>(IF('Section Load'!J21&gt;0,'Section Load'!J21,0))</f>
        <v>7873.3</v>
      </c>
      <c r="J18" s="294">
        <f>(IF('Section Load'!K21&gt;0,'Section Load'!K21,0))</f>
        <v>3298</v>
      </c>
      <c r="K18" s="294">
        <f>(IF('Section Load'!L21&gt;0,'Section Load'!L21,0))</f>
        <v>1428</v>
      </c>
      <c r="L18" s="294">
        <f>(IF('Section Load'!M21&gt;0,'Section Load'!M21,0))</f>
        <v>1067</v>
      </c>
      <c r="M18" s="294">
        <f>(IF('Section Load'!N21&gt;0,'Section Load'!N21,0))</f>
        <v>159</v>
      </c>
      <c r="N18" s="294">
        <f>(IF('Section Load'!O21&gt;0,'Section Load'!O21,0))</f>
        <v>150</v>
      </c>
      <c r="O18" s="294">
        <f>(IF('Section Load'!P21&gt;0,'Section Load'!P21,0))</f>
        <v>2</v>
      </c>
      <c r="P18" s="294">
        <f>(IF('Section Load'!Q21&gt;0,'Section Load'!Q21,0))</f>
        <v>201</v>
      </c>
      <c r="Q18" s="294">
        <f>(IF('Section Load'!R21&gt;0,'Section Load'!R21,0))</f>
        <v>59</v>
      </c>
      <c r="R18" s="294">
        <f>(IF('Section Load'!S21&gt;0,'Section Load'!S21,0))</f>
        <v>4</v>
      </c>
      <c r="S18" s="294">
        <f>(IF('Section Load'!T21&gt;0,'Section Load'!T21,0))</f>
        <v>434</v>
      </c>
      <c r="T18" s="294">
        <f>(IF('Section Load'!U21&gt;0,'Section Load'!U21,0))</f>
        <v>256</v>
      </c>
      <c r="U18" s="294">
        <f>(IF('Section Load'!V21&gt;0,'Section Load'!V21,0))</f>
        <v>467</v>
      </c>
      <c r="V18" s="294">
        <f>(IF('Section Load'!W21&gt;0,'Section Load'!W21,0))</f>
        <v>361</v>
      </c>
      <c r="W18" s="294">
        <f>(IF('Section Load'!X21&gt;0,'Section Load'!X21,0))</f>
        <v>28</v>
      </c>
      <c r="X18" s="294">
        <f>(IF('Section Load'!Y21&gt;0,'Section Load'!Y21,0))</f>
        <v>239</v>
      </c>
      <c r="Y18" s="294">
        <f>(IF('Section Load'!Z21&gt;0,'Section Load'!Z21,0))</f>
        <v>278</v>
      </c>
      <c r="Z18" s="294">
        <f>(IF('Section Load'!AA21&gt;0,'Section Load'!AA21,0))</f>
        <v>48</v>
      </c>
      <c r="AA18" s="294">
        <f>(IF('Section Load'!AB21&gt;0,'Section Load'!AB21,0))</f>
        <v>16</v>
      </c>
      <c r="AB18" s="294">
        <f>(IF('Section Load'!AC21&gt;0,'Section Load'!AC21,0))</f>
        <v>10.380000000001019</v>
      </c>
      <c r="AC18" s="294">
        <f>(IF('Section Load'!AD21&gt;0,'Section Load'!AD21,0))</f>
        <v>161</v>
      </c>
      <c r="AD18" s="294">
        <f>(IF('Section Load'!AE21&gt;0,'Section Load'!AE21,0))</f>
        <v>439</v>
      </c>
      <c r="AE18" s="294">
        <f>(IF('Section Load'!AF21&gt;0,'Section Load'!AF21,0))</f>
        <v>171</v>
      </c>
      <c r="AF18" s="294">
        <f>(IF('Section Load'!AG21&gt;0,'Section Load'!AG21,0))</f>
        <v>511</v>
      </c>
      <c r="AG18" s="294">
        <f>(IF('Section Load'!AH21&gt;0,'Section Load'!AH21,0))</f>
        <v>459</v>
      </c>
      <c r="AH18" s="294">
        <f>(IF('Section Load'!AI21&gt;0,'Section Load'!AI21,0))</f>
        <v>419</v>
      </c>
      <c r="AI18" s="294">
        <f>(IF('Section Load'!AJ21&gt;0,'Section Load'!AJ21,0))</f>
        <v>787</v>
      </c>
      <c r="AJ18" s="294">
        <f>(IF('Section Load'!AK21&gt;0,'Section Load'!AK21,0))</f>
        <v>189</v>
      </c>
      <c r="AK18" s="294">
        <f>(IF('Section Load'!AL21&gt;0,'Section Load'!AL21,0))</f>
        <v>248</v>
      </c>
      <c r="AL18" s="294">
        <f>(IF('Section Load'!AM21&gt;0,'Section Load'!AM21,0))</f>
        <v>878</v>
      </c>
      <c r="AM18" s="295">
        <f>(IF('Water Report'!$T$7&gt;0,'Water Report'!$T$7,0))</f>
        <v>174</v>
      </c>
      <c r="AN18" s="295">
        <f>(IF('Water Report'!$T$8&gt;0,'Water Report'!$T$8,0))</f>
        <v>150</v>
      </c>
      <c r="AO18" s="295">
        <f>(IF('Water Report'!$T$9&gt;0,'Water Report'!$T$9,0))</f>
        <v>99</v>
      </c>
      <c r="AP18" s="295">
        <f>(IF('Water Report'!$T$10&gt;0,'Water Report'!$T$10,0))</f>
        <v>24</v>
      </c>
      <c r="AQ18" s="295">
        <f>(IF('Water Report'!$T$11&gt;0,'Water Report'!$T$11,0))</f>
        <v>86</v>
      </c>
      <c r="AR18" s="295">
        <f>(IF('Water Report'!$T$13&gt;0,'Water Report'!$T$13,0))</f>
        <v>22</v>
      </c>
      <c r="AS18" s="295">
        <f>(IF('Water Report'!$T$14&gt;0,'Water Report'!$T$14,0))</f>
        <v>9</v>
      </c>
      <c r="AT18" s="295">
        <f>(IF('Water Report'!$T$15&gt;0,'Water Report'!$T$15,0))</f>
        <v>11</v>
      </c>
      <c r="AU18" s="295">
        <f>(IF('Water Report'!$T$17&gt;0,'Water Report'!$T$17,0))</f>
        <v>0</v>
      </c>
      <c r="AV18" s="295">
        <f>(IF('Water Report'!$T$18&gt;0,'Water Report'!$T$18,0))</f>
        <v>16</v>
      </c>
      <c r="AW18" s="295">
        <f>(IF('Water Report'!$T$19&gt;0,'Water Report'!$T$19,0))</f>
        <v>14</v>
      </c>
      <c r="AX18" s="301">
        <f>(IF('Water Report'!$T$21&gt;0,'Water Report'!$T$21,0))</f>
        <v>107</v>
      </c>
      <c r="AY18" s="301">
        <f>(IF('Water Report'!$T$22&gt;0,'Water Report'!$T$22,0))</f>
        <v>0</v>
      </c>
      <c r="AZ18" s="301">
        <f>(IF('Water Report'!$T$23&gt;0,'Water Report'!$T$23,0))</f>
        <v>21</v>
      </c>
      <c r="BA18" s="301">
        <f>(IF('Water Report'!$T$14&gt;0,'Water Report'!$T$14,0))</f>
        <v>9</v>
      </c>
      <c r="BB18" s="301">
        <f>(IF('Water Report'!$T$15&gt;0,'Water Report'!$T$15,0))</f>
        <v>11</v>
      </c>
      <c r="BC18" s="301">
        <f>(IF('Water Report'!$T$13&gt;0,'Water Report'!$T$13,0))</f>
        <v>22</v>
      </c>
      <c r="BD18" s="301">
        <f>(IF('Water Report'!$T$24&gt;0,'Water Report'!$T$24,0))</f>
        <v>270</v>
      </c>
      <c r="BE18" s="301">
        <f>(IF('Water Report'!$T$25&gt;0,'Water Report'!$T$25,0))</f>
        <v>229</v>
      </c>
      <c r="BF18" s="301">
        <f>(IF('Water Report'!$T$27&gt;0,'Water Report'!$T$27,0))</f>
        <v>150</v>
      </c>
      <c r="BG18" s="296" t="e">
        <f>(IF('Section Load'!AN21&gt;0,'Section Load'!AN21,0))</f>
        <v>#VALUE!</v>
      </c>
      <c r="BH18" s="296">
        <f>(IF('Section Load'!AO21&gt;0,'Section Load'!AO21,0))</f>
        <v>346</v>
      </c>
      <c r="BI18" s="296">
        <f>(IF('Section Load'!AP21&gt;0,'Section Load'!AP21,0))</f>
        <v>0</v>
      </c>
      <c r="BJ18" s="296">
        <f>(IF('Section Load'!AQ21&gt;0,'Section Load'!AQ21,0))</f>
        <v>119</v>
      </c>
      <c r="BK18" s="296">
        <f>(IF('Section Load'!AR21&gt;0,'Section Load'!AR21,0))</f>
        <v>59</v>
      </c>
      <c r="BL18" s="296">
        <f>(IF('Section Load'!AS21&gt;0,'Section Load'!AS21,0))</f>
        <v>0</v>
      </c>
      <c r="BM18" s="296" t="e">
        <f>(IF('Section Load'!AT21&gt;0,'Section Load'!AT21,0))</f>
        <v>#VALUE!</v>
      </c>
    </row>
    <row r="19" spans="1:65">
      <c r="A19" s="287" t="s">
        <v>268</v>
      </c>
      <c r="B19" s="288">
        <f t="shared" si="0"/>
        <v>18</v>
      </c>
      <c r="C19" s="288">
        <v>4</v>
      </c>
      <c r="D19" s="288">
        <v>2022</v>
      </c>
      <c r="E19" s="294">
        <f>(IF('Section Load'!F22&gt;0,'Section Load'!F22,0))</f>
        <v>3926</v>
      </c>
      <c r="F19" s="294">
        <f>(IF('Section Load'!G22&gt;0,'Section Load'!G22,0))</f>
        <v>1696</v>
      </c>
      <c r="G19" s="294">
        <f>(IF('Section Load'!H22&gt;0,'Section Load'!H22,0))</f>
        <v>2295</v>
      </c>
      <c r="H19" s="294">
        <f>(IF('Section Load'!I22&gt;0,'Section Load'!I22,0))</f>
        <v>3285</v>
      </c>
      <c r="I19" s="294">
        <f>(IF('Section Load'!J22&gt;0,'Section Load'!J22,0))</f>
        <v>7242</v>
      </c>
      <c r="J19" s="294">
        <f>(IF('Section Load'!K22&gt;0,'Section Load'!K22,0))</f>
        <v>3303</v>
      </c>
      <c r="K19" s="294">
        <f>(IF('Section Load'!L22&gt;0,'Section Load'!L22,0))</f>
        <v>1432</v>
      </c>
      <c r="L19" s="294">
        <f>(IF('Section Load'!M22&gt;0,'Section Load'!M22,0))</f>
        <v>1020</v>
      </c>
      <c r="M19" s="294">
        <f>(IF('Section Load'!N22&gt;0,'Section Load'!N22,0))</f>
        <v>159</v>
      </c>
      <c r="N19" s="294">
        <f>(IF('Section Load'!O22&gt;0,'Section Load'!O22,0))</f>
        <v>147</v>
      </c>
      <c r="O19" s="294">
        <f>(IF('Section Load'!P22&gt;0,'Section Load'!P22,0))</f>
        <v>1</v>
      </c>
      <c r="P19" s="294">
        <f>(IF('Section Load'!Q22&gt;0,'Section Load'!Q22,0))</f>
        <v>191</v>
      </c>
      <c r="Q19" s="294">
        <f>(IF('Section Load'!R22&gt;0,'Section Load'!R22,0))</f>
        <v>61</v>
      </c>
      <c r="R19" s="294">
        <f>(IF('Section Load'!S22&gt;0,'Section Load'!S22,0))</f>
        <v>2</v>
      </c>
      <c r="S19" s="294">
        <f>(IF('Section Load'!T22&gt;0,'Section Load'!T22,0))</f>
        <v>443</v>
      </c>
      <c r="T19" s="294">
        <f>(IF('Section Load'!U22&gt;0,'Section Load'!U22,0))</f>
        <v>252</v>
      </c>
      <c r="U19" s="294">
        <f>(IF('Section Load'!V22&gt;0,'Section Load'!V22,0))</f>
        <v>412</v>
      </c>
      <c r="V19" s="294">
        <f>(IF('Section Load'!W22&gt;0,'Section Load'!W22,0))</f>
        <v>351</v>
      </c>
      <c r="W19" s="294">
        <f>(IF('Section Load'!X22&gt;0,'Section Load'!X22,0))</f>
        <v>25</v>
      </c>
      <c r="X19" s="294">
        <f>(IF('Section Load'!Y22&gt;0,'Section Load'!Y22,0))</f>
        <v>241</v>
      </c>
      <c r="Y19" s="294">
        <f>(IF('Section Load'!Z22&gt;0,'Section Load'!Z22,0))</f>
        <v>277</v>
      </c>
      <c r="Z19" s="294">
        <f>(IF('Section Load'!AA22&gt;0,'Section Load'!AA22,0))</f>
        <v>206</v>
      </c>
      <c r="AA19" s="294">
        <f>(IF('Section Load'!AB22&gt;0,'Section Load'!AB22,0))</f>
        <v>36</v>
      </c>
      <c r="AB19" s="294">
        <f>(IF('Section Load'!AC22&gt;0,'Section Load'!AC22,0))</f>
        <v>8.6199999999989814</v>
      </c>
      <c r="AC19" s="294">
        <f>(IF('Section Load'!AD22&gt;0,'Section Load'!AD22,0))</f>
        <v>170</v>
      </c>
      <c r="AD19" s="294">
        <f>(IF('Section Load'!AE22&gt;0,'Section Load'!AE22,0))</f>
        <v>416</v>
      </c>
      <c r="AE19" s="294">
        <f>(IF('Section Load'!AF22&gt;0,'Section Load'!AF22,0))</f>
        <v>229</v>
      </c>
      <c r="AF19" s="294">
        <f>(IF('Section Load'!AG22&gt;0,'Section Load'!AG22,0))</f>
        <v>542</v>
      </c>
      <c r="AG19" s="294">
        <f>(IF('Section Load'!AH22&gt;0,'Section Load'!AH22,0))</f>
        <v>398</v>
      </c>
      <c r="AH19" s="294">
        <f>(IF('Section Load'!AI22&gt;0,'Section Load'!AI22,0))</f>
        <v>415</v>
      </c>
      <c r="AI19" s="294">
        <f>(IF('Section Load'!AJ22&gt;0,'Section Load'!AJ22,0))</f>
        <v>763</v>
      </c>
      <c r="AJ19" s="294">
        <f>(IF('Section Load'!AK22&gt;0,'Section Load'!AK22,0))</f>
        <v>195</v>
      </c>
      <c r="AK19" s="294">
        <f>(IF('Section Load'!AL22&gt;0,'Section Load'!AL22,0))</f>
        <v>254</v>
      </c>
      <c r="AL19" s="294">
        <f>(IF('Section Load'!AM22&gt;0,'Section Load'!AM22,0))</f>
        <v>888</v>
      </c>
      <c r="AM19" s="295">
        <f>(IF('Water Report'!$U$7&gt;0,'Water Report'!$U$7,0))</f>
        <v>147</v>
      </c>
      <c r="AN19" s="295">
        <f>(IF('Water Report'!$U$8&gt;0,'Water Report'!$U$8,0))</f>
        <v>144</v>
      </c>
      <c r="AO19" s="295">
        <f>(IF('Water Report'!$U$9&gt;0,'Water Report'!$U$9,0))</f>
        <v>116</v>
      </c>
      <c r="AP19" s="295">
        <f>(IF('Water Report'!$U$10&gt;0,'Water Report'!$U$10,0))</f>
        <v>12</v>
      </c>
      <c r="AQ19" s="295">
        <f>(IF('Water Report'!$U$11&gt;0,'Water Report'!$U$11,0))</f>
        <v>69</v>
      </c>
      <c r="AR19" s="295">
        <f>(IF('Water Report'!$U$13&gt;0,'Water Report'!$U$13,0))</f>
        <v>16</v>
      </c>
      <c r="AS19" s="295">
        <f>(IF('Water Report'!$U$14&gt;0,'Water Report'!$U$14,0))</f>
        <v>6</v>
      </c>
      <c r="AT19" s="295">
        <f>(IF('Water Report'!$U$15&gt;0,'Water Report'!$U$15,0))</f>
        <v>7</v>
      </c>
      <c r="AU19" s="295">
        <f>(IF('Water Report'!$U$17&gt;0,'Water Report'!$U$17,0))</f>
        <v>1</v>
      </c>
      <c r="AV19" s="295">
        <f>(IF('Water Report'!$U$18&gt;0,'Water Report'!$U$18,0))</f>
        <v>16</v>
      </c>
      <c r="AW19" s="295">
        <f>(IF('Water Report'!$U$19&gt;0,'Water Report'!$U$19,0))</f>
        <v>14</v>
      </c>
      <c r="AX19" s="301">
        <f>(IF('Water Report'!$U$21&gt;0,'Water Report'!$U$21,0))</f>
        <v>106</v>
      </c>
      <c r="AY19" s="301">
        <f>(IF('Water Report'!$U$22&gt;0,'Water Report'!$U$22,0))</f>
        <v>0</v>
      </c>
      <c r="AZ19" s="301">
        <f>(IF('Water Report'!$U$23&gt;0,'Water Report'!$U$23,0))</f>
        <v>3</v>
      </c>
      <c r="BA19" s="301">
        <f>(IF('Water Report'!$U$14&gt;0,'Water Report'!$U$14,0))</f>
        <v>6</v>
      </c>
      <c r="BB19" s="301">
        <f>(IF('Water Report'!$U$15&gt;0,'Water Report'!$U$15,0))</f>
        <v>7</v>
      </c>
      <c r="BC19" s="301">
        <f>(IF('Water Report'!$U$13&gt;0,'Water Report'!$U$13,0))</f>
        <v>16</v>
      </c>
      <c r="BD19" s="301">
        <f>(IF('Water Report'!$U$24&gt;0,'Water Report'!$U$24,0))</f>
        <v>255</v>
      </c>
      <c r="BE19" s="301">
        <f>(IF('Water Report'!$U$25&gt;0,'Water Report'!$U$25,0))</f>
        <v>210</v>
      </c>
      <c r="BF19" s="301">
        <f>(IF('Water Report'!$U$27&gt;0,'Water Report'!$U$27,0))</f>
        <v>125</v>
      </c>
      <c r="BG19" s="296" t="e">
        <f>(IF('Section Load'!AN22&gt;0,'Section Load'!AN22,0))</f>
        <v>#VALUE!</v>
      </c>
      <c r="BH19" s="296">
        <f>(IF('Section Load'!AO22&gt;0,'Section Load'!AO22,0))</f>
        <v>314</v>
      </c>
      <c r="BI19" s="296">
        <f>(IF('Section Load'!AP22&gt;0,'Section Load'!AP22,0))</f>
        <v>0</v>
      </c>
      <c r="BJ19" s="296">
        <f>(IF('Section Load'!AQ22&gt;0,'Section Load'!AQ22,0))</f>
        <v>114</v>
      </c>
      <c r="BK19" s="296">
        <f>(IF('Section Load'!AR22&gt;0,'Section Load'!AR22,0))</f>
        <v>45</v>
      </c>
      <c r="BL19" s="296">
        <f>(IF('Section Load'!AS22&gt;0,'Section Load'!AS22,0))</f>
        <v>0</v>
      </c>
      <c r="BM19" s="296" t="e">
        <f>(IF('Section Load'!AT22&gt;0,'Section Load'!AT22,0))</f>
        <v>#VALUE!</v>
      </c>
    </row>
    <row r="20" spans="1:65">
      <c r="A20" s="287" t="s">
        <v>268</v>
      </c>
      <c r="B20" s="288">
        <f t="shared" si="0"/>
        <v>19</v>
      </c>
      <c r="C20" s="288">
        <v>4</v>
      </c>
      <c r="D20" s="288">
        <v>2022</v>
      </c>
      <c r="E20" s="294">
        <f>(IF('Section Load'!F23&gt;0,'Section Load'!F23,0))</f>
        <v>3887</v>
      </c>
      <c r="F20" s="294">
        <f>(IF('Section Load'!G23&gt;0,'Section Load'!G23,0))</f>
        <v>1723</v>
      </c>
      <c r="G20" s="294">
        <f>(IF('Section Load'!H23&gt;0,'Section Load'!H23,0))</f>
        <v>2295</v>
      </c>
      <c r="H20" s="294">
        <f>(IF('Section Load'!I23&gt;0,'Section Load'!I23,0))</f>
        <v>3229</v>
      </c>
      <c r="I20" s="294">
        <f>(IF('Section Load'!J23&gt;0,'Section Load'!J23,0))</f>
        <v>5840</v>
      </c>
      <c r="J20" s="294">
        <f>(IF('Section Load'!K23&gt;0,'Section Load'!K23,0))</f>
        <v>3310</v>
      </c>
      <c r="K20" s="294">
        <f>(IF('Section Load'!L23&gt;0,'Section Load'!L23,0))</f>
        <v>1258</v>
      </c>
      <c r="L20" s="294">
        <f>(IF('Section Load'!M23&gt;0,'Section Load'!M23,0))</f>
        <v>1171</v>
      </c>
      <c r="M20" s="294">
        <f>(IF('Section Load'!N23&gt;0,'Section Load'!N23,0))</f>
        <v>158</v>
      </c>
      <c r="N20" s="294">
        <f>(IF('Section Load'!O23&gt;0,'Section Load'!O23,0))</f>
        <v>152</v>
      </c>
      <c r="O20" s="294">
        <f>(IF('Section Load'!P23&gt;0,'Section Load'!P23,0))</f>
        <v>1</v>
      </c>
      <c r="P20" s="294">
        <f>(IF('Section Load'!Q23&gt;0,'Section Load'!Q23,0))</f>
        <v>201</v>
      </c>
      <c r="Q20" s="294">
        <f>(IF('Section Load'!R23&gt;0,'Section Load'!R23,0))</f>
        <v>60</v>
      </c>
      <c r="R20" s="294">
        <f>(IF('Section Load'!S23&gt;0,'Section Load'!S23,0))</f>
        <v>4</v>
      </c>
      <c r="S20" s="294">
        <f>(IF('Section Load'!T23&gt;0,'Section Load'!T23,0))</f>
        <v>460</v>
      </c>
      <c r="T20" s="294">
        <f>(IF('Section Load'!U23&gt;0,'Section Load'!U23,0))</f>
        <v>241</v>
      </c>
      <c r="U20" s="294">
        <f>(IF('Section Load'!V23&gt;0,'Section Load'!V23,0))</f>
        <v>424</v>
      </c>
      <c r="V20" s="294">
        <f>(IF('Section Load'!W23&gt;0,'Section Load'!W23,0))</f>
        <v>402</v>
      </c>
      <c r="W20" s="294">
        <f>(IF('Section Load'!X23&gt;0,'Section Load'!X23,0))</f>
        <v>28</v>
      </c>
      <c r="X20" s="294">
        <f>(IF('Section Load'!Y23&gt;0,'Section Load'!Y23,0))</f>
        <v>248</v>
      </c>
      <c r="Y20" s="294">
        <f>(IF('Section Load'!Z23&gt;0,'Section Load'!Z23,0))</f>
        <v>286</v>
      </c>
      <c r="Z20" s="294">
        <f>(IF('Section Load'!AA23&gt;0,'Section Load'!AA23,0))</f>
        <v>159</v>
      </c>
      <c r="AA20" s="294">
        <f>(IF('Section Load'!AB23&gt;0,'Section Load'!AB23,0))</f>
        <v>42</v>
      </c>
      <c r="AB20" s="294">
        <f>(IF('Section Load'!AC23&gt;0,'Section Load'!AC23,0))</f>
        <v>10</v>
      </c>
      <c r="AC20" s="294">
        <f>(IF('Section Load'!AD23&gt;0,'Section Load'!AD23,0))</f>
        <v>152</v>
      </c>
      <c r="AD20" s="294">
        <f>(IF('Section Load'!AE23&gt;0,'Section Load'!AE23,0))</f>
        <v>431</v>
      </c>
      <c r="AE20" s="294">
        <f>(IF('Section Load'!AF23&gt;0,'Section Load'!AF23,0))</f>
        <v>165</v>
      </c>
      <c r="AF20" s="294">
        <f>(IF('Section Load'!AG23&gt;0,'Section Load'!AG23,0))</f>
        <v>521</v>
      </c>
      <c r="AG20" s="294">
        <f>(IF('Section Load'!AH23&gt;0,'Section Load'!AH23,0))</f>
        <v>433</v>
      </c>
      <c r="AH20" s="294">
        <f>(IF('Section Load'!AI23&gt;0,'Section Load'!AI23,0))</f>
        <v>407</v>
      </c>
      <c r="AI20" s="294">
        <f>(IF('Section Load'!AJ23&gt;0,'Section Load'!AJ23,0))</f>
        <v>816</v>
      </c>
      <c r="AJ20" s="294">
        <f>(IF('Section Load'!AK23&gt;0,'Section Load'!AK23,0))</f>
        <v>211</v>
      </c>
      <c r="AK20" s="294">
        <f>(IF('Section Load'!AL23&gt;0,'Section Load'!AL23,0))</f>
        <v>252</v>
      </c>
      <c r="AL20" s="294">
        <f>(IF('Section Load'!AM23&gt;0,'Section Load'!AM23,0))</f>
        <v>877</v>
      </c>
      <c r="AM20" s="295">
        <f>(IF('Water Report'!$V$7&gt;0,'Water Report'!$V$7,0))</f>
        <v>183</v>
      </c>
      <c r="AN20" s="295">
        <f>(IF('Water Report'!$V$8&gt;0,'Water Report'!$V$8,0))</f>
        <v>154</v>
      </c>
      <c r="AO20" s="295">
        <f>(IF('Water Report'!$V$9&gt;0,'Water Report'!$V$9,0))</f>
        <v>127</v>
      </c>
      <c r="AP20" s="295">
        <f>(IF('Water Report'!$V$10&gt;0,'Water Report'!$V$10,0))</f>
        <v>12</v>
      </c>
      <c r="AQ20" s="295">
        <f>(IF('Water Report'!$V$11&gt;0,'Water Report'!$V$11,0))</f>
        <v>63</v>
      </c>
      <c r="AR20" s="295">
        <f>(IF('Water Report'!$V$13&gt;0,'Water Report'!$V$13,0))</f>
        <v>17</v>
      </c>
      <c r="AS20" s="295">
        <f>(IF('Water Report'!$V$14&gt;0,'Water Report'!$V$14,0))</f>
        <v>9</v>
      </c>
      <c r="AT20" s="295">
        <f>(IF('Water Report'!$V$15&gt;0,'Water Report'!$V$15,0))</f>
        <v>11</v>
      </c>
      <c r="AU20" s="295">
        <f>(IF('Water Report'!$V$17&gt;0,'Water Report'!$V$17,0))</f>
        <v>0</v>
      </c>
      <c r="AV20" s="295">
        <f>(IF('Water Report'!$V$18&gt;0,'Water Report'!$V$18,0))</f>
        <v>18</v>
      </c>
      <c r="AW20" s="295">
        <f>(IF('Water Report'!$V$19&gt;0,'Water Report'!$V$19,0))</f>
        <v>14</v>
      </c>
      <c r="AX20" s="301">
        <f>(IF('Water Report'!$V$21&gt;0,'Water Report'!$V$21,0))</f>
        <v>86</v>
      </c>
      <c r="AY20" s="301">
        <f>(IF('Water Report'!$V$22&gt;0,'Water Report'!$V$22,0))</f>
        <v>0</v>
      </c>
      <c r="AZ20" s="301">
        <f>(IF('Water Report'!$V$23&gt;0,'Water Report'!$V$23,0))</f>
        <v>6</v>
      </c>
      <c r="BA20" s="301">
        <f>(IF('Water Report'!$V$14&gt;0,'Water Report'!$V$14,0))</f>
        <v>9</v>
      </c>
      <c r="BB20" s="301">
        <f>(IF('Water Report'!$V$15&gt;0,'Water Report'!$V$15,0))</f>
        <v>11</v>
      </c>
      <c r="BC20" s="301">
        <f>(IF('Water Report'!$V$13&gt;0,'Water Report'!$V$13,0))</f>
        <v>17</v>
      </c>
      <c r="BD20" s="301">
        <f>(IF('Water Report'!$V$24&gt;0,'Water Report'!$V$24,0))</f>
        <v>274</v>
      </c>
      <c r="BE20" s="301">
        <f>(IF('Water Report'!$V$25&gt;0,'Water Report'!$V$25,0))</f>
        <v>222</v>
      </c>
      <c r="BF20" s="301">
        <f>(IF('Water Report'!$V$27&gt;0,'Water Report'!$V$27,0))</f>
        <v>109</v>
      </c>
      <c r="BG20" s="296" t="e">
        <f>(IF('Section Load'!AN23&gt;0,'Section Load'!AN23,0))</f>
        <v>#VALUE!</v>
      </c>
      <c r="BH20" s="296">
        <f>(IF('Section Load'!AO23&gt;0,'Section Load'!AO23,0))</f>
        <v>331</v>
      </c>
      <c r="BI20" s="296">
        <f>(IF('Section Load'!AP23&gt;0,'Section Load'!AP23,0))</f>
        <v>0</v>
      </c>
      <c r="BJ20" s="296">
        <f>(IF('Section Load'!AQ23&gt;0,'Section Load'!AQ23,0))</f>
        <v>99</v>
      </c>
      <c r="BK20" s="296">
        <f>(IF('Section Load'!AR23&gt;0,'Section Load'!AR23,0))</f>
        <v>47</v>
      </c>
      <c r="BL20" s="296">
        <f>(IF('Section Load'!AS23&gt;0,'Section Load'!AS23,0))</f>
        <v>0</v>
      </c>
      <c r="BM20" s="296" t="e">
        <f>(IF('Section Load'!AT23&gt;0,'Section Load'!AT23,0))</f>
        <v>#VALUE!</v>
      </c>
    </row>
    <row r="21" spans="1:65">
      <c r="A21" s="287" t="s">
        <v>268</v>
      </c>
      <c r="B21" s="288">
        <f t="shared" si="0"/>
        <v>20</v>
      </c>
      <c r="C21" s="288">
        <v>4</v>
      </c>
      <c r="D21" s="288">
        <v>2022</v>
      </c>
      <c r="E21" s="294">
        <f>(IF('Section Load'!F24&gt;0,'Section Load'!F24,0))</f>
        <v>4020.4599999999919</v>
      </c>
      <c r="F21" s="294">
        <f>(IF('Section Load'!G24&gt;0,'Section Load'!G24,0))</f>
        <v>1793.1700000000128</v>
      </c>
      <c r="G21" s="294">
        <f>(IF('Section Load'!H24&gt;0,'Section Load'!H24,0))</f>
        <v>2268.9100000000035</v>
      </c>
      <c r="H21" s="294">
        <f>(IF('Section Load'!I24&gt;0,'Section Load'!I24,0))</f>
        <v>3276.3699999999953</v>
      </c>
      <c r="I21" s="294">
        <f>(IF('Section Load'!J24&gt;0,'Section Load'!J24,0))</f>
        <v>6519.3600000000151</v>
      </c>
      <c r="J21" s="294">
        <f>(IF('Section Load'!K24&gt;0,'Section Load'!K24,0))</f>
        <v>3343.6500000000233</v>
      </c>
      <c r="K21" s="294">
        <f>(IF('Section Load'!L24&gt;0,'Section Load'!L24,0))</f>
        <v>1170.4200000000128</v>
      </c>
      <c r="L21" s="294">
        <f>(IF('Section Load'!M24&gt;0,'Section Load'!M24,0))</f>
        <v>912.80999999999767</v>
      </c>
      <c r="M21" s="294">
        <f>(IF('Section Load'!N24&gt;0,'Section Load'!N24,0))</f>
        <v>154</v>
      </c>
      <c r="N21" s="294">
        <f>(IF('Section Load'!O24&gt;0,'Section Load'!O24,0))</f>
        <v>127</v>
      </c>
      <c r="O21" s="294">
        <f>(IF('Section Load'!P24&gt;0,'Section Load'!P24,0))</f>
        <v>1</v>
      </c>
      <c r="P21" s="294">
        <f>(IF('Section Load'!Q24&gt;0,'Section Load'!Q24,0))</f>
        <v>186.19000000000233</v>
      </c>
      <c r="Q21" s="294">
        <f>(IF('Section Load'!R24&gt;0,'Section Load'!R24,0))</f>
        <v>60.930000000000291</v>
      </c>
      <c r="R21" s="294">
        <f>(IF('Section Load'!S24&gt;0,'Section Load'!S24,0))</f>
        <v>3.8000000000001819</v>
      </c>
      <c r="S21" s="294">
        <f>(IF('Section Load'!T24&gt;0,'Section Load'!T24,0))</f>
        <v>545</v>
      </c>
      <c r="T21" s="294">
        <f>(IF('Section Load'!U24&gt;0,'Section Load'!U24,0))</f>
        <v>229</v>
      </c>
      <c r="U21" s="294">
        <f>(IF('Section Load'!V24&gt;0,'Section Load'!V24,0))</f>
        <v>402.28000000002794</v>
      </c>
      <c r="V21" s="294">
        <f>(IF('Section Load'!W24&gt;0,'Section Load'!W24,0))</f>
        <v>320.47999999998137</v>
      </c>
      <c r="W21" s="294">
        <f>(IF('Section Load'!X24&gt;0,'Section Load'!X24,0))</f>
        <v>31.279999999999745</v>
      </c>
      <c r="X21" s="294">
        <f>(IF('Section Load'!Y24&gt;0,'Section Load'!Y24,0))</f>
        <v>205.5</v>
      </c>
      <c r="Y21" s="294">
        <f>(IF('Section Load'!Z24&gt;0,'Section Load'!Z24,0))</f>
        <v>280</v>
      </c>
      <c r="Z21" s="294">
        <f>(IF('Section Load'!AA24&gt;0,'Section Load'!AA24,0))</f>
        <v>18.840000000025611</v>
      </c>
      <c r="AA21" s="294">
        <f>(IF('Section Load'!AB24&gt;0,'Section Load'!AB24,0))</f>
        <v>45.899999999994179</v>
      </c>
      <c r="AB21" s="294">
        <f>(IF('Section Load'!AC24&gt;0,'Section Load'!AC24,0))</f>
        <v>0</v>
      </c>
      <c r="AC21" s="294">
        <f>(IF('Section Load'!AD24&gt;0,'Section Load'!AD24,0))</f>
        <v>164.60000000000582</v>
      </c>
      <c r="AD21" s="294">
        <f>(IF('Section Load'!AE24&gt;0,'Section Load'!AE24,0))</f>
        <v>416.27000000000044</v>
      </c>
      <c r="AE21" s="294">
        <f>(IF('Section Load'!AF24&gt;0,'Section Load'!AF24,0))</f>
        <v>145.88999999999942</v>
      </c>
      <c r="AF21" s="294">
        <f>(IF('Section Load'!AG24&gt;0,'Section Load'!AG24,0))</f>
        <v>534.23</v>
      </c>
      <c r="AG21" s="294">
        <f>(IF('Section Load'!AH24&gt;0,'Section Load'!AH24,0))</f>
        <v>457.43000000000006</v>
      </c>
      <c r="AH21" s="294">
        <f>(IF('Section Load'!AI24&gt;0,'Section Load'!AI24,0))</f>
        <v>401.03999999999996</v>
      </c>
      <c r="AI21" s="294">
        <f>(IF('Section Load'!AJ24&gt;0,'Section Load'!AJ24,0))</f>
        <v>837.5</v>
      </c>
      <c r="AJ21" s="294">
        <f>(IF('Section Load'!AK24&gt;0,'Section Load'!AK24,0))</f>
        <v>242.30999999999995</v>
      </c>
      <c r="AK21" s="294">
        <f>(IF('Section Load'!AL24&gt;0,'Section Load'!AL24,0))</f>
        <v>257.17000000001281</v>
      </c>
      <c r="AL21" s="294">
        <f>(IF('Section Load'!AM24&gt;0,'Section Load'!AM24,0))</f>
        <v>973.17999999999302</v>
      </c>
      <c r="AM21" s="295">
        <f>(IF('Water Report'!$W$7&gt;0,'Water Report'!$W$7,0))</f>
        <v>164</v>
      </c>
      <c r="AN21" s="295">
        <f>(IF('Water Report'!$W$8&gt;0,'Water Report'!$W$8,0))</f>
        <v>154</v>
      </c>
      <c r="AO21" s="295">
        <f>(IF('Water Report'!$W$9&gt;0,'Water Report'!$W$9,0))</f>
        <v>97</v>
      </c>
      <c r="AP21" s="295">
        <f>(IF('Water Report'!$W$10&gt;0,'Water Report'!$W$10,0))</f>
        <v>14</v>
      </c>
      <c r="AQ21" s="295">
        <f>(IF('Water Report'!$W$11&gt;0,'Water Report'!$W$11,0))</f>
        <v>94</v>
      </c>
      <c r="AR21" s="295">
        <f>(IF('Water Report'!$W$13&gt;0,'Water Report'!$W$13,0))</f>
        <v>33</v>
      </c>
      <c r="AS21" s="295">
        <f>(IF('Water Report'!$W$14&gt;0,'Water Report'!$W$14,0))</f>
        <v>6</v>
      </c>
      <c r="AT21" s="295">
        <f>(IF('Water Report'!$W$15&gt;0,'Water Report'!$W$15,0))</f>
        <v>17</v>
      </c>
      <c r="AU21" s="295">
        <f>(IF('Water Report'!$W$17&gt;0,'Water Report'!$W$17,0))</f>
        <v>73</v>
      </c>
      <c r="AV21" s="295">
        <f>(IF('Water Report'!$W$18&gt;0,'Water Report'!$W$18,0))</f>
        <v>14</v>
      </c>
      <c r="AW21" s="295">
        <f>(IF('Water Report'!$W$19&gt;0,'Water Report'!$W$19,0))</f>
        <v>11</v>
      </c>
      <c r="AX21" s="301">
        <f>(IF('Water Report'!$W$21&gt;0,'Water Report'!$W$21,0))</f>
        <v>107</v>
      </c>
      <c r="AY21" s="301">
        <f>(IF('Water Report'!$W$22&gt;0,'Water Report'!$W$22,0))</f>
        <v>0</v>
      </c>
      <c r="AZ21" s="301">
        <f>(IF('Water Report'!$W$23&gt;0,'Water Report'!$W$23,0))</f>
        <v>15</v>
      </c>
      <c r="BA21" s="301">
        <f>(IF('Water Report'!$W$14&gt;0,'Water Report'!$W$14,0))</f>
        <v>6</v>
      </c>
      <c r="BB21" s="301">
        <f>(IF('Water Report'!$W$15&gt;0,'Water Report'!$W$15,0))</f>
        <v>17</v>
      </c>
      <c r="BC21" s="301">
        <f>(IF('Water Report'!$W$13&gt;0,'Water Report'!$W$13,0))</f>
        <v>33</v>
      </c>
      <c r="BD21" s="301">
        <f>(IF('Water Report'!$W$24&gt;0,'Water Report'!$W$24,0))</f>
        <v>307</v>
      </c>
      <c r="BE21" s="301">
        <f>(IF('Water Report'!$W$25&gt;0,'Water Report'!$W$25,0))</f>
        <v>228</v>
      </c>
      <c r="BF21" s="301">
        <f>(IF('Water Report'!$W$27&gt;0,'Water Report'!$W$27,0))</f>
        <v>155</v>
      </c>
      <c r="BG21" s="296" t="e">
        <f>(IF('Section Load'!AN24&gt;0,'Section Load'!AN24,0))</f>
        <v>#VALUE!</v>
      </c>
      <c r="BH21" s="296">
        <f>(IF('Section Load'!AO24&gt;0,'Section Load'!AO24,0))</f>
        <v>333.11999999999534</v>
      </c>
      <c r="BI21" s="296">
        <f>(IF('Section Load'!AP24&gt;0,'Section Load'!AP24,0))</f>
        <v>0</v>
      </c>
      <c r="BJ21" s="296">
        <f>(IF('Section Load'!AQ24&gt;0,'Section Load'!AQ24,0))</f>
        <v>125.57999999998719</v>
      </c>
      <c r="BK21" s="296">
        <f>(IF('Section Load'!AR24&gt;0,'Section Load'!AR24,0))</f>
        <v>50.5</v>
      </c>
      <c r="BL21" s="296">
        <f>(IF('Section Load'!AS24&gt;0,'Section Load'!AS24,0))</f>
        <v>0</v>
      </c>
      <c r="BM21" s="296" t="e">
        <f>(IF('Section Load'!AT24&gt;0,'Section Load'!AT24,0))</f>
        <v>#VALUE!</v>
      </c>
    </row>
    <row r="22" spans="1:65">
      <c r="A22" s="287" t="s">
        <v>268</v>
      </c>
      <c r="B22" s="288">
        <f t="shared" si="0"/>
        <v>21</v>
      </c>
      <c r="C22" s="288">
        <v>4</v>
      </c>
      <c r="D22" s="288">
        <v>2022</v>
      </c>
      <c r="E22" s="294">
        <f>(IF('Section Load'!F25&gt;0,'Section Load'!F25,0))</f>
        <v>4041.6199999999953</v>
      </c>
      <c r="F22" s="294">
        <f>(IF('Section Load'!G25&gt;0,'Section Load'!G25,0))</f>
        <v>1751.9499999999825</v>
      </c>
      <c r="G22" s="294">
        <f>(IF('Section Load'!H25&gt;0,'Section Load'!H25,0))</f>
        <v>2476.7799999999988</v>
      </c>
      <c r="H22" s="294">
        <f>(IF('Section Load'!I25&gt;0,'Section Load'!I25,0))</f>
        <v>3181.3800000000047</v>
      </c>
      <c r="I22" s="294">
        <f>(IF('Section Load'!J25&gt;0,'Section Load'!J25,0))</f>
        <v>7678.4199999999837</v>
      </c>
      <c r="J22" s="294">
        <f>(IF('Section Load'!K25&gt;0,'Section Load'!K25,0))</f>
        <v>3448.6199999999953</v>
      </c>
      <c r="K22" s="294">
        <f>(IF('Section Load'!L25&gt;0,'Section Load'!L25,0))</f>
        <v>1720.7299999999814</v>
      </c>
      <c r="L22" s="294">
        <f>(IF('Section Load'!M25&gt;0,'Section Load'!M25,0))</f>
        <v>1318.2200000000012</v>
      </c>
      <c r="M22" s="294">
        <f>(IF('Section Load'!N25&gt;0,'Section Load'!N25,0))</f>
        <v>139</v>
      </c>
      <c r="N22" s="294">
        <f>(IF('Section Load'!O25&gt;0,'Section Load'!O25,0))</f>
        <v>191</v>
      </c>
      <c r="O22" s="294">
        <f>(IF('Section Load'!P25&gt;0,'Section Load'!P25,0))</f>
        <v>3.8999999999941792</v>
      </c>
      <c r="P22" s="294">
        <f>(IF('Section Load'!Q25&gt;0,'Section Load'!Q25,0))</f>
        <v>202.19000000000233</v>
      </c>
      <c r="Q22" s="294">
        <f>(IF('Section Load'!R25&gt;0,'Section Load'!R25,0))</f>
        <v>57.380000000001019</v>
      </c>
      <c r="R22" s="294">
        <f>(IF('Section Load'!S25&gt;0,'Section Load'!S25,0))</f>
        <v>2.8000000000001819</v>
      </c>
      <c r="S22" s="294">
        <f>(IF('Section Load'!T25&gt;0,'Section Load'!T25,0))</f>
        <v>426</v>
      </c>
      <c r="T22" s="294">
        <f>(IF('Section Load'!U25&gt;0,'Section Load'!U25,0))</f>
        <v>232</v>
      </c>
      <c r="U22" s="294">
        <f>(IF('Section Load'!V25&gt;0,'Section Load'!V25,0))</f>
        <v>465.67999999993481</v>
      </c>
      <c r="V22" s="294">
        <f>(IF('Section Load'!W25&gt;0,'Section Load'!W25,0))</f>
        <v>430.95999999996275</v>
      </c>
      <c r="W22" s="294">
        <f>(IF('Section Load'!X25&gt;0,'Section Load'!X25,0))</f>
        <v>33.010000000000218</v>
      </c>
      <c r="X22" s="294">
        <f>(IF('Section Load'!Y25&gt;0,'Section Load'!Y25,0))</f>
        <v>238.88000000000102</v>
      </c>
      <c r="Y22" s="294">
        <f>(IF('Section Load'!Z25&gt;0,'Section Load'!Z25,0))</f>
        <v>299</v>
      </c>
      <c r="Z22" s="294">
        <f>(IF('Section Load'!AA25&gt;0,'Section Load'!AA25,0))</f>
        <v>23.159999999974389</v>
      </c>
      <c r="AA22" s="294">
        <f>(IF('Section Load'!AB25&gt;0,'Section Load'!AB25,0))</f>
        <v>41.5</v>
      </c>
      <c r="AB22" s="294">
        <f>(IF('Section Load'!AC25&gt;0,'Section Load'!AC25,0))</f>
        <v>0</v>
      </c>
      <c r="AC22" s="294">
        <f>(IF('Section Load'!AD25&gt;0,'Section Load'!AD25,0))</f>
        <v>172.69999999999163</v>
      </c>
      <c r="AD22" s="294">
        <f>(IF('Section Load'!AE25&gt;0,'Section Load'!AE25,0))</f>
        <v>361.59999999999854</v>
      </c>
      <c r="AE22" s="294">
        <f>(IF('Section Load'!AF25&gt;0,'Section Load'!AF25,0))</f>
        <v>200.35000000000218</v>
      </c>
      <c r="AF22" s="294">
        <f>(IF('Section Load'!AG25&gt;0,'Section Load'!AG25,0))</f>
        <v>542.90000000000009</v>
      </c>
      <c r="AG22" s="294">
        <f>(IF('Section Load'!AH25&gt;0,'Section Load'!AH25,0))</f>
        <v>447.01</v>
      </c>
      <c r="AH22" s="294">
        <f>(IF('Section Load'!AI25&gt;0,'Section Load'!AI25,0))</f>
        <v>396.61999999999989</v>
      </c>
      <c r="AI22" s="294">
        <f>(IF('Section Load'!AJ25&gt;0,'Section Load'!AJ25,0))</f>
        <v>749.89000000000033</v>
      </c>
      <c r="AJ22" s="294">
        <f>(IF('Section Load'!AK25&gt;0,'Section Load'!AK25,0))</f>
        <v>187.71000000000004</v>
      </c>
      <c r="AK22" s="294">
        <f>(IF('Section Load'!AL25&gt;0,'Section Load'!AL25,0))</f>
        <v>247.13999999998487</v>
      </c>
      <c r="AL22" s="294">
        <f>(IF('Section Load'!AM25&gt;0,'Section Load'!AM25,0))</f>
        <v>956.41000000000349</v>
      </c>
      <c r="AM22" s="295">
        <f>(IF('Water Report'!$X$7&gt;0,'Water Report'!$X$7,0))</f>
        <v>194</v>
      </c>
      <c r="AN22" s="295">
        <f>(IF('Water Report'!$X$8&gt;0,'Water Report'!$X$8,0))</f>
        <v>183</v>
      </c>
      <c r="AO22" s="295">
        <f>(IF('Water Report'!$X$9&gt;0,'Water Report'!$X$9,0))</f>
        <v>124</v>
      </c>
      <c r="AP22" s="295">
        <f>(IF('Water Report'!$X$10&gt;0,'Water Report'!$X$10,0))</f>
        <v>17</v>
      </c>
      <c r="AQ22" s="295">
        <f>(IF('Water Report'!$X$11&gt;0,'Water Report'!$X$11,0))</f>
        <v>78</v>
      </c>
      <c r="AR22" s="295">
        <f>(IF('Water Report'!$X$13&gt;0,'Water Report'!$X$13,0))</f>
        <v>95</v>
      </c>
      <c r="AS22" s="295">
        <f>(IF('Water Report'!$X$14&gt;0,'Water Report'!$X$14,0))</f>
        <v>15</v>
      </c>
      <c r="AT22" s="295">
        <f>(IF('Water Report'!$X$15&gt;0,'Water Report'!$X$15,0))</f>
        <v>8</v>
      </c>
      <c r="AU22" s="295">
        <f>(IF('Water Report'!$X$17&gt;0,'Water Report'!$X$17,0))</f>
        <v>0</v>
      </c>
      <c r="AV22" s="295">
        <f>(IF('Water Report'!$X$18&gt;0,'Water Report'!$X$18,0))</f>
        <v>16</v>
      </c>
      <c r="AW22" s="295">
        <f>(IF('Water Report'!$X$19&gt;0,'Water Report'!$X$19,0))</f>
        <v>13</v>
      </c>
      <c r="AX22" s="301">
        <f>(IF('Water Report'!$X$21&gt;0,'Water Report'!$X$21,0))</f>
        <v>107</v>
      </c>
      <c r="AY22" s="301">
        <f>(IF('Water Report'!$X$22&gt;0,'Water Report'!$X$22,0))</f>
        <v>17</v>
      </c>
      <c r="AZ22" s="301">
        <f>(IF('Water Report'!$X$23&gt;0,'Water Report'!$X$23,0))</f>
        <v>3</v>
      </c>
      <c r="BA22" s="301">
        <f>(IF('Water Report'!$X$14&gt;0,'Water Report'!$X$14,0))</f>
        <v>15</v>
      </c>
      <c r="BB22" s="301">
        <f>(IF('Water Report'!$X$15&gt;0,'Water Report'!$X$15,0))</f>
        <v>8</v>
      </c>
      <c r="BC22" s="301">
        <f>(IF('Water Report'!$X$13&gt;0,'Water Report'!$X$13,0))</f>
        <v>95</v>
      </c>
      <c r="BD22" s="301">
        <f>(IF('Water Report'!$X$24&gt;0,'Water Report'!$X$24,0))</f>
        <v>277</v>
      </c>
      <c r="BE22" s="301">
        <f>(IF('Water Report'!$X$25&gt;0,'Water Report'!$X$25,0))</f>
        <v>242</v>
      </c>
      <c r="BF22" s="301">
        <f>(IF('Water Report'!$X$27&gt;0,'Water Report'!$X$27,0))</f>
        <v>205</v>
      </c>
      <c r="BG22" s="296" t="e">
        <f>(IF('Section Load'!AN25&gt;0,'Section Load'!AN25,0))</f>
        <v>#VALUE!</v>
      </c>
      <c r="BH22" s="296">
        <f>(IF('Section Load'!AO25&gt;0,'Section Load'!AO25,0))</f>
        <v>311.35999999998603</v>
      </c>
      <c r="BI22" s="296">
        <f>(IF('Section Load'!AP25&gt;0,'Section Load'!AP25,0))</f>
        <v>0</v>
      </c>
      <c r="BJ22" s="296">
        <f>(IF('Section Load'!AQ25&gt;0,'Section Load'!AQ25,0))</f>
        <v>124.24000000001979</v>
      </c>
      <c r="BK22" s="296">
        <f>(IF('Section Load'!AR25&gt;0,'Section Load'!AR25,0))</f>
        <v>42.400000000001455</v>
      </c>
      <c r="BL22" s="296">
        <f>(IF('Section Load'!AS25&gt;0,'Section Load'!AS25,0))</f>
        <v>0</v>
      </c>
      <c r="BM22" s="296" t="e">
        <f>(IF('Section Load'!AT25&gt;0,'Section Load'!AT25,0))</f>
        <v>#VALUE!</v>
      </c>
    </row>
    <row r="23" spans="1:65">
      <c r="A23" s="287" t="s">
        <v>268</v>
      </c>
      <c r="B23" s="288">
        <f t="shared" si="0"/>
        <v>22</v>
      </c>
      <c r="C23" s="288">
        <v>4</v>
      </c>
      <c r="D23" s="288">
        <v>2022</v>
      </c>
      <c r="E23" s="294">
        <f>(IF('Section Load'!F26&gt;0,'Section Load'!F26,0))</f>
        <v>3924.460000000021</v>
      </c>
      <c r="F23" s="294">
        <f>(IF('Section Load'!G26&gt;0,'Section Load'!G26,0))</f>
        <v>1773.3300000000163</v>
      </c>
      <c r="G23" s="294">
        <f>(IF('Section Load'!H26&gt;0,'Section Load'!H26,0))</f>
        <v>2323.6000000000058</v>
      </c>
      <c r="H23" s="294">
        <f>(IF('Section Load'!I26&gt;0,'Section Load'!I26,0))</f>
        <v>3155.179999999993</v>
      </c>
      <c r="I23" s="294">
        <f>(IF('Section Load'!J26&gt;0,'Section Load'!J26,0))</f>
        <v>8506.1299999999756</v>
      </c>
      <c r="J23" s="294">
        <f>(IF('Section Load'!K26&gt;0,'Section Load'!K26,0))</f>
        <v>3471.6199999999953</v>
      </c>
      <c r="K23" s="294">
        <f>(IF('Section Load'!L26&gt;0,'Section Load'!L26,0))</f>
        <v>1197.1199999999953</v>
      </c>
      <c r="L23" s="294">
        <f>(IF('Section Load'!M26&gt;0,'Section Load'!M26,0))</f>
        <v>1008.9499999999971</v>
      </c>
      <c r="M23" s="294">
        <f>(IF('Section Load'!N26&gt;0,'Section Load'!N26,0))</f>
        <v>137</v>
      </c>
      <c r="N23" s="294">
        <f>(IF('Section Load'!O26&gt;0,'Section Load'!O26,0))</f>
        <v>166</v>
      </c>
      <c r="O23" s="294">
        <f>(IF('Section Load'!P26&gt;0,'Section Load'!P26,0))</f>
        <v>1.5</v>
      </c>
      <c r="P23" s="294">
        <f>(IF('Section Load'!Q26&gt;0,'Section Load'!Q26,0))</f>
        <v>203.27999999999884</v>
      </c>
      <c r="Q23" s="294">
        <f>(IF('Section Load'!R26&gt;0,'Section Load'!R26,0))</f>
        <v>62.109999999996944</v>
      </c>
      <c r="R23" s="294">
        <f>(IF('Section Load'!S26&gt;0,'Section Load'!S26,0))</f>
        <v>2.4399999999995998</v>
      </c>
      <c r="S23" s="294">
        <f>(IF('Section Load'!T26&gt;0,'Section Load'!T26,0))</f>
        <v>483</v>
      </c>
      <c r="T23" s="294">
        <f>(IF('Section Load'!U26&gt;0,'Section Load'!U26,0))</f>
        <v>230</v>
      </c>
      <c r="U23" s="294">
        <f>(IF('Section Load'!V26&gt;0,'Section Load'!V26,0))</f>
        <v>423.20000000006985</v>
      </c>
      <c r="V23" s="294">
        <f>(IF('Section Load'!W26&gt;0,'Section Load'!W26,0))</f>
        <v>329.04000000003725</v>
      </c>
      <c r="W23" s="294">
        <f>(IF('Section Load'!X26&gt;0,'Section Load'!X26,0))</f>
        <v>27.869999999999891</v>
      </c>
      <c r="X23" s="294">
        <f>(IF('Section Load'!Y26&gt;0,'Section Load'!Y26,0))</f>
        <v>217.97999999999956</v>
      </c>
      <c r="Y23" s="294">
        <f>(IF('Section Load'!Z26&gt;0,'Section Load'!Z26,0))</f>
        <v>262</v>
      </c>
      <c r="Z23" s="294">
        <f>(IF('Section Load'!AA26&gt;0,'Section Load'!AA26,0))</f>
        <v>23.840000000025611</v>
      </c>
      <c r="AA23" s="294">
        <f>(IF('Section Load'!AB26&gt;0,'Section Load'!AB26,0))</f>
        <v>36.30000000000291</v>
      </c>
      <c r="AB23" s="294">
        <f>(IF('Section Load'!AC26&gt;0,'Section Load'!AC26,0))</f>
        <v>0</v>
      </c>
      <c r="AC23" s="294">
        <f>(IF('Section Load'!AD26&gt;0,'Section Load'!AD26,0))</f>
        <v>186.19999999999982</v>
      </c>
      <c r="AD23" s="294">
        <f>(IF('Section Load'!AE26&gt;0,'Section Load'!AE26,0))</f>
        <v>281.47999999999956</v>
      </c>
      <c r="AE23" s="294">
        <f>(IF('Section Load'!AF26&gt;0,'Section Load'!AF26,0))</f>
        <v>133.87999999999738</v>
      </c>
      <c r="AF23" s="294">
        <f>(IF('Section Load'!AG26&gt;0,'Section Load'!AG26,0))</f>
        <v>553.6899999999996</v>
      </c>
      <c r="AG23" s="294">
        <f>(IF('Section Load'!AH26&gt;0,'Section Load'!AH26,0))</f>
        <v>462.67999999999984</v>
      </c>
      <c r="AH23" s="294">
        <f>(IF('Section Load'!AI26&gt;0,'Section Load'!AI26,0))</f>
        <v>409.77</v>
      </c>
      <c r="AI23" s="294">
        <f>(IF('Section Load'!AJ26&gt;0,'Section Load'!AJ26,0))</f>
        <v>798.35999999999967</v>
      </c>
      <c r="AJ23" s="294">
        <f>(IF('Section Load'!AK26&gt;0,'Section Load'!AK26,0))</f>
        <v>203.30999999999995</v>
      </c>
      <c r="AK23" s="294">
        <f>(IF('Section Load'!AL26&gt;0,'Section Load'!AL26,0))</f>
        <v>244.22000000000116</v>
      </c>
      <c r="AL23" s="294">
        <f>(IF('Section Load'!AM26&gt;0,'Section Load'!AM26,0))</f>
        <v>905.19000000000233</v>
      </c>
      <c r="AM23" s="295">
        <f>(IF('Water Report'!$Y$7&gt;0,'Water Report'!$Y$7,0))</f>
        <v>170</v>
      </c>
      <c r="AN23" s="295">
        <f>(IF('Water Report'!$Y$8&gt;0,'Water Report'!$Y$8,0))</f>
        <v>140</v>
      </c>
      <c r="AO23" s="295">
        <f>(IF('Water Report'!$Y$9&gt;0,'Water Report'!$Y$9,0))</f>
        <v>116</v>
      </c>
      <c r="AP23" s="295">
        <f>(IF('Water Report'!$Y$10&gt;0,'Water Report'!$Y$10,0))</f>
        <v>13</v>
      </c>
      <c r="AQ23" s="295">
        <f>(IF('Water Report'!$Y$11&gt;0,'Water Report'!$Y$11,0))</f>
        <v>82</v>
      </c>
      <c r="AR23" s="295">
        <f>(IF('Water Report'!$Y$13&gt;0,'Water Report'!$Y$13,0))</f>
        <v>58</v>
      </c>
      <c r="AS23" s="295">
        <f>(IF('Water Report'!$Y$14&gt;0,'Water Report'!$Y$14,0))</f>
        <v>12</v>
      </c>
      <c r="AT23" s="295">
        <f>(IF('Water Report'!$Y$15&gt;0,'Water Report'!$Y$15,0))</f>
        <v>6</v>
      </c>
      <c r="AU23" s="295">
        <f>(IF('Water Report'!$Y$17&gt;0,'Water Report'!$Y$17,0))</f>
        <v>0</v>
      </c>
      <c r="AV23" s="295">
        <f>(IF('Water Report'!$Y$18&gt;0,'Water Report'!$Y$18,0))</f>
        <v>16</v>
      </c>
      <c r="AW23" s="295">
        <f>(IF('Water Report'!$Y$19&gt;0,'Water Report'!$Y$19,0))</f>
        <v>12</v>
      </c>
      <c r="AX23" s="301">
        <f>(IF('Water Report'!$Y$21&gt;0,'Water Report'!$Y$21,0))</f>
        <v>85</v>
      </c>
      <c r="AY23" s="301">
        <f>(IF('Water Report'!$Y$22&gt;0,'Water Report'!$Y$22,0))</f>
        <v>5</v>
      </c>
      <c r="AZ23" s="301">
        <f>(IF('Water Report'!$Y$23&gt;0,'Water Report'!$Y$23,0))</f>
        <v>4</v>
      </c>
      <c r="BA23" s="301">
        <f>(IF('Water Report'!$Y$14&gt;0,'Water Report'!$Y$14,0))</f>
        <v>12</v>
      </c>
      <c r="BB23" s="301">
        <f>(IF('Water Report'!$Y$15&gt;0,'Water Report'!$Y$15,0))</f>
        <v>6</v>
      </c>
      <c r="BC23" s="301">
        <f>(IF('Water Report'!$Y$13&gt;0,'Water Report'!$Y$13,0))</f>
        <v>58</v>
      </c>
      <c r="BD23" s="301">
        <f>(IF('Water Report'!$Y$24&gt;0,'Water Report'!$Y$24,0))</f>
        <v>296</v>
      </c>
      <c r="BE23" s="301">
        <f>(IF('Water Report'!$Y$25&gt;0,'Water Report'!$Y$25,0))</f>
        <v>229</v>
      </c>
      <c r="BF23" s="301">
        <f>(IF('Water Report'!$Y$27&gt;0,'Water Report'!$Y$27,0))</f>
        <v>147</v>
      </c>
      <c r="BG23" s="296" t="e">
        <f>(IF('Section Load'!AN26&gt;0,'Section Load'!AN26,0))</f>
        <v>#VALUE!</v>
      </c>
      <c r="BH23" s="296">
        <f>(IF('Section Load'!AO26&gt;0,'Section Load'!AO26,0))</f>
        <v>321.5</v>
      </c>
      <c r="BI23" s="296">
        <f>(IF('Section Load'!AP26&gt;0,'Section Load'!AP26,0))</f>
        <v>0</v>
      </c>
      <c r="BJ23" s="296">
        <f>(IF('Section Load'!AQ26&gt;0,'Section Load'!AQ26,0))</f>
        <v>114.86999999999534</v>
      </c>
      <c r="BK23" s="296">
        <f>(IF('Section Load'!AR26&gt;0,'Section Load'!AR26,0))</f>
        <v>54.400000000001455</v>
      </c>
      <c r="BL23" s="296">
        <f>(IF('Section Load'!AS26&gt;0,'Section Load'!AS26,0))</f>
        <v>0</v>
      </c>
      <c r="BM23" s="296" t="e">
        <f>(IF('Section Load'!AT26&gt;0,'Section Load'!AT26,0))</f>
        <v>#VALUE!</v>
      </c>
    </row>
    <row r="24" spans="1:65">
      <c r="A24" s="287" t="s">
        <v>268</v>
      </c>
      <c r="B24" s="288">
        <f t="shared" si="0"/>
        <v>23</v>
      </c>
      <c r="C24" s="288">
        <v>4</v>
      </c>
      <c r="D24" s="288">
        <v>2022</v>
      </c>
      <c r="E24" s="294">
        <f>(IF('Section Load'!F27&gt;0,'Section Load'!F27,0))</f>
        <v>3923.4200000000128</v>
      </c>
      <c r="F24" s="294">
        <f>(IF('Section Load'!G27&gt;0,'Section Load'!G27,0))</f>
        <v>1861.7399999999907</v>
      </c>
      <c r="G24" s="294">
        <f>(IF('Section Load'!H27&gt;0,'Section Load'!H27,0))</f>
        <v>2416.6600000000035</v>
      </c>
      <c r="H24" s="294">
        <f>(IF('Section Load'!I27&gt;0,'Section Load'!I27,0))</f>
        <v>3156.7999999999884</v>
      </c>
      <c r="I24" s="294">
        <f>(IF('Section Load'!J27&gt;0,'Section Load'!J27,0))</f>
        <v>9799.2200000000503</v>
      </c>
      <c r="J24" s="294">
        <f>(IF('Section Load'!K27&gt;0,'Section Load'!K27,0))</f>
        <v>3760.5599999999977</v>
      </c>
      <c r="K24" s="294">
        <f>(IF('Section Load'!L27&gt;0,'Section Load'!L27,0))</f>
        <v>1403.3300000000163</v>
      </c>
      <c r="L24" s="294">
        <f>(IF('Section Load'!M27&gt;0,'Section Load'!M27,0))</f>
        <v>1296.0200000000041</v>
      </c>
      <c r="M24" s="294">
        <f>(IF('Section Load'!N27&gt;0,'Section Load'!N27,0))</f>
        <v>181</v>
      </c>
      <c r="N24" s="294">
        <f>(IF('Section Load'!O27&gt;0,'Section Load'!O27,0))</f>
        <v>145</v>
      </c>
      <c r="O24" s="294">
        <f>(IF('Section Load'!P27&gt;0,'Section Load'!P27,0))</f>
        <v>1.6000000000058208</v>
      </c>
      <c r="P24" s="294">
        <f>(IF('Section Load'!Q27&gt;0,'Section Load'!Q27,0))</f>
        <v>207.75</v>
      </c>
      <c r="Q24" s="294">
        <f>(IF('Section Load'!R27&gt;0,'Section Load'!R27,0))</f>
        <v>63.070000000003347</v>
      </c>
      <c r="R24" s="294">
        <f>(IF('Section Load'!S27&gt;0,'Section Load'!S27,0))</f>
        <v>2.3400000000001455</v>
      </c>
      <c r="S24" s="294">
        <f>(IF('Section Load'!T27&gt;0,'Section Load'!T27,0))</f>
        <v>501</v>
      </c>
      <c r="T24" s="294">
        <f>(IF('Section Load'!U27&gt;0,'Section Load'!U27,0))</f>
        <v>206</v>
      </c>
      <c r="U24" s="294">
        <f>(IF('Section Load'!V27&gt;0,'Section Load'!V27,0))</f>
        <v>488.8399999999674</v>
      </c>
      <c r="V24" s="294">
        <f>(IF('Section Load'!W27&gt;0,'Section Load'!W27,0))</f>
        <v>443.04000000003725</v>
      </c>
      <c r="W24" s="294">
        <f>(IF('Section Load'!X27&gt;0,'Section Load'!X27,0))</f>
        <v>31.210000000000036</v>
      </c>
      <c r="X24" s="294">
        <f>(IF('Section Load'!Y27&gt;0,'Section Load'!Y27,0))</f>
        <v>232.84000000000015</v>
      </c>
      <c r="Y24" s="294">
        <f>(IF('Section Load'!Z27&gt;0,'Section Load'!Z27,0))</f>
        <v>296</v>
      </c>
      <c r="Z24" s="294">
        <f>(IF('Section Load'!AA27&gt;0,'Section Load'!AA27,0))</f>
        <v>23.479999999981374</v>
      </c>
      <c r="AA24" s="294">
        <f>(IF('Section Load'!AB27&gt;0,'Section Load'!AB27,0))</f>
        <v>18.100000000005821</v>
      </c>
      <c r="AB24" s="294">
        <f>(IF('Section Load'!AC27&gt;0,'Section Load'!AC27,0))</f>
        <v>7.6300000000010186</v>
      </c>
      <c r="AC24" s="294">
        <f>(IF('Section Load'!AD27&gt;0,'Section Load'!AD27,0))</f>
        <v>159.50000000000546</v>
      </c>
      <c r="AD24" s="294">
        <f>(IF('Section Load'!AE27&gt;0,'Section Load'!AE27,0))</f>
        <v>400.2400000000016</v>
      </c>
      <c r="AE24" s="294">
        <f>(IF('Section Load'!AF27&gt;0,'Section Load'!AF27,0))</f>
        <v>89.880000000001019</v>
      </c>
      <c r="AF24" s="294">
        <f>(IF('Section Load'!AG27&gt;0,'Section Load'!AG27,0))</f>
        <v>524.18000000000029</v>
      </c>
      <c r="AG24" s="294">
        <f>(IF('Section Load'!AH27&gt;0,'Section Load'!AH27,0))</f>
        <v>454.90000000000009</v>
      </c>
      <c r="AH24" s="294">
        <f>(IF('Section Load'!AI27&gt;0,'Section Load'!AI27,0))</f>
        <v>417.91000000000031</v>
      </c>
      <c r="AI24" s="294">
        <f>(IF('Section Load'!AJ27&gt;0,'Section Load'!AJ27,0))</f>
        <v>813.14999999999964</v>
      </c>
      <c r="AJ24" s="294">
        <f>(IF('Section Load'!AK27&gt;0,'Section Load'!AK27,0))</f>
        <v>241.22000000000025</v>
      </c>
      <c r="AK24" s="294">
        <f>(IF('Section Load'!AL27&gt;0,'Section Load'!AL27,0))</f>
        <v>284</v>
      </c>
      <c r="AL24" s="294">
        <f>(IF('Section Load'!AM27&gt;0,'Section Load'!AM27,0))</f>
        <v>987.52999999999884</v>
      </c>
      <c r="AM24" s="295">
        <f>(IF('Water Report'!$Z$7&gt;0,'Water Report'!$Z$7,0))</f>
        <v>211</v>
      </c>
      <c r="AN24" s="295">
        <f>(IF('Water Report'!$Z$8&gt;0,'Water Report'!$Z$8,0))</f>
        <v>153</v>
      </c>
      <c r="AO24" s="295">
        <f>(IF('Water Report'!$Z$9&gt;0,'Water Report'!$Z$9,0))</f>
        <v>150</v>
      </c>
      <c r="AP24" s="295">
        <f>(IF('Water Report'!$Z$10&gt;0,'Water Report'!$Z$10,0))</f>
        <v>17</v>
      </c>
      <c r="AQ24" s="295">
        <f>(IF('Water Report'!$Z$11&gt;0,'Water Report'!$Z$11,0))</f>
        <v>89</v>
      </c>
      <c r="AR24" s="295">
        <f>(IF('Water Report'!$Z$13&gt;0,'Water Report'!$Z$13,0))</f>
        <v>70</v>
      </c>
      <c r="AS24" s="295">
        <f>(IF('Water Report'!$Z$14&gt;0,'Water Report'!$Z$14,0))</f>
        <v>7</v>
      </c>
      <c r="AT24" s="295">
        <f>(IF('Water Report'!$Z$15&gt;0,'Water Report'!$Z$15,0))</f>
        <v>9</v>
      </c>
      <c r="AU24" s="295">
        <f>(IF('Water Report'!$Z$17&gt;0,'Water Report'!$Z$17,0))</f>
        <v>6</v>
      </c>
      <c r="AV24" s="295">
        <f>(IF('Water Report'!$Z$18&gt;0,'Water Report'!$Z$18,0))</f>
        <v>13</v>
      </c>
      <c r="AW24" s="295">
        <f>(IF('Water Report'!$Z$19&gt;0,'Water Report'!$Z$19,0))</f>
        <v>13</v>
      </c>
      <c r="AX24" s="301">
        <f>(IF('Water Report'!$Z$21&gt;0,'Water Report'!$Z$21,0))</f>
        <v>107</v>
      </c>
      <c r="AY24" s="301">
        <f>(IF('Water Report'!$Z$22&gt;0,'Water Report'!$Z$22,0))</f>
        <v>7</v>
      </c>
      <c r="AZ24" s="301">
        <f>(IF('Water Report'!$Z$23&gt;0,'Water Report'!$Z$23,0))</f>
        <v>9</v>
      </c>
      <c r="BA24" s="301">
        <f>(IF('Water Report'!$Z$14&gt;0,'Water Report'!$Z$14,0))</f>
        <v>7</v>
      </c>
      <c r="BB24" s="301">
        <f>(IF('Water Report'!$Z$15&gt;0,'Water Report'!$Z$15,0))</f>
        <v>9</v>
      </c>
      <c r="BC24" s="301">
        <f>(IF('Water Report'!$Z$13&gt;0,'Water Report'!$Z$13,0))</f>
        <v>70</v>
      </c>
      <c r="BD24" s="301">
        <f>(IF('Water Report'!$Z$24&gt;0,'Water Report'!$Z$24,0))</f>
        <v>291</v>
      </c>
      <c r="BE24" s="301">
        <f>(IF('Water Report'!$Z$25&gt;0,'Water Report'!$Z$25,0))</f>
        <v>272</v>
      </c>
      <c r="BF24" s="301">
        <f>(IF('Water Report'!$Z$27&gt;0,'Water Report'!$Z$27,0))</f>
        <v>186</v>
      </c>
      <c r="BG24" s="296" t="e">
        <f>(IF('Section Load'!AN27&gt;0,'Section Load'!AN27,0))</f>
        <v>#VALUE!</v>
      </c>
      <c r="BH24" s="296">
        <f>(IF('Section Load'!AO27&gt;0,'Section Load'!AO27,0))</f>
        <v>318.35999999998603</v>
      </c>
      <c r="BI24" s="296">
        <f>(IF('Section Load'!AP27&gt;0,'Section Load'!AP27,0))</f>
        <v>0</v>
      </c>
      <c r="BJ24" s="296">
        <f>(IF('Section Load'!AQ27&gt;0,'Section Load'!AQ27,0))</f>
        <v>121.41000000000349</v>
      </c>
      <c r="BK24" s="296">
        <f>(IF('Section Load'!AR27&gt;0,'Section Load'!AR27,0))</f>
        <v>57.69999999999709</v>
      </c>
      <c r="BL24" s="296">
        <f>(IF('Section Load'!AS27&gt;0,'Section Load'!AS27,0))</f>
        <v>0</v>
      </c>
      <c r="BM24" s="296" t="e">
        <f>(IF('Section Load'!AT27&gt;0,'Section Load'!AT27,0))</f>
        <v>#VALUE!</v>
      </c>
    </row>
    <row r="25" spans="1:65">
      <c r="A25" s="287" t="s">
        <v>268</v>
      </c>
      <c r="B25" s="288">
        <f t="shared" si="0"/>
        <v>24</v>
      </c>
      <c r="C25" s="288">
        <v>4</v>
      </c>
      <c r="D25" s="288">
        <v>2022</v>
      </c>
      <c r="E25" s="294">
        <f>(IF('Section Load'!F28&gt;0,'Section Load'!F28,0))</f>
        <v>3918.0599999999977</v>
      </c>
      <c r="F25" s="294">
        <f>(IF('Section Load'!G28&gt;0,'Section Load'!G28,0))</f>
        <v>1735.3999999999942</v>
      </c>
      <c r="G25" s="294">
        <f>(IF('Section Load'!H28&gt;0,'Section Load'!H28,0))</f>
        <v>2360.7799999999788</v>
      </c>
      <c r="H25" s="294">
        <f>(IF('Section Load'!I28&gt;0,'Section Load'!I28,0))</f>
        <v>3178.3800000000047</v>
      </c>
      <c r="I25" s="294">
        <f>(IF('Section Load'!J28&gt;0,'Section Load'!J28,0))</f>
        <v>10213.349999999973</v>
      </c>
      <c r="J25" s="294">
        <f>(IF('Section Load'!K28&gt;0,'Section Load'!K28,0))</f>
        <v>3676.7799999999697</v>
      </c>
      <c r="K25" s="294">
        <f>(IF('Section Load'!L28&gt;0,'Section Load'!L28,0))</f>
        <v>1356.2699999999895</v>
      </c>
      <c r="L25" s="294">
        <f>(IF('Section Load'!M28&gt;0,'Section Load'!M28,0))</f>
        <v>1272.2700000000041</v>
      </c>
      <c r="M25" s="294">
        <f>(IF('Section Load'!N28&gt;0,'Section Load'!N28,0))</f>
        <v>177</v>
      </c>
      <c r="N25" s="294">
        <f>(IF('Section Load'!O28&gt;0,'Section Load'!O28,0))</f>
        <v>143</v>
      </c>
      <c r="O25" s="294">
        <f>(IF('Section Load'!P28&gt;0,'Section Load'!P28,0))</f>
        <v>0</v>
      </c>
      <c r="P25" s="294">
        <f>(IF('Section Load'!Q28&gt;0,'Section Load'!Q28,0))</f>
        <v>222.22999999999593</v>
      </c>
      <c r="Q25" s="294">
        <f>(IF('Section Load'!R28&gt;0,'Section Load'!R28,0))</f>
        <v>56.819999999999709</v>
      </c>
      <c r="R25" s="294">
        <f>(IF('Section Load'!S28&gt;0,'Section Load'!S28,0))</f>
        <v>3.4899999999997817</v>
      </c>
      <c r="S25" s="294">
        <f>(IF('Section Load'!T28&gt;0,'Section Load'!T28,0))</f>
        <v>383</v>
      </c>
      <c r="T25" s="294">
        <f>(IF('Section Load'!U28&gt;0,'Section Load'!U28,0))</f>
        <v>215</v>
      </c>
      <c r="U25" s="294">
        <f>(IF('Section Load'!V28&gt;0,'Section Load'!V28,0))</f>
        <v>468.52000000001863</v>
      </c>
      <c r="V25" s="294">
        <f>(IF('Section Load'!W28&gt;0,'Section Load'!W28,0))</f>
        <v>478.31999999994878</v>
      </c>
      <c r="W25" s="294">
        <f>(IF('Section Load'!X28&gt;0,'Section Load'!X28,0))</f>
        <v>29.829999999999927</v>
      </c>
      <c r="X25" s="294">
        <f>(IF('Section Load'!Y28&gt;0,'Section Load'!Y28,0))</f>
        <v>240.5</v>
      </c>
      <c r="Y25" s="294">
        <f>(IF('Section Load'!Z28&gt;0,'Section Load'!Z28,0))</f>
        <v>292</v>
      </c>
      <c r="Z25" s="294">
        <f>(IF('Section Load'!AA28&gt;0,'Section Load'!AA28,0))</f>
        <v>24.320000000006985</v>
      </c>
      <c r="AA25" s="294">
        <f>(IF('Section Load'!AB28&gt;0,'Section Load'!AB28,0))</f>
        <v>11.30000000000291</v>
      </c>
      <c r="AB25" s="294">
        <f>(IF('Section Load'!AC28&gt;0,'Section Load'!AC28,0))</f>
        <v>4.6899999999986903</v>
      </c>
      <c r="AC25" s="294">
        <f>(IF('Section Load'!AD28&gt;0,'Section Load'!AD28,0))</f>
        <v>164.89999999999145</v>
      </c>
      <c r="AD25" s="294">
        <f>(IF('Section Load'!AE28&gt;0,'Section Load'!AE28,0))</f>
        <v>423.40999999999985</v>
      </c>
      <c r="AE25" s="294">
        <f>(IF('Section Load'!AF28&gt;0,'Section Load'!AF28,0))</f>
        <v>130.66999999999825</v>
      </c>
      <c r="AF25" s="294">
        <f>(IF('Section Load'!AG28&gt;0,'Section Load'!AG28,0))</f>
        <v>529.70100000000002</v>
      </c>
      <c r="AG25" s="294">
        <f>(IF('Section Load'!AH28&gt;0,'Section Load'!AH28,0))</f>
        <v>448.2199999999998</v>
      </c>
      <c r="AH25" s="294">
        <f>(IF('Section Load'!AI28&gt;0,'Section Load'!AI28,0))</f>
        <v>423.94999999999982</v>
      </c>
      <c r="AI25" s="294">
        <f>(IF('Section Load'!AJ28&gt;0,'Section Load'!AJ28,0))</f>
        <v>780.67000000000007</v>
      </c>
      <c r="AJ25" s="294">
        <f>(IF('Section Load'!AK28&gt;0,'Section Load'!AK28,0))</f>
        <v>200.15999999999985</v>
      </c>
      <c r="AK25" s="294">
        <f>(IF('Section Load'!AL28&gt;0,'Section Load'!AL28,0))</f>
        <v>5.8100000000000023</v>
      </c>
      <c r="AL25" s="294">
        <f>(IF('Section Load'!AM28&gt;0,'Section Load'!AM28,0))</f>
        <v>952.64999999999418</v>
      </c>
      <c r="AM25" s="295">
        <f>(IF('Water Report'!$AA$7&gt;0,'Water Report'!$AA$7,0))</f>
        <v>196</v>
      </c>
      <c r="AN25" s="295">
        <f>(IF('Water Report'!$AA$8&gt;0,'Water Report'!$AA$8,0))</f>
        <v>123</v>
      </c>
      <c r="AO25" s="295">
        <f>(IF('Water Report'!$AA$9&gt;0,'Water Report'!$AA$9,0))</f>
        <v>94</v>
      </c>
      <c r="AP25" s="295">
        <f>(IF('Water Report'!$AA$10&gt;0,'Water Report'!$AA$10,0))</f>
        <v>20</v>
      </c>
      <c r="AQ25" s="295">
        <f>(IF('Water Report'!$AA$11&gt;0,'Water Report'!$AA$11,0))</f>
        <v>83</v>
      </c>
      <c r="AR25" s="295">
        <f>(IF('Water Report'!$AA$13&gt;0,'Water Report'!$AA$13,0))</f>
        <v>55</v>
      </c>
      <c r="AS25" s="295">
        <f>(IF('Water Report'!$AA$14&gt;0,'Water Report'!$AA$14,0))</f>
        <v>10</v>
      </c>
      <c r="AT25" s="295">
        <f>(IF('Water Report'!$AA$15&gt;0,'Water Report'!$AA$15,0))</f>
        <v>17</v>
      </c>
      <c r="AU25" s="295">
        <f>(IF('Water Report'!$AA$17&gt;0,'Water Report'!$AA$17,0))</f>
        <v>0</v>
      </c>
      <c r="AV25" s="295">
        <f>(IF('Water Report'!$AA$18&gt;0,'Water Report'!$AA$18,0))</f>
        <v>29</v>
      </c>
      <c r="AW25" s="295">
        <f>(IF('Water Report'!$AA$19&gt;0,'Water Report'!$AA$19,0))</f>
        <v>12</v>
      </c>
      <c r="AX25" s="301">
        <f>(IF('Water Report'!$AA$21&gt;0,'Water Report'!$AA$21,0))</f>
        <v>107</v>
      </c>
      <c r="AY25" s="301">
        <f>(IF('Water Report'!$AA$22&gt;0,'Water Report'!$AA$22,0))</f>
        <v>0</v>
      </c>
      <c r="AZ25" s="301">
        <f>(IF('Water Report'!$AA$23&gt;0,'Water Report'!$AA$23,0))</f>
        <v>3</v>
      </c>
      <c r="BA25" s="301">
        <f>(IF('Water Report'!$AA$14&gt;0,'Water Report'!$AA$14,0))</f>
        <v>10</v>
      </c>
      <c r="BB25" s="301">
        <f>(IF('Water Report'!$AA$15&gt;0,'Water Report'!$AA$15,0))</f>
        <v>17</v>
      </c>
      <c r="BC25" s="301">
        <f>(IF('Water Report'!$AA$13&gt;0,'Water Report'!$AA$13,0))</f>
        <v>55</v>
      </c>
      <c r="BD25" s="301">
        <f>(IF('Water Report'!$AA$24&gt;0,'Water Report'!$AA$24,0))</f>
        <v>307</v>
      </c>
      <c r="BE25" s="301">
        <f>(IF('Water Report'!$AA$25&gt;0,'Water Report'!$AA$25,0))</f>
        <v>224</v>
      </c>
      <c r="BF25" s="301">
        <f>(IF('Water Report'!$AA$27&gt;0,'Water Report'!$AA$27,0))</f>
        <v>165</v>
      </c>
      <c r="BG25" s="296" t="e">
        <f>(IF('Section Load'!AN28&gt;0,'Section Load'!AN28,0))</f>
        <v>#VALUE!</v>
      </c>
      <c r="BH25" s="296">
        <f>(IF('Section Load'!AO28&gt;0,'Section Load'!AO28,0))</f>
        <v>292.45000000006985</v>
      </c>
      <c r="BI25" s="296">
        <f>(IF('Section Load'!AP28&gt;0,'Section Load'!AP28,0))</f>
        <v>0</v>
      </c>
      <c r="BJ25" s="296">
        <f>(IF('Section Load'!AQ28&gt;0,'Section Load'!AQ28,0))</f>
        <v>143.79999999998836</v>
      </c>
      <c r="BK25" s="296">
        <f>(IF('Section Load'!AR28&gt;0,'Section Load'!AR28,0))</f>
        <v>50.19999999999709</v>
      </c>
      <c r="BL25" s="296">
        <f>(IF('Section Load'!AS28&gt;0,'Section Load'!AS28,0))</f>
        <v>0</v>
      </c>
      <c r="BM25" s="296" t="e">
        <f>(IF('Section Load'!AT28&gt;0,'Section Load'!AT28,0))</f>
        <v>#VALUE!</v>
      </c>
    </row>
    <row r="26" spans="1:65">
      <c r="A26" s="287" t="s">
        <v>268</v>
      </c>
      <c r="B26" s="288">
        <f>B25+1</f>
        <v>25</v>
      </c>
      <c r="C26" s="288">
        <v>4</v>
      </c>
      <c r="D26" s="288">
        <v>2022</v>
      </c>
      <c r="E26" s="294">
        <f>(IF('Section Load'!F29&gt;0,'Section Load'!F29,0))</f>
        <v>3975.4799999999814</v>
      </c>
      <c r="F26" s="294">
        <f>(IF('Section Load'!G29&gt;0,'Section Load'!G29,0))</f>
        <v>1762.0599999999977</v>
      </c>
      <c r="G26" s="294">
        <f>(IF('Section Load'!H29&gt;0,'Section Load'!H29,0))</f>
        <v>2402.460000000021</v>
      </c>
      <c r="H26" s="294">
        <f>(IF('Section Load'!I29&gt;0,'Section Load'!I29,0))</f>
        <v>3106.2800000000279</v>
      </c>
      <c r="I26" s="294">
        <f>(IF('Section Load'!J29&gt;0,'Section Load'!J29,0))</f>
        <v>8766.0600000000341</v>
      </c>
      <c r="J26" s="294">
        <f>(IF('Section Load'!K29&gt;0,'Section Load'!K29,0))</f>
        <v>3475.4000000000233</v>
      </c>
      <c r="K26" s="294">
        <f>(IF('Section Load'!L29&gt;0,'Section Load'!L29,0))</f>
        <v>1088.4800000000105</v>
      </c>
      <c r="L26" s="294">
        <f>(IF('Section Load'!M29&gt;0,'Section Load'!M29,0))</f>
        <v>935.1299999999901</v>
      </c>
      <c r="M26" s="294">
        <f>(IF('Section Load'!N29&gt;0,'Section Load'!N29,0))</f>
        <v>155</v>
      </c>
      <c r="N26" s="294">
        <f>(IF('Section Load'!O29&gt;0,'Section Load'!O29,0))</f>
        <v>147</v>
      </c>
      <c r="O26" s="294">
        <f>(IF('Section Load'!P29&gt;0,'Section Load'!P29,0))</f>
        <v>0</v>
      </c>
      <c r="P26" s="294">
        <f>(IF('Section Load'!Q29&gt;0,'Section Load'!Q29,0))</f>
        <v>197.55999999999767</v>
      </c>
      <c r="Q26" s="294">
        <f>(IF('Section Load'!R29&gt;0,'Section Load'!R29,0))</f>
        <v>69.590000000000146</v>
      </c>
      <c r="R26" s="294">
        <f>(IF('Section Load'!S29&gt;0,'Section Load'!S29,0))</f>
        <v>3.4800000000004729</v>
      </c>
      <c r="S26" s="294">
        <f>(IF('Section Load'!T29&gt;0,'Section Load'!T29,0))</f>
        <v>320</v>
      </c>
      <c r="T26" s="294">
        <f>(IF('Section Load'!U29&gt;0,'Section Load'!U29,0))</f>
        <v>214</v>
      </c>
      <c r="U26" s="294">
        <f>(IF('Section Load'!V29&gt;0,'Section Load'!V29,0))</f>
        <v>399.04000000003725</v>
      </c>
      <c r="V26" s="294">
        <f>(IF('Section Load'!W29&gt;0,'Section Load'!W29,0))</f>
        <v>266</v>
      </c>
      <c r="W26" s="294">
        <f>(IF('Section Load'!X29&gt;0,'Section Load'!X29,0))</f>
        <v>26.850000000000364</v>
      </c>
      <c r="X26" s="294">
        <f>(IF('Section Load'!Y29&gt;0,'Section Load'!Y29,0))</f>
        <v>237.86000000000058</v>
      </c>
      <c r="Y26" s="294">
        <f>(IF('Section Load'!Z29&gt;0,'Section Load'!Z29,0))</f>
        <v>280</v>
      </c>
      <c r="Z26" s="294">
        <f>(IF('Section Load'!AA29&gt;0,'Section Load'!AA29,0))</f>
        <v>20.35999999998603</v>
      </c>
      <c r="AA26" s="294">
        <f>(IF('Section Load'!AB29&gt;0,'Section Load'!AB29,0))</f>
        <v>41.799999999988358</v>
      </c>
      <c r="AB26" s="294">
        <f>(IF('Section Load'!AC29&gt;0,'Section Load'!AC29,0))</f>
        <v>0</v>
      </c>
      <c r="AC26" s="294">
        <f>(IF('Section Load'!AD29&gt;0,'Section Load'!AD29,0))</f>
        <v>156.10000000000582</v>
      </c>
      <c r="AD26" s="294">
        <f>(IF('Section Load'!AE29&gt;0,'Section Load'!AE29,0))</f>
        <v>348.97000000000116</v>
      </c>
      <c r="AE26" s="294">
        <f>(IF('Section Load'!AF29&gt;0,'Section Load'!AF29,0))</f>
        <v>242.33000000000175</v>
      </c>
      <c r="AF26" s="294">
        <f>(IF('Section Load'!AG29&gt;0,'Section Load'!AG29,0))</f>
        <v>520.62899999999991</v>
      </c>
      <c r="AG26" s="294">
        <f>(IF('Section Load'!AH29&gt;0,'Section Load'!AH29,0))</f>
        <v>467.26000000000022</v>
      </c>
      <c r="AH26" s="294">
        <f>(IF('Section Load'!AI29&gt;0,'Section Load'!AI29,0))</f>
        <v>435.51000000000022</v>
      </c>
      <c r="AI26" s="294">
        <f>(IF('Section Load'!AJ29&gt;0,'Section Load'!AJ29,0))</f>
        <v>680.70000000000073</v>
      </c>
      <c r="AJ26" s="294">
        <f>(IF('Section Load'!AK29&gt;0,'Section Load'!AK29,0))</f>
        <v>217.23999999999978</v>
      </c>
      <c r="AK26" s="294">
        <f>(IF('Section Load'!AL29&gt;0,'Section Load'!AL29,0))</f>
        <v>8</v>
      </c>
      <c r="AL26" s="294">
        <f>(IF('Section Load'!AM29&gt;0,'Section Load'!AM29,0))</f>
        <v>920.63000000000466</v>
      </c>
      <c r="AM26" s="295">
        <f>(IF('Water Report'!$AB$7&gt;0,'Water Report'!$AB$7,0))</f>
        <v>192</v>
      </c>
      <c r="AN26" s="295">
        <f>(IF('Water Report'!$AB$8&gt;0,'Water Report'!$AB$8,0))</f>
        <v>132</v>
      </c>
      <c r="AO26" s="295">
        <f>(IF('Water Report'!$AB$9&gt;0,'Water Report'!$AB$9,0))</f>
        <v>116</v>
      </c>
      <c r="AP26" s="295">
        <f>(IF('Water Report'!$AB$10&gt;0,'Water Report'!$AB$10,0))</f>
        <v>15</v>
      </c>
      <c r="AQ26" s="295">
        <f>(IF('Water Report'!$AB$11&gt;0,'Water Report'!$AB$11,0))</f>
        <v>80</v>
      </c>
      <c r="AR26" s="295">
        <f>(IF('Water Report'!$AB$13&gt;0,'Water Report'!$AB$13,0))</f>
        <v>73</v>
      </c>
      <c r="AS26" s="295">
        <f>(IF('Water Report'!$AB$14&gt;0,'Water Report'!$AB$14,0))</f>
        <v>25</v>
      </c>
      <c r="AT26" s="295">
        <f>(IF('Water Report'!$AB$15&gt;0,'Water Report'!$AB$15,0))</f>
        <v>8</v>
      </c>
      <c r="AU26" s="295">
        <f>(IF('Water Report'!$AB$17&gt;0,'Water Report'!$AB$17,0))</f>
        <v>3</v>
      </c>
      <c r="AV26" s="295">
        <f>(IF('Water Report'!$AB$18&gt;0,'Water Report'!$AB$18,0))</f>
        <v>15</v>
      </c>
      <c r="AW26" s="295">
        <f>(IF('Water Report'!$AB$19&gt;0,'Water Report'!$AB$19,0))</f>
        <v>12</v>
      </c>
      <c r="AX26" s="301">
        <f>(IF('Water Report'!$AB$21&gt;0,'Water Report'!$AB$21,0))</f>
        <v>108</v>
      </c>
      <c r="AY26" s="301">
        <f>(IF('Water Report'!$AB$22&gt;0,'Water Report'!$AB$22,0))</f>
        <v>26</v>
      </c>
      <c r="AZ26" s="301">
        <f>(IF('Water Report'!$AB$23&gt;0,'Water Report'!$AB$23,0))</f>
        <v>4</v>
      </c>
      <c r="BA26" s="301">
        <f>(IF('Water Report'!$AB$14&gt;0,'Water Report'!$AB$14,0))</f>
        <v>25</v>
      </c>
      <c r="BB26" s="301">
        <f>(IF('Water Report'!$AB$15&gt;0,'Water Report'!$AB$15,0))</f>
        <v>8</v>
      </c>
      <c r="BC26" s="301">
        <f>(IF('Water Report'!$AB$13&gt;0,'Water Report'!$AB$13,0))</f>
        <v>73</v>
      </c>
      <c r="BD26" s="301">
        <f>(IF('Water Report'!$AB$24&gt;0,'Water Report'!$AB$24,0))</f>
        <v>381</v>
      </c>
      <c r="BE26" s="301">
        <f>(IF('Water Report'!$AB$25&gt;0,'Water Report'!$AB$25,0))</f>
        <v>244</v>
      </c>
      <c r="BF26" s="301">
        <f>(IF('Water Report'!$AB$27&gt;0,'Water Report'!$AB$27,0))</f>
        <v>185</v>
      </c>
      <c r="BG26" s="296" t="e">
        <f>(IF('Section Load'!AN29&gt;0,'Section Load'!AN29,0))</f>
        <v>#VALUE!</v>
      </c>
      <c r="BH26" s="296">
        <f>(IF('Section Load'!AO29&gt;0,'Section Load'!AO29,0))</f>
        <v>328.10999999998603</v>
      </c>
      <c r="BI26" s="296">
        <f>(IF('Section Load'!AP29&gt;0,'Section Load'!AP29,0))</f>
        <v>0</v>
      </c>
      <c r="BJ26" s="296">
        <f>(IF('Section Load'!AQ29&gt;0,'Section Load'!AQ29,0))</f>
        <v>108.10000000000582</v>
      </c>
      <c r="BK26" s="296">
        <f>(IF('Section Load'!AR29&gt;0,'Section Load'!AR29,0))</f>
        <v>43.80000000000291</v>
      </c>
      <c r="BL26" s="296">
        <f>(IF('Section Load'!AS29&gt;0,'Section Load'!AS29,0))</f>
        <v>0</v>
      </c>
      <c r="BM26" s="296" t="e">
        <f>(IF('Section Load'!AT29&gt;0,'Section Load'!AT29,0))</f>
        <v>#VALUE!</v>
      </c>
    </row>
    <row r="27" spans="1:65">
      <c r="A27" s="287" t="s">
        <v>268</v>
      </c>
      <c r="B27" s="288">
        <f t="shared" si="0"/>
        <v>26</v>
      </c>
      <c r="C27" s="288">
        <v>4</v>
      </c>
      <c r="D27" s="288">
        <v>2022</v>
      </c>
      <c r="E27" s="294">
        <f>(IF('Section Load'!F30&gt;0,'Section Load'!F30,0))</f>
        <v>3821.2000000000116</v>
      </c>
      <c r="F27" s="294">
        <f>(IF('Section Load'!G30&gt;0,'Section Load'!G30,0))</f>
        <v>1702.9800000000105</v>
      </c>
      <c r="G27" s="294">
        <f>(IF('Section Load'!H30&gt;0,'Section Load'!H30,0))</f>
        <v>2440.0999999999767</v>
      </c>
      <c r="H27" s="294">
        <f>(IF('Section Load'!I30&gt;0,'Section Load'!I30,0))</f>
        <v>2871.9400000000023</v>
      </c>
      <c r="I27" s="294">
        <f>(IF('Section Load'!J30&gt;0,'Section Load'!J30,0))</f>
        <v>9058.4999999999527</v>
      </c>
      <c r="J27" s="294">
        <f>(IF('Section Load'!K30&gt;0,'Section Load'!K30,0))</f>
        <v>3310.7999999999884</v>
      </c>
      <c r="K27" s="294">
        <f>(IF('Section Load'!L30&gt;0,'Section Load'!L30,0))</f>
        <v>1098.8500000000058</v>
      </c>
      <c r="L27" s="294">
        <f>(IF('Section Load'!M30&gt;0,'Section Load'!M30,0))</f>
        <v>1097.4500000000116</v>
      </c>
      <c r="M27" s="294">
        <f>(IF('Section Load'!N30&gt;0,'Section Load'!N30,0))</f>
        <v>144</v>
      </c>
      <c r="N27" s="294">
        <f>(IF('Section Load'!O30&gt;0,'Section Load'!O30,0))</f>
        <v>144</v>
      </c>
      <c r="O27" s="294">
        <f>(IF('Section Load'!P30&gt;0,'Section Load'!P30,0))</f>
        <v>0</v>
      </c>
      <c r="P27" s="294">
        <f>(IF('Section Load'!Q30&gt;0,'Section Load'!Q30,0))</f>
        <v>197</v>
      </c>
      <c r="Q27" s="294">
        <f>(IF('Section Load'!R30&gt;0,'Section Load'!R30,0))</f>
        <v>68.899999999997817</v>
      </c>
      <c r="R27" s="294">
        <f>(IF('Section Load'!S30&gt;0,'Section Load'!S30,0))</f>
        <v>2.2399999999997817</v>
      </c>
      <c r="S27" s="294">
        <f>(IF('Section Load'!T30&gt;0,'Section Load'!T30,0))</f>
        <v>85</v>
      </c>
      <c r="T27" s="294">
        <f>(IF('Section Load'!U30&gt;0,'Section Load'!U30,0))</f>
        <v>265</v>
      </c>
      <c r="U27" s="294">
        <f>(IF('Section Load'!V30&gt;0,'Section Load'!V30,0))</f>
        <v>444.43999999994412</v>
      </c>
      <c r="V27" s="294">
        <f>(IF('Section Load'!W30&gt;0,'Section Load'!W30,0))</f>
        <v>330.1600000000326</v>
      </c>
      <c r="W27" s="294">
        <f>(IF('Section Load'!X30&gt;0,'Section Load'!X30,0))</f>
        <v>30.909999999999854</v>
      </c>
      <c r="X27" s="294">
        <f>(IF('Section Load'!Y30&gt;0,'Section Load'!Y30,0))</f>
        <v>241.79999999999927</v>
      </c>
      <c r="Y27" s="294">
        <f>(IF('Section Load'!Z30&gt;0,'Section Load'!Z30,0))</f>
        <v>304</v>
      </c>
      <c r="Z27" s="294">
        <f>(IF('Section Load'!AA30&gt;0,'Section Load'!AA30,0))</f>
        <v>25</v>
      </c>
      <c r="AA27" s="294">
        <f>(IF('Section Load'!AB30&gt;0,'Section Load'!AB30,0))</f>
        <v>47.100000000005821</v>
      </c>
      <c r="AB27" s="294">
        <f>(IF('Section Load'!AC30&gt;0,'Section Load'!AC30,0))</f>
        <v>0</v>
      </c>
      <c r="AC27" s="294">
        <f>(IF('Section Load'!AD30&gt;0,'Section Load'!AD30,0))</f>
        <v>150.50000000000273</v>
      </c>
      <c r="AD27" s="294">
        <f>(IF('Section Load'!AE30&gt;0,'Section Load'!AE30,0))</f>
        <v>332.87999999999738</v>
      </c>
      <c r="AE27" s="294">
        <f>(IF('Section Load'!AF30&gt;0,'Section Load'!AF30,0))</f>
        <v>76</v>
      </c>
      <c r="AF27" s="294">
        <f>(IF('Section Load'!AG30&gt;0,'Section Load'!AG30,0))</f>
        <v>507.78999999999996</v>
      </c>
      <c r="AG27" s="294">
        <f>(IF('Section Load'!AH30&gt;0,'Section Load'!AH30,0))</f>
        <v>455.76000000000022</v>
      </c>
      <c r="AH27" s="294">
        <f>(IF('Section Load'!AI30&gt;0,'Section Load'!AI30,0))</f>
        <v>425.19999999999982</v>
      </c>
      <c r="AI27" s="294">
        <f>(IF('Section Load'!AJ30&gt;0,'Section Load'!AJ30,0))</f>
        <v>493.52999999999884</v>
      </c>
      <c r="AJ27" s="294">
        <f>(IF('Section Load'!AK30&gt;0,'Section Load'!AK30,0))</f>
        <v>238.15000000000009</v>
      </c>
      <c r="AK27" s="294">
        <f>(IF('Section Load'!AL30&gt;0,'Section Load'!AL30,0))</f>
        <v>11.899999999999977</v>
      </c>
      <c r="AL27" s="294">
        <f>(IF('Section Load'!AM30&gt;0,'Section Load'!AM30,0))</f>
        <v>868.16000000000349</v>
      </c>
      <c r="AM27" s="295">
        <f>(IF('Water Report'!$AC$7&gt;0,'Water Report'!$AC$7,0))</f>
        <v>177</v>
      </c>
      <c r="AN27" s="295">
        <f>(IF('Water Report'!$AC$8&gt;0,'Water Report'!$AC$8,0))</f>
        <v>123</v>
      </c>
      <c r="AO27" s="295">
        <f>(IF('Water Report'!$AC$9&gt;0,'Water Report'!$AC$9,0))</f>
        <v>132</v>
      </c>
      <c r="AP27" s="295">
        <f>(IF('Water Report'!$AC$10&gt;0,'Water Report'!$AC$10,0))</f>
        <v>14</v>
      </c>
      <c r="AQ27" s="295">
        <f>(IF('Water Report'!$AC$11&gt;0,'Water Report'!$AC$11,0))</f>
        <v>80</v>
      </c>
      <c r="AR27" s="295">
        <f>(IF('Water Report'!$AC$13&gt;0,'Water Report'!$AC$13,0))</f>
        <v>53</v>
      </c>
      <c r="AS27" s="295">
        <f>(IF('Water Report'!$AC$14&gt;0,'Water Report'!$AC$14,0))</f>
        <v>28</v>
      </c>
      <c r="AT27" s="295">
        <f>(IF('Water Report'!$AC$15&gt;0,'Water Report'!$AC$15,0))</f>
        <v>7</v>
      </c>
      <c r="AU27" s="295">
        <f>(IF('Water Report'!$AC$17&gt;0,'Water Report'!$AC$17,0))</f>
        <v>2</v>
      </c>
      <c r="AV27" s="295">
        <f>(IF('Water Report'!$AC$18&gt;0,'Water Report'!$AC$18,0))</f>
        <v>16</v>
      </c>
      <c r="AW27" s="295">
        <f>(IF('Water Report'!$AC$19&gt;0,'Water Report'!$AC$19,0))</f>
        <v>11</v>
      </c>
      <c r="AX27" s="301">
        <f>(IF('Water Report'!$AC$21&gt;0,'Water Report'!$AC$21,0))</f>
        <v>130</v>
      </c>
      <c r="AY27" s="301">
        <f>(IF('Water Report'!$AC$22&gt;0,'Water Report'!$AC$22,0))</f>
        <v>3</v>
      </c>
      <c r="AZ27" s="301">
        <f>(IF('Water Report'!$AC$23&gt;0,'Water Report'!$AC$23,0))</f>
        <v>7</v>
      </c>
      <c r="BA27" s="301">
        <f>(IF('Water Report'!$AC$14&gt;0,'Water Report'!$AC$14,0))</f>
        <v>28</v>
      </c>
      <c r="BB27" s="301">
        <f>(IF('Water Report'!$AC$15&gt;0,'Water Report'!$AC$15,0))</f>
        <v>7</v>
      </c>
      <c r="BC27" s="301">
        <f>(IF('Water Report'!$AC$13&gt;0,'Water Report'!$AC$13,0))</f>
        <v>53</v>
      </c>
      <c r="BD27" s="301">
        <f>(IF('Water Report'!$AC$24&gt;0,'Water Report'!$AC$24,0))</f>
        <v>328</v>
      </c>
      <c r="BE27" s="301">
        <f>(IF('Water Report'!$AC$25&gt;0,'Water Report'!$AC$25,0))</f>
        <v>261</v>
      </c>
      <c r="BF27" s="301">
        <f>(IF('Water Report'!$AC$27&gt;0,'Water Report'!$AC$27,0))</f>
        <v>190</v>
      </c>
      <c r="BG27" s="296" t="e">
        <f>(IF('Section Load'!AN30&gt;0,'Section Load'!AN30,0))</f>
        <v>#VALUE!</v>
      </c>
      <c r="BH27" s="296">
        <f>(IF('Section Load'!AO30&gt;0,'Section Load'!AO30,0))</f>
        <v>306.09999999997672</v>
      </c>
      <c r="BI27" s="296">
        <f>(IF('Section Load'!AP30&gt;0,'Section Load'!AP30,0))</f>
        <v>0</v>
      </c>
      <c r="BJ27" s="296">
        <f>(IF('Section Load'!AQ30&gt;0,'Section Load'!AQ30,0))</f>
        <v>122</v>
      </c>
      <c r="BK27" s="296">
        <f>(IF('Section Load'!AR30&gt;0,'Section Load'!AR30,0))</f>
        <v>56</v>
      </c>
      <c r="BL27" s="296">
        <f>(IF('Section Load'!AS30&gt;0,'Section Load'!AS30,0))</f>
        <v>0.3999999999996362</v>
      </c>
      <c r="BM27" s="296" t="e">
        <f>(IF('Section Load'!AT30&gt;0,'Section Load'!AT30,0))</f>
        <v>#VALUE!</v>
      </c>
    </row>
    <row r="28" spans="1:65">
      <c r="A28" s="287" t="s">
        <v>268</v>
      </c>
      <c r="B28" s="288">
        <f t="shared" si="0"/>
        <v>27</v>
      </c>
      <c r="C28" s="288">
        <v>4</v>
      </c>
      <c r="D28" s="288">
        <v>2022</v>
      </c>
      <c r="E28" s="294">
        <f>(IF('Section Load'!F31&gt;0,'Section Load'!F31,0))</f>
        <v>3833.2999999999884</v>
      </c>
      <c r="F28" s="294">
        <f>(IF('Section Load'!G31&gt;0,'Section Load'!G31,0))</f>
        <v>1751.3699999999953</v>
      </c>
      <c r="G28" s="294">
        <f>(IF('Section Load'!H31&gt;0,'Section Load'!H31,0))</f>
        <v>2459.9500000000116</v>
      </c>
      <c r="H28" s="294">
        <f>(IF('Section Load'!I31&gt;0,'Section Load'!I31,0))</f>
        <v>2859.6699999999837</v>
      </c>
      <c r="I28" s="294">
        <f>(IF('Section Load'!J31&gt;0,'Section Load'!J31,0))</f>
        <v>9133.9600000000155</v>
      </c>
      <c r="J28" s="294">
        <f>(IF('Section Load'!K31&gt;0,'Section Load'!K31,0))</f>
        <v>3295.570000000007</v>
      </c>
      <c r="K28" s="294">
        <f>(IF('Section Load'!L31&gt;0,'Section Load'!L31,0))</f>
        <v>1105.7999999999884</v>
      </c>
      <c r="L28" s="294">
        <f>(IF('Section Load'!M31&gt;0,'Section Load'!M31,0))</f>
        <v>1058.1499999999942</v>
      </c>
      <c r="M28" s="294">
        <f>(IF('Section Load'!N31&gt;0,'Section Load'!N31,0))</f>
        <v>169</v>
      </c>
      <c r="N28" s="294">
        <f>(IF('Section Load'!O31&gt;0,'Section Load'!O31,0))</f>
        <v>156</v>
      </c>
      <c r="O28" s="294">
        <f>(IF('Section Load'!P31&gt;0,'Section Load'!P31,0))</f>
        <v>0</v>
      </c>
      <c r="P28" s="294">
        <f>(IF('Section Load'!Q31&gt;0,'Section Load'!Q31,0))</f>
        <v>189.80000000000291</v>
      </c>
      <c r="Q28" s="294">
        <f>(IF('Section Load'!R31&gt;0,'Section Load'!R31,0))</f>
        <v>68.200000000000728</v>
      </c>
      <c r="R28" s="294">
        <f>(IF('Section Load'!S31&gt;0,'Section Load'!S31,0))</f>
        <v>0.40999999999985448</v>
      </c>
      <c r="S28" s="294">
        <f>(IF('Section Load'!T31&gt;0,'Section Load'!T31,0))</f>
        <v>8</v>
      </c>
      <c r="T28" s="294">
        <f>(IF('Section Load'!U31&gt;0,'Section Load'!U31,0))</f>
        <v>259</v>
      </c>
      <c r="U28" s="294">
        <f>(IF('Section Load'!V31&gt;0,'Section Load'!V31,0))</f>
        <v>412</v>
      </c>
      <c r="V28" s="294">
        <f>(IF('Section Load'!W31&gt;0,'Section Load'!W31,0))</f>
        <v>380</v>
      </c>
      <c r="W28" s="294">
        <f>(IF('Section Load'!X31&gt;0,'Section Load'!X31,0))</f>
        <v>27.039999999999964</v>
      </c>
      <c r="X28" s="294">
        <f>(IF('Section Load'!Y31&gt;0,'Section Load'!Y31,0))</f>
        <v>215.63999999999942</v>
      </c>
      <c r="Y28" s="294">
        <f>(IF('Section Load'!Z31&gt;0,'Section Load'!Z31,0))</f>
        <v>301</v>
      </c>
      <c r="Z28" s="294">
        <f>(IF('Section Load'!AA31&gt;0,'Section Load'!AA31,0))</f>
        <v>24</v>
      </c>
      <c r="AA28" s="294">
        <f>(IF('Section Load'!AB31&gt;0,'Section Load'!AB31,0))</f>
        <v>44</v>
      </c>
      <c r="AB28" s="294">
        <f>(IF('Section Load'!AC31&gt;0,'Section Load'!AC31,0))</f>
        <v>0</v>
      </c>
      <c r="AC28" s="294">
        <f>(IF('Section Load'!AD31&gt;0,'Section Load'!AD31,0))</f>
        <v>175.49999999999727</v>
      </c>
      <c r="AD28" s="294">
        <f>(IF('Section Load'!AE31&gt;0,'Section Load'!AE31,0))</f>
        <v>328.15000000000146</v>
      </c>
      <c r="AE28" s="294">
        <f>(IF('Section Load'!AF31&gt;0,'Section Load'!AF31,0))</f>
        <v>165</v>
      </c>
      <c r="AF28" s="294">
        <f>(IF('Section Load'!AG31&gt;0,'Section Load'!AG31,0))</f>
        <v>527.88000000000011</v>
      </c>
      <c r="AG28" s="294">
        <f>(IF('Section Load'!AH31&gt;0,'Section Load'!AH31,0))</f>
        <v>443.73999999999978</v>
      </c>
      <c r="AH28" s="294">
        <f>(IF('Section Load'!AI31&gt;0,'Section Load'!AI31,0))</f>
        <v>427</v>
      </c>
      <c r="AI28" s="294">
        <f>(IF('Section Load'!AJ31&gt;0,'Section Load'!AJ31,0))</f>
        <v>435.20000000000073</v>
      </c>
      <c r="AJ28" s="294">
        <f>(IF('Section Load'!AK31&gt;0,'Section Load'!AK31,0))</f>
        <v>239.90000000000009</v>
      </c>
      <c r="AK28" s="294">
        <f>(IF('Section Load'!AL31&gt;0,'Section Load'!AL31,0))</f>
        <v>202.29000000000002</v>
      </c>
      <c r="AL28" s="294">
        <f>(IF('Section Load'!AM31&gt;0,'Section Load'!AM31,0))</f>
        <v>862.25</v>
      </c>
      <c r="AM28" s="295">
        <f>(IF('Water Report'!$AD$7&gt;0,'Water Report'!$AD$7,0))</f>
        <v>162</v>
      </c>
      <c r="AN28" s="295">
        <f>(IF('Water Report'!$AD$8&gt;0,'Water Report'!$AD$8,0))</f>
        <v>146</v>
      </c>
      <c r="AO28" s="295">
        <f>(IF('Water Report'!$AD$9&gt;0,'Water Report'!$AD$9,0))</f>
        <v>116</v>
      </c>
      <c r="AP28" s="295">
        <f>(IF('Water Report'!$AD$10&gt;0,'Water Report'!AD$10,0))</f>
        <v>12</v>
      </c>
      <c r="AQ28" s="295">
        <f>(IF('Water Report'!$AD$11&gt;0,'Water Report'!AE$11,0))</f>
        <v>77</v>
      </c>
      <c r="AR28" s="295">
        <f>(IF('Water Report'!$AD$13&gt;0,'Water Report'!AF$13,0))</f>
        <v>15</v>
      </c>
      <c r="AS28" s="295">
        <f>(IF('Water Report'!$AD$14&gt;0,'Water Report'!AG$14,0))</f>
        <v>8</v>
      </c>
      <c r="AT28" s="295">
        <f>(IF('Water Report'!$AD$15&gt;0,'Water Report'!AH$15,0))</f>
        <v>0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 t="e">
        <f>(IF('Section Load'!AN31&gt;0,'Section Load'!AN31,0))</f>
        <v>#VALUE!</v>
      </c>
      <c r="BH28" s="296">
        <f>(IF('Section Load'!AO31&gt;0,'Section Load'!AO31,0))</f>
        <v>317</v>
      </c>
      <c r="BI28" s="296">
        <f>(IF('Section Load'!AP31&gt;0,'Section Load'!AP31,0))</f>
        <v>0</v>
      </c>
      <c r="BJ28" s="296">
        <f>(IF('Section Load'!AQ31&gt;0,'Section Load'!AQ31,0))</f>
        <v>121</v>
      </c>
      <c r="BK28" s="296">
        <f>(IF('Section Load'!AR31&gt;0,'Section Load'!AR31,0))</f>
        <v>46</v>
      </c>
      <c r="BL28" s="296">
        <f>(IF('Section Load'!AS31&gt;0,'Section Load'!AS31,0))</f>
        <v>0</v>
      </c>
      <c r="BM28" s="296" t="e">
        <f>(IF('Section Load'!AT31&gt;0,'Section Load'!AT31,0))</f>
        <v>#VALUE!</v>
      </c>
    </row>
    <row r="29" spans="1:65">
      <c r="A29" s="287" t="s">
        <v>268</v>
      </c>
      <c r="B29" s="288">
        <f t="shared" si="0"/>
        <v>28</v>
      </c>
      <c r="C29" s="288">
        <v>4</v>
      </c>
      <c r="D29" s="288">
        <v>2022</v>
      </c>
      <c r="E29" s="294">
        <f>(IF('Section Load'!F32&gt;0,'Section Load'!F32,0))</f>
        <v>3943</v>
      </c>
      <c r="F29" s="294">
        <f>(IF('Section Load'!G32&gt;0,'Section Load'!G32,0))</f>
        <v>1728</v>
      </c>
      <c r="G29" s="294">
        <f>(IF('Section Load'!H32&gt;0,'Section Load'!H32,0))</f>
        <v>2374</v>
      </c>
      <c r="H29" s="294">
        <f>(IF('Section Load'!I32&gt;0,'Section Load'!I32,0))</f>
        <v>2899</v>
      </c>
      <c r="I29" s="294">
        <f>(IF('Section Load'!J32&gt;0,'Section Load'!J32,0))</f>
        <v>9987</v>
      </c>
      <c r="J29" s="294">
        <f>(IF('Section Load'!K32&gt;0,'Section Load'!K32,0))</f>
        <v>3306</v>
      </c>
      <c r="K29" s="294">
        <f>(IF('Section Load'!L32&gt;0,'Section Load'!L32,0))</f>
        <v>1379</v>
      </c>
      <c r="L29" s="294">
        <f>(IF('Section Load'!M32&gt;0,'Section Load'!M32,0))</f>
        <v>886</v>
      </c>
      <c r="M29" s="294">
        <f>(IF('Section Load'!N32&gt;0,'Section Load'!N32,0))</f>
        <v>154</v>
      </c>
      <c r="N29" s="294">
        <f>(IF('Section Load'!O32&gt;0,'Section Load'!O32,0))</f>
        <v>97</v>
      </c>
      <c r="O29" s="294">
        <f>(IF('Section Load'!P32&gt;0,'Section Load'!P32,0))</f>
        <v>11</v>
      </c>
      <c r="P29" s="294">
        <f>(IF('Section Load'!Q32&gt;0,'Section Load'!Q32,0))</f>
        <v>201</v>
      </c>
      <c r="Q29" s="294">
        <f>(IF('Section Load'!R32&gt;0,'Section Load'!R32,0))</f>
        <v>69</v>
      </c>
      <c r="R29" s="294">
        <f>(IF('Section Load'!S32&gt;0,'Section Load'!S32,0))</f>
        <v>2</v>
      </c>
      <c r="S29" s="294">
        <f>(IF('Section Load'!T32&gt;0,'Section Load'!T32,0))</f>
        <v>7</v>
      </c>
      <c r="T29" s="294">
        <f>(IF('Section Load'!U32&gt;0,'Section Load'!U32,0))</f>
        <v>237</v>
      </c>
      <c r="U29" s="294">
        <f>(IF('Section Load'!V32&gt;0,'Section Load'!V32,0))</f>
        <v>371</v>
      </c>
      <c r="V29" s="294">
        <f>(IF('Section Load'!W32&gt;0,'Section Load'!W32,0))</f>
        <v>334</v>
      </c>
      <c r="W29" s="294">
        <f>(IF('Section Load'!X32&gt;0,'Section Load'!X32,0))</f>
        <v>31</v>
      </c>
      <c r="X29" s="294">
        <f>(IF('Section Load'!Y32&gt;0,'Section Load'!Y32,0))</f>
        <v>230</v>
      </c>
      <c r="Y29" s="294">
        <f>(IF('Section Load'!Z32&gt;0,'Section Load'!Z32,0))</f>
        <v>260</v>
      </c>
      <c r="Z29" s="294">
        <f>(IF('Section Load'!AA32&gt;0,'Section Load'!AA32,0))</f>
        <v>25</v>
      </c>
      <c r="AA29" s="294">
        <f>(IF('Section Load'!AB32&gt;0,'Section Load'!AB32,0))</f>
        <v>41</v>
      </c>
      <c r="AB29" s="294">
        <f>(IF('Section Load'!AC32&gt;0,'Section Load'!AC32,0))</f>
        <v>1.1699999999982538</v>
      </c>
      <c r="AC29" s="294">
        <f>(IF('Section Load'!AD32&gt;0,'Section Load'!AD32,0))</f>
        <v>199</v>
      </c>
      <c r="AD29" s="294">
        <f>(IF('Section Load'!AE32&gt;0,'Section Load'!AE32,0))</f>
        <v>307</v>
      </c>
      <c r="AE29" s="294">
        <f>(IF('Section Load'!AF32&gt;0,'Section Load'!AF32,0))</f>
        <v>181</v>
      </c>
      <c r="AF29" s="294">
        <f>(IF('Section Load'!AG32&gt;0,'Section Load'!AG32,0))</f>
        <v>571</v>
      </c>
      <c r="AG29" s="294">
        <f>(IF('Section Load'!AH32&gt;0,'Section Load'!AH32,0))</f>
        <v>430</v>
      </c>
      <c r="AH29" s="294">
        <f>(IF('Section Load'!AI32&gt;0,'Section Load'!AI32,0))</f>
        <v>426</v>
      </c>
      <c r="AI29" s="294">
        <f>(IF('Section Load'!AJ32&gt;0,'Section Load'!AJ32,0))</f>
        <v>496</v>
      </c>
      <c r="AJ29" s="294">
        <f>(IF('Section Load'!AK32&gt;0,'Section Load'!AK32,0))</f>
        <v>209</v>
      </c>
      <c r="AK29" s="294">
        <f>(IF('Section Load'!AL32&gt;0,'Section Load'!AL32,0))</f>
        <v>329</v>
      </c>
      <c r="AL29" s="294">
        <f>(IF('Section Load'!AM32&gt;0,'Section Load'!AM32,0))</f>
        <v>872</v>
      </c>
      <c r="AM29" s="295">
        <f>(IF('Water Report'!$AE$7&gt;0,'Water Report'!$AE$7,0))</f>
        <v>166</v>
      </c>
      <c r="AN29" s="295">
        <f>(IF('Water Report'!$AE$8&gt;0,'Water Report'!$AE$8,0))</f>
        <v>107</v>
      </c>
      <c r="AO29" s="295">
        <f>(IF('Water Report'!$AE$9&gt;0,'Water Report'!$AE$9,0))</f>
        <v>116</v>
      </c>
      <c r="AP29" s="295">
        <f>(IF('Water Report'!$AE$10&gt;0,'Water Report'!$AE$10,0))</f>
        <v>17</v>
      </c>
      <c r="AQ29" s="295">
        <f>(IF('Water Report'!$AE$11&gt;0,'Water Report'!$AE$11,0))</f>
        <v>77</v>
      </c>
      <c r="AR29" s="295">
        <f>(IF('Water Report'!$AE$13&gt;0,'Water Report'!$AE$13,0))</f>
        <v>43</v>
      </c>
      <c r="AS29" s="295">
        <f>(IF('Water Report'!$AE$14&gt;0,'Water Report'!$AE$14,0))</f>
        <v>7</v>
      </c>
      <c r="AT29" s="295">
        <f>(IF('Water Report'!$AE$15&gt;0,'Water Report'!$AE$15,0))</f>
        <v>7</v>
      </c>
      <c r="AU29" s="295">
        <f>(IF('Water Report'!$AE$17&gt;0,'Water Report'!$AE$17,0))</f>
        <v>21</v>
      </c>
      <c r="AV29" s="295">
        <f>(IF('Water Report'!$AE$18&gt;0,'Water Report'!$AE$18,0))</f>
        <v>15</v>
      </c>
      <c r="AW29" s="295">
        <f>(IF('Water Report'!$AE$19&gt;0,'Water Report'!$AE$19,0))</f>
        <v>13</v>
      </c>
      <c r="AX29" s="301">
        <f>(IF('Water Report'!$AE$21&gt;0,'Water Report'!$AE$21,0))</f>
        <v>84</v>
      </c>
      <c r="AY29" s="301">
        <f>(IF('Water Report'!$AE$22&gt;0,'Water Report'!$AE$22,0))</f>
        <v>0</v>
      </c>
      <c r="AZ29" s="301">
        <f>(IF('Water Report'!$AE$23&gt;0,'Water Report'!$AE$23,0))</f>
        <v>13</v>
      </c>
      <c r="BA29" s="301">
        <f>(IF('Water Report'!$AE$14&gt;0,'Water Report'!$AE$14,0))</f>
        <v>7</v>
      </c>
      <c r="BB29" s="301">
        <f>(IF('Water Report'!$AE$15&gt;0,'Water Report'!$AE$15,0))</f>
        <v>7</v>
      </c>
      <c r="BC29" s="301">
        <f>(IF('Water Report'!$AE$13&gt;0,'Water Report'!$AE$13,0))</f>
        <v>43</v>
      </c>
      <c r="BD29" s="301">
        <f>(IF('Water Report'!$AE$24&gt;0,'Water Report'!$AE$24,0))</f>
        <v>313</v>
      </c>
      <c r="BE29" s="301">
        <f>(IF('Water Report'!$AE$25&gt;0,'Water Report'!$AE$25,0))</f>
        <v>224</v>
      </c>
      <c r="BF29" s="301">
        <f>(IF('Water Report'!$AE$27&gt;0,'Water Report'!$AE$27,0))</f>
        <v>140</v>
      </c>
      <c r="BG29" s="296" t="e">
        <f>(IF('Section Load'!AN32&gt;0,'Section Load'!AN32,0))</f>
        <v>#VALUE!</v>
      </c>
      <c r="BH29" s="296">
        <f>(IF('Section Load'!AO32&gt;0,'Section Load'!AO32,0))</f>
        <v>329</v>
      </c>
      <c r="BI29" s="296">
        <f>(IF('Section Load'!AP32&gt;0,'Section Load'!AP32,0))</f>
        <v>0</v>
      </c>
      <c r="BJ29" s="296">
        <f>(IF('Section Load'!AQ32&gt;0,'Section Load'!AQ32,0))</f>
        <v>118</v>
      </c>
      <c r="BK29" s="296">
        <f>(IF('Section Load'!AR32&gt;0,'Section Load'!AR32,0))</f>
        <v>53</v>
      </c>
      <c r="BL29" s="296">
        <f>(IF('Section Load'!AS32&gt;0,'Section Load'!AS32,0))</f>
        <v>0</v>
      </c>
      <c r="BM29" s="296" t="e">
        <f>(IF('Section Load'!AT32&gt;0,'Section Load'!AT32,0))</f>
        <v>#VALUE!</v>
      </c>
    </row>
    <row r="30" spans="1:65">
      <c r="A30" s="287" t="s">
        <v>268</v>
      </c>
      <c r="B30" s="288">
        <f t="shared" si="0"/>
        <v>29</v>
      </c>
      <c r="C30" s="288">
        <v>4</v>
      </c>
      <c r="D30" s="288">
        <v>2022</v>
      </c>
      <c r="E30" s="294">
        <f>(IF('Section Load'!F33&gt;0,'Section Load'!F33,0))</f>
        <v>4115</v>
      </c>
      <c r="F30" s="294">
        <f>(IF('Section Load'!G33&gt;0,'Section Load'!G33,0))</f>
        <v>1726</v>
      </c>
      <c r="G30" s="294">
        <f>(IF('Section Load'!H33&gt;0,'Section Load'!H33,0))</f>
        <v>2399</v>
      </c>
      <c r="H30" s="294">
        <f>(IF('Section Load'!I33&gt;0,'Section Load'!I33,0))</f>
        <v>2849</v>
      </c>
      <c r="I30" s="294">
        <f>(IF('Section Load'!J33&gt;0,'Section Load'!J33,0))</f>
        <v>10787</v>
      </c>
      <c r="J30" s="294">
        <f>(IF('Section Load'!K33&gt;0,'Section Load'!K33,0))</f>
        <v>3440</v>
      </c>
      <c r="K30" s="294">
        <f>(IF('Section Load'!L33&gt;0,'Section Load'!L33,0))</f>
        <v>1646</v>
      </c>
      <c r="L30" s="294">
        <f>(IF('Section Load'!M33&gt;0,'Section Load'!M33,0))</f>
        <v>1210</v>
      </c>
      <c r="M30" s="294">
        <f>(IF('Section Load'!N33&gt;0,'Section Load'!N33,0))</f>
        <v>154</v>
      </c>
      <c r="N30" s="294">
        <f>(IF('Section Load'!O33&gt;0,'Section Load'!O33,0))</f>
        <v>220</v>
      </c>
      <c r="O30" s="294">
        <f>(IF('Section Load'!P33&gt;0,'Section Load'!P33,0))</f>
        <v>12</v>
      </c>
      <c r="P30" s="294">
        <f>(IF('Section Load'!Q33&gt;0,'Section Load'!Q33,0))</f>
        <v>212</v>
      </c>
      <c r="Q30" s="294">
        <f>(IF('Section Load'!R33&gt;0,'Section Load'!R33,0))</f>
        <v>70</v>
      </c>
      <c r="R30" s="294">
        <f>(IF('Section Load'!S33&gt;0,'Section Load'!S33,0))</f>
        <v>3</v>
      </c>
      <c r="S30" s="294">
        <f>(IF('Section Load'!T33&gt;0,'Section Load'!T33,0))</f>
        <v>0</v>
      </c>
      <c r="T30" s="294">
        <f>(IF('Section Load'!U33&gt;0,'Section Load'!U33,0))</f>
        <v>251</v>
      </c>
      <c r="U30" s="294">
        <f>(IF('Section Load'!V33&gt;0,'Section Load'!V33,0))</f>
        <v>401</v>
      </c>
      <c r="V30" s="294">
        <f>(IF('Section Load'!W33&gt;0,'Section Load'!W33,0))</f>
        <v>496</v>
      </c>
      <c r="W30" s="294">
        <f>(IF('Section Load'!X33&gt;0,'Section Load'!X33,0))</f>
        <v>34</v>
      </c>
      <c r="X30" s="294">
        <f>(IF('Section Load'!Y33&gt;0,'Section Load'!Y33,0))</f>
        <v>220</v>
      </c>
      <c r="Y30" s="294">
        <f>(IF('Section Load'!Z33&gt;0,'Section Load'!Z33,0))</f>
        <v>317</v>
      </c>
      <c r="Z30" s="294">
        <f>(IF('Section Load'!AA33&gt;0,'Section Load'!AA33,0))</f>
        <v>24</v>
      </c>
      <c r="AA30" s="294">
        <f>(IF('Section Load'!AB33&gt;0,'Section Load'!AB33,0))</f>
        <v>41</v>
      </c>
      <c r="AB30" s="294">
        <f>(IF('Section Load'!AC33&gt;0,'Section Load'!AC33,0))</f>
        <v>0</v>
      </c>
      <c r="AC30" s="294">
        <f>(IF('Section Load'!AD33&gt;0,'Section Load'!AD33,0))</f>
        <v>190</v>
      </c>
      <c r="AD30" s="294">
        <f>(IF('Section Load'!AE33&gt;0,'Section Load'!AE33,0))</f>
        <v>300</v>
      </c>
      <c r="AE30" s="294">
        <f>(IF('Section Load'!AF33&gt;0,'Section Load'!AF33,0))</f>
        <v>161</v>
      </c>
      <c r="AF30" s="294">
        <f>(IF('Section Load'!AG33&gt;0,'Section Load'!AG33,0))</f>
        <v>566</v>
      </c>
      <c r="AG30" s="294">
        <f>(IF('Section Load'!AH33&gt;0,'Section Load'!AH33,0))</f>
        <v>434</v>
      </c>
      <c r="AH30" s="294">
        <f>(IF('Section Load'!AI33&gt;0,'Section Load'!AI33,0))</f>
        <v>436</v>
      </c>
      <c r="AI30" s="294">
        <f>(IF('Section Load'!AJ33&gt;0,'Section Load'!AJ33,0))</f>
        <v>381</v>
      </c>
      <c r="AJ30" s="294">
        <f>(IF('Section Load'!AK33&gt;0,'Section Load'!AK33,0))</f>
        <v>186</v>
      </c>
      <c r="AK30" s="294">
        <f>(IF('Section Load'!AL33&gt;0,'Section Load'!AL33,0))</f>
        <v>315</v>
      </c>
      <c r="AL30" s="294">
        <f>(IF('Section Load'!AM33&gt;0,'Section Load'!AM33,0))</f>
        <v>843</v>
      </c>
      <c r="AM30" s="295">
        <f>(IF('Water Report'!$AF$7&gt;0,'Water Report'!$AF$7,0))</f>
        <v>169</v>
      </c>
      <c r="AN30" s="295">
        <f>(IF('Water Report'!$AF$8&gt;0,'Water Report'!$AF$8,0))</f>
        <v>144</v>
      </c>
      <c r="AO30" s="295">
        <f>(IF('Water Report'!$AF$9&gt;0,'Water Report'!$AF$9,0))</f>
        <v>112</v>
      </c>
      <c r="AP30" s="295">
        <f>(IF('Water Report'!$AF$10&gt;0,'Water Report'!$AF$10,0))</f>
        <v>18</v>
      </c>
      <c r="AQ30" s="295">
        <f>(IF('Water Report'!$AF$11&gt;0,'Water Report'!$AF$11,0))</f>
        <v>76</v>
      </c>
      <c r="AR30" s="295">
        <f>(IF('Water Report'!$AF$13&gt;0,'Water Report'!$AF$13,0))</f>
        <v>15</v>
      </c>
      <c r="AS30" s="295">
        <f>(IF('Water Report'!$AF$14&gt;0,'Water Report'!$AF$14,0))</f>
        <v>14</v>
      </c>
      <c r="AT30" s="295">
        <f>(IF('Water Report'!$AF$15&gt;0,'Water Report'!$AF$15,0))</f>
        <v>8</v>
      </c>
      <c r="AU30" s="295">
        <f>(IF('Water Report'!$AF$17&gt;0,'Water Report'!$AF$17,0))</f>
        <v>0</v>
      </c>
      <c r="AV30" s="295">
        <f>(IF('Water Report'!$AF$18&gt;0,'Water Report'!$AF$18,0))</f>
        <v>15</v>
      </c>
      <c r="AW30" s="295">
        <f>(IF('Water Report'!$AF$19&gt;0,'Water Report'!$AF$19,0))</f>
        <v>12</v>
      </c>
      <c r="AX30" s="301">
        <f>(IF('Water Report'!$AF$21&gt;0,'Water Report'!$AF$21,0))</f>
        <v>106</v>
      </c>
      <c r="AY30" s="301">
        <f>(IF('Water Report'!$AF$22&gt;0,'Water Report'!$AF$22,0))</f>
        <v>1</v>
      </c>
      <c r="AZ30" s="301">
        <f>(IF('Water Report'!$AF$23&gt;0,'Water Report'!$AF$23,0))</f>
        <v>5</v>
      </c>
      <c r="BA30" s="301">
        <f>(IF('Water Report'!$AF$14&gt;0,'Water Report'!$AF$14,0))</f>
        <v>14</v>
      </c>
      <c r="BB30" s="301">
        <f>(IF('Water Report'!$AF$15&gt;0,'Water Report'!$AF$15,0))</f>
        <v>8</v>
      </c>
      <c r="BC30" s="301">
        <f>(IF('Water Report'!$AF$13&gt;0,'Water Report'!$AF$13,0))</f>
        <v>15</v>
      </c>
      <c r="BD30" s="301">
        <f>(IF('Water Report'!$AF$24&gt;0,'Water Report'!$AF$24,0))</f>
        <v>311</v>
      </c>
      <c r="BE30" s="301">
        <f>(IF('Water Report'!$AF$25&gt;0,'Water Report'!$AF$25,0))</f>
        <v>228</v>
      </c>
      <c r="BF30" s="301">
        <f>(IF('Water Report'!$AF$27&gt;0,'Water Report'!$AF$27,0))</f>
        <v>126</v>
      </c>
      <c r="BG30" s="296" t="e">
        <f>(IF('Section Load'!AN33&gt;0,'Section Load'!AN33,0))</f>
        <v>#VALUE!</v>
      </c>
      <c r="BH30" s="296">
        <f>(IF('Section Load'!AO33&gt;0,'Section Load'!AO33,0))</f>
        <v>317</v>
      </c>
      <c r="BI30" s="296">
        <f>(IF('Section Load'!AP33&gt;0,'Section Load'!AP33,0))</f>
        <v>0</v>
      </c>
      <c r="BJ30" s="296">
        <f>(IF('Section Load'!AQ33&gt;0,'Section Load'!AQ33,0))</f>
        <v>143</v>
      </c>
      <c r="BK30" s="296">
        <f>(IF('Section Load'!AR33&gt;0,'Section Load'!AR33,0))</f>
        <v>57</v>
      </c>
      <c r="BL30" s="296">
        <f>(IF('Section Load'!AS33&gt;0,'Section Load'!AS33,0))</f>
        <v>0</v>
      </c>
      <c r="BM30" s="296" t="e">
        <f>(IF('Section Load'!AT33&gt;0,'Section Load'!AT33,0))</f>
        <v>#VALUE!</v>
      </c>
    </row>
    <row r="31" spans="1:65">
      <c r="A31" s="287" t="s">
        <v>268</v>
      </c>
      <c r="B31" s="288">
        <f t="shared" si="0"/>
        <v>30</v>
      </c>
      <c r="C31" s="288">
        <v>4</v>
      </c>
      <c r="D31" s="288">
        <v>2022</v>
      </c>
      <c r="E31" s="294">
        <f>(IF('Section Load'!F34&gt;0,'Section Load'!F34,0))</f>
        <v>4237</v>
      </c>
      <c r="F31" s="294">
        <f>(IF('Section Load'!G34&gt;0,'Section Load'!G34,0))</f>
        <v>1805.68</v>
      </c>
      <c r="G31" s="294">
        <f>(IF('Section Load'!H34&gt;0,'Section Load'!H34,0))</f>
        <v>2500</v>
      </c>
      <c r="H31" s="294">
        <f>(IF('Section Load'!I34&gt;0,'Section Load'!I34,0))</f>
        <v>2900</v>
      </c>
      <c r="I31" s="294">
        <f>(IF('Section Load'!J34&gt;0,'Section Load'!J34,0))</f>
        <v>9046</v>
      </c>
      <c r="J31" s="294">
        <f>(IF('Section Load'!K34&gt;0,'Section Load'!K34,0))</f>
        <v>3408</v>
      </c>
      <c r="K31" s="294">
        <f>(IF('Section Load'!L34&gt;0,'Section Load'!L34,0))</f>
        <v>1782</v>
      </c>
      <c r="L31" s="294">
        <f>(IF('Section Load'!M34&gt;0,'Section Load'!M34,0))</f>
        <v>1131</v>
      </c>
      <c r="M31" s="294">
        <f>(IF('Section Load'!N34&gt;0,'Section Load'!N34,0))</f>
        <v>141</v>
      </c>
      <c r="N31" s="294">
        <f>(IF('Section Load'!O34&gt;0,'Section Load'!O34,0))</f>
        <v>135</v>
      </c>
      <c r="O31" s="294">
        <f>(IF('Section Load'!P34&gt;0,'Section Load'!P34,0))</f>
        <v>11</v>
      </c>
      <c r="P31" s="294">
        <f>(IF('Section Load'!Q34&gt;0,'Section Load'!Q34,0))</f>
        <v>223</v>
      </c>
      <c r="Q31" s="294">
        <f>(IF('Section Load'!R34&gt;0,'Section Load'!R34,0))</f>
        <v>74</v>
      </c>
      <c r="R31" s="294">
        <f>(IF('Section Load'!S34&gt;0,'Section Load'!S34,0))</f>
        <v>2</v>
      </c>
      <c r="S31" s="294">
        <f>(IF('Section Load'!T34&gt;0,'Section Load'!T34,0))</f>
        <v>0</v>
      </c>
      <c r="T31" s="294">
        <f>(IF('Section Load'!U34&gt;0,'Section Load'!U34,0))</f>
        <v>256</v>
      </c>
      <c r="U31" s="294">
        <f>(IF('Section Load'!V34&gt;0,'Section Load'!V34,0))</f>
        <v>452</v>
      </c>
      <c r="V31" s="294">
        <f>(IF('Section Load'!W34&gt;0,'Section Load'!W34,0))</f>
        <v>366</v>
      </c>
      <c r="W31" s="294">
        <f>(IF('Section Load'!X34&gt;0,'Section Load'!X34,0))</f>
        <v>27</v>
      </c>
      <c r="X31" s="294">
        <f>(IF('Section Load'!Y34&gt;0,'Section Load'!Y34,0))</f>
        <v>236</v>
      </c>
      <c r="Y31" s="294">
        <f>(IF('Section Load'!Z34&gt;0,'Section Load'!Z34,0))</f>
        <v>351</v>
      </c>
      <c r="Z31" s="294">
        <f>(IF('Section Load'!AA34&gt;0,'Section Load'!AA34,0))</f>
        <v>23</v>
      </c>
      <c r="AA31" s="294">
        <f>(IF('Section Load'!AB34&gt;0,'Section Load'!AB34,0))</f>
        <v>38</v>
      </c>
      <c r="AB31" s="294">
        <f>(IF('Section Load'!AC34&gt;0,'Section Load'!AC34,0))</f>
        <v>0.11999999999898137</v>
      </c>
      <c r="AC31" s="294">
        <f>(IF('Section Load'!AD34&gt;0,'Section Load'!AD34,0))</f>
        <v>179</v>
      </c>
      <c r="AD31" s="294">
        <f>(IF('Section Load'!AE34&gt;0,'Section Load'!AE34,0))</f>
        <v>252</v>
      </c>
      <c r="AE31" s="294">
        <f>(IF('Section Load'!AF34&gt;0,'Section Load'!AF34,0))</f>
        <v>160</v>
      </c>
      <c r="AF31" s="294">
        <f>(IF('Section Load'!AG34&gt;0,'Section Load'!AG34,0))</f>
        <v>563</v>
      </c>
      <c r="AG31" s="294">
        <f>(IF('Section Load'!AH34&gt;0,'Section Load'!AH34,0))</f>
        <v>462</v>
      </c>
      <c r="AH31" s="294">
        <f>(IF('Section Load'!AI34&gt;0,'Section Load'!AI34,0))</f>
        <v>454</v>
      </c>
      <c r="AI31" s="294">
        <f>(IF('Section Load'!AJ34&gt;0,'Section Load'!AJ34,0))</f>
        <v>453</v>
      </c>
      <c r="AJ31" s="294">
        <f>(IF('Section Load'!AK34&gt;0,'Section Load'!AK34,0))</f>
        <v>190</v>
      </c>
      <c r="AK31" s="294">
        <f>(IF('Section Load'!AL34&gt;0,'Section Load'!AL34,0))</f>
        <v>323</v>
      </c>
      <c r="AL31" s="294">
        <f>(IF('Section Load'!AM34&gt;0,'Section Load'!AM34,0))</f>
        <v>842</v>
      </c>
      <c r="AM31" s="295">
        <f>(IF('Water Report'!$AG$7&gt;0,'Water Report'!$AG$7,0))</f>
        <v>172</v>
      </c>
      <c r="AN31" s="295">
        <f>(IF('Water Report'!$AG$8&gt;0,'Water Report'!$AG$8,0))</f>
        <v>131</v>
      </c>
      <c r="AO31" s="295">
        <f>(IF('Water Report'!$AG$9&gt;0,'Water Report'!$AG$9,0))</f>
        <v>117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 t="e">
        <f>(IF('Section Load'!AN34&gt;0,'Section Load'!AN34,0))</f>
        <v>#VALUE!</v>
      </c>
      <c r="BH31" s="296">
        <f>(IF('Section Load'!AO34&gt;0,'Section Load'!AO34,0))</f>
        <v>331</v>
      </c>
      <c r="BI31" s="296">
        <f>(IF('Section Load'!AP34&gt;0,'Section Load'!AP34,0))</f>
        <v>0</v>
      </c>
      <c r="BJ31" s="296">
        <f>(IF('Section Load'!AQ34&gt;0,'Section Load'!AQ34,0))</f>
        <v>113</v>
      </c>
      <c r="BK31" s="296">
        <f>(IF('Section Load'!AR34&gt;0,'Section Load'!AR34,0))</f>
        <v>52</v>
      </c>
      <c r="BL31" s="296">
        <f>(IF('Section Load'!AS34&gt;0,'Section Load'!AS34,0))</f>
        <v>0.3999999999996362</v>
      </c>
      <c r="BM31" s="296" t="e">
        <f>(IF('Section Load'!AT34&gt;0,'Section Load'!AT34,0))</f>
        <v>#VALUE!</v>
      </c>
    </row>
    <row r="32" spans="1:65">
      <c r="A32" s="287" t="s">
        <v>268</v>
      </c>
      <c r="B32" s="288">
        <f t="shared" si="0"/>
        <v>31</v>
      </c>
      <c r="C32" s="288">
        <v>4</v>
      </c>
      <c r="D32" s="288">
        <v>2022</v>
      </c>
      <c r="E32" s="294">
        <f>(IF('Section Load'!F35&gt;0,'Section Load'!F35,0))</f>
        <v>0</v>
      </c>
      <c r="F32" s="294">
        <f>(IF('Section Load'!G35&gt;0,'Section Load'!G35,0))</f>
        <v>0</v>
      </c>
      <c r="G32" s="294">
        <f>(IF('Section Load'!H35&gt;0,'Section Load'!H35,0))</f>
        <v>0</v>
      </c>
      <c r="H32" s="294">
        <f>(IF('Section Load'!I35&gt;0,'Section Load'!I35,0))</f>
        <v>0</v>
      </c>
      <c r="I32" s="294">
        <f>(IF('Section Load'!J35&gt;0,'Section Load'!J35,0))</f>
        <v>0</v>
      </c>
      <c r="J32" s="294">
        <f>(IF('Section Load'!K35&gt;0,'Section Load'!K35,0))</f>
        <v>0</v>
      </c>
      <c r="K32" s="294">
        <f>(IF('Section Load'!L35&gt;0,'Section Load'!L35,0))</f>
        <v>0</v>
      </c>
      <c r="L32" s="294">
        <f>(IF('Section Load'!M35&gt;0,'Section Load'!M35,0))</f>
        <v>0</v>
      </c>
      <c r="M32" s="294">
        <f>(IF('Section Load'!N35&gt;0,'Section Load'!N35,0))</f>
        <v>0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0</v>
      </c>
      <c r="Q32" s="294">
        <f>(IF('Section Load'!R35&gt;0,'Section Load'!R35,0))</f>
        <v>0</v>
      </c>
      <c r="R32" s="294">
        <f>(IF('Section Load'!S35&gt;0,'Section Load'!S35,0))</f>
        <v>0</v>
      </c>
      <c r="S32" s="294">
        <f>(IF('Section Load'!T35&gt;0,'Section Load'!T35,0))</f>
        <v>0</v>
      </c>
      <c r="T32" s="294">
        <f>(IF('Section Load'!U35&gt;0,'Section Load'!U35,0))</f>
        <v>0</v>
      </c>
      <c r="U32" s="294">
        <f>(IF('Section Load'!V35&gt;0,'Section Load'!V35,0))</f>
        <v>0</v>
      </c>
      <c r="V32" s="294">
        <f>(IF('Section Load'!W35&gt;0,'Section Load'!W35,0))</f>
        <v>0</v>
      </c>
      <c r="W32" s="294">
        <f>(IF('Section Load'!X35&gt;0,'Section Load'!X35,0))</f>
        <v>0</v>
      </c>
      <c r="X32" s="294">
        <f>(IF('Section Load'!Y35&gt;0,'Section Load'!Y35,0))</f>
        <v>0</v>
      </c>
      <c r="Y32" s="294">
        <f>(IF('Section Load'!Z35&gt;0,'Section Load'!Z35,0))</f>
        <v>0</v>
      </c>
      <c r="Z32" s="294">
        <f>(IF('Section Load'!AA35&gt;0,'Section Load'!AA35,0))</f>
        <v>0</v>
      </c>
      <c r="AA32" s="294">
        <f>(IF('Section Load'!AB35&gt;0,'Section Load'!AB35,0))</f>
        <v>0</v>
      </c>
      <c r="AB32" s="294">
        <f>(IF('Section Load'!AC35&gt;0,'Section Load'!AC35,0))</f>
        <v>0</v>
      </c>
      <c r="AC32" s="294">
        <f>(IF('Section Load'!AD35&gt;0,'Section Load'!AD35,0))</f>
        <v>0</v>
      </c>
      <c r="AD32" s="294">
        <f>(IF('Section Load'!AE35&gt;0,'Section Load'!AE35,0))</f>
        <v>0</v>
      </c>
      <c r="AE32" s="294">
        <f>(IF('Section Load'!AF35&gt;0,'Section Load'!AF35,0))</f>
        <v>0</v>
      </c>
      <c r="AF32" s="294">
        <f>(IF('Section Load'!AG35&gt;0,'Section Load'!AG35,0))</f>
        <v>0</v>
      </c>
      <c r="AG32" s="294">
        <f>(IF('Section Load'!AH35&gt;0,'Section Load'!AH35,0))</f>
        <v>0</v>
      </c>
      <c r="AH32" s="294">
        <f>(IF('Section Load'!AI35&gt;0,'Section Load'!AI35,0))</f>
        <v>0</v>
      </c>
      <c r="AI32" s="294">
        <f>(IF('Section Load'!AJ35&gt;0,'Section Load'!AJ35,0))</f>
        <v>0</v>
      </c>
      <c r="AJ32" s="294">
        <f>(IF('Section Load'!AK35&gt;0,'Section Load'!AK35,0))</f>
        <v>0</v>
      </c>
      <c r="AK32" s="294">
        <f>(IF('Section Load'!AL35&gt;0,'Section Load'!AL35,0))</f>
        <v>0</v>
      </c>
      <c r="AL32" s="294">
        <f>(IF('Section Load'!AM35&gt;0,'Section Load'!AM35,0))</f>
        <v>0</v>
      </c>
      <c r="AM32" s="295">
        <f>(IF('Water Report'!$AH$7&gt;0,'Water Report'!$AH$7,0))</f>
        <v>0</v>
      </c>
      <c r="AN32" s="295">
        <f>(IF('Water Report'!$AH$8&gt;0,'Water Report'!$AH$8,0))</f>
        <v>0</v>
      </c>
      <c r="AO32" s="295">
        <f>(IF('Water Report'!$AH$9&gt;0,'Water Report'!$AH$9,0))</f>
        <v>0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 t="e">
        <f>(IF('Section Load'!AN35&gt;0,'Section Load'!AN35,0))</f>
        <v>#VALUE!</v>
      </c>
      <c r="BH32" s="296">
        <f>(IF('Section Load'!AO35&gt;0,'Section Load'!AO35,0))</f>
        <v>0</v>
      </c>
      <c r="BI32" s="296">
        <f>(IF('Section Load'!AP35&gt;0,'Section Load'!AP35,0))</f>
        <v>0</v>
      </c>
      <c r="BJ32" s="296">
        <f>(IF('Section Load'!AQ35&gt;0,'Section Load'!AQ35,0))</f>
        <v>0</v>
      </c>
      <c r="BK32" s="296">
        <f>(IF('Section Load'!AR35&gt;0,'Section Load'!AR35,0))</f>
        <v>0</v>
      </c>
      <c r="BL32" s="296">
        <f>(IF('Section Load'!AS35&gt;0,'Section Load'!AS35,0))</f>
        <v>0</v>
      </c>
      <c r="BM32" s="296" t="e">
        <f>(IF('Section Load'!AT35&gt;0,'Section Load'!AT35,0))</f>
        <v>#VALUE!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59"/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  <c r="P1" s="759"/>
      <c r="Q1" s="759"/>
      <c r="R1" s="759"/>
      <c r="S1" s="759"/>
      <c r="T1" s="759"/>
      <c r="U1" s="759"/>
      <c r="V1" s="759"/>
      <c r="W1" s="759"/>
      <c r="X1" s="759"/>
      <c r="Y1" s="759"/>
      <c r="Z1" s="759"/>
      <c r="AA1" s="759"/>
      <c r="AB1" s="759"/>
      <c r="AC1" s="759"/>
      <c r="AD1" s="759"/>
      <c r="AE1" s="759"/>
      <c r="AF1" s="759"/>
      <c r="AG1" s="759"/>
      <c r="AH1" s="759"/>
      <c r="AI1" s="759"/>
      <c r="AJ1" s="759"/>
      <c r="AK1" s="759"/>
      <c r="AL1" s="759"/>
      <c r="AM1" s="759"/>
      <c r="AN1" s="759"/>
      <c r="AO1" s="759"/>
      <c r="AP1" s="759"/>
      <c r="AQ1" s="759"/>
      <c r="AR1" s="759"/>
      <c r="AS1" s="759"/>
      <c r="AT1" s="759"/>
      <c r="AU1" s="759"/>
      <c r="AV1" s="759"/>
      <c r="AW1" s="759"/>
      <c r="AX1" s="759"/>
      <c r="AY1" s="759"/>
      <c r="AZ1" s="759"/>
      <c r="BA1" s="759"/>
      <c r="BB1" s="759"/>
      <c r="BC1" s="759"/>
      <c r="BD1" s="759"/>
      <c r="BE1" s="759"/>
      <c r="BF1" s="759"/>
      <c r="BG1" s="759"/>
      <c r="BH1" s="759"/>
      <c r="BI1" s="759"/>
      <c r="BJ1" s="759"/>
      <c r="BK1" s="759"/>
      <c r="BL1" s="759"/>
      <c r="BM1" s="759"/>
      <c r="BN1" s="759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0" t="s">
        <v>5</v>
      </c>
      <c r="I2" s="760"/>
      <c r="J2" s="760"/>
      <c r="K2" s="44"/>
      <c r="L2" s="761" t="s">
        <v>6</v>
      </c>
      <c r="M2" s="761"/>
      <c r="N2" s="761"/>
      <c r="O2" s="762" t="s">
        <v>7</v>
      </c>
      <c r="P2" s="762"/>
      <c r="Q2" s="762"/>
      <c r="R2" s="44" t="s">
        <v>8</v>
      </c>
      <c r="S2" s="763" t="s">
        <v>9</v>
      </c>
      <c r="T2" s="763"/>
      <c r="U2" s="763"/>
      <c r="V2" s="764" t="s">
        <v>10</v>
      </c>
      <c r="W2" s="765"/>
      <c r="X2" s="766"/>
      <c r="Y2" s="263"/>
      <c r="Z2" s="767" t="s">
        <v>11</v>
      </c>
      <c r="AA2" s="767"/>
      <c r="AB2" s="767"/>
      <c r="AC2" s="767"/>
      <c r="AD2" s="264"/>
      <c r="AE2" s="264" t="s">
        <v>12</v>
      </c>
      <c r="AF2" s="264" t="s">
        <v>13</v>
      </c>
      <c r="AG2" s="767" t="s">
        <v>14</v>
      </c>
      <c r="AH2" s="767"/>
      <c r="AI2" s="767"/>
      <c r="AJ2" s="264" t="s">
        <v>15</v>
      </c>
      <c r="AK2" s="767" t="s">
        <v>16</v>
      </c>
      <c r="AL2" s="767"/>
      <c r="AM2" s="767"/>
      <c r="AN2" s="264" t="s">
        <v>17</v>
      </c>
      <c r="AO2" s="5" t="s">
        <v>18</v>
      </c>
      <c r="AP2" s="768" t="s">
        <v>19</v>
      </c>
      <c r="AQ2" s="769"/>
      <c r="AR2" s="769"/>
      <c r="AS2" s="769"/>
      <c r="AT2" s="769"/>
      <c r="AU2" s="769"/>
      <c r="AV2" s="769"/>
      <c r="AW2" s="769"/>
      <c r="AX2" s="769"/>
      <c r="AY2" s="770"/>
      <c r="AZ2" s="768" t="s">
        <v>20</v>
      </c>
      <c r="BA2" s="769"/>
      <c r="BB2" s="769"/>
      <c r="BC2" s="769"/>
      <c r="BD2" s="769"/>
      <c r="BE2" s="769"/>
      <c r="BF2" s="769"/>
      <c r="BG2" s="769"/>
      <c r="BH2" s="769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26</v>
      </c>
      <c r="E4" s="50">
        <f>'1'!D4</f>
        <v>0.78</v>
      </c>
      <c r="F4" s="50">
        <f>'1'!D2</f>
        <v>0.92</v>
      </c>
      <c r="G4" s="19">
        <f>'1'!G7</f>
        <v>29490.189999999944</v>
      </c>
      <c r="H4" s="19">
        <f>'1'!G8</f>
        <v>30041.630000000005</v>
      </c>
      <c r="I4" s="19">
        <v>9</v>
      </c>
      <c r="J4" s="49">
        <f>H4*I4</f>
        <v>270374.67000000004</v>
      </c>
      <c r="K4" s="45">
        <f>H4/202</f>
        <v>148.72094059405944</v>
      </c>
      <c r="L4" s="19">
        <f>'1'!G15</f>
        <v>1103.9899999999907</v>
      </c>
      <c r="M4" s="19">
        <v>56.2</v>
      </c>
      <c r="N4" s="45">
        <f>L4*M4</f>
        <v>62044.237999999481</v>
      </c>
      <c r="O4" s="19">
        <f>'1'!G20</f>
        <v>312</v>
      </c>
      <c r="P4" s="19">
        <v>108</v>
      </c>
      <c r="Q4" s="46">
        <f t="shared" ref="Q4:Q33" si="0">O4*P4</f>
        <v>33696</v>
      </c>
      <c r="R4" s="47">
        <f t="shared" ref="R4:R34" si="1">O4/(F4*202/100)</f>
        <v>167.88635385277658</v>
      </c>
      <c r="S4" s="19">
        <f>'1'!G24</f>
        <v>0</v>
      </c>
      <c r="T4" s="19">
        <v>69</v>
      </c>
      <c r="U4" s="48">
        <f>S4*T4</f>
        <v>0</v>
      </c>
      <c r="V4" s="22">
        <f>'1'!G65</f>
        <v>113</v>
      </c>
      <c r="W4" s="22">
        <f>'1'!G66</f>
        <v>24</v>
      </c>
      <c r="X4" s="22">
        <f>'1'!G67</f>
        <v>77</v>
      </c>
      <c r="Y4" s="22">
        <f>V4+W4+X4</f>
        <v>214</v>
      </c>
      <c r="Z4" s="19">
        <f>'1'!G84</f>
        <v>19</v>
      </c>
      <c r="AA4" s="19">
        <f>'1'!G85</f>
        <v>24.079999999999927</v>
      </c>
      <c r="AB4" s="19">
        <f>'1'!G86</f>
        <v>2.1200000000026193</v>
      </c>
      <c r="AC4" s="19">
        <f>'1'!G87</f>
        <v>5.9999999997671694E-2</v>
      </c>
      <c r="AD4" s="19">
        <f>Z4+AA4+AB4+AC4</f>
        <v>45.260000000000218</v>
      </c>
      <c r="AE4" s="23">
        <f t="shared" ref="AE4:AE33" si="2">AU4+AV4+BE4+BF4</f>
        <v>10283.279999999995</v>
      </c>
      <c r="AF4" s="23">
        <f>AE4/AD4</f>
        <v>227.20459566946411</v>
      </c>
      <c r="AG4" s="19">
        <f>'1'!G88</f>
        <v>0</v>
      </c>
      <c r="AH4" s="19">
        <f>'1'!G89</f>
        <v>10.399999999997817</v>
      </c>
      <c r="AI4" s="19">
        <f>'1'!G90</f>
        <v>9.4499999999970896</v>
      </c>
      <c r="AJ4" s="19">
        <f>AG4+AH4+AI4</f>
        <v>19.849999999994907</v>
      </c>
      <c r="AK4" s="19">
        <f>'1'!G91</f>
        <v>12.090000000000146</v>
      </c>
      <c r="AL4" s="19">
        <f>'1'!G92</f>
        <v>0</v>
      </c>
      <c r="AM4" s="19"/>
      <c r="AN4" s="19">
        <f>AK4+AL4</f>
        <v>12.090000000000146</v>
      </c>
      <c r="AO4" s="52">
        <f>'1'!G74</f>
        <v>330.14000000001397</v>
      </c>
      <c r="AP4" s="55">
        <f>'1'!G35</f>
        <v>2255.9700000000012</v>
      </c>
      <c r="AQ4" s="19">
        <f>'1'!G37</f>
        <v>1677.9500000000116</v>
      </c>
      <c r="AR4" s="19">
        <f>'1'!G38</f>
        <v>2358.5100000000093</v>
      </c>
      <c r="AS4" s="19">
        <f>'1'!G39</f>
        <v>2754.710000000021</v>
      </c>
      <c r="AT4" s="19">
        <f>'1'!G40</f>
        <v>785.02000000000407</v>
      </c>
      <c r="AU4" s="19">
        <f>'1'!G41</f>
        <v>4222.6899999999987</v>
      </c>
      <c r="AV4" s="19">
        <f>'1'!G42</f>
        <v>5805</v>
      </c>
      <c r="AW4" s="19">
        <f>'1'!G43</f>
        <v>3821.9899999999907</v>
      </c>
      <c r="AX4" s="19">
        <f>'1'!G44</f>
        <v>0</v>
      </c>
      <c r="AY4" s="56">
        <f>'1'!G36</f>
        <v>844.20000000001164</v>
      </c>
      <c r="AZ4" s="55">
        <f>'1'!G49</f>
        <v>1862.6499999999942</v>
      </c>
      <c r="BA4" s="19">
        <f>'1'!G51</f>
        <v>0</v>
      </c>
      <c r="BB4" s="19">
        <f>'1'!G52</f>
        <v>-0.24000000000000021</v>
      </c>
      <c r="BC4" s="19">
        <f>'1'!G53</f>
        <v>0</v>
      </c>
      <c r="BD4" s="19">
        <f>'1'!G54</f>
        <v>472.83000000000175</v>
      </c>
      <c r="BE4" s="19">
        <f>'1'!G55</f>
        <v>255.92999999999302</v>
      </c>
      <c r="BF4" s="19">
        <f>'1'!G56</f>
        <v>-0.33999999999650754</v>
      </c>
      <c r="BG4" s="19">
        <f>'1'!G57</f>
        <v>0</v>
      </c>
      <c r="BH4" s="56">
        <f>'1'!G50</f>
        <v>1774.4100000000035</v>
      </c>
      <c r="BI4" s="60">
        <f>SUM(AU4,AV4,BE4,BF4)</f>
        <v>10283.279999999995</v>
      </c>
      <c r="BJ4" s="60">
        <f>'1'!G133</f>
        <v>898.08999999999651</v>
      </c>
      <c r="BK4" s="23">
        <f>SUM(AP4,AU4,AV4,AW4,AZ4,BE4,BF4,BG4)/H4%</f>
        <v>60.662121196486275</v>
      </c>
      <c r="BL4" s="23">
        <f>SUM(AS4,BC4)/H4%</f>
        <v>9.1696422597576124</v>
      </c>
      <c r="BM4" s="24">
        <f>(AR4+BB4)/H4</f>
        <v>7.8500068072205442E-2</v>
      </c>
      <c r="BN4" s="25">
        <f>J4+N4+Q4+U4</f>
        <v>366114.90799999953</v>
      </c>
      <c r="BO4" s="38">
        <f>SUM(AU4,AV4,AW4,BE4,BF4,BG4,BJ4)</f>
        <v>15003.359999999982</v>
      </c>
      <c r="BP4">
        <f>BO4/(AD4*280)</f>
        <v>1.1839025314058385</v>
      </c>
      <c r="BQ4" s="38">
        <f>SUM(AU4,AV4,BE4,BF4)/(AD4*400)</f>
        <v>0.56801148917366029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0.86</v>
      </c>
      <c r="G5" s="19">
        <f>'2'!G7</f>
        <v>27590.480000000098</v>
      </c>
      <c r="H5" s="19">
        <f>'2'!G8</f>
        <v>28016.479999999981</v>
      </c>
      <c r="I5" s="19">
        <v>9</v>
      </c>
      <c r="J5" s="49">
        <f t="shared" ref="J5:J34" si="3">H5*I5</f>
        <v>252148.31999999983</v>
      </c>
      <c r="K5" s="45">
        <f t="shared" ref="K5:K33" si="4">H5/202</f>
        <v>138.69544554455436</v>
      </c>
      <c r="L5" s="19">
        <f>'2'!G15</f>
        <v>1042.8600000001024</v>
      </c>
      <c r="M5" s="19">
        <v>56.2</v>
      </c>
      <c r="N5" s="45">
        <f t="shared" ref="N5:N33" si="5">L5*M5</f>
        <v>58608.732000005759</v>
      </c>
      <c r="O5" s="19">
        <f>'2'!G20</f>
        <v>255</v>
      </c>
      <c r="P5" s="19">
        <v>108</v>
      </c>
      <c r="Q5" s="46">
        <f t="shared" si="0"/>
        <v>27540</v>
      </c>
      <c r="R5" s="47">
        <f t="shared" si="1"/>
        <v>146.78793460741423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444798</v>
      </c>
      <c r="W5" s="22">
        <f>'2'!G66</f>
        <v>18</v>
      </c>
      <c r="X5" s="22">
        <f>'2'!G67</f>
        <v>78</v>
      </c>
      <c r="Y5" s="22">
        <f t="shared" ref="Y5:Y33" si="7">V5+W5+X5</f>
        <v>444894</v>
      </c>
      <c r="Z5" s="19">
        <f>'2'!G84</f>
        <v>24.370000000002619</v>
      </c>
      <c r="AA5" s="19">
        <f>'2'!G85</f>
        <v>16.099999999999909</v>
      </c>
      <c r="AB5" s="19">
        <f>'2'!G86</f>
        <v>0</v>
      </c>
      <c r="AC5" s="19">
        <f>'2'!G87</f>
        <v>0</v>
      </c>
      <c r="AD5" s="19">
        <f t="shared" ref="AD5:AD33" si="8">Z5+AA5+AB5+AC5</f>
        <v>40.470000000002528</v>
      </c>
      <c r="AE5" s="23">
        <f t="shared" si="2"/>
        <v>9353.7600000000202</v>
      </c>
      <c r="AF5" s="23">
        <f t="shared" ref="AF5:AF33" si="9">AE5/AD5</f>
        <v>231.12824314305499</v>
      </c>
      <c r="AG5" s="19">
        <f>'2'!G88</f>
        <v>0</v>
      </c>
      <c r="AH5" s="19">
        <f>'2'!G89</f>
        <v>9.8800000000010186</v>
      </c>
      <c r="AI5" s="19">
        <f>'2'!G90</f>
        <v>9.3899999999994179</v>
      </c>
      <c r="AJ5" s="19">
        <f t="shared" ref="AJ5:AJ33" si="10">AG5+AH5+AI5</f>
        <v>19.270000000000437</v>
      </c>
      <c r="AK5" s="19">
        <f>'2'!G91</f>
        <v>10.990000000000236</v>
      </c>
      <c r="AL5" s="19">
        <f>'2'!G92</f>
        <v>0</v>
      </c>
      <c r="AM5" s="19"/>
      <c r="AN5" s="19">
        <f t="shared" ref="AN5:AN33" si="11">AK5+AL5</f>
        <v>10.990000000000236</v>
      </c>
      <c r="AO5" s="52">
        <f>'2'!G74</f>
        <v>299.75</v>
      </c>
      <c r="AP5" s="55">
        <f>'2'!G35</f>
        <v>2092.859999999986</v>
      </c>
      <c r="AQ5" s="19">
        <f>'2'!G37</f>
        <v>1678.2200000000012</v>
      </c>
      <c r="AR5" s="19">
        <f>'2'!G38</f>
        <v>2338.0799999999872</v>
      </c>
      <c r="AS5" s="19">
        <f>'2'!G39</f>
        <v>2842.8399999999674</v>
      </c>
      <c r="AT5" s="19">
        <f>'2'!G40</f>
        <v>826.48999999999069</v>
      </c>
      <c r="AU5" s="19">
        <f>'2'!G41</f>
        <v>5608.0499999999993</v>
      </c>
      <c r="AV5" s="19">
        <f>'2'!G42</f>
        <v>3745.710000000021</v>
      </c>
      <c r="AW5" s="19">
        <f>'2'!G43</f>
        <v>3687.2399999999907</v>
      </c>
      <c r="AX5" s="19">
        <f>'2'!G44</f>
        <v>0</v>
      </c>
      <c r="AY5" s="56">
        <f>'2'!G36</f>
        <v>816.61999999999534</v>
      </c>
      <c r="AZ5" s="55">
        <f>'2'!G49</f>
        <v>1835.1199999999953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475.87999999999738</v>
      </c>
      <c r="BE5" s="19">
        <f>'2'!G55</f>
        <v>0</v>
      </c>
      <c r="BF5" s="19">
        <f>'2'!G56</f>
        <v>0</v>
      </c>
      <c r="BG5" s="19">
        <f>'2'!G57</f>
        <v>0</v>
      </c>
      <c r="BH5" s="56">
        <f>'2'!G50</f>
        <v>1115.6999999999825</v>
      </c>
      <c r="BI5" s="60">
        <f t="shared" ref="BI5:BI32" si="12">SUM(AU5,AV5,BE5,BF5)</f>
        <v>9353.7600000000202</v>
      </c>
      <c r="BJ5" s="60">
        <f>'2'!G133</f>
        <v>864.64000000001397</v>
      </c>
      <c r="BK5" s="23">
        <f t="shared" ref="BK5:BK33" si="13">SUM(AP5,AU5,AV5,AW5,AZ5,BE5,BF5,BG5)/H5%</f>
        <v>60.567851493121211</v>
      </c>
      <c r="BL5" s="23">
        <f t="shared" ref="BL5:BL33" si="14">SUM(AS5,BC5)/H5%</f>
        <v>10.147027749381683</v>
      </c>
      <c r="BM5" s="24">
        <f t="shared" ref="BM5:BM33" si="15">(AR5+BB5)/H5</f>
        <v>8.3453738656675949E-2</v>
      </c>
      <c r="BN5" s="25">
        <f t="shared" ref="BN5:BN33" si="16">J5+N5+Q5+U5</f>
        <v>338297.05200000561</v>
      </c>
      <c r="BO5" s="38">
        <f t="shared" ref="BO5:BO35" si="17">SUM(AU5,AV5,AW5,BE5,BF5,BG5,BJ5)</f>
        <v>13905.640000000025</v>
      </c>
      <c r="BP5">
        <f t="shared" ref="BP5:BP35" si="18">BO5/(AD5*280)</f>
        <v>1.2271559179638494</v>
      </c>
    </row>
    <row r="6" spans="1:69">
      <c r="A6" s="16">
        <v>3</v>
      </c>
      <c r="B6" s="26">
        <v>3</v>
      </c>
      <c r="C6" s="26"/>
      <c r="D6" s="19" t="str">
        <f>'3'!D3</f>
        <v xml:space="preserve">  `1</v>
      </c>
      <c r="E6" s="50">
        <f>'3'!D4</f>
        <v>0.9</v>
      </c>
      <c r="F6" s="50">
        <f>'3'!D2</f>
        <v>0.8</v>
      </c>
      <c r="G6" s="19">
        <f>'3'!G7</f>
        <v>27525.279999999912</v>
      </c>
      <c r="H6" s="19">
        <f>'3'!G8</f>
        <v>27972</v>
      </c>
      <c r="I6" s="19">
        <v>9</v>
      </c>
      <c r="J6" s="49">
        <f t="shared" si="3"/>
        <v>251748</v>
      </c>
      <c r="K6" s="45">
        <f t="shared" si="4"/>
        <v>138.47524752475246</v>
      </c>
      <c r="L6" s="19">
        <f>'3'!G15</f>
        <v>1104.2899999998044</v>
      </c>
      <c r="M6" s="19">
        <v>56.2</v>
      </c>
      <c r="N6" s="45">
        <f t="shared" si="5"/>
        <v>62061.097999989011</v>
      </c>
      <c r="O6" s="19">
        <f>'3'!G20</f>
        <v>273</v>
      </c>
      <c r="P6" s="19">
        <v>108</v>
      </c>
      <c r="Q6" s="46">
        <f t="shared" si="0"/>
        <v>29484</v>
      </c>
      <c r="R6" s="47">
        <f t="shared" si="1"/>
        <v>168.93564356435641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101</v>
      </c>
      <c r="W6" s="22">
        <f>'3'!G66</f>
        <v>20</v>
      </c>
      <c r="X6" s="22">
        <f>'3'!G67</f>
        <v>69</v>
      </c>
      <c r="Y6" s="22">
        <f>V6+W6+X6</f>
        <v>190</v>
      </c>
      <c r="Z6" s="19">
        <f>'3'!G84</f>
        <v>23.779999999998836</v>
      </c>
      <c r="AA6" s="19">
        <f>'3'!G85</f>
        <v>16.220000000000255</v>
      </c>
      <c r="AB6" s="19">
        <f>'3'!G86</f>
        <v>0</v>
      </c>
      <c r="AC6" s="19">
        <f>'3'!G87</f>
        <v>0</v>
      </c>
      <c r="AD6" s="19">
        <f t="shared" si="8"/>
        <v>39.999999999999091</v>
      </c>
      <c r="AE6" s="23">
        <f t="shared" si="2"/>
        <v>9444.609999999986</v>
      </c>
      <c r="AF6" s="23">
        <f t="shared" si="9"/>
        <v>236.11525000000501</v>
      </c>
      <c r="AG6" s="19">
        <f>'3'!G88</f>
        <v>4.0300000000024738</v>
      </c>
      <c r="AH6" s="19">
        <f>'3'!G89</f>
        <v>9.2999999999992724</v>
      </c>
      <c r="AI6" s="19">
        <f>'3'!G90</f>
        <v>5.3700000000098953</v>
      </c>
      <c r="AJ6" s="19">
        <f t="shared" si="10"/>
        <v>18.700000000011642</v>
      </c>
      <c r="AK6" s="19">
        <f>'3'!G91</f>
        <v>11.099999999999909</v>
      </c>
      <c r="AL6" s="19">
        <f>'3'!G92</f>
        <v>0</v>
      </c>
      <c r="AM6" s="19"/>
      <c r="AN6" s="19">
        <f t="shared" si="11"/>
        <v>11.099999999999909</v>
      </c>
      <c r="AO6" s="52">
        <f>'3'!G74</f>
        <v>302.25</v>
      </c>
      <c r="AP6" s="55">
        <f>'3'!G35</f>
        <v>2045.1700000000128</v>
      </c>
      <c r="AQ6" s="19">
        <f>'3'!G37</f>
        <v>1686.5799999999872</v>
      </c>
      <c r="AR6" s="19">
        <f>'3'!G38</f>
        <v>2350.0400000000081</v>
      </c>
      <c r="AS6" s="19">
        <f>'3'!G39</f>
        <v>2822.7600000000093</v>
      </c>
      <c r="AT6" s="19">
        <f>'3'!G40</f>
        <v>795.77000000000407</v>
      </c>
      <c r="AU6" s="19">
        <f>'3'!G41</f>
        <v>5500.6900000000023</v>
      </c>
      <c r="AV6" s="19">
        <f>'3'!G42</f>
        <v>3943.9199999999837</v>
      </c>
      <c r="AW6" s="19">
        <f>'3'!G43</f>
        <v>3246.4000000000233</v>
      </c>
      <c r="AX6" s="19">
        <f>'3'!G44</f>
        <v>0</v>
      </c>
      <c r="AY6" s="56">
        <f>'3'!G36</f>
        <v>1105.8099999999977</v>
      </c>
      <c r="AZ6" s="55">
        <f>'3'!G49</f>
        <v>1793.1800000000221</v>
      </c>
      <c r="BA6" s="19">
        <f>'3'!G51</f>
        <v>0</v>
      </c>
      <c r="BB6" s="19">
        <f>'3'!G52</f>
        <v>-9.9999999999997868E-3</v>
      </c>
      <c r="BC6" s="19">
        <f>'3'!G53</f>
        <v>0</v>
      </c>
      <c r="BD6" s="19">
        <f>'3'!G54</f>
        <v>473.33000000000175</v>
      </c>
      <c r="BE6" s="19">
        <f>'3'!G55</f>
        <v>0</v>
      </c>
      <c r="BF6" s="19">
        <f>'3'!G56</f>
        <v>0</v>
      </c>
      <c r="BG6" s="19">
        <f>'3'!G57</f>
        <v>0</v>
      </c>
      <c r="BH6" s="56">
        <f>'3'!G50</f>
        <v>1200.960000000021</v>
      </c>
      <c r="BI6" s="60">
        <f t="shared" si="12"/>
        <v>9444.609999999986</v>
      </c>
      <c r="BJ6" s="60">
        <f>'3'!G133</f>
        <v>854.26999999998952</v>
      </c>
      <c r="BK6" s="23">
        <f t="shared" si="13"/>
        <v>59.092521092521245</v>
      </c>
      <c r="BL6" s="23">
        <f t="shared" si="14"/>
        <v>10.091377091377124</v>
      </c>
      <c r="BM6" s="24">
        <f t="shared" si="15"/>
        <v>8.4013656513656804E-2</v>
      </c>
      <c r="BN6" s="25">
        <f t="shared" si="16"/>
        <v>343293.097999989</v>
      </c>
      <c r="BO6" s="38">
        <f t="shared" si="17"/>
        <v>13545.279999999999</v>
      </c>
      <c r="BP6">
        <f t="shared" si="18"/>
        <v>1.2094000000000273</v>
      </c>
    </row>
    <row r="7" spans="1:69">
      <c r="A7" s="16">
        <v>4</v>
      </c>
      <c r="B7" s="27">
        <v>4</v>
      </c>
      <c r="C7" s="27"/>
      <c r="D7" s="19">
        <f>'4'!D3</f>
        <v>29</v>
      </c>
      <c r="E7" s="50">
        <f>'4'!D4</f>
        <v>0.9</v>
      </c>
      <c r="F7" s="50">
        <f>'4'!D2</f>
        <v>1</v>
      </c>
      <c r="G7" s="19">
        <f>'4'!G7</f>
        <v>26058</v>
      </c>
      <c r="H7" s="19">
        <f>'4'!G8</f>
        <v>26434.260000000002</v>
      </c>
      <c r="I7" s="19">
        <v>9</v>
      </c>
      <c r="J7" s="49">
        <f t="shared" si="3"/>
        <v>237908.34000000003</v>
      </c>
      <c r="K7" s="45">
        <f t="shared" si="4"/>
        <v>130.86267326732676</v>
      </c>
      <c r="L7" s="19">
        <f>'4'!G15</f>
        <v>1058.3100000000559</v>
      </c>
      <c r="M7" s="19">
        <v>56.2</v>
      </c>
      <c r="N7" s="45">
        <f t="shared" si="5"/>
        <v>59477.02200000314</v>
      </c>
      <c r="O7" s="19">
        <f>'4'!G20</f>
        <v>254</v>
      </c>
      <c r="P7" s="19">
        <v>108</v>
      </c>
      <c r="Q7" s="46">
        <f t="shared" si="0"/>
        <v>27432</v>
      </c>
      <c r="R7" s="47">
        <f t="shared" si="1"/>
        <v>125.74257425742574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94</v>
      </c>
      <c r="W7" s="22">
        <f>'4'!G66</f>
        <v>16</v>
      </c>
      <c r="X7" s="22">
        <f>'4'!G67</f>
        <v>75</v>
      </c>
      <c r="Y7" s="22">
        <f t="shared" si="7"/>
        <v>185</v>
      </c>
      <c r="Z7" s="19">
        <f>'4'!G84</f>
        <v>24.029999999998836</v>
      </c>
      <c r="AA7" s="19">
        <f>'4'!G85</f>
        <v>14.789999999999964</v>
      </c>
      <c r="AB7" s="19">
        <f>'4'!G86</f>
        <v>0</v>
      </c>
      <c r="AC7" s="19">
        <f>'4'!G87</f>
        <v>0</v>
      </c>
      <c r="AD7" s="19">
        <f t="shared" si="8"/>
        <v>38.819999999998799</v>
      </c>
      <c r="AE7" s="23">
        <f t="shared" si="2"/>
        <v>8846.0199999999968</v>
      </c>
      <c r="AF7" s="23">
        <f t="shared" si="9"/>
        <v>227.87274600721975</v>
      </c>
      <c r="AG7" s="19">
        <f>'4'!G88</f>
        <v>0</v>
      </c>
      <c r="AH7" s="19">
        <f>'4'!G89</f>
        <v>9.430000000000291</v>
      </c>
      <c r="AI7" s="19">
        <f>'4'!G90</f>
        <v>9.9399999999877764</v>
      </c>
      <c r="AJ7" s="19">
        <f t="shared" si="10"/>
        <v>19.369999999988067</v>
      </c>
      <c r="AK7" s="19">
        <f>'4'!G91</f>
        <v>10.289999999999964</v>
      </c>
      <c r="AL7" s="19">
        <f>'4'!G92</f>
        <v>0</v>
      </c>
      <c r="AM7" s="19"/>
      <c r="AN7" s="19">
        <f t="shared" si="11"/>
        <v>10.289999999999964</v>
      </c>
      <c r="AO7" s="52">
        <f>'4'!G74</f>
        <v>280.46999999997206</v>
      </c>
      <c r="AP7" s="55">
        <f>'4'!G35</f>
        <v>2132.8299999999872</v>
      </c>
      <c r="AQ7" s="19">
        <f>'4'!G37</f>
        <v>1623.0400000000081</v>
      </c>
      <c r="AR7" s="19">
        <f>'4'!G38</f>
        <v>2401.0799999999872</v>
      </c>
      <c r="AS7" s="19">
        <f>'4'!G39</f>
        <v>2892.679999999993</v>
      </c>
      <c r="AT7" s="19">
        <f>'4'!G40</f>
        <v>768.69999999999709</v>
      </c>
      <c r="AU7" s="19">
        <f>'4'!G41</f>
        <v>5544.9000000000015</v>
      </c>
      <c r="AV7" s="19">
        <f>'4'!G42</f>
        <v>3301.1199999999953</v>
      </c>
      <c r="AW7" s="19">
        <f>'4'!G43</f>
        <v>2503.320000000007</v>
      </c>
      <c r="AX7" s="19">
        <f>'4'!G44</f>
        <v>0</v>
      </c>
      <c r="AY7" s="56">
        <f>'4'!G36</f>
        <v>904.52999999999884</v>
      </c>
      <c r="AZ7" s="55">
        <f>'4'!G49</f>
        <v>1856.6999999999825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476.76000000000204</v>
      </c>
      <c r="BE7" s="19">
        <f>'4'!G55</f>
        <v>0</v>
      </c>
      <c r="BF7" s="19">
        <f>'4'!G56</f>
        <v>0</v>
      </c>
      <c r="BG7" s="19">
        <f>'4'!G57</f>
        <v>0</v>
      </c>
      <c r="BH7" s="56">
        <f>'4'!G50</f>
        <v>1095.1600000000035</v>
      </c>
      <c r="BI7" s="60">
        <f t="shared" si="12"/>
        <v>8846.0199999999968</v>
      </c>
      <c r="BJ7" s="60">
        <f>'3'!G133</f>
        <v>854.26999999998952</v>
      </c>
      <c r="BK7" s="23">
        <f t="shared" si="13"/>
        <v>58.026477760300359</v>
      </c>
      <c r="BL7" s="23">
        <f t="shared" si="14"/>
        <v>10.942920286022733</v>
      </c>
      <c r="BM7" s="24">
        <f t="shared" si="15"/>
        <v>9.0832124674569553E-2</v>
      </c>
      <c r="BN7" s="25">
        <f t="shared" si="16"/>
        <v>324817.36200000317</v>
      </c>
      <c r="BO7" s="38">
        <f t="shared" si="17"/>
        <v>12203.609999999993</v>
      </c>
      <c r="BP7">
        <f t="shared" si="18"/>
        <v>1.1227285272687468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26718.160000000033</v>
      </c>
      <c r="H8" s="19">
        <f>'5'!G8</f>
        <v>27257.829999999998</v>
      </c>
      <c r="I8" s="19">
        <v>9</v>
      </c>
      <c r="J8" s="49">
        <f t="shared" si="3"/>
        <v>245320.46999999997</v>
      </c>
      <c r="K8" s="45">
        <f t="shared" si="4"/>
        <v>134.9397524752475</v>
      </c>
      <c r="L8" s="19">
        <f>'5'!G15</f>
        <v>1073.9499999999534</v>
      </c>
      <c r="M8" s="19">
        <v>56.2</v>
      </c>
      <c r="N8" s="45">
        <f t="shared" si="5"/>
        <v>60355.989999997386</v>
      </c>
      <c r="O8" s="19">
        <f>'5'!G20</f>
        <v>274</v>
      </c>
      <c r="P8" s="19">
        <v>108</v>
      </c>
      <c r="Q8" s="46">
        <f t="shared" si="0"/>
        <v>29592</v>
      </c>
      <c r="R8" s="47">
        <f t="shared" si="1"/>
        <v>202.45308112900844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106</v>
      </c>
      <c r="W8" s="22">
        <f>'5'!G66</f>
        <v>18</v>
      </c>
      <c r="X8" s="22">
        <f>'5'!G67</f>
        <v>76</v>
      </c>
      <c r="Y8" s="22">
        <f t="shared" si="7"/>
        <v>200</v>
      </c>
      <c r="Z8" s="19">
        <f>'5'!G84</f>
        <v>24</v>
      </c>
      <c r="AA8" s="19">
        <f>'5'!G85</f>
        <v>0</v>
      </c>
      <c r="AB8" s="19">
        <f>'5'!G86</f>
        <v>16.269999999996799</v>
      </c>
      <c r="AC8" s="19">
        <f>'5'!G87</f>
        <v>0</v>
      </c>
      <c r="AD8" s="19">
        <f t="shared" si="8"/>
        <v>40.269999999996799</v>
      </c>
      <c r="AE8" s="23">
        <f t="shared" si="2"/>
        <v>8015.7799999999988</v>
      </c>
      <c r="AF8" s="23">
        <f t="shared" si="9"/>
        <v>199.05090638193784</v>
      </c>
      <c r="AG8" s="19">
        <f>'5'!G88</f>
        <v>6.25</v>
      </c>
      <c r="AH8" s="19">
        <f>'5'!G89</f>
        <v>10.770000000000437</v>
      </c>
      <c r="AI8" s="19">
        <f>'5'!G90</f>
        <v>0</v>
      </c>
      <c r="AJ8" s="19">
        <f t="shared" si="10"/>
        <v>17.020000000000437</v>
      </c>
      <c r="AK8" s="19">
        <f>'5'!G91</f>
        <v>10.840000000000146</v>
      </c>
      <c r="AL8" s="19">
        <f>'5'!G92</f>
        <v>0</v>
      </c>
      <c r="AM8" s="19"/>
      <c r="AN8" s="19">
        <f t="shared" si="11"/>
        <v>10.840000000000146</v>
      </c>
      <c r="AO8" s="52">
        <f>'5'!G74</f>
        <v>294.60999999998603</v>
      </c>
      <c r="AP8" s="55">
        <f>'5'!G35</f>
        <v>2094.4000000000233</v>
      </c>
      <c r="AQ8" s="19">
        <f>'5'!G37</f>
        <v>1586.539999999979</v>
      </c>
      <c r="AR8" s="19">
        <f>'5'!G38</f>
        <v>2499.5800000000163</v>
      </c>
      <c r="AS8" s="19">
        <f>'5'!G39</f>
        <v>2924</v>
      </c>
      <c r="AT8" s="19">
        <f>'5'!G40</f>
        <v>625.38000000000466</v>
      </c>
      <c r="AU8" s="19">
        <f>'5'!G41</f>
        <v>5595.7799999999988</v>
      </c>
      <c r="AV8" s="19">
        <f>'5'!G42</f>
        <v>0</v>
      </c>
      <c r="AW8" s="19">
        <f>'5'!G43</f>
        <v>2594.8800000000047</v>
      </c>
      <c r="AX8" s="19">
        <f>'5'!G44</f>
        <v>0</v>
      </c>
      <c r="AY8" s="56">
        <f>'5'!G36</f>
        <v>980.10999999998603</v>
      </c>
      <c r="AZ8" s="55">
        <f>'5'!G49</f>
        <v>1901.3800000000047</v>
      </c>
      <c r="BA8" s="19">
        <f>'5'!G51</f>
        <v>0</v>
      </c>
      <c r="BB8" s="19">
        <f>'5'!G52</f>
        <v>9.9999999999997868E-3</v>
      </c>
      <c r="BC8" s="19">
        <f>'5'!G53</f>
        <v>0</v>
      </c>
      <c r="BD8" s="19">
        <f>'5'!G54</f>
        <v>469.68999999999505</v>
      </c>
      <c r="BE8" s="19">
        <f>'5'!G55</f>
        <v>2420</v>
      </c>
      <c r="BF8" s="19">
        <f>'5'!G56</f>
        <v>0</v>
      </c>
      <c r="BG8" s="19">
        <f>'5'!G57</f>
        <v>0</v>
      </c>
      <c r="BH8" s="56">
        <f>'5'!G50</f>
        <v>1110.1399999999849</v>
      </c>
      <c r="BI8" s="60">
        <f t="shared" si="12"/>
        <v>8015.7799999999988</v>
      </c>
      <c r="BJ8" s="60">
        <f>'5'!G133</f>
        <v>911.47999999998137</v>
      </c>
      <c r="BK8" s="23">
        <f t="shared" si="13"/>
        <v>53.586217244733106</v>
      </c>
      <c r="BL8" s="23">
        <f t="shared" si="14"/>
        <v>10.727192883659486</v>
      </c>
      <c r="BM8" s="24">
        <f t="shared" si="15"/>
        <v>9.1701723871636762E-2</v>
      </c>
      <c r="BN8" s="25">
        <f t="shared" si="16"/>
        <v>335268.45999999734</v>
      </c>
      <c r="BO8" s="38">
        <f t="shared" si="17"/>
        <v>11522.139999999985</v>
      </c>
      <c r="BP8">
        <f t="shared" si="18"/>
        <v>1.0218649118451257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26736.959999999963</v>
      </c>
      <c r="H9" s="19">
        <f>'6'!G8</f>
        <v>27308.960000000006</v>
      </c>
      <c r="I9" s="19">
        <v>9</v>
      </c>
      <c r="J9" s="49">
        <f t="shared" si="3"/>
        <v>245780.64000000007</v>
      </c>
      <c r="K9" s="45">
        <f t="shared" si="4"/>
        <v>135.19287128712875</v>
      </c>
      <c r="L9" s="19">
        <f>'6'!G15</f>
        <v>1193.4600000001956</v>
      </c>
      <c r="M9" s="19">
        <v>56.2</v>
      </c>
      <c r="N9" s="45">
        <f t="shared" si="5"/>
        <v>67072.452000010991</v>
      </c>
      <c r="O9" s="19">
        <f>'6'!G20</f>
        <v>285</v>
      </c>
      <c r="P9" s="19">
        <v>108</v>
      </c>
      <c r="Q9" s="46">
        <f t="shared" si="0"/>
        <v>30780</v>
      </c>
      <c r="R9" s="47">
        <f t="shared" si="1"/>
        <v>243.25708432912256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114</v>
      </c>
      <c r="W9" s="22">
        <f>'6'!G66</f>
        <v>24</v>
      </c>
      <c r="X9" s="22">
        <f>'6'!G67</f>
        <v>72</v>
      </c>
      <c r="Y9" s="22">
        <f t="shared" si="7"/>
        <v>210</v>
      </c>
      <c r="Z9" s="19">
        <f>'6'!G84</f>
        <v>24.010000000002037</v>
      </c>
      <c r="AA9" s="19">
        <f>'6'!G85</f>
        <v>0</v>
      </c>
      <c r="AB9" s="19">
        <f>'6'!G86</f>
        <v>16.959999999999127</v>
      </c>
      <c r="AC9" s="19">
        <f>'6'!G87</f>
        <v>0</v>
      </c>
      <c r="AD9" s="19">
        <f t="shared" si="8"/>
        <v>40.970000000001164</v>
      </c>
      <c r="AE9" s="23">
        <f t="shared" si="2"/>
        <v>7938.730000000025</v>
      </c>
      <c r="AF9" s="23">
        <f t="shared" si="9"/>
        <v>193.76934342201122</v>
      </c>
      <c r="AG9" s="19">
        <f>'6'!G88</f>
        <v>8.069999999999709</v>
      </c>
      <c r="AH9" s="19">
        <f>'6'!G89</f>
        <v>10.889999999999418</v>
      </c>
      <c r="AI9" s="19">
        <f>'6'!G90</f>
        <v>1.0000000009313226E-2</v>
      </c>
      <c r="AJ9" s="19">
        <f t="shared" si="10"/>
        <v>18.97000000000844</v>
      </c>
      <c r="AK9" s="19">
        <f>'6'!G91</f>
        <v>7.0999999999994543</v>
      </c>
      <c r="AL9" s="19">
        <f>'6'!G92</f>
        <v>3.4700000000002547</v>
      </c>
      <c r="AM9" s="19"/>
      <c r="AN9" s="19">
        <f t="shared" si="11"/>
        <v>10.569999999999709</v>
      </c>
      <c r="AO9" s="52">
        <f>'6'!G74</f>
        <v>293.18000000005122</v>
      </c>
      <c r="AP9" s="55">
        <f>'6'!G35</f>
        <v>2128.0599999999977</v>
      </c>
      <c r="AQ9" s="19">
        <f>'6'!G37</f>
        <v>1557.2799999999988</v>
      </c>
      <c r="AR9" s="19">
        <f>'6'!G38</f>
        <v>2445.359999999986</v>
      </c>
      <c r="AS9" s="19">
        <f>'6'!G39</f>
        <v>2947.0800000000163</v>
      </c>
      <c r="AT9" s="19">
        <f>'6'!G40</f>
        <v>398.38999999999942</v>
      </c>
      <c r="AU9" s="19">
        <f>'6'!G41</f>
        <v>5468.8300000000017</v>
      </c>
      <c r="AV9" s="19">
        <f>'6'!G42</f>
        <v>52.440000000002328</v>
      </c>
      <c r="AW9" s="19">
        <f>'6'!G43</f>
        <v>2691.7999999999884</v>
      </c>
      <c r="AX9" s="19">
        <f>'6'!G44</f>
        <v>0</v>
      </c>
      <c r="AY9" s="56">
        <f>'6'!G36</f>
        <v>862.08999999999651</v>
      </c>
      <c r="AZ9" s="55">
        <f>'6'!G49</f>
        <v>2144.820000000007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469.92000000000553</v>
      </c>
      <c r="BE9" s="19">
        <f>'6'!G55</f>
        <v>2417.460000000021</v>
      </c>
      <c r="BF9" s="19">
        <f>'6'!G56</f>
        <v>0</v>
      </c>
      <c r="BG9" s="19">
        <f>'6'!G57</f>
        <v>0</v>
      </c>
      <c r="BH9" s="56">
        <f>'6'!G50</f>
        <v>1230.4400000000023</v>
      </c>
      <c r="BI9" s="60">
        <f t="shared" si="12"/>
        <v>7938.730000000025</v>
      </c>
      <c r="BJ9" s="60">
        <f>'6'!G133</f>
        <v>1116.6200000000244</v>
      </c>
      <c r="BK9" s="23">
        <f t="shared" si="13"/>
        <v>54.573334173106609</v>
      </c>
      <c r="BL9" s="23">
        <f t="shared" si="14"/>
        <v>10.791622969164756</v>
      </c>
      <c r="BM9" s="24">
        <f t="shared" si="15"/>
        <v>8.9544237495678539E-2</v>
      </c>
      <c r="BN9" s="25">
        <f t="shared" si="16"/>
        <v>343633.09200001106</v>
      </c>
      <c r="BO9" s="38">
        <f t="shared" si="17"/>
        <v>11747.150000000038</v>
      </c>
      <c r="BP9">
        <f t="shared" si="18"/>
        <v>1.0240201889884326</v>
      </c>
    </row>
    <row r="10" spans="1:69">
      <c r="A10" s="16">
        <v>7</v>
      </c>
      <c r="B10" s="26">
        <v>7</v>
      </c>
      <c r="C10" s="27"/>
      <c r="D10" s="19">
        <f>'7'!D3</f>
        <v>32</v>
      </c>
      <c r="E10" s="50">
        <f>'7'!D4</f>
        <v>0.7</v>
      </c>
      <c r="F10" s="50">
        <f>'7'!D2</f>
        <v>0.75</v>
      </c>
      <c r="G10" s="19">
        <f>'7'!G7</f>
        <v>28169.930000000051</v>
      </c>
      <c r="H10" s="19">
        <f>'7'!G8</f>
        <v>28747.119999999995</v>
      </c>
      <c r="I10" s="19">
        <v>9</v>
      </c>
      <c r="J10" s="49">
        <f t="shared" si="3"/>
        <v>258724.07999999996</v>
      </c>
      <c r="K10" s="45">
        <f t="shared" si="4"/>
        <v>142.31247524752473</v>
      </c>
      <c r="L10" s="19">
        <f>'7'!G15</f>
        <v>1134.1399999998976</v>
      </c>
      <c r="M10" s="19">
        <v>56.2</v>
      </c>
      <c r="N10" s="45">
        <f t="shared" si="5"/>
        <v>63738.667999994243</v>
      </c>
      <c r="O10" s="19">
        <f>'7'!G20</f>
        <v>306</v>
      </c>
      <c r="P10" s="19">
        <v>108</v>
      </c>
      <c r="Q10" s="46">
        <f t="shared" si="0"/>
        <v>33048</v>
      </c>
      <c r="R10" s="47">
        <f t="shared" si="1"/>
        <v>201.980198019802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105</v>
      </c>
      <c r="W10" s="22">
        <f>'7'!G66</f>
        <v>28</v>
      </c>
      <c r="X10" s="22">
        <f>'7'!G67</f>
        <v>78</v>
      </c>
      <c r="Y10" s="22">
        <f t="shared" si="7"/>
        <v>211</v>
      </c>
      <c r="Z10" s="19">
        <f>'7'!G84</f>
        <v>23.809999999997672</v>
      </c>
      <c r="AA10" s="19">
        <f>'7'!G85</f>
        <v>0</v>
      </c>
      <c r="AB10" s="19">
        <f>'7'!G86</f>
        <v>17.650000000001455</v>
      </c>
      <c r="AC10" s="19">
        <f>'7'!G87</f>
        <v>0</v>
      </c>
      <c r="AD10" s="19">
        <f t="shared" si="8"/>
        <v>41.459999999999127</v>
      </c>
      <c r="AE10" s="23">
        <f t="shared" si="2"/>
        <v>8551.6799999999785</v>
      </c>
      <c r="AF10" s="23">
        <f t="shared" si="9"/>
        <v>206.26338639653059</v>
      </c>
      <c r="AG10" s="19">
        <f>'7'!G88</f>
        <v>0</v>
      </c>
      <c r="AH10" s="19">
        <f>'7'!G89</f>
        <v>9.6599999999998545</v>
      </c>
      <c r="AI10" s="19">
        <f>'7'!G90</f>
        <v>10.729999999995925</v>
      </c>
      <c r="AJ10" s="19">
        <f t="shared" si="10"/>
        <v>20.38999999999578</v>
      </c>
      <c r="AK10" s="19">
        <f>'7'!G91</f>
        <v>0</v>
      </c>
      <c r="AL10" s="19">
        <f>'7'!G92</f>
        <v>11.880000000000109</v>
      </c>
      <c r="AM10" s="19"/>
      <c r="AN10" s="19">
        <f t="shared" si="11"/>
        <v>11.880000000000109</v>
      </c>
      <c r="AO10" s="52">
        <f>'7'!G74</f>
        <v>345.59999999997672</v>
      </c>
      <c r="AP10" s="55">
        <f>'7'!G35</f>
        <v>2062.7099999999919</v>
      </c>
      <c r="AQ10" s="19">
        <f>'7'!G37</f>
        <v>1615.390000000014</v>
      </c>
      <c r="AR10" s="19">
        <f>'7'!G38</f>
        <v>2452.3500000000058</v>
      </c>
      <c r="AS10" s="19">
        <f>'7'!G39</f>
        <v>2980.929999999993</v>
      </c>
      <c r="AT10" s="19">
        <f>'7'!G40</f>
        <v>206.25</v>
      </c>
      <c r="AU10" s="19">
        <f>'7'!G41</f>
        <v>5811.0599999999977</v>
      </c>
      <c r="AV10" s="19">
        <f>'7'!G42</f>
        <v>-0.19000000000232831</v>
      </c>
      <c r="AW10" s="19">
        <f>'7'!G43</f>
        <v>2791.3699999999953</v>
      </c>
      <c r="AX10" s="19">
        <f>'7'!G44</f>
        <v>0</v>
      </c>
      <c r="AY10" s="56">
        <f>'7'!G36</f>
        <v>1050.640000000014</v>
      </c>
      <c r="AZ10" s="55">
        <f>'7'!G49</f>
        <v>2036.1499999999942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468.58999999999651</v>
      </c>
      <c r="BE10" s="19">
        <f>'7'!G55</f>
        <v>2740.609999999986</v>
      </c>
      <c r="BF10" s="19">
        <f>'7'!G56</f>
        <v>0.19999999999708962</v>
      </c>
      <c r="BG10" s="19">
        <f>'7'!G57</f>
        <v>0</v>
      </c>
      <c r="BH10" s="56">
        <f>'7'!G50</f>
        <v>1480.1900000000023</v>
      </c>
      <c r="BI10" s="60">
        <f t="shared" si="12"/>
        <v>8551.6799999999785</v>
      </c>
      <c r="BJ10" s="60">
        <f>'7'!G133</f>
        <v>1044.8299999999872</v>
      </c>
      <c r="BK10" s="23">
        <f t="shared" si="13"/>
        <v>53.716372283553838</v>
      </c>
      <c r="BL10" s="23">
        <f t="shared" si="14"/>
        <v>10.369490926395386</v>
      </c>
      <c r="BM10" s="24">
        <f t="shared" si="15"/>
        <v>8.530767603850424E-2</v>
      </c>
      <c r="BN10" s="25">
        <f t="shared" si="16"/>
        <v>355510.7479999942</v>
      </c>
      <c r="BO10" s="38">
        <f t="shared" si="17"/>
        <v>12387.879999999961</v>
      </c>
      <c r="BP10">
        <f t="shared" si="18"/>
        <v>1.067111157053289</v>
      </c>
    </row>
    <row r="11" spans="1:69">
      <c r="A11" s="16">
        <v>8</v>
      </c>
      <c r="B11" s="26">
        <v>8</v>
      </c>
      <c r="C11" s="18"/>
      <c r="D11" s="19">
        <f>'8'!D3</f>
        <v>32</v>
      </c>
      <c r="E11" s="50">
        <f>'8'!D4</f>
        <v>0.7</v>
      </c>
      <c r="F11" s="50">
        <f>'8'!D2</f>
        <v>0.65</v>
      </c>
      <c r="G11" s="19">
        <f>'8'!G7</f>
        <v>27323</v>
      </c>
      <c r="H11" s="19">
        <f>'8'!G8</f>
        <v>27957</v>
      </c>
      <c r="I11" s="19">
        <v>9</v>
      </c>
      <c r="J11" s="49">
        <f t="shared" si="3"/>
        <v>251613</v>
      </c>
      <c r="K11" s="45">
        <f t="shared" si="4"/>
        <v>138.4009900990099</v>
      </c>
      <c r="L11" s="19">
        <f>'8'!G15</f>
        <v>1142</v>
      </c>
      <c r="M11" s="19">
        <v>56.2</v>
      </c>
      <c r="N11" s="45">
        <f t="shared" si="5"/>
        <v>64180.4</v>
      </c>
      <c r="O11" s="19">
        <f>'8'!G20</f>
        <v>408</v>
      </c>
      <c r="P11" s="19">
        <v>108</v>
      </c>
      <c r="Q11" s="46">
        <f t="shared" si="0"/>
        <v>44064</v>
      </c>
      <c r="R11" s="47">
        <f t="shared" si="1"/>
        <v>310.73876618431069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122</v>
      </c>
      <c r="W11" s="22">
        <f>'8'!G66</f>
        <v>30</v>
      </c>
      <c r="X11" s="22">
        <f>'8'!G67</f>
        <v>92</v>
      </c>
      <c r="Y11" s="22">
        <f t="shared" si="7"/>
        <v>244</v>
      </c>
      <c r="Z11" s="19">
        <f>'8'!G84</f>
        <v>14</v>
      </c>
      <c r="AA11" s="19">
        <f>'8'!G85</f>
        <v>9.8099999999999454</v>
      </c>
      <c r="AB11" s="19">
        <f>'8'!G86</f>
        <v>17</v>
      </c>
      <c r="AC11" s="19">
        <f>'8'!G87</f>
        <v>0</v>
      </c>
      <c r="AD11" s="19">
        <f t="shared" si="8"/>
        <v>40.809999999999945</v>
      </c>
      <c r="AE11" s="23">
        <f t="shared" si="2"/>
        <v>7883</v>
      </c>
      <c r="AF11" s="23">
        <f t="shared" si="9"/>
        <v>193.16344033325191</v>
      </c>
      <c r="AG11" s="19">
        <f>'8'!G88</f>
        <v>0.84999999999854481</v>
      </c>
      <c r="AH11" s="19">
        <f>'8'!G89</f>
        <v>9.8800000000010186</v>
      </c>
      <c r="AI11" s="19">
        <f>'8'!G90</f>
        <v>11.589999999996508</v>
      </c>
      <c r="AJ11" s="19">
        <f t="shared" si="10"/>
        <v>22.319999999996071</v>
      </c>
      <c r="AK11" s="19">
        <f>'8'!G91</f>
        <v>0</v>
      </c>
      <c r="AL11" s="19">
        <f>'8'!G92</f>
        <v>11.069999999999709</v>
      </c>
      <c r="AM11" s="19"/>
      <c r="AN11" s="19">
        <f t="shared" si="11"/>
        <v>11.069999999999709</v>
      </c>
      <c r="AO11" s="52">
        <f>'8'!G74</f>
        <v>322</v>
      </c>
      <c r="AP11" s="55">
        <f>'8'!G35</f>
        <v>2067</v>
      </c>
      <c r="AQ11" s="19">
        <f>'8'!G37</f>
        <v>1582</v>
      </c>
      <c r="AR11" s="19">
        <f>'8'!G38</f>
        <v>2503</v>
      </c>
      <c r="AS11" s="19">
        <f>'8'!G39</f>
        <v>2937</v>
      </c>
      <c r="AT11" s="19">
        <f>'8'!G40</f>
        <v>184</v>
      </c>
      <c r="AU11" s="19">
        <f>'8'!G41</f>
        <v>3389</v>
      </c>
      <c r="AV11" s="19">
        <f>'8'!G42</f>
        <v>2094</v>
      </c>
      <c r="AW11" s="19">
        <f>'8'!G43</f>
        <v>2856</v>
      </c>
      <c r="AX11" s="23">
        <f>'8'!G44</f>
        <v>0</v>
      </c>
      <c r="AY11" s="56">
        <f>'8'!G36</f>
        <v>1079</v>
      </c>
      <c r="AZ11" s="55">
        <f>'8'!G49</f>
        <v>2077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471</v>
      </c>
      <c r="BE11" s="19">
        <f>'8'!G55</f>
        <v>2400</v>
      </c>
      <c r="BF11" s="19">
        <f>'8'!G56</f>
        <v>0</v>
      </c>
      <c r="BG11" s="19">
        <f>'8'!G57</f>
        <v>0</v>
      </c>
      <c r="BH11" s="56">
        <f>'8'!G50</f>
        <v>1290</v>
      </c>
      <c r="BI11" s="60">
        <f t="shared" si="12"/>
        <v>7883</v>
      </c>
      <c r="BJ11" s="60">
        <f>'8'!G133</f>
        <v>1026</v>
      </c>
      <c r="BK11" s="23">
        <f t="shared" si="13"/>
        <v>53.235325678720891</v>
      </c>
      <c r="BL11" s="23">
        <f t="shared" si="14"/>
        <v>10.505419036377294</v>
      </c>
      <c r="BM11" s="24">
        <f t="shared" si="15"/>
        <v>8.9530350180634544E-2</v>
      </c>
      <c r="BN11" s="25">
        <f t="shared" si="16"/>
        <v>359857.4</v>
      </c>
      <c r="BO11" s="38">
        <f t="shared" si="17"/>
        <v>11765</v>
      </c>
      <c r="BP11">
        <f t="shared" si="18"/>
        <v>1.0295970875485714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26722</v>
      </c>
      <c r="H12" s="19">
        <f>'9'!G8</f>
        <v>27275</v>
      </c>
      <c r="I12" s="19">
        <v>9</v>
      </c>
      <c r="J12" s="49">
        <f t="shared" si="3"/>
        <v>245475</v>
      </c>
      <c r="K12" s="45">
        <f t="shared" si="4"/>
        <v>135.02475247524754</v>
      </c>
      <c r="L12" s="19">
        <f>'9'!G15</f>
        <v>1104</v>
      </c>
      <c r="M12" s="19">
        <v>56.2</v>
      </c>
      <c r="N12" s="45">
        <f t="shared" si="5"/>
        <v>62044.800000000003</v>
      </c>
      <c r="O12" s="19">
        <f>'9'!G20</f>
        <v>398</v>
      </c>
      <c r="P12" s="19">
        <v>108</v>
      </c>
      <c r="Q12" s="46">
        <f t="shared" si="0"/>
        <v>42984</v>
      </c>
      <c r="R12" s="47">
        <f t="shared" si="1"/>
        <v>303.1226199543031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105</v>
      </c>
      <c r="W12" s="22">
        <f>'9'!G66</f>
        <v>18</v>
      </c>
      <c r="X12" s="22">
        <f>'9'!G67</f>
        <v>80</v>
      </c>
      <c r="Y12" s="22">
        <f t="shared" si="7"/>
        <v>203</v>
      </c>
      <c r="Z12" s="19">
        <f>'9'!G84</f>
        <v>0</v>
      </c>
      <c r="AA12" s="19">
        <f>'9'!G85</f>
        <v>24</v>
      </c>
      <c r="AB12" s="19">
        <f>'9'!G86</f>
        <v>16</v>
      </c>
      <c r="AC12" s="19">
        <f>'9'!G87</f>
        <v>0</v>
      </c>
      <c r="AD12" s="19">
        <f t="shared" si="8"/>
        <v>40</v>
      </c>
      <c r="AE12" s="23">
        <f t="shared" si="2"/>
        <v>7880</v>
      </c>
      <c r="AF12" s="23">
        <f t="shared" si="9"/>
        <v>197</v>
      </c>
      <c r="AG12" s="19">
        <f>'9'!G88</f>
        <v>0</v>
      </c>
      <c r="AH12" s="19">
        <f>'9'!G89</f>
        <v>9.8299999999981083</v>
      </c>
      <c r="AI12" s="19">
        <f>'9'!G90</f>
        <v>11.080000000001746</v>
      </c>
      <c r="AJ12" s="19">
        <f t="shared" si="10"/>
        <v>20.909999999999854</v>
      </c>
      <c r="AK12" s="19">
        <f>'9'!G91</f>
        <v>0</v>
      </c>
      <c r="AL12" s="19">
        <f>'9'!G92</f>
        <v>11.210000000000036</v>
      </c>
      <c r="AM12" s="19"/>
      <c r="AN12" s="19">
        <f t="shared" si="11"/>
        <v>11.210000000000036</v>
      </c>
      <c r="AO12" s="52">
        <f>'9'!G74</f>
        <v>323</v>
      </c>
      <c r="AP12" s="55">
        <f>'9'!G35</f>
        <v>1968</v>
      </c>
      <c r="AQ12" s="19">
        <f>'9'!G37</f>
        <v>1657</v>
      </c>
      <c r="AR12" s="19">
        <f>'9'!G38</f>
        <v>2411</v>
      </c>
      <c r="AS12" s="19">
        <f>'9'!G39</f>
        <v>2883</v>
      </c>
      <c r="AT12" s="19">
        <f>'9'!G40</f>
        <v>201</v>
      </c>
      <c r="AU12" s="19">
        <f>'9'!G41</f>
        <v>0</v>
      </c>
      <c r="AV12" s="19">
        <f>'9'!G42</f>
        <v>5462</v>
      </c>
      <c r="AW12" s="19">
        <f>'9'!G43</f>
        <v>2856</v>
      </c>
      <c r="AX12" s="23">
        <f>'9'!G44</f>
        <v>0</v>
      </c>
      <c r="AY12" s="56">
        <f>'9'!G36</f>
        <v>1162</v>
      </c>
      <c r="AZ12" s="55">
        <f>'9'!G49</f>
        <v>2050</v>
      </c>
      <c r="BA12" s="19">
        <f>'9'!G51</f>
        <v>0.31999999999999318</v>
      </c>
      <c r="BB12" s="19">
        <f>'9'!G52</f>
        <v>0.24000000000000021</v>
      </c>
      <c r="BC12" s="19">
        <f>'9'!G53</f>
        <v>0</v>
      </c>
      <c r="BD12" s="19">
        <f>'9'!G54</f>
        <v>470</v>
      </c>
      <c r="BE12" s="19">
        <f>'9'!G55</f>
        <v>2418</v>
      </c>
      <c r="BF12" s="19">
        <f>'9'!G56</f>
        <v>0</v>
      </c>
      <c r="BG12" s="19">
        <f>'9'!G57</f>
        <v>0</v>
      </c>
      <c r="BH12" s="56">
        <f>'9'!G50</f>
        <v>1117</v>
      </c>
      <c r="BI12" s="60">
        <f t="shared" si="12"/>
        <v>7880</v>
      </c>
      <c r="BJ12" s="60">
        <f>'8'!G133</f>
        <v>1026</v>
      </c>
      <c r="BK12" s="23">
        <f t="shared" si="13"/>
        <v>54.093492208982582</v>
      </c>
      <c r="BL12" s="23">
        <f t="shared" si="14"/>
        <v>10.570119156736938</v>
      </c>
      <c r="BM12" s="24">
        <f t="shared" si="15"/>
        <v>8.8404766269477533E-2</v>
      </c>
      <c r="BN12" s="25">
        <f t="shared" si="16"/>
        <v>350503.8</v>
      </c>
      <c r="BO12" s="38">
        <f t="shared" si="17"/>
        <v>11762</v>
      </c>
      <c r="BP12">
        <f t="shared" si="18"/>
        <v>1.0501785714285714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26577.619999999995</v>
      </c>
      <c r="H13" s="19">
        <f>'10'!G8</f>
        <v>27145.899999999994</v>
      </c>
      <c r="I13" s="19">
        <v>9</v>
      </c>
      <c r="J13" s="49">
        <f t="shared" si="3"/>
        <v>244313.09999999995</v>
      </c>
      <c r="K13" s="45">
        <f t="shared" si="4"/>
        <v>134.3856435643564</v>
      </c>
      <c r="L13" s="19">
        <f>'10'!G15</f>
        <v>1064</v>
      </c>
      <c r="M13" s="19">
        <v>56.2</v>
      </c>
      <c r="N13" s="45">
        <f t="shared" si="5"/>
        <v>59796.800000000003</v>
      </c>
      <c r="O13" s="19">
        <f>'10'!G20</f>
        <v>81</v>
      </c>
      <c r="P13" s="19">
        <v>108</v>
      </c>
      <c r="Q13" s="46">
        <f t="shared" si="0"/>
        <v>8748</v>
      </c>
      <c r="R13" s="47">
        <f t="shared" si="1"/>
        <v>44.064846045044071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136</v>
      </c>
      <c r="W13" s="22">
        <f>'10'!G66</f>
        <v>18</v>
      </c>
      <c r="X13" s="22">
        <f>'10'!G67</f>
        <v>78</v>
      </c>
      <c r="Y13" s="22">
        <f t="shared" si="7"/>
        <v>232</v>
      </c>
      <c r="Z13" s="19">
        <f>'10'!G84</f>
        <v>0</v>
      </c>
      <c r="AA13" s="19">
        <f>'10'!G85</f>
        <v>23.400000000000091</v>
      </c>
      <c r="AB13" s="19">
        <f>'10'!G86</f>
        <v>17</v>
      </c>
      <c r="AC13" s="19">
        <f>'10'!G87</f>
        <v>0</v>
      </c>
      <c r="AD13" s="19">
        <f t="shared" si="8"/>
        <v>40.400000000000091</v>
      </c>
      <c r="AE13" s="23">
        <f t="shared" si="2"/>
        <v>7288.4600000000355</v>
      </c>
      <c r="AF13" s="23">
        <f t="shared" si="9"/>
        <v>180.40742574257473</v>
      </c>
      <c r="AG13" s="19">
        <f>'10'!G88</f>
        <v>0.2000000000007276</v>
      </c>
      <c r="AH13" s="19">
        <f>'10'!G89</f>
        <v>9.25</v>
      </c>
      <c r="AI13" s="19">
        <f>'10'!G90</f>
        <v>8.0200000000040745</v>
      </c>
      <c r="AJ13" s="19">
        <f t="shared" si="10"/>
        <v>17.470000000004802</v>
      </c>
      <c r="AK13" s="19">
        <f>'10'!G91</f>
        <v>0</v>
      </c>
      <c r="AL13" s="19">
        <f>'10'!G92</f>
        <v>11.140000000000327</v>
      </c>
      <c r="AM13" s="19"/>
      <c r="AN13" s="19">
        <f t="shared" si="11"/>
        <v>11.140000000000327</v>
      </c>
      <c r="AO13" s="52">
        <f>'10'!G74</f>
        <v>323.7489999999525</v>
      </c>
      <c r="AP13" s="55">
        <f>'10'!G35</f>
        <v>2112.390000000014</v>
      </c>
      <c r="AQ13" s="19">
        <f>'10'!G37</f>
        <v>1683</v>
      </c>
      <c r="AR13" s="19">
        <f>'10'!G38</f>
        <v>2214.9500000000116</v>
      </c>
      <c r="AS13" s="19">
        <f>'10'!G39</f>
        <v>2899.1900000000023</v>
      </c>
      <c r="AT13" s="19">
        <f>'10'!G40</f>
        <v>230.94000000000233</v>
      </c>
      <c r="AU13" s="19">
        <f>'10'!G41</f>
        <v>0.10000000000582077</v>
      </c>
      <c r="AV13" s="19">
        <f>'10'!G42</f>
        <v>4804.710000000021</v>
      </c>
      <c r="AW13" s="19">
        <f>'10'!G43</f>
        <v>2909.0300000000279</v>
      </c>
      <c r="AX13" s="23">
        <f>'10'!G44</f>
        <v>0</v>
      </c>
      <c r="AY13" s="56">
        <f>'10'!G36</f>
        <v>927.77999999999884</v>
      </c>
      <c r="AZ13" s="55">
        <f>'10'!G49</f>
        <v>2110.8099999999977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472</v>
      </c>
      <c r="BE13" s="19">
        <f>'10'!G55</f>
        <v>2483.8500000000058</v>
      </c>
      <c r="BF13" s="19">
        <f>'10'!G56</f>
        <v>-0.19999999999708962</v>
      </c>
      <c r="BG13" s="19">
        <f>'10'!G57</f>
        <v>0</v>
      </c>
      <c r="BH13" s="56">
        <f>'10'!G50</f>
        <v>1086.7000000000116</v>
      </c>
      <c r="BI13" s="60">
        <f t="shared" si="12"/>
        <v>7288.4600000000355</v>
      </c>
      <c r="BJ13" s="60">
        <f>'8'!G133</f>
        <v>1026</v>
      </c>
      <c r="BK13" s="23">
        <f t="shared" si="13"/>
        <v>53.122902537768418</v>
      </c>
      <c r="BL13" s="23">
        <f t="shared" si="14"/>
        <v>10.68002902832473</v>
      </c>
      <c r="BM13" s="24">
        <f t="shared" si="15"/>
        <v>8.1594273905083725E-2</v>
      </c>
      <c r="BN13" s="25">
        <f t="shared" si="16"/>
        <v>312857.89999999997</v>
      </c>
      <c r="BO13" s="38">
        <f t="shared" si="17"/>
        <v>11223.490000000063</v>
      </c>
      <c r="BP13">
        <f t="shared" si="18"/>
        <v>0.99217556577086619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26322.380000000005</v>
      </c>
      <c r="H14" s="19">
        <f>'11'!G8</f>
        <v>27110.100000000006</v>
      </c>
      <c r="I14" s="19">
        <v>9</v>
      </c>
      <c r="J14" s="49">
        <f t="shared" si="3"/>
        <v>243990.90000000005</v>
      </c>
      <c r="K14" s="45">
        <f t="shared" si="4"/>
        <v>134.20841584158418</v>
      </c>
      <c r="L14" s="19">
        <f>'11'!G15</f>
        <v>926.10000000009313</v>
      </c>
      <c r="M14" s="19">
        <v>56.2</v>
      </c>
      <c r="N14" s="45">
        <f t="shared" si="5"/>
        <v>52046.820000005238</v>
      </c>
      <c r="O14" s="19">
        <f>'11'!G20</f>
        <v>54</v>
      </c>
      <c r="P14" s="19">
        <v>108</v>
      </c>
      <c r="Q14" s="46">
        <f t="shared" si="0"/>
        <v>5832</v>
      </c>
      <c r="R14" s="47">
        <f t="shared" si="1"/>
        <v>37.128712871287128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82</v>
      </c>
      <c r="W14" s="22">
        <f>'11'!G66</f>
        <v>22</v>
      </c>
      <c r="X14" s="22">
        <f>'11'!G67</f>
        <v>79</v>
      </c>
      <c r="Y14" s="22">
        <f t="shared" si="7"/>
        <v>183</v>
      </c>
      <c r="Z14" s="19">
        <f>'11'!G84</f>
        <v>0</v>
      </c>
      <c r="AA14" s="19">
        <f>'11'!G85</f>
        <v>14</v>
      </c>
      <c r="AB14" s="19">
        <f>'11'!G86</f>
        <v>24</v>
      </c>
      <c r="AC14" s="19">
        <f>'11'!G87</f>
        <v>0</v>
      </c>
      <c r="AD14" s="19">
        <f t="shared" si="8"/>
        <v>38</v>
      </c>
      <c r="AE14" s="23">
        <f t="shared" si="2"/>
        <v>7732.4799999999523</v>
      </c>
      <c r="AF14" s="23">
        <f t="shared" si="9"/>
        <v>203.48631578947243</v>
      </c>
      <c r="AG14" s="19">
        <f>'11'!G88</f>
        <v>-0.2000000000007276</v>
      </c>
      <c r="AH14" s="19">
        <f>'11'!G89</f>
        <v>6.180000000000291</v>
      </c>
      <c r="AI14" s="19">
        <f>'11'!G90</f>
        <v>5.4100000000034925</v>
      </c>
      <c r="AJ14" s="19">
        <f t="shared" si="10"/>
        <v>11.390000000003056</v>
      </c>
      <c r="AK14" s="19">
        <f>'11'!G91</f>
        <v>0</v>
      </c>
      <c r="AL14" s="19">
        <f>'11'!G92</f>
        <v>11.199999999999818</v>
      </c>
      <c r="AM14" s="19"/>
      <c r="AN14" s="19">
        <f t="shared" si="11"/>
        <v>11.199999999999818</v>
      </c>
      <c r="AO14" s="52">
        <f>'11'!G74</f>
        <v>321.19099999999162</v>
      </c>
      <c r="AP14" s="55">
        <f>'11'!G35</f>
        <v>2035.5</v>
      </c>
      <c r="AQ14" s="19">
        <f>'11'!G37</f>
        <v>1648.570000000007</v>
      </c>
      <c r="AR14" s="19">
        <f>'11'!G38</f>
        <v>2018.5599999999977</v>
      </c>
      <c r="AS14" s="19">
        <f>'11'!G39</f>
        <v>2876.8099999999977</v>
      </c>
      <c r="AT14" s="19">
        <f>'11'!G40</f>
        <v>117.16999999999825</v>
      </c>
      <c r="AU14" s="19">
        <f>'11'!G41</f>
        <v>8.999999999650754E-2</v>
      </c>
      <c r="AV14" s="19">
        <f>'11'!G42</f>
        <v>3997.8399999999674</v>
      </c>
      <c r="AW14" s="19">
        <f>'11'!G43</f>
        <v>2632.9199999999837</v>
      </c>
      <c r="AX14" s="23">
        <f>'11'!G44</f>
        <v>0</v>
      </c>
      <c r="AY14" s="56">
        <f>'11'!G36</f>
        <v>994.38000000000466</v>
      </c>
      <c r="AZ14" s="55">
        <f>'11'!G49</f>
        <v>2053.140000000014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461.45999999999913</v>
      </c>
      <c r="BE14" s="19">
        <f>'11'!G55</f>
        <v>3734.5499999999884</v>
      </c>
      <c r="BF14" s="19">
        <f>'11'!G56</f>
        <v>0</v>
      </c>
      <c r="BG14" s="19">
        <f>'11'!G57</f>
        <v>0</v>
      </c>
      <c r="BH14" s="56">
        <f>'11'!G50</f>
        <v>1311.5</v>
      </c>
      <c r="BI14" s="60">
        <f t="shared" si="12"/>
        <v>7732.4799999999523</v>
      </c>
      <c r="BJ14" s="60">
        <f>'11'!G133</f>
        <v>994.25</v>
      </c>
      <c r="BK14" s="23">
        <f t="shared" si="13"/>
        <v>53.316070394428451</v>
      </c>
      <c r="BL14" s="23">
        <f t="shared" si="14"/>
        <v>10.611580185982335</v>
      </c>
      <c r="BM14" s="24">
        <f t="shared" si="15"/>
        <v>7.4457858879163008E-2</v>
      </c>
      <c r="BN14" s="25">
        <f t="shared" si="16"/>
        <v>301869.72000000527</v>
      </c>
      <c r="BO14" s="38">
        <f t="shared" si="17"/>
        <v>11359.649999999936</v>
      </c>
      <c r="BP14">
        <f t="shared" si="18"/>
        <v>1.0676362781954827</v>
      </c>
    </row>
    <row r="15" spans="1:69">
      <c r="A15" s="16">
        <v>12</v>
      </c>
      <c r="B15" s="26">
        <v>12</v>
      </c>
      <c r="C15" s="27"/>
      <c r="D15" s="19">
        <f>'12'!D3</f>
        <v>33</v>
      </c>
      <c r="E15" s="50">
        <f>'12'!D4</f>
        <v>0.81</v>
      </c>
      <c r="F15" s="50">
        <f>'12'!D2</f>
        <v>0.82</v>
      </c>
      <c r="G15" s="19">
        <f>'12'!G7</f>
        <v>28449</v>
      </c>
      <c r="H15" s="19">
        <f>'12'!G8</f>
        <v>29161.899999999994</v>
      </c>
      <c r="I15" s="19">
        <v>9</v>
      </c>
      <c r="J15" s="49">
        <f t="shared" si="3"/>
        <v>262457.09999999998</v>
      </c>
      <c r="K15" s="45">
        <f t="shared" si="4"/>
        <v>144.36584158415837</v>
      </c>
      <c r="L15" s="19">
        <f>'12'!G15</f>
        <v>1100</v>
      </c>
      <c r="M15" s="19">
        <v>56.2</v>
      </c>
      <c r="N15" s="41">
        <f t="shared" si="5"/>
        <v>61820</v>
      </c>
      <c r="O15" s="19">
        <f>'12'!G20</f>
        <v>55</v>
      </c>
      <c r="P15" s="19">
        <v>108</v>
      </c>
      <c r="Q15" s="46">
        <f t="shared" si="0"/>
        <v>5940</v>
      </c>
      <c r="R15" s="47">
        <f t="shared" si="1"/>
        <v>33.204539966191746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99</v>
      </c>
      <c r="W15" s="22">
        <f>'12'!G66</f>
        <v>27</v>
      </c>
      <c r="X15" s="22">
        <f>'12'!G67</f>
        <v>75</v>
      </c>
      <c r="Y15" s="22">
        <f t="shared" si="7"/>
        <v>201</v>
      </c>
      <c r="Z15" s="19">
        <f>'12'!G84</f>
        <v>0</v>
      </c>
      <c r="AA15" s="19">
        <f>'12'!G85</f>
        <v>17.799999999999727</v>
      </c>
      <c r="AB15" s="19">
        <f>'12'!G86</f>
        <v>24.400000000001455</v>
      </c>
      <c r="AC15" s="19">
        <f>'12'!G87</f>
        <v>-5.9999999997671694E-2</v>
      </c>
      <c r="AD15" s="19">
        <f t="shared" si="8"/>
        <v>42.140000000003511</v>
      </c>
      <c r="AE15" s="23">
        <f t="shared" si="2"/>
        <v>8008.2300000000105</v>
      </c>
      <c r="AF15" s="23">
        <f t="shared" si="9"/>
        <v>190.03868058849889</v>
      </c>
      <c r="AG15" s="19">
        <f>'12'!G88</f>
        <v>0</v>
      </c>
      <c r="AH15" s="19">
        <f>'12'!G89</f>
        <v>0</v>
      </c>
      <c r="AI15" s="19">
        <f>'12'!G90</f>
        <v>12.440000000002328</v>
      </c>
      <c r="AJ15" s="19">
        <f t="shared" si="10"/>
        <v>12.440000000002328</v>
      </c>
      <c r="AK15" s="19">
        <f>'12'!G91</f>
        <v>0</v>
      </c>
      <c r="AL15" s="19">
        <f>'12'!G92</f>
        <v>10.729999999999563</v>
      </c>
      <c r="AM15" s="19"/>
      <c r="AN15" s="19">
        <f t="shared" si="11"/>
        <v>10.729999999999563</v>
      </c>
      <c r="AO15" s="52">
        <f>'12'!G74</f>
        <v>311.06000000005588</v>
      </c>
      <c r="AP15" s="55">
        <f>'12'!G35</f>
        <v>2259.7099999999919</v>
      </c>
      <c r="AQ15" s="19">
        <f>'12'!G37</f>
        <v>1709.3999999999942</v>
      </c>
      <c r="AR15" s="19">
        <f>'12'!G38</f>
        <v>1983.4199999999837</v>
      </c>
      <c r="AS15" s="19">
        <f>'12'!G39</f>
        <v>3034.9000000000233</v>
      </c>
      <c r="AT15" s="19">
        <f>'12'!G40</f>
        <v>147.7899999999936</v>
      </c>
      <c r="AU15" s="19">
        <f>'12'!G41</f>
        <v>-8.999999999650754E-2</v>
      </c>
      <c r="AV15" s="19">
        <f>'12'!G42</f>
        <v>4215.8800000000047</v>
      </c>
      <c r="AW15" s="19">
        <f>'12'!G43</f>
        <v>2977.5199999999604</v>
      </c>
      <c r="AX15" s="23">
        <f>'12'!G44</f>
        <v>0</v>
      </c>
      <c r="AY15" s="56">
        <f>'12'!G36</f>
        <v>1246.3399999999965</v>
      </c>
      <c r="AZ15" s="55">
        <f>'12'!G49</f>
        <v>2119.7399999999907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472.59000000000378</v>
      </c>
      <c r="BE15" s="19">
        <f>'12'!G55</f>
        <v>3792.5</v>
      </c>
      <c r="BF15" s="19">
        <f>'12'!G56</f>
        <v>-5.9999999997671694E-2</v>
      </c>
      <c r="BG15" s="19">
        <f>'12'!G57</f>
        <v>0</v>
      </c>
      <c r="BH15" s="56">
        <f>'12'!G50</f>
        <v>1568.4700000000012</v>
      </c>
      <c r="BI15" s="60">
        <f t="shared" si="12"/>
        <v>8008.2300000000105</v>
      </c>
      <c r="BJ15" s="60">
        <f>'12'!G133</f>
        <v>1029.9700000000012</v>
      </c>
      <c r="BK15" s="23">
        <f t="shared" si="13"/>
        <v>52.689296650766778</v>
      </c>
      <c r="BL15" s="23">
        <f t="shared" si="14"/>
        <v>10.407072241520698</v>
      </c>
      <c r="BM15" s="24">
        <f t="shared" si="15"/>
        <v>6.8014086873625659E-2</v>
      </c>
      <c r="BN15" s="25">
        <f t="shared" si="16"/>
        <v>330217.09999999998</v>
      </c>
      <c r="BO15" s="38">
        <f t="shared" si="17"/>
        <v>12015.719999999972</v>
      </c>
      <c r="BP15">
        <f t="shared" si="18"/>
        <v>1.0183503966369729</v>
      </c>
    </row>
    <row r="16" spans="1:69">
      <c r="A16" s="16">
        <v>13</v>
      </c>
      <c r="B16" s="26">
        <v>13</v>
      </c>
      <c r="C16" s="26"/>
      <c r="D16" s="19">
        <f>'13'!D3</f>
        <v>32</v>
      </c>
      <c r="E16" s="50">
        <f>'13'!D4</f>
        <v>0.82</v>
      </c>
      <c r="F16" s="50">
        <f>'13'!D2</f>
        <v>0.83</v>
      </c>
      <c r="G16" s="19">
        <f>'13'!G7</f>
        <v>28191.399999999994</v>
      </c>
      <c r="H16" s="19">
        <f>'13'!G8</f>
        <v>28981.500000000029</v>
      </c>
      <c r="I16" s="19">
        <v>9</v>
      </c>
      <c r="J16" s="49">
        <f t="shared" si="3"/>
        <v>260833.50000000026</v>
      </c>
      <c r="K16" s="45">
        <f t="shared" si="4"/>
        <v>143.47277227722788</v>
      </c>
      <c r="L16" s="19">
        <f>'13'!G15</f>
        <v>672.5</v>
      </c>
      <c r="M16" s="19">
        <v>56.2</v>
      </c>
      <c r="N16" s="41">
        <f t="shared" si="5"/>
        <v>37794.5</v>
      </c>
      <c r="O16" s="19">
        <f>'13'!G20</f>
        <v>326</v>
      </c>
      <c r="P16" s="19">
        <v>108</v>
      </c>
      <c r="Q16" s="46">
        <f t="shared" si="0"/>
        <v>35208</v>
      </c>
      <c r="R16" s="47">
        <f t="shared" si="1"/>
        <v>194.44113086007397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81</v>
      </c>
      <c r="W16" s="22">
        <f>'13'!G66</f>
        <v>23</v>
      </c>
      <c r="X16" s="22">
        <f>'13'!G67</f>
        <v>79</v>
      </c>
      <c r="Y16" s="22">
        <f t="shared" si="7"/>
        <v>183</v>
      </c>
      <c r="Z16" s="19">
        <f>'13'!G84</f>
        <v>0</v>
      </c>
      <c r="AA16" s="19">
        <f>'13'!G85</f>
        <v>15.800000000000182</v>
      </c>
      <c r="AB16" s="19">
        <f>'13'!G86</f>
        <v>24.169999999998254</v>
      </c>
      <c r="AC16" s="19">
        <f>'13'!G87</f>
        <v>0</v>
      </c>
      <c r="AD16" s="19">
        <f t="shared" si="8"/>
        <v>39.969999999998436</v>
      </c>
      <c r="AE16" s="23">
        <f t="shared" si="2"/>
        <v>7952.4400000000314</v>
      </c>
      <c r="AF16" s="23">
        <f t="shared" si="9"/>
        <v>198.96022016513243</v>
      </c>
      <c r="AG16" s="19">
        <f>'13'!G88</f>
        <v>0</v>
      </c>
      <c r="AH16" s="19">
        <f>'13'!G89</f>
        <v>4.2900000000008731</v>
      </c>
      <c r="AI16" s="19">
        <f>'13'!G90</f>
        <v>9.4399999999877764</v>
      </c>
      <c r="AJ16" s="19">
        <f t="shared" si="10"/>
        <v>13.72999999998865</v>
      </c>
      <c r="AK16" s="19">
        <f>'13'!G91</f>
        <v>0.3500000000003638</v>
      </c>
      <c r="AL16" s="19">
        <f>'13'!G92</f>
        <v>11.300000000000182</v>
      </c>
      <c r="AM16" s="19"/>
      <c r="AN16" s="19">
        <f t="shared" si="11"/>
        <v>11.650000000000546</v>
      </c>
      <c r="AO16" s="52">
        <f>'13'!G74</f>
        <v>326.3399999999674</v>
      </c>
      <c r="AP16" s="55">
        <f>'13'!G35</f>
        <v>2211.0499999999884</v>
      </c>
      <c r="AQ16" s="19">
        <f>'13'!G37</f>
        <v>1722.429999999993</v>
      </c>
      <c r="AR16" s="19">
        <f>'13'!G38</f>
        <v>2047.5200000000186</v>
      </c>
      <c r="AS16" s="19">
        <f>'13'!G39</f>
        <v>3015.1300000000047</v>
      </c>
      <c r="AT16" s="19">
        <f>'13'!G40</f>
        <v>157.70000000001164</v>
      </c>
      <c r="AU16" s="19">
        <f>'13'!G41</f>
        <v>0.79999999998835847</v>
      </c>
      <c r="AV16" s="19">
        <f>'13'!G42</f>
        <v>3992.4700000000303</v>
      </c>
      <c r="AW16" s="19">
        <f>'13'!G43</f>
        <v>2739.2400000000489</v>
      </c>
      <c r="AX16" s="23">
        <f>'13'!G44</f>
        <v>0</v>
      </c>
      <c r="AY16" s="56">
        <f>'13'!G36</f>
        <v>1084.5</v>
      </c>
      <c r="AZ16" s="55">
        <f>'13'!G49</f>
        <v>2094.8399999999965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473.44999999999709</v>
      </c>
      <c r="BE16" s="19">
        <f>'13'!G55</f>
        <v>3959.1700000000128</v>
      </c>
      <c r="BF16" s="19">
        <f>'13'!G56</f>
        <v>0</v>
      </c>
      <c r="BG16" s="19">
        <f>'13'!G57</f>
        <v>0</v>
      </c>
      <c r="BH16" s="56">
        <f>'13'!G50</f>
        <v>1582.0799999999872</v>
      </c>
      <c r="BI16" s="60">
        <f t="shared" si="12"/>
        <v>7952.4400000000314</v>
      </c>
      <c r="BJ16" s="60">
        <f>'13'!G133</f>
        <v>1022.8299999999872</v>
      </c>
      <c r="BK16" s="23">
        <f t="shared" si="13"/>
        <v>51.748770767558788</v>
      </c>
      <c r="BL16" s="23">
        <f t="shared" si="14"/>
        <v>10.403636802787991</v>
      </c>
      <c r="BM16" s="24">
        <f t="shared" si="15"/>
        <v>7.0649207252903287E-2</v>
      </c>
      <c r="BN16" s="25">
        <f t="shared" si="16"/>
        <v>333836.00000000023</v>
      </c>
      <c r="BO16" s="38">
        <f t="shared" si="17"/>
        <v>11714.510000000068</v>
      </c>
      <c r="BP16">
        <f t="shared" si="18"/>
        <v>1.0467234354337651</v>
      </c>
    </row>
    <row r="17" spans="1:68">
      <c r="A17" s="16">
        <v>14</v>
      </c>
      <c r="B17" s="17">
        <v>14</v>
      </c>
      <c r="C17" s="27"/>
      <c r="D17" s="19">
        <f>'14'!D3</f>
        <v>29</v>
      </c>
      <c r="E17" s="50">
        <f>'14'!D4</f>
        <v>0.8</v>
      </c>
      <c r="F17" s="50">
        <f>'14'!D2</f>
        <v>0.98</v>
      </c>
      <c r="G17" s="19">
        <f>'14'!G7</f>
        <v>27260.600000000006</v>
      </c>
      <c r="H17" s="19">
        <f>'14'!G8</f>
        <v>27804.599999999977</v>
      </c>
      <c r="I17" s="19">
        <v>9</v>
      </c>
      <c r="J17" s="49">
        <f t="shared" si="3"/>
        <v>250241.39999999979</v>
      </c>
      <c r="K17" s="45">
        <f t="shared" si="4"/>
        <v>137.64653465346524</v>
      </c>
      <c r="L17" s="19">
        <f>'14'!G15</f>
        <v>992.39999999990687</v>
      </c>
      <c r="M17" s="19">
        <v>56.2</v>
      </c>
      <c r="N17" s="41">
        <f t="shared" si="5"/>
        <v>55772.879999994766</v>
      </c>
      <c r="O17" s="19">
        <f>'14'!G20</f>
        <v>484</v>
      </c>
      <c r="P17" s="19">
        <v>108</v>
      </c>
      <c r="Q17" s="46">
        <f t="shared" si="0"/>
        <v>52272</v>
      </c>
      <c r="R17" s="47">
        <f t="shared" si="1"/>
        <v>244.49383713881591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110</v>
      </c>
      <c r="W17" s="22">
        <f>'14'!G66</f>
        <v>27</v>
      </c>
      <c r="X17" s="22">
        <f>'14'!G67</f>
        <v>80</v>
      </c>
      <c r="Y17" s="22">
        <f>V17+W17+X17</f>
        <v>217</v>
      </c>
      <c r="Z17" s="19">
        <f>'14'!G84</f>
        <v>0</v>
      </c>
      <c r="AA17" s="19">
        <f>'14'!G85</f>
        <v>17</v>
      </c>
      <c r="AB17" s="19">
        <f>'14'!G86</f>
        <v>24.430000000000291</v>
      </c>
      <c r="AC17" s="19">
        <f>'14'!G87</f>
        <v>0</v>
      </c>
      <c r="AD17" s="19">
        <f t="shared" si="8"/>
        <v>41.430000000000291</v>
      </c>
      <c r="AE17" s="23">
        <f t="shared" si="2"/>
        <v>7185.0299999999697</v>
      </c>
      <c r="AF17" s="23">
        <f t="shared" si="9"/>
        <v>173.4257784214318</v>
      </c>
      <c r="AG17" s="19">
        <f>'14'!G88</f>
        <v>9.680000000000291</v>
      </c>
      <c r="AH17" s="19">
        <f>'14'!G89</f>
        <v>2.0000000000436557E-2</v>
      </c>
      <c r="AI17" s="19">
        <f>'14'!G90</f>
        <v>8.6000000000058208</v>
      </c>
      <c r="AJ17" s="19">
        <f t="shared" si="10"/>
        <v>18.300000000006548</v>
      </c>
      <c r="AK17" s="19">
        <f>'14'!G91</f>
        <v>0</v>
      </c>
      <c r="AL17" s="19">
        <f>'14'!G92</f>
        <v>11</v>
      </c>
      <c r="AM17" s="19"/>
      <c r="AN17" s="19">
        <f t="shared" si="11"/>
        <v>11</v>
      </c>
      <c r="AO17" s="52">
        <f>'14'!G44</f>
        <v>0</v>
      </c>
      <c r="AP17" s="55">
        <f>'14'!G35</f>
        <v>2071.3500000000058</v>
      </c>
      <c r="AQ17" s="19">
        <f>'14'!G37</f>
        <v>1751.6000000000058</v>
      </c>
      <c r="AR17" s="19">
        <f>'14'!G38</f>
        <v>2301.5499999999884</v>
      </c>
      <c r="AS17" s="19">
        <f>'14'!G39</f>
        <v>2696.9699999999721</v>
      </c>
      <c r="AT17" s="19">
        <f>'14'!G40</f>
        <v>132.39999999999418</v>
      </c>
      <c r="AU17" s="19">
        <f>'14'!G41</f>
        <v>0</v>
      </c>
      <c r="AV17" s="19">
        <f>'14'!G42</f>
        <v>3623.0999999999767</v>
      </c>
      <c r="AW17" s="19">
        <f>'14'!G43</f>
        <v>2744.289999999979</v>
      </c>
      <c r="AX17" s="23">
        <f>'14'!G44</f>
        <v>0</v>
      </c>
      <c r="AY17" s="56">
        <f>'14'!G36</f>
        <v>825</v>
      </c>
      <c r="AZ17" s="55">
        <f>'14'!G49</f>
        <v>1889.4700000000012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467.5</v>
      </c>
      <c r="BE17" s="19">
        <f>'14'!G55</f>
        <v>3561.929999999993</v>
      </c>
      <c r="BF17" s="19">
        <f>'14'!G56</f>
        <v>0</v>
      </c>
      <c r="BG17" s="19">
        <f>'14'!G57</f>
        <v>0</v>
      </c>
      <c r="BH17" s="56">
        <f>'14'!G50</f>
        <v>1333.25</v>
      </c>
      <c r="BI17" s="60">
        <f t="shared" si="12"/>
        <v>7185.0299999999697</v>
      </c>
      <c r="BJ17" s="60">
        <f>'14'!G133</f>
        <v>934.20000000001164</v>
      </c>
      <c r="BK17" s="23">
        <f t="shared" si="13"/>
        <v>49.95626622932884</v>
      </c>
      <c r="BL17" s="23">
        <f t="shared" si="14"/>
        <v>9.6997259446277759</v>
      </c>
      <c r="BM17" s="24">
        <f t="shared" si="15"/>
        <v>8.2775871618364957E-2</v>
      </c>
      <c r="BN17" s="25">
        <f t="shared" si="16"/>
        <v>358286.27999999456</v>
      </c>
      <c r="BO17" s="38">
        <f t="shared" si="17"/>
        <v>10863.51999999996</v>
      </c>
      <c r="BP17">
        <f t="shared" si="18"/>
        <v>0.93647805248093896</v>
      </c>
    </row>
    <row r="18" spans="1:68">
      <c r="A18" s="16">
        <v>15</v>
      </c>
      <c r="B18" s="26">
        <v>15</v>
      </c>
      <c r="C18" s="18"/>
      <c r="D18" s="19">
        <f>'15'!D3</f>
        <v>29</v>
      </c>
      <c r="E18" s="50">
        <f>'15'!D4</f>
        <v>0.78</v>
      </c>
      <c r="F18" s="50">
        <f>'15'!D2</f>
        <v>0.92</v>
      </c>
      <c r="G18" s="19">
        <f>'15'!G7</f>
        <v>24528</v>
      </c>
      <c r="H18" s="19">
        <f>'15'!G8</f>
        <v>27198</v>
      </c>
      <c r="I18" s="19">
        <v>9</v>
      </c>
      <c r="J18" s="49">
        <f t="shared" si="3"/>
        <v>244782</v>
      </c>
      <c r="K18" s="45">
        <f t="shared" si="4"/>
        <v>134.64356435643563</v>
      </c>
      <c r="L18" s="19">
        <f>'15'!G15</f>
        <v>1045</v>
      </c>
      <c r="M18" s="19">
        <v>56.2</v>
      </c>
      <c r="N18" s="41">
        <f t="shared" si="5"/>
        <v>58729</v>
      </c>
      <c r="O18" s="19">
        <f>'15'!G20</f>
        <v>295</v>
      </c>
      <c r="P18" s="19">
        <v>108</v>
      </c>
      <c r="Q18" s="46">
        <f t="shared" si="0"/>
        <v>31860</v>
      </c>
      <c r="R18" s="47">
        <f t="shared" si="1"/>
        <v>158.73869995695222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90</v>
      </c>
      <c r="W18" s="22">
        <f>'15'!G66</f>
        <v>38</v>
      </c>
      <c r="X18" s="22">
        <f>'15'!G67</f>
        <v>76</v>
      </c>
      <c r="Y18" s="22">
        <f t="shared" si="7"/>
        <v>204</v>
      </c>
      <c r="Z18" s="19">
        <f>'15'!G84</f>
        <v>0</v>
      </c>
      <c r="AA18" s="19">
        <f>'15'!G85</f>
        <v>24</v>
      </c>
      <c r="AB18" s="19">
        <f>'15'!G86</f>
        <v>16</v>
      </c>
      <c r="AC18" s="19">
        <f>'15'!G87</f>
        <v>0</v>
      </c>
      <c r="AD18" s="19">
        <f t="shared" si="8"/>
        <v>40</v>
      </c>
      <c r="AE18" s="23">
        <f t="shared" si="2"/>
        <v>7898</v>
      </c>
      <c r="AF18" s="23">
        <f t="shared" si="9"/>
        <v>197.45</v>
      </c>
      <c r="AG18" s="19">
        <f>'15'!G88</f>
        <v>1</v>
      </c>
      <c r="AH18" s="19">
        <f>'15'!G89</f>
        <v>9</v>
      </c>
      <c r="AI18" s="19">
        <f>'15'!G90</f>
        <v>9</v>
      </c>
      <c r="AJ18" s="19">
        <f t="shared" si="10"/>
        <v>19</v>
      </c>
      <c r="AK18" s="19">
        <f>'15'!G91</f>
        <v>0</v>
      </c>
      <c r="AL18" s="19">
        <f>'15'!G92</f>
        <v>12</v>
      </c>
      <c r="AM18" s="19"/>
      <c r="AN18" s="19">
        <f t="shared" si="11"/>
        <v>12</v>
      </c>
      <c r="AO18" s="52">
        <f>'15'!G74</f>
        <v>341</v>
      </c>
      <c r="AP18" s="55">
        <f>'15'!G35</f>
        <v>2191</v>
      </c>
      <c r="AQ18" s="19">
        <f>'15'!G37</f>
        <v>1671</v>
      </c>
      <c r="AR18" s="19">
        <f>'15'!G38</f>
        <v>2240</v>
      </c>
      <c r="AS18" s="19">
        <f>'15'!G39</f>
        <v>2956</v>
      </c>
      <c r="AT18" s="19">
        <f>'15'!G40</f>
        <v>44</v>
      </c>
      <c r="AU18" s="19">
        <f>'15'!G41</f>
        <v>0</v>
      </c>
      <c r="AV18" s="19">
        <f>'15'!G42</f>
        <v>5544</v>
      </c>
      <c r="AW18" s="19">
        <f>'15'!G43</f>
        <v>3034</v>
      </c>
      <c r="AX18" s="23">
        <f>'15'!G44</f>
        <v>0</v>
      </c>
      <c r="AY18" s="56">
        <f>'15'!G36</f>
        <v>698</v>
      </c>
      <c r="AZ18" s="55">
        <f>'15'!G49</f>
        <v>2106</v>
      </c>
      <c r="BA18" s="19">
        <f>'15'!G51</f>
        <v>0</v>
      </c>
      <c r="BB18" s="19">
        <f>'15'!G52</f>
        <v>-0.24000000000000021</v>
      </c>
      <c r="BC18" s="19">
        <f>'15'!G53</f>
        <v>0</v>
      </c>
      <c r="BD18" s="19">
        <f>'15'!G54</f>
        <v>431</v>
      </c>
      <c r="BE18" s="19">
        <f>'15'!G55</f>
        <v>2354</v>
      </c>
      <c r="BF18" s="19">
        <f>'15'!G56</f>
        <v>0</v>
      </c>
      <c r="BG18" s="19">
        <f>'15'!G57</f>
        <v>0</v>
      </c>
      <c r="BH18" s="56">
        <f>'15'!G50</f>
        <v>1074</v>
      </c>
      <c r="BI18" s="60">
        <f t="shared" si="12"/>
        <v>7898</v>
      </c>
      <c r="BJ18" s="60">
        <f>'15'!G133</f>
        <v>1029</v>
      </c>
      <c r="BK18" s="23">
        <f t="shared" si="13"/>
        <v>55.993087727038748</v>
      </c>
      <c r="BL18" s="23">
        <f t="shared" si="14"/>
        <v>10.868446209280094</v>
      </c>
      <c r="BM18" s="24">
        <f t="shared" si="15"/>
        <v>8.2350172806824037E-2</v>
      </c>
      <c r="BN18" s="25">
        <f t="shared" si="16"/>
        <v>335371</v>
      </c>
      <c r="BO18" s="38">
        <f t="shared" si="17"/>
        <v>11961</v>
      </c>
      <c r="BP18">
        <f t="shared" si="18"/>
        <v>1.0679464285714286</v>
      </c>
    </row>
    <row r="19" spans="1:68">
      <c r="A19" s="16">
        <v>16</v>
      </c>
      <c r="B19" s="26">
        <v>16</v>
      </c>
      <c r="C19" s="26"/>
      <c r="D19" s="19">
        <f>'16'!D3</f>
        <v>28</v>
      </c>
      <c r="E19" s="50">
        <f>'16'!D4</f>
        <v>0.79</v>
      </c>
      <c r="F19" s="50">
        <f>'16'!D2</f>
        <v>1</v>
      </c>
      <c r="G19" s="19">
        <f>'16'!G7</f>
        <v>27000</v>
      </c>
      <c r="H19" s="19">
        <f>'16'!G8</f>
        <v>26500</v>
      </c>
      <c r="I19" s="19">
        <v>9</v>
      </c>
      <c r="J19" s="49">
        <f t="shared" si="3"/>
        <v>238500</v>
      </c>
      <c r="K19" s="45">
        <f t="shared" si="4"/>
        <v>131.1881188118812</v>
      </c>
      <c r="L19" s="19" t="e">
        <f>'16'!G15</f>
        <v>#VALUE!</v>
      </c>
      <c r="M19" s="19">
        <v>56.2</v>
      </c>
      <c r="N19" s="41" t="e">
        <f t="shared" si="5"/>
        <v>#VALUE!</v>
      </c>
      <c r="O19" s="19">
        <f>'16'!G20</f>
        <v>-1209</v>
      </c>
      <c r="P19" s="19">
        <v>108</v>
      </c>
      <c r="Q19" s="46">
        <f t="shared" si="0"/>
        <v>-130572</v>
      </c>
      <c r="R19" s="47">
        <f t="shared" si="1"/>
        <v>-598.51485148514848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-3183</v>
      </c>
      <c r="W19" s="22">
        <f>'16'!G66</f>
        <v>-582</v>
      </c>
      <c r="X19" s="22">
        <f>'16'!G67</f>
        <v>-2278</v>
      </c>
      <c r="Y19" s="22">
        <f t="shared" si="7"/>
        <v>-6043</v>
      </c>
      <c r="Z19" s="19">
        <f>'16'!G84</f>
        <v>-294</v>
      </c>
      <c r="AA19" s="19">
        <f>'16'!G85</f>
        <v>-509</v>
      </c>
      <c r="AB19" s="19">
        <f>'16'!G86</f>
        <v>-335</v>
      </c>
      <c r="AC19" s="19">
        <f>'16'!G87</f>
        <v>-53</v>
      </c>
      <c r="AD19" s="19">
        <f t="shared" si="8"/>
        <v>-1191</v>
      </c>
      <c r="AE19" s="23">
        <f t="shared" si="2"/>
        <v>-244711.80000000002</v>
      </c>
      <c r="AF19" s="23">
        <f t="shared" si="9"/>
        <v>205.46750629722922</v>
      </c>
      <c r="AG19" s="19">
        <f>'16'!G88</f>
        <v>-72</v>
      </c>
      <c r="AH19" s="19">
        <f>'16'!G89</f>
        <v>-225</v>
      </c>
      <c r="AI19" s="19">
        <f>'16'!G90</f>
        <v>-255</v>
      </c>
      <c r="AJ19" s="19">
        <f t="shared" si="10"/>
        <v>-552</v>
      </c>
      <c r="AK19" s="19">
        <f>'16'!G91</f>
        <v>-212</v>
      </c>
      <c r="AL19" s="19">
        <f>'16'!G92</f>
        <v>-120</v>
      </c>
      <c r="AM19" s="19"/>
      <c r="AN19" s="19">
        <f t="shared" si="11"/>
        <v>-332</v>
      </c>
      <c r="AO19" s="52">
        <f>'16'!G74</f>
        <v>-9224</v>
      </c>
      <c r="AP19" s="55">
        <f>'16'!G35</f>
        <v>-61829</v>
      </c>
      <c r="AQ19" s="19">
        <f>'16'!G37</f>
        <v>-49263</v>
      </c>
      <c r="AR19" s="19">
        <f>'16'!G38</f>
        <v>-67946</v>
      </c>
      <c r="AS19" s="19">
        <f>'16'!G39</f>
        <v>-86763</v>
      </c>
      <c r="AT19" s="19">
        <f>'16'!G40</f>
        <v>-14011</v>
      </c>
      <c r="AU19" s="19">
        <f>'16'!G41</f>
        <v>-68772.2</v>
      </c>
      <c r="AV19" s="19">
        <f>'16'!G42</f>
        <v>-119029</v>
      </c>
      <c r="AW19" s="19">
        <f>'16'!G43</f>
        <v>-91934</v>
      </c>
      <c r="AX19" s="23">
        <f>'16'!G44</f>
        <v>0</v>
      </c>
      <c r="AY19" s="56">
        <f>'16'!G36</f>
        <v>-29965</v>
      </c>
      <c r="AZ19" s="55">
        <f>'16'!G49</f>
        <v>-55362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-13623</v>
      </c>
      <c r="BE19" s="19">
        <f>'16'!G55</f>
        <v>-50241</v>
      </c>
      <c r="BF19" s="19">
        <f>'16'!G56</f>
        <v>-6669.6000000000058</v>
      </c>
      <c r="BG19" s="19">
        <f>'16'!G57</f>
        <v>0</v>
      </c>
      <c r="BH19" s="56">
        <f>'16'!G50</f>
        <v>-38436</v>
      </c>
      <c r="BI19" s="60">
        <f t="shared" si="12"/>
        <v>-244711.80000000002</v>
      </c>
      <c r="BJ19" s="60">
        <f>'16'!G133</f>
        <v>-27287</v>
      </c>
      <c r="BK19" s="23">
        <f t="shared" si="13"/>
        <v>-1712.5916981132077</v>
      </c>
      <c r="BL19" s="23">
        <f t="shared" si="14"/>
        <v>-327.40754716981132</v>
      </c>
      <c r="BM19" s="24">
        <f t="shared" si="15"/>
        <v>-2.5640000000000001</v>
      </c>
      <c r="BN19" s="25" t="e">
        <f t="shared" si="16"/>
        <v>#VALUE!</v>
      </c>
      <c r="BO19" s="38">
        <f t="shared" si="17"/>
        <v>-363932.80000000005</v>
      </c>
      <c r="BP19">
        <f t="shared" si="18"/>
        <v>1.0913182199832074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27000</v>
      </c>
      <c r="H20" s="19">
        <f>'17'!G8</f>
        <v>26500</v>
      </c>
      <c r="I20" s="19">
        <v>9</v>
      </c>
      <c r="J20" s="49">
        <f t="shared" si="3"/>
        <v>238500</v>
      </c>
      <c r="K20" s="45">
        <f t="shared" si="4"/>
        <v>131.1881188118812</v>
      </c>
      <c r="L20" s="19" t="e">
        <f>'17'!G15</f>
        <v>#VALUE!</v>
      </c>
      <c r="M20" s="19">
        <v>56.2</v>
      </c>
      <c r="N20" s="41" t="e">
        <f t="shared" si="5"/>
        <v>#VALUE!</v>
      </c>
      <c r="O20" s="19">
        <f>'17'!G20</f>
        <v>270</v>
      </c>
      <c r="P20" s="19">
        <v>108</v>
      </c>
      <c r="Q20" s="46">
        <f t="shared" si="0"/>
        <v>29160</v>
      </c>
      <c r="R20" s="47">
        <f t="shared" si="1"/>
        <v>146.8828201501469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99</v>
      </c>
      <c r="W20" s="22">
        <f>'17'!G66</f>
        <v>24</v>
      </c>
      <c r="X20" s="22">
        <f>'17'!G67</f>
        <v>86</v>
      </c>
      <c r="Y20" s="22">
        <f t="shared" si="7"/>
        <v>209</v>
      </c>
      <c r="Z20" s="19">
        <f>'17'!G84</f>
        <v>0</v>
      </c>
      <c r="AA20" s="19">
        <f>'17'!G85</f>
        <v>24</v>
      </c>
      <c r="AB20" s="19">
        <f>'17'!G86</f>
        <v>16.470000000001164</v>
      </c>
      <c r="AC20" s="19">
        <f>'17'!G87</f>
        <v>0</v>
      </c>
      <c r="AD20" s="19">
        <f t="shared" si="8"/>
        <v>40.470000000001164</v>
      </c>
      <c r="AE20" s="23">
        <f t="shared" si="2"/>
        <v>7873.3</v>
      </c>
      <c r="AF20" s="23">
        <f t="shared" si="9"/>
        <v>194.54657771187976</v>
      </c>
      <c r="AG20" s="19">
        <f>'17'!G88</f>
        <v>10.380000000001019</v>
      </c>
      <c r="AH20" s="19">
        <f>'17'!G89</f>
        <v>1</v>
      </c>
      <c r="AI20" s="19">
        <f>'17'!G90</f>
        <v>10</v>
      </c>
      <c r="AJ20" s="19">
        <f t="shared" si="10"/>
        <v>21.380000000001019</v>
      </c>
      <c r="AK20" s="19">
        <f>'17'!G91</f>
        <v>0</v>
      </c>
      <c r="AL20" s="19">
        <f>'17'!G92</f>
        <v>12</v>
      </c>
      <c r="AM20" s="19"/>
      <c r="AN20" s="19">
        <f t="shared" si="11"/>
        <v>12</v>
      </c>
      <c r="AO20" s="52">
        <f>'17'!G74</f>
        <v>346</v>
      </c>
      <c r="AP20" s="55">
        <f>'17'!G35</f>
        <v>2161</v>
      </c>
      <c r="AQ20" s="19">
        <f>'17'!G37</f>
        <v>1602</v>
      </c>
      <c r="AR20" s="19">
        <f>'17'!G38</f>
        <v>2369</v>
      </c>
      <c r="AS20" s="19">
        <f>'17'!G39</f>
        <v>3351</v>
      </c>
      <c r="AT20" s="19">
        <f>'17'!G40</f>
        <v>376</v>
      </c>
      <c r="AU20" s="19">
        <f>'17'!G41</f>
        <v>0.29999999999999716</v>
      </c>
      <c r="AV20" s="19">
        <f>'17'!G42</f>
        <v>5545</v>
      </c>
      <c r="AW20" s="19">
        <f>'17'!G43</f>
        <v>3298</v>
      </c>
      <c r="AX20" s="23">
        <f>'17'!G44</f>
        <v>0</v>
      </c>
      <c r="AY20" s="56">
        <f>'17'!G36</f>
        <v>1067</v>
      </c>
      <c r="AZ20" s="55">
        <f>'17'!G49</f>
        <v>1805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470</v>
      </c>
      <c r="BE20" s="19">
        <f>'17'!G55</f>
        <v>2328</v>
      </c>
      <c r="BF20" s="19">
        <f>'17'!G56</f>
        <v>0</v>
      </c>
      <c r="BG20" s="19">
        <f>'17'!G57</f>
        <v>0</v>
      </c>
      <c r="BH20" s="56">
        <f>'17'!G50</f>
        <v>1428</v>
      </c>
      <c r="BI20" s="60">
        <f t="shared" si="12"/>
        <v>7873.3</v>
      </c>
      <c r="BJ20" s="60">
        <f>'17'!G133</f>
        <v>878</v>
      </c>
      <c r="BK20" s="23">
        <f t="shared" si="13"/>
        <v>57.121886792452827</v>
      </c>
      <c r="BL20" s="23">
        <f t="shared" si="14"/>
        <v>12.645283018867925</v>
      </c>
      <c r="BM20" s="24">
        <f t="shared" si="15"/>
        <v>8.9396226415094343E-2</v>
      </c>
      <c r="BN20" s="25" t="e">
        <f t="shared" si="16"/>
        <v>#VALUE!</v>
      </c>
      <c r="BO20" s="38">
        <f t="shared" si="17"/>
        <v>12049.3</v>
      </c>
      <c r="BP20">
        <f t="shared" si="18"/>
        <v>1.0633361572946145</v>
      </c>
    </row>
    <row r="21" spans="1:68">
      <c r="A21" s="16">
        <v>18</v>
      </c>
      <c r="B21" s="27">
        <v>18</v>
      </c>
      <c r="C21" s="27"/>
      <c r="D21" s="19">
        <f>'18 '!D3</f>
        <v>28</v>
      </c>
      <c r="E21" s="50">
        <f>'18 '!D4</f>
        <v>0.79</v>
      </c>
      <c r="F21" s="50">
        <f>'18 '!D2</f>
        <v>0.88</v>
      </c>
      <c r="G21" s="19">
        <f>'18 '!G7</f>
        <v>27000</v>
      </c>
      <c r="H21" s="19">
        <f>'18 '!G8</f>
        <v>26500</v>
      </c>
      <c r="I21" s="19">
        <v>9</v>
      </c>
      <c r="J21" s="49">
        <f t="shared" si="3"/>
        <v>238500</v>
      </c>
      <c r="K21" s="45">
        <f t="shared" si="4"/>
        <v>131.1881188118812</v>
      </c>
      <c r="L21" s="19" t="e">
        <f>'18 '!G15</f>
        <v>#VALUE!</v>
      </c>
      <c r="M21" s="19">
        <v>56.2</v>
      </c>
      <c r="N21" s="41" t="e">
        <f t="shared" si="5"/>
        <v>#VALUE!</v>
      </c>
      <c r="O21" s="19">
        <f>'18 '!G20</f>
        <v>255</v>
      </c>
      <c r="P21" s="19">
        <v>108</v>
      </c>
      <c r="Q21" s="46">
        <f t="shared" si="0"/>
        <v>27540</v>
      </c>
      <c r="R21" s="47">
        <f t="shared" si="1"/>
        <v>143.45184518451848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116</v>
      </c>
      <c r="W21" s="22">
        <f>'18 '!G66</f>
        <v>12</v>
      </c>
      <c r="X21" s="22">
        <f>'18 '!G67</f>
        <v>69</v>
      </c>
      <c r="Y21" s="22">
        <f t="shared" si="7"/>
        <v>197</v>
      </c>
      <c r="Z21" s="19">
        <f>'18 '!G84</f>
        <v>0.26000000000203727</v>
      </c>
      <c r="AA21" s="19">
        <f>'18 '!G85</f>
        <v>24</v>
      </c>
      <c r="AB21" s="19">
        <f>'18 '!G86</f>
        <v>0</v>
      </c>
      <c r="AC21" s="19">
        <f>'18 '!G87</f>
        <v>15</v>
      </c>
      <c r="AD21" s="19">
        <f t="shared" si="8"/>
        <v>39.260000000002037</v>
      </c>
      <c r="AE21" s="23">
        <f t="shared" si="2"/>
        <v>7242</v>
      </c>
      <c r="AF21" s="23">
        <f t="shared" si="9"/>
        <v>184.46255731022987</v>
      </c>
      <c r="AG21" s="19">
        <f>'18 '!G88</f>
        <v>8.6199999999989814</v>
      </c>
      <c r="AH21" s="19">
        <f>'18 '!G89</f>
        <v>5</v>
      </c>
      <c r="AI21" s="19">
        <f>'18 '!G90</f>
        <v>6</v>
      </c>
      <c r="AJ21" s="19">
        <f t="shared" si="10"/>
        <v>19.619999999998981</v>
      </c>
      <c r="AK21" s="19">
        <f>'18 '!G91</f>
        <v>8</v>
      </c>
      <c r="AL21" s="19">
        <f>'18 '!G92</f>
        <v>3</v>
      </c>
      <c r="AM21" s="19"/>
      <c r="AN21" s="19">
        <f t="shared" si="11"/>
        <v>11</v>
      </c>
      <c r="AO21" s="52">
        <f>'18 '!G74</f>
        <v>314</v>
      </c>
      <c r="AP21" s="55">
        <f>'18 '!G35</f>
        <v>2143</v>
      </c>
      <c r="AQ21" s="19">
        <f>'18 '!G37</f>
        <v>1696</v>
      </c>
      <c r="AR21" s="19">
        <f>'18 '!G38</f>
        <v>2295</v>
      </c>
      <c r="AS21" s="19">
        <f>'18 '!G39</f>
        <v>3285</v>
      </c>
      <c r="AT21" s="19">
        <f>'18 '!G40</f>
        <v>420</v>
      </c>
      <c r="AU21" s="19">
        <f>'18 '!G41</f>
        <v>0</v>
      </c>
      <c r="AV21" s="19">
        <f>'18 '!G42</f>
        <v>5209</v>
      </c>
      <c r="AW21" s="19">
        <f>'18 '!G43</f>
        <v>3303</v>
      </c>
      <c r="AX21" s="23">
        <f>'18 '!G44</f>
        <v>0</v>
      </c>
      <c r="AY21" s="56">
        <f>'18 '!G36</f>
        <v>1020</v>
      </c>
      <c r="AZ21" s="55">
        <f>'18 '!G49</f>
        <v>1783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468</v>
      </c>
      <c r="BE21" s="19">
        <f>'18 '!G55</f>
        <v>138</v>
      </c>
      <c r="BF21" s="19">
        <f>'18 '!G56</f>
        <v>1895</v>
      </c>
      <c r="BG21" s="19">
        <f>'18 '!G57</f>
        <v>0</v>
      </c>
      <c r="BH21" s="56">
        <f>'18 '!G50</f>
        <v>1432</v>
      </c>
      <c r="BI21" s="60">
        <f t="shared" si="12"/>
        <v>7242</v>
      </c>
      <c r="BJ21" s="60">
        <f>'18 '!G133</f>
        <v>888</v>
      </c>
      <c r="BK21" s="23">
        <f t="shared" si="13"/>
        <v>54.607547169811319</v>
      </c>
      <c r="BL21" s="23">
        <f t="shared" si="14"/>
        <v>12.39622641509434</v>
      </c>
      <c r="BM21" s="24">
        <f t="shared" si="15"/>
        <v>8.6603773584905661E-2</v>
      </c>
      <c r="BN21" s="25" t="e">
        <f t="shared" si="16"/>
        <v>#VALUE!</v>
      </c>
      <c r="BO21" s="38">
        <f t="shared" si="17"/>
        <v>11433</v>
      </c>
      <c r="BP21">
        <f t="shared" si="18"/>
        <v>1.0400443926933454</v>
      </c>
    </row>
    <row r="22" spans="1:68">
      <c r="A22" s="16">
        <v>19</v>
      </c>
      <c r="B22" s="17">
        <v>19</v>
      </c>
      <c r="C22" s="27"/>
      <c r="D22" s="19">
        <f>'19'!D3</f>
        <v>29</v>
      </c>
      <c r="E22" s="50">
        <f>'19'!D4</f>
        <v>0.79</v>
      </c>
      <c r="F22" s="50">
        <f>'19'!D2</f>
        <v>1</v>
      </c>
      <c r="G22" s="19">
        <f>'19'!G7</f>
        <v>27000</v>
      </c>
      <c r="H22" s="19">
        <f>'19'!G8</f>
        <v>26500</v>
      </c>
      <c r="I22" s="19">
        <v>9</v>
      </c>
      <c r="J22" s="49">
        <f t="shared" si="3"/>
        <v>238500</v>
      </c>
      <c r="K22" s="45">
        <f t="shared" si="4"/>
        <v>131.1881188118812</v>
      </c>
      <c r="L22" s="19" t="e">
        <f>'19'!G15</f>
        <v>#VALUE!</v>
      </c>
      <c r="M22" s="19">
        <v>56.2</v>
      </c>
      <c r="N22" s="41" t="e">
        <f t="shared" si="5"/>
        <v>#VALUE!</v>
      </c>
      <c r="O22" s="19">
        <f>'19'!G20</f>
        <v>274</v>
      </c>
      <c r="P22" s="19">
        <v>108</v>
      </c>
      <c r="Q22" s="46">
        <f t="shared" si="0"/>
        <v>29592</v>
      </c>
      <c r="R22" s="47">
        <f t="shared" si="1"/>
        <v>135.64356435643563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127</v>
      </c>
      <c r="W22" s="22">
        <f>'19'!G66</f>
        <v>12</v>
      </c>
      <c r="X22" s="22">
        <f>'19'!G67</f>
        <v>63</v>
      </c>
      <c r="Y22" s="22">
        <f t="shared" si="7"/>
        <v>202</v>
      </c>
      <c r="Z22" s="19">
        <f>'19'!G84</f>
        <v>0.22999999999592546</v>
      </c>
      <c r="AA22" s="19">
        <f>'19'!G85</f>
        <v>6</v>
      </c>
      <c r="AB22" s="19">
        <f>'19'!G86</f>
        <v>11.529999999998836</v>
      </c>
      <c r="AC22" s="19">
        <f>'19'!G87</f>
        <v>24</v>
      </c>
      <c r="AD22" s="19">
        <f t="shared" si="8"/>
        <v>41.759999999994761</v>
      </c>
      <c r="AE22" s="23">
        <f t="shared" si="2"/>
        <v>5840</v>
      </c>
      <c r="AF22" s="23">
        <f t="shared" si="9"/>
        <v>139.8467432950367</v>
      </c>
      <c r="AG22" s="19">
        <f>'19'!G88</f>
        <v>10</v>
      </c>
      <c r="AH22" s="19">
        <f>'19'!G89</f>
        <v>3</v>
      </c>
      <c r="AI22" s="19">
        <f>'19'!G90</f>
        <v>9</v>
      </c>
      <c r="AJ22" s="19">
        <f t="shared" si="10"/>
        <v>22</v>
      </c>
      <c r="AK22" s="19">
        <f>'19'!G91</f>
        <v>12.480000000000018</v>
      </c>
      <c r="AL22" s="19">
        <f>'19'!G92</f>
        <v>0</v>
      </c>
      <c r="AM22" s="19"/>
      <c r="AN22" s="19">
        <f t="shared" si="11"/>
        <v>12.480000000000018</v>
      </c>
      <c r="AO22" s="52">
        <f>'19'!G74</f>
        <v>331</v>
      </c>
      <c r="AP22" s="55">
        <f>'19'!G35</f>
        <v>2112</v>
      </c>
      <c r="AQ22" s="19">
        <f>'19'!G37</f>
        <v>1723</v>
      </c>
      <c r="AR22" s="19">
        <f>'19'!G38</f>
        <v>2295</v>
      </c>
      <c r="AS22" s="19">
        <f>'19'!G39</f>
        <v>3229</v>
      </c>
      <c r="AT22" s="19">
        <f>'19'!G40</f>
        <v>518</v>
      </c>
      <c r="AU22" s="19">
        <f>'19'!G41</f>
        <v>0</v>
      </c>
      <c r="AV22" s="19">
        <f>'19'!G42</f>
        <v>1299</v>
      </c>
      <c r="AW22" s="19">
        <f>'19'!G43</f>
        <v>3310</v>
      </c>
      <c r="AX22" s="23">
        <f>'19'!G44</f>
        <v>0</v>
      </c>
      <c r="AY22" s="56">
        <f>'19'!G36</f>
        <v>1171</v>
      </c>
      <c r="AZ22" s="55">
        <f>'19'!G49</f>
        <v>1775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463</v>
      </c>
      <c r="BE22" s="19">
        <f>'19'!G55</f>
        <v>1493</v>
      </c>
      <c r="BF22" s="19">
        <f>'19'!G56</f>
        <v>3048</v>
      </c>
      <c r="BG22" s="19">
        <f>'19'!G57</f>
        <v>0</v>
      </c>
      <c r="BH22" s="56">
        <f>'19'!G50</f>
        <v>1258</v>
      </c>
      <c r="BI22" s="60">
        <f t="shared" si="12"/>
        <v>5840</v>
      </c>
      <c r="BJ22" s="60">
        <f>'19'!G133</f>
        <v>877</v>
      </c>
      <c r="BK22" s="23">
        <f t="shared" si="13"/>
        <v>49.196226415094337</v>
      </c>
      <c r="BL22" s="23">
        <f t="shared" si="14"/>
        <v>12.184905660377359</v>
      </c>
      <c r="BM22" s="24">
        <f t="shared" si="15"/>
        <v>8.6603773584905661E-2</v>
      </c>
      <c r="BN22" s="25" t="e">
        <f t="shared" si="16"/>
        <v>#VALUE!</v>
      </c>
      <c r="BO22" s="38">
        <f t="shared" si="17"/>
        <v>10027</v>
      </c>
      <c r="BP22">
        <f t="shared" si="18"/>
        <v>0.85753626163119678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0.68310000000000004</v>
      </c>
      <c r="G23" s="19">
        <f>'20'!G7</f>
        <v>27000</v>
      </c>
      <c r="H23" s="19">
        <f>'20'!G8</f>
        <v>26500</v>
      </c>
      <c r="I23" s="19">
        <v>9</v>
      </c>
      <c r="J23" s="49">
        <f t="shared" si="3"/>
        <v>238500</v>
      </c>
      <c r="K23" s="45">
        <f t="shared" si="4"/>
        <v>131.1881188118812</v>
      </c>
      <c r="L23" s="19" t="e">
        <f>'20'!G15</f>
        <v>#VALUE!</v>
      </c>
      <c r="M23" s="19">
        <v>56.2</v>
      </c>
      <c r="N23" s="41" t="e">
        <f t="shared" si="5"/>
        <v>#VALUE!</v>
      </c>
      <c r="O23" s="19">
        <f>'20'!G20</f>
        <v>307</v>
      </c>
      <c r="P23" s="19">
        <v>108</v>
      </c>
      <c r="Q23" s="46">
        <f t="shared" si="0"/>
        <v>33156</v>
      </c>
      <c r="R23" s="47">
        <f t="shared" si="1"/>
        <v>222.48601671761381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97</v>
      </c>
      <c r="W23" s="22">
        <f>'20'!G66</f>
        <v>14</v>
      </c>
      <c r="X23" s="22">
        <f>'20'!G67</f>
        <v>94</v>
      </c>
      <c r="Y23" s="22">
        <f t="shared" si="7"/>
        <v>205</v>
      </c>
      <c r="Z23" s="19">
        <f>'20'!G84</f>
        <v>0</v>
      </c>
      <c r="AA23" s="19">
        <f>'20'!G85</f>
        <v>11.210000000000036</v>
      </c>
      <c r="AB23" s="19">
        <f>'20'!G86</f>
        <v>17.239999999997963</v>
      </c>
      <c r="AC23" s="19">
        <f>'20'!G87</f>
        <v>14.059999999997672</v>
      </c>
      <c r="AD23" s="19">
        <f t="shared" si="8"/>
        <v>42.509999999995671</v>
      </c>
      <c r="AE23" s="23">
        <f t="shared" si="2"/>
        <v>6519.3600000000151</v>
      </c>
      <c r="AF23" s="23">
        <f t="shared" si="9"/>
        <v>153.36062103036178</v>
      </c>
      <c r="AG23" s="19">
        <f>'20'!G88</f>
        <v>0</v>
      </c>
      <c r="AH23" s="19">
        <f>'20'!G89</f>
        <v>9.1899999999986903</v>
      </c>
      <c r="AI23" s="19">
        <f>'20'!G90</f>
        <v>11.490000000005239</v>
      </c>
      <c r="AJ23" s="19">
        <f t="shared" si="10"/>
        <v>20.680000000003929</v>
      </c>
      <c r="AK23" s="19">
        <f>'20'!G91</f>
        <v>12.210000000000036</v>
      </c>
      <c r="AL23" s="19">
        <f>'20'!G92</f>
        <v>-0.13000000000010914</v>
      </c>
      <c r="AM23" s="19"/>
      <c r="AN23" s="19">
        <f t="shared" si="11"/>
        <v>12.079999999999927</v>
      </c>
      <c r="AO23" s="52">
        <f>'20'!G74</f>
        <v>333.11999999999534</v>
      </c>
      <c r="AP23" s="55">
        <f>'20'!G35</f>
        <v>2147.609999999986</v>
      </c>
      <c r="AQ23" s="19">
        <f>'20'!G37</f>
        <v>1793.1700000000128</v>
      </c>
      <c r="AR23" s="19">
        <f>'20'!G38</f>
        <v>2268.9100000000035</v>
      </c>
      <c r="AS23" s="19">
        <f>'20'!G39</f>
        <v>3276.3699999999953</v>
      </c>
      <c r="AT23" s="19">
        <f>'20'!G40</f>
        <v>342.30000000000291</v>
      </c>
      <c r="AU23" s="19">
        <f>'20'!G41</f>
        <v>0</v>
      </c>
      <c r="AV23" s="19">
        <f>'20'!G42</f>
        <v>2335.5900000000256</v>
      </c>
      <c r="AW23" s="19">
        <f>'20'!G43</f>
        <v>3343.6500000000233</v>
      </c>
      <c r="AX23" s="23">
        <f>'20'!G44</f>
        <v>0</v>
      </c>
      <c r="AY23" s="56">
        <f>'20'!G36</f>
        <v>912.80999999999767</v>
      </c>
      <c r="AZ23" s="55">
        <f>'20'!G49</f>
        <v>1872.8500000000058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471.7699999999968</v>
      </c>
      <c r="BE23" s="19">
        <f>'20'!G55</f>
        <v>2457.109999999986</v>
      </c>
      <c r="BF23" s="19">
        <f>'20'!G56</f>
        <v>1726.6600000000035</v>
      </c>
      <c r="BG23" s="19">
        <f>'20'!G57</f>
        <v>0</v>
      </c>
      <c r="BH23" s="56">
        <f>'20'!G50</f>
        <v>1170.4200000000128</v>
      </c>
      <c r="BI23" s="60">
        <f t="shared" si="12"/>
        <v>6519.3600000000151</v>
      </c>
      <c r="BJ23" s="60">
        <f>'20'!G133</f>
        <v>973.17999999999302</v>
      </c>
      <c r="BK23" s="23">
        <f t="shared" si="13"/>
        <v>52.390452830188792</v>
      </c>
      <c r="BL23" s="23">
        <f t="shared" si="14"/>
        <v>12.363660377358473</v>
      </c>
      <c r="BM23" s="24">
        <f t="shared" si="15"/>
        <v>8.5619245283018994E-2</v>
      </c>
      <c r="BN23" s="25" t="e">
        <f t="shared" si="16"/>
        <v>#VALUE!</v>
      </c>
      <c r="BO23" s="38">
        <f t="shared" si="17"/>
        <v>10836.190000000031</v>
      </c>
      <c r="BP23">
        <f t="shared" si="18"/>
        <v>0.91038999227082162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27000</v>
      </c>
      <c r="H24" s="19">
        <f>'21'!G8</f>
        <v>26500</v>
      </c>
      <c r="I24" s="19">
        <v>9</v>
      </c>
      <c r="J24" s="49">
        <f t="shared" si="3"/>
        <v>238500</v>
      </c>
      <c r="K24" s="45">
        <f t="shared" si="4"/>
        <v>131.1881188118812</v>
      </c>
      <c r="L24" s="19" t="e">
        <f>'21'!G15</f>
        <v>#VALUE!</v>
      </c>
      <c r="M24" s="19">
        <v>56.2</v>
      </c>
      <c r="N24" s="41" t="e">
        <f t="shared" si="5"/>
        <v>#VALUE!</v>
      </c>
      <c r="O24" s="19">
        <f>'21'!G20</f>
        <v>277</v>
      </c>
      <c r="P24" s="19">
        <v>108</v>
      </c>
      <c r="Q24" s="46">
        <f t="shared" si="0"/>
        <v>29916</v>
      </c>
      <c r="R24" s="47">
        <f t="shared" si="1"/>
        <v>193.13903221308047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124</v>
      </c>
      <c r="W24" s="22">
        <f>'21'!G66</f>
        <v>17</v>
      </c>
      <c r="X24" s="22">
        <f>'21'!G67</f>
        <v>78</v>
      </c>
      <c r="Y24" s="22">
        <f t="shared" si="7"/>
        <v>219</v>
      </c>
      <c r="Z24" s="19">
        <f>'21'!G84</f>
        <v>-8.999999999650754E-2</v>
      </c>
      <c r="AA24" s="19">
        <f>'21'!G85</f>
        <v>24</v>
      </c>
      <c r="AB24" s="19">
        <f>'21'!G86</f>
        <v>17.930000000000291</v>
      </c>
      <c r="AC24" s="19">
        <f>'21'!G87</f>
        <v>0</v>
      </c>
      <c r="AD24" s="19">
        <f t="shared" si="8"/>
        <v>41.840000000003783</v>
      </c>
      <c r="AE24" s="23">
        <f t="shared" si="2"/>
        <v>7678.4199999999837</v>
      </c>
      <c r="AF24" s="23">
        <f t="shared" si="9"/>
        <v>183.51864244740176</v>
      </c>
      <c r="AG24" s="19">
        <f>'21'!G88</f>
        <v>-0.31000000000130967</v>
      </c>
      <c r="AH24" s="19">
        <f>'21'!G89</f>
        <v>9.930000000000291</v>
      </c>
      <c r="AI24" s="19">
        <f>'21'!G90</f>
        <v>12.519999999989523</v>
      </c>
      <c r="AJ24" s="19">
        <f t="shared" si="10"/>
        <v>22.139999999988504</v>
      </c>
      <c r="AK24" s="19">
        <f>'21'!G91</f>
        <v>11.429999999999836</v>
      </c>
      <c r="AL24" s="19">
        <f>'21'!G92</f>
        <v>0</v>
      </c>
      <c r="AM24" s="19"/>
      <c r="AN24" s="19">
        <f t="shared" si="11"/>
        <v>11.429999999999836</v>
      </c>
      <c r="AO24" s="52">
        <f>'21'!G74</f>
        <v>311.35999999998603</v>
      </c>
      <c r="AP24" s="55">
        <f>'21'!G35</f>
        <v>2215.4400000000023</v>
      </c>
      <c r="AQ24" s="19">
        <f>'21'!G37</f>
        <v>1751.9499999999825</v>
      </c>
      <c r="AR24" s="19">
        <f>'21'!G38</f>
        <v>2476.7799999999988</v>
      </c>
      <c r="AS24" s="19">
        <f>'21'!G39</f>
        <v>3181.3800000000047</v>
      </c>
      <c r="AT24" s="19">
        <f>'21'!G40</f>
        <v>539.55999999999767</v>
      </c>
      <c r="AU24" s="19">
        <f>'21'!G41</f>
        <v>0</v>
      </c>
      <c r="AV24" s="19">
        <f>'21'!G42</f>
        <v>5120.7199999999721</v>
      </c>
      <c r="AW24" s="19">
        <f>'21'!G43</f>
        <v>3448.6199999999953</v>
      </c>
      <c r="AX24" s="23">
        <f>'21'!G44</f>
        <v>0</v>
      </c>
      <c r="AY24" s="56">
        <f>'21'!G36</f>
        <v>1318.2200000000012</v>
      </c>
      <c r="AZ24" s="55">
        <f>'21'!G49</f>
        <v>1826.179999999993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472.56999999999971</v>
      </c>
      <c r="BE24" s="19">
        <f>'21'!G55</f>
        <v>2557.7000000000116</v>
      </c>
      <c r="BF24" s="19">
        <f>'21'!G56</f>
        <v>0</v>
      </c>
      <c r="BG24" s="19">
        <f>'21'!G57</f>
        <v>0</v>
      </c>
      <c r="BH24" s="56">
        <f>'21'!G50</f>
        <v>1720.7299999999814</v>
      </c>
      <c r="BI24" s="60">
        <f t="shared" si="12"/>
        <v>7678.4199999999837</v>
      </c>
      <c r="BJ24" s="60">
        <f>'21'!G133</f>
        <v>956.41000000000349</v>
      </c>
      <c r="BK24" s="23">
        <f t="shared" si="13"/>
        <v>57.240226415094241</v>
      </c>
      <c r="BL24" s="23">
        <f t="shared" si="14"/>
        <v>12.005207547169828</v>
      </c>
      <c r="BM24" s="24">
        <f t="shared" si="15"/>
        <v>9.3463396226415044E-2</v>
      </c>
      <c r="BN24" s="25" t="e">
        <f t="shared" si="16"/>
        <v>#VALUE!</v>
      </c>
      <c r="BO24" s="38">
        <f t="shared" si="17"/>
        <v>12083.449999999983</v>
      </c>
      <c r="BP24">
        <f t="shared" si="18"/>
        <v>1.0314335222615825</v>
      </c>
    </row>
    <row r="25" spans="1:68">
      <c r="A25" s="16">
        <v>22</v>
      </c>
      <c r="B25" s="27">
        <v>22</v>
      </c>
      <c r="C25" s="28"/>
      <c r="D25" s="19">
        <f>'22'!D3</f>
        <v>29</v>
      </c>
      <c r="E25" s="50">
        <f>'22'!D4</f>
        <v>0.79</v>
      </c>
      <c r="F25" s="50">
        <f>'22'!D2</f>
        <v>0.98</v>
      </c>
      <c r="G25" s="19">
        <f>'22'!G7</f>
        <v>27000</v>
      </c>
      <c r="H25" s="19">
        <f>'22'!G8</f>
        <v>26500</v>
      </c>
      <c r="I25" s="19">
        <v>9</v>
      </c>
      <c r="J25" s="49">
        <f t="shared" si="3"/>
        <v>238500</v>
      </c>
      <c r="K25" s="45">
        <f t="shared" si="4"/>
        <v>131.1881188118812</v>
      </c>
      <c r="L25" s="19" t="e">
        <f>'22'!G15</f>
        <v>#VALUE!</v>
      </c>
      <c r="M25" s="19">
        <v>56.2</v>
      </c>
      <c r="N25" s="41" t="e">
        <f t="shared" si="5"/>
        <v>#VALUE!</v>
      </c>
      <c r="O25" s="19">
        <f>'22'!G20</f>
        <v>296</v>
      </c>
      <c r="P25" s="19">
        <v>108</v>
      </c>
      <c r="Q25" s="46">
        <f t="shared" si="0"/>
        <v>31968</v>
      </c>
      <c r="R25" s="47">
        <f t="shared" si="1"/>
        <v>149.52515659729238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116</v>
      </c>
      <c r="W25" s="22">
        <f>'22'!G66</f>
        <v>13</v>
      </c>
      <c r="X25" s="22">
        <f>'22'!G67</f>
        <v>82</v>
      </c>
      <c r="Y25" s="22">
        <f t="shared" si="7"/>
        <v>211</v>
      </c>
      <c r="Z25" s="19">
        <f>'22'!G84</f>
        <v>0</v>
      </c>
      <c r="AA25" s="19">
        <f>'22'!G85</f>
        <v>24</v>
      </c>
      <c r="AB25" s="19">
        <f>'22'!G86</f>
        <v>17.090000000003783</v>
      </c>
      <c r="AC25" s="19">
        <f>'22'!G87</f>
        <v>0</v>
      </c>
      <c r="AD25" s="19">
        <f t="shared" si="8"/>
        <v>41.090000000003783</v>
      </c>
      <c r="AE25" s="23">
        <f t="shared" si="2"/>
        <v>8506.1299999999756</v>
      </c>
      <c r="AF25" s="23">
        <f t="shared" si="9"/>
        <v>207.0121684107859</v>
      </c>
      <c r="AG25" s="19">
        <f>'22'!G88</f>
        <v>0</v>
      </c>
      <c r="AH25" s="19">
        <f>'22'!G89</f>
        <v>9.1000000000021828</v>
      </c>
      <c r="AI25" s="19">
        <f>'22'!G90</f>
        <v>10.75</v>
      </c>
      <c r="AJ25" s="19">
        <f t="shared" si="10"/>
        <v>19.850000000002183</v>
      </c>
      <c r="AK25" s="19">
        <f>'22'!G91</f>
        <v>11.890000000000327</v>
      </c>
      <c r="AL25" s="19">
        <f>'22'!G92</f>
        <v>0</v>
      </c>
      <c r="AM25" s="19"/>
      <c r="AN25" s="19">
        <f t="shared" si="11"/>
        <v>11.890000000000327</v>
      </c>
      <c r="AO25" s="52">
        <f>'22'!G74</f>
        <v>321.5</v>
      </c>
      <c r="AP25" s="55">
        <f>'22'!G35</f>
        <v>2146.2000000000116</v>
      </c>
      <c r="AQ25" s="19">
        <f>'22'!G37</f>
        <v>1773.3300000000163</v>
      </c>
      <c r="AR25" s="19">
        <f>'22'!G38</f>
        <v>2323.6000000000058</v>
      </c>
      <c r="AS25" s="19">
        <f>'22'!G39</f>
        <v>3155.179999999993</v>
      </c>
      <c r="AT25" s="19">
        <f>'22'!G40</f>
        <v>623.37000000000262</v>
      </c>
      <c r="AU25" s="19">
        <f>'22'!G41</f>
        <v>0</v>
      </c>
      <c r="AV25" s="19">
        <f>'22'!G42</f>
        <v>5837.039999999979</v>
      </c>
      <c r="AW25" s="19">
        <f>'22'!G43</f>
        <v>3471.6199999999953</v>
      </c>
      <c r="AX25" s="23">
        <f>'22'!G44</f>
        <v>0</v>
      </c>
      <c r="AY25" s="56">
        <f>'22'!G36</f>
        <v>1008.9499999999971</v>
      </c>
      <c r="AZ25" s="55">
        <f>'22'!G49</f>
        <v>1778.2600000000093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470.61000000000058</v>
      </c>
      <c r="BE25" s="19">
        <f>'22'!G55</f>
        <v>2669.0899999999965</v>
      </c>
      <c r="BF25" s="19">
        <f>'22'!G56</f>
        <v>0</v>
      </c>
      <c r="BG25" s="19">
        <f>'22'!G57</f>
        <v>0</v>
      </c>
      <c r="BH25" s="56">
        <f>'22'!G50</f>
        <v>1197.1199999999953</v>
      </c>
      <c r="BI25" s="60">
        <f t="shared" si="12"/>
        <v>8506.1299999999756</v>
      </c>
      <c r="BJ25" s="60">
        <f>'22'!G133</f>
        <v>905.19000000000233</v>
      </c>
      <c r="BK25" s="23">
        <f t="shared" si="13"/>
        <v>60.008339622641479</v>
      </c>
      <c r="BL25" s="23">
        <f t="shared" si="14"/>
        <v>11.906339622641482</v>
      </c>
      <c r="BM25" s="24">
        <f t="shared" si="15"/>
        <v>8.7683018867924747E-2</v>
      </c>
      <c r="BN25" s="25" t="e">
        <f t="shared" si="16"/>
        <v>#VALUE!</v>
      </c>
      <c r="BO25" s="38">
        <f t="shared" si="17"/>
        <v>12882.939999999973</v>
      </c>
      <c r="BP25">
        <f t="shared" si="18"/>
        <v>1.1197493307373003</v>
      </c>
    </row>
    <row r="26" spans="1:68">
      <c r="A26" s="16">
        <v>23</v>
      </c>
      <c r="B26" s="27">
        <v>23</v>
      </c>
      <c r="C26" s="28"/>
      <c r="D26" s="19">
        <f>'23'!D3</f>
        <v>29</v>
      </c>
      <c r="E26" s="50">
        <f>'23'!D4</f>
        <v>0.79</v>
      </c>
      <c r="F26" s="50">
        <f>'23'!D2</f>
        <v>0.99</v>
      </c>
      <c r="G26" s="19">
        <f>'23'!G7</f>
        <v>27000</v>
      </c>
      <c r="H26" s="19">
        <f>'23'!G8</f>
        <v>26500</v>
      </c>
      <c r="I26" s="19">
        <v>9</v>
      </c>
      <c r="J26" s="49">
        <f t="shared" si="3"/>
        <v>238500</v>
      </c>
      <c r="K26" s="45">
        <f t="shared" si="4"/>
        <v>131.1881188118812</v>
      </c>
      <c r="L26" s="19" t="e">
        <f>'23'!G15</f>
        <v>#VALUE!</v>
      </c>
      <c r="M26" s="19">
        <v>56.2</v>
      </c>
      <c r="N26" s="41" t="e">
        <f t="shared" si="5"/>
        <v>#VALUE!</v>
      </c>
      <c r="O26" s="19">
        <f>'23'!G20</f>
        <v>291</v>
      </c>
      <c r="P26" s="19">
        <v>108</v>
      </c>
      <c r="Q26" s="46">
        <f t="shared" si="0"/>
        <v>31428</v>
      </c>
      <c r="R26" s="47">
        <f t="shared" si="1"/>
        <v>145.51455145514552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150</v>
      </c>
      <c r="W26" s="22">
        <f>'23'!G66</f>
        <v>17</v>
      </c>
      <c r="X26" s="22">
        <f>'23'!G67</f>
        <v>89</v>
      </c>
      <c r="Y26" s="22">
        <f t="shared" si="7"/>
        <v>256</v>
      </c>
      <c r="Z26" s="19">
        <f>'23'!G84</f>
        <v>6.1299999999973807</v>
      </c>
      <c r="AA26" s="19">
        <f>'23'!G85</f>
        <v>24</v>
      </c>
      <c r="AB26" s="19">
        <f>'23'!G86</f>
        <v>18.930000000000291</v>
      </c>
      <c r="AC26" s="19">
        <f>'23'!G87</f>
        <v>0</v>
      </c>
      <c r="AD26" s="19">
        <f t="shared" si="8"/>
        <v>49.059999999997672</v>
      </c>
      <c r="AE26" s="23">
        <f t="shared" si="2"/>
        <v>9799.2200000000503</v>
      </c>
      <c r="AF26" s="23">
        <f t="shared" si="9"/>
        <v>199.73950264982705</v>
      </c>
      <c r="AG26" s="19">
        <f>'23'!G88</f>
        <v>7.6300000000010186</v>
      </c>
      <c r="AH26" s="19">
        <f>'23'!G89</f>
        <v>3.4799999999995634</v>
      </c>
      <c r="AI26" s="19">
        <f>'23'!G90</f>
        <v>11.180000000007567</v>
      </c>
      <c r="AJ26" s="19">
        <f t="shared" si="10"/>
        <v>22.290000000008149</v>
      </c>
      <c r="AK26" s="19">
        <f>'23'!G91</f>
        <v>11.7199999999998</v>
      </c>
      <c r="AL26" s="19">
        <f>'23'!G92</f>
        <v>0</v>
      </c>
      <c r="AM26" s="19"/>
      <c r="AN26" s="19">
        <f t="shared" si="11"/>
        <v>11.7199999999998</v>
      </c>
      <c r="AO26" s="52">
        <f>'23'!G74</f>
        <v>318.35999999998603</v>
      </c>
      <c r="AP26" s="55">
        <f>'23'!G35</f>
        <v>2048.820000000007</v>
      </c>
      <c r="AQ26" s="19">
        <f>'23'!G37</f>
        <v>1861.7399999999907</v>
      </c>
      <c r="AR26" s="19">
        <f>'23'!G38</f>
        <v>2416.6600000000035</v>
      </c>
      <c r="AS26" s="19">
        <f>'23'!G39</f>
        <v>3156.7999999999884</v>
      </c>
      <c r="AT26" s="19">
        <f>'23'!G40</f>
        <v>597.41999999999825</v>
      </c>
      <c r="AU26" s="19">
        <f>'23'!G41</f>
        <v>1203.51</v>
      </c>
      <c r="AV26" s="19">
        <f>'23'!G42</f>
        <v>5667.9800000000396</v>
      </c>
      <c r="AW26" s="19">
        <f>'23'!G43</f>
        <v>3760.5599999999977</v>
      </c>
      <c r="AX26" s="23">
        <f>'23'!G44</f>
        <v>0</v>
      </c>
      <c r="AY26" s="56">
        <f>'23'!G36</f>
        <v>1296.0200000000041</v>
      </c>
      <c r="AZ26" s="55">
        <f>'23'!G49</f>
        <v>1874.6000000000058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454.84000000000378</v>
      </c>
      <c r="BE26" s="19">
        <f>'23'!G55</f>
        <v>2927.7300000000105</v>
      </c>
      <c r="BF26" s="19">
        <f>'23'!G56</f>
        <v>0</v>
      </c>
      <c r="BG26" s="19">
        <f>'23'!G57</f>
        <v>0</v>
      </c>
      <c r="BH26" s="56">
        <f>'23'!G50</f>
        <v>1403.3300000000163</v>
      </c>
      <c r="BI26" s="60">
        <f t="shared" si="12"/>
        <v>9799.2200000000503</v>
      </c>
      <c r="BJ26" s="60">
        <f>'23'!G133</f>
        <v>987.52999999999884</v>
      </c>
      <c r="BK26" s="23">
        <f t="shared" si="13"/>
        <v>65.97433962264175</v>
      </c>
      <c r="BL26" s="23">
        <f t="shared" si="14"/>
        <v>11.912452830188636</v>
      </c>
      <c r="BM26" s="24">
        <f t="shared" si="15"/>
        <v>9.1194716981132212E-2</v>
      </c>
      <c r="BN26" s="25" t="e">
        <f t="shared" si="16"/>
        <v>#VALUE!</v>
      </c>
      <c r="BO26" s="38">
        <f t="shared" si="17"/>
        <v>14547.310000000047</v>
      </c>
      <c r="BP26">
        <f t="shared" si="18"/>
        <v>1.059002824529784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1</v>
      </c>
      <c r="G27" s="19">
        <f>'24'!G7</f>
        <v>27000</v>
      </c>
      <c r="H27" s="19">
        <f>'24'!G8</f>
        <v>26500</v>
      </c>
      <c r="I27" s="19">
        <v>9</v>
      </c>
      <c r="J27" s="49">
        <f t="shared" si="3"/>
        <v>238500</v>
      </c>
      <c r="K27" s="45">
        <f t="shared" si="4"/>
        <v>131.1881188118812</v>
      </c>
      <c r="L27" s="19" t="e">
        <f>'24'!G15</f>
        <v>#VALUE!</v>
      </c>
      <c r="M27" s="19">
        <v>56.2</v>
      </c>
      <c r="N27" s="41" t="e">
        <f t="shared" si="5"/>
        <v>#VALUE!</v>
      </c>
      <c r="O27" s="19">
        <f>'24'!G20</f>
        <v>307</v>
      </c>
      <c r="P27" s="19">
        <v>108</v>
      </c>
      <c r="Q27" s="46">
        <f t="shared" si="0"/>
        <v>33156</v>
      </c>
      <c r="R27" s="47">
        <f t="shared" si="1"/>
        <v>151.98019801980197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94</v>
      </c>
      <c r="W27" s="22">
        <f>'24'!G66</f>
        <v>20</v>
      </c>
      <c r="X27" s="22">
        <f>'24'!G67</f>
        <v>83</v>
      </c>
      <c r="Y27" s="22">
        <f t="shared" si="7"/>
        <v>197</v>
      </c>
      <c r="Z27" s="19">
        <f>'24'!G84</f>
        <v>15.739999999997963</v>
      </c>
      <c r="AA27" s="19">
        <f>'24'!G85</f>
        <v>23.190000000000055</v>
      </c>
      <c r="AB27" s="19">
        <f>'24'!G86</f>
        <v>5.2900000000008731</v>
      </c>
      <c r="AC27" s="19">
        <f>'24'!G87</f>
        <v>0</v>
      </c>
      <c r="AD27" s="19">
        <f t="shared" si="8"/>
        <v>44.21999999999889</v>
      </c>
      <c r="AE27" s="23">
        <f t="shared" si="2"/>
        <v>10213.349999999973</v>
      </c>
      <c r="AF27" s="23">
        <f t="shared" si="9"/>
        <v>230.96675712347871</v>
      </c>
      <c r="AG27" s="19">
        <f>'24'!G88</f>
        <v>4.6899999999986903</v>
      </c>
      <c r="AH27" s="19">
        <f>'24'!G89</f>
        <v>7.3099999999976717</v>
      </c>
      <c r="AI27" s="19">
        <f>'24'!G90</f>
        <v>5.8499999999912689</v>
      </c>
      <c r="AJ27" s="19">
        <f t="shared" si="10"/>
        <v>17.849999999987631</v>
      </c>
      <c r="AK27" s="19">
        <f>'24'!G91</f>
        <v>10.7800000000002</v>
      </c>
      <c r="AL27" s="19">
        <f>'24'!G92</f>
        <v>0</v>
      </c>
      <c r="AM27" s="19"/>
      <c r="AN27" s="19">
        <f t="shared" si="11"/>
        <v>10.7800000000002</v>
      </c>
      <c r="AO27" s="52">
        <f>'24'!G74</f>
        <v>292.45000000006985</v>
      </c>
      <c r="AP27" s="55">
        <f>'24'!G35</f>
        <v>2081</v>
      </c>
      <c r="AQ27" s="19">
        <f>'24'!G37</f>
        <v>1735.3999999999942</v>
      </c>
      <c r="AR27" s="19">
        <f>'24'!G38</f>
        <v>2360.539999999979</v>
      </c>
      <c r="AS27" s="19">
        <f>'24'!G39</f>
        <v>3178.3800000000047</v>
      </c>
      <c r="AT27" s="19">
        <f>'24'!G40</f>
        <v>526.69999999999709</v>
      </c>
      <c r="AU27" s="19">
        <f>'24'!G41</f>
        <v>3748.1899999999996</v>
      </c>
      <c r="AV27" s="19">
        <f>'24'!G42</f>
        <v>5790.7799999999697</v>
      </c>
      <c r="AW27" s="19">
        <f>'24'!G43</f>
        <v>3676.7799999999697</v>
      </c>
      <c r="AX27" s="23">
        <f>'24'!G44</f>
        <v>0</v>
      </c>
      <c r="AY27" s="56">
        <f>'24'!G36</f>
        <v>1272.2700000000041</v>
      </c>
      <c r="AZ27" s="55">
        <f>'24'!G49</f>
        <v>1837.0599999999977</v>
      </c>
      <c r="BA27" s="19">
        <f>'24'!G51</f>
        <v>0</v>
      </c>
      <c r="BB27" s="19">
        <f>'24'!G52</f>
        <v>0.24000000000000021</v>
      </c>
      <c r="BC27" s="19">
        <f>'24'!G53</f>
        <v>0</v>
      </c>
      <c r="BD27" s="19">
        <f>'24'!G54</f>
        <v>465.11000000000058</v>
      </c>
      <c r="BE27" s="19">
        <f>'24'!G55</f>
        <v>674.38000000000466</v>
      </c>
      <c r="BF27" s="19">
        <f>'24'!G56</f>
        <v>0</v>
      </c>
      <c r="BG27" s="19">
        <f>'24'!G57</f>
        <v>0</v>
      </c>
      <c r="BH27" s="56">
        <f>'24'!G50</f>
        <v>1356.2699999999895</v>
      </c>
      <c r="BI27" s="60">
        <f t="shared" si="12"/>
        <v>10213.349999999973</v>
      </c>
      <c r="BJ27" s="60">
        <f>'24'!G133</f>
        <v>952.64999999999418</v>
      </c>
      <c r="BK27" s="23">
        <f t="shared" si="13"/>
        <v>67.200716981131848</v>
      </c>
      <c r="BL27" s="23">
        <f t="shared" si="14"/>
        <v>11.993886792452848</v>
      </c>
      <c r="BM27" s="24">
        <f t="shared" si="15"/>
        <v>8.9086037735848264E-2</v>
      </c>
      <c r="BN27" s="25" t="e">
        <f t="shared" si="16"/>
        <v>#VALUE!</v>
      </c>
      <c r="BO27" s="38">
        <f t="shared" si="17"/>
        <v>14842.779999999937</v>
      </c>
      <c r="BP27">
        <f t="shared" si="18"/>
        <v>1.1987772178070935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27000</v>
      </c>
      <c r="H28" s="19">
        <f>'25'!G8</f>
        <v>26500</v>
      </c>
      <c r="I28" s="19">
        <v>9</v>
      </c>
      <c r="J28" s="49">
        <f t="shared" si="3"/>
        <v>238500</v>
      </c>
      <c r="K28" s="45">
        <f t="shared" si="4"/>
        <v>131.1881188118812</v>
      </c>
      <c r="L28" s="19" t="e">
        <f>'25'!G15</f>
        <v>#VALUE!</v>
      </c>
      <c r="M28" s="19">
        <v>56.2</v>
      </c>
      <c r="N28" s="41" t="e">
        <f t="shared" si="5"/>
        <v>#VALUE!</v>
      </c>
      <c r="O28" s="19">
        <f>'25'!G20</f>
        <v>381</v>
      </c>
      <c r="P28" s="19">
        <v>108</v>
      </c>
      <c r="Q28" s="46">
        <f t="shared" si="0"/>
        <v>41148</v>
      </c>
      <c r="R28" s="47">
        <f t="shared" si="1"/>
        <v>192.46312386340674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116</v>
      </c>
      <c r="W28" s="22">
        <f>'25'!G66</f>
        <v>15</v>
      </c>
      <c r="X28" s="22">
        <f>'25'!G67</f>
        <v>80</v>
      </c>
      <c r="Y28" s="22">
        <f t="shared" si="7"/>
        <v>211</v>
      </c>
      <c r="Z28" s="19">
        <f>'25'!G84</f>
        <v>16.730000000003201</v>
      </c>
      <c r="AA28" s="19">
        <f>'25'!G85</f>
        <v>23.630000000000109</v>
      </c>
      <c r="AB28" s="19">
        <f>'25'!G86</f>
        <v>0</v>
      </c>
      <c r="AC28" s="19">
        <f>'25'!G87</f>
        <v>-5.9999999997671694E-2</v>
      </c>
      <c r="AD28" s="19">
        <f t="shared" si="8"/>
        <v>40.300000000005639</v>
      </c>
      <c r="AE28" s="23">
        <f t="shared" si="2"/>
        <v>3461.9000000000005</v>
      </c>
      <c r="AF28" s="23">
        <f t="shared" si="9"/>
        <v>85.903225806439607</v>
      </c>
      <c r="AG28" s="19">
        <f>'25'!G88</f>
        <v>0</v>
      </c>
      <c r="AH28" s="19">
        <f>'25'!G89</f>
        <v>10.340000000000146</v>
      </c>
      <c r="AI28" s="19">
        <f>'25'!G90</f>
        <v>10.610000000000582</v>
      </c>
      <c r="AJ28" s="19">
        <f t="shared" si="10"/>
        <v>20.950000000000728</v>
      </c>
      <c r="AK28" s="19">
        <f>'25'!G91</f>
        <v>12.049999999999727</v>
      </c>
      <c r="AL28" s="19">
        <f>'25'!G92</f>
        <v>0</v>
      </c>
      <c r="AM28" s="19"/>
      <c r="AN28" s="19">
        <f t="shared" si="11"/>
        <v>12.049999999999727</v>
      </c>
      <c r="AO28" s="52">
        <f>'25'!G74</f>
        <v>328.10999999998603</v>
      </c>
      <c r="AP28" s="55">
        <f>'25'!G35</f>
        <v>2131.6199999999953</v>
      </c>
      <c r="AQ28" s="19">
        <f>'25'!G37</f>
        <v>1762.0599999999977</v>
      </c>
      <c r="AR28" s="19">
        <f>'25'!G38</f>
        <v>2402.460000000021</v>
      </c>
      <c r="AS28" s="19">
        <f>'25'!G39</f>
        <v>3106.2800000000279</v>
      </c>
      <c r="AT28" s="19">
        <f>'25'!G40</f>
        <v>688.05000000000291</v>
      </c>
      <c r="AU28" s="19">
        <f>'25'!G41</f>
        <v>3461.9000000000005</v>
      </c>
      <c r="AV28" s="19"/>
      <c r="AW28" s="19">
        <f>'25'!G43</f>
        <v>3475.4000000000233</v>
      </c>
      <c r="AX28" s="23">
        <f>'25'!G44</f>
        <v>0</v>
      </c>
      <c r="AY28" s="56">
        <f>'25'!G36</f>
        <v>935.1299999999901</v>
      </c>
      <c r="AZ28" s="55">
        <f>'25'!G49</f>
        <v>1843.859999999986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465.11000000000058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1088.4800000000105</v>
      </c>
      <c r="BI28" s="60">
        <f t="shared" si="12"/>
        <v>3461.9000000000005</v>
      </c>
      <c r="BJ28" s="60">
        <f>'25'!G133</f>
        <v>920.63000000000466</v>
      </c>
      <c r="BK28" s="23">
        <f t="shared" si="13"/>
        <v>41.180301886792478</v>
      </c>
      <c r="BL28" s="23">
        <f t="shared" si="14"/>
        <v>11.721811320754822</v>
      </c>
      <c r="BM28" s="24">
        <f t="shared" si="15"/>
        <v>9.0658867924529096E-2</v>
      </c>
      <c r="BN28" s="25" t="e">
        <f t="shared" si="16"/>
        <v>#VALUE!</v>
      </c>
      <c r="BO28" s="38">
        <f t="shared" si="17"/>
        <v>7857.9300000000285</v>
      </c>
      <c r="BP28">
        <f t="shared" si="18"/>
        <v>0.69637805742634962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1</v>
      </c>
      <c r="G29" s="19">
        <f>'26'!G7</f>
        <v>27000</v>
      </c>
      <c r="H29" s="19">
        <f>'26'!G8</f>
        <v>26500</v>
      </c>
      <c r="I29" s="19">
        <v>9</v>
      </c>
      <c r="J29" s="49">
        <f t="shared" si="3"/>
        <v>238500</v>
      </c>
      <c r="K29" s="45">
        <f t="shared" si="4"/>
        <v>131.1881188118812</v>
      </c>
      <c r="L29" s="19" t="e">
        <f>'26'!G15</f>
        <v>#VALUE!</v>
      </c>
      <c r="M29" s="19">
        <v>56.2</v>
      </c>
      <c r="N29" s="41" t="e">
        <f t="shared" si="5"/>
        <v>#VALUE!</v>
      </c>
      <c r="O29" s="19">
        <f>'26'!G20</f>
        <v>328</v>
      </c>
      <c r="P29" s="19">
        <v>108</v>
      </c>
      <c r="Q29" s="46">
        <f t="shared" si="0"/>
        <v>35424</v>
      </c>
      <c r="R29" s="47">
        <f t="shared" si="1"/>
        <v>162.37623762376236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132</v>
      </c>
      <c r="W29" s="22">
        <f>'26'!G66</f>
        <v>14</v>
      </c>
      <c r="X29" s="22">
        <f>'26'!G67</f>
        <v>80</v>
      </c>
      <c r="Y29" s="22">
        <f t="shared" si="7"/>
        <v>226</v>
      </c>
      <c r="Z29" s="19">
        <f>'26'!G84</f>
        <v>15.30000000000291</v>
      </c>
      <c r="AA29" s="19">
        <f>'26'!G85</f>
        <v>24.369999999999891</v>
      </c>
      <c r="AB29" s="19">
        <f>'26'!G86</f>
        <v>0</v>
      </c>
      <c r="AC29" s="19">
        <f>'26'!G87</f>
        <v>0</v>
      </c>
      <c r="AD29" s="19">
        <f t="shared" si="8"/>
        <v>39.670000000002801</v>
      </c>
      <c r="AE29" s="23">
        <f t="shared" si="2"/>
        <v>9058.4999999999527</v>
      </c>
      <c r="AF29" s="23">
        <f t="shared" si="9"/>
        <v>228.34635744893654</v>
      </c>
      <c r="AG29" s="19">
        <f>'26'!G88</f>
        <v>0</v>
      </c>
      <c r="AH29" s="19">
        <f>'26'!G89</f>
        <v>10.25</v>
      </c>
      <c r="AI29" s="19">
        <f>'26'!G90</f>
        <v>9.4600000000064028</v>
      </c>
      <c r="AJ29" s="19">
        <f t="shared" si="10"/>
        <v>19.710000000006403</v>
      </c>
      <c r="AK29" s="19">
        <f>'26'!G91</f>
        <v>10.990000000000236</v>
      </c>
      <c r="AL29" s="19">
        <f>'26'!G92</f>
        <v>0</v>
      </c>
      <c r="AM29" s="19"/>
      <c r="AN29" s="19">
        <f t="shared" si="11"/>
        <v>10.990000000000236</v>
      </c>
      <c r="AO29" s="52">
        <f>'26'!G74</f>
        <v>306.09999999997672</v>
      </c>
      <c r="AP29" s="55">
        <f>'26'!G35</f>
        <v>2058.2000000000116</v>
      </c>
      <c r="AQ29" s="19">
        <f>'26'!G37</f>
        <v>1702.9800000000105</v>
      </c>
      <c r="AR29" s="19">
        <f>'26'!G38</f>
        <v>2440.0999999999767</v>
      </c>
      <c r="AS29" s="19">
        <f>'26'!G39</f>
        <v>2871.9400000000023</v>
      </c>
      <c r="AT29" s="19">
        <f>'26'!G40</f>
        <v>764.09999999999854</v>
      </c>
      <c r="AU29" s="19">
        <f>'26'!G41</f>
        <v>3421.2999999999993</v>
      </c>
      <c r="AV29" s="19">
        <f>'26'!G42</f>
        <v>5637.1999999999534</v>
      </c>
      <c r="AW29" s="19">
        <f>'26'!G43</f>
        <v>3310.7999999999884</v>
      </c>
      <c r="AX29" s="23">
        <f>'26'!G44</f>
        <v>0</v>
      </c>
      <c r="AY29" s="56">
        <f>'26'!G36</f>
        <v>1097.4500000000116</v>
      </c>
      <c r="AZ29" s="55">
        <f>'26'!G49</f>
        <v>1763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474.86999999999534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1098.8500000000058</v>
      </c>
      <c r="BI29" s="60">
        <f t="shared" si="12"/>
        <v>9058.4999999999527</v>
      </c>
      <c r="BJ29" s="60">
        <f>'26'!G133</f>
        <v>868.16000000000349</v>
      </c>
      <c r="BK29" s="23">
        <f t="shared" si="13"/>
        <v>61.096226415094158</v>
      </c>
      <c r="BL29" s="23">
        <f t="shared" si="14"/>
        <v>10.837509433962273</v>
      </c>
      <c r="BM29" s="24">
        <f t="shared" si="15"/>
        <v>9.2079245283017988E-2</v>
      </c>
      <c r="BN29" s="25" t="e">
        <f t="shared" si="16"/>
        <v>#VALUE!</v>
      </c>
      <c r="BO29" s="38">
        <f t="shared" si="17"/>
        <v>13237.459999999945</v>
      </c>
      <c r="BP29">
        <f t="shared" si="18"/>
        <v>1.1917479923654983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27000</v>
      </c>
      <c r="H30" s="19">
        <f>'27'!G8</f>
        <v>26500</v>
      </c>
      <c r="I30" s="19">
        <v>9</v>
      </c>
      <c r="J30" s="49">
        <f t="shared" si="3"/>
        <v>238500</v>
      </c>
      <c r="K30" s="45">
        <f t="shared" si="4"/>
        <v>131.1881188118812</v>
      </c>
      <c r="L30" s="19" t="e">
        <f>'27'!G15</f>
        <v>#VALUE!</v>
      </c>
      <c r="M30" s="19">
        <v>56.2</v>
      </c>
      <c r="N30" s="41" t="e">
        <f t="shared" si="5"/>
        <v>#VALUE!</v>
      </c>
      <c r="O30" s="19">
        <f>'27'!G20</f>
        <v>280</v>
      </c>
      <c r="P30" s="19">
        <v>108</v>
      </c>
      <c r="Q30" s="46">
        <f t="shared" si="0"/>
        <v>30240</v>
      </c>
      <c r="R30" s="47">
        <f t="shared" si="1"/>
        <v>182.38665971860343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116</v>
      </c>
      <c r="W30" s="22">
        <f>'27'!G66</f>
        <v>12</v>
      </c>
      <c r="X30" s="22">
        <f>'27'!G67</f>
        <v>78</v>
      </c>
      <c r="Y30" s="22">
        <f t="shared" si="7"/>
        <v>206</v>
      </c>
      <c r="Z30" s="19">
        <f>'27'!G84</f>
        <v>14.69999999999709</v>
      </c>
      <c r="AA30" s="19">
        <f>'27'!G85</f>
        <v>23.599999999999909</v>
      </c>
      <c r="AB30" s="19">
        <f>'27'!G86</f>
        <v>0</v>
      </c>
      <c r="AC30" s="19">
        <f>'27'!G87</f>
        <v>0</v>
      </c>
      <c r="AD30" s="19">
        <f t="shared" si="8"/>
        <v>38.299999999996999</v>
      </c>
      <c r="AE30" s="23">
        <f t="shared" si="2"/>
        <v>9133.9600000000155</v>
      </c>
      <c r="AF30" s="23">
        <f t="shared" si="9"/>
        <v>238.48459530028018</v>
      </c>
      <c r="AG30" s="19">
        <f>'27'!G88</f>
        <v>-9.9999999983992893E-3</v>
      </c>
      <c r="AH30" s="19">
        <f>'27'!G89</f>
        <v>8.9900000000016007</v>
      </c>
      <c r="AI30" s="19">
        <f>'27'!G90</f>
        <v>9.5299999999988358</v>
      </c>
      <c r="AJ30" s="19">
        <f t="shared" si="10"/>
        <v>18.510000000002037</v>
      </c>
      <c r="AK30" s="19">
        <f>'27'!G91</f>
        <v>11.949999999999818</v>
      </c>
      <c r="AL30" s="19">
        <f>'27'!G92</f>
        <v>0</v>
      </c>
      <c r="AM30" s="19"/>
      <c r="AN30" s="19">
        <f t="shared" si="11"/>
        <v>11.949999999999818</v>
      </c>
      <c r="AO30" s="52">
        <f>'27'!G74</f>
        <v>317</v>
      </c>
      <c r="AP30" s="55">
        <f>'27'!G35</f>
        <v>2069.109999999986</v>
      </c>
      <c r="AQ30" s="19">
        <f>'27'!G37</f>
        <v>1751.3699999999953</v>
      </c>
      <c r="AR30" s="19">
        <f>'27'!G38</f>
        <v>2459.9500000000116</v>
      </c>
      <c r="AS30" s="19">
        <f>'27'!G39</f>
        <v>2859.6699999999837</v>
      </c>
      <c r="AT30" s="19">
        <f>'27'!G40</f>
        <v>772.5</v>
      </c>
      <c r="AU30" s="19">
        <f>'27'!G41</f>
        <v>3426.1000000000004</v>
      </c>
      <c r="AV30" s="19">
        <f>'27'!G42</f>
        <v>5707.5300000000279</v>
      </c>
      <c r="AW30" s="19">
        <f>'27'!G43</f>
        <v>3295.570000000007</v>
      </c>
      <c r="AX30" s="23">
        <f>'27'!G44</f>
        <v>0</v>
      </c>
      <c r="AY30" s="56">
        <f>'27'!G36</f>
        <v>1058.1499999999942</v>
      </c>
      <c r="AZ30" s="55">
        <f>'27'!G49</f>
        <v>1764.1900000000023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474.30000000000291</v>
      </c>
      <c r="BE30" s="19">
        <f>'27'!G55</f>
        <v>-1.0000000009313226E-2</v>
      </c>
      <c r="BF30" s="19">
        <f>'27'!G56</f>
        <v>0.33999999999650754</v>
      </c>
      <c r="BG30" s="19">
        <f>'27'!G57</f>
        <v>0</v>
      </c>
      <c r="BH30" s="56">
        <f>'27'!G50</f>
        <v>1105.7999999999884</v>
      </c>
      <c r="BI30" s="60">
        <f t="shared" si="12"/>
        <v>9133.9600000000155</v>
      </c>
      <c r="BJ30" s="60">
        <f>'27'!G133</f>
        <v>862.25</v>
      </c>
      <c r="BK30" s="23">
        <f t="shared" si="13"/>
        <v>61.369169811320795</v>
      </c>
      <c r="BL30" s="23">
        <f t="shared" si="14"/>
        <v>10.79120754716975</v>
      </c>
      <c r="BM30" s="24">
        <f t="shared" si="15"/>
        <v>9.2828301886792891E-2</v>
      </c>
      <c r="BN30" s="25" t="e">
        <f t="shared" si="16"/>
        <v>#VALUE!</v>
      </c>
      <c r="BO30" s="38">
        <f t="shared" si="17"/>
        <v>13291.780000000022</v>
      </c>
      <c r="BP30">
        <f t="shared" si="18"/>
        <v>1.23944237224926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27000</v>
      </c>
      <c r="H31" s="19">
        <f>'28'!G8</f>
        <v>26500</v>
      </c>
      <c r="I31" s="19">
        <v>9</v>
      </c>
      <c r="J31" s="49">
        <f t="shared" si="3"/>
        <v>238500</v>
      </c>
      <c r="K31" s="45">
        <f t="shared" si="4"/>
        <v>131.1881188118812</v>
      </c>
      <c r="L31" s="19" t="e">
        <f>'28'!G15</f>
        <v>#VALUE!</v>
      </c>
      <c r="M31" s="19">
        <v>56.2</v>
      </c>
      <c r="N31" s="41" t="e">
        <f t="shared" si="5"/>
        <v>#VALUE!</v>
      </c>
      <c r="O31" s="19">
        <f>'28'!G20</f>
        <v>313</v>
      </c>
      <c r="P31" s="19">
        <v>108</v>
      </c>
      <c r="Q31" s="46">
        <f t="shared" si="0"/>
        <v>33804</v>
      </c>
      <c r="R31" s="47">
        <f t="shared" si="1"/>
        <v>193.68811881188114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116</v>
      </c>
      <c r="W31" s="22">
        <f>'28'!G66</f>
        <v>17</v>
      </c>
      <c r="X31" s="22">
        <f>'28'!G67</f>
        <v>77</v>
      </c>
      <c r="Y31" s="22">
        <f t="shared" si="7"/>
        <v>210</v>
      </c>
      <c r="Z31" s="19">
        <f>'28'!G84</f>
        <v>24</v>
      </c>
      <c r="AA31" s="19">
        <f>'28'!G85</f>
        <v>17</v>
      </c>
      <c r="AB31" s="19">
        <f>'28'!G86</f>
        <v>-0.48000000000320142</v>
      </c>
      <c r="AC31" s="19">
        <f>'28'!G87</f>
        <v>0</v>
      </c>
      <c r="AD31" s="19">
        <f t="shared" si="8"/>
        <v>40.519999999996799</v>
      </c>
      <c r="AE31" s="23">
        <f t="shared" si="2"/>
        <v>9987</v>
      </c>
      <c r="AF31" s="23">
        <f t="shared" si="9"/>
        <v>246.47087857849922</v>
      </c>
      <c r="AG31" s="19">
        <f>'28'!G88</f>
        <v>1.1699999999982538</v>
      </c>
      <c r="AH31" s="19">
        <f>'28'!G89</f>
        <v>10.069999999999709</v>
      </c>
      <c r="AI31" s="19">
        <f>'28'!G90</f>
        <v>9.9600000000064028</v>
      </c>
      <c r="AJ31" s="19">
        <f t="shared" si="10"/>
        <v>21.200000000004366</v>
      </c>
      <c r="AK31" s="19">
        <f>'28'!G91</f>
        <v>11.940000000000055</v>
      </c>
      <c r="AL31" s="19">
        <f>'28'!G92</f>
        <v>0.17000000000007276</v>
      </c>
      <c r="AM31" s="19"/>
      <c r="AN31" s="19">
        <f t="shared" si="11"/>
        <v>12.110000000000127</v>
      </c>
      <c r="AO31" s="52">
        <f>'28'!G74</f>
        <v>329</v>
      </c>
      <c r="AP31" s="55">
        <f>'28'!G35</f>
        <v>2136</v>
      </c>
      <c r="AQ31" s="19">
        <f>'28'!G37</f>
        <v>1728</v>
      </c>
      <c r="AR31" s="19">
        <f>'28'!G38</f>
        <v>2374</v>
      </c>
      <c r="AS31" s="19">
        <f>'28'!G39</f>
        <v>2899</v>
      </c>
      <c r="AT31" s="19">
        <f>'28'!G40</f>
        <v>760</v>
      </c>
      <c r="AU31" s="19">
        <f>'28'!G41</f>
        <v>6009</v>
      </c>
      <c r="AV31" s="19">
        <f>'28'!G42</f>
        <v>3978</v>
      </c>
      <c r="AW31" s="86">
        <f>'28'!G43</f>
        <v>3306</v>
      </c>
      <c r="AX31" s="23">
        <f>'28'!G44</f>
        <v>0</v>
      </c>
      <c r="AY31" s="56">
        <f>'28'!G36</f>
        <v>886</v>
      </c>
      <c r="AZ31" s="55">
        <f>'28'!G49</f>
        <v>1807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481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1379</v>
      </c>
      <c r="BI31" s="60">
        <f t="shared" si="12"/>
        <v>9987</v>
      </c>
      <c r="BJ31" s="60">
        <f>'28'!G133</f>
        <v>872</v>
      </c>
      <c r="BK31" s="23">
        <f>SUM(AP31,AU31,AV31,AW31,AZ31,BE31,BF31,BG31)/H31%</f>
        <v>65.041509433962261</v>
      </c>
      <c r="BL31" s="23">
        <f t="shared" si="14"/>
        <v>10.939622641509434</v>
      </c>
      <c r="BM31" s="24">
        <f t="shared" si="15"/>
        <v>8.9584905660377356E-2</v>
      </c>
      <c r="BN31" s="25" t="e">
        <f t="shared" si="16"/>
        <v>#VALUE!</v>
      </c>
      <c r="BO31" s="38">
        <f t="shared" si="17"/>
        <v>14165</v>
      </c>
      <c r="BP31">
        <f t="shared" si="18"/>
        <v>1.2485016217741784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27000</v>
      </c>
      <c r="H32" s="19">
        <f>'29'!G8</f>
        <v>26500</v>
      </c>
      <c r="I32" s="19">
        <v>9</v>
      </c>
      <c r="J32" s="49">
        <f t="shared" si="3"/>
        <v>238500</v>
      </c>
      <c r="K32" s="45">
        <f t="shared" si="4"/>
        <v>131.1881188118812</v>
      </c>
      <c r="L32" s="19" t="e">
        <f>'29'!G15</f>
        <v>#VALUE!</v>
      </c>
      <c r="M32" s="19">
        <v>56.2</v>
      </c>
      <c r="N32" s="41" t="e">
        <f t="shared" si="5"/>
        <v>#VALUE!</v>
      </c>
      <c r="O32" s="19">
        <f>'29'!G20</f>
        <v>311</v>
      </c>
      <c r="P32" s="19">
        <v>108</v>
      </c>
      <c r="Q32" s="46">
        <f t="shared" si="0"/>
        <v>33588</v>
      </c>
      <c r="R32" s="47">
        <f t="shared" si="1"/>
        <v>153.96039603960395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112</v>
      </c>
      <c r="W32" s="22">
        <f>'29'!G66</f>
        <v>18</v>
      </c>
      <c r="X32" s="22">
        <f>'29'!G67</f>
        <v>76</v>
      </c>
      <c r="Y32" s="22">
        <f t="shared" si="7"/>
        <v>206</v>
      </c>
      <c r="Z32" s="19">
        <f>'29'!G84</f>
        <v>24</v>
      </c>
      <c r="AA32" s="19">
        <f>'29'!G85</f>
        <v>18.579999999999927</v>
      </c>
      <c r="AB32" s="19">
        <f>'29'!G86</f>
        <v>0</v>
      </c>
      <c r="AC32" s="19">
        <f>'29'!G87</f>
        <v>0</v>
      </c>
      <c r="AD32" s="19">
        <f t="shared" si="8"/>
        <v>42.579999999999927</v>
      </c>
      <c r="AE32" s="23">
        <f t="shared" si="2"/>
        <v>10787</v>
      </c>
      <c r="AF32" s="23">
        <f t="shared" si="9"/>
        <v>253.33489901362185</v>
      </c>
      <c r="AG32" s="19">
        <f>'29'!G88</f>
        <v>-0.16999999999825377</v>
      </c>
      <c r="AH32" s="19">
        <f>'29'!G89</f>
        <v>8.3400000000001455</v>
      </c>
      <c r="AI32" s="19">
        <f>'29'!G90</f>
        <v>8.6499999999941792</v>
      </c>
      <c r="AJ32" s="19">
        <f t="shared" si="10"/>
        <v>16.819999999996071</v>
      </c>
      <c r="AK32" s="19">
        <f>'29'!G91</f>
        <v>11.559999999999945</v>
      </c>
      <c r="AL32" s="19">
        <f>'29'!G92</f>
        <v>-3.999999999996362E-2</v>
      </c>
      <c r="AM32" s="19"/>
      <c r="AN32" s="19">
        <f t="shared" si="11"/>
        <v>11.519999999999982</v>
      </c>
      <c r="AO32" s="52">
        <f>'29'!G74</f>
        <v>317</v>
      </c>
      <c r="AP32" s="55">
        <f>'29'!G35</f>
        <v>2288</v>
      </c>
      <c r="AQ32" s="19">
        <f>'29'!G37</f>
        <v>1726</v>
      </c>
      <c r="AR32" s="19">
        <f>'29'!G38</f>
        <v>2399</v>
      </c>
      <c r="AS32" s="19">
        <f>'29'!G39</f>
        <v>2849</v>
      </c>
      <c r="AT32" s="19">
        <f>'29'!G40</f>
        <v>748</v>
      </c>
      <c r="AU32" s="19">
        <f>'29'!G41</f>
        <v>6045</v>
      </c>
      <c r="AV32" s="19">
        <f>'29'!G42</f>
        <v>4742</v>
      </c>
      <c r="AW32" s="19">
        <f>'29'!G43</f>
        <v>3440</v>
      </c>
      <c r="AX32" s="23">
        <f>'29'!G44</f>
        <v>0</v>
      </c>
      <c r="AY32" s="56">
        <f>'29'!G36</f>
        <v>1210</v>
      </c>
      <c r="AZ32" s="55">
        <f>'29'!G49</f>
        <v>1827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468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1646</v>
      </c>
      <c r="BI32" s="60">
        <f t="shared" si="12"/>
        <v>10787</v>
      </c>
      <c r="BJ32" s="60">
        <f>'29'!G133</f>
        <v>843</v>
      </c>
      <c r="BK32" s="23">
        <f t="shared" si="13"/>
        <v>69.215094339622638</v>
      </c>
      <c r="BL32" s="23">
        <f t="shared" si="14"/>
        <v>10.750943396226415</v>
      </c>
      <c r="BM32" s="24">
        <f t="shared" si="15"/>
        <v>9.052830188679245E-2</v>
      </c>
      <c r="BN32" s="25" t="e">
        <f t="shared" si="16"/>
        <v>#VALUE!</v>
      </c>
      <c r="BO32" s="38">
        <f t="shared" si="17"/>
        <v>15070</v>
      </c>
      <c r="BP32">
        <f t="shared" si="18"/>
        <v>1.2640072468630499</v>
      </c>
    </row>
    <row r="33" spans="1:68">
      <c r="A33" s="16">
        <v>30</v>
      </c>
      <c r="B33" s="27">
        <v>30</v>
      </c>
      <c r="C33" s="28"/>
      <c r="D33" s="19">
        <f>'30'!D3</f>
        <v>32</v>
      </c>
      <c r="E33" s="50">
        <f>'30'!D4</f>
        <v>0.72</v>
      </c>
      <c r="F33" s="50">
        <f>'30'!D2</f>
        <v>0.72</v>
      </c>
      <c r="G33" s="19">
        <f>'30'!G7</f>
        <v>27000</v>
      </c>
      <c r="H33" s="19">
        <f>'30'!G8</f>
        <v>26500</v>
      </c>
      <c r="I33" s="19">
        <v>9</v>
      </c>
      <c r="J33" s="49">
        <f t="shared" si="3"/>
        <v>238500</v>
      </c>
      <c r="K33" s="45">
        <f t="shared" si="4"/>
        <v>131.1881188118812</v>
      </c>
      <c r="L33" s="19" t="e">
        <f>'30'!G15</f>
        <v>#VALUE!</v>
      </c>
      <c r="M33" s="19">
        <v>56.2</v>
      </c>
      <c r="N33" s="41" t="e">
        <f t="shared" si="5"/>
        <v>#VALUE!</v>
      </c>
      <c r="O33" s="19">
        <f>'30'!G20</f>
        <v>379</v>
      </c>
      <c r="P33" s="19">
        <v>108</v>
      </c>
      <c r="Q33" s="46">
        <f t="shared" si="0"/>
        <v>40932</v>
      </c>
      <c r="R33" s="47">
        <f t="shared" si="1"/>
        <v>260.58855885588559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117</v>
      </c>
      <c r="W33" s="22">
        <f>'30'!G66</f>
        <v>26</v>
      </c>
      <c r="X33" s="22">
        <f>'30'!G67</f>
        <v>79</v>
      </c>
      <c r="Y33" s="22">
        <f t="shared" si="7"/>
        <v>222</v>
      </c>
      <c r="Z33" s="19">
        <f>'30'!G84</f>
        <v>0</v>
      </c>
      <c r="AA33" s="19">
        <f>'30'!G85</f>
        <v>24.420000000000073</v>
      </c>
      <c r="AB33" s="19">
        <f>'30'!G86</f>
        <v>15</v>
      </c>
      <c r="AC33" s="19">
        <f>'30'!G87</f>
        <v>0</v>
      </c>
      <c r="AD33" s="19">
        <f t="shared" si="8"/>
        <v>39.420000000000073</v>
      </c>
      <c r="AE33" s="23">
        <f t="shared" si="2"/>
        <v>9046</v>
      </c>
      <c r="AF33" s="23">
        <f t="shared" si="9"/>
        <v>229.47742262810715</v>
      </c>
      <c r="AG33" s="19">
        <f>'30'!G88</f>
        <v>0.11999999999898137</v>
      </c>
      <c r="AH33" s="19">
        <f>'30'!G89</f>
        <v>10.220000000001164</v>
      </c>
      <c r="AI33" s="19">
        <f>'30'!G90</f>
        <v>9.5299999999988358</v>
      </c>
      <c r="AJ33" s="19">
        <f t="shared" si="10"/>
        <v>19.869999999998981</v>
      </c>
      <c r="AK33" s="19">
        <f>'30'!G91</f>
        <v>12.239999999999782</v>
      </c>
      <c r="AL33" s="19">
        <f>'30'!G92</f>
        <v>0</v>
      </c>
      <c r="AM33" s="19"/>
      <c r="AN33" s="19">
        <f t="shared" si="11"/>
        <v>12.239999999999782</v>
      </c>
      <c r="AO33" s="52">
        <f>'30'!G74</f>
        <v>331</v>
      </c>
      <c r="AP33" s="55">
        <f>'30'!G35</f>
        <v>2363</v>
      </c>
      <c r="AQ33" s="19">
        <f>'30'!G37</f>
        <v>1806</v>
      </c>
      <c r="AR33" s="19">
        <f>'30'!G38</f>
        <v>2500</v>
      </c>
      <c r="AS33" s="19">
        <f>'30'!G39</f>
        <v>2900</v>
      </c>
      <c r="AT33" s="19">
        <f>'30'!G40</f>
        <v>714</v>
      </c>
      <c r="AU33" s="19">
        <f>'30'!G41</f>
        <v>315</v>
      </c>
      <c r="AV33" s="19">
        <f>'30'!G42</f>
        <v>6273</v>
      </c>
      <c r="AW33" s="19">
        <f>'30'!G43</f>
        <v>3408</v>
      </c>
      <c r="AX33" s="23">
        <f>'30'!G44</f>
        <v>0</v>
      </c>
      <c r="AY33" s="56">
        <f>'30'!G36</f>
        <v>1131</v>
      </c>
      <c r="AZ33" s="55">
        <f>'30'!G49</f>
        <v>1874</v>
      </c>
      <c r="BA33" s="19">
        <f>'30'!G51</f>
        <v>-0.31999999999999318</v>
      </c>
      <c r="BB33" s="19">
        <f>'30'!G52</f>
        <v>0</v>
      </c>
      <c r="BC33" s="19">
        <f>'30'!G53</f>
        <v>0</v>
      </c>
      <c r="BD33" s="19">
        <f>'30'!G54</f>
        <v>480</v>
      </c>
      <c r="BE33" s="19">
        <f>'30'!G55</f>
        <v>2458</v>
      </c>
      <c r="BF33" s="19">
        <f>'30'!G56</f>
        <v>0</v>
      </c>
      <c r="BG33" s="19">
        <f>'30'!G57</f>
        <v>0</v>
      </c>
      <c r="BH33" s="56">
        <f>'30'!G50</f>
        <v>1782</v>
      </c>
      <c r="BI33" s="60">
        <f t="shared" ref="BI33" si="19">SUM(AU33,AV33,BE33,BF33)</f>
        <v>9046</v>
      </c>
      <c r="BJ33" s="60">
        <f>'30'!G133</f>
        <v>842</v>
      </c>
      <c r="BK33" s="23">
        <f t="shared" si="13"/>
        <v>62.984905660377358</v>
      </c>
      <c r="BL33" s="23">
        <f t="shared" si="14"/>
        <v>10.943396226415095</v>
      </c>
      <c r="BM33" s="24">
        <f t="shared" si="15"/>
        <v>9.4339622641509441E-2</v>
      </c>
      <c r="BN33" s="25" t="e">
        <f t="shared" si="16"/>
        <v>#VALUE!</v>
      </c>
      <c r="BO33" s="38">
        <f t="shared" si="17"/>
        <v>13296</v>
      </c>
      <c r="BP33">
        <f t="shared" si="18"/>
        <v>1.2046096977603804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32</v>
      </c>
      <c r="G34" s="19">
        <f>'31'!G7</f>
        <v>27000</v>
      </c>
      <c r="H34" s="19">
        <f>'31'!G8</f>
        <v>26500</v>
      </c>
      <c r="I34" s="19">
        <v>9</v>
      </c>
      <c r="J34" s="49">
        <f t="shared" si="3"/>
        <v>238500</v>
      </c>
      <c r="K34" s="45">
        <f t="shared" ref="K34" si="20">H34/202</f>
        <v>131.1881188118812</v>
      </c>
      <c r="L34" s="19" t="e">
        <f>'31'!G15</f>
        <v>#VALUE!</v>
      </c>
      <c r="M34" s="19">
        <v>56.2</v>
      </c>
      <c r="N34" s="41" t="e">
        <f t="shared" ref="N34" si="21">L34*M34</f>
        <v>#VALUE!</v>
      </c>
      <c r="O34" s="19">
        <f>'31'!G20</f>
        <v>220</v>
      </c>
      <c r="P34" s="19">
        <v>108</v>
      </c>
      <c r="Q34" s="46">
        <f t="shared" ref="Q34" si="22">O34*P34</f>
        <v>23760</v>
      </c>
      <c r="R34" s="47">
        <f t="shared" si="1"/>
        <v>3.4034653465346536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0</v>
      </c>
      <c r="W34" s="22">
        <f>'31'!G66</f>
        <v>0</v>
      </c>
      <c r="X34" s="22">
        <f>'31'!G67</f>
        <v>0</v>
      </c>
      <c r="Y34" s="22">
        <f t="shared" ref="Y34" si="24">V34+W34+X34</f>
        <v>0</v>
      </c>
      <c r="Z34" s="19">
        <f>'31'!G84</f>
        <v>0</v>
      </c>
      <c r="AA34" s="19">
        <f>'31'!G85</f>
        <v>0</v>
      </c>
      <c r="AB34" s="19">
        <f>'31'!G86</f>
        <v>0</v>
      </c>
      <c r="AC34" s="19">
        <f>'31'!G87</f>
        <v>0</v>
      </c>
      <c r="AD34" s="19">
        <f t="shared" ref="AD34" si="25">Z34+AA34+AB34+AC34</f>
        <v>0</v>
      </c>
      <c r="AE34" s="23">
        <f t="shared" ref="AE34" si="26">AU34+AV34+BE34+BF34</f>
        <v>0</v>
      </c>
      <c r="AF34" s="23" t="e">
        <f t="shared" ref="AF34" si="27">AE34/AD34</f>
        <v>#DIV/0!</v>
      </c>
      <c r="AG34" s="19">
        <f>'31'!G88</f>
        <v>0</v>
      </c>
      <c r="AH34" s="19">
        <f>'31'!G89</f>
        <v>0</v>
      </c>
      <c r="AI34" s="19">
        <f>'31'!G90</f>
        <v>0</v>
      </c>
      <c r="AJ34" s="19">
        <f t="shared" ref="AJ34" si="28">AG34+AH34+AI34</f>
        <v>0</v>
      </c>
      <c r="AK34" s="19">
        <f>'31'!G91</f>
        <v>0</v>
      </c>
      <c r="AL34" s="19">
        <f>'31'!G92</f>
        <v>0</v>
      </c>
      <c r="AM34" s="19"/>
      <c r="AN34" s="19">
        <f t="shared" ref="AN34" si="29">AK34+AL34</f>
        <v>0</v>
      </c>
      <c r="AO34" s="52">
        <f>'31'!G74</f>
        <v>0</v>
      </c>
      <c r="AP34" s="55">
        <f>'31'!G35</f>
        <v>0</v>
      </c>
      <c r="AQ34" s="19">
        <f>'31'!G37</f>
        <v>0</v>
      </c>
      <c r="AR34" s="19">
        <f>'31'!G38</f>
        <v>0</v>
      </c>
      <c r="AS34" s="19">
        <f>'31'!G39</f>
        <v>0</v>
      </c>
      <c r="AT34" s="19">
        <f>'31'!G40</f>
        <v>0</v>
      </c>
      <c r="AU34" s="19">
        <f>'31'!G41</f>
        <v>0</v>
      </c>
      <c r="AV34" s="19">
        <f>'31'!G42</f>
        <v>0</v>
      </c>
      <c r="AW34" s="19">
        <f>'31'!G43</f>
        <v>0</v>
      </c>
      <c r="AX34" s="23">
        <f>'31'!G44</f>
        <v>0</v>
      </c>
      <c r="AY34" s="56">
        <f>'31'!G36</f>
        <v>0</v>
      </c>
      <c r="AZ34" s="55">
        <f>'31'!G49</f>
        <v>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0</v>
      </c>
      <c r="BE34" s="19">
        <f>'31'!G55</f>
        <v>0</v>
      </c>
      <c r="BF34" s="19">
        <f>'31'!G56</f>
        <v>0</v>
      </c>
      <c r="BG34" s="19">
        <f>'31'!G57</f>
        <v>0</v>
      </c>
      <c r="BH34" s="56">
        <f>'31'!G50</f>
        <v>0</v>
      </c>
      <c r="BI34" s="60">
        <f t="shared" ref="BI34" si="30">SUM(AU34,AV34,BE34,BF34)</f>
        <v>0</v>
      </c>
      <c r="BJ34" s="60">
        <f>'31'!G133</f>
        <v>0</v>
      </c>
      <c r="BK34" s="23">
        <f t="shared" ref="BK34" si="31">SUM(AP34,AU34,AV34,AW34,AZ34,BE34,BF34,BG34)/H34%</f>
        <v>0</v>
      </c>
      <c r="BL34" s="23">
        <f t="shared" ref="BL34" si="32">SUM(AS34,BC34)/H34%</f>
        <v>0</v>
      </c>
      <c r="BM34" s="24">
        <f t="shared" ref="BM34" si="33">(AR34+BB34)/H34</f>
        <v>0</v>
      </c>
      <c r="BN34" s="25" t="e">
        <f t="shared" ref="BN34" si="34">J34+N34+Q34+U34</f>
        <v>#VALUE!</v>
      </c>
      <c r="BO34" s="38">
        <f t="shared" ref="BO34" si="35">SUM(AU34,AV34,AW34,BE34,BF34,BG34,BJ34)</f>
        <v>0</v>
      </c>
      <c r="BP34" t="e">
        <f t="shared" ref="BP34" si="36">BO34/(AD34*280)</f>
        <v>#DIV/0!</v>
      </c>
    </row>
    <row r="35" spans="1:68">
      <c r="A35" s="16" t="s">
        <v>196</v>
      </c>
      <c r="B35" s="30"/>
      <c r="C35" s="31"/>
      <c r="D35" s="32">
        <f>AVERAGE(D4:D34)</f>
        <v>29</v>
      </c>
      <c r="E35" s="33"/>
      <c r="F35" s="73">
        <f>AVERAGE(F4:F34)</f>
        <v>1.8539709677419356</v>
      </c>
      <c r="G35" s="34">
        <f>SUM(G4:G34)</f>
        <v>839663</v>
      </c>
      <c r="H35" s="34">
        <f t="shared" ref="H35:BN35" si="37">SUM(H4:H34)</f>
        <v>842412.27999999991</v>
      </c>
      <c r="I35" s="19">
        <v>9</v>
      </c>
      <c r="J35" s="34">
        <f t="shared" si="37"/>
        <v>7581710.5200000005</v>
      </c>
      <c r="K35" s="34">
        <f t="shared" si="37"/>
        <v>4170.3578217821814</v>
      </c>
      <c r="L35" s="34" t="e">
        <f t="shared" si="37"/>
        <v>#VALUE!</v>
      </c>
      <c r="M35" s="34">
        <f t="shared" si="37"/>
        <v>1742.200000000001</v>
      </c>
      <c r="N35" s="34" t="e">
        <f t="shared" si="37"/>
        <v>#VALUE!</v>
      </c>
      <c r="O35" s="34">
        <f t="shared" si="37"/>
        <v>7340</v>
      </c>
      <c r="P35" s="34">
        <f t="shared" si="37"/>
        <v>3348</v>
      </c>
      <c r="Q35" s="34">
        <f t="shared" si="37"/>
        <v>792720</v>
      </c>
      <c r="R35" s="34">
        <f t="shared" si="37"/>
        <v>4421.9509162054501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444705</v>
      </c>
      <c r="W35" s="34">
        <f t="shared" si="37"/>
        <v>0</v>
      </c>
      <c r="X35" s="34">
        <f t="shared" si="37"/>
        <v>0</v>
      </c>
      <c r="Y35" s="34">
        <f t="shared" si="37"/>
        <v>444705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-5304.1600000000544</v>
      </c>
      <c r="AF35" s="34" t="e">
        <f t="shared" si="37"/>
        <v>#DIV/0!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-313.6600000000326</v>
      </c>
      <c r="AP35" s="34">
        <f t="shared" si="37"/>
        <v>0</v>
      </c>
      <c r="AQ35" s="34">
        <f t="shared" si="37"/>
        <v>0</v>
      </c>
      <c r="AR35" s="34">
        <f t="shared" si="37"/>
        <v>0</v>
      </c>
      <c r="AS35" s="34">
        <f t="shared" si="37"/>
        <v>0</v>
      </c>
      <c r="AT35" s="34">
        <f t="shared" si="37"/>
        <v>0</v>
      </c>
      <c r="AU35" s="34">
        <f t="shared" si="37"/>
        <v>-5.4569682106375694E-12</v>
      </c>
      <c r="AV35" s="34">
        <f t="shared" si="37"/>
        <v>-5304.1600000000326</v>
      </c>
      <c r="AW35" s="34">
        <f t="shared" si="37"/>
        <v>0</v>
      </c>
      <c r="AX35" s="34">
        <f t="shared" si="37"/>
        <v>0</v>
      </c>
      <c r="AY35" s="34">
        <f t="shared" si="37"/>
        <v>0</v>
      </c>
      <c r="AZ35" s="34">
        <f t="shared" si="37"/>
        <v>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-17.819999999999709</v>
      </c>
      <c r="BE35" s="34">
        <f t="shared" si="37"/>
        <v>0</v>
      </c>
      <c r="BF35" s="34">
        <f t="shared" si="37"/>
        <v>0</v>
      </c>
      <c r="BG35" s="34">
        <f t="shared" si="37"/>
        <v>0</v>
      </c>
      <c r="BH35" s="34">
        <f t="shared" si="37"/>
        <v>0</v>
      </c>
      <c r="BI35" s="34">
        <f t="shared" si="37"/>
        <v>-5304.1600000000544</v>
      </c>
      <c r="BJ35" s="34">
        <f t="shared" si="37"/>
        <v>-28.550000000017462</v>
      </c>
      <c r="BK35" s="34">
        <f t="shared" si="37"/>
        <v>-63.584647278565022</v>
      </c>
      <c r="BL35" s="34">
        <f t="shared" si="37"/>
        <v>-8.0297915682260328</v>
      </c>
      <c r="BM35" s="34">
        <f t="shared" si="37"/>
        <v>-6.3200752928731868E-2</v>
      </c>
      <c r="BN35" s="34" t="e">
        <f t="shared" si="37"/>
        <v>#VALUE!</v>
      </c>
      <c r="BO35" s="38">
        <f t="shared" si="17"/>
        <v>-5332.7100000000555</v>
      </c>
      <c r="BP35" t="e">
        <f t="shared" si="18"/>
        <v>#DIV/0!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-2.0000000000000018E-2</v>
      </c>
      <c r="F36" s="35">
        <f t="shared" si="38"/>
        <v>-5.9999999999999942E-2</v>
      </c>
      <c r="G36" s="35"/>
      <c r="H36" s="35">
        <f t="shared" ref="H36:AN36" si="39">H18-H17</f>
        <v>-606.59999999997672</v>
      </c>
      <c r="I36" s="35">
        <f t="shared" si="39"/>
        <v>0</v>
      </c>
      <c r="J36" s="42">
        <f t="shared" si="39"/>
        <v>-5459.3999999997905</v>
      </c>
      <c r="K36" s="42">
        <f t="shared" si="39"/>
        <v>-3.0029702970296057</v>
      </c>
      <c r="L36" s="35">
        <f t="shared" si="39"/>
        <v>52.600000000093132</v>
      </c>
      <c r="M36" s="35">
        <f t="shared" si="39"/>
        <v>0</v>
      </c>
      <c r="N36" s="42">
        <f t="shared" si="39"/>
        <v>2956.120000005234</v>
      </c>
      <c r="O36" s="35">
        <f t="shared" si="39"/>
        <v>-189</v>
      </c>
      <c r="P36" s="35">
        <f t="shared" si="39"/>
        <v>0</v>
      </c>
      <c r="Q36" s="42">
        <f t="shared" si="39"/>
        <v>-20412</v>
      </c>
      <c r="R36" s="42">
        <f t="shared" si="39"/>
        <v>-85.755137181863688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-20</v>
      </c>
      <c r="W36" s="35">
        <f t="shared" si="39"/>
        <v>11</v>
      </c>
      <c r="X36" s="35">
        <f t="shared" si="39"/>
        <v>-4</v>
      </c>
      <c r="Y36" s="35">
        <f t="shared" si="39"/>
        <v>-13</v>
      </c>
      <c r="Z36" s="35">
        <f t="shared" si="39"/>
        <v>0</v>
      </c>
      <c r="AA36" s="35">
        <f t="shared" si="39"/>
        <v>7</v>
      </c>
      <c r="AB36" s="35">
        <f t="shared" si="39"/>
        <v>-8.430000000000291</v>
      </c>
      <c r="AC36" s="35">
        <f t="shared" si="39"/>
        <v>0</v>
      </c>
      <c r="AD36" s="35">
        <f t="shared" si="39"/>
        <v>-1.430000000000291</v>
      </c>
      <c r="AE36" s="35">
        <f t="shared" si="39"/>
        <v>712.97000000003027</v>
      </c>
      <c r="AF36" s="35">
        <f t="shared" si="39"/>
        <v>24.024221578568188</v>
      </c>
      <c r="AG36" s="35">
        <f t="shared" si="39"/>
        <v>-8.680000000000291</v>
      </c>
      <c r="AH36" s="35">
        <f t="shared" si="39"/>
        <v>8.9799999999995634</v>
      </c>
      <c r="AI36" s="35">
        <f t="shared" si="39"/>
        <v>0.39999999999417923</v>
      </c>
      <c r="AJ36" s="35">
        <f t="shared" si="39"/>
        <v>0.69999999999345164</v>
      </c>
      <c r="AK36" s="35">
        <f t="shared" si="39"/>
        <v>0</v>
      </c>
      <c r="AL36" s="35">
        <f t="shared" si="39"/>
        <v>1</v>
      </c>
      <c r="AM36" s="35">
        <f t="shared" si="39"/>
        <v>0</v>
      </c>
      <c r="AN36" s="35">
        <f t="shared" si="39"/>
        <v>1</v>
      </c>
      <c r="AO36" s="35"/>
      <c r="AP36" s="35">
        <f t="shared" ref="AP36:AW36" si="40">AP18-AP17</f>
        <v>119.64999999999418</v>
      </c>
      <c r="AQ36" s="35">
        <f t="shared" si="40"/>
        <v>-80.600000000005821</v>
      </c>
      <c r="AR36" s="35">
        <f t="shared" si="40"/>
        <v>-61.549999999988358</v>
      </c>
      <c r="AS36" s="35">
        <f t="shared" si="40"/>
        <v>259.03000000002794</v>
      </c>
      <c r="AT36" s="35">
        <f t="shared" si="40"/>
        <v>-88.399999999994179</v>
      </c>
      <c r="AU36" s="35">
        <f t="shared" si="40"/>
        <v>0</v>
      </c>
      <c r="AV36" s="35">
        <f t="shared" si="40"/>
        <v>1920.9000000000233</v>
      </c>
      <c r="AW36" s="35">
        <f t="shared" si="40"/>
        <v>289.71000000002095</v>
      </c>
      <c r="AX36" s="35"/>
      <c r="AY36" s="35"/>
      <c r="AZ36" s="35">
        <f t="shared" ref="AZ36:BG36" si="41">AZ18-AZ17</f>
        <v>216.52999999999884</v>
      </c>
      <c r="BA36" s="35">
        <f t="shared" si="41"/>
        <v>0</v>
      </c>
      <c r="BB36" s="35">
        <f t="shared" si="41"/>
        <v>-0.24000000000000021</v>
      </c>
      <c r="BC36" s="35">
        <f t="shared" si="41"/>
        <v>0</v>
      </c>
      <c r="BD36" s="35">
        <f t="shared" si="41"/>
        <v>-36.5</v>
      </c>
      <c r="BE36" s="35">
        <f t="shared" si="41"/>
        <v>-1207.929999999993</v>
      </c>
      <c r="BF36" s="35">
        <f t="shared" si="41"/>
        <v>0</v>
      </c>
      <c r="BG36" s="35">
        <f t="shared" si="41"/>
        <v>0</v>
      </c>
      <c r="BH36" s="35"/>
      <c r="BI36" s="35"/>
      <c r="BJ36" s="35"/>
      <c r="BK36" s="35">
        <f>BK18-BK17</f>
        <v>6.0368214977099086</v>
      </c>
      <c r="BL36" s="35">
        <f>BL18-BL17</f>
        <v>1.1687202646523183</v>
      </c>
      <c r="BM36" s="35"/>
      <c r="BN36" s="35">
        <f>BN18-BN17</f>
        <v>-22915.279999994556</v>
      </c>
      <c r="BO36" s="35">
        <f>BO18-BO17</f>
        <v>1097.4800000000396</v>
      </c>
    </row>
    <row r="37" spans="1:68">
      <c r="F37" s="38">
        <f>AVERAGE(F4:F35)</f>
        <v>1.8539709677419356</v>
      </c>
      <c r="G37" s="38"/>
      <c r="H37" s="38">
        <f>AVERAGE(H4:H35)</f>
        <v>52650.767499999994</v>
      </c>
    </row>
    <row r="38" spans="1:68">
      <c r="B38" s="36" t="s">
        <v>66</v>
      </c>
      <c r="F38" s="72">
        <f>AVERAGE(F4:F35)</f>
        <v>1.8539709677419356</v>
      </c>
      <c r="G38" s="72"/>
    </row>
    <row r="41" spans="1:68">
      <c r="BI41">
        <f>(BI31+BJ31)/400</f>
        <v>27.147500000000001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workbookViewId="0">
      <selection activeCell="G10" sqref="G10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77.227722772277232</v>
      </c>
      <c r="C2" s="381">
        <v>156</v>
      </c>
      <c r="D2" s="381">
        <v>5</v>
      </c>
      <c r="E2" s="381">
        <f>(C2+D2)/202%</f>
        <v>79.702970297029708</v>
      </c>
      <c r="F2" s="382">
        <v>451</v>
      </c>
      <c r="G2" s="382">
        <f>C2+D2</f>
        <v>161</v>
      </c>
      <c r="H2" s="383">
        <f>C2/202%</f>
        <v>77.227722772277232</v>
      </c>
      <c r="I2" s="384"/>
      <c r="J2" s="383">
        <f>'Section Load'!C5/G2</f>
        <v>186.59397515527954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73.267326732673268</v>
      </c>
      <c r="C3" s="381">
        <v>148</v>
      </c>
      <c r="D3" s="381">
        <v>4</v>
      </c>
      <c r="E3" s="381">
        <f t="shared" ref="E3:E32" si="1">(C3+D3)/202%</f>
        <v>75.247524752475243</v>
      </c>
      <c r="F3" s="382">
        <v>351</v>
      </c>
      <c r="G3" s="382">
        <f t="shared" ref="G3:G31" si="2">C3+D3</f>
        <v>152</v>
      </c>
      <c r="H3" s="383">
        <f t="shared" ref="H3:H32" si="3">C3/202%</f>
        <v>73.267326732673268</v>
      </c>
      <c r="I3" s="384"/>
      <c r="J3" s="383">
        <f>'Section Load'!C6/G3</f>
        <v>184.31894736842094</v>
      </c>
    </row>
    <row r="4" spans="1:17">
      <c r="A4" s="248">
        <v>3</v>
      </c>
      <c r="B4" s="381">
        <f t="shared" si="0"/>
        <v>84.653465346534659</v>
      </c>
      <c r="C4" s="381">
        <v>171</v>
      </c>
      <c r="D4" s="381">
        <v>5</v>
      </c>
      <c r="E4" s="381">
        <f t="shared" si="1"/>
        <v>87.128712871287135</v>
      </c>
      <c r="F4" s="382">
        <v>369</v>
      </c>
      <c r="G4" s="382">
        <f t="shared" si="2"/>
        <v>176</v>
      </c>
      <c r="H4" s="383">
        <f t="shared" si="3"/>
        <v>84.653465346534659</v>
      </c>
      <c r="I4" s="384"/>
      <c r="J4" s="383">
        <f>'Section Load'!C7/G4</f>
        <v>158.93181818181819</v>
      </c>
      <c r="Q4" s="403">
        <f>C2/202</f>
        <v>0.7722772277227723</v>
      </c>
    </row>
    <row r="5" spans="1:17">
      <c r="A5" s="248">
        <v>4</v>
      </c>
      <c r="B5" s="381">
        <f t="shared" si="0"/>
        <v>86.138613861386133</v>
      </c>
      <c r="C5" s="381">
        <v>174</v>
      </c>
      <c r="D5" s="381">
        <v>5</v>
      </c>
      <c r="E5" s="381">
        <f t="shared" si="1"/>
        <v>88.613861386138609</v>
      </c>
      <c r="F5" s="382">
        <v>455</v>
      </c>
      <c r="G5" s="382">
        <f t="shared" si="2"/>
        <v>179</v>
      </c>
      <c r="H5" s="383">
        <f t="shared" si="3"/>
        <v>86.138613861386133</v>
      </c>
      <c r="I5" s="384"/>
      <c r="J5" s="383">
        <f>'Section Load'!C8/G5</f>
        <v>147.67743016759778</v>
      </c>
    </row>
    <row r="6" spans="1:17">
      <c r="A6" s="248">
        <v>5</v>
      </c>
      <c r="B6" s="381">
        <f t="shared" si="0"/>
        <v>83.168316831683171</v>
      </c>
      <c r="C6" s="381">
        <v>168</v>
      </c>
      <c r="D6" s="381">
        <v>6</v>
      </c>
      <c r="E6" s="381">
        <f t="shared" si="1"/>
        <v>86.138613861386133</v>
      </c>
      <c r="F6" s="382">
        <v>482</v>
      </c>
      <c r="G6" s="382">
        <f t="shared" si="2"/>
        <v>174</v>
      </c>
      <c r="H6" s="383">
        <f t="shared" si="3"/>
        <v>83.168316831683171</v>
      </c>
      <c r="I6" s="384"/>
      <c r="J6" s="383">
        <f>'Section Load'!C9/G6</f>
        <v>156.65419540229885</v>
      </c>
    </row>
    <row r="7" spans="1:17">
      <c r="A7" s="248">
        <v>6</v>
      </c>
      <c r="B7" s="381">
        <f t="shared" si="0"/>
        <v>80.198019801980195</v>
      </c>
      <c r="C7" s="381">
        <v>162</v>
      </c>
      <c r="D7" s="381">
        <v>5</v>
      </c>
      <c r="E7" s="381">
        <f t="shared" si="1"/>
        <v>82.67326732673267</v>
      </c>
      <c r="F7" s="382">
        <v>551</v>
      </c>
      <c r="G7" s="382">
        <f t="shared" si="2"/>
        <v>167</v>
      </c>
      <c r="H7" s="383">
        <f t="shared" si="3"/>
        <v>80.198019801980195</v>
      </c>
      <c r="I7" s="384"/>
      <c r="J7" s="383">
        <f>'Section Load'!C10/G7</f>
        <v>163.52670658682638</v>
      </c>
    </row>
    <row r="8" spans="1:17">
      <c r="A8" s="248">
        <v>7</v>
      </c>
      <c r="B8" s="381">
        <f t="shared" si="0"/>
        <v>76.237623762376231</v>
      </c>
      <c r="C8" s="381">
        <v>154</v>
      </c>
      <c r="D8" s="381">
        <v>7</v>
      </c>
      <c r="E8" s="381">
        <f t="shared" si="1"/>
        <v>79.702970297029708</v>
      </c>
      <c r="F8" s="382">
        <v>658</v>
      </c>
      <c r="G8" s="382">
        <f t="shared" si="2"/>
        <v>161</v>
      </c>
      <c r="H8" s="383">
        <f t="shared" si="3"/>
        <v>76.237623762376231</v>
      </c>
      <c r="I8" s="384"/>
      <c r="J8" s="383">
        <f>'Section Load'!C11/G8</f>
        <v>178.55354037267077</v>
      </c>
      <c r="K8" s="537"/>
    </row>
    <row r="9" spans="1:17">
      <c r="A9" s="248">
        <v>8</v>
      </c>
      <c r="B9" s="381">
        <f t="shared" si="0"/>
        <v>69.306930693069305</v>
      </c>
      <c r="C9" s="381">
        <v>140</v>
      </c>
      <c r="D9" s="381">
        <v>5</v>
      </c>
      <c r="E9" s="381">
        <f t="shared" si="1"/>
        <v>71.78217821782178</v>
      </c>
      <c r="F9" s="382">
        <v>542</v>
      </c>
      <c r="G9" s="382">
        <f t="shared" si="2"/>
        <v>145</v>
      </c>
      <c r="H9" s="383">
        <f t="shared" si="3"/>
        <v>69.306930693069305</v>
      </c>
      <c r="I9" s="384"/>
      <c r="J9" s="383">
        <f>'Section Load'!C12/G9</f>
        <v>192.80689655172415</v>
      </c>
    </row>
    <row r="10" spans="1:17">
      <c r="A10" s="248">
        <v>9</v>
      </c>
      <c r="B10" s="381">
        <f t="shared" si="0"/>
        <v>76.732673267326732</v>
      </c>
      <c r="C10" s="381">
        <v>155</v>
      </c>
      <c r="D10" s="381">
        <v>6</v>
      </c>
      <c r="E10" s="381">
        <f t="shared" si="1"/>
        <v>79.702970297029708</v>
      </c>
      <c r="F10" s="382">
        <v>398</v>
      </c>
      <c r="G10" s="382">
        <f t="shared" si="2"/>
        <v>161</v>
      </c>
      <c r="H10" s="383">
        <f t="shared" si="3"/>
        <v>76.732673267326732</v>
      </c>
      <c r="I10" s="384"/>
      <c r="J10" s="383">
        <f>'Section Load'!C13/G10</f>
        <v>169.40993788819875</v>
      </c>
      <c r="K10" s="758" t="s">
        <v>375</v>
      </c>
      <c r="L10" s="758"/>
    </row>
    <row r="11" spans="1:17">
      <c r="A11" s="248">
        <v>10</v>
      </c>
      <c r="B11" s="381">
        <f t="shared" si="0"/>
        <v>76.237623762376231</v>
      </c>
      <c r="C11" s="381">
        <v>154</v>
      </c>
      <c r="D11" s="381">
        <v>4</v>
      </c>
      <c r="E11" s="381">
        <f t="shared" si="1"/>
        <v>78.21782178217822</v>
      </c>
      <c r="F11" s="382">
        <v>474</v>
      </c>
      <c r="G11" s="382">
        <f t="shared" si="2"/>
        <v>158</v>
      </c>
      <c r="H11" s="383">
        <f t="shared" si="3"/>
        <v>76.237623762376231</v>
      </c>
      <c r="I11" s="384"/>
      <c r="J11" s="383">
        <f>'Section Load'!C14/G11</f>
        <v>171.80949367088604</v>
      </c>
      <c r="K11" s="758"/>
      <c r="L11" s="758"/>
    </row>
    <row r="12" spans="1:17">
      <c r="A12" s="248">
        <v>11</v>
      </c>
      <c r="B12" s="381">
        <f t="shared" si="0"/>
        <v>79.207920792079207</v>
      </c>
      <c r="C12" s="381">
        <v>160</v>
      </c>
      <c r="D12" s="381">
        <v>4</v>
      </c>
      <c r="E12" s="381">
        <f t="shared" si="1"/>
        <v>81.188118811881182</v>
      </c>
      <c r="F12" s="382"/>
      <c r="G12" s="382">
        <f t="shared" si="2"/>
        <v>164</v>
      </c>
      <c r="H12" s="383">
        <f t="shared" si="3"/>
        <v>79.207920792079207</v>
      </c>
      <c r="I12" s="384"/>
      <c r="J12" s="383">
        <f>'Section Load'!C15/G12</f>
        <v>165.30548780487808</v>
      </c>
      <c r="K12" s="758"/>
      <c r="L12" s="758"/>
    </row>
    <row r="13" spans="1:17">
      <c r="A13" s="248">
        <v>12</v>
      </c>
      <c r="B13" s="381">
        <f t="shared" si="0"/>
        <v>80.693069306930695</v>
      </c>
      <c r="C13" s="381">
        <v>163</v>
      </c>
      <c r="D13" s="381">
        <v>1</v>
      </c>
      <c r="E13" s="381">
        <f t="shared" si="1"/>
        <v>81.188118811881182</v>
      </c>
      <c r="F13" s="381"/>
      <c r="G13" s="382">
        <f t="shared" si="2"/>
        <v>164</v>
      </c>
      <c r="H13" s="383">
        <f t="shared" si="3"/>
        <v>80.693069306930695</v>
      </c>
      <c r="I13" s="384"/>
      <c r="J13" s="383">
        <f>'Section Load'!C16/G13</f>
        <v>177.81646341463411</v>
      </c>
    </row>
    <row r="14" spans="1:17">
      <c r="A14" s="248">
        <v>13</v>
      </c>
      <c r="B14" s="381">
        <f t="shared" si="0"/>
        <v>82.178217821782184</v>
      </c>
      <c r="C14" s="381">
        <v>166</v>
      </c>
      <c r="D14" s="381">
        <v>1</v>
      </c>
      <c r="E14" s="381">
        <f t="shared" si="1"/>
        <v>82.67326732673267</v>
      </c>
      <c r="F14" s="381"/>
      <c r="G14" s="382">
        <f t="shared" si="2"/>
        <v>167</v>
      </c>
      <c r="H14" s="383">
        <f t="shared" si="3"/>
        <v>82.178217821782184</v>
      </c>
      <c r="I14" s="384"/>
      <c r="J14" s="383">
        <f>'Section Load'!C17/G14</f>
        <v>173.54191616766485</v>
      </c>
    </row>
    <row r="15" spans="1:17">
      <c r="A15" s="248">
        <v>14</v>
      </c>
      <c r="B15" s="381">
        <f t="shared" si="0"/>
        <v>83.168316831683171</v>
      </c>
      <c r="C15" s="381">
        <v>168</v>
      </c>
      <c r="D15" s="381">
        <v>1</v>
      </c>
      <c r="E15" s="381">
        <f t="shared" si="1"/>
        <v>83.663366336633658</v>
      </c>
      <c r="F15" s="381"/>
      <c r="G15" s="382">
        <f t="shared" si="2"/>
        <v>169</v>
      </c>
      <c r="H15" s="383">
        <f t="shared" si="3"/>
        <v>83.168316831683171</v>
      </c>
      <c r="I15" s="384"/>
      <c r="J15" s="383">
        <f>'Section Load'!C18/G15</f>
        <v>164.52426035502944</v>
      </c>
    </row>
    <row r="16" spans="1:17">
      <c r="A16" s="248">
        <v>15</v>
      </c>
      <c r="B16" s="381">
        <f t="shared" si="0"/>
        <v>59.900990099009903</v>
      </c>
      <c r="C16" s="381">
        <v>121</v>
      </c>
      <c r="D16" s="381">
        <v>1</v>
      </c>
      <c r="E16" s="381">
        <f t="shared" si="1"/>
        <v>60.396039603960396</v>
      </c>
      <c r="F16" s="381"/>
      <c r="G16" s="382">
        <f t="shared" si="2"/>
        <v>122</v>
      </c>
      <c r="H16" s="383">
        <f t="shared" si="3"/>
        <v>59.900990099009903</v>
      </c>
      <c r="I16" s="384"/>
      <c r="J16" s="383">
        <f>'Section Load'!C19/G16</f>
        <v>222.9344262295082</v>
      </c>
    </row>
    <row r="17" spans="1:10">
      <c r="A17" s="248">
        <v>16</v>
      </c>
      <c r="B17" s="381">
        <f t="shared" si="0"/>
        <v>0</v>
      </c>
      <c r="C17" s="381"/>
      <c r="D17" s="381"/>
      <c r="E17" s="381">
        <f t="shared" si="1"/>
        <v>0</v>
      </c>
      <c r="F17" s="381"/>
      <c r="G17" s="382">
        <f t="shared" si="2"/>
        <v>0</v>
      </c>
      <c r="H17" s="383">
        <f t="shared" si="3"/>
        <v>0</v>
      </c>
      <c r="I17" s="384"/>
      <c r="J17" s="383" t="e">
        <f>'Section Load'!C20/G17</f>
        <v>#DIV/0!</v>
      </c>
    </row>
    <row r="18" spans="1:10">
      <c r="A18" s="248">
        <v>17</v>
      </c>
      <c r="B18" s="381">
        <f t="shared" si="0"/>
        <v>0</v>
      </c>
      <c r="C18" s="381"/>
      <c r="D18" s="381"/>
      <c r="E18" s="381">
        <f t="shared" si="1"/>
        <v>0</v>
      </c>
      <c r="F18" s="381"/>
      <c r="G18" s="382">
        <f t="shared" si="2"/>
        <v>0</v>
      </c>
      <c r="H18" s="383">
        <f t="shared" si="3"/>
        <v>0</v>
      </c>
      <c r="I18" s="384"/>
      <c r="J18" s="383" t="e">
        <f>'Section Load'!C21/G18</f>
        <v>#DIV/0!</v>
      </c>
    </row>
    <row r="19" spans="1:10">
      <c r="A19" s="248">
        <v>18</v>
      </c>
      <c r="B19" s="381">
        <f t="shared" si="0"/>
        <v>0</v>
      </c>
      <c r="C19" s="385"/>
      <c r="D19" s="385"/>
      <c r="E19" s="381">
        <f t="shared" si="1"/>
        <v>0</v>
      </c>
      <c r="F19" s="385"/>
      <c r="G19" s="382">
        <f t="shared" si="2"/>
        <v>0</v>
      </c>
      <c r="H19" s="383">
        <f t="shared" si="3"/>
        <v>0</v>
      </c>
      <c r="I19" s="384"/>
      <c r="J19" s="383" t="e">
        <f>'Section Load'!C22/G19</f>
        <v>#DIV/0!</v>
      </c>
    </row>
    <row r="20" spans="1:10">
      <c r="A20" s="248">
        <v>19</v>
      </c>
      <c r="B20" s="381">
        <f t="shared" si="0"/>
        <v>0</v>
      </c>
      <c r="C20" s="381"/>
      <c r="D20" s="381"/>
      <c r="E20" s="381">
        <f t="shared" si="1"/>
        <v>0</v>
      </c>
      <c r="F20" s="381"/>
      <c r="G20" s="382">
        <f t="shared" si="2"/>
        <v>0</v>
      </c>
      <c r="H20" s="383">
        <f t="shared" si="3"/>
        <v>0</v>
      </c>
      <c r="I20" s="384"/>
      <c r="J20" s="383" t="e">
        <f>'Section Load'!C23/G20</f>
        <v>#DIV/0!</v>
      </c>
    </row>
    <row r="21" spans="1:10">
      <c r="A21" s="248">
        <v>20</v>
      </c>
      <c r="B21" s="381">
        <f t="shared" si="0"/>
        <v>0</v>
      </c>
      <c r="C21" s="381"/>
      <c r="D21" s="381"/>
      <c r="E21" s="381">
        <f t="shared" si="1"/>
        <v>0</v>
      </c>
      <c r="F21" s="381"/>
      <c r="G21" s="382">
        <f t="shared" si="2"/>
        <v>0</v>
      </c>
      <c r="H21" s="383">
        <f t="shared" si="3"/>
        <v>0</v>
      </c>
      <c r="I21" s="384"/>
      <c r="J21" s="383" t="e">
        <f>'Section Load'!C24/G21</f>
        <v>#DIV/0!</v>
      </c>
    </row>
    <row r="22" spans="1:10">
      <c r="A22" s="248">
        <v>21</v>
      </c>
      <c r="B22" s="381">
        <f t="shared" si="0"/>
        <v>0</v>
      </c>
      <c r="C22" s="381"/>
      <c r="D22" s="381"/>
      <c r="E22" s="381">
        <f t="shared" si="1"/>
        <v>0</v>
      </c>
      <c r="F22" s="381"/>
      <c r="G22" s="382">
        <f t="shared" si="2"/>
        <v>0</v>
      </c>
      <c r="H22" s="383">
        <f t="shared" si="3"/>
        <v>0</v>
      </c>
      <c r="I22" s="384"/>
      <c r="J22" s="383" t="e">
        <f>'Section Load'!C25/G22</f>
        <v>#DIV/0!</v>
      </c>
    </row>
    <row r="23" spans="1:10">
      <c r="A23" s="248">
        <v>22</v>
      </c>
      <c r="B23" s="381">
        <v>83</v>
      </c>
      <c r="C23" s="381"/>
      <c r="D23" s="381"/>
      <c r="E23" s="381">
        <f t="shared" si="1"/>
        <v>0</v>
      </c>
      <c r="F23" s="381"/>
      <c r="G23" s="382">
        <f t="shared" si="2"/>
        <v>0</v>
      </c>
      <c r="H23" s="383">
        <f t="shared" si="3"/>
        <v>0</v>
      </c>
      <c r="I23" s="384"/>
      <c r="J23" s="383" t="e">
        <f>'Section Load'!C26/G23</f>
        <v>#DIV/0!</v>
      </c>
    </row>
    <row r="24" spans="1:10">
      <c r="A24" s="248">
        <v>23</v>
      </c>
      <c r="B24" s="381">
        <v>98</v>
      </c>
      <c r="C24" s="381"/>
      <c r="D24" s="381"/>
      <c r="E24" s="381">
        <f t="shared" si="1"/>
        <v>0</v>
      </c>
      <c r="F24" s="381"/>
      <c r="G24" s="382">
        <f t="shared" si="2"/>
        <v>0</v>
      </c>
      <c r="H24" s="383">
        <f t="shared" si="3"/>
        <v>0</v>
      </c>
      <c r="I24" s="384"/>
      <c r="J24" s="383" t="e">
        <f>'Section Load'!C27/G24</f>
        <v>#DIV/0!</v>
      </c>
    </row>
    <row r="25" spans="1:10">
      <c r="A25" s="248">
        <v>24</v>
      </c>
      <c r="B25" s="381">
        <f t="shared" si="0"/>
        <v>0</v>
      </c>
      <c r="C25" s="381"/>
      <c r="D25" s="381"/>
      <c r="E25" s="381">
        <f t="shared" si="1"/>
        <v>0</v>
      </c>
      <c r="F25" s="381"/>
      <c r="G25" s="382">
        <f t="shared" si="2"/>
        <v>0</v>
      </c>
      <c r="H25" s="383">
        <f t="shared" si="3"/>
        <v>0</v>
      </c>
      <c r="I25" s="384"/>
      <c r="J25" s="383" t="e">
        <f>'Section Load'!C28/G25</f>
        <v>#DIV/0!</v>
      </c>
    </row>
    <row r="26" spans="1:10">
      <c r="A26" s="248">
        <v>25</v>
      </c>
      <c r="B26" s="381">
        <f t="shared" si="0"/>
        <v>0</v>
      </c>
      <c r="C26" s="381"/>
      <c r="D26" s="381"/>
      <c r="E26" s="381">
        <f t="shared" si="1"/>
        <v>0</v>
      </c>
      <c r="F26" s="381"/>
      <c r="G26" s="382">
        <f t="shared" si="2"/>
        <v>0</v>
      </c>
      <c r="H26" s="383">
        <f t="shared" si="3"/>
        <v>0</v>
      </c>
      <c r="I26" s="384"/>
      <c r="J26" s="383" t="e">
        <f>'Section Load'!C29/G26</f>
        <v>#DIV/0!</v>
      </c>
    </row>
    <row r="27" spans="1:10">
      <c r="A27" s="248">
        <v>26</v>
      </c>
      <c r="B27" s="381">
        <f t="shared" si="0"/>
        <v>0</v>
      </c>
      <c r="C27" s="381"/>
      <c r="D27" s="381"/>
      <c r="E27" s="381">
        <f t="shared" si="1"/>
        <v>0</v>
      </c>
      <c r="F27" s="381"/>
      <c r="G27" s="382">
        <f t="shared" si="2"/>
        <v>0</v>
      </c>
      <c r="H27" s="383">
        <f t="shared" si="3"/>
        <v>0</v>
      </c>
      <c r="I27" s="384"/>
      <c r="J27" s="383" t="e">
        <f>'Section Load'!C30/G27</f>
        <v>#DIV/0!</v>
      </c>
    </row>
    <row r="28" spans="1:10">
      <c r="A28" s="248">
        <v>27</v>
      </c>
      <c r="B28" s="381">
        <f t="shared" si="0"/>
        <v>0</v>
      </c>
      <c r="C28" s="381"/>
      <c r="D28" s="381"/>
      <c r="E28" s="381">
        <f t="shared" si="1"/>
        <v>0</v>
      </c>
      <c r="F28" s="381"/>
      <c r="G28" s="382">
        <f t="shared" si="2"/>
        <v>0</v>
      </c>
      <c r="H28" s="383">
        <f t="shared" si="3"/>
        <v>0</v>
      </c>
      <c r="I28" s="384"/>
      <c r="J28" s="383" t="e">
        <f>'Section Load'!C31/G28</f>
        <v>#DIV/0!</v>
      </c>
    </row>
    <row r="29" spans="1:10">
      <c r="A29" s="248">
        <v>28</v>
      </c>
      <c r="B29" s="381">
        <f t="shared" si="0"/>
        <v>0</v>
      </c>
      <c r="C29" s="381"/>
      <c r="D29" s="381"/>
      <c r="E29" s="381">
        <f t="shared" si="1"/>
        <v>0</v>
      </c>
      <c r="F29" s="381"/>
      <c r="G29" s="382">
        <f t="shared" si="2"/>
        <v>0</v>
      </c>
      <c r="H29" s="383">
        <f t="shared" si="3"/>
        <v>0</v>
      </c>
      <c r="I29" s="384"/>
      <c r="J29" s="383" t="e">
        <f>'Section Load'!C32/G29</f>
        <v>#DIV/0!</v>
      </c>
    </row>
    <row r="30" spans="1:10">
      <c r="A30" s="248">
        <v>29</v>
      </c>
      <c r="B30" s="381">
        <f>C30/202%</f>
        <v>0</v>
      </c>
      <c r="C30" s="381"/>
      <c r="D30" s="381"/>
      <c r="E30" s="381">
        <f t="shared" si="1"/>
        <v>0</v>
      </c>
      <c r="F30" s="381"/>
      <c r="G30" s="382">
        <f t="shared" si="2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>
      <c r="A31" s="248">
        <v>30</v>
      </c>
      <c r="B31" s="381">
        <f t="shared" si="0"/>
        <v>0</v>
      </c>
      <c r="C31" s="381"/>
      <c r="D31" s="381"/>
      <c r="E31" s="381">
        <f t="shared" si="1"/>
        <v>0</v>
      </c>
      <c r="F31" s="381"/>
      <c r="G31" s="386">
        <f t="shared" si="2"/>
        <v>0</v>
      </c>
      <c r="H31" s="383">
        <f t="shared" si="3"/>
        <v>0</v>
      </c>
      <c r="I31" s="384"/>
      <c r="J31" s="383" t="e">
        <f>'Section Load'!C34/G31</f>
        <v>#DIV/0!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44.97722772277227</v>
      </c>
      <c r="C33" s="275">
        <v>154</v>
      </c>
      <c r="D33" s="275">
        <f t="shared" ref="D33:H33" si="4">AVERAGE(D2:D31)</f>
        <v>4</v>
      </c>
      <c r="E33" s="275">
        <f t="shared" si="4"/>
        <v>39.933993399339933</v>
      </c>
      <c r="F33" s="275">
        <f t="shared" si="4"/>
        <v>473.1</v>
      </c>
      <c r="G33" s="275">
        <f t="shared" si="4"/>
        <v>80.666666666666671</v>
      </c>
      <c r="H33" s="275">
        <f t="shared" si="4"/>
        <v>38.943894389438938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topLeftCell="A19" zoomScale="90" zoomScaleNormal="90" workbookViewId="0">
      <selection activeCell="D9" sqref="D9:N11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73.267326732673268</v>
      </c>
      <c r="F4" s="91">
        <f>Occupancy!C3</f>
        <v>148</v>
      </c>
      <c r="G4" s="91">
        <f>Occupancy!D3</f>
        <v>4</v>
      </c>
      <c r="H4" s="91">
        <f>Occupancy!E3</f>
        <v>75.247524752475243</v>
      </c>
      <c r="I4" s="91">
        <f>Occupancy!F3</f>
        <v>351</v>
      </c>
      <c r="J4" s="91">
        <f>Occupancy!G3</f>
        <v>152</v>
      </c>
      <c r="K4" s="91">
        <f>Occupancy!H3</f>
        <v>73.267326732673268</v>
      </c>
      <c r="L4" s="91">
        <f>Occupancy!I3</f>
        <v>0</v>
      </c>
      <c r="M4" s="91">
        <f>Occupancy!J3</f>
        <v>184.31894736842094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260</v>
      </c>
      <c r="E5" s="91">
        <f>'2'!G18</f>
        <v>200</v>
      </c>
      <c r="F5" s="91">
        <f>'3'!G18</f>
        <v>220</v>
      </c>
      <c r="G5" s="91">
        <f>'4'!G18</f>
        <v>200</v>
      </c>
      <c r="H5" s="91">
        <f>'5'!G18</f>
        <v>220</v>
      </c>
      <c r="I5" s="91">
        <f>'6'!G18</f>
        <v>230</v>
      </c>
      <c r="J5" s="91">
        <f>'7'!G18</f>
        <v>250</v>
      </c>
      <c r="K5" s="91">
        <f>'8'!G18</f>
        <v>350</v>
      </c>
      <c r="L5" s="91">
        <f>'9'!G18</f>
        <v>340</v>
      </c>
      <c r="M5" s="91">
        <f>'10'!G18</f>
        <v>30</v>
      </c>
      <c r="N5" s="91">
        <f>'11'!G18</f>
        <v>0</v>
      </c>
      <c r="O5" s="91">
        <f>'12'!G18</f>
        <v>0</v>
      </c>
      <c r="P5" s="91">
        <f>'13'!G18</f>
        <v>270</v>
      </c>
      <c r="Q5" s="91">
        <f>'14'!G18</f>
        <v>430</v>
      </c>
      <c r="R5" s="91">
        <f>'15'!G18</f>
        <v>240</v>
      </c>
      <c r="S5" s="91">
        <f>'16'!G18</f>
        <v>310</v>
      </c>
      <c r="T5" s="91">
        <f>'17'!G18</f>
        <v>220</v>
      </c>
      <c r="U5" s="91">
        <f>'18 '!G18</f>
        <v>200</v>
      </c>
      <c r="V5" s="91">
        <f>'19'!G18</f>
        <v>220</v>
      </c>
      <c r="W5" s="91">
        <f>'20'!G18</f>
        <v>270</v>
      </c>
      <c r="X5" s="91">
        <f>'21'!G18</f>
        <v>230</v>
      </c>
      <c r="Y5" s="91">
        <f>'22'!G18</f>
        <v>240</v>
      </c>
      <c r="Z5" s="91">
        <f>'23'!G18</f>
        <v>240</v>
      </c>
      <c r="AA5" s="91">
        <f>'24'!G18</f>
        <v>260</v>
      </c>
      <c r="AB5" s="91">
        <f>'25'!G18</f>
        <v>330</v>
      </c>
      <c r="AC5" s="91">
        <f>'26'!G18</f>
        <v>280</v>
      </c>
      <c r="AD5" s="91">
        <f>'27'!G18</f>
        <v>230</v>
      </c>
      <c r="AE5" s="91">
        <f>'28'!G18</f>
        <v>260</v>
      </c>
      <c r="AF5" s="91">
        <f>'29'!G18</f>
        <v>260</v>
      </c>
      <c r="AG5" s="91">
        <f>'30'!G18</f>
        <v>330</v>
      </c>
      <c r="AH5" s="91">
        <f>'31'!G18</f>
        <v>220</v>
      </c>
      <c r="AI5" s="90"/>
    </row>
    <row r="6" spans="2:35">
      <c r="B6" s="93"/>
      <c r="C6" s="90" t="s">
        <v>69</v>
      </c>
      <c r="D6" s="91">
        <f>'1'!G19</f>
        <v>52</v>
      </c>
      <c r="E6" s="91">
        <f>'2'!G19</f>
        <v>55</v>
      </c>
      <c r="F6" s="91">
        <f>'3'!G19</f>
        <v>53</v>
      </c>
      <c r="G6" s="91">
        <f>'4'!G19</f>
        <v>54</v>
      </c>
      <c r="H6" s="91">
        <f>'5'!G19</f>
        <v>54</v>
      </c>
      <c r="I6" s="91">
        <f>'6'!G19</f>
        <v>55</v>
      </c>
      <c r="J6" s="91">
        <f>'7'!G19</f>
        <v>56</v>
      </c>
      <c r="K6" s="91">
        <f>'8'!G19</f>
        <v>58</v>
      </c>
      <c r="L6" s="91">
        <f>'9'!G19</f>
        <v>58</v>
      </c>
      <c r="M6" s="91">
        <f>'10'!G19</f>
        <v>51</v>
      </c>
      <c r="N6" s="91">
        <f>'11'!G19</f>
        <v>54</v>
      </c>
      <c r="O6" s="91">
        <f>'12'!G19</f>
        <v>55</v>
      </c>
      <c r="P6" s="91">
        <f>'13'!G19</f>
        <v>56</v>
      </c>
      <c r="Q6" s="91">
        <f>'14'!G19</f>
        <v>54</v>
      </c>
      <c r="R6" s="91">
        <f>'15'!G19</f>
        <v>55</v>
      </c>
      <c r="S6" s="91">
        <f>'16'!G19</f>
        <v>-1519</v>
      </c>
      <c r="T6" s="91">
        <f>'17'!G19</f>
        <v>50</v>
      </c>
      <c r="U6" s="91">
        <f>'18 '!G19</f>
        <v>55</v>
      </c>
      <c r="V6" s="91">
        <f>'19'!G19</f>
        <v>54</v>
      </c>
      <c r="W6" s="91">
        <f>'20'!G19</f>
        <v>37</v>
      </c>
      <c r="X6" s="91">
        <f>'21'!G19</f>
        <v>47</v>
      </c>
      <c r="Y6" s="91">
        <f>'22'!G19</f>
        <v>56</v>
      </c>
      <c r="Z6" s="91">
        <f>'23'!G19</f>
        <v>51</v>
      </c>
      <c r="AA6" s="91">
        <f>'24'!G19</f>
        <v>47</v>
      </c>
      <c r="AB6" s="91">
        <f>'25'!G19</f>
        <v>51</v>
      </c>
      <c r="AC6" s="91">
        <f>'26'!G19</f>
        <v>48</v>
      </c>
      <c r="AD6" s="91">
        <f>'27'!G19</f>
        <v>50</v>
      </c>
      <c r="AE6" s="91">
        <f>'28'!G19</f>
        <v>53</v>
      </c>
      <c r="AF6" s="91">
        <f>'29'!G19</f>
        <v>51</v>
      </c>
      <c r="AG6" s="91">
        <f>'30'!G19</f>
        <v>49</v>
      </c>
      <c r="AH6" s="91">
        <f>'31'!G19</f>
        <v>0</v>
      </c>
      <c r="AI6" s="90"/>
    </row>
    <row r="7" spans="2:35">
      <c r="B7" s="93"/>
      <c r="C7" s="90" t="s">
        <v>70</v>
      </c>
      <c r="D7" s="91">
        <f>'1'!G62</f>
        <v>174</v>
      </c>
      <c r="E7" s="91">
        <f>'2'!G62</f>
        <v>160</v>
      </c>
      <c r="F7" s="91">
        <f>'3'!G62</f>
        <v>138</v>
      </c>
      <c r="G7" s="91">
        <f>'4'!G62</f>
        <v>144</v>
      </c>
      <c r="H7" s="91">
        <f>'5'!G62</f>
        <v>159</v>
      </c>
      <c r="I7" s="91">
        <f>'6'!G62</f>
        <v>171</v>
      </c>
      <c r="J7" s="91">
        <f>'7'!G62</f>
        <v>180</v>
      </c>
      <c r="K7" s="91">
        <f>'8'!G62</f>
        <v>203</v>
      </c>
      <c r="L7" s="91">
        <f>'9'!G62</f>
        <v>152</v>
      </c>
      <c r="M7" s="91">
        <f>'10'!G62</f>
        <v>52</v>
      </c>
      <c r="N7" s="91">
        <f>'11'!G62</f>
        <v>0</v>
      </c>
      <c r="O7" s="91">
        <f>'12'!G62</f>
        <v>0</v>
      </c>
      <c r="P7" s="91">
        <f>'13'!G62</f>
        <v>103</v>
      </c>
      <c r="Q7" s="91">
        <f>'14'!G62</f>
        <v>180</v>
      </c>
      <c r="R7" s="91">
        <f>'15'!G62</f>
        <v>175</v>
      </c>
      <c r="S7" s="91">
        <f>'16'!G62</f>
        <v>-4468</v>
      </c>
      <c r="T7" s="91">
        <f>'17'!G62</f>
        <v>174</v>
      </c>
      <c r="U7" s="91">
        <f>'18 '!G62</f>
        <v>147</v>
      </c>
      <c r="V7" s="91">
        <f>'19'!G62</f>
        <v>183</v>
      </c>
      <c r="W7" s="91">
        <f>'20'!G62</f>
        <v>164</v>
      </c>
      <c r="X7" s="91">
        <f>'21'!G62</f>
        <v>194</v>
      </c>
      <c r="Y7" s="91">
        <f>'22'!G62</f>
        <v>170</v>
      </c>
      <c r="Z7" s="91">
        <f>'23'!G62</f>
        <v>211</v>
      </c>
      <c r="AA7" s="91">
        <f>'24'!G62</f>
        <v>196</v>
      </c>
      <c r="AB7" s="91">
        <f>'25'!G62</f>
        <v>192</v>
      </c>
      <c r="AC7" s="91">
        <f>'26'!G62</f>
        <v>177</v>
      </c>
      <c r="AD7" s="91">
        <f>'27'!G62</f>
        <v>162</v>
      </c>
      <c r="AE7" s="91">
        <f>'28'!G62</f>
        <v>166</v>
      </c>
      <c r="AF7" s="91">
        <f>'29'!G62</f>
        <v>169</v>
      </c>
      <c r="AG7" s="91">
        <f>'30'!G62</f>
        <v>172</v>
      </c>
      <c r="AH7" s="91">
        <f>'31'!G62</f>
        <v>0</v>
      </c>
      <c r="AI7" s="90"/>
    </row>
    <row r="8" spans="2:35">
      <c r="B8" s="93"/>
      <c r="C8" s="90" t="s">
        <v>299</v>
      </c>
      <c r="D8" s="91">
        <f>'1'!G63</f>
        <v>159</v>
      </c>
      <c r="E8" s="91">
        <f>'2'!G63</f>
        <v>132</v>
      </c>
      <c r="F8" s="91">
        <f>'3'!G63</f>
        <v>163</v>
      </c>
      <c r="G8" s="91">
        <f>'4'!G63</f>
        <v>154</v>
      </c>
      <c r="H8" s="91">
        <f>'5'!G63</f>
        <v>144</v>
      </c>
      <c r="I8" s="91">
        <f>'6'!G63</f>
        <v>165</v>
      </c>
      <c r="J8" s="91">
        <f>'7'!G63</f>
        <v>135</v>
      </c>
      <c r="K8" s="91">
        <f>'8'!G63</f>
        <v>184</v>
      </c>
      <c r="L8" s="91">
        <f>'9'!G63</f>
        <v>105</v>
      </c>
      <c r="M8" s="91">
        <f>'10'!G63</f>
        <v>149</v>
      </c>
      <c r="N8" s="91">
        <f>'11'!G63</f>
        <v>120</v>
      </c>
      <c r="O8" s="91">
        <f>'12'!G63</f>
        <v>139</v>
      </c>
      <c r="P8" s="91">
        <f>'13'!G63</f>
        <v>137</v>
      </c>
      <c r="Q8" s="91">
        <f>'14'!G63</f>
        <v>72</v>
      </c>
      <c r="R8" s="91">
        <f>'15'!G63</f>
        <v>79</v>
      </c>
      <c r="S8" s="91">
        <f>'16'!G63</f>
        <v>-4021</v>
      </c>
      <c r="T8" s="91">
        <f>'17'!G63</f>
        <v>150</v>
      </c>
      <c r="U8" s="91">
        <f>'18 '!G63</f>
        <v>144</v>
      </c>
      <c r="V8" s="91">
        <f>'19'!G63</f>
        <v>154</v>
      </c>
      <c r="W8" s="91">
        <f>'20'!G63</f>
        <v>154</v>
      </c>
      <c r="X8" s="91">
        <f>'21'!G63</f>
        <v>183</v>
      </c>
      <c r="Y8" s="91">
        <f>'22'!G63</f>
        <v>140</v>
      </c>
      <c r="Z8" s="91">
        <f>'23'!G63</f>
        <v>153</v>
      </c>
      <c r="AA8" s="91">
        <f>'24'!G63</f>
        <v>123</v>
      </c>
      <c r="AB8" s="91">
        <f>'25'!G63</f>
        <v>132</v>
      </c>
      <c r="AC8" s="91">
        <f>'26'!G63</f>
        <v>123</v>
      </c>
      <c r="AD8" s="91">
        <f>'27'!G63</f>
        <v>146</v>
      </c>
      <c r="AE8" s="91">
        <f>'28'!G63</f>
        <v>107</v>
      </c>
      <c r="AF8" s="91">
        <f>'29'!G63</f>
        <v>144</v>
      </c>
      <c r="AG8" s="91">
        <f>'30'!G63</f>
        <v>131</v>
      </c>
      <c r="AH8" s="91">
        <f>'31'!G63</f>
        <v>0</v>
      </c>
      <c r="AI8" s="90"/>
    </row>
    <row r="9" spans="2:35">
      <c r="B9" s="771" t="s">
        <v>71</v>
      </c>
      <c r="C9" s="90" t="s">
        <v>31</v>
      </c>
      <c r="D9" s="91">
        <f>'1'!G65</f>
        <v>113</v>
      </c>
      <c r="E9" s="91">
        <f>'2'!G65</f>
        <v>93</v>
      </c>
      <c r="F9" s="91">
        <f>'3'!G65</f>
        <v>101</v>
      </c>
      <c r="G9" s="91">
        <f>'4'!G65</f>
        <v>94</v>
      </c>
      <c r="H9" s="91">
        <f>'5'!G65</f>
        <v>106</v>
      </c>
      <c r="I9" s="91">
        <f>'6'!G65</f>
        <v>114</v>
      </c>
      <c r="J9" s="91">
        <f>'7'!G65</f>
        <v>105</v>
      </c>
      <c r="K9" s="91">
        <f>'8'!G65</f>
        <v>122</v>
      </c>
      <c r="L9" s="91">
        <f>'9'!G65</f>
        <v>105</v>
      </c>
      <c r="M9" s="91">
        <f>'10'!G65</f>
        <v>136</v>
      </c>
      <c r="N9" s="91">
        <f>'11'!G65</f>
        <v>82</v>
      </c>
      <c r="O9" s="91">
        <f>'12'!G65</f>
        <v>99</v>
      </c>
      <c r="P9" s="91">
        <f>'13'!G65</f>
        <v>81</v>
      </c>
      <c r="Q9" s="91">
        <f>'14'!G65</f>
        <v>110</v>
      </c>
      <c r="R9" s="91">
        <f>'15'!G65</f>
        <v>90</v>
      </c>
      <c r="S9" s="91">
        <f>'16'!G65</f>
        <v>-3183</v>
      </c>
      <c r="T9" s="91">
        <f>'17'!G65</f>
        <v>99</v>
      </c>
      <c r="U9" s="91">
        <f>'18 '!G65</f>
        <v>116</v>
      </c>
      <c r="V9" s="91">
        <f>'19'!G65</f>
        <v>127</v>
      </c>
      <c r="W9" s="91">
        <f>'20'!G65</f>
        <v>97</v>
      </c>
      <c r="X9" s="91">
        <f>'21'!G65</f>
        <v>124</v>
      </c>
      <c r="Y9" s="91">
        <f>'22'!G65</f>
        <v>116</v>
      </c>
      <c r="Z9" s="91">
        <f>'23'!G65</f>
        <v>150</v>
      </c>
      <c r="AA9" s="91">
        <f>'24'!G65</f>
        <v>94</v>
      </c>
      <c r="AB9" s="91">
        <f>'25'!G65</f>
        <v>116</v>
      </c>
      <c r="AC9" s="91">
        <f>'26'!G65</f>
        <v>132</v>
      </c>
      <c r="AD9" s="91">
        <f>'27'!G65</f>
        <v>116</v>
      </c>
      <c r="AE9" s="91">
        <f>'28'!G65</f>
        <v>116</v>
      </c>
      <c r="AF9" s="91">
        <f>'29'!G65</f>
        <v>112</v>
      </c>
      <c r="AG9" s="91">
        <f>'30'!G65</f>
        <v>117</v>
      </c>
      <c r="AH9" s="91">
        <f>'31'!G65</f>
        <v>0</v>
      </c>
      <c r="AI9" s="90"/>
    </row>
    <row r="10" spans="2:35">
      <c r="B10" s="771"/>
      <c r="C10" s="90" t="s">
        <v>32</v>
      </c>
      <c r="D10" s="91">
        <f>'1'!G66</f>
        <v>24</v>
      </c>
      <c r="E10" s="91">
        <f>'2'!G66</f>
        <v>18</v>
      </c>
      <c r="F10" s="91">
        <f>'3'!G66</f>
        <v>20</v>
      </c>
      <c r="G10" s="91">
        <f>'4'!G66</f>
        <v>16</v>
      </c>
      <c r="H10" s="91">
        <f>'5'!G66</f>
        <v>18</v>
      </c>
      <c r="I10" s="91">
        <f>'6'!G66</f>
        <v>24</v>
      </c>
      <c r="J10" s="91">
        <f>'7'!G66</f>
        <v>28</v>
      </c>
      <c r="K10" s="91">
        <f>'8'!G66</f>
        <v>30</v>
      </c>
      <c r="L10" s="91">
        <f>'9'!G66</f>
        <v>18</v>
      </c>
      <c r="M10" s="91">
        <f>'10'!G66</f>
        <v>18</v>
      </c>
      <c r="N10" s="91">
        <f>'11'!G66</f>
        <v>22</v>
      </c>
      <c r="O10" s="91">
        <f>'12'!G66</f>
        <v>27</v>
      </c>
      <c r="P10" s="91">
        <f>'13'!G66</f>
        <v>23</v>
      </c>
      <c r="Q10" s="91">
        <f>'14'!G66</f>
        <v>27</v>
      </c>
      <c r="R10" s="91">
        <f>'15'!G66</f>
        <v>38</v>
      </c>
      <c r="S10" s="91">
        <f>'16'!G66</f>
        <v>-582</v>
      </c>
      <c r="T10" s="91">
        <f>'17'!G66</f>
        <v>24</v>
      </c>
      <c r="U10" s="91">
        <f>'18 '!G66</f>
        <v>12</v>
      </c>
      <c r="V10" s="91">
        <f>'19'!G66</f>
        <v>12</v>
      </c>
      <c r="W10" s="91">
        <f>'20'!G66</f>
        <v>14</v>
      </c>
      <c r="X10" s="91">
        <f>'21'!G66</f>
        <v>17</v>
      </c>
      <c r="Y10" s="91">
        <f>'22'!G66</f>
        <v>13</v>
      </c>
      <c r="Z10" s="91">
        <f>'23'!G66</f>
        <v>17</v>
      </c>
      <c r="AA10" s="91">
        <f>'24'!G66</f>
        <v>20</v>
      </c>
      <c r="AB10" s="91">
        <f>'25'!G66</f>
        <v>15</v>
      </c>
      <c r="AC10" s="91">
        <f>'26'!G66</f>
        <v>14</v>
      </c>
      <c r="AD10" s="91">
        <f>'27'!G66</f>
        <v>12</v>
      </c>
      <c r="AE10" s="91">
        <f>'28'!G66</f>
        <v>17</v>
      </c>
      <c r="AF10" s="91">
        <f>'29'!G66</f>
        <v>18</v>
      </c>
      <c r="AG10" s="91">
        <f>'30'!G66</f>
        <v>26</v>
      </c>
      <c r="AH10" s="91">
        <f>'31'!G66</f>
        <v>0</v>
      </c>
      <c r="AI10" s="90"/>
    </row>
    <row r="11" spans="2:35">
      <c r="B11" s="771"/>
      <c r="C11" s="90" t="s">
        <v>33</v>
      </c>
      <c r="D11" s="91">
        <f>'1'!G67</f>
        <v>77</v>
      </c>
      <c r="E11" s="91">
        <f>'2'!G67</f>
        <v>78</v>
      </c>
      <c r="F11" s="91">
        <f>'3'!G67</f>
        <v>69</v>
      </c>
      <c r="G11" s="91">
        <f>'4'!G67</f>
        <v>75</v>
      </c>
      <c r="H11" s="91">
        <f>'5'!G67</f>
        <v>76</v>
      </c>
      <c r="I11" s="91">
        <f>'6'!G67</f>
        <v>72</v>
      </c>
      <c r="J11" s="91">
        <f>'7'!G67</f>
        <v>78</v>
      </c>
      <c r="K11" s="91">
        <f>'8'!G67</f>
        <v>92</v>
      </c>
      <c r="L11" s="91">
        <f>'9'!G67</f>
        <v>80</v>
      </c>
      <c r="M11" s="91">
        <f>'10'!G67</f>
        <v>78</v>
      </c>
      <c r="N11" s="91">
        <f>'11'!G67</f>
        <v>79</v>
      </c>
      <c r="O11" s="91">
        <f>'12'!G67</f>
        <v>75</v>
      </c>
      <c r="P11" s="91">
        <f>'13'!G67</f>
        <v>79</v>
      </c>
      <c r="Q11" s="91">
        <f>'14'!G67</f>
        <v>80</v>
      </c>
      <c r="R11" s="91">
        <f>'15'!G67</f>
        <v>76</v>
      </c>
      <c r="S11" s="91">
        <f>'16'!G67</f>
        <v>-2278</v>
      </c>
      <c r="T11" s="91">
        <f>'17'!G67</f>
        <v>86</v>
      </c>
      <c r="U11" s="91">
        <f>'18 '!G67</f>
        <v>69</v>
      </c>
      <c r="V11" s="91">
        <f>'19'!G67</f>
        <v>63</v>
      </c>
      <c r="W11" s="91">
        <f>'20'!G67</f>
        <v>94</v>
      </c>
      <c r="X11" s="91">
        <f>'21'!G67</f>
        <v>78</v>
      </c>
      <c r="Y11" s="91">
        <f>'22'!G67</f>
        <v>82</v>
      </c>
      <c r="Z11" s="91">
        <f>'23'!G67</f>
        <v>89</v>
      </c>
      <c r="AA11" s="91">
        <f>'24'!G67</f>
        <v>83</v>
      </c>
      <c r="AB11" s="91">
        <f>'25'!G67</f>
        <v>80</v>
      </c>
      <c r="AC11" s="91">
        <f>'26'!G67</f>
        <v>80</v>
      </c>
      <c r="AD11" s="91">
        <f>'27'!G67</f>
        <v>78</v>
      </c>
      <c r="AE11" s="91">
        <f>'28'!G67</f>
        <v>77</v>
      </c>
      <c r="AF11" s="91">
        <f>'29'!G67</f>
        <v>76</v>
      </c>
      <c r="AG11" s="91">
        <f>'30'!G67</f>
        <v>79</v>
      </c>
      <c r="AH11" s="91">
        <f>'31'!G67</f>
        <v>0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1" t="s">
        <v>72</v>
      </c>
      <c r="C13" s="90" t="s">
        <v>31</v>
      </c>
      <c r="D13" s="91">
        <f>'1'!G68</f>
        <v>34</v>
      </c>
      <c r="E13" s="91">
        <f>'2'!G68</f>
        <v>14</v>
      </c>
      <c r="F13" s="91">
        <f>'3'!G68</f>
        <v>15</v>
      </c>
      <c r="G13" s="91">
        <f>'4'!G68</f>
        <v>14</v>
      </c>
      <c r="H13" s="91">
        <f>'5'!G68</f>
        <v>13</v>
      </c>
      <c r="I13" s="91">
        <f>'6'!G68</f>
        <v>11</v>
      </c>
      <c r="J13" s="91">
        <f>'7'!G68</f>
        <v>20</v>
      </c>
      <c r="K13" s="91">
        <f>'8'!G68</f>
        <v>30</v>
      </c>
      <c r="L13" s="91">
        <f>'9'!G68</f>
        <v>21</v>
      </c>
      <c r="M13" s="91">
        <f>'10'!G68</f>
        <v>29</v>
      </c>
      <c r="N13" s="91">
        <f>'11'!G68</f>
        <v>28</v>
      </c>
      <c r="O13" s="91">
        <f>'12'!G68</f>
        <v>29</v>
      </c>
      <c r="P13" s="91">
        <f>'13'!G68</f>
        <v>11</v>
      </c>
      <c r="Q13" s="91">
        <f>'14'!G68</f>
        <v>24</v>
      </c>
      <c r="R13" s="91">
        <f>'15'!G68</f>
        <v>27</v>
      </c>
      <c r="S13" s="91">
        <f>'16'!G68</f>
        <v>-954</v>
      </c>
      <c r="T13" s="91">
        <f>'17'!G68</f>
        <v>22</v>
      </c>
      <c r="U13" s="91">
        <f>'18 '!G68</f>
        <v>16</v>
      </c>
      <c r="V13" s="91">
        <f>'19'!G68</f>
        <v>17</v>
      </c>
      <c r="W13" s="91">
        <f>'20'!G68</f>
        <v>33</v>
      </c>
      <c r="X13" s="91">
        <f>'21'!G68</f>
        <v>95</v>
      </c>
      <c r="Y13" s="91">
        <f>'22'!G68</f>
        <v>58</v>
      </c>
      <c r="Z13" s="91">
        <f>'23'!G68</f>
        <v>70</v>
      </c>
      <c r="AA13" s="421">
        <f>'24'!G68</f>
        <v>55</v>
      </c>
      <c r="AB13" s="91">
        <f>'25'!G68</f>
        <v>73</v>
      </c>
      <c r="AC13" s="91">
        <f>'26'!G68</f>
        <v>53</v>
      </c>
      <c r="AD13" s="91">
        <f>'27'!G68</f>
        <v>55</v>
      </c>
      <c r="AE13" s="91">
        <f>'28'!G68</f>
        <v>43</v>
      </c>
      <c r="AF13" s="91">
        <f>'29'!G68</f>
        <v>15</v>
      </c>
      <c r="AG13" s="91">
        <f>'30'!G68</f>
        <v>25</v>
      </c>
      <c r="AH13" s="91">
        <f>'31'!G68</f>
        <v>0</v>
      </c>
      <c r="AI13" s="90"/>
    </row>
    <row r="14" spans="2:35">
      <c r="B14" s="771"/>
      <c r="C14" s="90" t="s">
        <v>32</v>
      </c>
      <c r="D14" s="91">
        <f>'1'!G69</f>
        <v>7</v>
      </c>
      <c r="E14" s="91">
        <f>'2'!G69</f>
        <v>8</v>
      </c>
      <c r="F14" s="91">
        <f>'3'!G69</f>
        <v>11</v>
      </c>
      <c r="G14" s="91">
        <f>'4'!G69</f>
        <v>13</v>
      </c>
      <c r="H14" s="91">
        <f>'5'!G69</f>
        <v>8</v>
      </c>
      <c r="I14" s="91">
        <f>'6'!G69</f>
        <v>7</v>
      </c>
      <c r="J14" s="91">
        <f>'7'!G69</f>
        <v>9</v>
      </c>
      <c r="K14" s="91">
        <f>'8'!G69</f>
        <v>8</v>
      </c>
      <c r="L14" s="91">
        <f>'9'!G69</f>
        <v>4</v>
      </c>
      <c r="M14" s="91">
        <f>'10'!G69</f>
        <v>5</v>
      </c>
      <c r="N14" s="91">
        <f>'11'!G69</f>
        <v>9</v>
      </c>
      <c r="O14" s="91">
        <f>'12'!G69</f>
        <v>5056</v>
      </c>
      <c r="P14" s="91">
        <f>'13'!G69</f>
        <v>10</v>
      </c>
      <c r="Q14" s="91">
        <f>'14'!G69</f>
        <v>16</v>
      </c>
      <c r="R14" s="91">
        <f>'15'!G69</f>
        <v>9</v>
      </c>
      <c r="S14" s="91">
        <f>'16'!G69</f>
        <v>-5352</v>
      </c>
      <c r="T14" s="91">
        <f>'17'!G69</f>
        <v>9</v>
      </c>
      <c r="U14" s="91">
        <f>'18 '!G69</f>
        <v>6</v>
      </c>
      <c r="V14" s="91">
        <f>'19'!G69</f>
        <v>9</v>
      </c>
      <c r="W14" s="91">
        <f>'20'!G69</f>
        <v>6</v>
      </c>
      <c r="X14" s="91">
        <f>'21'!G69</f>
        <v>15</v>
      </c>
      <c r="Y14" s="91">
        <f>'22'!G69</f>
        <v>12</v>
      </c>
      <c r="Z14" s="91">
        <f>'23'!G69</f>
        <v>7</v>
      </c>
      <c r="AA14" s="91">
        <f>'24'!G69</f>
        <v>10</v>
      </c>
      <c r="AB14" s="91">
        <f>'25'!G69</f>
        <v>25</v>
      </c>
      <c r="AC14" s="91">
        <f>'26'!G69</f>
        <v>28</v>
      </c>
      <c r="AD14" s="91">
        <f>'27'!G69</f>
        <v>16</v>
      </c>
      <c r="AE14" s="91">
        <f>'28'!G69</f>
        <v>7</v>
      </c>
      <c r="AF14" s="91">
        <f>'29'!G69</f>
        <v>14</v>
      </c>
      <c r="AG14" s="91">
        <f>'30'!G69</f>
        <v>8</v>
      </c>
      <c r="AH14" s="91">
        <f>'31'!G69</f>
        <v>0</v>
      </c>
      <c r="AI14" s="90"/>
    </row>
    <row r="15" spans="2:35">
      <c r="B15" s="771"/>
      <c r="C15" s="90" t="s">
        <v>33</v>
      </c>
      <c r="D15" s="91">
        <f>'1'!G70</f>
        <v>13</v>
      </c>
      <c r="E15" s="91">
        <f>'2'!G70</f>
        <v>6</v>
      </c>
      <c r="F15" s="91">
        <f>'3'!G70</f>
        <v>6</v>
      </c>
      <c r="G15" s="91">
        <f>'4'!G70</f>
        <v>9</v>
      </c>
      <c r="H15" s="91">
        <f>'5'!G70</f>
        <v>13</v>
      </c>
      <c r="I15" s="91">
        <f>'6'!G70</f>
        <v>6</v>
      </c>
      <c r="J15" s="91">
        <f>'7'!G70</f>
        <v>13</v>
      </c>
      <c r="K15" s="91">
        <f>'8'!G70</f>
        <v>5</v>
      </c>
      <c r="L15" s="91">
        <f>'9'!G70</f>
        <v>6</v>
      </c>
      <c r="M15" s="91">
        <f>'10'!G70</f>
        <v>6</v>
      </c>
      <c r="N15" s="91">
        <f>'11'!G70</f>
        <v>5</v>
      </c>
      <c r="O15" s="91">
        <f>'12'!G70</f>
        <v>5</v>
      </c>
      <c r="P15" s="91">
        <f>'13'!G70</f>
        <v>7</v>
      </c>
      <c r="Q15" s="91">
        <f>'14'!G70</f>
        <v>5</v>
      </c>
      <c r="R15" s="91">
        <f>'15'!G70</f>
        <v>5</v>
      </c>
      <c r="S15" s="91">
        <f>'16'!G70</f>
        <v>-243</v>
      </c>
      <c r="T15" s="91">
        <f>'17'!G70</f>
        <v>11</v>
      </c>
      <c r="U15" s="91">
        <f>'18 '!G70</f>
        <v>7</v>
      </c>
      <c r="V15" s="91">
        <f>'19'!G70</f>
        <v>11</v>
      </c>
      <c r="W15" s="91">
        <f>'20'!G70</f>
        <v>17</v>
      </c>
      <c r="X15" s="91">
        <f>'21'!G70</f>
        <v>8</v>
      </c>
      <c r="Y15" s="91">
        <f>'22'!G70</f>
        <v>6</v>
      </c>
      <c r="Z15" s="91">
        <f>'23'!G70</f>
        <v>9</v>
      </c>
      <c r="AA15" s="91">
        <f>'24'!G70</f>
        <v>17</v>
      </c>
      <c r="AB15" s="91">
        <f>'25'!G70</f>
        <v>8</v>
      </c>
      <c r="AC15" s="91">
        <f>'26'!G70</f>
        <v>7</v>
      </c>
      <c r="AD15" s="91">
        <f>'27'!G70</f>
        <v>9</v>
      </c>
      <c r="AE15" s="91">
        <f>'28'!G70</f>
        <v>7</v>
      </c>
      <c r="AF15" s="91">
        <f>'29'!G70</f>
        <v>8</v>
      </c>
      <c r="AG15" s="91">
        <f>'30'!G70</f>
        <v>8</v>
      </c>
      <c r="AH15" s="91">
        <f>'31'!G70</f>
        <v>0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1" t="s">
        <v>73</v>
      </c>
      <c r="C17" s="90" t="s">
        <v>74</v>
      </c>
      <c r="D17" s="90">
        <f>'1'!G173</f>
        <v>4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12</v>
      </c>
      <c r="T17" s="91">
        <f>'17'!G173</f>
        <v>0</v>
      </c>
      <c r="U17" s="91">
        <f>'18 '!G173</f>
        <v>1</v>
      </c>
      <c r="V17" s="91">
        <f>'19'!G173</f>
        <v>0</v>
      </c>
      <c r="W17" s="91">
        <f>'20'!G173</f>
        <v>73</v>
      </c>
      <c r="X17" s="91">
        <f>'21'!G173</f>
        <v>0</v>
      </c>
      <c r="Y17" s="91">
        <f>'22'!G173</f>
        <v>0</v>
      </c>
      <c r="Z17" s="91">
        <f>'23'!G173</f>
        <v>6</v>
      </c>
      <c r="AA17" s="91">
        <f>'24'!G173</f>
        <v>0</v>
      </c>
      <c r="AB17" s="91">
        <f>'25'!G173</f>
        <v>3</v>
      </c>
      <c r="AC17" s="91">
        <f>'26'!G173</f>
        <v>2</v>
      </c>
      <c r="AD17" s="91">
        <f>'27'!G173</f>
        <v>0</v>
      </c>
      <c r="AE17" s="91">
        <f>'28'!G173</f>
        <v>21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>
      <c r="B18" s="771"/>
      <c r="C18" s="90" t="s">
        <v>75</v>
      </c>
      <c r="D18" s="90">
        <f>'1'!G174</f>
        <v>18</v>
      </c>
      <c r="E18" s="91">
        <f>'2'!G174</f>
        <v>14</v>
      </c>
      <c r="F18" s="91">
        <f>'3'!G174</f>
        <v>15</v>
      </c>
      <c r="G18" s="91">
        <f>'4'!G174</f>
        <v>14</v>
      </c>
      <c r="H18" s="91">
        <f>'5'!G174</f>
        <v>15</v>
      </c>
      <c r="I18" s="91">
        <f>'6'!G174</f>
        <v>14</v>
      </c>
      <c r="J18" s="91">
        <f>'7'!G174</f>
        <v>17</v>
      </c>
      <c r="K18" s="91">
        <f>'8'!G174</f>
        <v>13</v>
      </c>
      <c r="L18" s="91">
        <f>'9'!G174</f>
        <v>14</v>
      </c>
      <c r="M18" s="91">
        <f>'10'!G174</f>
        <v>10</v>
      </c>
      <c r="N18" s="91">
        <f>'11'!G174</f>
        <v>3</v>
      </c>
      <c r="O18" s="91">
        <f>'12'!G174</f>
        <v>0</v>
      </c>
      <c r="P18" s="91">
        <f>'13'!G174</f>
        <v>6</v>
      </c>
      <c r="Q18" s="91">
        <f>'14'!G174</f>
        <v>11</v>
      </c>
      <c r="R18" s="91">
        <f>'15'!G174</f>
        <v>12</v>
      </c>
      <c r="S18" s="91">
        <f>'16'!G174</f>
        <v>-402</v>
      </c>
      <c r="T18" s="91">
        <f>'17'!G174</f>
        <v>16</v>
      </c>
      <c r="U18" s="91">
        <f>'18 '!G174</f>
        <v>16</v>
      </c>
      <c r="V18" s="91">
        <f>'19'!G174</f>
        <v>18</v>
      </c>
      <c r="W18" s="91">
        <f>'20'!G174</f>
        <v>14</v>
      </c>
      <c r="X18" s="91">
        <f>'21'!G174</f>
        <v>16</v>
      </c>
      <c r="Y18" s="91">
        <f>'22'!G174</f>
        <v>16</v>
      </c>
      <c r="Z18" s="91">
        <f>'23'!G174</f>
        <v>13</v>
      </c>
      <c r="AA18" s="91">
        <f>'24'!G174</f>
        <v>29</v>
      </c>
      <c r="AB18" s="91">
        <f>'25'!G174</f>
        <v>15</v>
      </c>
      <c r="AC18" s="91">
        <f>'26'!G174</f>
        <v>16</v>
      </c>
      <c r="AD18" s="91">
        <f>'27'!G174</f>
        <v>13</v>
      </c>
      <c r="AE18" s="91">
        <f>'28'!G174</f>
        <v>15</v>
      </c>
      <c r="AF18" s="91">
        <f>'29'!G174</f>
        <v>15</v>
      </c>
      <c r="AG18" s="91">
        <f>'30'!G174</f>
        <v>14</v>
      </c>
      <c r="AH18" s="91">
        <f>'31'!G174</f>
        <v>0</v>
      </c>
      <c r="AI18" s="90"/>
    </row>
    <row r="19" spans="2:35">
      <c r="B19" s="771"/>
      <c r="C19" s="90" t="s">
        <v>76</v>
      </c>
      <c r="D19" s="90">
        <f>'1'!G175</f>
        <v>14</v>
      </c>
      <c r="E19" s="91">
        <f>'2'!G175</f>
        <v>11</v>
      </c>
      <c r="F19" s="91">
        <f>'3'!G175</f>
        <v>13</v>
      </c>
      <c r="G19" s="91">
        <f>'4'!G175</f>
        <v>11</v>
      </c>
      <c r="H19" s="91">
        <f>'5'!G175</f>
        <v>14</v>
      </c>
      <c r="I19" s="91">
        <f>'6'!G175</f>
        <v>14</v>
      </c>
      <c r="J19" s="91">
        <f>'7'!G175</f>
        <v>14</v>
      </c>
      <c r="K19" s="91">
        <f>'8'!G175</f>
        <v>15</v>
      </c>
      <c r="L19" s="91">
        <f>'9'!G175</f>
        <v>11</v>
      </c>
      <c r="M19" s="91">
        <f>'10'!G175</f>
        <v>11</v>
      </c>
      <c r="N19" s="91">
        <f>'11'!G175</f>
        <v>7</v>
      </c>
      <c r="O19" s="91">
        <f>'12'!G175</f>
        <v>4</v>
      </c>
      <c r="P19" s="91">
        <f>'13'!G175</f>
        <v>9</v>
      </c>
      <c r="Q19" s="91">
        <f>'14'!G175</f>
        <v>11</v>
      </c>
      <c r="R19" s="91">
        <f>'15'!G175</f>
        <v>11</v>
      </c>
      <c r="S19" s="91">
        <f>'16'!G175</f>
        <v>-343</v>
      </c>
      <c r="T19" s="91">
        <f>'17'!G175</f>
        <v>14</v>
      </c>
      <c r="U19" s="91">
        <f>'18 '!G175</f>
        <v>14</v>
      </c>
      <c r="V19" s="91">
        <f>'19'!G175</f>
        <v>14</v>
      </c>
      <c r="W19" s="91">
        <f>'20'!G175</f>
        <v>11</v>
      </c>
      <c r="X19" s="91">
        <f>'21'!G175</f>
        <v>13</v>
      </c>
      <c r="Y19" s="91">
        <f>'22'!G175</f>
        <v>12</v>
      </c>
      <c r="Z19" s="91">
        <f>'23'!G175</f>
        <v>13</v>
      </c>
      <c r="AA19" s="91">
        <f>'24'!G175</f>
        <v>12</v>
      </c>
      <c r="AB19" s="91">
        <f>'25'!G175</f>
        <v>12</v>
      </c>
      <c r="AC19" s="91">
        <f>'26'!G175</f>
        <v>11</v>
      </c>
      <c r="AD19" s="91">
        <f>'27'!G175</f>
        <v>11</v>
      </c>
      <c r="AE19" s="91">
        <f>'28'!G175</f>
        <v>13</v>
      </c>
      <c r="AF19" s="91">
        <f>'29'!G175</f>
        <v>12</v>
      </c>
      <c r="AG19" s="91">
        <f>'30'!G175</f>
        <v>11</v>
      </c>
      <c r="AH19" s="91">
        <f>'31'!G175</f>
        <v>0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1" t="s">
        <v>77</v>
      </c>
      <c r="C21" s="90" t="s">
        <v>78</v>
      </c>
      <c r="D21" s="90">
        <f>'1'!G178</f>
        <v>130</v>
      </c>
      <c r="E21" s="91">
        <f>'2'!G178</f>
        <v>108</v>
      </c>
      <c r="F21" s="91">
        <f>'3'!G178</f>
        <v>106</v>
      </c>
      <c r="G21" s="91">
        <f>'4'!G178</f>
        <v>87</v>
      </c>
      <c r="H21" s="91">
        <f>'5'!G178</f>
        <v>99</v>
      </c>
      <c r="I21" s="91">
        <f>'6'!G178</f>
        <v>109</v>
      </c>
      <c r="J21" s="91">
        <f>'7'!G178</f>
        <v>104</v>
      </c>
      <c r="K21" s="91">
        <f>'8'!G178</f>
        <v>127</v>
      </c>
      <c r="L21" s="91">
        <f>'9'!G178</f>
        <v>126</v>
      </c>
      <c r="M21" s="91">
        <f>'10'!G178</f>
        <v>80</v>
      </c>
      <c r="N21" s="91">
        <f>'11'!G178</f>
        <v>78</v>
      </c>
      <c r="O21" s="91">
        <f>'12'!G178</f>
        <v>100</v>
      </c>
      <c r="P21" s="91">
        <f>'13'!G178</f>
        <v>107</v>
      </c>
      <c r="Q21" s="91">
        <f>'14'!G178</f>
        <v>89</v>
      </c>
      <c r="R21" s="91">
        <f>'15'!G178</f>
        <v>122</v>
      </c>
      <c r="S21" s="91">
        <f>'16'!G178</f>
        <v>-3005</v>
      </c>
      <c r="T21" s="91">
        <f>'17'!G178</f>
        <v>107</v>
      </c>
      <c r="U21" s="91">
        <f>'18 '!G178</f>
        <v>106</v>
      </c>
      <c r="V21" s="91">
        <f>'19'!G178</f>
        <v>86</v>
      </c>
      <c r="W21" s="91">
        <f>'20'!G178</f>
        <v>107</v>
      </c>
      <c r="X21" s="91">
        <f>'21'!G178</f>
        <v>107</v>
      </c>
      <c r="Y21" s="91">
        <f>'22'!G178</f>
        <v>85</v>
      </c>
      <c r="Z21" s="91">
        <f>'23'!G178</f>
        <v>107</v>
      </c>
      <c r="AA21" s="91">
        <f>'24'!G178</f>
        <v>107</v>
      </c>
      <c r="AB21" s="91">
        <f>'25'!G178</f>
        <v>108</v>
      </c>
      <c r="AC21" s="91">
        <f>'26'!G178</f>
        <v>130</v>
      </c>
      <c r="AD21" s="91">
        <f>'27'!G178</f>
        <v>107</v>
      </c>
      <c r="AE21" s="91">
        <f>'28'!G178</f>
        <v>84</v>
      </c>
      <c r="AF21" s="91">
        <f>'29'!G178</f>
        <v>106</v>
      </c>
      <c r="AG21" s="91">
        <f>'30'!G178</f>
        <v>86</v>
      </c>
      <c r="AH21" s="91">
        <f>'31'!G178</f>
        <v>0</v>
      </c>
      <c r="AI21" s="90"/>
    </row>
    <row r="22" spans="2:35">
      <c r="B22" s="771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2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-65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17</v>
      </c>
      <c r="Y22" s="91">
        <f>'22'!G179</f>
        <v>5</v>
      </c>
      <c r="Z22" s="91">
        <f>'23'!G179</f>
        <v>7</v>
      </c>
      <c r="AA22" s="91">
        <f>'24'!G179</f>
        <v>0</v>
      </c>
      <c r="AB22" s="91">
        <f>'25'!G179</f>
        <v>26</v>
      </c>
      <c r="AC22" s="91">
        <f>'26'!G179</f>
        <v>3</v>
      </c>
      <c r="AD22" s="91">
        <f>'27'!G179</f>
        <v>4</v>
      </c>
      <c r="AE22" s="91">
        <f>'28'!G179</f>
        <v>0</v>
      </c>
      <c r="AF22" s="91">
        <f>'29'!G179</f>
        <v>1</v>
      </c>
      <c r="AG22" s="91">
        <f>'30'!G179</f>
        <v>0</v>
      </c>
      <c r="AH22" s="91">
        <f>'31'!G179</f>
        <v>0</v>
      </c>
      <c r="AI22" s="90"/>
    </row>
    <row r="23" spans="2:35">
      <c r="B23" s="771"/>
      <c r="C23" s="90" t="s">
        <v>80</v>
      </c>
      <c r="D23" s="90">
        <f>'1'!G180</f>
        <v>4</v>
      </c>
      <c r="E23" s="91">
        <f>'2'!G180</f>
        <v>7</v>
      </c>
      <c r="F23" s="91">
        <f>'3'!G180</f>
        <v>11</v>
      </c>
      <c r="G23" s="91">
        <f>'4'!G180</f>
        <v>4</v>
      </c>
      <c r="H23" s="91">
        <f>'5'!G180</f>
        <v>16</v>
      </c>
      <c r="I23" s="91">
        <f>'6'!G180</f>
        <v>14</v>
      </c>
      <c r="J23" s="91">
        <f>'7'!G180</f>
        <v>2</v>
      </c>
      <c r="K23" s="91">
        <f>'8'!G180</f>
        <v>5</v>
      </c>
      <c r="L23" s="91">
        <f>'9'!G180</f>
        <v>1</v>
      </c>
      <c r="M23" s="91">
        <f>'10'!G180</f>
        <v>17</v>
      </c>
      <c r="N23" s="91">
        <f>'11'!G180</f>
        <v>17</v>
      </c>
      <c r="O23" s="91">
        <f>'12'!G180</f>
        <v>13</v>
      </c>
      <c r="P23" s="91">
        <f>'13'!G180</f>
        <v>3</v>
      </c>
      <c r="Q23" s="91">
        <f>'14'!G180</f>
        <v>21</v>
      </c>
      <c r="R23" s="91">
        <f>'15'!G180</f>
        <v>0</v>
      </c>
      <c r="S23" s="91">
        <f>'16'!G180</f>
        <v>-257</v>
      </c>
      <c r="T23" s="91">
        <f>'17'!G180</f>
        <v>21</v>
      </c>
      <c r="U23" s="91">
        <f>'18 '!G180</f>
        <v>3</v>
      </c>
      <c r="V23" s="91">
        <f>'19'!G180</f>
        <v>6</v>
      </c>
      <c r="W23" s="91">
        <f>'20'!G180</f>
        <v>15</v>
      </c>
      <c r="X23" s="91">
        <f>'21'!G180</f>
        <v>3</v>
      </c>
      <c r="Y23" s="91">
        <f>'22'!G180</f>
        <v>4</v>
      </c>
      <c r="Z23" s="91">
        <f>'23'!G180</f>
        <v>9</v>
      </c>
      <c r="AA23" s="91">
        <f>'24'!G180</f>
        <v>3</v>
      </c>
      <c r="AB23" s="91">
        <f>'25'!G180</f>
        <v>4</v>
      </c>
      <c r="AC23" s="91">
        <f>'26'!G180</f>
        <v>7</v>
      </c>
      <c r="AD23" s="91">
        <f>'27'!G180</f>
        <v>8</v>
      </c>
      <c r="AE23" s="91">
        <f>'28'!G180</f>
        <v>13</v>
      </c>
      <c r="AF23" s="91">
        <f>'29'!G180</f>
        <v>5</v>
      </c>
      <c r="AG23" s="91">
        <f>'30'!G180</f>
        <v>21</v>
      </c>
      <c r="AH23" s="91">
        <f>'31'!G180</f>
        <v>0</v>
      </c>
      <c r="AI23" s="90"/>
    </row>
    <row r="24" spans="2:35" ht="30">
      <c r="B24" s="93" t="s">
        <v>301</v>
      </c>
      <c r="C24" s="90"/>
      <c r="D24" s="91">
        <f>SUM(D5:D6)</f>
        <v>312</v>
      </c>
      <c r="E24" s="91">
        <f t="shared" ref="E24:AH24" si="0">SUM(E5:E6)</f>
        <v>255</v>
      </c>
      <c r="F24" s="91">
        <f t="shared" si="0"/>
        <v>273</v>
      </c>
      <c r="G24" s="91">
        <f t="shared" si="0"/>
        <v>254</v>
      </c>
      <c r="H24" s="91">
        <f t="shared" si="0"/>
        <v>274</v>
      </c>
      <c r="I24" s="91">
        <f t="shared" si="0"/>
        <v>285</v>
      </c>
      <c r="J24" s="91">
        <f t="shared" si="0"/>
        <v>306</v>
      </c>
      <c r="K24" s="91">
        <f t="shared" si="0"/>
        <v>408</v>
      </c>
      <c r="L24" s="91">
        <f t="shared" si="0"/>
        <v>398</v>
      </c>
      <c r="M24" s="91">
        <f t="shared" si="0"/>
        <v>81</v>
      </c>
      <c r="N24" s="91">
        <f t="shared" si="0"/>
        <v>54</v>
      </c>
      <c r="O24" s="91">
        <f t="shared" si="0"/>
        <v>55</v>
      </c>
      <c r="P24" s="91">
        <f t="shared" si="0"/>
        <v>326</v>
      </c>
      <c r="Q24" s="91">
        <f t="shared" si="0"/>
        <v>484</v>
      </c>
      <c r="R24" s="91">
        <f t="shared" si="0"/>
        <v>295</v>
      </c>
      <c r="S24" s="91">
        <f t="shared" si="0"/>
        <v>-1209</v>
      </c>
      <c r="T24" s="91">
        <f t="shared" si="0"/>
        <v>270</v>
      </c>
      <c r="U24" s="91">
        <f t="shared" si="0"/>
        <v>255</v>
      </c>
      <c r="V24" s="91">
        <f t="shared" si="0"/>
        <v>274</v>
      </c>
      <c r="W24" s="91">
        <f t="shared" si="0"/>
        <v>307</v>
      </c>
      <c r="X24" s="91">
        <f t="shared" si="0"/>
        <v>277</v>
      </c>
      <c r="Y24" s="91">
        <f t="shared" si="0"/>
        <v>296</v>
      </c>
      <c r="Z24" s="91">
        <f t="shared" si="0"/>
        <v>291</v>
      </c>
      <c r="AA24" s="91">
        <f>SUM(AA5:AA6)</f>
        <v>307</v>
      </c>
      <c r="AB24" s="91">
        <f t="shared" si="0"/>
        <v>381</v>
      </c>
      <c r="AC24" s="91">
        <f t="shared" si="0"/>
        <v>328</v>
      </c>
      <c r="AD24" s="91">
        <f t="shared" si="0"/>
        <v>280</v>
      </c>
      <c r="AE24" s="91">
        <f t="shared" si="0"/>
        <v>313</v>
      </c>
      <c r="AF24" s="91">
        <f t="shared" si="0"/>
        <v>311</v>
      </c>
      <c r="AG24" s="91">
        <f t="shared" si="0"/>
        <v>379</v>
      </c>
      <c r="AH24" s="91">
        <f t="shared" si="0"/>
        <v>220</v>
      </c>
      <c r="AI24" s="90"/>
    </row>
    <row r="25" spans="2:35" ht="30">
      <c r="B25" s="93" t="s">
        <v>81</v>
      </c>
      <c r="C25" s="90"/>
      <c r="D25" s="91">
        <f>SUM(D9:D11,D14:D15,)</f>
        <v>234</v>
      </c>
      <c r="E25" s="91">
        <f t="shared" ref="E25:AI25" si="1">SUM(E9:E11,E14:E15,)</f>
        <v>203</v>
      </c>
      <c r="F25" s="91">
        <f t="shared" si="1"/>
        <v>207</v>
      </c>
      <c r="G25" s="91">
        <f t="shared" si="1"/>
        <v>207</v>
      </c>
      <c r="H25" s="91">
        <f t="shared" si="1"/>
        <v>221</v>
      </c>
      <c r="I25" s="91">
        <f t="shared" si="1"/>
        <v>223</v>
      </c>
      <c r="J25" s="91">
        <f t="shared" si="1"/>
        <v>233</v>
      </c>
      <c r="K25" s="91">
        <f>SUM(K9:K11,K14:K15,)</f>
        <v>257</v>
      </c>
      <c r="L25" s="91">
        <f t="shared" si="1"/>
        <v>213</v>
      </c>
      <c r="M25" s="91">
        <f t="shared" si="1"/>
        <v>243</v>
      </c>
      <c r="N25" s="91">
        <f t="shared" si="1"/>
        <v>197</v>
      </c>
      <c r="O25" s="91">
        <f t="shared" si="1"/>
        <v>5262</v>
      </c>
      <c r="P25" s="91">
        <f t="shared" si="1"/>
        <v>200</v>
      </c>
      <c r="Q25" s="91">
        <f t="shared" si="1"/>
        <v>238</v>
      </c>
      <c r="R25" s="91">
        <f t="shared" si="1"/>
        <v>218</v>
      </c>
      <c r="S25" s="91">
        <f t="shared" si="1"/>
        <v>-11638</v>
      </c>
      <c r="T25" s="91">
        <f>SUM(T9:T11,T14:T15,)</f>
        <v>229</v>
      </c>
      <c r="U25" s="91">
        <f t="shared" si="1"/>
        <v>210</v>
      </c>
      <c r="V25" s="91">
        <f t="shared" si="1"/>
        <v>222</v>
      </c>
      <c r="W25" s="91">
        <f t="shared" si="1"/>
        <v>228</v>
      </c>
      <c r="X25" s="91">
        <f t="shared" si="1"/>
        <v>242</v>
      </c>
      <c r="Y25" s="91">
        <f t="shared" si="1"/>
        <v>229</v>
      </c>
      <c r="Z25" s="91">
        <f t="shared" si="1"/>
        <v>272</v>
      </c>
      <c r="AA25" s="91">
        <f t="shared" si="1"/>
        <v>224</v>
      </c>
      <c r="AB25" s="91">
        <f t="shared" si="1"/>
        <v>244</v>
      </c>
      <c r="AC25" s="91">
        <f t="shared" si="1"/>
        <v>261</v>
      </c>
      <c r="AD25" s="91">
        <f t="shared" si="1"/>
        <v>231</v>
      </c>
      <c r="AE25" s="91">
        <f t="shared" si="1"/>
        <v>224</v>
      </c>
      <c r="AF25" s="91">
        <f t="shared" si="1"/>
        <v>228</v>
      </c>
      <c r="AG25" s="91">
        <f t="shared" si="1"/>
        <v>238</v>
      </c>
      <c r="AH25" s="91">
        <f t="shared" si="1"/>
        <v>0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168</v>
      </c>
      <c r="E27" s="91">
        <f t="shared" ref="E27:AH27" si="2">SUM(E13,E21,E23)</f>
        <v>129</v>
      </c>
      <c r="F27" s="91">
        <f>SUM(F13,F21,F23)</f>
        <v>132</v>
      </c>
      <c r="G27" s="91">
        <f t="shared" si="2"/>
        <v>105</v>
      </c>
      <c r="H27" s="91">
        <f t="shared" si="2"/>
        <v>128</v>
      </c>
      <c r="I27" s="91">
        <f t="shared" si="2"/>
        <v>134</v>
      </c>
      <c r="J27" s="91">
        <f t="shared" si="2"/>
        <v>126</v>
      </c>
      <c r="K27" s="91">
        <f t="shared" si="2"/>
        <v>162</v>
      </c>
      <c r="L27" s="91">
        <f t="shared" si="2"/>
        <v>148</v>
      </c>
      <c r="M27" s="91">
        <f t="shared" si="2"/>
        <v>126</v>
      </c>
      <c r="N27" s="91">
        <f t="shared" si="2"/>
        <v>123</v>
      </c>
      <c r="O27" s="91">
        <f t="shared" si="2"/>
        <v>142</v>
      </c>
      <c r="P27" s="91">
        <f t="shared" si="2"/>
        <v>121</v>
      </c>
      <c r="Q27" s="91">
        <f t="shared" si="2"/>
        <v>134</v>
      </c>
      <c r="R27" s="91">
        <f t="shared" si="2"/>
        <v>149</v>
      </c>
      <c r="S27" s="91">
        <f t="shared" si="2"/>
        <v>-4216</v>
      </c>
      <c r="T27" s="91">
        <f t="shared" si="2"/>
        <v>150</v>
      </c>
      <c r="U27" s="91">
        <f t="shared" si="2"/>
        <v>125</v>
      </c>
      <c r="V27" s="91">
        <f t="shared" si="2"/>
        <v>109</v>
      </c>
      <c r="W27" s="91">
        <f t="shared" si="2"/>
        <v>155</v>
      </c>
      <c r="X27" s="91">
        <f t="shared" si="2"/>
        <v>205</v>
      </c>
      <c r="Y27" s="91">
        <f t="shared" si="2"/>
        <v>147</v>
      </c>
      <c r="Z27" s="91">
        <f t="shared" si="2"/>
        <v>186</v>
      </c>
      <c r="AA27" s="91">
        <f t="shared" si="2"/>
        <v>165</v>
      </c>
      <c r="AB27" s="91">
        <f t="shared" si="2"/>
        <v>185</v>
      </c>
      <c r="AC27" s="91">
        <f t="shared" si="2"/>
        <v>190</v>
      </c>
      <c r="AD27" s="91">
        <f t="shared" si="2"/>
        <v>170</v>
      </c>
      <c r="AE27" s="91">
        <f t="shared" si="2"/>
        <v>140</v>
      </c>
      <c r="AF27" s="91">
        <f t="shared" si="2"/>
        <v>126</v>
      </c>
      <c r="AG27" s="91">
        <f t="shared" si="2"/>
        <v>132</v>
      </c>
      <c r="AH27" s="91">
        <f t="shared" si="2"/>
        <v>0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113</v>
      </c>
      <c r="E29" s="249">
        <f t="shared" ref="E29:AH29" si="4">E9</f>
        <v>93</v>
      </c>
      <c r="F29" s="249">
        <f t="shared" si="4"/>
        <v>101</v>
      </c>
      <c r="G29" s="249">
        <f t="shared" si="4"/>
        <v>94</v>
      </c>
      <c r="H29" s="249">
        <f t="shared" si="4"/>
        <v>106</v>
      </c>
      <c r="I29" s="249">
        <f t="shared" si="4"/>
        <v>114</v>
      </c>
      <c r="J29" s="249">
        <f t="shared" si="4"/>
        <v>105</v>
      </c>
      <c r="K29" s="249">
        <f t="shared" si="4"/>
        <v>122</v>
      </c>
      <c r="L29" s="249">
        <f t="shared" si="4"/>
        <v>105</v>
      </c>
      <c r="M29" s="249">
        <f t="shared" si="4"/>
        <v>136</v>
      </c>
      <c r="N29" s="249">
        <f t="shared" si="4"/>
        <v>82</v>
      </c>
      <c r="O29" s="249">
        <f t="shared" si="4"/>
        <v>99</v>
      </c>
      <c r="P29" s="249">
        <f t="shared" si="4"/>
        <v>81</v>
      </c>
      <c r="Q29" s="249">
        <f t="shared" si="4"/>
        <v>110</v>
      </c>
      <c r="R29" s="249">
        <f t="shared" si="4"/>
        <v>90</v>
      </c>
      <c r="S29" s="249">
        <f t="shared" si="4"/>
        <v>-3183</v>
      </c>
      <c r="T29" s="249">
        <f t="shared" si="4"/>
        <v>99</v>
      </c>
      <c r="U29" s="249">
        <f t="shared" si="4"/>
        <v>116</v>
      </c>
      <c r="V29" s="249">
        <f t="shared" si="4"/>
        <v>127</v>
      </c>
      <c r="W29" s="249">
        <f t="shared" si="4"/>
        <v>97</v>
      </c>
      <c r="X29" s="249">
        <f t="shared" si="4"/>
        <v>124</v>
      </c>
      <c r="Y29" s="249">
        <f t="shared" si="4"/>
        <v>116</v>
      </c>
      <c r="Z29" s="249">
        <f t="shared" si="4"/>
        <v>150</v>
      </c>
      <c r="AA29" s="249">
        <f t="shared" si="4"/>
        <v>94</v>
      </c>
      <c r="AB29" s="249">
        <f t="shared" si="4"/>
        <v>116</v>
      </c>
      <c r="AC29" s="249">
        <f t="shared" si="4"/>
        <v>132</v>
      </c>
      <c r="AD29" s="249">
        <f t="shared" si="4"/>
        <v>116</v>
      </c>
      <c r="AE29" s="249">
        <f t="shared" si="4"/>
        <v>116</v>
      </c>
      <c r="AF29" s="249">
        <f t="shared" si="4"/>
        <v>112</v>
      </c>
      <c r="AG29" s="249">
        <f t="shared" si="4"/>
        <v>117</v>
      </c>
      <c r="AH29" s="249">
        <f t="shared" si="4"/>
        <v>0</v>
      </c>
      <c r="AI29" s="248"/>
    </row>
    <row r="30" spans="2:35">
      <c r="B30" s="247" t="s">
        <v>84</v>
      </c>
      <c r="C30" s="248"/>
      <c r="D30" s="249">
        <f>SUM(D10:D11,D14:D15)</f>
        <v>121</v>
      </c>
      <c r="E30" s="249">
        <f t="shared" ref="E30:AH30" si="5">SUM(E10:E11,E14:E15)</f>
        <v>110</v>
      </c>
      <c r="F30" s="249">
        <f t="shared" si="5"/>
        <v>106</v>
      </c>
      <c r="G30" s="249">
        <f t="shared" si="5"/>
        <v>113</v>
      </c>
      <c r="H30" s="249">
        <f t="shared" si="5"/>
        <v>115</v>
      </c>
      <c r="I30" s="249">
        <f t="shared" si="5"/>
        <v>109</v>
      </c>
      <c r="J30" s="249">
        <f t="shared" si="5"/>
        <v>128</v>
      </c>
      <c r="K30" s="249">
        <f t="shared" si="5"/>
        <v>135</v>
      </c>
      <c r="L30" s="249">
        <f t="shared" si="5"/>
        <v>108</v>
      </c>
      <c r="M30" s="249">
        <f t="shared" si="5"/>
        <v>107</v>
      </c>
      <c r="N30" s="249">
        <f t="shared" si="5"/>
        <v>115</v>
      </c>
      <c r="O30" s="249">
        <f t="shared" si="5"/>
        <v>5163</v>
      </c>
      <c r="P30" s="249">
        <f t="shared" si="5"/>
        <v>119</v>
      </c>
      <c r="Q30" s="249">
        <f t="shared" si="5"/>
        <v>128</v>
      </c>
      <c r="R30" s="249">
        <f t="shared" si="5"/>
        <v>128</v>
      </c>
      <c r="S30" s="249">
        <f t="shared" si="5"/>
        <v>-8455</v>
      </c>
      <c r="T30" s="249">
        <f t="shared" si="5"/>
        <v>130</v>
      </c>
      <c r="U30" s="249">
        <f t="shared" si="5"/>
        <v>94</v>
      </c>
      <c r="V30" s="249">
        <f t="shared" si="5"/>
        <v>95</v>
      </c>
      <c r="W30" s="249">
        <f t="shared" si="5"/>
        <v>131</v>
      </c>
      <c r="X30" s="249">
        <f t="shared" si="5"/>
        <v>118</v>
      </c>
      <c r="Y30" s="249">
        <f t="shared" si="5"/>
        <v>113</v>
      </c>
      <c r="Z30" s="249">
        <f t="shared" si="5"/>
        <v>122</v>
      </c>
      <c r="AA30" s="249">
        <f t="shared" si="5"/>
        <v>130</v>
      </c>
      <c r="AB30" s="249">
        <f t="shared" si="5"/>
        <v>128</v>
      </c>
      <c r="AC30" s="249">
        <f t="shared" si="5"/>
        <v>129</v>
      </c>
      <c r="AD30" s="249">
        <f t="shared" si="5"/>
        <v>115</v>
      </c>
      <c r="AE30" s="249">
        <f t="shared" si="5"/>
        <v>108</v>
      </c>
      <c r="AF30" s="249">
        <f t="shared" si="5"/>
        <v>116</v>
      </c>
      <c r="AG30" s="249">
        <f t="shared" si="5"/>
        <v>121</v>
      </c>
      <c r="AH30" s="249">
        <f t="shared" si="5"/>
        <v>0</v>
      </c>
      <c r="AI30" s="248"/>
    </row>
    <row r="31" spans="2:35">
      <c r="B31" s="247" t="s">
        <v>85</v>
      </c>
      <c r="C31" s="248"/>
      <c r="D31" s="248">
        <f>D30/SUM(D29:D30)%</f>
        <v>51.70940170940171</v>
      </c>
      <c r="E31" s="248">
        <f t="shared" ref="E31:AH31" si="6">E30/SUM(E29:E30)%</f>
        <v>54.187192118226605</v>
      </c>
      <c r="F31" s="248">
        <f t="shared" si="6"/>
        <v>51.207729468599041</v>
      </c>
      <c r="G31" s="248">
        <f t="shared" si="6"/>
        <v>54.589371980676333</v>
      </c>
      <c r="H31" s="248">
        <f t="shared" si="6"/>
        <v>52.036199095022624</v>
      </c>
      <c r="I31" s="248">
        <f t="shared" si="6"/>
        <v>48.878923766816143</v>
      </c>
      <c r="J31" s="248">
        <f t="shared" si="6"/>
        <v>54.935622317596568</v>
      </c>
      <c r="K31" s="248">
        <f t="shared" si="6"/>
        <v>52.529182879377437</v>
      </c>
      <c r="L31" s="248">
        <f t="shared" si="6"/>
        <v>50.70422535211268</v>
      </c>
      <c r="M31" s="248">
        <f t="shared" si="6"/>
        <v>44.032921810699584</v>
      </c>
      <c r="N31" s="248">
        <f t="shared" si="6"/>
        <v>58.3756345177665</v>
      </c>
      <c r="O31" s="248">
        <f t="shared" si="6"/>
        <v>98.118586088939566</v>
      </c>
      <c r="P31" s="248">
        <f t="shared" si="6"/>
        <v>59.5</v>
      </c>
      <c r="Q31" s="248">
        <f t="shared" si="6"/>
        <v>53.781512605042018</v>
      </c>
      <c r="R31" s="248">
        <f t="shared" si="6"/>
        <v>58.715596330275226</v>
      </c>
      <c r="S31" s="248">
        <f t="shared" si="6"/>
        <v>72.649939852208291</v>
      </c>
      <c r="T31" s="248">
        <f t="shared" si="6"/>
        <v>56.768558951965062</v>
      </c>
      <c r="U31" s="248">
        <f t="shared" si="6"/>
        <v>44.761904761904759</v>
      </c>
      <c r="V31" s="248">
        <f t="shared" si="6"/>
        <v>42.792792792792788</v>
      </c>
      <c r="W31" s="248">
        <f t="shared" si="6"/>
        <v>57.456140350877199</v>
      </c>
      <c r="X31" s="248">
        <f t="shared" si="6"/>
        <v>48.760330578512395</v>
      </c>
      <c r="Y31" s="248">
        <f t="shared" si="6"/>
        <v>49.344978165938862</v>
      </c>
      <c r="Z31" s="248">
        <f t="shared" si="6"/>
        <v>44.852941176470587</v>
      </c>
      <c r="AA31" s="248">
        <f t="shared" si="6"/>
        <v>58.035714285714278</v>
      </c>
      <c r="AB31" s="248">
        <f t="shared" si="6"/>
        <v>52.459016393442624</v>
      </c>
      <c r="AC31" s="248">
        <f t="shared" si="6"/>
        <v>49.425287356321839</v>
      </c>
      <c r="AD31" s="248">
        <f t="shared" si="6"/>
        <v>49.78354978354978</v>
      </c>
      <c r="AE31" s="248">
        <f t="shared" si="6"/>
        <v>48.214285714285708</v>
      </c>
      <c r="AF31" s="248">
        <f t="shared" si="6"/>
        <v>50.877192982456144</v>
      </c>
      <c r="AG31" s="248">
        <f t="shared" si="6"/>
        <v>50.840336134453786</v>
      </c>
      <c r="AH31" s="248" t="e">
        <f t="shared" si="6"/>
        <v>#DIV/0!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4" zoomScale="70" zoomScaleNormal="70" workbookViewId="0">
      <pane xSplit="1" topLeftCell="B1" activePane="topRight" state="frozen"/>
      <selection activeCell="A4" sqref="A4"/>
      <selection pane="topRight" activeCell="C5" sqref="C5:C19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5" t="s">
        <v>308</v>
      </c>
      <c r="G2" s="776"/>
      <c r="H2" s="776"/>
      <c r="I2" s="776"/>
      <c r="J2" s="776"/>
      <c r="K2" s="776"/>
      <c r="L2" s="776"/>
      <c r="M2" s="777"/>
      <c r="N2" s="774" t="s">
        <v>86</v>
      </c>
      <c r="O2" s="774"/>
      <c r="P2" s="774"/>
      <c r="Q2" s="774"/>
      <c r="R2" s="774"/>
      <c r="S2" s="774"/>
      <c r="T2" s="774"/>
      <c r="U2" s="774"/>
      <c r="V2" s="774"/>
      <c r="W2" s="774"/>
      <c r="X2" s="774"/>
      <c r="Y2" s="774"/>
      <c r="Z2" s="774"/>
      <c r="AA2" s="774"/>
      <c r="AB2" s="774"/>
      <c r="AC2" s="774"/>
      <c r="AD2" s="774"/>
      <c r="AE2" s="774"/>
      <c r="AF2" s="774"/>
      <c r="AG2" s="774"/>
      <c r="AH2" s="774"/>
      <c r="AI2" s="774"/>
      <c r="AJ2" s="774"/>
      <c r="AK2" s="774"/>
      <c r="AL2" s="774"/>
      <c r="AM2" s="774"/>
      <c r="AN2" s="773"/>
      <c r="AO2" s="773"/>
      <c r="AP2" s="773"/>
      <c r="AQ2" s="773"/>
      <c r="AR2" s="773"/>
      <c r="AS2" s="773"/>
      <c r="AT2" s="773"/>
      <c r="AU2" s="504"/>
      <c r="AV2" s="772" t="s">
        <v>87</v>
      </c>
      <c r="AW2" s="772"/>
      <c r="AX2" s="772"/>
      <c r="AY2" s="772"/>
      <c r="BB2" s="318" t="s">
        <v>334</v>
      </c>
      <c r="BC2" s="318" t="s">
        <v>335</v>
      </c>
    </row>
    <row r="3" spans="1:55">
      <c r="F3" s="506"/>
      <c r="G3" s="507"/>
      <c r="H3" s="507"/>
      <c r="I3" s="507"/>
      <c r="J3" s="507"/>
      <c r="K3" s="507"/>
      <c r="L3" s="507"/>
      <c r="M3" s="508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5"/>
      <c r="AN3" s="778" t="s">
        <v>138</v>
      </c>
      <c r="AO3" s="778"/>
      <c r="AP3" s="778"/>
      <c r="AQ3" s="778"/>
      <c r="AR3" s="778"/>
      <c r="AS3" s="778"/>
      <c r="AT3" s="778"/>
      <c r="AU3" s="779" t="s">
        <v>283</v>
      </c>
      <c r="AV3" s="779"/>
      <c r="AW3" s="779"/>
      <c r="AX3" s="779"/>
      <c r="AY3" s="779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9" t="s">
        <v>284</v>
      </c>
      <c r="G4" s="510" t="s">
        <v>285</v>
      </c>
      <c r="H4" s="510" t="s">
        <v>286</v>
      </c>
      <c r="I4" s="510" t="s">
        <v>287</v>
      </c>
      <c r="J4" s="510" t="s">
        <v>282</v>
      </c>
      <c r="K4" s="510" t="s">
        <v>51</v>
      </c>
      <c r="L4" s="511" t="s">
        <v>60</v>
      </c>
      <c r="M4" s="511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2">
        <f>'1'!G7</f>
        <v>29490.189999999944</v>
      </c>
      <c r="C5" s="512">
        <f>'1'!G8</f>
        <v>30041.630000000005</v>
      </c>
      <c r="D5" s="512">
        <f>'1'!G15</f>
        <v>1103.9899999999907</v>
      </c>
      <c r="E5" s="512">
        <f>'1'!G20</f>
        <v>312</v>
      </c>
      <c r="F5" s="512">
        <f>SUM('1'!G35,'1'!G49)</f>
        <v>4118.6199999999953</v>
      </c>
      <c r="G5" s="512">
        <f>SUM('1'!H37,'1'!H51)</f>
        <v>1677.9500000000116</v>
      </c>
      <c r="H5" s="512">
        <f>SUM('1'!G38,'1'!G52)</f>
        <v>2358.2700000000095</v>
      </c>
      <c r="I5" s="512">
        <f>SUM('1'!G39,'1'!G53)</f>
        <v>2754.710000000021</v>
      </c>
      <c r="J5" s="512">
        <f>SUM('1'!G41,'1'!G42,'1'!G55,'1'!G56)</f>
        <v>10283.279999999995</v>
      </c>
      <c r="K5" s="512">
        <f>SUM('1'!G43,'1'!G57)</f>
        <v>3821.9899999999907</v>
      </c>
      <c r="L5" s="254">
        <f>'1'!G50</f>
        <v>1774.4100000000035</v>
      </c>
      <c r="M5" s="254">
        <f>'1'!G36</f>
        <v>844.20000000001164</v>
      </c>
      <c r="N5" s="254">
        <f>'1'!G138</f>
        <v>145</v>
      </c>
      <c r="O5" s="254">
        <f>'1'!G139</f>
        <v>153</v>
      </c>
      <c r="P5" s="254">
        <f>'1'!G140</f>
        <v>11</v>
      </c>
      <c r="Q5" s="254">
        <f>'1'!G141</f>
        <v>227.16000000000349</v>
      </c>
      <c r="R5" s="254">
        <f>'1'!G142</f>
        <v>67.849999999998545</v>
      </c>
      <c r="S5" s="254">
        <f>'1'!$G$145</f>
        <v>2.2600000000002183</v>
      </c>
      <c r="T5" s="254">
        <f>'1'!$G$146</f>
        <v>0</v>
      </c>
      <c r="U5" s="254">
        <f>'1'!$G$144</f>
        <v>238</v>
      </c>
      <c r="V5" s="254">
        <f>'1'!$G$147</f>
        <v>381.89000000001397</v>
      </c>
      <c r="W5" s="254">
        <f>'1'!$G$148</f>
        <v>411.76000000000931</v>
      </c>
      <c r="X5" s="254">
        <f>'1'!$G$143</f>
        <v>23.699999999999818</v>
      </c>
      <c r="Y5" s="254">
        <f>'1'!$G$58</f>
        <v>231.5099999999984</v>
      </c>
      <c r="Z5" s="254">
        <f>'1'!$G$151</f>
        <v>304</v>
      </c>
      <c r="AA5" s="254">
        <f>'1'!G161</f>
        <v>25.919999999983702</v>
      </c>
      <c r="AB5" s="254">
        <f>'1'!G162</f>
        <v>21.19999999999709</v>
      </c>
      <c r="AC5" s="254"/>
      <c r="AD5" s="254">
        <f>'1'!G163+'1'!G164</f>
        <v>165.5</v>
      </c>
      <c r="AE5" s="254">
        <f>'1'!$G$116</f>
        <v>299.91000000000349</v>
      </c>
      <c r="AF5" s="254">
        <f>'1'!$G$117</f>
        <v>166.0099999999984</v>
      </c>
      <c r="AG5" s="254">
        <f>'1'!$G$118</f>
        <v>500.01000000000022</v>
      </c>
      <c r="AH5" s="254">
        <f>'1'!$G$119</f>
        <v>448.81999999999971</v>
      </c>
      <c r="AI5" s="254">
        <f>'1'!$G$120</f>
        <v>437.98999999999978</v>
      </c>
      <c r="AJ5" s="254">
        <f>'1'!$G$121</f>
        <v>440.70000000000073</v>
      </c>
      <c r="AK5" s="254">
        <f>'1'!$G$122</f>
        <v>175.94000000000005</v>
      </c>
      <c r="AL5" s="254">
        <f>'1'!$G$123</f>
        <v>308.74</v>
      </c>
      <c r="AM5" s="254">
        <f>'1'!$G$133</f>
        <v>898.08999999999651</v>
      </c>
      <c r="AN5" s="254">
        <f>'1'!$G$15</f>
        <v>1103.9899999999907</v>
      </c>
      <c r="AO5" s="254">
        <f>'1'!$G$74</f>
        <v>330.14000000001397</v>
      </c>
      <c r="AP5" s="254">
        <f>'1'!$G$75</f>
        <v>0</v>
      </c>
      <c r="AQ5" s="254">
        <f>'1'!$G$76</f>
        <v>109.60000000000582</v>
      </c>
      <c r="AR5" s="254">
        <f>'1'!$G$77</f>
        <v>45.19999999999709</v>
      </c>
      <c r="AS5" s="254">
        <f>'1'!$G$78</f>
        <v>0</v>
      </c>
      <c r="AT5" s="254">
        <f>AN5-SUM(AO5:AS5)</f>
        <v>619.04999999997381</v>
      </c>
      <c r="AU5" s="254">
        <f>SUM('1'!G91:G92)</f>
        <v>12.090000000000146</v>
      </c>
      <c r="AV5" s="254">
        <f>'1'!$G$88</f>
        <v>0</v>
      </c>
      <c r="AW5" s="254">
        <f>'1'!$G$89</f>
        <v>10.399999999997817</v>
      </c>
      <c r="AX5" s="254">
        <f>'1'!$G$90</f>
        <v>9.4499999999970896</v>
      </c>
      <c r="AY5" s="252">
        <f>SUM(AV5:AX5)</f>
        <v>19.849999999994907</v>
      </c>
      <c r="AZ5" s="311">
        <f>AO5/AU5</f>
        <v>27.306865177833746</v>
      </c>
      <c r="BA5" s="311">
        <f>AT5/AY5</f>
        <v>31.186397984893333</v>
      </c>
      <c r="BB5" s="351">
        <f>C5-SUM(F5:K5,Y5)</f>
        <v>4795.2999999999847</v>
      </c>
      <c r="BC5" s="351">
        <f>BB5/B5%</f>
        <v>16.260661596279963</v>
      </c>
    </row>
    <row r="6" spans="1:55">
      <c r="A6" s="359">
        <v>2</v>
      </c>
      <c r="B6" s="512">
        <f>'2'!G7</f>
        <v>27590.480000000098</v>
      </c>
      <c r="C6" s="512">
        <f>'2'!G8</f>
        <v>28016.479999999981</v>
      </c>
      <c r="D6" s="512">
        <f>'2'!G15</f>
        <v>1042.8600000001024</v>
      </c>
      <c r="E6" s="512">
        <f>'2'!G20</f>
        <v>255</v>
      </c>
      <c r="F6" s="512">
        <f>SUM('2'!G35,'2'!G49)</f>
        <v>3927.9799999999814</v>
      </c>
      <c r="G6" s="512">
        <f>SUM('2'!G37,'2'!G51)</f>
        <v>1678.2200000000012</v>
      </c>
      <c r="H6" s="512">
        <f>SUM('2'!G38,'2'!G52)</f>
        <v>2338.0799999999872</v>
      </c>
      <c r="I6" s="512">
        <f>SUM('2'!G39,'2'!G53)</f>
        <v>2842.8399999999674</v>
      </c>
      <c r="J6" s="512">
        <f>SUM('2'!G41,'2'!G42,'2'!G55,'2'!G56)</f>
        <v>9353.7600000000202</v>
      </c>
      <c r="K6" s="512">
        <f>SUM('2'!G43,'2'!G57)</f>
        <v>3687.2399999999907</v>
      </c>
      <c r="L6" s="254">
        <f>'2'!G50</f>
        <v>1115.6999999999825</v>
      </c>
      <c r="M6" s="254">
        <f>'2'!G36</f>
        <v>816.61999999999534</v>
      </c>
      <c r="N6" s="254">
        <f>'2'!G138</f>
        <v>150</v>
      </c>
      <c r="O6" s="254">
        <f>'2'!$G$139</f>
        <v>151</v>
      </c>
      <c r="P6" s="254">
        <f>'2'!$G$140</f>
        <v>11.120000000000005</v>
      </c>
      <c r="Q6" s="254">
        <f>'2'!$G$141</f>
        <v>210.67999999999302</v>
      </c>
      <c r="R6" s="254">
        <f>'2'!$G$142</f>
        <v>65.909999999999854</v>
      </c>
      <c r="S6" s="254">
        <f>'2'!$G$145</f>
        <v>2.319999999999709</v>
      </c>
      <c r="T6" s="254">
        <f>'2'!$G$146</f>
        <v>15</v>
      </c>
      <c r="U6" s="254">
        <f>'2'!$G$144</f>
        <v>243</v>
      </c>
      <c r="V6" s="254">
        <f>'2'!$G$147</f>
        <v>385.42999999993481</v>
      </c>
      <c r="W6" s="251">
        <f>'2'!$G$148</f>
        <v>323.76000000000931</v>
      </c>
      <c r="X6" s="251">
        <f>'2'!$G$143</f>
        <v>24.590000000000146</v>
      </c>
      <c r="Y6" s="251">
        <f>'2'!$G$58</f>
        <v>251.30000000000291</v>
      </c>
      <c r="Z6" s="251">
        <f>'2'!$G$151</f>
        <v>275</v>
      </c>
      <c r="AA6" s="251">
        <f>'2'!G161</f>
        <v>24.320000000006985</v>
      </c>
      <c r="AB6" s="254">
        <f>'2'!G162</f>
        <v>44.30000000000291</v>
      </c>
      <c r="AC6" s="254"/>
      <c r="AD6" s="254">
        <f>'2'!G163+'2'!G164</f>
        <v>187.20000000000255</v>
      </c>
      <c r="AE6" s="254">
        <f>'2'!$G$116</f>
        <v>312.60999999999331</v>
      </c>
      <c r="AF6" s="254">
        <f>'2'!$G$117</f>
        <v>177.17000000000189</v>
      </c>
      <c r="AG6" s="254">
        <f>'2'!$G$118</f>
        <v>535.61000000000058</v>
      </c>
      <c r="AH6" s="254">
        <f>'2'!$G$119</f>
        <v>441.74000000000069</v>
      </c>
      <c r="AI6" s="254">
        <f>'2'!$G$120</f>
        <v>440.63000000000011</v>
      </c>
      <c r="AJ6" s="254">
        <f>'2'!$G$121</f>
        <v>448.04999999999927</v>
      </c>
      <c r="AK6" s="254">
        <f>'2'!$G$122</f>
        <v>203.94000000000005</v>
      </c>
      <c r="AL6" s="254">
        <f>'2'!$G$123</f>
        <v>311.70000000000005</v>
      </c>
      <c r="AM6" s="254">
        <f>'2'!$G$133</f>
        <v>864.64000000001397</v>
      </c>
      <c r="AN6" s="254">
        <f>'2'!$G$15</f>
        <v>1042.8600000001024</v>
      </c>
      <c r="AO6" s="254">
        <f>'2'!$G$74</f>
        <v>299.75</v>
      </c>
      <c r="AP6" s="254">
        <f>'2'!$G$75</f>
        <v>0</v>
      </c>
      <c r="AQ6" s="254">
        <f>'2'!$G$76</f>
        <v>110.13000000000466</v>
      </c>
      <c r="AR6" s="254">
        <f>'2'!$G$77</f>
        <v>44.700000000004366</v>
      </c>
      <c r="AS6" s="254">
        <f>'2'!$G$78</f>
        <v>-0.3999999999996362</v>
      </c>
      <c r="AT6" s="254">
        <f t="shared" ref="AT6:AT34" si="0">AN6-SUM(AO6:AS6)</f>
        <v>588.68000000009306</v>
      </c>
      <c r="AU6" s="254">
        <f>SUM('2'!G91:G92)</f>
        <v>10.990000000000236</v>
      </c>
      <c r="AV6" s="254">
        <f>'2'!$G$88</f>
        <v>0</v>
      </c>
      <c r="AW6" s="254">
        <f>'2'!$G$89</f>
        <v>9.8800000000010186</v>
      </c>
      <c r="AX6" s="254">
        <f>'2'!$G$90</f>
        <v>9.3899999999994179</v>
      </c>
      <c r="AY6" s="252">
        <f t="shared" ref="AY6:AY34" si="1">SUM(AV6:AX6)</f>
        <v>19.270000000000437</v>
      </c>
      <c r="AZ6" s="311">
        <f t="shared" ref="AZ6:AZ8" si="2">AO6/AU6</f>
        <v>27.274795268425255</v>
      </c>
      <c r="BA6" s="311">
        <f t="shared" ref="BA6:BA35" si="3">AT6/AY6</f>
        <v>30.54903995848883</v>
      </c>
      <c r="BB6" s="351">
        <f t="shared" ref="BB6:BB35" si="4">C6-SUM(F6:K6,Y6)</f>
        <v>3937.0600000000304</v>
      </c>
      <c r="BC6" s="351">
        <f t="shared" ref="BC6:BC35" si="5">BB6/B6%</f>
        <v>14.269632133982505</v>
      </c>
    </row>
    <row r="7" spans="1:55" s="313" customFormat="1">
      <c r="A7" s="359">
        <v>3</v>
      </c>
      <c r="B7" s="512">
        <f>'3'!G7</f>
        <v>27525.279999999912</v>
      </c>
      <c r="C7" s="512">
        <f>'3'!G8</f>
        <v>27972</v>
      </c>
      <c r="D7" s="512">
        <f>'3'!G15</f>
        <v>1104.2899999998044</v>
      </c>
      <c r="E7" s="512">
        <f>'3'!G20</f>
        <v>273</v>
      </c>
      <c r="F7" s="512">
        <f>SUM('3'!G35,'3'!G49)</f>
        <v>3838.3500000000349</v>
      </c>
      <c r="G7" s="512">
        <f>SUM('3'!G37,'3'!G51)</f>
        <v>1686.5799999999872</v>
      </c>
      <c r="H7" s="512">
        <f>SUM('3'!G38,'3'!G52)</f>
        <v>2350.0300000000079</v>
      </c>
      <c r="I7" s="512">
        <f>SUM('3'!G39,'3'!G53)</f>
        <v>2822.7600000000093</v>
      </c>
      <c r="J7" s="512">
        <f>SUM('3'!G41,'3'!G42,'3'!G55,'3'!G56)</f>
        <v>9444.609999999986</v>
      </c>
      <c r="K7" s="512">
        <f>SUM('3'!G43,'3'!G57)</f>
        <v>3246.4000000000233</v>
      </c>
      <c r="L7" s="251">
        <f>'3'!G50</f>
        <v>1200.960000000021</v>
      </c>
      <c r="M7" s="251">
        <f>'3'!G36</f>
        <v>1105.8099999999977</v>
      </c>
      <c r="N7" s="251">
        <f>'3'!G138</f>
        <v>151</v>
      </c>
      <c r="O7" s="251">
        <f>'3'!$G$139</f>
        <v>130</v>
      </c>
      <c r="P7" s="251">
        <f>'3'!$G$140</f>
        <v>18.590000000000003</v>
      </c>
      <c r="Q7" s="251">
        <f>'3'!$G$141</f>
        <v>194.93000000000757</v>
      </c>
      <c r="R7" s="251">
        <f>'3'!$G$142</f>
        <v>67.950000000000728</v>
      </c>
      <c r="S7" s="251">
        <f>'3'!$G$145</f>
        <v>2.4499999999998181</v>
      </c>
      <c r="T7" s="251">
        <f>'3'!$G$146</f>
        <v>43</v>
      </c>
      <c r="U7" s="251">
        <f>'3'!$G$144</f>
        <v>263</v>
      </c>
      <c r="V7" s="251">
        <f>'3'!$G$147</f>
        <v>410.11999999999534</v>
      </c>
      <c r="W7" s="251">
        <f>'3'!$G$148</f>
        <v>306.47999999998137</v>
      </c>
      <c r="X7" s="251">
        <f>'3'!$G$143</f>
        <v>29.119999999999891</v>
      </c>
      <c r="Y7" s="251">
        <f>'3'!$G$58</f>
        <v>226.22999999999956</v>
      </c>
      <c r="Z7" s="251">
        <f>'3'!$G$151</f>
        <v>302</v>
      </c>
      <c r="AA7" s="254">
        <f>'3'!G161</f>
        <v>22.239999999990687</v>
      </c>
      <c r="AB7" s="254">
        <f>'3'!G162</f>
        <v>36.600000000005821</v>
      </c>
      <c r="AC7" s="254"/>
      <c r="AD7" s="254">
        <f>'3'!G163+'3'!G164</f>
        <v>178.29999999999745</v>
      </c>
      <c r="AE7" s="251">
        <f>'3'!$G$116</f>
        <v>325.62000000000262</v>
      </c>
      <c r="AF7" s="251">
        <f>'3'!$G$117</f>
        <v>159.77000000000044</v>
      </c>
      <c r="AG7" s="251">
        <f>'3'!$G$118</f>
        <v>547.25</v>
      </c>
      <c r="AH7" s="251">
        <f>'3'!$G$119</f>
        <v>413.53999999999996</v>
      </c>
      <c r="AI7" s="251">
        <f>'3'!$G$120</f>
        <v>423.61999999999989</v>
      </c>
      <c r="AJ7" s="251">
        <f>'3'!$G$121</f>
        <v>460.6299999999992</v>
      </c>
      <c r="AK7" s="251">
        <f>'3'!$G$122</f>
        <v>205.86999999999989</v>
      </c>
      <c r="AL7" s="251">
        <f>'3'!$G$123</f>
        <v>317.67999999999984</v>
      </c>
      <c r="AM7" s="251">
        <f>'3'!$G$133</f>
        <v>854.26999999998952</v>
      </c>
      <c r="AN7" s="251">
        <f>'3'!$G$15</f>
        <v>1104.2899999998044</v>
      </c>
      <c r="AO7" s="251">
        <f>'3'!$G$74</f>
        <v>302.25</v>
      </c>
      <c r="AP7" s="251">
        <f>'3'!$G$75</f>
        <v>0</v>
      </c>
      <c r="AQ7" s="251">
        <f>'3'!$G$76</f>
        <v>118.97999999998137</v>
      </c>
      <c r="AR7" s="251">
        <f>'3'!$G$77</f>
        <v>59.19999999999709</v>
      </c>
      <c r="AS7" s="251">
        <f>'3'!$G$78</f>
        <v>0</v>
      </c>
      <c r="AT7" s="251">
        <f t="shared" si="0"/>
        <v>623.85999999982596</v>
      </c>
      <c r="AU7" s="254">
        <f>SUM('3'!G91:G92)</f>
        <v>11.099999999999909</v>
      </c>
      <c r="AV7" s="251">
        <f>'3'!$G$88</f>
        <v>4.0300000000024738</v>
      </c>
      <c r="AW7" s="251">
        <f>'3'!$G$89</f>
        <v>9.2999999999992724</v>
      </c>
      <c r="AX7" s="251">
        <f>'3'!$G$90</f>
        <v>5.3700000000098953</v>
      </c>
      <c r="AY7" s="255">
        <f t="shared" si="1"/>
        <v>18.700000000011642</v>
      </c>
      <c r="AZ7" s="311">
        <f t="shared" si="2"/>
        <v>27.229729729729954</v>
      </c>
      <c r="BA7" s="311">
        <f t="shared" si="3"/>
        <v>33.361497326173129</v>
      </c>
      <c r="BB7" s="351">
        <f t="shared" si="4"/>
        <v>4357.0399999999536</v>
      </c>
      <c r="BC7" s="351">
        <f t="shared" si="5"/>
        <v>15.829230438346013</v>
      </c>
    </row>
    <row r="8" spans="1:55">
      <c r="A8" s="359">
        <v>4</v>
      </c>
      <c r="B8" s="512">
        <f>'4'!G7</f>
        <v>26058</v>
      </c>
      <c r="C8" s="512">
        <f>'4'!G8</f>
        <v>26434.260000000002</v>
      </c>
      <c r="D8" s="512">
        <f>'4'!G15</f>
        <v>1058.3100000000559</v>
      </c>
      <c r="E8" s="512">
        <f>'4'!G20</f>
        <v>254</v>
      </c>
      <c r="F8" s="512">
        <f>SUM('4'!G35,'4'!G49)</f>
        <v>3989.5299999999697</v>
      </c>
      <c r="G8" s="512">
        <f>SUM('4'!G37,'4'!G51)</f>
        <v>1623.0400000000081</v>
      </c>
      <c r="H8" s="512">
        <f>SUM('4'!G38,'4'!G52)</f>
        <v>2401.0799999999872</v>
      </c>
      <c r="I8" s="512">
        <f>SUM('4'!G39,'4'!G53)</f>
        <v>2892.679999999993</v>
      </c>
      <c r="J8" s="512">
        <f>SUM('4'!G41,'4'!G42,'4'!G55,'4'!G56)</f>
        <v>8846.0199999999968</v>
      </c>
      <c r="K8" s="512">
        <f>SUM('4'!G43,'4'!G57)</f>
        <v>2503.320000000007</v>
      </c>
      <c r="L8" s="254">
        <f>'4'!G50</f>
        <v>1095.1600000000035</v>
      </c>
      <c r="M8" s="254">
        <f>'4'!G36</f>
        <v>904.52999999999884</v>
      </c>
      <c r="N8" s="254">
        <f>'4'!G138</f>
        <v>141</v>
      </c>
      <c r="O8" s="254">
        <f>'4'!$G$139</f>
        <v>173</v>
      </c>
      <c r="P8" s="254">
        <f>'4'!$G$140</f>
        <v>15.269999999999982</v>
      </c>
      <c r="Q8" s="254">
        <f>'4'!$G$141</f>
        <v>199.83999999999651</v>
      </c>
      <c r="R8" s="254">
        <f>'4'!$G$142</f>
        <v>68.120000000002619</v>
      </c>
      <c r="S8" s="254">
        <f>'4'!$G$145</f>
        <v>2.5</v>
      </c>
      <c r="T8" s="254">
        <f>'4'!$G$146</f>
        <v>45</v>
      </c>
      <c r="U8" s="254">
        <f>'4'!$G$144</f>
        <v>267</v>
      </c>
      <c r="V8" s="251">
        <f>'4'!$G$147</f>
        <v>412.36000000010245</v>
      </c>
      <c r="W8" s="251">
        <f>'4'!$G$148</f>
        <v>306.56000000005588</v>
      </c>
      <c r="X8" s="254">
        <f>'4'!$G$143</f>
        <v>27.050000000000182</v>
      </c>
      <c r="Y8" s="254">
        <f>'4'!$G$58</f>
        <v>231.64999999999782</v>
      </c>
      <c r="Z8" s="254">
        <f>'4'!$G$151</f>
        <v>299</v>
      </c>
      <c r="AA8" s="254">
        <f>'4'!G161</f>
        <v>24.360000000044238</v>
      </c>
      <c r="AB8" s="254">
        <f>'4'!G162</f>
        <v>39.899999999994179</v>
      </c>
      <c r="AC8" s="254"/>
      <c r="AD8" s="254">
        <f>'4'!G163+'4'!G164</f>
        <v>188.49999999999454</v>
      </c>
      <c r="AE8" s="254">
        <f>'4'!$G$116</f>
        <v>312.69000000000233</v>
      </c>
      <c r="AF8" s="254">
        <f>'4'!$G$117</f>
        <v>187.79000000000087</v>
      </c>
      <c r="AG8" s="254">
        <f>'4'!$G$118</f>
        <v>570.8799999999992</v>
      </c>
      <c r="AH8" s="254">
        <f>'4'!$G$119</f>
        <v>421.00999999999931</v>
      </c>
      <c r="AI8" s="254">
        <f>'4'!$G$120</f>
        <v>416.67000000000007</v>
      </c>
      <c r="AJ8" s="254">
        <f>'4'!$G$121</f>
        <v>448.94000000000051</v>
      </c>
      <c r="AK8" s="254">
        <f>'4'!$G$122</f>
        <v>195.01000000000022</v>
      </c>
      <c r="AL8" s="254">
        <f>'4'!$G$123</f>
        <v>327.76000000000022</v>
      </c>
      <c r="AM8" s="254">
        <f>'4'!$G$133</f>
        <v>876.07000000000698</v>
      </c>
      <c r="AN8" s="254">
        <f>'4'!$G$15</f>
        <v>1058.3100000000559</v>
      </c>
      <c r="AO8" s="254">
        <f>'4'!$G$74</f>
        <v>280.46999999997206</v>
      </c>
      <c r="AP8" s="254">
        <f>'4'!$G$75</f>
        <v>0</v>
      </c>
      <c r="AQ8" s="254">
        <f>'4'!$G$76</f>
        <v>128.23000000001048</v>
      </c>
      <c r="AR8" s="254">
        <f>'4'!$G$77</f>
        <v>44.80000000000291</v>
      </c>
      <c r="AS8" s="254">
        <f>'4'!$G$78</f>
        <v>0</v>
      </c>
      <c r="AT8" s="254">
        <f t="shared" si="0"/>
        <v>604.81000000007043</v>
      </c>
      <c r="AU8" s="254">
        <f>SUM('4'!G91:G92)</f>
        <v>10.289999999999964</v>
      </c>
      <c r="AV8" s="254">
        <f>'4'!$G$88</f>
        <v>0</v>
      </c>
      <c r="AW8" s="254">
        <f>'4'!$G$89</f>
        <v>9.430000000000291</v>
      </c>
      <c r="AX8" s="254">
        <f>'4'!$G$90</f>
        <v>9.9399999999877764</v>
      </c>
      <c r="AY8" s="252">
        <f t="shared" si="1"/>
        <v>19.369999999988067</v>
      </c>
      <c r="AZ8" s="311">
        <f t="shared" si="2"/>
        <v>27.256559766761228</v>
      </c>
      <c r="BA8" s="311">
        <f t="shared" si="3"/>
        <v>31.22405782139613</v>
      </c>
      <c r="BB8" s="351">
        <f t="shared" si="4"/>
        <v>3946.9400000000423</v>
      </c>
      <c r="BC8" s="351">
        <f t="shared" si="5"/>
        <v>15.14674955867696</v>
      </c>
    </row>
    <row r="9" spans="1:55">
      <c r="A9" s="359">
        <v>5</v>
      </c>
      <c r="B9" s="512">
        <f>'5'!G7</f>
        <v>26718.160000000033</v>
      </c>
      <c r="C9" s="512">
        <f>'5'!G8</f>
        <v>27257.829999999998</v>
      </c>
      <c r="D9" s="512">
        <f>'5'!G15</f>
        <v>1073.9499999999534</v>
      </c>
      <c r="E9" s="512">
        <f>'5'!G20</f>
        <v>274</v>
      </c>
      <c r="F9" s="512">
        <f>SUM('5'!G35,'5'!G49)</f>
        <v>3995.7800000000279</v>
      </c>
      <c r="G9" s="512">
        <f>SUM('5'!G37,'5'!G51)</f>
        <v>1586.539999999979</v>
      </c>
      <c r="H9" s="512">
        <f>SUM('5'!G38,'5'!G52)</f>
        <v>2499.5900000000165</v>
      </c>
      <c r="I9" s="512">
        <f>SUM('5'!G39,'5'!G53)</f>
        <v>2924</v>
      </c>
      <c r="J9" s="512">
        <f>SUM('5'!G41,'5'!G42,'5'!G55,'5'!G56)</f>
        <v>8015.7799999999988</v>
      </c>
      <c r="K9" s="512">
        <f>SUM('5'!G43,'5'!G57)</f>
        <v>2594.8800000000047</v>
      </c>
      <c r="L9" s="254">
        <f>'5'!G50</f>
        <v>1110.1399999999849</v>
      </c>
      <c r="M9" s="254">
        <f>'5'!G36</f>
        <v>980.10999999998603</v>
      </c>
      <c r="N9" s="254">
        <f>'5'!G138</f>
        <v>139</v>
      </c>
      <c r="O9" s="254">
        <f>'5'!$G$139</f>
        <v>170</v>
      </c>
      <c r="P9" s="254">
        <f>'5'!$G$140</f>
        <v>11.25</v>
      </c>
      <c r="Q9" s="258">
        <f>'5'!$G$141</f>
        <v>202.72999999999593</v>
      </c>
      <c r="R9" s="254">
        <f>'5'!$G$142</f>
        <v>67.779999999998836</v>
      </c>
      <c r="S9" s="251">
        <f>'5'!$G$145</f>
        <v>2.5100000000002183</v>
      </c>
      <c r="T9" s="254">
        <f>'5'!$G$146</f>
        <v>22</v>
      </c>
      <c r="U9" s="254">
        <f>'5'!$G$144</f>
        <v>256</v>
      </c>
      <c r="V9" s="256">
        <f>'5'!$G$147</f>
        <v>394.71999999997206</v>
      </c>
      <c r="W9" s="254">
        <f>'5'!$G$148</f>
        <v>335.7599999998929</v>
      </c>
      <c r="X9" s="254">
        <f>'5'!$G$143</f>
        <v>26.050000000000182</v>
      </c>
      <c r="Y9" s="254">
        <f>'5'!$G$58</f>
        <v>250.40000000000146</v>
      </c>
      <c r="Z9" s="254">
        <f>'5'!$G$151</f>
        <v>320</v>
      </c>
      <c r="AA9" s="254">
        <f>'5'!G161</f>
        <v>22.159999999974389</v>
      </c>
      <c r="AB9" s="254">
        <f>'5'!G162</f>
        <v>39</v>
      </c>
      <c r="AC9" s="254"/>
      <c r="AD9" s="254">
        <f>'5'!G163+'5'!G164</f>
        <v>152.90000000000873</v>
      </c>
      <c r="AE9" s="254">
        <f>'5'!$G$116</f>
        <v>470.58000000000175</v>
      </c>
      <c r="AF9" s="254">
        <f>'5'!$G$117</f>
        <v>197.53999999999724</v>
      </c>
      <c r="AG9" s="254">
        <f>'5'!$G$118</f>
        <v>532.32999999999993</v>
      </c>
      <c r="AH9" s="254">
        <f>'5'!$G$119</f>
        <v>400.34000000000015</v>
      </c>
      <c r="AI9" s="254">
        <f>'5'!$G$120</f>
        <v>406.27000000000044</v>
      </c>
      <c r="AJ9" s="254">
        <f>'5'!$G$121</f>
        <v>428.40999999999985</v>
      </c>
      <c r="AK9" s="254">
        <f>'5'!$G$122</f>
        <v>210.30000000000018</v>
      </c>
      <c r="AL9" s="254">
        <f>'5'!$G$123</f>
        <v>313.05999999999995</v>
      </c>
      <c r="AM9" s="254">
        <f>'5'!$G$133</f>
        <v>911.47999999998137</v>
      </c>
      <c r="AN9" s="254">
        <f>'5'!$G$15</f>
        <v>1073.9499999999534</v>
      </c>
      <c r="AO9" s="256">
        <f>'5'!$G$74</f>
        <v>294.60999999998603</v>
      </c>
      <c r="AP9" s="256">
        <f>'5'!$G$75</f>
        <v>0</v>
      </c>
      <c r="AQ9" s="256">
        <f>'5'!$G$76</f>
        <v>108.91000000000349</v>
      </c>
      <c r="AR9" s="256">
        <f>'5'!$G$77</f>
        <v>40.099999999998545</v>
      </c>
      <c r="AS9" s="256">
        <f>'5'!$G$78</f>
        <v>0.3999999999996362</v>
      </c>
      <c r="AT9" s="256">
        <f t="shared" si="0"/>
        <v>629.92999999996573</v>
      </c>
      <c r="AU9" s="254">
        <f>SUM('5'!G91:G92)</f>
        <v>10.840000000000146</v>
      </c>
      <c r="AV9" s="254">
        <f>'5'!$G$88</f>
        <v>6.25</v>
      </c>
      <c r="AW9" s="254">
        <f>'5'!$G$89</f>
        <v>10.770000000000437</v>
      </c>
      <c r="AX9" s="254">
        <f>'5'!$G$90</f>
        <v>0</v>
      </c>
      <c r="AY9" s="252">
        <f t="shared" si="1"/>
        <v>17.020000000000437</v>
      </c>
      <c r="AZ9" s="311">
        <f>AO9/AU9</f>
        <v>27.178044280441149</v>
      </c>
      <c r="BA9" s="311">
        <f t="shared" si="3"/>
        <v>37.011163337247332</v>
      </c>
      <c r="BB9" s="351">
        <f t="shared" si="4"/>
        <v>5390.8599999999678</v>
      </c>
      <c r="BC9" s="351">
        <f t="shared" si="5"/>
        <v>20.17676366935433</v>
      </c>
    </row>
    <row r="10" spans="1:55">
      <c r="A10" s="359">
        <v>6</v>
      </c>
      <c r="B10" s="512">
        <f>'6'!G7</f>
        <v>26736.959999999963</v>
      </c>
      <c r="C10" s="512">
        <f>'6'!G8</f>
        <v>27308.960000000006</v>
      </c>
      <c r="D10" s="512">
        <f>'6'!G15</f>
        <v>1193.4600000001956</v>
      </c>
      <c r="E10" s="512">
        <f>'6'!G20</f>
        <v>285</v>
      </c>
      <c r="F10" s="512">
        <f>SUM('6'!G35,'6'!G49)</f>
        <v>4272.8800000000047</v>
      </c>
      <c r="G10" s="512">
        <f>SUM('6'!G37,'6'!G51)</f>
        <v>1557.2799999999988</v>
      </c>
      <c r="H10" s="512">
        <f>SUM('6'!G38,'6'!G52)</f>
        <v>2445.359999999986</v>
      </c>
      <c r="I10" s="512">
        <f>SUM('6'!G39,'6'!G53)</f>
        <v>2947.0800000000163</v>
      </c>
      <c r="J10" s="512">
        <f>SUM('6'!G41,'6'!G42,'6'!G55,'6'!G56)</f>
        <v>7938.730000000025</v>
      </c>
      <c r="K10" s="512">
        <f>SUM('6'!G43,'6'!G57)</f>
        <v>2691.7999999999884</v>
      </c>
      <c r="L10" s="254">
        <f>'6'!G50</f>
        <v>1230.4400000000023</v>
      </c>
      <c r="M10" s="254">
        <f>'6'!G36</f>
        <v>862.08999999999651</v>
      </c>
      <c r="N10" s="254">
        <f>'6'!G138</f>
        <v>123</v>
      </c>
      <c r="O10" s="254">
        <f>'6'!$G$139</f>
        <v>150</v>
      </c>
      <c r="P10" s="254">
        <f>'6'!$G$140</f>
        <v>16.960000000000008</v>
      </c>
      <c r="Q10" s="254">
        <f>'6'!$G$141</f>
        <v>213.6200000000099</v>
      </c>
      <c r="R10" s="254">
        <f>'6'!$G$142</f>
        <v>69.729999999999563</v>
      </c>
      <c r="S10" s="254">
        <f>'6'!$G$145</f>
        <v>2.5299999999997453</v>
      </c>
      <c r="T10" s="251">
        <f>'6'!$G$146</f>
        <v>27</v>
      </c>
      <c r="U10" s="251">
        <f>'6'!$G$144</f>
        <v>260</v>
      </c>
      <c r="V10" s="251">
        <f>'6'!$G$147</f>
        <v>397.54000000003725</v>
      </c>
      <c r="W10" s="251">
        <f>'6'!$G$148</f>
        <v>335.92000000004191</v>
      </c>
      <c r="X10" s="251">
        <f>'6'!$G$143</f>
        <v>26.989999999999782</v>
      </c>
      <c r="Y10" s="251">
        <f>'6'!$G$58</f>
        <v>244.84000000000015</v>
      </c>
      <c r="Z10" s="251">
        <f>'6'!$G$151</f>
        <v>338</v>
      </c>
      <c r="AA10" s="251">
        <f>'6'!G161</f>
        <v>22.64000000001397</v>
      </c>
      <c r="AB10" s="251">
        <f>'6'!G162</f>
        <v>38.30000000000291</v>
      </c>
      <c r="AC10" s="251"/>
      <c r="AD10" s="251">
        <f>'6'!G163+'6'!G164</f>
        <v>149</v>
      </c>
      <c r="AE10" s="254">
        <f>'6'!$G$116</f>
        <v>456.58999999999651</v>
      </c>
      <c r="AF10" s="254">
        <f>'6'!$G$117</f>
        <v>196.61000000000058</v>
      </c>
      <c r="AG10" s="254">
        <f>'6'!$G$118</f>
        <v>531.71999999999935</v>
      </c>
      <c r="AH10" s="254">
        <f>'6'!$G$119</f>
        <v>401.52999999999975</v>
      </c>
      <c r="AI10" s="254">
        <f>'6'!$G$120</f>
        <v>397.47999999999956</v>
      </c>
      <c r="AJ10" s="254">
        <f>'6'!$G$121</f>
        <v>443.82999999999993</v>
      </c>
      <c r="AK10" s="254">
        <f>'6'!$G$122</f>
        <v>206.44999999999982</v>
      </c>
      <c r="AL10" s="254">
        <f>'6'!$G$123</f>
        <v>322.17000000000007</v>
      </c>
      <c r="AM10" s="254">
        <f>'6'!$G$133</f>
        <v>1116.6200000000244</v>
      </c>
      <c r="AN10" s="254">
        <f>'6'!$G$15</f>
        <v>1193.4600000001956</v>
      </c>
      <c r="AO10" s="256">
        <f>'6'!$G$74</f>
        <v>293.18000000005122</v>
      </c>
      <c r="AP10" s="256">
        <f>'6'!$G$75</f>
        <v>0</v>
      </c>
      <c r="AQ10" s="256">
        <f>'6'!$G$76</f>
        <v>113.66000000000349</v>
      </c>
      <c r="AR10" s="256">
        <f>'6'!$G$77</f>
        <v>77</v>
      </c>
      <c r="AS10" s="256">
        <f>'6'!$G$78</f>
        <v>0</v>
      </c>
      <c r="AT10" s="256">
        <f t="shared" si="0"/>
        <v>709.62000000014086</v>
      </c>
      <c r="AU10" s="254">
        <f>SUM('6'!G91:G92)</f>
        <v>10.569999999999709</v>
      </c>
      <c r="AV10" s="254">
        <f>'6'!$G$88</f>
        <v>8.069999999999709</v>
      </c>
      <c r="AW10" s="254">
        <f>'6'!$G$89</f>
        <v>10.889999999999418</v>
      </c>
      <c r="AX10" s="254">
        <f>'6'!$G$90</f>
        <v>1.0000000009313226E-2</v>
      </c>
      <c r="AY10" s="252">
        <f t="shared" si="1"/>
        <v>18.97000000000844</v>
      </c>
      <c r="AZ10" s="311">
        <f t="shared" ref="AZ10:AZ28" si="6">AO10/AU10</f>
        <v>27.736991485341466</v>
      </c>
      <c r="BA10" s="311">
        <f t="shared" si="3"/>
        <v>37.407485503417242</v>
      </c>
      <c r="BB10" s="351">
        <f t="shared" si="4"/>
        <v>5210.989999999987</v>
      </c>
      <c r="BC10" s="351">
        <f t="shared" si="5"/>
        <v>19.489837288906418</v>
      </c>
    </row>
    <row r="11" spans="1:55">
      <c r="A11" s="359">
        <v>7</v>
      </c>
      <c r="B11" s="512">
        <f>'7'!G7</f>
        <v>28169.930000000051</v>
      </c>
      <c r="C11" s="512">
        <f>'7'!G8</f>
        <v>28747.119999999995</v>
      </c>
      <c r="D11" s="512">
        <f>'7'!G15</f>
        <v>1134.1399999998976</v>
      </c>
      <c r="E11" s="512">
        <f>'7'!G20</f>
        <v>306</v>
      </c>
      <c r="F11" s="512">
        <f>SUM('7'!G35,'7'!G49)</f>
        <v>4098.859999999986</v>
      </c>
      <c r="G11" s="512">
        <f>SUM('7'!G37,'7'!G51)</f>
        <v>1615.390000000014</v>
      </c>
      <c r="H11" s="512">
        <f>SUM('7'!G38,'7'!G52)</f>
        <v>2452.3500000000058</v>
      </c>
      <c r="I11" s="512">
        <f>SUM('7'!G39,'7'!G53)</f>
        <v>2980.929999999993</v>
      </c>
      <c r="J11" s="512">
        <f>SUM('7'!G41,'7'!G42,'7'!G55,'7'!G56)</f>
        <v>8551.6799999999785</v>
      </c>
      <c r="K11" s="512">
        <f>SUM('7'!G43,'7'!G57)</f>
        <v>2791.3699999999953</v>
      </c>
      <c r="L11" s="254">
        <f>'7'!G50</f>
        <v>1480.1900000000023</v>
      </c>
      <c r="M11" s="254">
        <f>'7'!G36</f>
        <v>1050.640000000014</v>
      </c>
      <c r="N11" s="254">
        <f>'7'!G138</f>
        <v>145</v>
      </c>
      <c r="O11" s="254">
        <f>'7'!$G$139</f>
        <v>150</v>
      </c>
      <c r="P11" s="254">
        <f>'7'!$G$140</f>
        <v>14.810000000000002</v>
      </c>
      <c r="Q11" s="254">
        <f>'7'!$G$141</f>
        <v>203.0399999999936</v>
      </c>
      <c r="R11" s="254">
        <f>'7'!$G$142</f>
        <v>69.659999999999854</v>
      </c>
      <c r="S11" s="254">
        <f>'7'!$G$145</f>
        <v>2.430000000000291</v>
      </c>
      <c r="T11" s="251">
        <f>'7'!$G$146</f>
        <v>61</v>
      </c>
      <c r="U11" s="251">
        <f>'7'!$G$144</f>
        <v>250</v>
      </c>
      <c r="V11" s="251">
        <f>'7'!$G$147</f>
        <v>422.93999999994412</v>
      </c>
      <c r="W11" s="251">
        <f>'7'!$G$148</f>
        <v>374.76000000000931</v>
      </c>
      <c r="X11" s="251">
        <f>'7'!$G$143</f>
        <v>29.5</v>
      </c>
      <c r="Y11" s="251">
        <f>'7'!$G$58</f>
        <v>229.06999999999971</v>
      </c>
      <c r="Z11" s="256">
        <f>'7'!$G$151</f>
        <v>292</v>
      </c>
      <c r="AA11" s="256">
        <f>'7'!G161</f>
        <v>22.35999999998603</v>
      </c>
      <c r="AB11" s="251">
        <f>'7'!G162</f>
        <v>46.69999999999709</v>
      </c>
      <c r="AC11" s="251"/>
      <c r="AD11" s="251">
        <f>'7'!G163+'7'!G164</f>
        <v>182.59999999999673</v>
      </c>
      <c r="AE11" s="254">
        <f>'7'!$G$116</f>
        <v>453</v>
      </c>
      <c r="AF11" s="254">
        <f>'7'!$G$117</f>
        <v>209.11000000000058</v>
      </c>
      <c r="AG11" s="254">
        <f>'7'!$G$118</f>
        <v>565.20000000000073</v>
      </c>
      <c r="AH11" s="254">
        <f>'7'!$G$119</f>
        <v>408.02000000000044</v>
      </c>
      <c r="AI11" s="254">
        <f>'7'!$G$120</f>
        <v>405.34000000000015</v>
      </c>
      <c r="AJ11" s="254">
        <f>'7'!$G$121</f>
        <v>473.44000000000051</v>
      </c>
      <c r="AK11" s="256">
        <f>'7'!$G$122</f>
        <v>189.48999999999978</v>
      </c>
      <c r="AL11" s="254">
        <f>'7'!$G$123</f>
        <v>329.88999999999987</v>
      </c>
      <c r="AM11" s="254">
        <f>'7'!$G$133</f>
        <v>1044.8299999999872</v>
      </c>
      <c r="AN11" s="254">
        <f>'7'!$G$15</f>
        <v>1134.1399999998976</v>
      </c>
      <c r="AO11" s="256">
        <f>'7'!$G$74</f>
        <v>345.59999999997672</v>
      </c>
      <c r="AP11" s="256">
        <f>'7'!$G$75</f>
        <v>0</v>
      </c>
      <c r="AQ11" s="256">
        <f>'7'!$G$76</f>
        <v>104.48999999999069</v>
      </c>
      <c r="AR11" s="256">
        <f>'7'!$G$77</f>
        <v>70</v>
      </c>
      <c r="AS11" s="256">
        <f>'7'!$G$78</f>
        <v>0</v>
      </c>
      <c r="AT11" s="256">
        <f t="shared" si="0"/>
        <v>614.04999999993015</v>
      </c>
      <c r="AU11" s="254">
        <f>SUM('7'!G91:G92)</f>
        <v>11.880000000000109</v>
      </c>
      <c r="AV11" s="254">
        <f>'7'!$G$88</f>
        <v>0</v>
      </c>
      <c r="AW11" s="254">
        <f>'7'!$G$89</f>
        <v>9.6599999999998545</v>
      </c>
      <c r="AX11" s="254">
        <f>'7'!$G$90</f>
        <v>10.729999999995925</v>
      </c>
      <c r="AY11" s="252">
        <f t="shared" si="1"/>
        <v>20.38999999999578</v>
      </c>
      <c r="AZ11" s="311">
        <f>AO11/AU11</f>
        <v>29.090909090906862</v>
      </c>
      <c r="BA11" s="311">
        <f t="shared" si="3"/>
        <v>30.115252574794372</v>
      </c>
      <c r="BB11" s="351">
        <f t="shared" si="4"/>
        <v>6027.470000000023</v>
      </c>
      <c r="BC11" s="351">
        <f t="shared" si="5"/>
        <v>21.396822782307275</v>
      </c>
    </row>
    <row r="12" spans="1:55">
      <c r="A12" s="359">
        <v>8</v>
      </c>
      <c r="B12" s="512">
        <f>'8'!G7</f>
        <v>27323</v>
      </c>
      <c r="C12" s="512">
        <f>'8'!G8</f>
        <v>27957</v>
      </c>
      <c r="D12" s="512">
        <f>'8'!G15</f>
        <v>1142</v>
      </c>
      <c r="E12" s="512">
        <f>'8'!G20</f>
        <v>408</v>
      </c>
      <c r="F12" s="512">
        <f>SUM('8'!G35,'8'!G49)</f>
        <v>4144</v>
      </c>
      <c r="G12" s="512">
        <f>SUM('8'!G37,'8'!G51)</f>
        <v>1582</v>
      </c>
      <c r="H12" s="512">
        <f>SUM('8'!G38,'8'!G52)</f>
        <v>2503</v>
      </c>
      <c r="I12" s="512">
        <f>SUM('8'!G39,'8'!G53)</f>
        <v>2937</v>
      </c>
      <c r="J12" s="512">
        <f>SUM('8'!G41,'8'!G42,'8'!G55,'8'!G56)</f>
        <v>7883</v>
      </c>
      <c r="K12" s="512">
        <f>SUM('8'!G43,'8'!G57)</f>
        <v>2856</v>
      </c>
      <c r="L12" s="254">
        <f>'8'!G50</f>
        <v>1290</v>
      </c>
      <c r="M12" s="254">
        <f>'8'!G36</f>
        <v>1079</v>
      </c>
      <c r="N12" s="254">
        <f>'8'!G138</f>
        <v>149</v>
      </c>
      <c r="O12" s="254">
        <f>'8'!$G$139</f>
        <v>146</v>
      </c>
      <c r="P12" s="254">
        <f>'8'!$G$140</f>
        <v>13</v>
      </c>
      <c r="Q12" s="254">
        <f>'8'!$G$141</f>
        <v>205</v>
      </c>
      <c r="R12" s="254">
        <f>'8'!$G$142</f>
        <v>73</v>
      </c>
      <c r="S12" s="254">
        <f>'8'!$G$145</f>
        <v>2</v>
      </c>
      <c r="T12" s="251">
        <f>'8'!$G$146</f>
        <v>45</v>
      </c>
      <c r="U12" s="251">
        <f>'8'!$G$144</f>
        <v>257</v>
      </c>
      <c r="V12" s="251">
        <f>'8'!$G$147</f>
        <v>414</v>
      </c>
      <c r="W12" s="251">
        <f>'8'!$G$148</f>
        <v>384</v>
      </c>
      <c r="X12" s="251">
        <f>'8'!$G$143</f>
        <v>31</v>
      </c>
      <c r="Y12" s="251">
        <f>'8'!$G$58</f>
        <v>241</v>
      </c>
      <c r="Z12" s="251">
        <f>'8'!$G$151</f>
        <v>332</v>
      </c>
      <c r="AA12" s="251">
        <f>'8'!G161</f>
        <v>23</v>
      </c>
      <c r="AB12" s="251">
        <f>'8'!G162</f>
        <v>17</v>
      </c>
      <c r="AC12" s="251"/>
      <c r="AD12" s="251">
        <f>'8'!G163+'8'!G164</f>
        <v>182</v>
      </c>
      <c r="AE12" s="254">
        <f>'8'!$G$116</f>
        <v>426</v>
      </c>
      <c r="AF12" s="254">
        <f>'8'!$G$117</f>
        <v>204</v>
      </c>
      <c r="AG12" s="254">
        <f>'8'!$G$118</f>
        <v>567</v>
      </c>
      <c r="AH12" s="254">
        <f>'8'!$G$119</f>
        <v>411</v>
      </c>
      <c r="AI12" s="254">
        <f>'8'!$G$120</f>
        <v>409</v>
      </c>
      <c r="AJ12" s="254">
        <f>'8'!$G$121</f>
        <v>445</v>
      </c>
      <c r="AK12" s="254">
        <f>'8'!$G$122</f>
        <v>196</v>
      </c>
      <c r="AL12" s="254">
        <f>'8'!$G$123</f>
        <v>331</v>
      </c>
      <c r="AM12" s="254">
        <f>'8'!$G$133</f>
        <v>1026</v>
      </c>
      <c r="AN12" s="254">
        <f>'8'!$G$15</f>
        <v>1142</v>
      </c>
      <c r="AO12" s="256">
        <f>'8'!$G$74</f>
        <v>322</v>
      </c>
      <c r="AP12" s="256">
        <f>'8'!$G$75</f>
        <v>0</v>
      </c>
      <c r="AQ12" s="256">
        <f>'8'!$G$76</f>
        <v>103</v>
      </c>
      <c r="AR12" s="256">
        <f>'8'!$G$77</f>
        <v>58</v>
      </c>
      <c r="AS12" s="256">
        <f>'8'!$G$78</f>
        <v>0</v>
      </c>
      <c r="AT12" s="256">
        <f t="shared" si="0"/>
        <v>659</v>
      </c>
      <c r="AU12" s="254">
        <f>SUM('8'!G91:G92)</f>
        <v>11.069999999999709</v>
      </c>
      <c r="AV12" s="254">
        <f>'8'!$G$88</f>
        <v>0.84999999999854481</v>
      </c>
      <c r="AW12" s="254">
        <f>'8'!$G$89</f>
        <v>9.8800000000010186</v>
      </c>
      <c r="AX12" s="254">
        <f>'8'!$G$90</f>
        <v>11.589999999996508</v>
      </c>
      <c r="AY12" s="252">
        <f t="shared" si="1"/>
        <v>22.319999999996071</v>
      </c>
      <c r="AZ12" s="311">
        <f t="shared" si="6"/>
        <v>29.087624209576195</v>
      </c>
      <c r="BA12" s="311">
        <f t="shared" si="3"/>
        <v>29.525089605739964</v>
      </c>
      <c r="BB12" s="351">
        <f t="shared" si="4"/>
        <v>5811</v>
      </c>
      <c r="BC12" s="351">
        <f t="shared" si="5"/>
        <v>21.267796362039306</v>
      </c>
    </row>
    <row r="13" spans="1:55">
      <c r="A13" s="359">
        <v>9</v>
      </c>
      <c r="B13" s="512">
        <f>'9'!G7</f>
        <v>26722</v>
      </c>
      <c r="C13" s="512">
        <f>'9'!G8</f>
        <v>27275</v>
      </c>
      <c r="D13" s="512">
        <f>'9'!G15</f>
        <v>1104</v>
      </c>
      <c r="E13" s="512">
        <f>'9'!G20</f>
        <v>398</v>
      </c>
      <c r="F13" s="512">
        <f>SUM('9'!G35,'9'!G49)</f>
        <v>4018</v>
      </c>
      <c r="G13" s="512">
        <f>SUM('9'!G37,'9'!G51)</f>
        <v>1657.32</v>
      </c>
      <c r="H13" s="512">
        <f>SUM('9'!G38,'9'!G52)</f>
        <v>2411.2399999999998</v>
      </c>
      <c r="I13" s="512">
        <f>SUM('9'!G39,'9'!G53)</f>
        <v>2883</v>
      </c>
      <c r="J13" s="512">
        <f>SUM('9'!G41,'9'!G42,'9'!G55,'9'!G56)</f>
        <v>7880</v>
      </c>
      <c r="K13" s="512">
        <f>SUM('9'!G43,'9'!G57)</f>
        <v>2856</v>
      </c>
      <c r="L13" s="254">
        <f>'9'!G50</f>
        <v>1117</v>
      </c>
      <c r="M13" s="254">
        <f>'9'!G36</f>
        <v>1162</v>
      </c>
      <c r="N13" s="254">
        <f>'9'!G138</f>
        <v>159</v>
      </c>
      <c r="O13" s="254">
        <f>'9'!$G$139</f>
        <v>157</v>
      </c>
      <c r="P13" s="254">
        <f>'9'!$G$140</f>
        <v>12</v>
      </c>
      <c r="Q13" s="254">
        <f>'9'!$G$141</f>
        <v>193</v>
      </c>
      <c r="R13" s="254">
        <f>'9'!$G$142</f>
        <v>67</v>
      </c>
      <c r="S13" s="254">
        <f>'9'!$G$145</f>
        <v>3</v>
      </c>
      <c r="T13" s="251">
        <f>'9'!$G$146</f>
        <v>29</v>
      </c>
      <c r="U13" s="251">
        <f>'9'!$G$144</f>
        <v>261</v>
      </c>
      <c r="V13" s="251">
        <f>'9'!$G$147</f>
        <v>394</v>
      </c>
      <c r="W13" s="251">
        <f>'9'!$G$148</f>
        <v>342</v>
      </c>
      <c r="X13" s="251">
        <f>'9'!$G$143</f>
        <v>27</v>
      </c>
      <c r="Y13" s="251">
        <f>'9'!$G$58</f>
        <v>233</v>
      </c>
      <c r="Z13" s="251">
        <f>'9'!$G$151</f>
        <v>302</v>
      </c>
      <c r="AA13" s="251">
        <f>'9'!G161</f>
        <v>22</v>
      </c>
      <c r="AB13" s="251">
        <f>'9'!G162</f>
        <v>39</v>
      </c>
      <c r="AC13" s="251"/>
      <c r="AD13" s="251">
        <f>'9'!G163+'9'!G164</f>
        <v>183</v>
      </c>
      <c r="AE13" s="254">
        <f>'9'!$G$116</f>
        <v>359</v>
      </c>
      <c r="AF13" s="254">
        <f>'9'!$G$117</f>
        <v>181</v>
      </c>
      <c r="AG13" s="254">
        <f>'9'!$G$118</f>
        <v>577</v>
      </c>
      <c r="AH13" s="254">
        <f>'9'!$G$119</f>
        <v>415</v>
      </c>
      <c r="AI13" s="254">
        <f>'9'!$G$120</f>
        <v>416</v>
      </c>
      <c r="AJ13" s="254">
        <f>'9'!$G$121</f>
        <v>440</v>
      </c>
      <c r="AK13" s="254">
        <f>'9'!$G$122</f>
        <v>223</v>
      </c>
      <c r="AL13" s="254">
        <f>'9'!$G$123</f>
        <v>328</v>
      </c>
      <c r="AM13" s="254">
        <f>'9'!$G$133</f>
        <v>1037</v>
      </c>
      <c r="AN13" s="254">
        <f>'9'!$G$15</f>
        <v>1104</v>
      </c>
      <c r="AO13" s="256">
        <f>'9'!$G$74</f>
        <v>323</v>
      </c>
      <c r="AP13" s="256">
        <f>'9'!$G$75</f>
        <v>0</v>
      </c>
      <c r="AQ13" s="256">
        <f>'9'!$G$76</f>
        <v>120</v>
      </c>
      <c r="AR13" s="256">
        <f>'9'!$G$77</f>
        <v>52</v>
      </c>
      <c r="AS13" s="256">
        <f>'9'!$G$78</f>
        <v>0</v>
      </c>
      <c r="AT13" s="256">
        <f t="shared" si="0"/>
        <v>609</v>
      </c>
      <c r="AU13" s="254">
        <f>SUM('9'!G91:G92)</f>
        <v>11.210000000000036</v>
      </c>
      <c r="AV13" s="254">
        <f>'9'!$G$88</f>
        <v>0</v>
      </c>
      <c r="AW13" s="254">
        <f>'9'!$G$89</f>
        <v>9.8299999999981083</v>
      </c>
      <c r="AX13" s="254">
        <f>'9'!$G$90</f>
        <v>11.080000000001746</v>
      </c>
      <c r="AY13" s="252">
        <f t="shared" si="1"/>
        <v>20.909999999999854</v>
      </c>
      <c r="AZ13" s="311">
        <f t="shared" si="6"/>
        <v>28.813559322033804</v>
      </c>
      <c r="BA13" s="311">
        <f t="shared" si="3"/>
        <v>29.124820659971508</v>
      </c>
      <c r="BB13" s="351">
        <f t="shared" si="4"/>
        <v>5336.4400000000023</v>
      </c>
      <c r="BC13" s="351">
        <f t="shared" si="5"/>
        <v>19.970211810493232</v>
      </c>
    </row>
    <row r="14" spans="1:55">
      <c r="A14" s="359">
        <v>10</v>
      </c>
      <c r="B14" s="512">
        <f>'10'!G7</f>
        <v>26577.619999999995</v>
      </c>
      <c r="C14" s="512">
        <f>'10'!G8</f>
        <v>27145.899999999994</v>
      </c>
      <c r="D14" s="512">
        <f>'10'!G15</f>
        <v>1064</v>
      </c>
      <c r="E14" s="512">
        <f>'10'!G20</f>
        <v>81</v>
      </c>
      <c r="F14" s="512">
        <f>SUM('10'!G35,'10'!G49)</f>
        <v>4223.2000000000116</v>
      </c>
      <c r="G14" s="512">
        <f>SUM('10'!G37,'10'!G51)</f>
        <v>1683</v>
      </c>
      <c r="H14" s="512">
        <f>SUM('10'!G38,'10'!G52)</f>
        <v>2214.9500000000116</v>
      </c>
      <c r="I14" s="512">
        <f>SUM('10'!G39,'10'!G53)</f>
        <v>2899.1900000000023</v>
      </c>
      <c r="J14" s="512">
        <f>SUM('10'!G41,'10'!G42,'10'!G55,'10'!G56)</f>
        <v>7288.4600000000355</v>
      </c>
      <c r="K14" s="512">
        <f>SUM('10'!G43,'10'!G57)</f>
        <v>2909.0300000000279</v>
      </c>
      <c r="L14" s="254">
        <f>'10'!G50</f>
        <v>1086.7000000000116</v>
      </c>
      <c r="M14" s="254">
        <f>'10'!G36</f>
        <v>927.77999999999884</v>
      </c>
      <c r="N14" s="254">
        <f>'10'!G138</f>
        <v>162</v>
      </c>
      <c r="O14" s="254">
        <f>'10'!$G$139</f>
        <v>157</v>
      </c>
      <c r="P14" s="254">
        <f>'10'!$G$140</f>
        <v>0</v>
      </c>
      <c r="Q14" s="254">
        <f>'10'!$G$141</f>
        <v>199.27000000000407</v>
      </c>
      <c r="R14" s="254">
        <f>'10'!$G$142</f>
        <v>67</v>
      </c>
      <c r="S14" s="254">
        <f>'10'!$G$145</f>
        <v>2.7600000000002183</v>
      </c>
      <c r="T14" s="251">
        <f>'10'!$G$146</f>
        <v>26</v>
      </c>
      <c r="U14" s="251">
        <f>'10'!$G$144</f>
        <v>267</v>
      </c>
      <c r="V14" s="257">
        <f>'10'!$G$147</f>
        <v>415.80000000004657</v>
      </c>
      <c r="W14" s="257">
        <f>'10'!$G$148</f>
        <v>406.28000000002794</v>
      </c>
      <c r="X14" s="251">
        <f>'10'!$G$143</f>
        <v>35.090000000000146</v>
      </c>
      <c r="Y14" s="251">
        <f>'10'!$G$58</f>
        <v>203.40000000000146</v>
      </c>
      <c r="Z14" s="251">
        <f>'10'!$G$151</f>
        <v>293</v>
      </c>
      <c r="AA14" s="251">
        <f>'10'!G161</f>
        <v>24.64000000001397</v>
      </c>
      <c r="AB14" s="251">
        <f>'10'!G162</f>
        <v>42.19999999999709</v>
      </c>
      <c r="AC14" s="251"/>
      <c r="AD14" s="251">
        <f>'10'!G163+'10'!G164</f>
        <v>202.10000000000582</v>
      </c>
      <c r="AE14" s="254">
        <f>'10'!$G$116</f>
        <v>380.09999999999854</v>
      </c>
      <c r="AF14" s="254">
        <f>'10'!$G$117</f>
        <v>191.5</v>
      </c>
      <c r="AG14" s="254">
        <f>'10'!$G$118</f>
        <v>573.20000000000073</v>
      </c>
      <c r="AH14" s="254">
        <f>'10'!$G$119</f>
        <v>408.5</v>
      </c>
      <c r="AI14" s="254">
        <f>'10'!$G$120</f>
        <v>416.29999999999927</v>
      </c>
      <c r="AJ14" s="254">
        <f>'10'!$G$121</f>
        <v>420.20000000000073</v>
      </c>
      <c r="AK14" s="254">
        <f>'10'!$G$122</f>
        <v>205.89999999999964</v>
      </c>
      <c r="AL14" s="254">
        <f>'10'!$G$123</f>
        <v>322.60000000000036</v>
      </c>
      <c r="AM14" s="254">
        <f>'10'!$G$133</f>
        <v>1021.75</v>
      </c>
      <c r="AN14" s="254">
        <f>'10'!$G$15</f>
        <v>1064</v>
      </c>
      <c r="AO14" s="256">
        <f>'10'!$G$74</f>
        <v>323.7489999999525</v>
      </c>
      <c r="AP14" s="256">
        <f>'10'!$G$75</f>
        <v>0</v>
      </c>
      <c r="AQ14" s="256">
        <f>'10'!$G$76</f>
        <v>117</v>
      </c>
      <c r="AR14" s="256">
        <f>'10'!$G$77</f>
        <v>57</v>
      </c>
      <c r="AS14" s="256">
        <f>'10'!$G$78</f>
        <v>-0.3999999999996362</v>
      </c>
      <c r="AT14" s="256">
        <f t="shared" si="0"/>
        <v>566.65100000004713</v>
      </c>
      <c r="AU14" s="254">
        <f>SUM('10'!G91:G92)</f>
        <v>11.140000000000327</v>
      </c>
      <c r="AV14" s="254">
        <f>'10'!$G$88</f>
        <v>0.2000000000007276</v>
      </c>
      <c r="AW14" s="254">
        <f>'10'!$G$89</f>
        <v>9.25</v>
      </c>
      <c r="AX14" s="254">
        <f>'10'!$G$90</f>
        <v>8.0200000000040745</v>
      </c>
      <c r="AY14" s="252">
        <f t="shared" si="1"/>
        <v>17.470000000004802</v>
      </c>
      <c r="AZ14" s="311">
        <f t="shared" si="6"/>
        <v>29.061849192095419</v>
      </c>
      <c r="BA14" s="311">
        <f t="shared" si="3"/>
        <v>32.435661133365279</v>
      </c>
      <c r="BB14" s="351">
        <f t="shared" si="4"/>
        <v>5724.6699999999037</v>
      </c>
      <c r="BC14" s="351">
        <f t="shared" si="5"/>
        <v>21.539438068570114</v>
      </c>
    </row>
    <row r="15" spans="1:55">
      <c r="A15" s="359">
        <v>11</v>
      </c>
      <c r="B15" s="512">
        <f>'11'!G7</f>
        <v>26322.380000000005</v>
      </c>
      <c r="C15" s="512">
        <f>'11'!G8</f>
        <v>27110.100000000006</v>
      </c>
      <c r="D15" s="512">
        <f>'11'!G15</f>
        <v>926.10000000009313</v>
      </c>
      <c r="E15" s="512">
        <f>'11'!G20</f>
        <v>54</v>
      </c>
      <c r="F15" s="512">
        <f>SUM('11'!G35,'11'!G49)</f>
        <v>4088.640000000014</v>
      </c>
      <c r="G15" s="512">
        <f>SUM('11'!G37,'11'!G51)</f>
        <v>1648.570000000007</v>
      </c>
      <c r="H15" s="512">
        <f>SUM('11'!G38,'11'!G52)</f>
        <v>2018.5599999999977</v>
      </c>
      <c r="I15" s="512">
        <f>SUM('11'!G39,'11'!G53)</f>
        <v>2876.8099999999977</v>
      </c>
      <c r="J15" s="512">
        <f>SUM('11'!G41,'11'!G42,'11'!G55,'11'!G56)</f>
        <v>7732.4799999999523</v>
      </c>
      <c r="K15" s="512">
        <f>SUM('11'!G43,'11'!G57)</f>
        <v>2632.9199999999837</v>
      </c>
      <c r="L15" s="254">
        <f>'11'!G50</f>
        <v>1311.5</v>
      </c>
      <c r="M15" s="254">
        <f>'11'!G36</f>
        <v>994.38000000000466</v>
      </c>
      <c r="N15" s="254">
        <f>'11'!G138</f>
        <v>160</v>
      </c>
      <c r="O15" s="254">
        <f>'11'!$G$139</f>
        <v>156</v>
      </c>
      <c r="P15" s="254">
        <f>'11'!$G$140</f>
        <v>25.720000000000027</v>
      </c>
      <c r="Q15" s="254">
        <f>'11'!$G$141</f>
        <v>185.83000000000175</v>
      </c>
      <c r="R15" s="254">
        <f>'11'!$G$142</f>
        <v>60.580000000001746</v>
      </c>
      <c r="S15" s="254">
        <f>'11'!$G$145</f>
        <v>2.5100000000002183</v>
      </c>
      <c r="T15" s="251">
        <f>'11'!$G$146</f>
        <v>25</v>
      </c>
      <c r="U15" s="251">
        <f>'11'!$G$144</f>
        <v>258</v>
      </c>
      <c r="V15" s="251">
        <f>'11'!$G$147</f>
        <v>399.19999999995343</v>
      </c>
      <c r="W15" s="251">
        <f>'11'!$G$148</f>
        <v>327.71999999997206</v>
      </c>
      <c r="X15" s="251">
        <f>'11'!$G$143</f>
        <v>27.930000000000291</v>
      </c>
      <c r="Y15" s="251">
        <f>'11'!$G$58</f>
        <v>148.43000000000029</v>
      </c>
      <c r="Z15" s="251">
        <f>'11'!$G$151</f>
        <v>253</v>
      </c>
      <c r="AA15" s="251">
        <f>'11'!G161</f>
        <v>25.07999999995809</v>
      </c>
      <c r="AB15" s="251">
        <f>'11'!G162</f>
        <v>45.5</v>
      </c>
      <c r="AC15" s="251">
        <f>'11'!G88</f>
        <v>-0.2000000000007276</v>
      </c>
      <c r="AD15" s="251">
        <f>'11'!G163+'11'!G164</f>
        <v>183.29999999999109</v>
      </c>
      <c r="AE15" s="254">
        <f>'11'!$G$116</f>
        <v>375.59999999999854</v>
      </c>
      <c r="AF15" s="254">
        <f>'11'!$G$117</f>
        <v>178.29999999999927</v>
      </c>
      <c r="AG15" s="254">
        <f>'11'!$G$118</f>
        <v>549.53999999999905</v>
      </c>
      <c r="AH15" s="254">
        <f>'11'!$G$119</f>
        <v>406.70999999999913</v>
      </c>
      <c r="AI15" s="254">
        <f>'11'!$G$120</f>
        <v>403.20000000000073</v>
      </c>
      <c r="AJ15" s="254">
        <f>'11'!$G$121</f>
        <v>454.79999999999927</v>
      </c>
      <c r="AK15" s="254">
        <f>'11'!$G$122</f>
        <v>208.3700000000008</v>
      </c>
      <c r="AL15" s="254">
        <f>'11'!$G$123</f>
        <v>314.33999999999924</v>
      </c>
      <c r="AM15" s="254">
        <f>'11'!$G$133</f>
        <v>994.25</v>
      </c>
      <c r="AN15" s="254">
        <f>'11'!$G$15</f>
        <v>926.10000000009313</v>
      </c>
      <c r="AO15" s="256">
        <f>'11'!$G$74</f>
        <v>321.19099999999162</v>
      </c>
      <c r="AP15" s="256">
        <f>'11'!$G$75</f>
        <v>0</v>
      </c>
      <c r="AQ15" s="256">
        <f>'11'!$G$76</f>
        <v>125</v>
      </c>
      <c r="AR15" s="256">
        <f>'11'!$G$77</f>
        <v>60</v>
      </c>
      <c r="AS15" s="256">
        <f>'11'!$G$78</f>
        <v>0</v>
      </c>
      <c r="AT15" s="256">
        <f t="shared" si="0"/>
        <v>419.90900000010151</v>
      </c>
      <c r="AU15" s="254">
        <f>SUM('11'!G91:G92)</f>
        <v>11.199999999999818</v>
      </c>
      <c r="AV15" s="254">
        <f>'11'!$G$88</f>
        <v>-0.2000000000007276</v>
      </c>
      <c r="AW15" s="254">
        <f>'11'!$G$89</f>
        <v>6.180000000000291</v>
      </c>
      <c r="AX15" s="254">
        <f>'11'!$G$90</f>
        <v>5.4100000000034925</v>
      </c>
      <c r="AY15" s="252">
        <f t="shared" si="1"/>
        <v>11.390000000003056</v>
      </c>
      <c r="AZ15" s="311">
        <f t="shared" si="6"/>
        <v>28.677767857142573</v>
      </c>
      <c r="BA15" s="311">
        <f t="shared" si="3"/>
        <v>36.866461808603063</v>
      </c>
      <c r="BB15" s="351">
        <f t="shared" si="4"/>
        <v>5963.6900000000533</v>
      </c>
      <c r="BC15" s="351">
        <f t="shared" si="5"/>
        <v>22.656347944221046</v>
      </c>
    </row>
    <row r="16" spans="1:55">
      <c r="A16" s="359">
        <v>12</v>
      </c>
      <c r="B16" s="512">
        <f>'12'!G7</f>
        <v>28449</v>
      </c>
      <c r="C16" s="512">
        <f>'12'!G8</f>
        <v>29161.899999999994</v>
      </c>
      <c r="D16" s="512">
        <f>'12'!G15</f>
        <v>1100</v>
      </c>
      <c r="E16" s="512">
        <f>'12'!G20</f>
        <v>55</v>
      </c>
      <c r="F16" s="512">
        <f>SUM('12'!G35,'12'!G49)</f>
        <v>4379.4499999999825</v>
      </c>
      <c r="G16" s="512">
        <f>SUM('12'!G37,'12'!G51)</f>
        <v>1709.3999999999942</v>
      </c>
      <c r="H16" s="512">
        <f>SUM('12'!G38,'12'!G52)</f>
        <v>1983.4199999999837</v>
      </c>
      <c r="I16" s="512">
        <f>SUM('12'!G39,'12'!G53)</f>
        <v>3034.9000000000233</v>
      </c>
      <c r="J16" s="512">
        <f>SUM('12'!G41,'12'!G42,'12'!G55,'12'!G56)</f>
        <v>8008.2300000000105</v>
      </c>
      <c r="K16" s="512">
        <f>SUM('12'!G43,'12'!G57)</f>
        <v>2977.5199999999604</v>
      </c>
      <c r="L16" s="254">
        <f>'12'!G50</f>
        <v>1568.4700000000012</v>
      </c>
      <c r="M16" s="254">
        <f>'12'!G36</f>
        <v>1246.3399999999965</v>
      </c>
      <c r="N16" s="254">
        <f>'12'!G138</f>
        <v>80</v>
      </c>
      <c r="O16" s="254">
        <f>'12'!$G$139</f>
        <v>186</v>
      </c>
      <c r="P16" s="254">
        <f>'12'!$G$140</f>
        <v>15.629999999999995</v>
      </c>
      <c r="Q16" s="254">
        <f>'12'!$G$141</f>
        <v>184.89999999999418</v>
      </c>
      <c r="R16" s="254">
        <f>'12'!$G$142</f>
        <v>66.509999999998399</v>
      </c>
      <c r="S16" s="254">
        <f>'12'!$G$145</f>
        <v>2.5799999999999272</v>
      </c>
      <c r="T16" s="251">
        <f>'12'!$G$146</f>
        <v>147</v>
      </c>
      <c r="U16" s="251">
        <f>'12'!$G$144</f>
        <v>262</v>
      </c>
      <c r="V16" s="251">
        <f>'12'!$G$147</f>
        <v>422.04000000003725</v>
      </c>
      <c r="W16" s="251">
        <f>'12'!$G$148</f>
        <v>422.28000000002794</v>
      </c>
      <c r="X16" s="251">
        <f>'12'!$G$143</f>
        <v>32.679999999999382</v>
      </c>
      <c r="Y16" s="251">
        <f>'12'!$G$58</f>
        <v>51.969999999997526</v>
      </c>
      <c r="Z16" s="251">
        <f>'12'!$G$151</f>
        <v>267</v>
      </c>
      <c r="AA16" s="251">
        <f>'12'!G161</f>
        <v>34.520000000018626</v>
      </c>
      <c r="AB16" s="251">
        <f>'12'!G162</f>
        <v>45.5</v>
      </c>
      <c r="AC16" s="251">
        <f>'12'!G88</f>
        <v>0</v>
      </c>
      <c r="AD16" s="251">
        <f>'12'!G163+'12'!G164</f>
        <v>178.90000000000327</v>
      </c>
      <c r="AE16" s="254">
        <f>'12'!$G$116</f>
        <v>371.70000000000437</v>
      </c>
      <c r="AF16" s="254">
        <f>'12'!$G$117</f>
        <v>271.40000000000146</v>
      </c>
      <c r="AG16" s="254">
        <f>'12'!$G$118</f>
        <v>563.53000000000065</v>
      </c>
      <c r="AH16" s="254">
        <f>'12'!$G$119</f>
        <v>408.19000000000051</v>
      </c>
      <c r="AI16" s="254">
        <f>'12'!$G$120</f>
        <v>405</v>
      </c>
      <c r="AJ16" s="254">
        <f>'12'!$G$121</f>
        <v>492</v>
      </c>
      <c r="AK16" s="254">
        <f>'12'!$G$122</f>
        <v>226.1299999999992</v>
      </c>
      <c r="AL16" s="254">
        <f>'12'!$G$123</f>
        <v>323.76000000000022</v>
      </c>
      <c r="AM16" s="254">
        <f>'12'!$G$133</f>
        <v>1029.9700000000012</v>
      </c>
      <c r="AN16" s="254">
        <f>'12'!$G$15</f>
        <v>1100</v>
      </c>
      <c r="AO16" s="256">
        <f>'12'!$G$74</f>
        <v>311.06000000005588</v>
      </c>
      <c r="AP16" s="256">
        <f>'12'!$G$75</f>
        <v>0.19999999999708962</v>
      </c>
      <c r="AQ16" s="256">
        <f>'12'!$G$76</f>
        <v>119</v>
      </c>
      <c r="AR16" s="256">
        <f>'12'!$G$77</f>
        <v>60</v>
      </c>
      <c r="AS16" s="256">
        <f>'12'!$G$78</f>
        <v>0.3999999999996362</v>
      </c>
      <c r="AT16" s="256">
        <f t="shared" si="0"/>
        <v>609.33999999994739</v>
      </c>
      <c r="AU16" s="254">
        <f>SUM('12'!G91:G92)</f>
        <v>10.729999999999563</v>
      </c>
      <c r="AV16" s="254">
        <f>'12'!$G$88</f>
        <v>0</v>
      </c>
      <c r="AW16" s="254">
        <f>'12'!$G$89</f>
        <v>0</v>
      </c>
      <c r="AX16" s="254">
        <f>'12'!$G$90</f>
        <v>12.440000000002328</v>
      </c>
      <c r="AY16" s="252">
        <f t="shared" si="1"/>
        <v>12.440000000002328</v>
      </c>
      <c r="AZ16" s="311">
        <f t="shared" si="6"/>
        <v>28.989748369065101</v>
      </c>
      <c r="BA16" s="311">
        <f t="shared" si="3"/>
        <v>48.982315112526798</v>
      </c>
      <c r="BB16" s="351">
        <f t="shared" si="4"/>
        <v>7017.0100000000421</v>
      </c>
      <c r="BC16" s="351">
        <f t="shared" si="5"/>
        <v>24.665225491230068</v>
      </c>
    </row>
    <row r="17" spans="1:55">
      <c r="A17" s="359">
        <v>13</v>
      </c>
      <c r="B17" s="512">
        <f>'13'!G7</f>
        <v>28191.399999999994</v>
      </c>
      <c r="C17" s="512">
        <f>'13'!G8</f>
        <v>28981.500000000029</v>
      </c>
      <c r="D17" s="512">
        <f>'13'!G15</f>
        <v>672.5</v>
      </c>
      <c r="E17" s="512">
        <f>'13'!G20</f>
        <v>326</v>
      </c>
      <c r="F17" s="512">
        <f>SUM('13'!G35,'13'!G49)</f>
        <v>4305.8899999999849</v>
      </c>
      <c r="G17" s="512">
        <f>SUM('13'!G37,'13'!G51)</f>
        <v>1722.429999999993</v>
      </c>
      <c r="H17" s="512">
        <f>SUM('13'!G38,'13'!G52)</f>
        <v>2047.5200000000186</v>
      </c>
      <c r="I17" s="512">
        <f>SUM('13'!G39,'13'!G53)</f>
        <v>3015.1300000000047</v>
      </c>
      <c r="J17" s="512">
        <f>SUM('13'!G41,'13'!G42,'13'!G55,'13'!G56)</f>
        <v>7952.4400000000314</v>
      </c>
      <c r="K17" s="512">
        <f>SUM('13'!G43,'13'!G57)</f>
        <v>2739.2400000000489</v>
      </c>
      <c r="L17" s="254">
        <f>'13'!G50</f>
        <v>1582.0799999999872</v>
      </c>
      <c r="M17" s="254">
        <f>'13'!G36</f>
        <v>1084.5</v>
      </c>
      <c r="N17" s="254">
        <f>'13'!G138</f>
        <v>115</v>
      </c>
      <c r="O17" s="254">
        <f>'13'!$G$139</f>
        <v>98</v>
      </c>
      <c r="P17" s="254">
        <f>'13'!$G$140</f>
        <v>15.649999999999977</v>
      </c>
      <c r="Q17" s="254">
        <f>'13'!$G$141</f>
        <v>191.39999999999418</v>
      </c>
      <c r="R17" s="254">
        <f>'13'!$G$142</f>
        <v>64.409999999999854</v>
      </c>
      <c r="S17" s="254">
        <f>'13'!$G$145</f>
        <v>1.3999999999996362</v>
      </c>
      <c r="T17" s="251">
        <f>'13'!$G$146</f>
        <v>74</v>
      </c>
      <c r="U17" s="251">
        <f>'13'!$G$144</f>
        <v>277</v>
      </c>
      <c r="V17" s="251">
        <f>'13'!$G$147</f>
        <v>442.79999999993015</v>
      </c>
      <c r="W17" s="251">
        <f>'13'!$G$148</f>
        <v>332.07999999995809</v>
      </c>
      <c r="X17" s="251">
        <f>'13'!$G$143</f>
        <v>20.699999999999818</v>
      </c>
      <c r="Y17" s="251">
        <f>'13'!$G$58</f>
        <v>133.29999999999927</v>
      </c>
      <c r="Z17" s="251">
        <f>'13'!$G$151</f>
        <v>271</v>
      </c>
      <c r="AA17" s="251">
        <f>'13'!G161</f>
        <v>33.760000000009313</v>
      </c>
      <c r="AB17" s="251">
        <f>'13'!G162</f>
        <v>40.80000000000291</v>
      </c>
      <c r="AC17" s="251">
        <f>'13'!G88</f>
        <v>0</v>
      </c>
      <c r="AD17" s="251">
        <f>'13'!G163+'13'!G164</f>
        <v>183.10000000000582</v>
      </c>
      <c r="AE17" s="254">
        <f>'13'!$G$116</f>
        <v>370.40000000000146</v>
      </c>
      <c r="AF17" s="254">
        <f>'13'!$G$117</f>
        <v>235.79999999999927</v>
      </c>
      <c r="AG17" s="254">
        <f>'13'!$G$118</f>
        <v>572.72999999999956</v>
      </c>
      <c r="AH17" s="254">
        <f>'13'!$G$119</f>
        <v>416.10000000000036</v>
      </c>
      <c r="AI17" s="254">
        <f>'13'!$G$120</f>
        <v>408.60000000000036</v>
      </c>
      <c r="AJ17" s="254">
        <f>'13'!$G$121</f>
        <v>462.79999999999927</v>
      </c>
      <c r="AK17" s="254">
        <f>'13'!$G$122</f>
        <v>223.70000000000073</v>
      </c>
      <c r="AL17" s="254">
        <f>'13'!$G$123</f>
        <v>327.80000000000018</v>
      </c>
      <c r="AM17" s="254">
        <f>'13'!$G$133</f>
        <v>1022.8299999999872</v>
      </c>
      <c r="AN17" s="254">
        <f>'13'!$G$15</f>
        <v>672.5</v>
      </c>
      <c r="AO17" s="256">
        <f>'13'!$G$74</f>
        <v>326.3399999999674</v>
      </c>
      <c r="AP17" s="256">
        <f>'13'!$G$75</f>
        <v>-0.19999999999708962</v>
      </c>
      <c r="AQ17" s="256">
        <f>'13'!$G$76</f>
        <v>146</v>
      </c>
      <c r="AR17" s="256">
        <f>'13'!$G$77</f>
        <v>70.599999999998545</v>
      </c>
      <c r="AS17" s="256">
        <f>'13'!$G$78</f>
        <v>0.6000000000003638</v>
      </c>
      <c r="AT17" s="256">
        <f t="shared" si="0"/>
        <v>129.16000000003078</v>
      </c>
      <c r="AU17" s="254">
        <f>SUM('13'!G91:G92)</f>
        <v>11.650000000000546</v>
      </c>
      <c r="AV17" s="254">
        <f>'13'!$G$88</f>
        <v>0</v>
      </c>
      <c r="AW17" s="254">
        <f>'13'!$G$89</f>
        <v>4.2900000000008731</v>
      </c>
      <c r="AX17" s="254">
        <f>'13'!$G$90</f>
        <v>9.4399999999877764</v>
      </c>
      <c r="AY17" s="252">
        <f t="shared" si="1"/>
        <v>13.72999999998865</v>
      </c>
      <c r="AZ17" s="311">
        <f t="shared" si="6"/>
        <v>28.012017167377863</v>
      </c>
      <c r="BA17" s="311">
        <f t="shared" si="3"/>
        <v>9.4071376547805929</v>
      </c>
      <c r="BB17" s="351">
        <f t="shared" si="4"/>
        <v>7065.5499999999483</v>
      </c>
      <c r="BC17" s="351">
        <f t="shared" si="5"/>
        <v>25.062785104677136</v>
      </c>
    </row>
    <row r="18" spans="1:55">
      <c r="A18" s="359">
        <v>14</v>
      </c>
      <c r="B18" s="512">
        <f>'14'!G7</f>
        <v>27260.600000000006</v>
      </c>
      <c r="C18" s="512">
        <f>'14'!G8</f>
        <v>27804.599999999977</v>
      </c>
      <c r="D18" s="512">
        <f>'14'!G15</f>
        <v>992.39999999990687</v>
      </c>
      <c r="E18" s="512">
        <f>'14'!G20</f>
        <v>484</v>
      </c>
      <c r="F18" s="512">
        <f>SUM('14'!G35,'14'!G49)</f>
        <v>3960.820000000007</v>
      </c>
      <c r="G18" s="512">
        <f>SUM('14'!G37,'14'!G51)</f>
        <v>1751.6000000000058</v>
      </c>
      <c r="H18" s="512">
        <f>SUM('14'!G38,'14'!G52)</f>
        <v>2301.5499999999884</v>
      </c>
      <c r="I18" s="512">
        <f>SUM('14'!G39,'14'!G53)</f>
        <v>2696.9699999999721</v>
      </c>
      <c r="J18" s="512">
        <f>SUM('14'!G41,'14'!G42,'14'!G55,'14'!G56)</f>
        <v>7185.0299999999697</v>
      </c>
      <c r="K18" s="512">
        <f>SUM('14'!G43,'14'!G57)</f>
        <v>2744.289999999979</v>
      </c>
      <c r="L18" s="254">
        <f>'14'!G50</f>
        <v>1333.25</v>
      </c>
      <c r="M18" s="254">
        <f>'14'!G36</f>
        <v>825</v>
      </c>
      <c r="N18" s="254">
        <f>'14'!G138</f>
        <v>175</v>
      </c>
      <c r="O18" s="254">
        <f>'14'!$G$139</f>
        <v>115</v>
      </c>
      <c r="P18" s="254">
        <f>'14'!$G$140</f>
        <v>14</v>
      </c>
      <c r="Q18" s="254">
        <f>'14'!$G$141</f>
        <v>168.60000000000582</v>
      </c>
      <c r="R18" s="254">
        <f>'14'!$G$142</f>
        <v>59.5</v>
      </c>
      <c r="S18" s="254">
        <f>'14'!$G$145</f>
        <v>-0.25</v>
      </c>
      <c r="T18" s="251">
        <f>'14'!$G$146</f>
        <v>39</v>
      </c>
      <c r="U18" s="251">
        <f>'14'!$G$144</f>
        <v>266</v>
      </c>
      <c r="V18" s="251">
        <f>'14'!$G$147</f>
        <v>419.1600000000326</v>
      </c>
      <c r="W18" s="251">
        <f>'14'!$G$148</f>
        <v>273.64000000001397</v>
      </c>
      <c r="X18" s="251">
        <f>'14'!$G$143</f>
        <v>30.600000000000364</v>
      </c>
      <c r="Y18" s="251">
        <f>'14'!$G$58</f>
        <v>247.90000000000146</v>
      </c>
      <c r="Z18" s="251">
        <f>'14'!$G$151</f>
        <v>277</v>
      </c>
      <c r="AA18" s="251">
        <f>'14'!G161</f>
        <v>34</v>
      </c>
      <c r="AB18" s="251">
        <f>'14'!G162</f>
        <v>25</v>
      </c>
      <c r="AC18" s="251">
        <f>'14'!G88</f>
        <v>9.680000000000291</v>
      </c>
      <c r="AD18" s="251">
        <f>'14'!G163+'14'!G164</f>
        <v>182.599999999994</v>
      </c>
      <c r="AE18" s="254">
        <f>'14'!$G$116</f>
        <v>407.19999999999709</v>
      </c>
      <c r="AF18" s="254">
        <f>'14'!$G$117</f>
        <v>180</v>
      </c>
      <c r="AG18" s="254">
        <f>'14'!$G$118</f>
        <v>515</v>
      </c>
      <c r="AH18" s="254">
        <f>'14'!$G$119</f>
        <v>373.5</v>
      </c>
      <c r="AI18" s="254">
        <f>'14'!$G$120</f>
        <v>361.89999999999964</v>
      </c>
      <c r="AJ18" s="254">
        <f>'14'!$G$121</f>
        <v>396.20000000000073</v>
      </c>
      <c r="AK18" s="254">
        <f>'14'!$G$122</f>
        <v>194.89999999999964</v>
      </c>
      <c r="AL18" s="254">
        <f>'14'!$G$123</f>
        <v>90.5</v>
      </c>
      <c r="AM18" s="254">
        <f>'14'!$G$133</f>
        <v>934.20000000001164</v>
      </c>
      <c r="AN18" s="254">
        <f>'14'!$G$15</f>
        <v>992.39999999990687</v>
      </c>
      <c r="AO18" s="256">
        <f>'14'!$G$74</f>
        <v>313.6600000000326</v>
      </c>
      <c r="AP18" s="256">
        <f>'14'!$G$75</f>
        <v>0</v>
      </c>
      <c r="AQ18" s="256">
        <f>'14'!$G$76</f>
        <v>102</v>
      </c>
      <c r="AR18" s="256">
        <f>'14'!$G$77</f>
        <v>60.400000000001455</v>
      </c>
      <c r="AS18" s="256">
        <f>'14'!$G$78</f>
        <v>0</v>
      </c>
      <c r="AT18" s="256">
        <f t="shared" si="0"/>
        <v>516.33999999987282</v>
      </c>
      <c r="AU18" s="254">
        <f>SUM('14'!G91:G92)</f>
        <v>11</v>
      </c>
      <c r="AV18" s="254">
        <f>'14'!$G$88</f>
        <v>9.680000000000291</v>
      </c>
      <c r="AW18" s="254">
        <f>'14'!$G$89</f>
        <v>2.0000000000436557E-2</v>
      </c>
      <c r="AX18" s="254">
        <f>'14'!$G$90</f>
        <v>8.6000000000058208</v>
      </c>
      <c r="AY18" s="252">
        <f t="shared" si="1"/>
        <v>18.300000000006548</v>
      </c>
      <c r="AZ18" s="311">
        <f t="shared" si="6"/>
        <v>28.514545454548418</v>
      </c>
      <c r="BA18" s="311">
        <f t="shared" si="3"/>
        <v>28.215300546431042</v>
      </c>
      <c r="BB18" s="351">
        <f t="shared" si="4"/>
        <v>6916.4400000000533</v>
      </c>
      <c r="BC18" s="351">
        <f t="shared" si="5"/>
        <v>25.371561887852987</v>
      </c>
    </row>
    <row r="19" spans="1:55">
      <c r="A19" s="359">
        <v>15</v>
      </c>
      <c r="B19" s="512">
        <f>'15'!G7</f>
        <v>24528</v>
      </c>
      <c r="C19" s="512">
        <f>'15'!G8</f>
        <v>27198</v>
      </c>
      <c r="D19" s="512">
        <f>'15'!G15</f>
        <v>1045</v>
      </c>
      <c r="E19" s="512">
        <f>'15'!G20</f>
        <v>295</v>
      </c>
      <c r="F19" s="512">
        <f>SUM('15'!G35,'15'!G49)</f>
        <v>4297</v>
      </c>
      <c r="G19" s="512">
        <f>SUM('15'!G37,'15'!G51)</f>
        <v>1671</v>
      </c>
      <c r="H19" s="512">
        <f>SUM('15'!G38,'15'!G52)</f>
        <v>2239.7600000000002</v>
      </c>
      <c r="I19" s="512">
        <f>SUM('15'!G39,'15'!G53)</f>
        <v>2956</v>
      </c>
      <c r="J19" s="512">
        <f>SUM('15'!G41,'15'!G42,'15'!G55,'15'!G56)</f>
        <v>7898</v>
      </c>
      <c r="K19" s="512">
        <f>SUM('15'!G43,'15'!G57)</f>
        <v>3034</v>
      </c>
      <c r="L19" s="254">
        <f>'15'!G50</f>
        <v>1074</v>
      </c>
      <c r="M19" s="254">
        <f>'15'!G36</f>
        <v>698</v>
      </c>
      <c r="N19" s="254">
        <f>'15'!G138</f>
        <v>145</v>
      </c>
      <c r="O19" s="254">
        <f>'15'!$G$139</f>
        <v>131</v>
      </c>
      <c r="P19" s="254">
        <f>'15'!$G$140</f>
        <v>14</v>
      </c>
      <c r="Q19" s="254">
        <f>'15'!$G$141</f>
        <v>210</v>
      </c>
      <c r="R19" s="254">
        <f>'15'!$G$142</f>
        <v>61</v>
      </c>
      <c r="S19" s="254">
        <f>'15'!$G$145</f>
        <v>0</v>
      </c>
      <c r="T19" s="251">
        <f>'15'!$G$146</f>
        <v>38</v>
      </c>
      <c r="U19" s="251">
        <f>'15'!$G$144</f>
        <v>254</v>
      </c>
      <c r="V19" s="251">
        <f>'15'!$G$147</f>
        <v>415</v>
      </c>
      <c r="W19" s="251">
        <f>'15'!$G$148</f>
        <v>245</v>
      </c>
      <c r="X19" s="251">
        <f>'15'!$G$143</f>
        <v>23</v>
      </c>
      <c r="Y19" s="251">
        <f>'15'!$G$58</f>
        <v>283</v>
      </c>
      <c r="Z19" s="251">
        <f>'15'!$G$151</f>
        <v>274</v>
      </c>
      <c r="AA19" s="251">
        <f>'15'!G161</f>
        <v>33</v>
      </c>
      <c r="AB19" s="251">
        <f>'15'!G162</f>
        <v>22</v>
      </c>
      <c r="AC19" s="251">
        <f>'15'!G88</f>
        <v>1</v>
      </c>
      <c r="AD19" s="251">
        <f>'15'!G163+'15'!G164</f>
        <v>183</v>
      </c>
      <c r="AE19" s="254">
        <f>'15'!$G$116</f>
        <v>333</v>
      </c>
      <c r="AF19" s="254">
        <f>'15'!$G$117</f>
        <v>224</v>
      </c>
      <c r="AG19" s="254">
        <f>'15'!$G$118</f>
        <v>610</v>
      </c>
      <c r="AH19" s="254">
        <f>'15'!$G$119</f>
        <v>430</v>
      </c>
      <c r="AI19" s="254">
        <f>'15'!$G$120</f>
        <v>447</v>
      </c>
      <c r="AJ19" s="254">
        <f>'15'!$G$121</f>
        <v>479</v>
      </c>
      <c r="AK19" s="254">
        <f>'15'!$G$122</f>
        <v>182</v>
      </c>
      <c r="AL19" s="254">
        <f>'15'!$G$123</f>
        <v>335</v>
      </c>
      <c r="AM19" s="254">
        <f>'15'!$G$133</f>
        <v>1029</v>
      </c>
      <c r="AN19" s="254">
        <f>'15'!$G$15</f>
        <v>1045</v>
      </c>
      <c r="AO19" s="256">
        <f>'15'!$G$74</f>
        <v>341</v>
      </c>
      <c r="AP19" s="256">
        <f>'15'!$G$75</f>
        <v>0</v>
      </c>
      <c r="AQ19" s="256">
        <f>'15'!$G$76</f>
        <v>106</v>
      </c>
      <c r="AR19" s="256">
        <f>'15'!$G$77</f>
        <v>47</v>
      </c>
      <c r="AS19" s="256">
        <f>'15'!$G$78</f>
        <v>0</v>
      </c>
      <c r="AT19" s="256">
        <f t="shared" si="0"/>
        <v>551</v>
      </c>
      <c r="AU19" s="254">
        <f>SUM('15'!G91:G92)</f>
        <v>12</v>
      </c>
      <c r="AV19" s="254">
        <f>'15'!$G$88</f>
        <v>1</v>
      </c>
      <c r="AW19" s="254">
        <f>'15'!$G$89</f>
        <v>9</v>
      </c>
      <c r="AX19" s="254">
        <f>'15'!$G$90</f>
        <v>9</v>
      </c>
      <c r="AY19" s="252">
        <f t="shared" si="1"/>
        <v>19</v>
      </c>
      <c r="AZ19" s="311">
        <f t="shared" si="6"/>
        <v>28.416666666666668</v>
      </c>
      <c r="BA19" s="311">
        <f t="shared" si="3"/>
        <v>29</v>
      </c>
      <c r="BB19" s="351">
        <f t="shared" si="4"/>
        <v>4819.239999999998</v>
      </c>
      <c r="BC19" s="351">
        <f t="shared" si="5"/>
        <v>19.647912589693401</v>
      </c>
    </row>
    <row r="20" spans="1:55">
      <c r="A20" s="359">
        <v>16</v>
      </c>
      <c r="B20" s="512">
        <f>'16'!G7</f>
        <v>27000</v>
      </c>
      <c r="C20" s="512">
        <f>'16'!G8</f>
        <v>26500</v>
      </c>
      <c r="D20" s="512" t="e">
        <f>'16'!G15</f>
        <v>#VALUE!</v>
      </c>
      <c r="E20" s="512">
        <f>'16'!G20</f>
        <v>-1209</v>
      </c>
      <c r="F20" s="512">
        <f>SUM('16'!G35,'16'!G49)</f>
        <v>-117191</v>
      </c>
      <c r="G20" s="512">
        <f>SUM('16'!G37,'16'!G51)</f>
        <v>-49263</v>
      </c>
      <c r="H20" s="512">
        <f>SUM('16'!G38,'16'!G52)</f>
        <v>-67946</v>
      </c>
      <c r="I20" s="512">
        <f>SUM('16'!G39,'16'!G53)</f>
        <v>-86763</v>
      </c>
      <c r="J20" s="512">
        <f>SUM('16'!G41,'16'!G42,'16'!G55,'16'!G56)</f>
        <v>-244711.80000000002</v>
      </c>
      <c r="K20" s="512">
        <f>SUM('16'!G43,'16'!G57)</f>
        <v>-91934</v>
      </c>
      <c r="L20" s="254">
        <f>'16'!G50</f>
        <v>-38436</v>
      </c>
      <c r="M20" s="254">
        <f>'16'!G36</f>
        <v>-29965</v>
      </c>
      <c r="N20" s="254">
        <f>'16'!G138</f>
        <v>-4315</v>
      </c>
      <c r="O20" s="254">
        <f>'16'!$G$139</f>
        <v>-4343</v>
      </c>
      <c r="P20" s="254">
        <f>'16'!$G$140</f>
        <v>88676</v>
      </c>
      <c r="Q20" s="254">
        <f>'16'!$G$141</f>
        <v>-5825</v>
      </c>
      <c r="R20" s="254">
        <f>'16'!$G$142</f>
        <v>-1896</v>
      </c>
      <c r="S20" s="254">
        <f>'16'!$G$145</f>
        <v>-69</v>
      </c>
      <c r="T20" s="251">
        <f>'16'!$G$146</f>
        <v>-4731</v>
      </c>
      <c r="U20" s="251">
        <f>'16'!$G$144</f>
        <v>-7222</v>
      </c>
      <c r="V20" s="251">
        <f>'16'!$G$147</f>
        <v>-12158</v>
      </c>
      <c r="W20" s="251">
        <f>'16'!$G$148</f>
        <v>-10416</v>
      </c>
      <c r="X20" s="251">
        <f>'16'!$G$143</f>
        <v>-826</v>
      </c>
      <c r="Y20" s="251">
        <f>'16'!$G$58</f>
        <v>-6452</v>
      </c>
      <c r="Z20" s="251">
        <f>'16'!$G$151</f>
        <v>-8482</v>
      </c>
      <c r="AA20" s="251">
        <f>'16'!G161</f>
        <v>-1062</v>
      </c>
      <c r="AB20" s="251">
        <f>'16'!G162</f>
        <v>-1043</v>
      </c>
      <c r="AC20" s="251">
        <f>'16'!G88</f>
        <v>-72</v>
      </c>
      <c r="AD20" s="251">
        <f>'16'!G163+'16'!G164</f>
        <v>-5063</v>
      </c>
      <c r="AE20" s="254">
        <f>'16'!$G$116</f>
        <v>-10692</v>
      </c>
      <c r="AF20" s="254">
        <f>'16'!$G$117</f>
        <v>-5211</v>
      </c>
      <c r="AG20" s="254">
        <f>'16'!$G$118</f>
        <v>-15826</v>
      </c>
      <c r="AH20" s="254">
        <f>'16'!$G$119</f>
        <v>277961</v>
      </c>
      <c r="AI20" s="254">
        <f>'16'!$G$120</f>
        <v>-12089</v>
      </c>
      <c r="AJ20" s="254">
        <f>'16'!$G$121</f>
        <v>-16019</v>
      </c>
      <c r="AK20" s="254">
        <f>'16'!$G$122</f>
        <v>-5997</v>
      </c>
      <c r="AL20" s="254">
        <f>'16'!$G$123</f>
        <v>167970</v>
      </c>
      <c r="AM20" s="254">
        <f>'16'!$G$133</f>
        <v>-27287</v>
      </c>
      <c r="AN20" s="254" t="e">
        <f>'16'!$G$15</f>
        <v>#VALUE!</v>
      </c>
      <c r="AO20" s="256">
        <f>'16'!$G$74</f>
        <v>-9224</v>
      </c>
      <c r="AP20" s="256">
        <f>'16'!$G$75</f>
        <v>0</v>
      </c>
      <c r="AQ20" s="256">
        <f>'16'!$G$76</f>
        <v>-3419</v>
      </c>
      <c r="AR20" s="256">
        <f>'16'!$G$77</f>
        <v>-1560</v>
      </c>
      <c r="AS20" s="256">
        <f>'16'!$G$78</f>
        <v>0</v>
      </c>
      <c r="AT20" s="256" t="e">
        <f t="shared" si="0"/>
        <v>#VALUE!</v>
      </c>
      <c r="AU20" s="254">
        <f>SUM('16'!G91:G92)</f>
        <v>-332</v>
      </c>
      <c r="AV20" s="254">
        <f>'16'!$G$88</f>
        <v>-72</v>
      </c>
      <c r="AW20" s="254">
        <f>'16'!$G$89</f>
        <v>-225</v>
      </c>
      <c r="AX20" s="254">
        <f>'16'!$G$90</f>
        <v>-255</v>
      </c>
      <c r="AY20" s="252">
        <f t="shared" si="1"/>
        <v>-552</v>
      </c>
      <c r="AZ20" s="311">
        <f t="shared" si="6"/>
        <v>27.783132530120483</v>
      </c>
      <c r="BA20" s="311" t="e">
        <f t="shared" si="3"/>
        <v>#VALUE!</v>
      </c>
      <c r="BB20" s="351">
        <f t="shared" si="4"/>
        <v>690760.8</v>
      </c>
      <c r="BC20" s="351">
        <f t="shared" si="5"/>
        <v>2558.3733333333334</v>
      </c>
    </row>
    <row r="21" spans="1:55">
      <c r="A21" s="359">
        <v>17</v>
      </c>
      <c r="B21" s="512">
        <f>'17'!G7</f>
        <v>27000</v>
      </c>
      <c r="C21" s="512">
        <f>'17'!G8</f>
        <v>26500</v>
      </c>
      <c r="D21" s="512" t="e">
        <f>'17'!G15</f>
        <v>#VALUE!</v>
      </c>
      <c r="E21" s="512">
        <f>'17'!G20</f>
        <v>270</v>
      </c>
      <c r="F21" s="512">
        <f>SUM('17'!G35,'17'!G49)</f>
        <v>3966</v>
      </c>
      <c r="G21" s="512">
        <f>SUM('17'!G37,'17'!G51)</f>
        <v>1602</v>
      </c>
      <c r="H21" s="512">
        <f>SUM('17'!G38,'17'!G52)</f>
        <v>2369</v>
      </c>
      <c r="I21" s="512">
        <f>SUM('17'!G39,'17'!G53)</f>
        <v>3351</v>
      </c>
      <c r="J21" s="512">
        <f>SUM('17'!G41,'17'!G42,'17'!G55,'17'!G56)</f>
        <v>7873.3</v>
      </c>
      <c r="K21" s="512">
        <f>SUM('17'!G43,'17'!G57)</f>
        <v>3298</v>
      </c>
      <c r="L21" s="254">
        <f>'17'!G50</f>
        <v>1428</v>
      </c>
      <c r="M21" s="254">
        <f>'17'!G36</f>
        <v>1067</v>
      </c>
      <c r="N21" s="254">
        <f>'18 '!G138</f>
        <v>159</v>
      </c>
      <c r="O21" s="254">
        <f>'17'!$G$139</f>
        <v>150</v>
      </c>
      <c r="P21" s="254">
        <f>'17'!$G$140</f>
        <v>2</v>
      </c>
      <c r="Q21" s="254">
        <f>'17'!$G$141</f>
        <v>201</v>
      </c>
      <c r="R21" s="254">
        <f>'17'!$G$142</f>
        <v>59</v>
      </c>
      <c r="S21" s="254">
        <f>'17'!$G$145</f>
        <v>4</v>
      </c>
      <c r="T21" s="251">
        <f>'17'!$G$146</f>
        <v>434</v>
      </c>
      <c r="U21" s="251">
        <f>'17'!$G$144</f>
        <v>256</v>
      </c>
      <c r="V21" s="251">
        <f>'17'!$G$147</f>
        <v>467</v>
      </c>
      <c r="W21" s="251">
        <f>'17'!$G$148</f>
        <v>361</v>
      </c>
      <c r="X21" s="251">
        <f>'17'!$G$143</f>
        <v>28</v>
      </c>
      <c r="Y21" s="251">
        <f>'17'!$G$58</f>
        <v>239</v>
      </c>
      <c r="Z21" s="251">
        <f>'17'!$G$151</f>
        <v>278</v>
      </c>
      <c r="AA21" s="251">
        <f>'17'!G161</f>
        <v>48</v>
      </c>
      <c r="AB21" s="251">
        <f>'17'!G162</f>
        <v>16</v>
      </c>
      <c r="AC21" s="251">
        <f>'17'!G88</f>
        <v>10.380000000001019</v>
      </c>
      <c r="AD21" s="251">
        <f>'17'!G163+'17'!G164</f>
        <v>161</v>
      </c>
      <c r="AE21" s="254">
        <f>'17'!$G$116</f>
        <v>439</v>
      </c>
      <c r="AF21" s="254">
        <f>'17'!$G$117</f>
        <v>171</v>
      </c>
      <c r="AG21" s="254">
        <f>'17'!$G$118</f>
        <v>511</v>
      </c>
      <c r="AH21" s="254">
        <f>'17'!$G$119</f>
        <v>459</v>
      </c>
      <c r="AI21" s="254">
        <f>'17'!$G$120</f>
        <v>419</v>
      </c>
      <c r="AJ21" s="254">
        <f>'17'!$G$121</f>
        <v>787</v>
      </c>
      <c r="AK21" s="254">
        <f>'17'!$G$122</f>
        <v>189</v>
      </c>
      <c r="AL21" s="254">
        <f>'17'!$G$123</f>
        <v>248</v>
      </c>
      <c r="AM21" s="254">
        <f>'17'!$G$133</f>
        <v>878</v>
      </c>
      <c r="AN21" s="254" t="e">
        <f>'17'!$G$15</f>
        <v>#VALUE!</v>
      </c>
      <c r="AO21" s="256">
        <f>'17'!$G$74</f>
        <v>346</v>
      </c>
      <c r="AP21" s="256">
        <f>'17'!$G$75</f>
        <v>0</v>
      </c>
      <c r="AQ21" s="256">
        <f>'17'!$G$76</f>
        <v>119</v>
      </c>
      <c r="AR21" s="256">
        <f>'17'!$G$77</f>
        <v>59</v>
      </c>
      <c r="AS21" s="256">
        <f>'17'!$G$78</f>
        <v>0</v>
      </c>
      <c r="AT21" s="256" t="e">
        <f t="shared" si="0"/>
        <v>#VALUE!</v>
      </c>
      <c r="AU21" s="254">
        <f>SUM('17'!G91:G92)</f>
        <v>12</v>
      </c>
      <c r="AV21" s="254">
        <f>'17'!$G$88</f>
        <v>10.380000000001019</v>
      </c>
      <c r="AW21" s="254">
        <f>'17'!$G$89</f>
        <v>1</v>
      </c>
      <c r="AX21" s="254">
        <f>'17'!$G$90</f>
        <v>10</v>
      </c>
      <c r="AY21" s="252">
        <f t="shared" si="1"/>
        <v>21.380000000001019</v>
      </c>
      <c r="AZ21" s="311">
        <f t="shared" si="6"/>
        <v>28.833333333333332</v>
      </c>
      <c r="BA21" s="311" t="e">
        <f t="shared" si="3"/>
        <v>#VALUE!</v>
      </c>
      <c r="BB21" s="351">
        <f t="shared" si="4"/>
        <v>3801.7000000000007</v>
      </c>
      <c r="BC21" s="351">
        <f t="shared" si="5"/>
        <v>14.080370370370373</v>
      </c>
    </row>
    <row r="22" spans="1:55">
      <c r="A22" s="359">
        <v>18</v>
      </c>
      <c r="B22" s="512">
        <f>'18 '!G7</f>
        <v>27000</v>
      </c>
      <c r="C22" s="512">
        <f>'18 '!G8</f>
        <v>26500</v>
      </c>
      <c r="D22" s="512" t="e">
        <f>'18 '!G15</f>
        <v>#VALUE!</v>
      </c>
      <c r="E22" s="512">
        <f>'18 '!G20</f>
        <v>255</v>
      </c>
      <c r="F22" s="512">
        <f>SUM('18 '!G35,'18 '!G49)</f>
        <v>3926</v>
      </c>
      <c r="G22" s="512">
        <f>SUM('18 '!G37,'18 '!G51)</f>
        <v>1696</v>
      </c>
      <c r="H22" s="512">
        <f>SUM('18 '!G38,'18 '!G52)</f>
        <v>2295</v>
      </c>
      <c r="I22" s="512">
        <f>SUM('18 '!G39,'18 '!G53)</f>
        <v>3285</v>
      </c>
      <c r="J22" s="512">
        <f>SUM('18 '!G41,'18 '!G42,'18 '!G55,'18 '!G56)</f>
        <v>7242</v>
      </c>
      <c r="K22" s="512">
        <f>SUM('18 '!G43,'18 '!G57)</f>
        <v>3303</v>
      </c>
      <c r="L22" s="254">
        <f>'18 '!G50</f>
        <v>1432</v>
      </c>
      <c r="M22" s="254">
        <f>'18 '!G36</f>
        <v>1020</v>
      </c>
      <c r="N22" s="254">
        <f>'18 '!G138</f>
        <v>159</v>
      </c>
      <c r="O22" s="254">
        <f>'18 '!$G$139</f>
        <v>147</v>
      </c>
      <c r="P22" s="254">
        <f>'18 '!$G$140</f>
        <v>1</v>
      </c>
      <c r="Q22" s="254">
        <f>'18 '!$G$141</f>
        <v>191</v>
      </c>
      <c r="R22" s="254">
        <f>'18 '!$G$142</f>
        <v>61</v>
      </c>
      <c r="S22" s="254">
        <f>'18 '!$G$145</f>
        <v>2</v>
      </c>
      <c r="T22" s="251">
        <f>'18 '!$G$146</f>
        <v>443</v>
      </c>
      <c r="U22" s="251">
        <f>'18 '!$G$144</f>
        <v>252</v>
      </c>
      <c r="V22" s="256">
        <f>'18 '!$G$147</f>
        <v>412</v>
      </c>
      <c r="W22" s="256">
        <f>'18 '!$G$148</f>
        <v>351</v>
      </c>
      <c r="X22" s="256">
        <f>'18 '!$G$143</f>
        <v>25</v>
      </c>
      <c r="Y22" s="256">
        <f>'18 '!$G$58</f>
        <v>241</v>
      </c>
      <c r="Z22" s="256">
        <f>'18 '!$G$151</f>
        <v>277</v>
      </c>
      <c r="AA22" s="256">
        <f>'18 '!G161</f>
        <v>206</v>
      </c>
      <c r="AB22" s="251">
        <f>'18 '!G162</f>
        <v>36</v>
      </c>
      <c r="AC22" s="251">
        <f>'18 '!G88</f>
        <v>8.6199999999989814</v>
      </c>
      <c r="AD22" s="251">
        <f>'18 '!G163+'18 '!G164</f>
        <v>170</v>
      </c>
      <c r="AE22" s="254">
        <f>'18 '!$G$116</f>
        <v>416</v>
      </c>
      <c r="AF22" s="254">
        <f>'18 '!$G$117</f>
        <v>229</v>
      </c>
      <c r="AG22" s="254">
        <f>'18 '!$G$118</f>
        <v>542</v>
      </c>
      <c r="AH22" s="254">
        <f>'18 '!$G$119</f>
        <v>398</v>
      </c>
      <c r="AI22" s="254">
        <f>'18 '!$G$120</f>
        <v>415</v>
      </c>
      <c r="AJ22" s="254">
        <f>'18 '!$G$121</f>
        <v>763</v>
      </c>
      <c r="AK22" s="254">
        <f>'18 '!$G$122</f>
        <v>195</v>
      </c>
      <c r="AL22" s="254">
        <f>'18 '!$G$123</f>
        <v>254</v>
      </c>
      <c r="AM22" s="254">
        <f>'18 '!$G$133</f>
        <v>888</v>
      </c>
      <c r="AN22" s="254" t="e">
        <f>'18 '!$G$15</f>
        <v>#VALUE!</v>
      </c>
      <c r="AO22" s="256">
        <f>'18 '!$G$74</f>
        <v>314</v>
      </c>
      <c r="AP22" s="256">
        <f>'18 '!$G$75</f>
        <v>0</v>
      </c>
      <c r="AQ22" s="256">
        <f>'18 '!$G$76</f>
        <v>114</v>
      </c>
      <c r="AR22" s="256">
        <f>'18 '!$G$77</f>
        <v>45</v>
      </c>
      <c r="AS22" s="256">
        <f>'18 '!$G$78</f>
        <v>0</v>
      </c>
      <c r="AT22" s="256" t="e">
        <f t="shared" si="0"/>
        <v>#VALUE!</v>
      </c>
      <c r="AU22" s="254">
        <f>SUM('18 '!G91:G92)</f>
        <v>11</v>
      </c>
      <c r="AV22" s="254">
        <f>'18 '!$G$88</f>
        <v>8.6199999999989814</v>
      </c>
      <c r="AW22" s="254">
        <f>'18 '!$G$89</f>
        <v>5</v>
      </c>
      <c r="AX22" s="254">
        <f>'18 '!$G$90</f>
        <v>6</v>
      </c>
      <c r="AY22" s="252">
        <f t="shared" si="1"/>
        <v>19.619999999998981</v>
      </c>
      <c r="AZ22" s="311">
        <f t="shared" si="6"/>
        <v>28.545454545454547</v>
      </c>
      <c r="BA22" s="311" t="e">
        <f t="shared" si="3"/>
        <v>#VALUE!</v>
      </c>
      <c r="BB22" s="351">
        <f t="shared" si="4"/>
        <v>4512</v>
      </c>
      <c r="BC22" s="351">
        <f t="shared" si="5"/>
        <v>16.711111111111112</v>
      </c>
    </row>
    <row r="23" spans="1:55" s="313" customFormat="1">
      <c r="A23" s="359">
        <v>19</v>
      </c>
      <c r="B23" s="512">
        <f>'19'!G7</f>
        <v>27000</v>
      </c>
      <c r="C23" s="512">
        <f>'19'!G8</f>
        <v>26500</v>
      </c>
      <c r="D23" s="512" t="e">
        <f>'19'!G15</f>
        <v>#VALUE!</v>
      </c>
      <c r="E23" s="512">
        <f>'19'!G20</f>
        <v>274</v>
      </c>
      <c r="F23" s="512">
        <f>SUM('19'!G35,'19'!G49)</f>
        <v>3887</v>
      </c>
      <c r="G23" s="512">
        <f>SUM('19'!G37,'19'!G51)</f>
        <v>1723</v>
      </c>
      <c r="H23" s="512">
        <f>SUM('19'!G38,'19'!G52)</f>
        <v>2295</v>
      </c>
      <c r="I23" s="512">
        <f>SUM('19'!G39,'19'!G53)</f>
        <v>3229</v>
      </c>
      <c r="J23" s="512">
        <f>SUM('19'!G41,'19'!G42,'19'!G55,'19'!G56)</f>
        <v>5840</v>
      </c>
      <c r="K23" s="512">
        <f>SUM('19'!G43,'19'!G57)</f>
        <v>3310</v>
      </c>
      <c r="L23" s="251">
        <f>'19'!G50</f>
        <v>1258</v>
      </c>
      <c r="M23" s="251">
        <f>'19'!G36</f>
        <v>1171</v>
      </c>
      <c r="N23" s="251">
        <f>'19'!G138</f>
        <v>158</v>
      </c>
      <c r="O23" s="251">
        <f>'19'!$G$139</f>
        <v>152</v>
      </c>
      <c r="P23" s="251">
        <f>'19'!$G$140</f>
        <v>1</v>
      </c>
      <c r="Q23" s="251">
        <f>'19'!$G$141</f>
        <v>201</v>
      </c>
      <c r="R23" s="254">
        <f>'19'!G142</f>
        <v>60</v>
      </c>
      <c r="S23" s="251">
        <f>'19'!$G$145</f>
        <v>4</v>
      </c>
      <c r="T23" s="251">
        <f>'19'!$G$146</f>
        <v>460</v>
      </c>
      <c r="U23" s="251">
        <f>'19'!$G$144</f>
        <v>241</v>
      </c>
      <c r="V23" s="251">
        <f>'19'!$G$147</f>
        <v>424</v>
      </c>
      <c r="W23" s="251">
        <f>'19'!$G$148</f>
        <v>402</v>
      </c>
      <c r="X23" s="251">
        <f>'19'!$G$143</f>
        <v>28</v>
      </c>
      <c r="Y23" s="251">
        <f>'19'!$G$58</f>
        <v>248</v>
      </c>
      <c r="Z23" s="251">
        <f>'19'!$G$151</f>
        <v>286</v>
      </c>
      <c r="AA23" s="251">
        <f>'19'!G161</f>
        <v>159</v>
      </c>
      <c r="AB23" s="251">
        <f>'19'!G162</f>
        <v>42</v>
      </c>
      <c r="AC23" s="251">
        <f>'19'!G88</f>
        <v>10</v>
      </c>
      <c r="AD23" s="251">
        <f>'19'!G163+'19'!G164</f>
        <v>152</v>
      </c>
      <c r="AE23" s="251">
        <f>'19'!$G$116</f>
        <v>431</v>
      </c>
      <c r="AF23" s="251">
        <f>'19'!$G$117</f>
        <v>165</v>
      </c>
      <c r="AG23" s="251">
        <f>'19'!$G$118</f>
        <v>521</v>
      </c>
      <c r="AH23" s="251">
        <f>'19'!$G$119</f>
        <v>433</v>
      </c>
      <c r="AI23" s="251">
        <f>'19'!$G$120</f>
        <v>407</v>
      </c>
      <c r="AJ23" s="251">
        <f>'19'!$G$121</f>
        <v>816</v>
      </c>
      <c r="AK23" s="251">
        <f>'19'!$G$122</f>
        <v>211</v>
      </c>
      <c r="AL23" s="251">
        <f>'19'!$G$123</f>
        <v>252</v>
      </c>
      <c r="AM23" s="251">
        <f>'19'!$G$133</f>
        <v>877</v>
      </c>
      <c r="AN23" s="251" t="e">
        <f>'19'!$G$15</f>
        <v>#VALUE!</v>
      </c>
      <c r="AO23" s="256">
        <f>'19'!$G$74</f>
        <v>331</v>
      </c>
      <c r="AP23" s="256">
        <f>'19'!$G$75</f>
        <v>0</v>
      </c>
      <c r="AQ23" s="256">
        <f>'19'!$G$76</f>
        <v>99</v>
      </c>
      <c r="AR23" s="256">
        <f>'19'!$G$77</f>
        <v>47</v>
      </c>
      <c r="AS23" s="256">
        <f>'19'!$G$78</f>
        <v>0</v>
      </c>
      <c r="AT23" s="256" t="e">
        <f t="shared" si="0"/>
        <v>#VALUE!</v>
      </c>
      <c r="AU23" s="251">
        <f>SUM('19'!G91:G92)</f>
        <v>12.480000000000018</v>
      </c>
      <c r="AV23" s="251">
        <f>'19'!$G$88</f>
        <v>10</v>
      </c>
      <c r="AW23" s="251">
        <f>'19'!$G$89</f>
        <v>3</v>
      </c>
      <c r="AX23" s="251">
        <f>'19'!$G$90</f>
        <v>9</v>
      </c>
      <c r="AY23" s="255">
        <f t="shared" si="1"/>
        <v>22</v>
      </c>
      <c r="AZ23" s="311">
        <f t="shared" si="6"/>
        <v>26.522435897435859</v>
      </c>
      <c r="BA23" s="311" t="e">
        <f t="shared" si="3"/>
        <v>#VALUE!</v>
      </c>
      <c r="BB23" s="351">
        <f t="shared" si="4"/>
        <v>5968</v>
      </c>
      <c r="BC23" s="351">
        <f t="shared" si="5"/>
        <v>22.103703703703705</v>
      </c>
    </row>
    <row r="24" spans="1:55">
      <c r="A24" s="359">
        <v>20</v>
      </c>
      <c r="B24" s="512">
        <f>'20'!G7</f>
        <v>27000</v>
      </c>
      <c r="C24" s="512">
        <f>'20'!G8</f>
        <v>26500</v>
      </c>
      <c r="D24" s="512" t="e">
        <f>'20'!G15</f>
        <v>#VALUE!</v>
      </c>
      <c r="E24" s="512">
        <f>'20'!G20</f>
        <v>307</v>
      </c>
      <c r="F24" s="512">
        <f>SUM('20'!G35,'20'!G49)</f>
        <v>4020.4599999999919</v>
      </c>
      <c r="G24" s="512">
        <f>SUM('20'!G37,'20'!G51)</f>
        <v>1793.1700000000128</v>
      </c>
      <c r="H24" s="512">
        <f>SUM('20'!G38,'20'!G52)</f>
        <v>2268.9100000000035</v>
      </c>
      <c r="I24" s="512">
        <f>SUM('20'!G39,'20'!G53)</f>
        <v>3276.3699999999953</v>
      </c>
      <c r="J24" s="512">
        <f>SUM('20'!G41,'20'!G42,'20'!G55,'20'!G56)</f>
        <v>6519.3600000000151</v>
      </c>
      <c r="K24" s="512">
        <f>SUM('20'!G43,'20'!G57)</f>
        <v>3343.6500000000233</v>
      </c>
      <c r="L24" s="254">
        <f>'20'!G50</f>
        <v>1170.4200000000128</v>
      </c>
      <c r="M24" s="254">
        <f>'20'!G36</f>
        <v>912.80999999999767</v>
      </c>
      <c r="N24" s="254">
        <f>'20'!G138</f>
        <v>154</v>
      </c>
      <c r="O24" s="254">
        <f>'20'!$G$139</f>
        <v>127</v>
      </c>
      <c r="P24" s="254">
        <f>'20'!$G$140</f>
        <v>1</v>
      </c>
      <c r="Q24" s="254">
        <f>'20'!$G$141</f>
        <v>186.19000000000233</v>
      </c>
      <c r="R24" s="254">
        <f>'20'!$G$142</f>
        <v>60.930000000000291</v>
      </c>
      <c r="S24" s="254">
        <f>'20'!$G$145</f>
        <v>3.8000000000001819</v>
      </c>
      <c r="T24" s="251">
        <f>'20'!$G$146</f>
        <v>545</v>
      </c>
      <c r="U24" s="251">
        <f>'20'!$G$144</f>
        <v>229</v>
      </c>
      <c r="V24" s="251">
        <f>'20'!$G$147</f>
        <v>402.28000000002794</v>
      </c>
      <c r="W24" s="251">
        <f>'20'!$G$148</f>
        <v>320.47999999998137</v>
      </c>
      <c r="X24" s="251">
        <f>'20'!$G$143</f>
        <v>31.279999999999745</v>
      </c>
      <c r="Y24" s="251">
        <f>'20'!$G$58</f>
        <v>205.5</v>
      </c>
      <c r="Z24" s="251">
        <f>'20'!$G$151</f>
        <v>280</v>
      </c>
      <c r="AA24" s="251">
        <f>'20'!G161</f>
        <v>18.840000000025611</v>
      </c>
      <c r="AB24" s="251">
        <f>'20'!G162</f>
        <v>45.899999999994179</v>
      </c>
      <c r="AC24" s="251">
        <f>'20'!G88</f>
        <v>0</v>
      </c>
      <c r="AD24" s="251">
        <f>'20'!G163+'20'!G164</f>
        <v>164.60000000000582</v>
      </c>
      <c r="AE24" s="254">
        <f>'20'!$G$116</f>
        <v>416.27000000000044</v>
      </c>
      <c r="AF24" s="254">
        <f>'20'!$G$117</f>
        <v>145.88999999999942</v>
      </c>
      <c r="AG24" s="254">
        <f>'20'!$G$118</f>
        <v>534.23</v>
      </c>
      <c r="AH24" s="254">
        <f>'20'!$G$119</f>
        <v>457.43000000000006</v>
      </c>
      <c r="AI24" s="254">
        <f>'20'!$G$120</f>
        <v>401.03999999999996</v>
      </c>
      <c r="AJ24" s="254">
        <f>'20'!$G$121</f>
        <v>837.5</v>
      </c>
      <c r="AK24" s="254">
        <f>'20'!$G$122</f>
        <v>242.30999999999995</v>
      </c>
      <c r="AL24" s="254">
        <f>'20'!$G$123</f>
        <v>257.17000000001281</v>
      </c>
      <c r="AM24" s="254">
        <f>'20'!$G$133</f>
        <v>973.17999999999302</v>
      </c>
      <c r="AN24" s="254" t="e">
        <f>'20'!$G$15</f>
        <v>#VALUE!</v>
      </c>
      <c r="AO24" s="256">
        <f>'20'!$G$74</f>
        <v>333.11999999999534</v>
      </c>
      <c r="AP24" s="256">
        <f>'20'!$G$75</f>
        <v>0</v>
      </c>
      <c r="AQ24" s="256">
        <f>'20'!$G$76</f>
        <v>125.57999999998719</v>
      </c>
      <c r="AR24" s="256">
        <f>'20'!$G$77</f>
        <v>50.5</v>
      </c>
      <c r="AS24" s="256">
        <f>'20'!$G$78</f>
        <v>0</v>
      </c>
      <c r="AT24" s="256" t="e">
        <f t="shared" si="0"/>
        <v>#VALUE!</v>
      </c>
      <c r="AU24" s="254">
        <f>SUM('20'!G91:G92)</f>
        <v>12.079999999999927</v>
      </c>
      <c r="AV24" s="254">
        <f>'20'!$G$88</f>
        <v>0</v>
      </c>
      <c r="AW24" s="254">
        <f>'20'!$G$89</f>
        <v>9.1899999999986903</v>
      </c>
      <c r="AX24" s="254">
        <f>'20'!$G$90</f>
        <v>11.490000000005239</v>
      </c>
      <c r="AY24" s="252">
        <f t="shared" si="1"/>
        <v>20.680000000003929</v>
      </c>
      <c r="AZ24" s="311">
        <f t="shared" si="6"/>
        <v>27.576158940397132</v>
      </c>
      <c r="BA24" s="311" t="e">
        <f t="shared" si="3"/>
        <v>#VALUE!</v>
      </c>
      <c r="BB24" s="351">
        <f t="shared" si="4"/>
        <v>5072.5799999999581</v>
      </c>
      <c r="BC24" s="351">
        <f t="shared" si="5"/>
        <v>18.787333333333176</v>
      </c>
    </row>
    <row r="25" spans="1:55">
      <c r="A25" s="359">
        <v>21</v>
      </c>
      <c r="B25" s="512">
        <f>'21'!G7</f>
        <v>27000</v>
      </c>
      <c r="C25" s="512">
        <f>'21'!G8</f>
        <v>26500</v>
      </c>
      <c r="D25" s="512" t="e">
        <f>'21'!G15</f>
        <v>#VALUE!</v>
      </c>
      <c r="E25" s="512">
        <f>'21'!G20</f>
        <v>277</v>
      </c>
      <c r="F25" s="512">
        <f>SUM('21'!G35,'21'!G49)</f>
        <v>4041.6199999999953</v>
      </c>
      <c r="G25" s="512">
        <f>SUM('21'!G37,'21'!G51)</f>
        <v>1751.9499999999825</v>
      </c>
      <c r="H25" s="512">
        <f>SUM('21'!G38,'21'!G52)</f>
        <v>2476.7799999999988</v>
      </c>
      <c r="I25" s="512">
        <f>SUM('21'!G39,'21'!G53)</f>
        <v>3181.3800000000047</v>
      </c>
      <c r="J25" s="512">
        <f>SUM('21'!G41,'21'!G42,'21'!G55,'21'!G56)</f>
        <v>7678.4199999999837</v>
      </c>
      <c r="K25" s="512">
        <f>SUM('21'!G43,'21'!G57)</f>
        <v>3448.6199999999953</v>
      </c>
      <c r="L25" s="254">
        <f>'21'!G50</f>
        <v>1720.7299999999814</v>
      </c>
      <c r="M25" s="254">
        <f>'21'!G36</f>
        <v>1318.2200000000012</v>
      </c>
      <c r="N25" s="254">
        <f>'21'!G138</f>
        <v>139</v>
      </c>
      <c r="O25" s="254">
        <f>'21'!$G$139</f>
        <v>191</v>
      </c>
      <c r="P25" s="254">
        <f>'21'!$G$140</f>
        <v>3.8999999999941792</v>
      </c>
      <c r="Q25" s="254">
        <f>'21'!$G$141</f>
        <v>202.19000000000233</v>
      </c>
      <c r="R25" s="254">
        <f>'21'!$G$142</f>
        <v>57.380000000001019</v>
      </c>
      <c r="S25" s="254">
        <f>'21'!$G$145</f>
        <v>2.8000000000001819</v>
      </c>
      <c r="T25" s="251">
        <f>'21'!$G$146</f>
        <v>426</v>
      </c>
      <c r="U25" s="251">
        <f>'21'!$G$144</f>
        <v>232</v>
      </c>
      <c r="V25" s="251">
        <f>'21'!$G$147</f>
        <v>465.67999999993481</v>
      </c>
      <c r="W25" s="251">
        <f>'21'!$G$148</f>
        <v>430.95999999996275</v>
      </c>
      <c r="X25" s="251">
        <f>'21'!$G$143</f>
        <v>33.010000000000218</v>
      </c>
      <c r="Y25" s="251">
        <f>'21'!$G$58</f>
        <v>238.88000000000102</v>
      </c>
      <c r="Z25" s="251">
        <f>'21'!$G$151</f>
        <v>299</v>
      </c>
      <c r="AA25" s="251">
        <f>'21'!G161</f>
        <v>23.159999999974389</v>
      </c>
      <c r="AB25" s="251">
        <f>'21'!G162</f>
        <v>41.5</v>
      </c>
      <c r="AC25" s="251">
        <f>'21'!G88</f>
        <v>-0.31000000000130967</v>
      </c>
      <c r="AD25" s="251">
        <f>'21'!G163+'21'!G164</f>
        <v>172.69999999999163</v>
      </c>
      <c r="AE25" s="254">
        <f>'21'!$G$116</f>
        <v>361.59999999999854</v>
      </c>
      <c r="AF25" s="254">
        <f>'21'!$G$117</f>
        <v>200.35000000000218</v>
      </c>
      <c r="AG25" s="254">
        <f>'21'!$G$118</f>
        <v>542.90000000000009</v>
      </c>
      <c r="AH25" s="254">
        <f>'21'!$G$119</f>
        <v>447.01</v>
      </c>
      <c r="AI25" s="254">
        <f>'21'!$G$120</f>
        <v>396.61999999999989</v>
      </c>
      <c r="AJ25" s="254">
        <f>'21'!$G$121</f>
        <v>749.89000000000033</v>
      </c>
      <c r="AK25" s="254">
        <f>'21'!$G$122</f>
        <v>187.71000000000004</v>
      </c>
      <c r="AL25" s="254">
        <f>'21'!$G$123</f>
        <v>247.13999999998487</v>
      </c>
      <c r="AM25" s="254">
        <f>'21'!$G$133</f>
        <v>956.41000000000349</v>
      </c>
      <c r="AN25" s="254" t="e">
        <f>'21'!$G$15</f>
        <v>#VALUE!</v>
      </c>
      <c r="AO25" s="256">
        <f>'21'!$G$74</f>
        <v>311.35999999998603</v>
      </c>
      <c r="AP25" s="256">
        <f>'21'!$G$75</f>
        <v>0</v>
      </c>
      <c r="AQ25" s="256">
        <f>'21'!$G$76</f>
        <v>124.24000000001979</v>
      </c>
      <c r="AR25" s="256">
        <f>'21'!$G$77</f>
        <v>42.400000000001455</v>
      </c>
      <c r="AS25" s="256">
        <f>'21'!$G$78</f>
        <v>0</v>
      </c>
      <c r="AT25" s="256" t="e">
        <f t="shared" si="0"/>
        <v>#VALUE!</v>
      </c>
      <c r="AU25" s="254">
        <f>SUM('21'!G91:G92)</f>
        <v>11.429999999999836</v>
      </c>
      <c r="AV25" s="254">
        <f>'21'!$G$88</f>
        <v>-0.31000000000130967</v>
      </c>
      <c r="AW25" s="254">
        <f>'21'!$G$89</f>
        <v>9.930000000000291</v>
      </c>
      <c r="AX25" s="254">
        <f>'21'!$G$90</f>
        <v>12.519999999989523</v>
      </c>
      <c r="AY25" s="252">
        <f t="shared" si="1"/>
        <v>22.139999999988504</v>
      </c>
      <c r="AZ25" s="311">
        <f t="shared" si="6"/>
        <v>27.240594925633463</v>
      </c>
      <c r="BA25" s="311" t="e">
        <f t="shared" si="3"/>
        <v>#VALUE!</v>
      </c>
      <c r="BB25" s="351">
        <f t="shared" si="4"/>
        <v>3682.3500000000386</v>
      </c>
      <c r="BC25" s="351">
        <f t="shared" si="5"/>
        <v>13.638333333333476</v>
      </c>
    </row>
    <row r="26" spans="1:55">
      <c r="A26" s="359">
        <v>22</v>
      </c>
      <c r="B26" s="512">
        <f>'22'!G7</f>
        <v>27000</v>
      </c>
      <c r="C26" s="512">
        <f>'22'!G8</f>
        <v>26500</v>
      </c>
      <c r="D26" s="512" t="e">
        <f>'22'!G15</f>
        <v>#VALUE!</v>
      </c>
      <c r="E26" s="512">
        <f>'22'!G20</f>
        <v>296</v>
      </c>
      <c r="F26" s="512">
        <f>SUM('22'!G35,'22'!G49)</f>
        <v>3924.460000000021</v>
      </c>
      <c r="G26" s="512">
        <f>SUM('22'!G37,'22'!G51)</f>
        <v>1773.3300000000163</v>
      </c>
      <c r="H26" s="512">
        <f>SUM('22'!G38,'22'!G52)</f>
        <v>2323.6000000000058</v>
      </c>
      <c r="I26" s="512">
        <f>SUM('22'!G39,'22'!G53)</f>
        <v>3155.179999999993</v>
      </c>
      <c r="J26" s="512">
        <f>SUM('22'!G41,'22'!G42,'22'!G55,'22'!G56)</f>
        <v>8506.1299999999756</v>
      </c>
      <c r="K26" s="512">
        <f>SUM('22'!G43,'22'!G57)</f>
        <v>3471.6199999999953</v>
      </c>
      <c r="L26" s="254">
        <f>'22'!G50</f>
        <v>1197.1199999999953</v>
      </c>
      <c r="M26" s="254">
        <f>'22'!G36</f>
        <v>1008.9499999999971</v>
      </c>
      <c r="N26" s="254">
        <f>'22'!G138</f>
        <v>137</v>
      </c>
      <c r="O26" s="254">
        <f>'22'!$G$139</f>
        <v>166</v>
      </c>
      <c r="P26" s="254">
        <f>'22'!$G$140</f>
        <v>1.5</v>
      </c>
      <c r="Q26" s="254">
        <f>'22'!$G$141</f>
        <v>203.27999999999884</v>
      </c>
      <c r="R26" s="254">
        <f>'22'!$G$142</f>
        <v>62.109999999996944</v>
      </c>
      <c r="S26" s="254">
        <f>'22'!$G$145</f>
        <v>2.4399999999995998</v>
      </c>
      <c r="T26" s="251">
        <f>'22'!$G$146</f>
        <v>483</v>
      </c>
      <c r="U26" s="251">
        <f>'22'!$G$144</f>
        <v>230</v>
      </c>
      <c r="V26" s="251">
        <f>'22'!$G$147</f>
        <v>423.20000000006985</v>
      </c>
      <c r="W26" s="251">
        <f>'22'!$G$148</f>
        <v>329.04000000003725</v>
      </c>
      <c r="X26" s="251">
        <f>'22'!$G$143</f>
        <v>27.869999999999891</v>
      </c>
      <c r="Y26" s="251">
        <f>'22'!$G$58</f>
        <v>217.97999999999956</v>
      </c>
      <c r="Z26" s="251">
        <f>'22'!$G$151</f>
        <v>262</v>
      </c>
      <c r="AA26" s="251">
        <f>'22'!G161</f>
        <v>23.840000000025611</v>
      </c>
      <c r="AB26" s="251">
        <f>'22'!G162</f>
        <v>36.30000000000291</v>
      </c>
      <c r="AC26" s="251">
        <f>'22'!G88</f>
        <v>0</v>
      </c>
      <c r="AD26" s="251">
        <f>'22'!G163+'22'!G164</f>
        <v>186.19999999999982</v>
      </c>
      <c r="AE26" s="254">
        <f>'22'!$G$116</f>
        <v>281.47999999999956</v>
      </c>
      <c r="AF26" s="254">
        <f>'22'!$G$117</f>
        <v>133.87999999999738</v>
      </c>
      <c r="AG26" s="254">
        <f>'22'!$G$118</f>
        <v>553.6899999999996</v>
      </c>
      <c r="AH26" s="254">
        <f>'22'!$G$119</f>
        <v>462.67999999999984</v>
      </c>
      <c r="AI26" s="254">
        <f>'22'!$G$120</f>
        <v>409.77</v>
      </c>
      <c r="AJ26" s="254">
        <f>'22'!$G$121</f>
        <v>798.35999999999967</v>
      </c>
      <c r="AK26" s="254">
        <f>'22'!$G$122</f>
        <v>203.30999999999995</v>
      </c>
      <c r="AL26" s="254">
        <f>'22'!$G$123</f>
        <v>244.22000000000116</v>
      </c>
      <c r="AM26" s="254">
        <f>'22'!$G$133</f>
        <v>905.19000000000233</v>
      </c>
      <c r="AN26" s="254" t="e">
        <f>'22'!$G$15</f>
        <v>#VALUE!</v>
      </c>
      <c r="AO26" s="256">
        <f>'22'!$G$74</f>
        <v>321.5</v>
      </c>
      <c r="AP26" s="256">
        <f>'22'!$G$75</f>
        <v>0</v>
      </c>
      <c r="AQ26" s="256">
        <f>'22'!$G$76</f>
        <v>114.86999999999534</v>
      </c>
      <c r="AR26" s="256">
        <f>'22'!$G$77</f>
        <v>54.400000000001455</v>
      </c>
      <c r="AS26" s="256">
        <f>'22'!$G$78</f>
        <v>0</v>
      </c>
      <c r="AT26" s="256" t="e">
        <f t="shared" si="0"/>
        <v>#VALUE!</v>
      </c>
      <c r="AU26" s="254">
        <f>SUM('22'!G91:G92)</f>
        <v>11.890000000000327</v>
      </c>
      <c r="AV26" s="254">
        <f>'22'!$G$88</f>
        <v>0</v>
      </c>
      <c r="AW26" s="254">
        <f>'22'!$G$89</f>
        <v>9.1000000000021828</v>
      </c>
      <c r="AX26" s="254">
        <f>'22'!$G$90</f>
        <v>10.75</v>
      </c>
      <c r="AY26" s="252">
        <f t="shared" si="1"/>
        <v>19.850000000002183</v>
      </c>
      <c r="AZ26" s="311">
        <f t="shared" si="6"/>
        <v>27.03952901597907</v>
      </c>
      <c r="BA26" s="311" t="e">
        <f t="shared" si="3"/>
        <v>#VALUE!</v>
      </c>
      <c r="BB26" s="351">
        <f t="shared" si="4"/>
        <v>3127.6999999999935</v>
      </c>
      <c r="BC26" s="351">
        <f t="shared" si="5"/>
        <v>11.584074074074049</v>
      </c>
    </row>
    <row r="27" spans="1:55">
      <c r="A27" s="359">
        <v>23</v>
      </c>
      <c r="B27" s="512">
        <f>'23'!G7</f>
        <v>27000</v>
      </c>
      <c r="C27" s="512">
        <f>'23'!G8</f>
        <v>26500</v>
      </c>
      <c r="D27" s="512" t="e">
        <f>'23'!G15</f>
        <v>#VALUE!</v>
      </c>
      <c r="E27" s="512">
        <f>'23'!G20</f>
        <v>291</v>
      </c>
      <c r="F27" s="512">
        <f>SUM('23'!G35,'23'!G49)</f>
        <v>3923.4200000000128</v>
      </c>
      <c r="G27" s="512">
        <f>SUM('23'!G37,'23'!G51)</f>
        <v>1861.7399999999907</v>
      </c>
      <c r="H27" s="512">
        <f>SUM('23'!G38,'23'!G52)</f>
        <v>2416.6600000000035</v>
      </c>
      <c r="I27" s="512">
        <f>SUM('23'!G39,'23'!G53)</f>
        <v>3156.7999999999884</v>
      </c>
      <c r="J27" s="512">
        <f>SUM('23'!G41,'23'!G42,'23'!G55,'23'!G56)</f>
        <v>9799.2200000000503</v>
      </c>
      <c r="K27" s="512">
        <f>SUM('23'!G43,'23'!G57)</f>
        <v>3760.5599999999977</v>
      </c>
      <c r="L27" s="254">
        <f>'23'!G50</f>
        <v>1403.3300000000163</v>
      </c>
      <c r="M27" s="254">
        <f>'23'!G36</f>
        <v>1296.0200000000041</v>
      </c>
      <c r="N27" s="254">
        <f>'23'!G138</f>
        <v>181</v>
      </c>
      <c r="O27" s="254">
        <f>'23'!G139</f>
        <v>145</v>
      </c>
      <c r="P27" s="254">
        <f>'23'!$G$140</f>
        <v>1.6000000000058208</v>
      </c>
      <c r="Q27" s="254">
        <f>'23'!$G$141</f>
        <v>207.75</v>
      </c>
      <c r="R27" s="254">
        <f>'23'!$G$142</f>
        <v>63.070000000003347</v>
      </c>
      <c r="S27" s="254">
        <f>'23'!$G$145</f>
        <v>2.3400000000001455</v>
      </c>
      <c r="T27" s="251">
        <f>'23'!$G$146</f>
        <v>501</v>
      </c>
      <c r="U27" s="251">
        <f>'23'!$G$144</f>
        <v>206</v>
      </c>
      <c r="V27" s="251">
        <f>'23'!$G$147</f>
        <v>488.8399999999674</v>
      </c>
      <c r="W27" s="251">
        <f>'23'!$G$148</f>
        <v>443.04000000003725</v>
      </c>
      <c r="X27" s="251">
        <f>'23'!$G$143</f>
        <v>31.210000000000036</v>
      </c>
      <c r="Y27" s="251">
        <f>'23'!$G$58</f>
        <v>232.84000000000015</v>
      </c>
      <c r="Z27" s="251">
        <f>'23'!$G$151</f>
        <v>296</v>
      </c>
      <c r="AA27" s="251">
        <f>'23'!$G$161</f>
        <v>23.479999999981374</v>
      </c>
      <c r="AB27" s="251">
        <f>'23'!G162</f>
        <v>18.100000000005821</v>
      </c>
      <c r="AC27" s="251">
        <f>'23'!G88</f>
        <v>7.6300000000010186</v>
      </c>
      <c r="AD27" s="251">
        <f>'23'!G163+'23'!G164</f>
        <v>159.50000000000546</v>
      </c>
      <c r="AE27" s="254">
        <f>'23'!$G$116</f>
        <v>400.2400000000016</v>
      </c>
      <c r="AF27" s="254">
        <f>'23'!$G$117</f>
        <v>89.880000000001019</v>
      </c>
      <c r="AG27" s="254">
        <f>'23'!$G$118</f>
        <v>524.18000000000029</v>
      </c>
      <c r="AH27" s="254">
        <f>'23'!$G$119</f>
        <v>454.90000000000009</v>
      </c>
      <c r="AI27" s="254">
        <f>'23'!$G$120</f>
        <v>417.91000000000031</v>
      </c>
      <c r="AJ27" s="254">
        <f>'23'!$G$121</f>
        <v>813.14999999999964</v>
      </c>
      <c r="AK27" s="254">
        <f>'23'!$G$122</f>
        <v>241.22000000000025</v>
      </c>
      <c r="AL27" s="254">
        <f>'23'!$G$123</f>
        <v>284</v>
      </c>
      <c r="AM27" s="254">
        <f>'23'!$G$133</f>
        <v>987.52999999999884</v>
      </c>
      <c r="AN27" s="254" t="e">
        <f>'23'!$G$15</f>
        <v>#VALUE!</v>
      </c>
      <c r="AO27" s="256">
        <f>'23'!$G$74</f>
        <v>318.35999999998603</v>
      </c>
      <c r="AP27" s="256">
        <f>'23'!$G$75</f>
        <v>0</v>
      </c>
      <c r="AQ27" s="256">
        <f>'23'!$G$76</f>
        <v>121.41000000000349</v>
      </c>
      <c r="AR27" s="256">
        <f>'23'!$G$77</f>
        <v>57.69999999999709</v>
      </c>
      <c r="AS27" s="256">
        <f>'23'!$G$78</f>
        <v>0</v>
      </c>
      <c r="AT27" s="256" t="e">
        <f t="shared" si="0"/>
        <v>#VALUE!</v>
      </c>
      <c r="AU27" s="254">
        <f>SUM('23'!G91:G92)</f>
        <v>11.7199999999998</v>
      </c>
      <c r="AV27" s="254">
        <f>'23'!$G$88</f>
        <v>7.6300000000010186</v>
      </c>
      <c r="AW27" s="254">
        <f>'23'!$G$89</f>
        <v>3.4799999999995634</v>
      </c>
      <c r="AX27" s="254">
        <f>'23'!$G$90</f>
        <v>11.180000000007567</v>
      </c>
      <c r="AY27" s="252">
        <f t="shared" si="1"/>
        <v>22.290000000008149</v>
      </c>
      <c r="AZ27" s="311">
        <f t="shared" si="6"/>
        <v>27.16382252559654</v>
      </c>
      <c r="BA27" s="311" t="e">
        <f t="shared" si="3"/>
        <v>#VALUE!</v>
      </c>
      <c r="BB27" s="351">
        <f t="shared" si="4"/>
        <v>1348.7599999999547</v>
      </c>
      <c r="BC27" s="351">
        <f t="shared" si="5"/>
        <v>4.9954074074072397</v>
      </c>
    </row>
    <row r="28" spans="1:55" s="315" customFormat="1">
      <c r="A28" s="359">
        <v>24</v>
      </c>
      <c r="B28" s="512">
        <f>'24'!G7</f>
        <v>27000</v>
      </c>
      <c r="C28" s="512">
        <f>'24'!G8</f>
        <v>26500</v>
      </c>
      <c r="D28" s="512" t="e">
        <f>'24'!G15</f>
        <v>#VALUE!</v>
      </c>
      <c r="E28" s="512">
        <f>'24'!G20</f>
        <v>307</v>
      </c>
      <c r="F28" s="512">
        <f>SUM('24'!G35,'24'!G49)</f>
        <v>3918.0599999999977</v>
      </c>
      <c r="G28" s="512">
        <f>SUM('24'!G37,'24'!G51)</f>
        <v>1735.3999999999942</v>
      </c>
      <c r="H28" s="512">
        <f>SUM('24'!G38,'24'!G52)</f>
        <v>2360.7799999999788</v>
      </c>
      <c r="I28" s="512">
        <f>SUM('24'!G39,'24'!G53)</f>
        <v>3178.3800000000047</v>
      </c>
      <c r="J28" s="512">
        <f>SUM('24'!G41,'24'!G42,'24'!G55,'24'!G56)</f>
        <v>10213.349999999973</v>
      </c>
      <c r="K28" s="512">
        <f>SUM('24'!G43,'24'!G57)</f>
        <v>3676.7799999999697</v>
      </c>
      <c r="L28" s="254">
        <f>'24'!G50</f>
        <v>1356.2699999999895</v>
      </c>
      <c r="M28" s="251">
        <f>'24'!G36</f>
        <v>1272.2700000000041</v>
      </c>
      <c r="N28" s="251">
        <f>'24'!G138</f>
        <v>177</v>
      </c>
      <c r="O28" s="251">
        <f>'24'!G139</f>
        <v>143</v>
      </c>
      <c r="P28" s="251">
        <f>'24'!$G$140</f>
        <v>0</v>
      </c>
      <c r="Q28" s="251">
        <f>'24'!$G$141</f>
        <v>222.22999999999593</v>
      </c>
      <c r="R28" s="251">
        <f>'24'!$G$142</f>
        <v>56.819999999999709</v>
      </c>
      <c r="S28" s="251">
        <f>'24'!$G$145</f>
        <v>3.4899999999997817</v>
      </c>
      <c r="T28" s="251">
        <f>'24'!$G$146</f>
        <v>383</v>
      </c>
      <c r="U28" s="251">
        <f>'24'!$G$144</f>
        <v>215</v>
      </c>
      <c r="V28" s="251">
        <f>'24'!$G$147</f>
        <v>468.52000000001863</v>
      </c>
      <c r="W28" s="251">
        <f>'24'!$G$148</f>
        <v>478.31999999994878</v>
      </c>
      <c r="X28" s="251">
        <f>'24'!$G$143</f>
        <v>29.829999999999927</v>
      </c>
      <c r="Y28" s="251">
        <f>'24'!$G$58</f>
        <v>240.5</v>
      </c>
      <c r="Z28" s="251">
        <f>'24'!$G$151</f>
        <v>292</v>
      </c>
      <c r="AA28" s="251">
        <f>'24'!G161</f>
        <v>24.320000000006985</v>
      </c>
      <c r="AB28" s="251">
        <f>'24'!G162</f>
        <v>11.30000000000291</v>
      </c>
      <c r="AC28" s="251">
        <f>'24'!G88</f>
        <v>4.6899999999986903</v>
      </c>
      <c r="AD28" s="251">
        <f>'24'!G163+'24'!G164</f>
        <v>164.89999999999145</v>
      </c>
      <c r="AE28" s="251">
        <f>'24'!$G$116</f>
        <v>423.40999999999985</v>
      </c>
      <c r="AF28" s="251">
        <f>'24'!$G$117</f>
        <v>130.66999999999825</v>
      </c>
      <c r="AG28" s="251">
        <f>'24'!$G$118</f>
        <v>529.70100000000002</v>
      </c>
      <c r="AH28" s="251">
        <f>'24'!$G$119</f>
        <v>448.2199999999998</v>
      </c>
      <c r="AI28" s="251">
        <f>'24'!$G$120</f>
        <v>423.94999999999982</v>
      </c>
      <c r="AJ28" s="251">
        <f>'24'!$G$121</f>
        <v>780.67000000000007</v>
      </c>
      <c r="AK28" s="251">
        <f>'24'!$G$122</f>
        <v>200.15999999999985</v>
      </c>
      <c r="AL28" s="251">
        <f>'24'!$G$123</f>
        <v>5.8100000000000023</v>
      </c>
      <c r="AM28" s="251">
        <f>'24'!$G$133</f>
        <v>952.64999999999418</v>
      </c>
      <c r="AN28" s="251" t="e">
        <f>'24'!$G$15</f>
        <v>#VALUE!</v>
      </c>
      <c r="AO28" s="256">
        <f>'24'!$G$74</f>
        <v>292.45000000006985</v>
      </c>
      <c r="AP28" s="256">
        <f>'24'!$G$75</f>
        <v>0</v>
      </c>
      <c r="AQ28" s="256">
        <f>'24'!$G$76</f>
        <v>143.79999999998836</v>
      </c>
      <c r="AR28" s="256">
        <f>'24'!$G$77</f>
        <v>50.19999999999709</v>
      </c>
      <c r="AS28" s="256">
        <f>'24'!$G$78</f>
        <v>-0.6000000000003638</v>
      </c>
      <c r="AT28" s="256" t="e">
        <f>AN28-SUM(AO28:AS28)</f>
        <v>#VALUE!</v>
      </c>
      <c r="AU28" s="251">
        <f>SUM('24'!G91:G92)</f>
        <v>10.7800000000002</v>
      </c>
      <c r="AV28" s="251">
        <f>'24'!$G$88</f>
        <v>4.6899999999986903</v>
      </c>
      <c r="AW28" s="251">
        <f>'24'!$G$89</f>
        <v>7.3099999999976717</v>
      </c>
      <c r="AX28" s="251">
        <f>'24'!$G$90</f>
        <v>5.8499999999912689</v>
      </c>
      <c r="AY28" s="255">
        <f t="shared" si="1"/>
        <v>17.849999999987631</v>
      </c>
      <c r="AZ28" s="311">
        <f t="shared" si="6"/>
        <v>27.128942486091319</v>
      </c>
      <c r="BA28" s="311" t="e">
        <f t="shared" si="3"/>
        <v>#VALUE!</v>
      </c>
      <c r="BB28" s="351">
        <f t="shared" si="4"/>
        <v>1176.75000000008</v>
      </c>
      <c r="BC28" s="351">
        <f t="shared" si="5"/>
        <v>4.35833333333363</v>
      </c>
    </row>
    <row r="29" spans="1:55">
      <c r="A29" s="359">
        <v>25</v>
      </c>
      <c r="B29" s="512">
        <f>'25'!G7</f>
        <v>27000</v>
      </c>
      <c r="C29" s="512">
        <f>'25'!G8</f>
        <v>26500</v>
      </c>
      <c r="D29" s="512" t="e">
        <f>'25'!G15</f>
        <v>#VALUE!</v>
      </c>
      <c r="E29" s="512">
        <f>'25'!G20</f>
        <v>381</v>
      </c>
      <c r="F29" s="512">
        <f>SUM('25'!G35,'25'!G49)</f>
        <v>3975.4799999999814</v>
      </c>
      <c r="G29" s="512">
        <f>SUM('25'!G37,'25'!G51)</f>
        <v>1762.0599999999977</v>
      </c>
      <c r="H29" s="512">
        <f>SUM('25'!G38,'25'!G52)</f>
        <v>2402.460000000021</v>
      </c>
      <c r="I29" s="512">
        <f>SUM('25'!G39,'25'!G53)</f>
        <v>3106.2800000000279</v>
      </c>
      <c r="J29" s="512">
        <f>SUM('25'!G41,'25'!G42,'25'!G55,'25'!G56)</f>
        <v>8766.0600000000341</v>
      </c>
      <c r="K29" s="512">
        <f>SUM('25'!G43,'25'!G57)</f>
        <v>3475.4000000000233</v>
      </c>
      <c r="L29" s="254">
        <f>'25'!G50</f>
        <v>1088.4800000000105</v>
      </c>
      <c r="M29" s="254">
        <f>'25'!G36</f>
        <v>935.1299999999901</v>
      </c>
      <c r="N29" s="254">
        <f>'25'!G138</f>
        <v>155</v>
      </c>
      <c r="O29" s="254">
        <f>'25'!$G$139</f>
        <v>147</v>
      </c>
      <c r="P29" s="254">
        <f>'25'!$G$140</f>
        <v>0</v>
      </c>
      <c r="Q29" s="254">
        <f>'25'!$G$141</f>
        <v>197.55999999999767</v>
      </c>
      <c r="R29" s="254">
        <f>'25'!$G$142</f>
        <v>69.590000000000146</v>
      </c>
      <c r="S29" s="254">
        <f>'25'!$G$145</f>
        <v>3.4800000000004729</v>
      </c>
      <c r="T29" s="251">
        <f>'25'!$G$146</f>
        <v>320</v>
      </c>
      <c r="U29" s="251">
        <f>'25'!$G$144</f>
        <v>214</v>
      </c>
      <c r="V29" s="251">
        <f>'25'!$G$147</f>
        <v>399.04000000003725</v>
      </c>
      <c r="W29" s="251">
        <f>'25'!$G$148</f>
        <v>266</v>
      </c>
      <c r="X29" s="251">
        <f>'25'!$G$143</f>
        <v>26.850000000000364</v>
      </c>
      <c r="Y29" s="251">
        <f>'25'!$G$58</f>
        <v>237.86000000000058</v>
      </c>
      <c r="Z29" s="251">
        <f>'25'!$G$151</f>
        <v>280</v>
      </c>
      <c r="AA29" s="251">
        <f>'25'!G161</f>
        <v>20.35999999998603</v>
      </c>
      <c r="AB29" s="251">
        <f>'25'!G162</f>
        <v>41.799999999988358</v>
      </c>
      <c r="AC29" s="251">
        <f>'25'!G88</f>
        <v>0</v>
      </c>
      <c r="AD29" s="251">
        <f>'25'!G163+'25'!G164</f>
        <v>156.10000000000582</v>
      </c>
      <c r="AE29" s="254">
        <f>'25'!$G$116</f>
        <v>348.97000000000116</v>
      </c>
      <c r="AF29" s="254">
        <f>'25'!$G$117</f>
        <v>242.33000000000175</v>
      </c>
      <c r="AG29" s="254">
        <f>'25'!$G$118</f>
        <v>520.62899999999991</v>
      </c>
      <c r="AH29" s="254">
        <f>'25'!$G$119</f>
        <v>467.26000000000022</v>
      </c>
      <c r="AI29" s="254">
        <f>'25'!$G$120</f>
        <v>435.51000000000022</v>
      </c>
      <c r="AJ29" s="254">
        <f>'25'!$G$121</f>
        <v>680.70000000000073</v>
      </c>
      <c r="AK29" s="254">
        <f>'25'!$G$122</f>
        <v>217.23999999999978</v>
      </c>
      <c r="AL29" s="254">
        <f>'25'!$G$123</f>
        <v>8</v>
      </c>
      <c r="AM29" s="254">
        <f>'25'!$G$133</f>
        <v>920.63000000000466</v>
      </c>
      <c r="AN29" s="254" t="e">
        <f>'25'!$G$15</f>
        <v>#VALUE!</v>
      </c>
      <c r="AO29" s="256">
        <f>'25'!$G$74</f>
        <v>328.10999999998603</v>
      </c>
      <c r="AP29" s="256">
        <f>'25'!$G$75</f>
        <v>0</v>
      </c>
      <c r="AQ29" s="256">
        <f>'25'!$G$76</f>
        <v>108.10000000000582</v>
      </c>
      <c r="AR29" s="256">
        <f>'25'!$G$77</f>
        <v>43.80000000000291</v>
      </c>
      <c r="AS29" s="256">
        <f>'25'!$G$78</f>
        <v>-0.3999999999996362</v>
      </c>
      <c r="AT29" s="256" t="e">
        <f t="shared" si="0"/>
        <v>#VALUE!</v>
      </c>
      <c r="AU29" s="254">
        <f>SUM('25'!G91:G92)</f>
        <v>12.049999999999727</v>
      </c>
      <c r="AV29" s="254">
        <f>'25'!$G$88</f>
        <v>0</v>
      </c>
      <c r="AW29" s="254">
        <f>'25'!$G$89</f>
        <v>10.340000000000146</v>
      </c>
      <c r="AX29" s="254">
        <f>'25'!$G$90</f>
        <v>10.610000000000582</v>
      </c>
      <c r="AY29" s="252">
        <f t="shared" si="1"/>
        <v>20.950000000000728</v>
      </c>
      <c r="BA29" s="311" t="e">
        <f t="shared" si="3"/>
        <v>#VALUE!</v>
      </c>
      <c r="BB29" s="351">
        <f t="shared" si="4"/>
        <v>2774.3999999999141</v>
      </c>
      <c r="BC29" s="351">
        <f t="shared" si="5"/>
        <v>10.275555555555238</v>
      </c>
    </row>
    <row r="30" spans="1:55">
      <c r="A30" s="359">
        <v>26</v>
      </c>
      <c r="B30" s="512">
        <f>'26'!G7</f>
        <v>27000</v>
      </c>
      <c r="C30" s="512">
        <f>'26'!G8</f>
        <v>26500</v>
      </c>
      <c r="D30" s="512" t="e">
        <f>'26'!G15</f>
        <v>#VALUE!</v>
      </c>
      <c r="E30" s="512">
        <f>'26'!G20</f>
        <v>328</v>
      </c>
      <c r="F30" s="512">
        <f>SUM('26'!G35,'26'!G49)</f>
        <v>3821.2000000000116</v>
      </c>
      <c r="G30" s="512">
        <f>SUM('26'!G37,'26'!G51)</f>
        <v>1702.9800000000105</v>
      </c>
      <c r="H30" s="512">
        <f>SUM('26'!G38,'26'!G52)</f>
        <v>2440.0999999999767</v>
      </c>
      <c r="I30" s="512">
        <f>SUM('26'!G39,'26'!G53)</f>
        <v>2871.9400000000023</v>
      </c>
      <c r="J30" s="512">
        <f>SUM('26'!G41,'26'!G42,'26'!G55,'26'!G56)</f>
        <v>9058.4999999999527</v>
      </c>
      <c r="K30" s="512">
        <f>SUM('26'!G43,'26'!G57)</f>
        <v>3310.7999999999884</v>
      </c>
      <c r="L30" s="254">
        <f>'26'!G50</f>
        <v>1098.8500000000058</v>
      </c>
      <c r="M30" s="254">
        <f>'26'!G36</f>
        <v>1097.4500000000116</v>
      </c>
      <c r="N30" s="254">
        <f>'26'!G138</f>
        <v>144</v>
      </c>
      <c r="O30" s="254">
        <f>'26'!$G$139</f>
        <v>144</v>
      </c>
      <c r="P30" s="254">
        <f>'26'!$G$140</f>
        <v>0</v>
      </c>
      <c r="Q30" s="254">
        <f>'26'!$G$141</f>
        <v>197</v>
      </c>
      <c r="R30" s="254">
        <f>'26'!$G$142</f>
        <v>68.899999999997817</v>
      </c>
      <c r="S30" s="254">
        <f>'26'!$G$145</f>
        <v>2.2399999999997817</v>
      </c>
      <c r="T30" s="251">
        <f>'26'!$G$146</f>
        <v>85</v>
      </c>
      <c r="U30" s="251">
        <f>'26'!$G$144</f>
        <v>265</v>
      </c>
      <c r="V30" s="251">
        <f>'26'!$G$147</f>
        <v>444.43999999994412</v>
      </c>
      <c r="W30" s="251">
        <f>'26'!$G$148</f>
        <v>330.1600000000326</v>
      </c>
      <c r="X30" s="251">
        <f>'26'!$G$143</f>
        <v>30.909999999999854</v>
      </c>
      <c r="Y30" s="251">
        <f>'26'!$G$58</f>
        <v>241.79999999999927</v>
      </c>
      <c r="Z30" s="251">
        <f>'26'!$G$151</f>
        <v>304</v>
      </c>
      <c r="AA30" s="251">
        <f>'26'!G161</f>
        <v>25</v>
      </c>
      <c r="AB30" s="251">
        <f>'26'!G162</f>
        <v>47.100000000005821</v>
      </c>
      <c r="AC30" s="251">
        <f>'26'!G88</f>
        <v>0</v>
      </c>
      <c r="AD30" s="251">
        <f>'26'!G163+'26'!G164</f>
        <v>150.50000000000273</v>
      </c>
      <c r="AE30" s="254">
        <f>'26'!$G$116</f>
        <v>332.87999999999738</v>
      </c>
      <c r="AF30" s="254">
        <f>'26'!$G$117</f>
        <v>76</v>
      </c>
      <c r="AG30" s="254">
        <f>'26'!$G$118</f>
        <v>507.78999999999996</v>
      </c>
      <c r="AH30" s="254">
        <f>'26'!$G$119</f>
        <v>455.76000000000022</v>
      </c>
      <c r="AI30" s="254">
        <f>'26'!$G$120</f>
        <v>425.19999999999982</v>
      </c>
      <c r="AJ30" s="254">
        <f>'26'!$G$121</f>
        <v>493.52999999999884</v>
      </c>
      <c r="AK30" s="254">
        <f>'26'!$G$122</f>
        <v>238.15000000000009</v>
      </c>
      <c r="AL30" s="254">
        <f>'26'!$G$123</f>
        <v>11.899999999999977</v>
      </c>
      <c r="AM30" s="254">
        <f>'26'!$G$133</f>
        <v>868.16000000000349</v>
      </c>
      <c r="AN30" s="254" t="e">
        <f>'26'!$G$15</f>
        <v>#VALUE!</v>
      </c>
      <c r="AO30" s="256">
        <f>'26'!$G$74</f>
        <v>306.09999999997672</v>
      </c>
      <c r="AP30" s="256">
        <f>'26'!$G$75</f>
        <v>0</v>
      </c>
      <c r="AQ30" s="256">
        <f>'26'!$G$76</f>
        <v>122</v>
      </c>
      <c r="AR30" s="256">
        <f>'26'!$G$77</f>
        <v>56</v>
      </c>
      <c r="AS30" s="256">
        <f>'26'!$G$78</f>
        <v>0.3999999999996362</v>
      </c>
      <c r="AT30" s="256" t="e">
        <f t="shared" si="0"/>
        <v>#VALUE!</v>
      </c>
      <c r="AU30" s="254">
        <f>SUM('26'!G91:G92)</f>
        <v>10.990000000000236</v>
      </c>
      <c r="AV30" s="254">
        <f>'26'!$G$88</f>
        <v>0</v>
      </c>
      <c r="AW30" s="254">
        <f>'26'!$G$89</f>
        <v>10.25</v>
      </c>
      <c r="AX30" s="254">
        <f>'26'!$G$90</f>
        <v>9.4600000000064028</v>
      </c>
      <c r="AY30" s="252">
        <f t="shared" si="1"/>
        <v>19.710000000006403</v>
      </c>
      <c r="BA30" s="311" t="e">
        <f t="shared" si="3"/>
        <v>#VALUE!</v>
      </c>
      <c r="BB30" s="351">
        <f t="shared" si="4"/>
        <v>3052.6800000000585</v>
      </c>
      <c r="BC30" s="351">
        <f t="shared" si="5"/>
        <v>11.30622222222244</v>
      </c>
    </row>
    <row r="31" spans="1:55">
      <c r="A31" s="359">
        <v>27</v>
      </c>
      <c r="B31" s="512">
        <f>'27'!G7</f>
        <v>27000</v>
      </c>
      <c r="C31" s="512">
        <f>'27'!G8</f>
        <v>26500</v>
      </c>
      <c r="D31" s="512" t="e">
        <f>'27'!G15</f>
        <v>#VALUE!</v>
      </c>
      <c r="E31" s="512">
        <f>'27'!G20</f>
        <v>280</v>
      </c>
      <c r="F31" s="512">
        <f>SUM('27'!G35,'27'!G49)</f>
        <v>3833.2999999999884</v>
      </c>
      <c r="G31" s="512">
        <f>SUM('27'!G37,'27'!G51)</f>
        <v>1751.3699999999953</v>
      </c>
      <c r="H31" s="512">
        <f>SUM('27'!G38,'27'!G52)</f>
        <v>2459.9500000000116</v>
      </c>
      <c r="I31" s="512">
        <f>SUM('27'!G39,'27'!G53)</f>
        <v>2859.6699999999837</v>
      </c>
      <c r="J31" s="512">
        <f>SUM('27'!G41,'27'!G42,'27'!G55,'27'!G56)</f>
        <v>9133.9600000000155</v>
      </c>
      <c r="K31" s="512">
        <f>SUM('27'!G43,'27'!G57)</f>
        <v>3295.570000000007</v>
      </c>
      <c r="L31" s="254">
        <f>'27'!G50</f>
        <v>1105.7999999999884</v>
      </c>
      <c r="M31" s="254">
        <f>'27'!G36</f>
        <v>1058.1499999999942</v>
      </c>
      <c r="N31" s="254">
        <f>'27'!G138</f>
        <v>169</v>
      </c>
      <c r="O31" s="254">
        <f>'27'!$G$139</f>
        <v>156</v>
      </c>
      <c r="P31" s="254">
        <f>'27'!$G$140</f>
        <v>0</v>
      </c>
      <c r="Q31" s="254">
        <f>'27'!$G$141</f>
        <v>189.80000000000291</v>
      </c>
      <c r="R31" s="254">
        <f>'27'!$G$142</f>
        <v>68.200000000000728</v>
      </c>
      <c r="S31" s="254">
        <f>'27'!$G$145</f>
        <v>0.40999999999985448</v>
      </c>
      <c r="T31" s="251">
        <f>'27'!$G$146</f>
        <v>8</v>
      </c>
      <c r="U31" s="251">
        <f>'27'!$G$144</f>
        <v>259</v>
      </c>
      <c r="V31" s="251">
        <f>'27'!$G$147</f>
        <v>412</v>
      </c>
      <c r="W31" s="251">
        <f>'27'!$G$148</f>
        <v>380</v>
      </c>
      <c r="X31" s="251">
        <f>'27'!$G$143</f>
        <v>27.039999999999964</v>
      </c>
      <c r="Y31" s="251">
        <f>'27'!$G$58</f>
        <v>215.63999999999942</v>
      </c>
      <c r="Z31" s="251">
        <f>'27'!$G$151</f>
        <v>301</v>
      </c>
      <c r="AA31" s="251">
        <f>'27'!G161</f>
        <v>24</v>
      </c>
      <c r="AB31" s="251">
        <f>'27'!G162</f>
        <v>44</v>
      </c>
      <c r="AC31" s="251">
        <f>'27'!G88</f>
        <v>-9.9999999983992893E-3</v>
      </c>
      <c r="AD31" s="251">
        <f>'27'!G163+'27'!G164</f>
        <v>175.49999999999727</v>
      </c>
      <c r="AE31" s="254">
        <f>'27'!$G$116</f>
        <v>328.15000000000146</v>
      </c>
      <c r="AF31" s="254">
        <f>'27'!$G$117</f>
        <v>165</v>
      </c>
      <c r="AG31" s="254">
        <f>'27'!$G$118</f>
        <v>527.88000000000011</v>
      </c>
      <c r="AH31" s="254">
        <f>'27'!$G$119</f>
        <v>443.73999999999978</v>
      </c>
      <c r="AI31" s="254">
        <f>'27'!$G$120</f>
        <v>427</v>
      </c>
      <c r="AJ31" s="254">
        <f>'27'!$G$121</f>
        <v>435.20000000000073</v>
      </c>
      <c r="AK31" s="254">
        <f>'27'!$G$122</f>
        <v>239.90000000000009</v>
      </c>
      <c r="AL31" s="254">
        <f>'27'!$G$123</f>
        <v>202.29000000000002</v>
      </c>
      <c r="AM31" s="254">
        <f>'27'!$G$133</f>
        <v>862.25</v>
      </c>
      <c r="AN31" s="254" t="e">
        <f>'27'!$G$15</f>
        <v>#VALUE!</v>
      </c>
      <c r="AO31" s="254">
        <f>'27'!$G$74</f>
        <v>317</v>
      </c>
      <c r="AP31" s="254">
        <f>'27'!$G$75</f>
        <v>0</v>
      </c>
      <c r="AQ31" s="254">
        <f>'27'!$G$76</f>
        <v>121</v>
      </c>
      <c r="AR31" s="254">
        <f>'27'!$G$77</f>
        <v>46</v>
      </c>
      <c r="AS31" s="254">
        <f>'27'!$G$78</f>
        <v>-0.3999999999996362</v>
      </c>
      <c r="AT31" s="254" t="e">
        <f t="shared" si="0"/>
        <v>#VALUE!</v>
      </c>
      <c r="AU31" s="254">
        <f>SUM('27'!G91:G92)</f>
        <v>11.949999999999818</v>
      </c>
      <c r="AV31" s="254">
        <f>'27'!$G$88</f>
        <v>-9.9999999983992893E-3</v>
      </c>
      <c r="AW31" s="254">
        <f>'27'!$G$89</f>
        <v>8.9900000000016007</v>
      </c>
      <c r="AX31" s="254">
        <f>'27'!$G$90</f>
        <v>9.5299999999988358</v>
      </c>
      <c r="AY31" s="252">
        <f t="shared" si="1"/>
        <v>18.510000000002037</v>
      </c>
      <c r="BA31" s="311" t="e">
        <f t="shared" si="3"/>
        <v>#VALUE!</v>
      </c>
      <c r="BB31" s="351">
        <f t="shared" si="4"/>
        <v>2950.5400000000009</v>
      </c>
      <c r="BC31" s="351">
        <f t="shared" si="5"/>
        <v>10.92792592592593</v>
      </c>
    </row>
    <row r="32" spans="1:55">
      <c r="A32" s="359">
        <v>28</v>
      </c>
      <c r="B32" s="512">
        <f>'28'!G7</f>
        <v>27000</v>
      </c>
      <c r="C32" s="512">
        <f>'28'!G8</f>
        <v>26500</v>
      </c>
      <c r="D32" s="512" t="e">
        <f>'28'!G15</f>
        <v>#VALUE!</v>
      </c>
      <c r="E32" s="512">
        <f>'28'!G20</f>
        <v>313</v>
      </c>
      <c r="F32" s="512">
        <f>SUM('28'!G35,'28'!G49)</f>
        <v>3943</v>
      </c>
      <c r="G32" s="512">
        <f>SUM('28'!G37,'28'!G51)</f>
        <v>1728</v>
      </c>
      <c r="H32" s="512">
        <f>SUM('28'!G38,'28'!G52)</f>
        <v>2374</v>
      </c>
      <c r="I32" s="512">
        <f>SUM('28'!G39,'28'!G53)</f>
        <v>2899</v>
      </c>
      <c r="J32" s="512">
        <f>SUM('28'!G41,'28'!G42,'28'!G55,'28'!G56)</f>
        <v>9987</v>
      </c>
      <c r="K32" s="512">
        <f>SUM('28'!G43,'28'!G57)</f>
        <v>3306</v>
      </c>
      <c r="L32" s="254">
        <f>'28'!G50</f>
        <v>1379</v>
      </c>
      <c r="M32" s="254">
        <f>'28'!G36</f>
        <v>886</v>
      </c>
      <c r="N32" s="254">
        <f>'28'!G138</f>
        <v>154</v>
      </c>
      <c r="O32" s="254">
        <f>'28'!$G$139</f>
        <v>97</v>
      </c>
      <c r="P32" s="254">
        <f>'28'!$G$140</f>
        <v>11</v>
      </c>
      <c r="Q32" s="254">
        <f>'28'!$G$141</f>
        <v>201</v>
      </c>
      <c r="R32" s="254">
        <f>'28'!$G$142</f>
        <v>69</v>
      </c>
      <c r="S32" s="254">
        <f>'28'!$G$145</f>
        <v>2</v>
      </c>
      <c r="T32" s="251">
        <f>'28'!$G$146</f>
        <v>7</v>
      </c>
      <c r="U32" s="251">
        <f>'28'!$G$144</f>
        <v>237</v>
      </c>
      <c r="V32" s="251">
        <f>'28'!$G$147</f>
        <v>371</v>
      </c>
      <c r="W32" s="251">
        <f>'28'!$G$148</f>
        <v>334</v>
      </c>
      <c r="X32" s="251">
        <f>'28'!$G$143</f>
        <v>31</v>
      </c>
      <c r="Y32" s="251">
        <f>'28'!$G$58</f>
        <v>230</v>
      </c>
      <c r="Z32" s="251">
        <f>'28'!$G$151</f>
        <v>260</v>
      </c>
      <c r="AA32" s="251">
        <f>'28'!G161</f>
        <v>25</v>
      </c>
      <c r="AB32" s="251">
        <f>'28'!G162</f>
        <v>41</v>
      </c>
      <c r="AC32" s="251">
        <f>'28'!G88</f>
        <v>1.1699999999982538</v>
      </c>
      <c r="AD32" s="251">
        <f>'28'!G163+'28'!G164</f>
        <v>199</v>
      </c>
      <c r="AE32" s="254">
        <f>'28'!$G$116</f>
        <v>307</v>
      </c>
      <c r="AF32" s="254">
        <f>'28'!$G$117</f>
        <v>181</v>
      </c>
      <c r="AG32" s="254">
        <f>'28'!$G$118</f>
        <v>571</v>
      </c>
      <c r="AH32" s="254">
        <f>'28'!$G$119</f>
        <v>430</v>
      </c>
      <c r="AI32" s="254">
        <f>'28'!$G$120</f>
        <v>426</v>
      </c>
      <c r="AJ32" s="254">
        <f>'28'!$G$121</f>
        <v>496</v>
      </c>
      <c r="AK32" s="254">
        <f>'28'!$G$122</f>
        <v>209</v>
      </c>
      <c r="AL32" s="254">
        <f>'28'!$G$123</f>
        <v>329</v>
      </c>
      <c r="AM32" s="254">
        <f>'28'!$G$133</f>
        <v>872</v>
      </c>
      <c r="AN32" s="254" t="e">
        <f>'28'!$G$15</f>
        <v>#VALUE!</v>
      </c>
      <c r="AO32" s="254">
        <f>'28'!$G$74</f>
        <v>329</v>
      </c>
      <c r="AP32" s="254">
        <f>'28'!$G$75</f>
        <v>0</v>
      </c>
      <c r="AQ32" s="254">
        <f>'28'!$G$76</f>
        <v>118</v>
      </c>
      <c r="AR32" s="254">
        <f>'28'!$G$77</f>
        <v>53</v>
      </c>
      <c r="AS32" s="254">
        <f>'28'!$G$78</f>
        <v>0</v>
      </c>
      <c r="AT32" s="254" t="e">
        <f t="shared" si="0"/>
        <v>#VALUE!</v>
      </c>
      <c r="AU32" s="254">
        <f>SUM('28'!G91:G92)</f>
        <v>12.110000000000127</v>
      </c>
      <c r="AV32" s="254">
        <f>'28'!$G$88</f>
        <v>1.1699999999982538</v>
      </c>
      <c r="AW32" s="254">
        <f>'28'!$G$89</f>
        <v>10.069999999999709</v>
      </c>
      <c r="AX32" s="254">
        <f>'28'!$G$90</f>
        <v>9.9600000000064028</v>
      </c>
      <c r="AY32" s="252">
        <f t="shared" si="1"/>
        <v>21.200000000004366</v>
      </c>
      <c r="BA32" s="311" t="e">
        <f t="shared" si="3"/>
        <v>#VALUE!</v>
      </c>
      <c r="BB32" s="351">
        <f t="shared" si="4"/>
        <v>2033</v>
      </c>
      <c r="BC32" s="351">
        <f t="shared" si="5"/>
        <v>7.5296296296296292</v>
      </c>
    </row>
    <row r="33" spans="1:55">
      <c r="A33" s="359">
        <v>29</v>
      </c>
      <c r="B33" s="512">
        <f>'29'!G7</f>
        <v>27000</v>
      </c>
      <c r="C33" s="512">
        <f>'29'!G8</f>
        <v>26500</v>
      </c>
      <c r="D33" s="512" t="e">
        <f>'29'!G15</f>
        <v>#VALUE!</v>
      </c>
      <c r="E33" s="512">
        <f>'29'!G20</f>
        <v>311</v>
      </c>
      <c r="F33" s="512">
        <f>SUM('29'!G35,'29'!G49)</f>
        <v>4115</v>
      </c>
      <c r="G33" s="512">
        <f>SUM('29'!G37,'29'!G51)</f>
        <v>1726</v>
      </c>
      <c r="H33" s="512">
        <f>SUM('29'!G38,'29'!G52)</f>
        <v>2399</v>
      </c>
      <c r="I33" s="512">
        <f>SUM('29'!G39,'29'!G53)</f>
        <v>2849</v>
      </c>
      <c r="J33" s="512">
        <f>SUM('29'!G41,'29'!G42,'29'!G55,'29'!G56)</f>
        <v>10787</v>
      </c>
      <c r="K33" s="512">
        <f>SUM('29'!G43,'29'!G57)</f>
        <v>3440</v>
      </c>
      <c r="L33" s="254">
        <f>'29'!G50</f>
        <v>1646</v>
      </c>
      <c r="M33" s="254">
        <f>'29'!G36</f>
        <v>1210</v>
      </c>
      <c r="N33" s="254">
        <f>'29'!G138</f>
        <v>154</v>
      </c>
      <c r="O33" s="254">
        <f>'29'!$G$139</f>
        <v>220</v>
      </c>
      <c r="P33" s="254">
        <f>'29'!$G$140</f>
        <v>12</v>
      </c>
      <c r="Q33" s="254">
        <f>'29'!$G$141</f>
        <v>212</v>
      </c>
      <c r="R33" s="254">
        <f>'29'!$G$142</f>
        <v>70</v>
      </c>
      <c r="S33" s="254">
        <f>'29'!$G$145</f>
        <v>3</v>
      </c>
      <c r="T33" s="254">
        <f>'29'!$G$146</f>
        <v>0</v>
      </c>
      <c r="U33" s="254">
        <f>'29'!$G$144</f>
        <v>251</v>
      </c>
      <c r="V33" s="254">
        <f>'29'!$G$147</f>
        <v>401</v>
      </c>
      <c r="W33" s="254">
        <f>'29'!$G$148</f>
        <v>496</v>
      </c>
      <c r="X33" s="254">
        <f>'29'!$G$143</f>
        <v>34</v>
      </c>
      <c r="Y33" s="254">
        <f>'29'!$G$58</f>
        <v>220</v>
      </c>
      <c r="Z33" s="254">
        <f>'29'!$G$151</f>
        <v>317</v>
      </c>
      <c r="AA33" s="254">
        <f>'29'!G161</f>
        <v>24</v>
      </c>
      <c r="AB33" s="254">
        <f>'29'!G162</f>
        <v>41</v>
      </c>
      <c r="AC33" s="254">
        <f>'29'!G88</f>
        <v>-0.16999999999825377</v>
      </c>
      <c r="AD33" s="254">
        <f>'29'!G163+'29'!G164</f>
        <v>190</v>
      </c>
      <c r="AE33" s="254">
        <f>'29'!$G$116</f>
        <v>300</v>
      </c>
      <c r="AF33" s="254">
        <f>'29'!$G$117</f>
        <v>161</v>
      </c>
      <c r="AG33" s="254">
        <f>'29'!$G$118</f>
        <v>566</v>
      </c>
      <c r="AH33" s="254">
        <f>'29'!$G$119</f>
        <v>434</v>
      </c>
      <c r="AI33" s="254">
        <f>'29'!$G$120</f>
        <v>436</v>
      </c>
      <c r="AJ33" s="254">
        <f>'29'!$G$121</f>
        <v>381</v>
      </c>
      <c r="AK33" s="254">
        <f>'29'!$G$122</f>
        <v>186</v>
      </c>
      <c r="AL33" s="254">
        <f>'29'!$G$123</f>
        <v>315</v>
      </c>
      <c r="AM33" s="254">
        <f>'29'!$G$133</f>
        <v>843</v>
      </c>
      <c r="AN33" s="254" t="e">
        <f>'29'!$G$15</f>
        <v>#VALUE!</v>
      </c>
      <c r="AO33" s="254">
        <f>'29'!$G$74</f>
        <v>317</v>
      </c>
      <c r="AP33" s="254">
        <f>'29'!$G$75</f>
        <v>0</v>
      </c>
      <c r="AQ33" s="254">
        <f>'29'!$G$76</f>
        <v>143</v>
      </c>
      <c r="AR33" s="254">
        <f>'29'!$G$77</f>
        <v>57</v>
      </c>
      <c r="AS33" s="254">
        <f>'29'!$G$78</f>
        <v>0</v>
      </c>
      <c r="AT33" s="254" t="e">
        <f t="shared" si="0"/>
        <v>#VALUE!</v>
      </c>
      <c r="AU33" s="254">
        <f>SUM('29'!G91:G92)</f>
        <v>11.519999999999982</v>
      </c>
      <c r="AV33" s="254">
        <f>'29'!$G$88</f>
        <v>-0.16999999999825377</v>
      </c>
      <c r="AW33" s="254">
        <f>'29'!$G$89</f>
        <v>8.3400000000001455</v>
      </c>
      <c r="AX33" s="254">
        <f>'29'!$G$90</f>
        <v>8.6499999999941792</v>
      </c>
      <c r="AY33" s="252">
        <f t="shared" si="1"/>
        <v>16.819999999996071</v>
      </c>
      <c r="BA33" s="311" t="e">
        <f t="shared" si="3"/>
        <v>#VALUE!</v>
      </c>
      <c r="BB33" s="351">
        <f t="shared" si="4"/>
        <v>964</v>
      </c>
      <c r="BC33" s="351">
        <f t="shared" si="5"/>
        <v>3.5703703703703704</v>
      </c>
    </row>
    <row r="34" spans="1:55" s="313" customFormat="1">
      <c r="A34" s="359">
        <v>30</v>
      </c>
      <c r="B34" s="512">
        <f>'30'!G7</f>
        <v>27000</v>
      </c>
      <c r="C34" s="512">
        <f>'30'!G8</f>
        <v>26500</v>
      </c>
      <c r="D34" s="512" t="e">
        <f>'30'!G15</f>
        <v>#VALUE!</v>
      </c>
      <c r="E34" s="512">
        <f>'30'!G20</f>
        <v>379</v>
      </c>
      <c r="F34" s="512">
        <f>SUM('30'!G35,'30'!G49)</f>
        <v>4237</v>
      </c>
      <c r="G34" s="512">
        <f>SUM('30'!G37,'30'!G51)</f>
        <v>1805.68</v>
      </c>
      <c r="H34" s="512">
        <f>SUM('30'!G38,'30'!G52)</f>
        <v>2500</v>
      </c>
      <c r="I34" s="512">
        <f>SUM('30'!G39,'30'!G53)</f>
        <v>2900</v>
      </c>
      <c r="J34" s="512">
        <f>SUM('30'!G41,'30'!G42,'30'!G55,'30'!G56)</f>
        <v>9046</v>
      </c>
      <c r="K34" s="512">
        <f>SUM('30'!G43,'30'!G57)</f>
        <v>3408</v>
      </c>
      <c r="L34" s="251">
        <f>'30'!G50</f>
        <v>1782</v>
      </c>
      <c r="M34" s="251">
        <f>'30'!G36</f>
        <v>1131</v>
      </c>
      <c r="N34" s="251">
        <f>'30'!G138</f>
        <v>141</v>
      </c>
      <c r="O34" s="251">
        <f>'30'!$G$139</f>
        <v>135</v>
      </c>
      <c r="P34" s="251">
        <f>'30'!$G$140</f>
        <v>11</v>
      </c>
      <c r="Q34" s="251">
        <f>'30'!$G$141</f>
        <v>223</v>
      </c>
      <c r="R34" s="251">
        <f>'30'!$G$142</f>
        <v>74</v>
      </c>
      <c r="S34" s="251">
        <f>'30'!$G$145</f>
        <v>2</v>
      </c>
      <c r="T34" s="251">
        <f>'30'!$G$146</f>
        <v>0</v>
      </c>
      <c r="U34" s="251">
        <f>'30'!$G$144</f>
        <v>256</v>
      </c>
      <c r="V34" s="251">
        <f>'30'!$G$147</f>
        <v>452</v>
      </c>
      <c r="W34" s="251">
        <f>'30'!$G$148</f>
        <v>366</v>
      </c>
      <c r="X34" s="251">
        <f>'30'!$G$143</f>
        <v>27</v>
      </c>
      <c r="Y34" s="251">
        <f>'30'!$G$58</f>
        <v>236</v>
      </c>
      <c r="Z34" s="251">
        <f>'30'!$G$151</f>
        <v>351</v>
      </c>
      <c r="AA34" s="251">
        <f>'30'!G161</f>
        <v>23</v>
      </c>
      <c r="AB34" s="251">
        <f>'30'!G162</f>
        <v>38</v>
      </c>
      <c r="AC34" s="251">
        <f>'30'!G88</f>
        <v>0.11999999999898137</v>
      </c>
      <c r="AD34" s="251">
        <f>'30'!G163+'30'!G164</f>
        <v>179</v>
      </c>
      <c r="AE34" s="251">
        <f>'30'!$G$116</f>
        <v>252</v>
      </c>
      <c r="AF34" s="251">
        <f>'30'!$G$117</f>
        <v>160</v>
      </c>
      <c r="AG34" s="251">
        <f>'30'!$G$118</f>
        <v>563</v>
      </c>
      <c r="AH34" s="251">
        <f>'30'!$G$119</f>
        <v>462</v>
      </c>
      <c r="AI34" s="251">
        <f>'30'!$G$120</f>
        <v>454</v>
      </c>
      <c r="AJ34" s="251">
        <f>'30'!$G$121</f>
        <v>453</v>
      </c>
      <c r="AK34" s="251">
        <f>'30'!$G$122</f>
        <v>190</v>
      </c>
      <c r="AL34" s="251">
        <f>'30'!$G$123</f>
        <v>323</v>
      </c>
      <c r="AM34" s="251">
        <f>'30'!$G$133</f>
        <v>842</v>
      </c>
      <c r="AN34" s="251" t="e">
        <f>'30'!$G$15</f>
        <v>#VALUE!</v>
      </c>
      <c r="AO34" s="251">
        <f>'30'!$G$74</f>
        <v>331</v>
      </c>
      <c r="AP34" s="251">
        <f>'30'!$G$75</f>
        <v>0</v>
      </c>
      <c r="AQ34" s="251">
        <f>'30'!$G$76</f>
        <v>113</v>
      </c>
      <c r="AR34" s="251">
        <f>'30'!$G$77</f>
        <v>52</v>
      </c>
      <c r="AS34" s="251">
        <f>'30'!$G$78</f>
        <v>0.3999999999996362</v>
      </c>
      <c r="AT34" s="251" t="e">
        <f t="shared" si="0"/>
        <v>#VALUE!</v>
      </c>
      <c r="AU34" s="251">
        <f>SUM('30'!G91:G92)</f>
        <v>12.239999999999782</v>
      </c>
      <c r="AV34" s="251">
        <f>'30'!$G$88</f>
        <v>0.11999999999898137</v>
      </c>
      <c r="AW34" s="251">
        <f>'30'!$G$89</f>
        <v>10.220000000001164</v>
      </c>
      <c r="AX34" s="251">
        <f>'30'!$G$90</f>
        <v>9.5299999999988358</v>
      </c>
      <c r="AY34" s="255">
        <f t="shared" si="1"/>
        <v>19.869999999998981</v>
      </c>
      <c r="BA34" s="311" t="e">
        <f t="shared" si="3"/>
        <v>#VALUE!</v>
      </c>
      <c r="BB34" s="351">
        <f t="shared" si="4"/>
        <v>2367.3199999999997</v>
      </c>
      <c r="BC34" s="351">
        <f t="shared" si="5"/>
        <v>8.7678518518518516</v>
      </c>
    </row>
    <row r="35" spans="1:55">
      <c r="A35" s="359">
        <v>31</v>
      </c>
      <c r="B35" s="512">
        <f>'31'!G7</f>
        <v>27000</v>
      </c>
      <c r="C35" s="512">
        <f>'31'!G8</f>
        <v>26500</v>
      </c>
      <c r="D35" s="512" t="e">
        <f>'31'!G15</f>
        <v>#VALUE!</v>
      </c>
      <c r="E35" s="512">
        <f>'31'!G20</f>
        <v>220</v>
      </c>
      <c r="F35" s="512">
        <f>SUM('31'!G35,'31'!G49)</f>
        <v>0</v>
      </c>
      <c r="G35" s="512">
        <f>SUM('31'!G37,'31'!G51)</f>
        <v>0</v>
      </c>
      <c r="H35" s="512">
        <f>SUM('31'!G38,'31'!G52)</f>
        <v>0</v>
      </c>
      <c r="I35" s="512">
        <f>SUM('31'!G39,'31'!G53)</f>
        <v>0</v>
      </c>
      <c r="J35" s="512">
        <f>SUM('31'!G41,'31'!G42,'31'!G55,'31'!G56)</f>
        <v>0</v>
      </c>
      <c r="K35" s="512">
        <f>SUM('31'!G43,'31'!G57)</f>
        <v>0</v>
      </c>
      <c r="L35" s="251">
        <f>'31'!G50</f>
        <v>0</v>
      </c>
      <c r="M35" s="251">
        <f>'31'!G36</f>
        <v>0</v>
      </c>
      <c r="N35" s="251">
        <f>'31'!G138</f>
        <v>0</v>
      </c>
      <c r="O35" s="251">
        <f>'31'!$G$139</f>
        <v>0</v>
      </c>
      <c r="P35" s="251">
        <f>'31'!$G$140</f>
        <v>0</v>
      </c>
      <c r="Q35" s="251">
        <f>'31'!$G$141</f>
        <v>0</v>
      </c>
      <c r="R35" s="251">
        <f>'31'!$G$142</f>
        <v>0</v>
      </c>
      <c r="S35" s="251">
        <f>'31'!$G$145</f>
        <v>0</v>
      </c>
      <c r="T35" s="251">
        <f>'31'!$G$146</f>
        <v>0</v>
      </c>
      <c r="U35" s="251">
        <f>'31'!$G$144</f>
        <v>0</v>
      </c>
      <c r="V35" s="251">
        <f>'31'!$G$147</f>
        <v>0</v>
      </c>
      <c r="W35" s="251">
        <f>'31'!$G$148</f>
        <v>0</v>
      </c>
      <c r="X35" s="251">
        <f>'31'!$G$143</f>
        <v>0</v>
      </c>
      <c r="Y35" s="251">
        <f>'31'!$G$58</f>
        <v>0</v>
      </c>
      <c r="Z35" s="251">
        <f>'31'!$G$151</f>
        <v>0</v>
      </c>
      <c r="AA35" s="251">
        <f>'31'!G161</f>
        <v>0</v>
      </c>
      <c r="AB35" s="251">
        <f>'31'!G162</f>
        <v>0</v>
      </c>
      <c r="AC35" s="251">
        <f>'31'!G89</f>
        <v>0</v>
      </c>
      <c r="AD35" s="251">
        <f>'31'!G163+'31'!G164</f>
        <v>0</v>
      </c>
      <c r="AE35" s="251">
        <f>'31'!$G$116</f>
        <v>0</v>
      </c>
      <c r="AF35" s="251">
        <f>'31'!$G$117</f>
        <v>0</v>
      </c>
      <c r="AG35" s="251">
        <f>'31'!$G$118</f>
        <v>0</v>
      </c>
      <c r="AH35" s="251">
        <f>'31'!$G$119</f>
        <v>0</v>
      </c>
      <c r="AI35" s="251">
        <f>'31'!$G$120</f>
        <v>0</v>
      </c>
      <c r="AJ35" s="251">
        <f>'31'!$G$121</f>
        <v>0</v>
      </c>
      <c r="AK35" s="251">
        <f>'31'!$G$122</f>
        <v>0</v>
      </c>
      <c r="AL35" s="251">
        <f>'31'!$G$123</f>
        <v>0</v>
      </c>
      <c r="AM35" s="251">
        <f>'31'!$G$133</f>
        <v>0</v>
      </c>
      <c r="AN35" s="251" t="e">
        <f>'31'!$G$15</f>
        <v>#VALUE!</v>
      </c>
      <c r="AO35" s="251">
        <f>'31'!$G$74</f>
        <v>0</v>
      </c>
      <c r="AP35" s="251">
        <f>'31'!$G$75</f>
        <v>0</v>
      </c>
      <c r="AQ35" s="251">
        <f>'31'!$G$76</f>
        <v>0</v>
      </c>
      <c r="AR35" s="251">
        <f>'31'!$G$77</f>
        <v>0</v>
      </c>
      <c r="AS35" s="251">
        <f>'31'!$G$78</f>
        <v>0</v>
      </c>
      <c r="AT35" s="251" t="e">
        <f t="shared" ref="AT35" si="7">AN35-SUM(AO35:AS35)</f>
        <v>#VALUE!</v>
      </c>
      <c r="AU35" s="251">
        <f>SUM('31'!G92:G142)</f>
        <v>0</v>
      </c>
      <c r="AV35" s="251">
        <f>'31'!$G$88</f>
        <v>0</v>
      </c>
      <c r="AW35" s="251">
        <f>'31'!$G$89</f>
        <v>0</v>
      </c>
      <c r="AX35" s="251">
        <f>'30'!$G$90</f>
        <v>9.5299999999988358</v>
      </c>
      <c r="AY35" s="255">
        <f t="shared" ref="AY35" si="8">SUM(AV35:AX35)</f>
        <v>9.5299999999988358</v>
      </c>
      <c r="BA35" s="311" t="e">
        <f t="shared" si="3"/>
        <v>#VALUE!</v>
      </c>
      <c r="BB35" s="351">
        <f t="shared" si="4"/>
        <v>26500</v>
      </c>
      <c r="BC35" s="351">
        <f t="shared" si="5"/>
        <v>98.148148148148152</v>
      </c>
    </row>
    <row r="36" spans="1:55" s="316" customFormat="1">
      <c r="A36" s="304" t="s">
        <v>357</v>
      </c>
      <c r="B36" s="305">
        <f>AVERAGE(B5:B35)</f>
        <v>27085.903225806451</v>
      </c>
      <c r="C36" s="305">
        <f t="shared" ref="C36:BC36" si="9">AVERAGE(C5:C35)</f>
        <v>27174.589677419353</v>
      </c>
      <c r="D36" s="305" t="e">
        <f t="shared" si="9"/>
        <v>#VALUE!</v>
      </c>
      <c r="E36" s="305">
        <f t="shared" si="9"/>
        <v>236.7741935483871</v>
      </c>
      <c r="F36" s="305">
        <f t="shared" si="9"/>
        <v>0</v>
      </c>
      <c r="G36" s="305">
        <f t="shared" si="9"/>
        <v>-7.334634691717163E-15</v>
      </c>
      <c r="H36" s="305">
        <f t="shared" si="9"/>
        <v>5.8677077533737304E-14</v>
      </c>
      <c r="I36" s="305">
        <f t="shared" si="9"/>
        <v>0</v>
      </c>
      <c r="J36" s="305">
        <f t="shared" si="9"/>
        <v>-7.0412493040484765E-13</v>
      </c>
      <c r="K36" s="305">
        <f t="shared" si="9"/>
        <v>0</v>
      </c>
      <c r="L36" s="305">
        <f t="shared" si="9"/>
        <v>0</v>
      </c>
      <c r="M36" s="305">
        <f t="shared" si="9"/>
        <v>0</v>
      </c>
      <c r="N36" s="305">
        <f t="shared" si="9"/>
        <v>0.16129032258064516</v>
      </c>
      <c r="O36" s="305">
        <f t="shared" si="9"/>
        <v>0</v>
      </c>
      <c r="P36" s="305">
        <f t="shared" si="9"/>
        <v>2868.7419354838707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0</v>
      </c>
      <c r="Z36" s="305">
        <f t="shared" si="9"/>
        <v>0</v>
      </c>
      <c r="AA36" s="305">
        <f t="shared" si="9"/>
        <v>0</v>
      </c>
      <c r="AB36" s="305">
        <f t="shared" si="9"/>
        <v>0</v>
      </c>
      <c r="AC36" s="305">
        <f t="shared" si="9"/>
        <v>-0.92380952380959314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-2.9338538766868652E-14</v>
      </c>
      <c r="AH36" s="305">
        <f t="shared" si="9"/>
        <v>9368.322580645161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5663.0816129032255</v>
      </c>
      <c r="AM36" s="305">
        <f t="shared" si="9"/>
        <v>0</v>
      </c>
      <c r="AN36" s="305" t="e">
        <f t="shared" si="9"/>
        <v>#VALUE!</v>
      </c>
      <c r="AO36" s="305">
        <f t="shared" si="9"/>
        <v>0</v>
      </c>
      <c r="AP36" s="305">
        <f t="shared" si="9"/>
        <v>0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 t="e">
        <f t="shared" si="9"/>
        <v>#VALUE!</v>
      </c>
      <c r="AU36" s="305">
        <f t="shared" si="9"/>
        <v>0</v>
      </c>
      <c r="AV36" s="305">
        <f t="shared" si="9"/>
        <v>0</v>
      </c>
      <c r="AW36" s="305">
        <f t="shared" si="9"/>
        <v>0</v>
      </c>
      <c r="AX36" s="305">
        <f t="shared" si="9"/>
        <v>0.30741935483867211</v>
      </c>
      <c r="AY36" s="305">
        <f t="shared" si="9"/>
        <v>0.30741935483867211</v>
      </c>
      <c r="AZ36" s="305">
        <f t="shared" si="9"/>
        <v>27.936711551582807</v>
      </c>
      <c r="BA36" s="305" t="e">
        <f t="shared" si="9"/>
        <v>#VALUE!</v>
      </c>
      <c r="BB36" s="305">
        <f t="shared" si="9"/>
        <v>27174.589677419357</v>
      </c>
      <c r="BC36" s="305">
        <f t="shared" si="9"/>
        <v>100.57769936872047</v>
      </c>
    </row>
    <row r="37" spans="1:55">
      <c r="A37" s="261" t="s">
        <v>196</v>
      </c>
      <c r="B37" s="305">
        <f>SUM(B5:B35)</f>
        <v>839663</v>
      </c>
      <c r="C37" s="305">
        <f t="shared" ref="C37:BC37" si="10">SUM(C5:C35)</f>
        <v>842412.27999999991</v>
      </c>
      <c r="D37" s="305" t="e">
        <f t="shared" si="10"/>
        <v>#VALUE!</v>
      </c>
      <c r="E37" s="305">
        <f t="shared" si="10"/>
        <v>7340</v>
      </c>
      <c r="F37" s="305">
        <f>SUM(F5:F35)</f>
        <v>0</v>
      </c>
      <c r="G37" s="305">
        <f t="shared" si="10"/>
        <v>-2.2737367544323206E-13</v>
      </c>
      <c r="H37" s="305">
        <f t="shared" si="10"/>
        <v>1.8189894035458565E-12</v>
      </c>
      <c r="I37" s="305">
        <f t="shared" si="10"/>
        <v>0</v>
      </c>
      <c r="J37" s="305">
        <f t="shared" si="10"/>
        <v>-2.1827872842550278E-11</v>
      </c>
      <c r="K37" s="305">
        <f t="shared" si="10"/>
        <v>0</v>
      </c>
      <c r="L37" s="305">
        <f t="shared" si="10"/>
        <v>0</v>
      </c>
      <c r="M37" s="305">
        <f t="shared" si="10"/>
        <v>0</v>
      </c>
      <c r="N37" s="305">
        <f t="shared" si="10"/>
        <v>5</v>
      </c>
      <c r="O37" s="305">
        <f t="shared" si="10"/>
        <v>0</v>
      </c>
      <c r="P37" s="305">
        <f t="shared" si="10"/>
        <v>88931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0</v>
      </c>
      <c r="Z37" s="305">
        <f t="shared" si="10"/>
        <v>0</v>
      </c>
      <c r="AA37" s="305">
        <f t="shared" si="10"/>
        <v>0</v>
      </c>
      <c r="AB37" s="305">
        <f t="shared" si="10"/>
        <v>0</v>
      </c>
      <c r="AC37" s="305">
        <f t="shared" si="10"/>
        <v>-19.400000000001455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-9.0949470177292824E-13</v>
      </c>
      <c r="AH37" s="305">
        <f t="shared" si="10"/>
        <v>290418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175555.53</v>
      </c>
      <c r="AM37" s="305">
        <f t="shared" si="10"/>
        <v>0</v>
      </c>
      <c r="AN37" s="305" t="e">
        <f t="shared" si="10"/>
        <v>#VALUE!</v>
      </c>
      <c r="AO37" s="305">
        <f t="shared" si="10"/>
        <v>0</v>
      </c>
      <c r="AP37" s="305">
        <f t="shared" si="10"/>
        <v>0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 t="e">
        <f t="shared" si="10"/>
        <v>#VALUE!</v>
      </c>
      <c r="AU37" s="305">
        <f t="shared" si="10"/>
        <v>0</v>
      </c>
      <c r="AV37" s="305">
        <f t="shared" si="10"/>
        <v>0</v>
      </c>
      <c r="AW37" s="305">
        <f t="shared" si="10"/>
        <v>0</v>
      </c>
      <c r="AX37" s="305">
        <f t="shared" si="10"/>
        <v>9.5299999999988358</v>
      </c>
      <c r="AY37" s="305">
        <f t="shared" si="10"/>
        <v>9.5299999999988358</v>
      </c>
      <c r="AZ37" s="305">
        <f t="shared" si="10"/>
        <v>670.48107723798739</v>
      </c>
      <c r="BA37" s="305" t="e">
        <f t="shared" si="10"/>
        <v>#VALUE!</v>
      </c>
      <c r="BB37" s="305">
        <f t="shared" si="10"/>
        <v>842412.28</v>
      </c>
      <c r="BC37" s="305">
        <f t="shared" si="10"/>
        <v>3117.9086804303347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3">
        <f t="shared" ref="F39:K39" si="11">F19-F18</f>
        <v>336.17999999999302</v>
      </c>
      <c r="G39" s="513">
        <f t="shared" si="11"/>
        <v>-80.600000000005821</v>
      </c>
      <c r="H39" s="513">
        <f t="shared" si="11"/>
        <v>-61.78999999998814</v>
      </c>
      <c r="I39" s="513">
        <f t="shared" si="11"/>
        <v>259.03000000002794</v>
      </c>
      <c r="J39" s="513">
        <f t="shared" si="11"/>
        <v>712.97000000003027</v>
      </c>
      <c r="K39" s="513">
        <f t="shared" si="11"/>
        <v>289.71000000002095</v>
      </c>
      <c r="L39" s="513"/>
      <c r="M39" s="513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F85" sqref="F85"/>
    </sheetView>
  </sheetViews>
  <sheetFormatPr defaultColWidth="22.33203125" defaultRowHeight="21.95" customHeight="1"/>
  <cols>
    <col min="1" max="1" width="50.21875" style="562" customWidth="1"/>
    <col min="2" max="2" width="22.6640625" style="546" customWidth="1"/>
    <col min="3" max="3" width="14.44140625" style="546" customWidth="1"/>
    <col min="4" max="4" width="13.6640625" style="546" customWidth="1"/>
    <col min="5" max="5" width="30" style="414" customWidth="1"/>
    <col min="6" max="6" width="19.44140625" style="596" customWidth="1"/>
    <col min="7" max="7" width="28.88671875" style="597" customWidth="1"/>
    <col min="8" max="8" width="24.6640625" style="598" customWidth="1"/>
    <col min="9" max="9" width="23.5546875" style="596" customWidth="1"/>
    <col min="10" max="10" width="24" style="598" customWidth="1"/>
    <col min="11" max="11" width="43.21875" style="546" hidden="1" customWidth="1"/>
    <col min="12" max="13" width="0" style="546" hidden="1" customWidth="1"/>
    <col min="14" max="14" width="25.109375" style="546" customWidth="1"/>
    <col min="15" max="16" width="22.33203125" style="546"/>
    <col min="17" max="17" width="44.77734375" style="546" customWidth="1"/>
    <col min="18" max="16384" width="22.33203125" style="546"/>
  </cols>
  <sheetData>
    <row r="1" spans="1:15" ht="26.25">
      <c r="A1" s="842" t="s">
        <v>115</v>
      </c>
      <c r="B1" s="843"/>
      <c r="C1" s="843"/>
      <c r="D1" s="843"/>
      <c r="E1" s="843"/>
      <c r="F1" s="843"/>
      <c r="G1" s="843"/>
      <c r="H1" s="843"/>
      <c r="I1" s="843"/>
      <c r="J1" s="844"/>
    </row>
    <row r="2" spans="1:15" ht="26.25">
      <c r="A2" s="547" t="s">
        <v>354</v>
      </c>
      <c r="B2" s="747">
        <v>44682</v>
      </c>
      <c r="C2" s="748" t="s">
        <v>67</v>
      </c>
      <c r="D2" s="749">
        <v>0.92</v>
      </c>
      <c r="E2" s="100"/>
      <c r="F2" s="748"/>
      <c r="G2" s="750" t="s">
        <v>116</v>
      </c>
      <c r="H2" s="748" t="s">
        <v>5</v>
      </c>
      <c r="I2" s="748" t="s">
        <v>7</v>
      </c>
      <c r="J2" s="751" t="s">
        <v>117</v>
      </c>
    </row>
    <row r="3" spans="1:15" ht="26.25">
      <c r="A3" s="548"/>
      <c r="B3" s="752"/>
      <c r="C3" s="748" t="s">
        <v>118</v>
      </c>
      <c r="D3" s="753">
        <v>26</v>
      </c>
      <c r="E3" s="851" t="s">
        <v>119</v>
      </c>
      <c r="F3" s="852"/>
      <c r="G3" s="750"/>
      <c r="H3" s="754"/>
      <c r="I3" s="754"/>
      <c r="J3" s="751"/>
      <c r="K3" s="549"/>
      <c r="L3" s="550"/>
    </row>
    <row r="4" spans="1:15" ht="26.25">
      <c r="A4" s="551"/>
      <c r="B4" s="755"/>
      <c r="C4" s="748" t="s">
        <v>120</v>
      </c>
      <c r="D4" s="749">
        <v>0.78</v>
      </c>
      <c r="E4" s="103"/>
      <c r="F4" s="756"/>
      <c r="G4" s="750"/>
      <c r="H4" s="756"/>
      <c r="I4" s="757"/>
      <c r="J4" s="751"/>
      <c r="K4" s="552"/>
      <c r="L4" s="550"/>
    </row>
    <row r="5" spans="1:15" s="562" customFormat="1" ht="26.25">
      <c r="A5" s="553" t="s">
        <v>121</v>
      </c>
      <c r="B5" s="554"/>
      <c r="C5" s="554"/>
      <c r="D5" s="554" t="s">
        <v>122</v>
      </c>
      <c r="E5" s="106" t="s">
        <v>110</v>
      </c>
      <c r="F5" s="555" t="s">
        <v>110</v>
      </c>
      <c r="G5" s="556" t="s">
        <v>124</v>
      </c>
      <c r="H5" s="557" t="s">
        <v>125</v>
      </c>
      <c r="I5" s="558" t="s">
        <v>126</v>
      </c>
      <c r="J5" s="559" t="s">
        <v>127</v>
      </c>
      <c r="K5" s="560"/>
      <c r="L5" s="561"/>
    </row>
    <row r="6" spans="1:15" s="562" customFormat="1" ht="26.25">
      <c r="A6" s="845" t="s">
        <v>128</v>
      </c>
      <c r="B6" s="846"/>
      <c r="C6" s="847"/>
      <c r="D6" s="563"/>
      <c r="E6" s="110"/>
      <c r="F6" s="564"/>
      <c r="G6" s="565"/>
      <c r="H6" s="564"/>
      <c r="I6" s="564"/>
      <c r="J6" s="566"/>
      <c r="K6" s="567"/>
      <c r="L6" s="561"/>
    </row>
    <row r="7" spans="1:15" ht="27" thickBot="1">
      <c r="A7" s="568" t="s">
        <v>129</v>
      </c>
      <c r="B7" s="621"/>
      <c r="C7" s="621"/>
      <c r="D7" s="569" t="s">
        <v>130</v>
      </c>
      <c r="E7" s="95">
        <v>831051</v>
      </c>
      <c r="F7" s="558">
        <v>860541.19</v>
      </c>
      <c r="G7" s="622">
        <f>F7-E7</f>
        <v>29490.189999999944</v>
      </c>
      <c r="H7" s="558">
        <f>G7</f>
        <v>29490.189999999944</v>
      </c>
      <c r="I7" s="623">
        <v>12000</v>
      </c>
      <c r="J7" s="624">
        <f>H7/DAY(B2)</f>
        <v>29490.189999999944</v>
      </c>
      <c r="K7" s="570">
        <v>1375467</v>
      </c>
      <c r="L7" s="550"/>
      <c r="N7" s="571"/>
      <c r="O7" s="572"/>
    </row>
    <row r="8" spans="1:15" ht="27" thickBot="1">
      <c r="A8" s="573" t="s">
        <v>131</v>
      </c>
      <c r="B8" s="625"/>
      <c r="C8" s="626"/>
      <c r="D8" s="574" t="s">
        <v>24</v>
      </c>
      <c r="E8" s="114">
        <v>919123</v>
      </c>
      <c r="F8" s="558">
        <v>949164.63</v>
      </c>
      <c r="G8" s="622">
        <f>F8-E8</f>
        <v>30041.630000000005</v>
      </c>
      <c r="H8" s="558">
        <f>G8</f>
        <v>30041.630000000005</v>
      </c>
      <c r="I8" s="627">
        <v>12000</v>
      </c>
      <c r="J8" s="624">
        <f>H8/DAY(B2)</f>
        <v>30041.630000000005</v>
      </c>
      <c r="K8" s="570">
        <v>1715917</v>
      </c>
      <c r="L8" s="575">
        <v>1728480</v>
      </c>
      <c r="M8" s="571">
        <f>L8-K8</f>
        <v>12563</v>
      </c>
      <c r="N8" s="571"/>
      <c r="O8" s="572"/>
    </row>
    <row r="9" spans="1:15" ht="26.25">
      <c r="A9" s="576" t="s">
        <v>132</v>
      </c>
      <c r="B9" s="628"/>
      <c r="C9" s="628"/>
      <c r="D9" s="569" t="s">
        <v>130</v>
      </c>
      <c r="E9" s="470">
        <v>1891035</v>
      </c>
      <c r="F9" s="629">
        <v>1915629.3</v>
      </c>
      <c r="G9" s="630">
        <f>F9-E9</f>
        <v>24594.300000000047</v>
      </c>
      <c r="H9" s="558">
        <f t="shared" ref="H9:H13" si="0">G9</f>
        <v>24594.300000000047</v>
      </c>
      <c r="I9" s="623">
        <f>I8-J8</f>
        <v>-18041.630000000005</v>
      </c>
      <c r="J9" s="624">
        <f>H9/DAY(B2)</f>
        <v>24594.300000000047</v>
      </c>
      <c r="K9" s="577">
        <f>K8-100</f>
        <v>1715817</v>
      </c>
      <c r="L9" s="550"/>
      <c r="N9" s="571"/>
      <c r="O9" s="572"/>
    </row>
    <row r="10" spans="1:15" ht="26.25">
      <c r="A10" s="568" t="s">
        <v>133</v>
      </c>
      <c r="B10" s="621"/>
      <c r="C10" s="621"/>
      <c r="D10" s="569" t="s">
        <v>130</v>
      </c>
      <c r="E10" s="353">
        <v>615536</v>
      </c>
      <c r="F10" s="629">
        <v>619566.94999999995</v>
      </c>
      <c r="G10" s="630">
        <f t="shared" ref="G10:G11" si="1">F10-E10</f>
        <v>4030.9499999999534</v>
      </c>
      <c r="H10" s="558">
        <f t="shared" si="0"/>
        <v>4030.9499999999534</v>
      </c>
      <c r="I10" s="558"/>
      <c r="J10" s="624">
        <f>H10/DAY(B2)</f>
        <v>4030.9499999999534</v>
      </c>
      <c r="K10" s="577"/>
      <c r="L10" s="550"/>
      <c r="N10" s="571"/>
      <c r="O10" s="572"/>
    </row>
    <row r="11" spans="1:15" ht="26.25">
      <c r="A11" s="568" t="s">
        <v>134</v>
      </c>
      <c r="B11" s="621"/>
      <c r="C11" s="621"/>
      <c r="D11" s="569" t="s">
        <v>130</v>
      </c>
      <c r="E11" s="95">
        <v>37560</v>
      </c>
      <c r="F11" s="558">
        <v>37560</v>
      </c>
      <c r="G11" s="630">
        <f t="shared" si="1"/>
        <v>0</v>
      </c>
      <c r="H11" s="558">
        <f t="shared" si="0"/>
        <v>0</v>
      </c>
      <c r="I11" s="558"/>
      <c r="J11" s="624">
        <f>H11/DAY(B2)</f>
        <v>0</v>
      </c>
      <c r="K11" s="577"/>
      <c r="L11" s="550"/>
      <c r="N11" s="571"/>
      <c r="O11" s="572">
        <f>142-18</f>
        <v>124</v>
      </c>
    </row>
    <row r="12" spans="1:15" ht="26.25">
      <c r="A12" s="568" t="s">
        <v>135</v>
      </c>
      <c r="B12" s="621"/>
      <c r="C12" s="621"/>
      <c r="D12" s="569" t="s">
        <v>130</v>
      </c>
      <c r="E12" s="117">
        <v>40380</v>
      </c>
      <c r="F12" s="629">
        <v>40380</v>
      </c>
      <c r="G12" s="630">
        <f>F12-E12</f>
        <v>0</v>
      </c>
      <c r="H12" s="558">
        <f t="shared" si="0"/>
        <v>0</v>
      </c>
      <c r="I12" s="558"/>
      <c r="J12" s="624">
        <f>H12/DAY(B2)</f>
        <v>0</v>
      </c>
      <c r="K12" s="577"/>
      <c r="L12" s="550"/>
      <c r="N12" s="571"/>
      <c r="O12" s="572"/>
    </row>
    <row r="13" spans="1:15" ht="26.25">
      <c r="A13" s="578" t="s">
        <v>136</v>
      </c>
      <c r="B13" s="631"/>
      <c r="C13" s="631"/>
      <c r="D13" s="569"/>
      <c r="E13" s="95"/>
      <c r="F13" s="558"/>
      <c r="G13" s="630">
        <v>26109</v>
      </c>
      <c r="H13" s="558">
        <f t="shared" si="0"/>
        <v>26109</v>
      </c>
      <c r="I13" s="623">
        <f>G7-G13</f>
        <v>3381.1899999999441</v>
      </c>
      <c r="J13" s="624">
        <f>H13/DAY(B2)</f>
        <v>26109</v>
      </c>
      <c r="K13" s="577"/>
      <c r="L13" s="550"/>
      <c r="N13" s="571"/>
      <c r="O13" s="572"/>
    </row>
    <row r="14" spans="1:15" ht="26.25">
      <c r="A14" s="848" t="s">
        <v>137</v>
      </c>
      <c r="B14" s="849"/>
      <c r="C14" s="850"/>
      <c r="D14" s="564"/>
      <c r="E14" s="111"/>
      <c r="F14" s="632"/>
      <c r="G14" s="633"/>
      <c r="H14" s="632"/>
      <c r="I14" s="632"/>
      <c r="J14" s="634"/>
      <c r="K14" s="579"/>
      <c r="L14" s="550"/>
      <c r="N14" s="571"/>
      <c r="O14" s="572"/>
    </row>
    <row r="15" spans="1:15" ht="26.25">
      <c r="A15" s="580" t="s">
        <v>138</v>
      </c>
      <c r="B15" s="635"/>
      <c r="C15" s="635"/>
      <c r="D15" s="569" t="s">
        <v>139</v>
      </c>
      <c r="E15" s="470">
        <v>2003727</v>
      </c>
      <c r="F15" s="636">
        <v>2004830.99</v>
      </c>
      <c r="G15" s="637">
        <f>(F15-E15)</f>
        <v>1103.9899999999907</v>
      </c>
      <c r="H15" s="623">
        <f>G15</f>
        <v>1103.9899999999907</v>
      </c>
      <c r="I15" s="623">
        <v>800</v>
      </c>
      <c r="J15" s="624">
        <f>H15/DAY(B2)</f>
        <v>1103.9899999999907</v>
      </c>
      <c r="K15" s="577"/>
      <c r="L15" s="550"/>
      <c r="N15" s="571"/>
      <c r="O15" s="572"/>
    </row>
    <row r="16" spans="1:15" ht="26.25">
      <c r="A16" s="581"/>
      <c r="B16" s="638"/>
      <c r="C16" s="638"/>
      <c r="D16" s="639"/>
      <c r="E16" s="123"/>
      <c r="F16" s="640"/>
      <c r="G16" s="630"/>
      <c r="H16" s="623"/>
      <c r="I16" s="623">
        <f>I15-J15</f>
        <v>-303.98999999999069</v>
      </c>
      <c r="J16" s="641"/>
      <c r="K16" s="577"/>
      <c r="L16" s="550"/>
      <c r="N16" s="571"/>
      <c r="O16" s="572"/>
    </row>
    <row r="17" spans="1:15" ht="26.25">
      <c r="A17" s="848" t="s">
        <v>140</v>
      </c>
      <c r="B17" s="849"/>
      <c r="C17" s="850"/>
      <c r="D17" s="564"/>
      <c r="E17" s="111"/>
      <c r="F17" s="632"/>
      <c r="G17" s="633"/>
      <c r="H17" s="632"/>
      <c r="I17" s="632"/>
      <c r="J17" s="634"/>
      <c r="K17" s="577"/>
      <c r="L17" s="550"/>
      <c r="N17" s="571"/>
      <c r="O17" s="572"/>
    </row>
    <row r="18" spans="1:15" ht="26.25">
      <c r="A18" s="816" t="s">
        <v>141</v>
      </c>
      <c r="B18" s="817"/>
      <c r="C18" s="818"/>
      <c r="D18" s="569" t="s">
        <v>142</v>
      </c>
      <c r="E18" s="122">
        <v>33</v>
      </c>
      <c r="F18" s="642">
        <v>26</v>
      </c>
      <c r="G18" s="604">
        <f>F18*10</f>
        <v>260</v>
      </c>
      <c r="H18" s="558">
        <f>G18</f>
        <v>260</v>
      </c>
      <c r="I18" s="623">
        <v>65</v>
      </c>
      <c r="J18" s="624">
        <f>H18/DAY(B2)</f>
        <v>260</v>
      </c>
      <c r="K18" s="577"/>
      <c r="L18" s="550"/>
      <c r="N18" s="571"/>
      <c r="O18" s="572"/>
    </row>
    <row r="19" spans="1:15" ht="26.25">
      <c r="A19" s="816" t="s">
        <v>69</v>
      </c>
      <c r="B19" s="817"/>
      <c r="C19" s="818"/>
      <c r="D19" s="569" t="s">
        <v>142</v>
      </c>
      <c r="E19" s="122">
        <v>158454</v>
      </c>
      <c r="F19" s="642">
        <v>158506</v>
      </c>
      <c r="G19" s="630">
        <f t="shared" ref="G19" si="2">F19-E19</f>
        <v>52</v>
      </c>
      <c r="H19" s="558">
        <f t="shared" ref="H19" si="3">G19</f>
        <v>52</v>
      </c>
      <c r="I19" s="629"/>
      <c r="J19" s="624">
        <f>H19/DAY(B2)</f>
        <v>52</v>
      </c>
      <c r="K19" s="577"/>
      <c r="L19" s="550"/>
      <c r="N19" s="571"/>
      <c r="O19" s="572"/>
    </row>
    <row r="20" spans="1:15" ht="26.25">
      <c r="A20" s="578" t="s">
        <v>143</v>
      </c>
      <c r="B20" s="631"/>
      <c r="C20" s="631"/>
      <c r="D20" s="643"/>
      <c r="E20" s="126"/>
      <c r="F20" s="644"/>
      <c r="G20" s="645">
        <f>G18+G19</f>
        <v>312</v>
      </c>
      <c r="H20" s="558">
        <f>G20</f>
        <v>312</v>
      </c>
      <c r="I20" s="646">
        <f>I18-J20</f>
        <v>-247</v>
      </c>
      <c r="J20" s="624">
        <f>H20/DAY(B2)</f>
        <v>312</v>
      </c>
      <c r="K20" s="577"/>
      <c r="L20" s="550"/>
      <c r="N20" s="571"/>
      <c r="O20" s="572"/>
    </row>
    <row r="21" spans="1:15" ht="26.25">
      <c r="A21" s="848" t="s">
        <v>144</v>
      </c>
      <c r="B21" s="849"/>
      <c r="C21" s="850"/>
      <c r="D21" s="564"/>
      <c r="E21" s="111"/>
      <c r="F21" s="632"/>
      <c r="G21" s="633"/>
      <c r="H21" s="632"/>
      <c r="I21" s="632"/>
      <c r="J21" s="634"/>
      <c r="K21" s="577"/>
      <c r="L21" s="550"/>
      <c r="N21" s="571"/>
      <c r="O21" s="572"/>
    </row>
    <row r="22" spans="1:15" ht="26.25">
      <c r="A22" s="580" t="s">
        <v>145</v>
      </c>
      <c r="B22" s="635"/>
      <c r="C22" s="635"/>
      <c r="D22" s="569" t="s">
        <v>146</v>
      </c>
      <c r="E22" s="122">
        <v>2970</v>
      </c>
      <c r="F22" s="642">
        <v>2970</v>
      </c>
      <c r="G22" s="604">
        <f>(F22-E22)</f>
        <v>0</v>
      </c>
      <c r="H22" s="558">
        <f>G22</f>
        <v>0</v>
      </c>
      <c r="I22" s="558"/>
      <c r="J22" s="624">
        <f>H22/DAY(B2)</f>
        <v>0</v>
      </c>
      <c r="K22" s="577"/>
      <c r="L22" s="550"/>
      <c r="N22" s="571"/>
      <c r="O22" s="572"/>
    </row>
    <row r="23" spans="1:15" ht="26.25">
      <c r="A23" s="580" t="s">
        <v>147</v>
      </c>
      <c r="B23" s="635"/>
      <c r="C23" s="635"/>
      <c r="D23" s="569" t="s">
        <v>146</v>
      </c>
      <c r="E23" s="122">
        <v>2000</v>
      </c>
      <c r="F23" s="642">
        <v>2000</v>
      </c>
      <c r="G23" s="604">
        <f t="shared" ref="G23" si="4">(F23-E23)</f>
        <v>0</v>
      </c>
      <c r="H23" s="558">
        <f t="shared" ref="H23:H24" si="5">G23</f>
        <v>0</v>
      </c>
      <c r="I23" s="558"/>
      <c r="J23" s="624">
        <f>H23/DAY(B2)</f>
        <v>0</v>
      </c>
      <c r="K23" s="577"/>
      <c r="L23" s="550"/>
      <c r="N23" s="571"/>
      <c r="O23" s="572"/>
    </row>
    <row r="24" spans="1:15" ht="26.25">
      <c r="A24" s="582" t="s">
        <v>148</v>
      </c>
      <c r="B24" s="647"/>
      <c r="C24" s="647"/>
      <c r="D24" s="554" t="s">
        <v>146</v>
      </c>
      <c r="E24" s="128">
        <v>4970</v>
      </c>
      <c r="F24" s="648">
        <v>4970</v>
      </c>
      <c r="G24" s="604">
        <f>SUM(G22:G23)</f>
        <v>0</v>
      </c>
      <c r="H24" s="558">
        <f t="shared" si="5"/>
        <v>0</v>
      </c>
      <c r="I24" s="558"/>
      <c r="J24" s="624">
        <f>H24/DAY(B2)</f>
        <v>0</v>
      </c>
      <c r="K24" s="577"/>
      <c r="L24" s="550"/>
      <c r="N24" s="571"/>
      <c r="O24" s="572"/>
    </row>
    <row r="25" spans="1:15" ht="26.25">
      <c r="A25" s="845" t="s">
        <v>149</v>
      </c>
      <c r="B25" s="846"/>
      <c r="C25" s="847"/>
      <c r="D25" s="563"/>
      <c r="E25" s="110"/>
      <c r="F25" s="632"/>
      <c r="G25" s="633"/>
      <c r="H25" s="632"/>
      <c r="I25" s="649"/>
      <c r="J25" s="634"/>
      <c r="K25" s="577"/>
      <c r="L25" s="550"/>
      <c r="N25" s="571"/>
      <c r="O25" s="572"/>
    </row>
    <row r="26" spans="1:15" ht="26.25">
      <c r="A26" s="583" t="s">
        <v>150</v>
      </c>
      <c r="B26" s="650"/>
      <c r="C26" s="651"/>
      <c r="D26" s="652" t="s">
        <v>151</v>
      </c>
      <c r="E26" s="132"/>
      <c r="F26" s="653"/>
      <c r="G26" s="654"/>
      <c r="H26" s="558"/>
      <c r="I26" s="655"/>
      <c r="J26" s="624"/>
      <c r="K26" s="579"/>
      <c r="L26" s="550"/>
      <c r="N26" s="571"/>
      <c r="O26" s="572"/>
    </row>
    <row r="27" spans="1:15" ht="26.25">
      <c r="A27" s="583" t="s">
        <v>5</v>
      </c>
      <c r="B27" s="650"/>
      <c r="C27" s="651"/>
      <c r="D27" s="656" t="s">
        <v>24</v>
      </c>
      <c r="E27" s="136">
        <f>G8</f>
        <v>30041.630000000005</v>
      </c>
      <c r="F27" s="136">
        <v>9</v>
      </c>
      <c r="G27" s="657">
        <f>E27*F27</f>
        <v>270374.67000000004</v>
      </c>
      <c r="H27" s="558">
        <f t="shared" ref="H27:H32" si="6">G27</f>
        <v>270374.67000000004</v>
      </c>
      <c r="I27" s="658"/>
      <c r="J27" s="624">
        <f>H27/DAY(B2)</f>
        <v>270374.67000000004</v>
      </c>
      <c r="K27" s="577"/>
      <c r="L27" s="550"/>
      <c r="N27" s="571"/>
      <c r="O27" s="572"/>
    </row>
    <row r="28" spans="1:15" ht="26.25">
      <c r="A28" s="583" t="s">
        <v>152</v>
      </c>
      <c r="B28" s="650"/>
      <c r="C28" s="651"/>
      <c r="D28" s="656" t="s">
        <v>153</v>
      </c>
      <c r="E28" s="136">
        <f>G15</f>
        <v>1103.9899999999907</v>
      </c>
      <c r="F28" s="136">
        <v>70</v>
      </c>
      <c r="G28" s="657">
        <f>E28*F28</f>
        <v>77279.299999999348</v>
      </c>
      <c r="H28" s="558">
        <f t="shared" si="6"/>
        <v>77279.299999999348</v>
      </c>
      <c r="I28" s="655"/>
      <c r="J28" s="624">
        <f>H28/DAY(B2)</f>
        <v>77279.299999999348</v>
      </c>
      <c r="K28" s="577"/>
      <c r="L28" s="550"/>
      <c r="N28" s="571"/>
      <c r="O28" s="572"/>
    </row>
    <row r="29" spans="1:15" ht="26.25">
      <c r="A29" s="583" t="s">
        <v>154</v>
      </c>
      <c r="B29" s="650"/>
      <c r="C29" s="651"/>
      <c r="D29" s="656" t="s">
        <v>155</v>
      </c>
      <c r="E29" s="136">
        <f>G24</f>
        <v>0</v>
      </c>
      <c r="F29" s="136">
        <v>69</v>
      </c>
      <c r="G29" s="657">
        <f>E29*F29</f>
        <v>0</v>
      </c>
      <c r="H29" s="558">
        <f t="shared" si="6"/>
        <v>0</v>
      </c>
      <c r="I29" s="655"/>
      <c r="J29" s="624">
        <f>H29/DAY(B2)</f>
        <v>0</v>
      </c>
      <c r="K29" s="577"/>
      <c r="L29" s="550"/>
      <c r="N29" s="571"/>
      <c r="O29" s="572"/>
    </row>
    <row r="30" spans="1:15" ht="26.25">
      <c r="A30" s="583" t="s">
        <v>156</v>
      </c>
      <c r="B30" s="650"/>
      <c r="C30" s="651"/>
      <c r="D30" s="656" t="s">
        <v>157</v>
      </c>
      <c r="E30" s="136">
        <f>G19</f>
        <v>52</v>
      </c>
      <c r="F30" s="136">
        <v>151</v>
      </c>
      <c r="G30" s="657">
        <f>E30*F30</f>
        <v>7852</v>
      </c>
      <c r="H30" s="558">
        <f t="shared" si="6"/>
        <v>7852</v>
      </c>
      <c r="I30" s="655"/>
      <c r="J30" s="624">
        <f>H30/DAY(B2)</f>
        <v>7852</v>
      </c>
      <c r="K30" s="577"/>
      <c r="L30" s="550"/>
      <c r="N30" s="571"/>
      <c r="O30" s="572"/>
    </row>
    <row r="31" spans="1:15" ht="26.25">
      <c r="A31" s="583" t="s">
        <v>158</v>
      </c>
      <c r="B31" s="650"/>
      <c r="C31" s="651"/>
      <c r="D31" s="656" t="s">
        <v>142</v>
      </c>
      <c r="E31" s="136">
        <f>G18</f>
        <v>260</v>
      </c>
      <c r="F31" s="136">
        <v>80</v>
      </c>
      <c r="G31" s="657">
        <f>E31*F31</f>
        <v>20800</v>
      </c>
      <c r="H31" s="558">
        <f t="shared" si="6"/>
        <v>20800</v>
      </c>
      <c r="I31" s="655"/>
      <c r="J31" s="624">
        <f>H31/DAY(B2)</f>
        <v>20800</v>
      </c>
      <c r="K31" s="577"/>
      <c r="L31" s="550"/>
      <c r="N31" s="571"/>
      <c r="O31" s="572"/>
    </row>
    <row r="32" spans="1:15" ht="26.25">
      <c r="A32" s="584" t="s">
        <v>159</v>
      </c>
      <c r="B32" s="659"/>
      <c r="C32" s="660"/>
      <c r="D32" s="661"/>
      <c r="E32" s="142"/>
      <c r="F32" s="662"/>
      <c r="G32" s="663">
        <f>G27+G28+G29+G30+G31</f>
        <v>376305.96999999939</v>
      </c>
      <c r="H32" s="664">
        <f t="shared" si="6"/>
        <v>376305.96999999939</v>
      </c>
      <c r="I32" s="665"/>
      <c r="J32" s="666">
        <f>H32/DAY(B2)</f>
        <v>376305.96999999939</v>
      </c>
      <c r="K32" s="577"/>
      <c r="L32" s="550"/>
      <c r="N32" s="571"/>
      <c r="O32" s="572"/>
    </row>
    <row r="33" spans="1:15" ht="25.5" customHeight="1">
      <c r="A33" s="853" t="s">
        <v>331</v>
      </c>
      <c r="B33" s="854"/>
      <c r="C33" s="854"/>
      <c r="D33" s="667"/>
      <c r="E33" s="531"/>
      <c r="F33" s="668"/>
      <c r="G33" s="668"/>
      <c r="H33" s="668"/>
      <c r="I33" s="668"/>
      <c r="J33" s="669"/>
      <c r="K33" s="577"/>
      <c r="L33" s="550"/>
      <c r="N33" s="571"/>
      <c r="O33" s="572"/>
    </row>
    <row r="34" spans="1:15" ht="26.25">
      <c r="A34" s="585" t="s">
        <v>160</v>
      </c>
      <c r="B34" s="670"/>
      <c r="C34" s="670"/>
      <c r="D34" s="564"/>
      <c r="E34" s="110"/>
      <c r="F34" s="632"/>
      <c r="G34" s="632"/>
      <c r="H34" s="632"/>
      <c r="I34" s="632"/>
      <c r="J34" s="634"/>
      <c r="K34" s="577"/>
      <c r="L34" s="550"/>
      <c r="N34" s="571"/>
      <c r="O34" s="572"/>
    </row>
    <row r="35" spans="1:15" ht="26.25">
      <c r="A35" s="568" t="s">
        <v>161</v>
      </c>
      <c r="B35" s="621"/>
      <c r="C35" s="621"/>
      <c r="D35" s="569" t="s">
        <v>130</v>
      </c>
      <c r="E35" s="145">
        <v>202885</v>
      </c>
      <c r="F35" s="629">
        <v>205140.97</v>
      </c>
      <c r="G35" s="630">
        <f t="shared" ref="G35:G46" si="7">F35-E35</f>
        <v>2255.9700000000012</v>
      </c>
      <c r="H35" s="558">
        <f t="shared" ref="H35:H47" si="8">G35</f>
        <v>2255.9700000000012</v>
      </c>
      <c r="I35" s="558"/>
      <c r="J35" s="624">
        <f>H35/DAY(B2)</f>
        <v>2255.9700000000012</v>
      </c>
      <c r="K35" s="577"/>
      <c r="L35" s="550"/>
      <c r="N35" s="571"/>
      <c r="O35" s="572"/>
    </row>
    <row r="36" spans="1:15" ht="26.25">
      <c r="A36" s="568" t="s">
        <v>162</v>
      </c>
      <c r="B36" s="621"/>
      <c r="C36" s="621"/>
      <c r="D36" s="569" t="s">
        <v>130</v>
      </c>
      <c r="E36" s="145">
        <v>131579</v>
      </c>
      <c r="F36" s="629">
        <v>132423.20000000001</v>
      </c>
      <c r="G36" s="630">
        <f t="shared" si="7"/>
        <v>844.20000000001164</v>
      </c>
      <c r="H36" s="558">
        <f t="shared" si="8"/>
        <v>844.20000000001164</v>
      </c>
      <c r="I36" s="558"/>
      <c r="J36" s="624">
        <f>H36/DAY(B2)</f>
        <v>844.20000000001164</v>
      </c>
      <c r="K36" s="577"/>
      <c r="L36" s="550"/>
      <c r="N36" s="571"/>
      <c r="O36" s="586"/>
    </row>
    <row r="37" spans="1:15" ht="26.25">
      <c r="A37" s="568" t="s">
        <v>163</v>
      </c>
      <c r="B37" s="621"/>
      <c r="C37" s="621"/>
      <c r="D37" s="569" t="s">
        <v>130</v>
      </c>
      <c r="E37" s="145">
        <v>183125</v>
      </c>
      <c r="F37" s="629">
        <v>184802.95</v>
      </c>
      <c r="G37" s="630">
        <f t="shared" si="7"/>
        <v>1677.9500000000116</v>
      </c>
      <c r="H37" s="558">
        <f t="shared" si="8"/>
        <v>1677.9500000000116</v>
      </c>
      <c r="I37" s="558"/>
      <c r="J37" s="624">
        <f>H37/DAY(B2)</f>
        <v>1677.9500000000116</v>
      </c>
      <c r="K37" s="577"/>
      <c r="L37" s="550"/>
      <c r="N37" s="571"/>
      <c r="O37" s="587"/>
    </row>
    <row r="38" spans="1:15" ht="26.25">
      <c r="A38" s="568" t="s">
        <v>164</v>
      </c>
      <c r="B38" s="621"/>
      <c r="C38" s="621"/>
      <c r="D38" s="569" t="s">
        <v>130</v>
      </c>
      <c r="E38" s="108">
        <v>243452</v>
      </c>
      <c r="F38" s="558">
        <v>245810.51</v>
      </c>
      <c r="G38" s="630">
        <f t="shared" si="7"/>
        <v>2358.5100000000093</v>
      </c>
      <c r="H38" s="558">
        <f t="shared" si="8"/>
        <v>2358.5100000000093</v>
      </c>
      <c r="I38" s="558"/>
      <c r="J38" s="624">
        <f>H38/DAY(B2)</f>
        <v>2358.5100000000093</v>
      </c>
      <c r="K38" s="577"/>
      <c r="L38" s="550"/>
      <c r="N38" s="571"/>
      <c r="O38" s="572"/>
    </row>
    <row r="39" spans="1:15" ht="26.25">
      <c r="A39" s="568" t="s">
        <v>165</v>
      </c>
      <c r="B39" s="621"/>
      <c r="C39" s="621"/>
      <c r="D39" s="569" t="s">
        <v>130</v>
      </c>
      <c r="E39" s="145">
        <v>339988</v>
      </c>
      <c r="F39" s="629">
        <v>342742.71</v>
      </c>
      <c r="G39" s="630">
        <f t="shared" si="7"/>
        <v>2754.710000000021</v>
      </c>
      <c r="H39" s="558">
        <f t="shared" si="8"/>
        <v>2754.710000000021</v>
      </c>
      <c r="I39" s="558"/>
      <c r="J39" s="624">
        <f>H39/DAY(B2)</f>
        <v>2754.710000000021</v>
      </c>
      <c r="K39" s="577"/>
      <c r="L39" s="550"/>
      <c r="N39" s="571"/>
      <c r="O39" s="572"/>
    </row>
    <row r="40" spans="1:15" ht="26.25">
      <c r="A40" s="588" t="s">
        <v>166</v>
      </c>
      <c r="B40" s="671"/>
      <c r="C40" s="671"/>
      <c r="D40" s="569" t="s">
        <v>130</v>
      </c>
      <c r="E40" s="145">
        <v>64877</v>
      </c>
      <c r="F40" s="629">
        <v>65662.02</v>
      </c>
      <c r="G40" s="630">
        <f t="shared" si="7"/>
        <v>785.02000000000407</v>
      </c>
      <c r="H40" s="558">
        <f t="shared" si="8"/>
        <v>785.02000000000407</v>
      </c>
      <c r="I40" s="558"/>
      <c r="J40" s="624">
        <f>H40/DAY(B2)</f>
        <v>785.02000000000407</v>
      </c>
      <c r="K40" s="579"/>
      <c r="L40" s="550"/>
      <c r="N40" s="571"/>
      <c r="O40" s="572"/>
    </row>
    <row r="41" spans="1:15" ht="26.25">
      <c r="A41" s="568" t="s">
        <v>167</v>
      </c>
      <c r="B41" s="621"/>
      <c r="C41" s="621"/>
      <c r="D41" s="569" t="s">
        <v>130</v>
      </c>
      <c r="E41" s="145">
        <v>27693</v>
      </c>
      <c r="F41" s="629">
        <v>31915.69</v>
      </c>
      <c r="G41" s="630">
        <f t="shared" si="7"/>
        <v>4222.6899999999987</v>
      </c>
      <c r="H41" s="558">
        <f t="shared" si="8"/>
        <v>4222.6899999999987</v>
      </c>
      <c r="I41" s="558"/>
      <c r="J41" s="624">
        <f>H41/DAY(B2)</f>
        <v>4222.6899999999987</v>
      </c>
      <c r="K41" s="577"/>
      <c r="L41" s="550"/>
      <c r="N41" s="571"/>
      <c r="O41" s="572"/>
    </row>
    <row r="42" spans="1:15" ht="26.25">
      <c r="A42" s="568" t="s">
        <v>168</v>
      </c>
      <c r="B42" s="621"/>
      <c r="C42" s="621"/>
      <c r="D42" s="569" t="s">
        <v>130</v>
      </c>
      <c r="E42" s="145">
        <v>425801</v>
      </c>
      <c r="F42" s="629">
        <v>431606</v>
      </c>
      <c r="G42" s="630">
        <f t="shared" si="7"/>
        <v>5805</v>
      </c>
      <c r="H42" s="558">
        <f t="shared" si="8"/>
        <v>5805</v>
      </c>
      <c r="I42" s="558"/>
      <c r="J42" s="624">
        <f>H42/DAY(B2)</f>
        <v>5805</v>
      </c>
      <c r="K42" s="577"/>
      <c r="L42" s="550"/>
      <c r="N42" s="571"/>
      <c r="O42" s="572"/>
    </row>
    <row r="43" spans="1:15" ht="26.25">
      <c r="A43" s="568" t="s">
        <v>169</v>
      </c>
      <c r="B43" s="621"/>
      <c r="C43" s="621"/>
      <c r="D43" s="569" t="s">
        <v>130</v>
      </c>
      <c r="E43" s="145">
        <v>357519</v>
      </c>
      <c r="F43" s="629">
        <v>361340.99</v>
      </c>
      <c r="G43" s="630">
        <f t="shared" si="7"/>
        <v>3821.9899999999907</v>
      </c>
      <c r="H43" s="558">
        <f t="shared" si="8"/>
        <v>3821.9899999999907</v>
      </c>
      <c r="I43" s="558"/>
      <c r="J43" s="624">
        <f>H43/DAY(B2)</f>
        <v>3821.9899999999907</v>
      </c>
      <c r="K43" s="577"/>
      <c r="L43" s="550"/>
      <c r="N43" s="571"/>
      <c r="O43" s="572"/>
    </row>
    <row r="44" spans="1:15" ht="26.25">
      <c r="A44" s="568" t="s">
        <v>170</v>
      </c>
      <c r="B44" s="621"/>
      <c r="C44" s="621"/>
      <c r="D44" s="569" t="s">
        <v>130</v>
      </c>
      <c r="E44" s="145">
        <v>0</v>
      </c>
      <c r="F44" s="629">
        <v>0</v>
      </c>
      <c r="G44" s="630">
        <f t="shared" si="7"/>
        <v>0</v>
      </c>
      <c r="H44" s="558">
        <f t="shared" si="8"/>
        <v>0</v>
      </c>
      <c r="I44" s="558"/>
      <c r="J44" s="624">
        <f>H44/DAY(B2)</f>
        <v>0</v>
      </c>
      <c r="K44" s="577"/>
      <c r="L44" s="550"/>
      <c r="N44" s="571"/>
      <c r="O44" s="572"/>
    </row>
    <row r="45" spans="1:15" ht="26.25">
      <c r="A45" s="568" t="s">
        <v>171</v>
      </c>
      <c r="B45" s="621"/>
      <c r="C45" s="621"/>
      <c r="D45" s="569" t="s">
        <v>130</v>
      </c>
      <c r="E45" s="145">
        <v>0</v>
      </c>
      <c r="F45" s="629">
        <v>0</v>
      </c>
      <c r="G45" s="630">
        <f t="shared" si="7"/>
        <v>0</v>
      </c>
      <c r="H45" s="558">
        <f t="shared" si="8"/>
        <v>0</v>
      </c>
      <c r="I45" s="558"/>
      <c r="J45" s="624">
        <f>H45/DAY(B2)</f>
        <v>0</v>
      </c>
      <c r="K45" s="577"/>
      <c r="L45" s="550"/>
      <c r="N45" s="571"/>
      <c r="O45" s="572"/>
    </row>
    <row r="46" spans="1:15" ht="26.25">
      <c r="A46" s="568" t="s">
        <v>172</v>
      </c>
      <c r="B46" s="621"/>
      <c r="C46" s="621"/>
      <c r="D46" s="569" t="s">
        <v>130</v>
      </c>
      <c r="E46" s="145">
        <v>0</v>
      </c>
      <c r="F46" s="629">
        <v>0</v>
      </c>
      <c r="G46" s="630">
        <f t="shared" si="7"/>
        <v>0</v>
      </c>
      <c r="H46" s="558">
        <f t="shared" si="8"/>
        <v>0</v>
      </c>
      <c r="I46" s="558"/>
      <c r="J46" s="624">
        <f>H46/DAY(B2)</f>
        <v>0</v>
      </c>
      <c r="K46" s="577"/>
      <c r="L46" s="550"/>
      <c r="N46" s="571"/>
      <c r="O46" s="572"/>
    </row>
    <row r="47" spans="1:15" ht="26.25">
      <c r="A47" s="578" t="s">
        <v>173</v>
      </c>
      <c r="B47" s="631"/>
      <c r="C47" s="631"/>
      <c r="D47" s="672"/>
      <c r="E47" s="146"/>
      <c r="F47" s="558"/>
      <c r="G47" s="604">
        <f>G35+G36+G37+G38+G39+G40+G41+G42+G43+G44+G45+G46</f>
        <v>24526.040000000048</v>
      </c>
      <c r="H47" s="558">
        <f t="shared" si="8"/>
        <v>24526.040000000048</v>
      </c>
      <c r="I47" s="558"/>
      <c r="J47" s="624">
        <f>H47/DAY(B2)</f>
        <v>24526.040000000048</v>
      </c>
      <c r="K47" s="577"/>
      <c r="L47" s="550"/>
      <c r="N47" s="571"/>
      <c r="O47" s="572"/>
    </row>
    <row r="48" spans="1:15" ht="26.25">
      <c r="A48" s="585" t="s">
        <v>174</v>
      </c>
      <c r="B48" s="670"/>
      <c r="C48" s="670"/>
      <c r="D48" s="564"/>
      <c r="E48" s="110"/>
      <c r="F48" s="632"/>
      <c r="G48" s="632"/>
      <c r="H48" s="632"/>
      <c r="I48" s="632"/>
      <c r="J48" s="634"/>
      <c r="K48" s="577"/>
      <c r="L48" s="550"/>
      <c r="N48" s="571"/>
      <c r="O48" s="572"/>
    </row>
    <row r="49" spans="1:15" ht="26.25">
      <c r="A49" s="568" t="s">
        <v>161</v>
      </c>
      <c r="B49" s="673"/>
      <c r="C49" s="673"/>
      <c r="D49" s="569" t="s">
        <v>130</v>
      </c>
      <c r="E49" s="145">
        <v>165170</v>
      </c>
      <c r="F49" s="629">
        <v>167032.65</v>
      </c>
      <c r="G49" s="630">
        <f t="shared" ref="G49:G58" si="9">F49-E49</f>
        <v>1862.6499999999942</v>
      </c>
      <c r="H49" s="558">
        <f t="shared" ref="H49:H60" si="10">G49</f>
        <v>1862.6499999999942</v>
      </c>
      <c r="I49" s="558"/>
      <c r="J49" s="624">
        <f>H49/DAY(B2)</f>
        <v>1862.6499999999942</v>
      </c>
      <c r="K49" s="577"/>
      <c r="L49" s="550"/>
      <c r="N49" s="571"/>
      <c r="O49" s="572"/>
    </row>
    <row r="50" spans="1:15" ht="26.25">
      <c r="A50" s="568" t="s">
        <v>175</v>
      </c>
      <c r="B50" s="673"/>
      <c r="C50" s="673"/>
      <c r="D50" s="569" t="s">
        <v>130</v>
      </c>
      <c r="E50" s="145">
        <v>172607</v>
      </c>
      <c r="F50" s="629">
        <v>174381.41</v>
      </c>
      <c r="G50" s="630">
        <f t="shared" si="9"/>
        <v>1774.4100000000035</v>
      </c>
      <c r="H50" s="558">
        <f t="shared" si="10"/>
        <v>1774.4100000000035</v>
      </c>
      <c r="I50" s="558"/>
      <c r="J50" s="624">
        <f>H50/DAY(B2)</f>
        <v>1774.4100000000035</v>
      </c>
      <c r="K50" s="577"/>
      <c r="L50" s="550"/>
      <c r="N50" s="571"/>
      <c r="O50" s="572"/>
    </row>
    <row r="51" spans="1:15" ht="26.25">
      <c r="A51" s="568" t="s">
        <v>163</v>
      </c>
      <c r="B51" s="673"/>
      <c r="C51" s="673"/>
      <c r="D51" s="569" t="s">
        <v>130</v>
      </c>
      <c r="E51" s="145">
        <v>75.680000000000007</v>
      </c>
      <c r="F51" s="629">
        <v>75.680000000000007</v>
      </c>
      <c r="G51" s="630">
        <f t="shared" si="9"/>
        <v>0</v>
      </c>
      <c r="H51" s="558">
        <f t="shared" si="10"/>
        <v>0</v>
      </c>
      <c r="I51" s="558"/>
      <c r="J51" s="624">
        <f>H51/DAY(B2)</f>
        <v>0</v>
      </c>
      <c r="K51" s="577"/>
      <c r="L51" s="550"/>
      <c r="N51" s="571"/>
      <c r="O51" s="572"/>
    </row>
    <row r="52" spans="1:15" ht="26.25">
      <c r="A52" s="568" t="s">
        <v>176</v>
      </c>
      <c r="B52" s="673"/>
      <c r="C52" s="673"/>
      <c r="D52" s="569" t="s">
        <v>130</v>
      </c>
      <c r="E52" s="145">
        <v>10</v>
      </c>
      <c r="F52" s="629">
        <v>9.76</v>
      </c>
      <c r="G52" s="630">
        <f t="shared" si="9"/>
        <v>-0.24000000000000021</v>
      </c>
      <c r="H52" s="558">
        <f t="shared" si="10"/>
        <v>-0.24000000000000021</v>
      </c>
      <c r="I52" s="558"/>
      <c r="J52" s="624">
        <f>H52/DAY(B2)</f>
        <v>-0.24000000000000021</v>
      </c>
      <c r="K52" s="577"/>
      <c r="L52" s="550"/>
      <c r="N52" s="571"/>
      <c r="O52" s="572"/>
    </row>
    <row r="53" spans="1:15" ht="26.25">
      <c r="A53" s="568" t="s">
        <v>165</v>
      </c>
      <c r="B53" s="673"/>
      <c r="C53" s="673"/>
      <c r="D53" s="569" t="s">
        <v>130</v>
      </c>
      <c r="E53" s="419">
        <v>0</v>
      </c>
      <c r="F53" s="629">
        <v>0</v>
      </c>
      <c r="G53" s="630">
        <f t="shared" si="9"/>
        <v>0</v>
      </c>
      <c r="H53" s="558">
        <f t="shared" si="10"/>
        <v>0</v>
      </c>
      <c r="I53" s="558"/>
      <c r="J53" s="624">
        <f>H53/DAY(B2)</f>
        <v>0</v>
      </c>
      <c r="K53" s="577"/>
      <c r="L53" s="550"/>
      <c r="N53" s="571"/>
      <c r="O53" s="572"/>
    </row>
    <row r="54" spans="1:15" ht="26.25">
      <c r="A54" s="568" t="s">
        <v>177</v>
      </c>
      <c r="B54" s="673"/>
      <c r="C54" s="673"/>
      <c r="D54" s="569" t="s">
        <v>130</v>
      </c>
      <c r="E54" s="419">
        <v>50083</v>
      </c>
      <c r="F54" s="629">
        <v>50555.83</v>
      </c>
      <c r="G54" s="630">
        <f t="shared" si="9"/>
        <v>472.83000000000175</v>
      </c>
      <c r="H54" s="558">
        <f t="shared" si="10"/>
        <v>472.83000000000175</v>
      </c>
      <c r="I54" s="558"/>
      <c r="J54" s="624">
        <f>H54/DAY(B2)</f>
        <v>472.83000000000175</v>
      </c>
      <c r="K54" s="577"/>
      <c r="L54" s="550"/>
      <c r="N54" s="571"/>
      <c r="O54" s="572"/>
    </row>
    <row r="55" spans="1:15" ht="26.25">
      <c r="A55" s="568" t="s">
        <v>178</v>
      </c>
      <c r="B55" s="673"/>
      <c r="C55" s="673"/>
      <c r="D55" s="569" t="s">
        <v>130</v>
      </c>
      <c r="E55" s="419">
        <v>144967</v>
      </c>
      <c r="F55" s="629">
        <v>145222.93</v>
      </c>
      <c r="G55" s="630">
        <f t="shared" si="9"/>
        <v>255.92999999999302</v>
      </c>
      <c r="H55" s="558">
        <f t="shared" si="10"/>
        <v>255.92999999999302</v>
      </c>
      <c r="I55" s="558"/>
      <c r="J55" s="624">
        <f>H55/DAY(B2)</f>
        <v>255.92999999999302</v>
      </c>
      <c r="K55" s="577"/>
      <c r="L55" s="550"/>
      <c r="N55" s="571"/>
      <c r="O55" s="572"/>
    </row>
    <row r="56" spans="1:15" ht="26.25">
      <c r="A56" s="568" t="s">
        <v>179</v>
      </c>
      <c r="B56" s="673"/>
      <c r="C56" s="673"/>
      <c r="D56" s="569" t="s">
        <v>180</v>
      </c>
      <c r="E56" s="419">
        <v>107246</v>
      </c>
      <c r="F56" s="629">
        <v>107245.66</v>
      </c>
      <c r="G56" s="630">
        <f t="shared" si="9"/>
        <v>-0.33999999999650754</v>
      </c>
      <c r="H56" s="558">
        <f t="shared" si="10"/>
        <v>-0.33999999999650754</v>
      </c>
      <c r="I56" s="558"/>
      <c r="J56" s="624">
        <f>H56/DAY(B2)</f>
        <v>-0.33999999999650754</v>
      </c>
      <c r="K56" s="589"/>
      <c r="L56" s="550"/>
      <c r="N56" s="571"/>
      <c r="O56" s="572"/>
    </row>
    <row r="57" spans="1:15" ht="26.25">
      <c r="A57" s="568" t="s">
        <v>169</v>
      </c>
      <c r="B57" s="673"/>
      <c r="C57" s="673"/>
      <c r="D57" s="569" t="s">
        <v>130</v>
      </c>
      <c r="E57" s="419">
        <v>0</v>
      </c>
      <c r="F57" s="629">
        <v>0</v>
      </c>
      <c r="G57" s="630">
        <f t="shared" si="9"/>
        <v>0</v>
      </c>
      <c r="H57" s="558">
        <f t="shared" si="10"/>
        <v>0</v>
      </c>
      <c r="I57" s="558"/>
      <c r="J57" s="624">
        <f>H57/DAY(B2)</f>
        <v>0</v>
      </c>
      <c r="K57" s="577"/>
      <c r="L57" s="550"/>
      <c r="N57" s="571"/>
      <c r="O57" s="572"/>
    </row>
    <row r="58" spans="1:15" ht="26.25">
      <c r="A58" s="568" t="s">
        <v>181</v>
      </c>
      <c r="B58" s="673"/>
      <c r="C58" s="673"/>
      <c r="D58" s="569" t="s">
        <v>130</v>
      </c>
      <c r="E58" s="419">
        <v>25493</v>
      </c>
      <c r="F58" s="629">
        <v>25724.51</v>
      </c>
      <c r="G58" s="630">
        <f t="shared" si="9"/>
        <v>231.5099999999984</v>
      </c>
      <c r="H58" s="558">
        <f t="shared" si="10"/>
        <v>231.5099999999984</v>
      </c>
      <c r="I58" s="558"/>
      <c r="J58" s="624">
        <f>H58/DAY(B2)</f>
        <v>231.5099999999984</v>
      </c>
      <c r="K58" s="577"/>
      <c r="L58" s="550"/>
      <c r="N58" s="571"/>
      <c r="O58" s="572"/>
    </row>
    <row r="59" spans="1:15" ht="26.25">
      <c r="A59" s="578" t="s">
        <v>173</v>
      </c>
      <c r="B59" s="631"/>
      <c r="C59" s="631"/>
      <c r="D59" s="554"/>
      <c r="E59" s="146"/>
      <c r="F59" s="558"/>
      <c r="G59" s="604">
        <f>G49+G50+G51+G52+G53+G54+G55+G56+G57+G58</f>
        <v>4596.7499999999945</v>
      </c>
      <c r="H59" s="558">
        <f t="shared" si="10"/>
        <v>4596.7499999999945</v>
      </c>
      <c r="I59" s="558">
        <f>G7-G60</f>
        <v>367.39999999989959</v>
      </c>
      <c r="J59" s="624">
        <f>H59/DAY(B2)</f>
        <v>4596.7499999999945</v>
      </c>
      <c r="K59" s="577"/>
      <c r="L59" s="550"/>
      <c r="N59" s="571"/>
      <c r="O59" s="572"/>
    </row>
    <row r="60" spans="1:15" ht="26.25">
      <c r="A60" s="568"/>
      <c r="B60" s="621"/>
      <c r="C60" s="621"/>
      <c r="D60" s="554" t="s">
        <v>182</v>
      </c>
      <c r="E60" s="146"/>
      <c r="F60" s="558"/>
      <c r="G60" s="604">
        <f>G47+G59</f>
        <v>29122.790000000045</v>
      </c>
      <c r="H60" s="558">
        <f t="shared" si="10"/>
        <v>29122.790000000045</v>
      </c>
      <c r="I60" s="558">
        <f>G13-G60</f>
        <v>-3013.7900000000445</v>
      </c>
      <c r="J60" s="624">
        <f>H60/DAY(B2)</f>
        <v>29122.790000000045</v>
      </c>
      <c r="K60" s="577"/>
      <c r="L60" s="550"/>
      <c r="N60" s="571"/>
      <c r="O60" s="572"/>
    </row>
    <row r="61" spans="1:15" s="592" customFormat="1" ht="26.25">
      <c r="A61" s="836" t="s">
        <v>332</v>
      </c>
      <c r="B61" s="837"/>
      <c r="C61" s="838"/>
      <c r="D61" s="674"/>
      <c r="E61" s="339"/>
      <c r="F61" s="675"/>
      <c r="G61" s="676"/>
      <c r="H61" s="675"/>
      <c r="I61" s="675"/>
      <c r="J61" s="677"/>
      <c r="K61" s="590"/>
      <c r="L61" s="591"/>
      <c r="N61" s="571"/>
      <c r="O61" s="572"/>
    </row>
    <row r="62" spans="1:15" ht="26.25">
      <c r="A62" s="816" t="s">
        <v>198</v>
      </c>
      <c r="B62" s="817"/>
      <c r="C62" s="818"/>
      <c r="D62" s="569" t="s">
        <v>142</v>
      </c>
      <c r="E62" s="150">
        <v>284009</v>
      </c>
      <c r="F62" s="642">
        <v>284183</v>
      </c>
      <c r="G62" s="630">
        <f t="shared" ref="G62:G63" si="11">F62-E62</f>
        <v>174</v>
      </c>
      <c r="H62" s="558">
        <f t="shared" ref="H62:H71" si="12">G62</f>
        <v>174</v>
      </c>
      <c r="I62" s="558"/>
      <c r="J62" s="624">
        <f>H62/DAY(B2)</f>
        <v>174</v>
      </c>
      <c r="K62" s="579"/>
      <c r="L62" s="550"/>
      <c r="N62" s="571"/>
      <c r="O62" s="572"/>
    </row>
    <row r="63" spans="1:15" ht="26.25">
      <c r="A63" s="816" t="s">
        <v>199</v>
      </c>
      <c r="B63" s="817"/>
      <c r="C63" s="818"/>
      <c r="D63" s="569" t="s">
        <v>142</v>
      </c>
      <c r="E63" s="150">
        <v>227479</v>
      </c>
      <c r="F63" s="642">
        <v>227638</v>
      </c>
      <c r="G63" s="630">
        <f t="shared" si="11"/>
        <v>159</v>
      </c>
      <c r="H63" s="558">
        <f t="shared" si="12"/>
        <v>159</v>
      </c>
      <c r="I63" s="558"/>
      <c r="J63" s="624">
        <f>H63/DAY(B2)</f>
        <v>159</v>
      </c>
      <c r="K63" s="590"/>
      <c r="L63" s="550"/>
      <c r="N63" s="571"/>
      <c r="O63" s="572"/>
    </row>
    <row r="64" spans="1:15" ht="26.25">
      <c r="A64" s="810" t="s">
        <v>200</v>
      </c>
      <c r="B64" s="811"/>
      <c r="C64" s="812"/>
      <c r="D64" s="569"/>
      <c r="E64" s="122"/>
      <c r="F64" s="642"/>
      <c r="G64" s="630">
        <f>G62+G63</f>
        <v>333</v>
      </c>
      <c r="H64" s="558">
        <f t="shared" si="12"/>
        <v>333</v>
      </c>
      <c r="I64" s="558"/>
      <c r="J64" s="624">
        <f>H64/DAY(B2)</f>
        <v>333</v>
      </c>
      <c r="K64" s="590"/>
      <c r="L64" s="550"/>
      <c r="N64" s="571"/>
      <c r="O64" s="572"/>
    </row>
    <row r="65" spans="1:15" ht="26.25">
      <c r="A65" s="816" t="s">
        <v>201</v>
      </c>
      <c r="B65" s="817"/>
      <c r="C65" s="818"/>
      <c r="D65" s="569" t="s">
        <v>142</v>
      </c>
      <c r="E65" s="150">
        <v>444592</v>
      </c>
      <c r="F65" s="642">
        <v>444705</v>
      </c>
      <c r="G65" s="630">
        <f t="shared" ref="G65:G70" si="13">F65-E65</f>
        <v>113</v>
      </c>
      <c r="H65" s="558">
        <f t="shared" si="12"/>
        <v>113</v>
      </c>
      <c r="I65" s="558"/>
      <c r="J65" s="624">
        <f>H65/DAY(B2)</f>
        <v>113</v>
      </c>
      <c r="K65" s="590"/>
      <c r="L65" s="550"/>
      <c r="N65" s="571"/>
      <c r="O65" s="572"/>
    </row>
    <row r="66" spans="1:15" ht="26.25">
      <c r="A66" s="580" t="s">
        <v>202</v>
      </c>
      <c r="B66" s="635"/>
      <c r="C66" s="635"/>
      <c r="D66" s="569" t="s">
        <v>142</v>
      </c>
      <c r="E66" s="150">
        <v>109581</v>
      </c>
      <c r="F66" s="642">
        <v>109605</v>
      </c>
      <c r="G66" s="630">
        <f t="shared" si="13"/>
        <v>24</v>
      </c>
      <c r="H66" s="558">
        <f t="shared" si="12"/>
        <v>24</v>
      </c>
      <c r="I66" s="558"/>
      <c r="J66" s="624">
        <f>H66/DAY(B2)</f>
        <v>24</v>
      </c>
      <c r="K66" s="589"/>
      <c r="L66" s="550"/>
      <c r="N66" s="571"/>
      <c r="O66" s="572"/>
    </row>
    <row r="67" spans="1:15" ht="26.25">
      <c r="A67" s="580" t="s">
        <v>203</v>
      </c>
      <c r="B67" s="635"/>
      <c r="C67" s="635"/>
      <c r="D67" s="569" t="s">
        <v>142</v>
      </c>
      <c r="E67" s="150">
        <v>110900</v>
      </c>
      <c r="F67" s="642">
        <v>110977</v>
      </c>
      <c r="G67" s="630">
        <f t="shared" si="13"/>
        <v>77</v>
      </c>
      <c r="H67" s="558">
        <f t="shared" si="12"/>
        <v>77</v>
      </c>
      <c r="I67" s="558"/>
      <c r="J67" s="624">
        <f>H67/DAY(B2)</f>
        <v>77</v>
      </c>
      <c r="K67" s="593"/>
      <c r="L67" s="550"/>
      <c r="N67" s="571"/>
      <c r="O67" s="572"/>
    </row>
    <row r="68" spans="1:15" ht="26.25">
      <c r="A68" s="580" t="s">
        <v>204</v>
      </c>
      <c r="B68" s="635"/>
      <c r="C68" s="635"/>
      <c r="D68" s="569" t="s">
        <v>142</v>
      </c>
      <c r="E68" s="150">
        <v>161784</v>
      </c>
      <c r="F68" s="642">
        <v>161818</v>
      </c>
      <c r="G68" s="630">
        <f t="shared" si="13"/>
        <v>34</v>
      </c>
      <c r="H68" s="558">
        <f t="shared" si="12"/>
        <v>34</v>
      </c>
      <c r="I68" s="558"/>
      <c r="J68" s="624">
        <f>H68/DAY(B2)</f>
        <v>34</v>
      </c>
      <c r="K68" s="590"/>
      <c r="L68" s="550"/>
      <c r="N68" s="571"/>
      <c r="O68" s="572"/>
    </row>
    <row r="69" spans="1:15" ht="26.25">
      <c r="A69" s="580" t="s">
        <v>205</v>
      </c>
      <c r="B69" s="635"/>
      <c r="C69" s="635"/>
      <c r="D69" s="569" t="s">
        <v>142</v>
      </c>
      <c r="E69" s="150">
        <v>11598</v>
      </c>
      <c r="F69" s="642">
        <v>11605</v>
      </c>
      <c r="G69" s="630">
        <f t="shared" si="13"/>
        <v>7</v>
      </c>
      <c r="H69" s="558">
        <f t="shared" si="12"/>
        <v>7</v>
      </c>
      <c r="I69" s="558"/>
      <c r="J69" s="624">
        <f>H69/DAY(B2)</f>
        <v>7</v>
      </c>
      <c r="K69" s="590"/>
      <c r="L69" s="550"/>
      <c r="N69" s="571"/>
      <c r="O69" s="572"/>
    </row>
    <row r="70" spans="1:15" ht="26.25">
      <c r="A70" s="580" t="s">
        <v>206</v>
      </c>
      <c r="B70" s="635"/>
      <c r="C70" s="635"/>
      <c r="D70" s="569" t="s">
        <v>142</v>
      </c>
      <c r="E70" s="150">
        <v>9001</v>
      </c>
      <c r="F70" s="678">
        <v>9014</v>
      </c>
      <c r="G70" s="679">
        <f t="shared" si="13"/>
        <v>13</v>
      </c>
      <c r="H70" s="558">
        <f t="shared" si="12"/>
        <v>13</v>
      </c>
      <c r="I70" s="557"/>
      <c r="J70" s="624">
        <f>H70/DAY(B2)</f>
        <v>13</v>
      </c>
      <c r="K70" s="590"/>
      <c r="L70" s="550"/>
      <c r="N70" s="571"/>
      <c r="O70" s="572"/>
    </row>
    <row r="71" spans="1:15" ht="26.25">
      <c r="A71" s="810" t="s">
        <v>208</v>
      </c>
      <c r="B71" s="811"/>
      <c r="C71" s="812"/>
      <c r="D71" s="639"/>
      <c r="E71" s="152"/>
      <c r="F71" s="639"/>
      <c r="G71" s="680">
        <f>SUM(G65:G70)</f>
        <v>268</v>
      </c>
      <c r="H71" s="558">
        <f t="shared" si="12"/>
        <v>268</v>
      </c>
      <c r="I71" s="681"/>
      <c r="J71" s="624">
        <f>H71/DAY(B2)</f>
        <v>268</v>
      </c>
      <c r="K71" s="590"/>
      <c r="L71" s="550"/>
      <c r="N71" s="571"/>
      <c r="O71" s="572"/>
    </row>
    <row r="72" spans="1:15" ht="26.25">
      <c r="A72" s="855"/>
      <c r="B72" s="808"/>
      <c r="C72" s="682"/>
      <c r="D72" s="561"/>
      <c r="E72" s="412"/>
      <c r="F72" s="683"/>
      <c r="G72" s="684"/>
      <c r="H72" s="685"/>
      <c r="I72" s="683"/>
      <c r="J72" s="686"/>
      <c r="N72" s="571"/>
      <c r="O72" s="572"/>
    </row>
    <row r="73" spans="1:15" ht="26.25">
      <c r="A73" s="836" t="s">
        <v>333</v>
      </c>
      <c r="B73" s="837"/>
      <c r="C73" s="838"/>
      <c r="D73" s="674"/>
      <c r="E73" s="339"/>
      <c r="F73" s="674"/>
      <c r="G73" s="687"/>
      <c r="H73" s="688"/>
      <c r="I73" s="688"/>
      <c r="J73" s="689"/>
      <c r="K73" s="590"/>
      <c r="L73" s="550"/>
      <c r="N73" s="571"/>
      <c r="O73" s="572"/>
    </row>
    <row r="74" spans="1:15" ht="26.25">
      <c r="A74" s="816" t="s">
        <v>220</v>
      </c>
      <c r="B74" s="817"/>
      <c r="C74" s="818"/>
      <c r="D74" s="569" t="s">
        <v>139</v>
      </c>
      <c r="E74" s="123">
        <v>928777</v>
      </c>
      <c r="F74" s="690">
        <v>929107.14</v>
      </c>
      <c r="G74" s="679">
        <f t="shared" ref="G74:G78" si="14">F74-E74</f>
        <v>330.14000000001397</v>
      </c>
      <c r="H74" s="558">
        <f t="shared" ref="H74:H79" si="15">G74</f>
        <v>330.14000000001397</v>
      </c>
      <c r="I74" s="681"/>
      <c r="J74" s="624">
        <f>H74/DAY(B2)</f>
        <v>330.14000000001397</v>
      </c>
      <c r="K74" s="590"/>
      <c r="L74" s="550"/>
      <c r="N74" s="571"/>
      <c r="O74" s="572"/>
    </row>
    <row r="75" spans="1:15" ht="26.25">
      <c r="A75" s="816" t="s">
        <v>221</v>
      </c>
      <c r="B75" s="817"/>
      <c r="C75" s="818"/>
      <c r="D75" s="569" t="s">
        <v>139</v>
      </c>
      <c r="E75" s="123">
        <v>73586.8</v>
      </c>
      <c r="F75" s="690">
        <v>73586.8</v>
      </c>
      <c r="G75" s="679">
        <f t="shared" si="14"/>
        <v>0</v>
      </c>
      <c r="H75" s="558">
        <f t="shared" si="15"/>
        <v>0</v>
      </c>
      <c r="I75" s="681"/>
      <c r="J75" s="624">
        <f>H75/DAY(B2)</f>
        <v>0</v>
      </c>
      <c r="K75" s="590"/>
      <c r="L75" s="550"/>
      <c r="N75" s="571"/>
      <c r="O75" s="572"/>
    </row>
    <row r="76" spans="1:15" ht="26.25">
      <c r="A76" s="839" t="s">
        <v>222</v>
      </c>
      <c r="B76" s="840"/>
      <c r="C76" s="841"/>
      <c r="D76" s="569" t="s">
        <v>139</v>
      </c>
      <c r="E76" s="123">
        <v>180154</v>
      </c>
      <c r="F76" s="690">
        <v>180263.6</v>
      </c>
      <c r="G76" s="679">
        <f t="shared" si="14"/>
        <v>109.60000000000582</v>
      </c>
      <c r="H76" s="558">
        <f t="shared" si="15"/>
        <v>109.60000000000582</v>
      </c>
      <c r="I76" s="681"/>
      <c r="J76" s="624">
        <f>H76/DAY(B2)</f>
        <v>109.60000000000582</v>
      </c>
      <c r="K76" s="590"/>
      <c r="L76" s="550"/>
      <c r="N76" s="571"/>
      <c r="O76" s="572"/>
    </row>
    <row r="77" spans="1:15" ht="26.25">
      <c r="A77" s="839" t="s">
        <v>223</v>
      </c>
      <c r="B77" s="840"/>
      <c r="C77" s="841"/>
      <c r="D77" s="569" t="s">
        <v>139</v>
      </c>
      <c r="E77" s="123">
        <v>45674</v>
      </c>
      <c r="F77" s="690">
        <v>45719.199999999997</v>
      </c>
      <c r="G77" s="679">
        <f t="shared" si="14"/>
        <v>45.19999999999709</v>
      </c>
      <c r="H77" s="558">
        <f t="shared" si="15"/>
        <v>45.19999999999709</v>
      </c>
      <c r="I77" s="681"/>
      <c r="J77" s="624">
        <f>H77/DAY(B2)</f>
        <v>45.19999999999709</v>
      </c>
      <c r="K77" s="590"/>
      <c r="L77" s="550"/>
      <c r="N77" s="571"/>
      <c r="O77" s="572"/>
    </row>
    <row r="78" spans="1:15" ht="26.25">
      <c r="A78" s="839" t="s">
        <v>224</v>
      </c>
      <c r="B78" s="840"/>
      <c r="C78" s="841"/>
      <c r="D78" s="569" t="s">
        <v>139</v>
      </c>
      <c r="E78" s="123">
        <v>9563.4</v>
      </c>
      <c r="F78" s="690">
        <v>9563.4</v>
      </c>
      <c r="G78" s="679">
        <f t="shared" si="14"/>
        <v>0</v>
      </c>
      <c r="H78" s="558">
        <f t="shared" si="15"/>
        <v>0</v>
      </c>
      <c r="I78" s="557"/>
      <c r="J78" s="624">
        <f>H78/DAY(B2)</f>
        <v>0</v>
      </c>
      <c r="K78" s="590"/>
      <c r="L78" s="550"/>
      <c r="N78" s="571"/>
      <c r="O78" s="572"/>
    </row>
    <row r="79" spans="1:15" ht="26.25">
      <c r="A79" s="839" t="s">
        <v>225</v>
      </c>
      <c r="B79" s="840"/>
      <c r="C79" s="841"/>
      <c r="D79" s="569"/>
      <c r="E79" s="123"/>
      <c r="F79" s="690"/>
      <c r="G79" s="679">
        <f>G15-SUM(G74:G78)</f>
        <v>619.04999999997381</v>
      </c>
      <c r="H79" s="558">
        <f t="shared" si="15"/>
        <v>619.04999999997381</v>
      </c>
      <c r="I79" s="557"/>
      <c r="J79" s="624"/>
      <c r="K79" s="590"/>
      <c r="L79" s="550"/>
      <c r="N79" s="571"/>
      <c r="O79" s="572"/>
    </row>
    <row r="80" spans="1:15" ht="26.25">
      <c r="A80" s="810" t="s">
        <v>329</v>
      </c>
      <c r="B80" s="811"/>
      <c r="C80" s="812"/>
      <c r="D80" s="569"/>
      <c r="E80" s="117"/>
      <c r="F80" s="691"/>
      <c r="G80" s="679">
        <f>SUM(G74:G79)</f>
        <v>1103.9899999999907</v>
      </c>
      <c r="H80" s="558"/>
      <c r="I80" s="557"/>
      <c r="J80" s="624"/>
      <c r="K80" s="590"/>
      <c r="L80" s="550"/>
      <c r="N80" s="571"/>
      <c r="O80" s="572"/>
    </row>
    <row r="81" spans="1:15" ht="26.25">
      <c r="A81" s="830" t="s">
        <v>226</v>
      </c>
      <c r="B81" s="831"/>
      <c r="C81" s="832"/>
      <c r="D81" s="563"/>
      <c r="E81" s="110"/>
      <c r="F81" s="564"/>
      <c r="G81" s="692"/>
      <c r="H81" s="693"/>
      <c r="I81" s="693"/>
      <c r="J81" s="694"/>
      <c r="O81" s="572"/>
    </row>
    <row r="82" spans="1:15" ht="26.25">
      <c r="A82" s="580" t="s">
        <v>227</v>
      </c>
      <c r="B82" s="635"/>
      <c r="C82" s="635"/>
      <c r="D82" s="569" t="s">
        <v>228</v>
      </c>
      <c r="E82" s="122">
        <v>0</v>
      </c>
      <c r="F82" s="678">
        <v>0</v>
      </c>
      <c r="G82" s="679">
        <f t="shared" ref="G82:G92" si="16">F82-E82</f>
        <v>0</v>
      </c>
      <c r="H82" s="558">
        <f t="shared" ref="H82:H92" si="17">G82</f>
        <v>0</v>
      </c>
      <c r="I82" s="557"/>
      <c r="J82" s="624">
        <f>H82/DAY(B2)</f>
        <v>0</v>
      </c>
      <c r="O82" s="572"/>
    </row>
    <row r="83" spans="1:15" ht="26.25">
      <c r="A83" s="580" t="s">
        <v>229</v>
      </c>
      <c r="B83" s="635"/>
      <c r="C83" s="635"/>
      <c r="D83" s="569" t="s">
        <v>228</v>
      </c>
      <c r="E83" s="122">
        <v>0</v>
      </c>
      <c r="F83" s="678">
        <v>0</v>
      </c>
      <c r="G83" s="679">
        <f t="shared" si="16"/>
        <v>0</v>
      </c>
      <c r="H83" s="558">
        <f t="shared" si="17"/>
        <v>0</v>
      </c>
      <c r="I83" s="557"/>
      <c r="J83" s="624">
        <f>H83/DAY(B2)</f>
        <v>0</v>
      </c>
      <c r="O83" s="572"/>
    </row>
    <row r="84" spans="1:15" ht="26.25">
      <c r="A84" s="580" t="s">
        <v>230</v>
      </c>
      <c r="B84" s="635"/>
      <c r="C84" s="635"/>
      <c r="D84" s="569" t="s">
        <v>228</v>
      </c>
      <c r="E84" s="164">
        <v>41792</v>
      </c>
      <c r="F84" s="695">
        <v>41811</v>
      </c>
      <c r="G84" s="679">
        <f t="shared" si="16"/>
        <v>19</v>
      </c>
      <c r="H84" s="558">
        <f t="shared" si="17"/>
        <v>19</v>
      </c>
      <c r="I84" s="557"/>
      <c r="J84" s="624">
        <f>H84/DAY(B2)</f>
        <v>19</v>
      </c>
      <c r="O84" s="572"/>
    </row>
    <row r="85" spans="1:15" ht="26.25">
      <c r="A85" s="580" t="s">
        <v>231</v>
      </c>
      <c r="B85" s="635"/>
      <c r="C85" s="635"/>
      <c r="D85" s="569" t="s">
        <v>228</v>
      </c>
      <c r="E85" s="150">
        <v>3777</v>
      </c>
      <c r="F85" s="695">
        <v>3801.08</v>
      </c>
      <c r="G85" s="679">
        <f t="shared" si="16"/>
        <v>24.079999999999927</v>
      </c>
      <c r="H85" s="558">
        <f t="shared" si="17"/>
        <v>24.079999999999927</v>
      </c>
      <c r="I85" s="557"/>
      <c r="J85" s="624">
        <f>H85/DAY(B2)</f>
        <v>24.079999999999927</v>
      </c>
      <c r="O85" s="572"/>
    </row>
    <row r="86" spans="1:15" ht="26.25">
      <c r="A86" s="580" t="s">
        <v>232</v>
      </c>
      <c r="B86" s="635"/>
      <c r="C86" s="635"/>
      <c r="D86" s="569" t="s">
        <v>228</v>
      </c>
      <c r="E86" s="164">
        <v>43939</v>
      </c>
      <c r="F86" s="695">
        <v>43941.120000000003</v>
      </c>
      <c r="G86" s="696">
        <f t="shared" si="16"/>
        <v>2.1200000000026193</v>
      </c>
      <c r="H86" s="558">
        <f t="shared" si="17"/>
        <v>2.1200000000026193</v>
      </c>
      <c r="I86" s="557"/>
      <c r="J86" s="624">
        <f>H86/DAY(B2)</f>
        <v>2.1200000000026193</v>
      </c>
      <c r="O86" s="572"/>
    </row>
    <row r="87" spans="1:15" ht="26.25">
      <c r="A87" s="580" t="s">
        <v>233</v>
      </c>
      <c r="B87" s="635"/>
      <c r="C87" s="635"/>
      <c r="D87" s="569" t="s">
        <v>228</v>
      </c>
      <c r="E87" s="164">
        <v>35329</v>
      </c>
      <c r="F87" s="695">
        <v>35329.06</v>
      </c>
      <c r="G87" s="679">
        <f t="shared" si="16"/>
        <v>5.9999999997671694E-2</v>
      </c>
      <c r="H87" s="558">
        <f t="shared" si="17"/>
        <v>5.9999999997671694E-2</v>
      </c>
      <c r="I87" s="557">
        <f>G84+G85+G86+G87</f>
        <v>45.260000000000218</v>
      </c>
      <c r="J87" s="624">
        <f>H87/DAY(B2)</f>
        <v>5.9999999997671694E-2</v>
      </c>
      <c r="O87" s="572"/>
    </row>
    <row r="88" spans="1:15" ht="26.25">
      <c r="A88" s="580" t="s">
        <v>234</v>
      </c>
      <c r="B88" s="635"/>
      <c r="C88" s="635"/>
      <c r="D88" s="569" t="s">
        <v>228</v>
      </c>
      <c r="E88" s="164">
        <v>24188.12</v>
      </c>
      <c r="F88" s="695">
        <v>24188.12</v>
      </c>
      <c r="G88" s="679">
        <f t="shared" si="16"/>
        <v>0</v>
      </c>
      <c r="H88" s="558">
        <f t="shared" si="17"/>
        <v>0</v>
      </c>
      <c r="I88" s="557"/>
      <c r="J88" s="624">
        <f>H88/DAY(B2)</f>
        <v>0</v>
      </c>
      <c r="O88" s="572"/>
    </row>
    <row r="89" spans="1:15" ht="26.25">
      <c r="A89" s="580" t="s">
        <v>235</v>
      </c>
      <c r="B89" s="635"/>
      <c r="C89" s="635"/>
      <c r="D89" s="569" t="s">
        <v>228</v>
      </c>
      <c r="E89" s="164">
        <v>26709.22</v>
      </c>
      <c r="F89" s="695">
        <v>26719.62</v>
      </c>
      <c r="G89" s="679">
        <f t="shared" si="16"/>
        <v>10.399999999997817</v>
      </c>
      <c r="H89" s="558">
        <f t="shared" si="17"/>
        <v>10.399999999997817</v>
      </c>
      <c r="I89" s="557">
        <f>G88+G89</f>
        <v>10.399999999997817</v>
      </c>
      <c r="J89" s="624">
        <f>H89/DAY(B2)</f>
        <v>10.399999999997817</v>
      </c>
      <c r="O89" s="572"/>
    </row>
    <row r="90" spans="1:15" ht="26.25">
      <c r="A90" s="580" t="s">
        <v>236</v>
      </c>
      <c r="B90" s="635"/>
      <c r="C90" s="635"/>
      <c r="D90" s="569" t="s">
        <v>228</v>
      </c>
      <c r="E90" s="164">
        <v>71863.53</v>
      </c>
      <c r="F90" s="695">
        <v>71872.98</v>
      </c>
      <c r="G90" s="679">
        <f t="shared" si="16"/>
        <v>9.4499999999970896</v>
      </c>
      <c r="H90" s="558">
        <f t="shared" si="17"/>
        <v>9.4499999999970896</v>
      </c>
      <c r="I90" s="557">
        <f>G90</f>
        <v>9.4499999999970896</v>
      </c>
      <c r="J90" s="624">
        <f>H90/DAY(B2)</f>
        <v>9.4499999999970896</v>
      </c>
      <c r="O90" s="572"/>
    </row>
    <row r="91" spans="1:15" ht="26.25">
      <c r="A91" s="580" t="s">
        <v>237</v>
      </c>
      <c r="B91" s="635"/>
      <c r="C91" s="635"/>
      <c r="D91" s="569" t="s">
        <v>228</v>
      </c>
      <c r="E91" s="122">
        <v>4059.24</v>
      </c>
      <c r="F91" s="678">
        <v>4071.33</v>
      </c>
      <c r="G91" s="679">
        <f t="shared" si="16"/>
        <v>12.090000000000146</v>
      </c>
      <c r="H91" s="558">
        <f t="shared" si="17"/>
        <v>12.090000000000146</v>
      </c>
      <c r="I91" s="619"/>
      <c r="J91" s="624">
        <f>H91/DAY(B2)</f>
        <v>12.090000000000146</v>
      </c>
      <c r="O91" s="572"/>
    </row>
    <row r="92" spans="1:15" ht="26.25">
      <c r="A92" s="580" t="s">
        <v>238</v>
      </c>
      <c r="B92" s="635"/>
      <c r="C92" s="635"/>
      <c r="D92" s="569" t="s">
        <v>228</v>
      </c>
      <c r="E92" s="122">
        <v>5935</v>
      </c>
      <c r="F92" s="678">
        <v>5935</v>
      </c>
      <c r="G92" s="679">
        <f t="shared" si="16"/>
        <v>0</v>
      </c>
      <c r="H92" s="558">
        <f t="shared" si="17"/>
        <v>0</v>
      </c>
      <c r="I92" s="620">
        <f>G91+G92</f>
        <v>12.090000000000146</v>
      </c>
      <c r="J92" s="624">
        <f>H92/DAY(B2)</f>
        <v>0</v>
      </c>
      <c r="O92" s="572"/>
    </row>
    <row r="93" spans="1:15" ht="26.25">
      <c r="A93" s="833" t="s">
        <v>239</v>
      </c>
      <c r="B93" s="834"/>
      <c r="C93" s="835"/>
      <c r="D93" s="564"/>
      <c r="E93" s="111"/>
      <c r="F93" s="564"/>
      <c r="G93" s="697"/>
      <c r="H93" s="698"/>
      <c r="I93" s="698"/>
      <c r="J93" s="699"/>
      <c r="K93" s="590"/>
      <c r="L93" s="550"/>
      <c r="O93" s="572"/>
    </row>
    <row r="94" spans="1:15" ht="26.25">
      <c r="A94" s="816" t="s">
        <v>240</v>
      </c>
      <c r="B94" s="817"/>
      <c r="C94" s="818"/>
      <c r="D94" s="569" t="s">
        <v>130</v>
      </c>
      <c r="E94" s="151"/>
      <c r="F94" s="569"/>
      <c r="G94" s="700">
        <f>G35+G43+G49+G57</f>
        <v>7940.609999999986</v>
      </c>
      <c r="H94" s="558">
        <f t="shared" ref="H94:H105" si="18">G94</f>
        <v>7940.609999999986</v>
      </c>
      <c r="I94" s="557"/>
      <c r="J94" s="624">
        <f>H94/DAY(B2)</f>
        <v>7940.609999999986</v>
      </c>
      <c r="K94" s="590"/>
      <c r="L94" s="550"/>
      <c r="O94" s="572"/>
    </row>
    <row r="95" spans="1:15" ht="26.25">
      <c r="A95" s="816" t="s">
        <v>241</v>
      </c>
      <c r="B95" s="817"/>
      <c r="C95" s="818"/>
      <c r="D95" s="569" t="s">
        <v>23</v>
      </c>
      <c r="E95" s="146"/>
      <c r="F95" s="569"/>
      <c r="G95" s="701">
        <f>G94/G7</f>
        <v>0.26926276161665968</v>
      </c>
      <c r="H95" s="558">
        <f t="shared" si="18"/>
        <v>0.26926276161665968</v>
      </c>
      <c r="I95" s="702"/>
      <c r="J95" s="624">
        <f>H95/DAY(B2)</f>
        <v>0.26926276161665968</v>
      </c>
      <c r="K95" s="590"/>
      <c r="L95" s="550"/>
      <c r="O95" s="572"/>
    </row>
    <row r="96" spans="1:15" ht="26.25">
      <c r="A96" s="816" t="s">
        <v>242</v>
      </c>
      <c r="B96" s="817"/>
      <c r="C96" s="818"/>
      <c r="D96" s="569" t="s">
        <v>130</v>
      </c>
      <c r="E96" s="95"/>
      <c r="F96" s="557"/>
      <c r="G96" s="700">
        <f>G41+G42+G55+G56</f>
        <v>10283.279999999995</v>
      </c>
      <c r="H96" s="558">
        <f t="shared" si="18"/>
        <v>10283.279999999995</v>
      </c>
      <c r="I96" s="557"/>
      <c r="J96" s="624">
        <f>H96/DAY(B2)</f>
        <v>10283.279999999995</v>
      </c>
      <c r="K96" s="590"/>
      <c r="L96" s="550"/>
      <c r="O96" s="572"/>
    </row>
    <row r="97" spans="1:15" ht="26.25">
      <c r="A97" s="816" t="s">
        <v>243</v>
      </c>
      <c r="B97" s="817"/>
      <c r="C97" s="818"/>
      <c r="D97" s="569" t="s">
        <v>23</v>
      </c>
      <c r="E97" s="95"/>
      <c r="F97" s="557"/>
      <c r="G97" s="701">
        <f>G96/G7</f>
        <v>0.34870172080953071</v>
      </c>
      <c r="H97" s="558">
        <f t="shared" si="18"/>
        <v>0.34870172080953071</v>
      </c>
      <c r="I97" s="702"/>
      <c r="J97" s="624">
        <f>H97/DAY(B2)</f>
        <v>0.34870172080953071</v>
      </c>
      <c r="K97" s="590"/>
      <c r="L97" s="550"/>
      <c r="O97" s="572"/>
    </row>
    <row r="98" spans="1:15" ht="26.25">
      <c r="A98" s="816" t="s">
        <v>244</v>
      </c>
      <c r="B98" s="817"/>
      <c r="C98" s="818"/>
      <c r="D98" s="569" t="s">
        <v>130</v>
      </c>
      <c r="E98" s="95"/>
      <c r="F98" s="557"/>
      <c r="G98" s="700">
        <f>G39+G53</f>
        <v>2754.710000000021</v>
      </c>
      <c r="H98" s="558">
        <f t="shared" si="18"/>
        <v>2754.710000000021</v>
      </c>
      <c r="I98" s="604"/>
      <c r="J98" s="624">
        <f>H98/DAY(B2)</f>
        <v>2754.710000000021</v>
      </c>
      <c r="K98" s="590"/>
      <c r="L98" s="550"/>
      <c r="O98" s="572"/>
    </row>
    <row r="99" spans="1:15" ht="26.25">
      <c r="A99" s="816" t="s">
        <v>245</v>
      </c>
      <c r="B99" s="817"/>
      <c r="C99" s="818"/>
      <c r="D99" s="569" t="s">
        <v>23</v>
      </c>
      <c r="E99" s="95"/>
      <c r="F99" s="557"/>
      <c r="G99" s="701">
        <f>G98/G7</f>
        <v>9.34110631365897E-2</v>
      </c>
      <c r="H99" s="558">
        <f t="shared" si="18"/>
        <v>9.34110631365897E-2</v>
      </c>
      <c r="I99" s="604"/>
      <c r="J99" s="624">
        <f>H99/DAY(B2)</f>
        <v>9.34110631365897E-2</v>
      </c>
      <c r="O99" s="572"/>
    </row>
    <row r="100" spans="1:15" ht="26.25">
      <c r="A100" s="816" t="s">
        <v>246</v>
      </c>
      <c r="B100" s="817"/>
      <c r="C100" s="818"/>
      <c r="D100" s="569" t="s">
        <v>180</v>
      </c>
      <c r="E100" s="95"/>
      <c r="F100" s="557"/>
      <c r="G100" s="700">
        <f>G38+G52</f>
        <v>2358.2700000000095</v>
      </c>
      <c r="H100" s="558">
        <f t="shared" si="18"/>
        <v>2358.2700000000095</v>
      </c>
      <c r="I100" s="557"/>
      <c r="J100" s="624">
        <f>H100/DAY(B2)</f>
        <v>2358.2700000000095</v>
      </c>
      <c r="K100" s="595"/>
      <c r="O100" s="572"/>
    </row>
    <row r="101" spans="1:15" ht="26.25">
      <c r="A101" s="816" t="s">
        <v>247</v>
      </c>
      <c r="B101" s="817"/>
      <c r="C101" s="818"/>
      <c r="D101" s="569" t="s">
        <v>23</v>
      </c>
      <c r="E101" s="95"/>
      <c r="F101" s="557"/>
      <c r="G101" s="701">
        <f>G100/G7</f>
        <v>7.9967948663606916E-2</v>
      </c>
      <c r="H101" s="558">
        <f t="shared" si="18"/>
        <v>7.9967948663606916E-2</v>
      </c>
      <c r="I101" s="604"/>
      <c r="J101" s="624">
        <f>H101/DAY(B2)</f>
        <v>7.9967948663606916E-2</v>
      </c>
      <c r="O101" s="572"/>
    </row>
    <row r="102" spans="1:15" ht="26.25">
      <c r="A102" s="816" t="s">
        <v>248</v>
      </c>
      <c r="B102" s="817"/>
      <c r="C102" s="818"/>
      <c r="D102" s="569" t="s">
        <v>180</v>
      </c>
      <c r="E102" s="95"/>
      <c r="F102" s="557"/>
      <c r="G102" s="700">
        <f>G36+G50</f>
        <v>2618.6100000000151</v>
      </c>
      <c r="H102" s="558">
        <f t="shared" si="18"/>
        <v>2618.6100000000151</v>
      </c>
      <c r="I102" s="604"/>
      <c r="J102" s="624">
        <f>H102/DAY(B2)</f>
        <v>2618.6100000000151</v>
      </c>
      <c r="O102" s="572"/>
    </row>
    <row r="103" spans="1:15" ht="26.25">
      <c r="A103" s="816" t="s">
        <v>249</v>
      </c>
      <c r="B103" s="817"/>
      <c r="C103" s="818"/>
      <c r="D103" s="569" t="s">
        <v>23</v>
      </c>
      <c r="E103" s="95"/>
      <c r="F103" s="557"/>
      <c r="G103" s="701">
        <f>G102/G7</f>
        <v>8.8795969100233671E-2</v>
      </c>
      <c r="H103" s="558">
        <f t="shared" si="18"/>
        <v>8.8795969100233671E-2</v>
      </c>
      <c r="I103" s="557"/>
      <c r="J103" s="624">
        <f>H103/DAY(B2)</f>
        <v>8.8795969100233671E-2</v>
      </c>
      <c r="O103" s="572"/>
    </row>
    <row r="104" spans="1:15" ht="26.25">
      <c r="A104" s="816" t="s">
        <v>250</v>
      </c>
      <c r="B104" s="817"/>
      <c r="C104" s="818"/>
      <c r="D104" s="569" t="s">
        <v>180</v>
      </c>
      <c r="E104" s="95"/>
      <c r="F104" s="557"/>
      <c r="G104" s="700">
        <f>G37+G51</f>
        <v>1677.9500000000116</v>
      </c>
      <c r="H104" s="558">
        <f t="shared" si="18"/>
        <v>1677.9500000000116</v>
      </c>
      <c r="I104" s="557"/>
      <c r="J104" s="624">
        <f>H104/DAY(B2)</f>
        <v>1677.9500000000116</v>
      </c>
      <c r="O104" s="572"/>
    </row>
    <row r="105" spans="1:15" ht="27" thickBot="1">
      <c r="A105" s="823" t="s">
        <v>251</v>
      </c>
      <c r="B105" s="824"/>
      <c r="C105" s="825"/>
      <c r="D105" s="703" t="s">
        <v>23</v>
      </c>
      <c r="E105" s="185"/>
      <c r="F105" s="704"/>
      <c r="G105" s="705">
        <f>G104/G7</f>
        <v>5.6898582206490189E-2</v>
      </c>
      <c r="H105" s="558">
        <f t="shared" si="18"/>
        <v>5.6898582206490189E-2</v>
      </c>
      <c r="I105" s="704"/>
      <c r="J105" s="706">
        <f>H105/DAY(B2)</f>
        <v>5.6898582206490189E-2</v>
      </c>
      <c r="O105" s="572"/>
    </row>
    <row r="106" spans="1:15" ht="26.25">
      <c r="B106" s="562"/>
      <c r="C106" s="562"/>
      <c r="D106" s="562"/>
      <c r="F106" s="707"/>
      <c r="G106" s="708"/>
      <c r="H106" s="709"/>
      <c r="I106" s="707"/>
      <c r="J106" s="709"/>
      <c r="O106" s="572"/>
    </row>
    <row r="107" spans="1:15" ht="26.25">
      <c r="B107" s="562"/>
      <c r="C107" s="562"/>
      <c r="D107" s="562"/>
      <c r="F107" s="707"/>
      <c r="G107" s="708"/>
      <c r="H107" s="709"/>
      <c r="I107" s="707"/>
      <c r="J107" s="709"/>
    </row>
    <row r="108" spans="1:15" ht="26.25">
      <c r="A108" s="826" t="s">
        <v>324</v>
      </c>
      <c r="B108" s="826"/>
      <c r="C108" s="826"/>
      <c r="D108" s="826"/>
      <c r="E108" s="826"/>
      <c r="F108" s="826"/>
      <c r="G108" s="826"/>
      <c r="H108" s="826"/>
      <c r="I108" s="826"/>
      <c r="J108" s="826"/>
    </row>
    <row r="109" spans="1:15" ht="26.25">
      <c r="A109" s="819"/>
      <c r="B109" s="819"/>
      <c r="C109" s="562"/>
      <c r="D109" s="562"/>
      <c r="F109" s="707"/>
      <c r="G109" s="708"/>
      <c r="H109" s="709"/>
      <c r="I109" s="707"/>
      <c r="J109" s="709"/>
    </row>
    <row r="110" spans="1:15" ht="26.25">
      <c r="A110" s="827" t="s">
        <v>165</v>
      </c>
      <c r="B110" s="828"/>
      <c r="C110" s="828"/>
      <c r="D110" s="828"/>
      <c r="E110" s="828"/>
      <c r="F110" s="828"/>
      <c r="G110" s="828"/>
      <c r="H110" s="828"/>
      <c r="I110" s="828"/>
      <c r="J110" s="829"/>
    </row>
    <row r="111" spans="1:15" ht="26.25">
      <c r="A111" s="813"/>
      <c r="B111" s="814"/>
      <c r="C111" s="815"/>
      <c r="D111" s="599"/>
      <c r="E111" s="155"/>
      <c r="F111" s="619"/>
      <c r="G111" s="620"/>
      <c r="H111" s="601"/>
      <c r="I111" s="619"/>
      <c r="J111" s="601"/>
    </row>
    <row r="112" spans="1:15" ht="26.25">
      <c r="A112" s="806" t="s">
        <v>252</v>
      </c>
      <c r="B112" s="807"/>
      <c r="C112" s="808"/>
      <c r="D112" s="554" t="s">
        <v>183</v>
      </c>
      <c r="E112" s="237">
        <v>243</v>
      </c>
      <c r="F112" s="710">
        <v>321.54000000000002</v>
      </c>
      <c r="G112" s="679">
        <f t="shared" ref="G112:G123" si="19">F112-E112</f>
        <v>78.54000000000002</v>
      </c>
      <c r="H112" s="558">
        <f t="shared" ref="H112:H123" si="20">G112</f>
        <v>78.54000000000002</v>
      </c>
      <c r="I112" s="619"/>
      <c r="J112" s="711">
        <f>H112/DAY(B2)</f>
        <v>78.54000000000002</v>
      </c>
    </row>
    <row r="113" spans="1:18" ht="29.25" customHeight="1">
      <c r="A113" s="806" t="s">
        <v>253</v>
      </c>
      <c r="B113" s="807"/>
      <c r="C113" s="808"/>
      <c r="D113" s="554" t="s">
        <v>183</v>
      </c>
      <c r="E113" s="237">
        <v>482</v>
      </c>
      <c r="F113" s="712">
        <v>631.83000000000004</v>
      </c>
      <c r="G113" s="679">
        <f t="shared" si="19"/>
        <v>149.83000000000004</v>
      </c>
      <c r="H113" s="558">
        <f t="shared" si="20"/>
        <v>149.83000000000004</v>
      </c>
      <c r="I113" s="619"/>
      <c r="J113" s="711">
        <f>H113/DAY(B2)</f>
        <v>149.83000000000004</v>
      </c>
    </row>
    <row r="114" spans="1:18" ht="29.25" customHeight="1">
      <c r="A114" s="806" t="s">
        <v>254</v>
      </c>
      <c r="B114" s="807"/>
      <c r="C114" s="808"/>
      <c r="D114" s="554" t="s">
        <v>183</v>
      </c>
      <c r="E114" s="237">
        <v>664</v>
      </c>
      <c r="F114" s="710">
        <v>877.44</v>
      </c>
      <c r="G114" s="679">
        <f t="shared" si="19"/>
        <v>213.44000000000005</v>
      </c>
      <c r="H114" s="558">
        <f t="shared" si="20"/>
        <v>213.44000000000005</v>
      </c>
      <c r="I114" s="619"/>
      <c r="J114" s="711">
        <f>H114/DAY(B2)</f>
        <v>213.44000000000005</v>
      </c>
    </row>
    <row r="115" spans="1:18" ht="29.25" customHeight="1">
      <c r="A115" s="806" t="s">
        <v>255</v>
      </c>
      <c r="B115" s="807"/>
      <c r="C115" s="808"/>
      <c r="D115" s="554" t="s">
        <v>183</v>
      </c>
      <c r="E115" s="237">
        <v>511</v>
      </c>
      <c r="F115" s="710">
        <v>666.9</v>
      </c>
      <c r="G115" s="679">
        <f t="shared" si="19"/>
        <v>155.89999999999998</v>
      </c>
      <c r="H115" s="558">
        <f t="shared" si="20"/>
        <v>155.89999999999998</v>
      </c>
      <c r="I115" s="619"/>
      <c r="J115" s="711">
        <f>H115/DAY(B2)</f>
        <v>155.89999999999998</v>
      </c>
    </row>
    <row r="116" spans="1:18" ht="29.25" customHeight="1">
      <c r="A116" s="820" t="s">
        <v>96</v>
      </c>
      <c r="B116" s="821"/>
      <c r="C116" s="822"/>
      <c r="D116" s="554" t="s">
        <v>183</v>
      </c>
      <c r="E116" s="237">
        <v>34666</v>
      </c>
      <c r="F116" s="710">
        <v>34965.910000000003</v>
      </c>
      <c r="G116" s="679">
        <f t="shared" si="19"/>
        <v>299.91000000000349</v>
      </c>
      <c r="H116" s="558">
        <f t="shared" si="20"/>
        <v>299.91000000000349</v>
      </c>
      <c r="I116" s="619"/>
      <c r="J116" s="711">
        <f>H116/DAY(B2)</f>
        <v>299.91000000000349</v>
      </c>
      <c r="Q116" s="803"/>
      <c r="R116" s="804"/>
    </row>
    <row r="117" spans="1:18" ht="29.25" customHeight="1">
      <c r="A117" s="820" t="s">
        <v>184</v>
      </c>
      <c r="B117" s="821"/>
      <c r="C117" s="822"/>
      <c r="D117" s="554" t="s">
        <v>183</v>
      </c>
      <c r="E117" s="237">
        <v>18936</v>
      </c>
      <c r="F117" s="710">
        <v>19102.009999999998</v>
      </c>
      <c r="G117" s="679">
        <f t="shared" si="19"/>
        <v>166.0099999999984</v>
      </c>
      <c r="H117" s="558">
        <f t="shared" si="20"/>
        <v>166.0099999999984</v>
      </c>
      <c r="I117" s="619"/>
      <c r="J117" s="711">
        <f>H117/DAY(B2)</f>
        <v>166.0099999999984</v>
      </c>
      <c r="Q117" s="803"/>
      <c r="R117" s="804"/>
    </row>
    <row r="118" spans="1:18" ht="26.25">
      <c r="A118" s="802" t="s">
        <v>97</v>
      </c>
      <c r="B118" s="802"/>
      <c r="C118" s="802"/>
      <c r="D118" s="569" t="s">
        <v>183</v>
      </c>
      <c r="E118" s="237">
        <v>9063</v>
      </c>
      <c r="F118" s="710">
        <v>9563.01</v>
      </c>
      <c r="G118" s="679">
        <f t="shared" si="19"/>
        <v>500.01000000000022</v>
      </c>
      <c r="H118" s="558">
        <f t="shared" si="20"/>
        <v>500.01000000000022</v>
      </c>
      <c r="I118" s="619"/>
      <c r="J118" s="711">
        <f>H118/DAY(B2)</f>
        <v>500.01000000000022</v>
      </c>
      <c r="Q118" s="803"/>
      <c r="R118" s="804"/>
    </row>
    <row r="119" spans="1:18" ht="26.25">
      <c r="A119" s="802" t="s">
        <v>98</v>
      </c>
      <c r="B119" s="802"/>
      <c r="C119" s="802"/>
      <c r="D119" s="569" t="s">
        <v>183</v>
      </c>
      <c r="E119" s="237">
        <v>5903</v>
      </c>
      <c r="F119" s="710">
        <v>6351.82</v>
      </c>
      <c r="G119" s="679">
        <f t="shared" si="19"/>
        <v>448.81999999999971</v>
      </c>
      <c r="H119" s="558">
        <f t="shared" si="20"/>
        <v>448.81999999999971</v>
      </c>
      <c r="I119" s="619"/>
      <c r="J119" s="711">
        <f>H119/DAY(B2)</f>
        <v>448.81999999999971</v>
      </c>
    </row>
    <row r="120" spans="1:18" ht="26.25">
      <c r="A120" s="802" t="s">
        <v>99</v>
      </c>
      <c r="B120" s="802"/>
      <c r="C120" s="802"/>
      <c r="D120" s="569" t="s">
        <v>183</v>
      </c>
      <c r="E120" s="237">
        <v>7135</v>
      </c>
      <c r="F120" s="710">
        <v>7572.99</v>
      </c>
      <c r="G120" s="679">
        <f t="shared" si="19"/>
        <v>437.98999999999978</v>
      </c>
      <c r="H120" s="558">
        <f t="shared" si="20"/>
        <v>437.98999999999978</v>
      </c>
      <c r="I120" s="619"/>
      <c r="J120" s="711">
        <f>H120/DAY(B2)</f>
        <v>437.98999999999978</v>
      </c>
    </row>
    <row r="121" spans="1:18" ht="26.25">
      <c r="A121" s="802" t="s">
        <v>100</v>
      </c>
      <c r="B121" s="802"/>
      <c r="C121" s="802"/>
      <c r="D121" s="569" t="s">
        <v>183</v>
      </c>
      <c r="E121" s="237">
        <v>11727</v>
      </c>
      <c r="F121" s="710">
        <v>12167.7</v>
      </c>
      <c r="G121" s="679">
        <f t="shared" si="19"/>
        <v>440.70000000000073</v>
      </c>
      <c r="H121" s="558">
        <f t="shared" si="20"/>
        <v>440.70000000000073</v>
      </c>
      <c r="I121" s="619"/>
      <c r="J121" s="711">
        <f>H121/DAY(B2)</f>
        <v>440.70000000000073</v>
      </c>
    </row>
    <row r="122" spans="1:18" ht="26.25">
      <c r="A122" s="802" t="s">
        <v>101</v>
      </c>
      <c r="B122" s="802"/>
      <c r="C122" s="802"/>
      <c r="D122" s="569" t="s">
        <v>183</v>
      </c>
      <c r="E122" s="237">
        <v>3564</v>
      </c>
      <c r="F122" s="710">
        <v>3739.94</v>
      </c>
      <c r="G122" s="679">
        <f t="shared" si="19"/>
        <v>175.94000000000005</v>
      </c>
      <c r="H122" s="558">
        <f t="shared" si="20"/>
        <v>175.94000000000005</v>
      </c>
      <c r="I122" s="619"/>
      <c r="J122" s="711">
        <f>H122/DAY(B2)</f>
        <v>175.94000000000005</v>
      </c>
    </row>
    <row r="123" spans="1:18" ht="26.25">
      <c r="A123" s="802" t="s">
        <v>102</v>
      </c>
      <c r="B123" s="802"/>
      <c r="C123" s="802"/>
      <c r="D123" s="569" t="s">
        <v>183</v>
      </c>
      <c r="E123" s="237">
        <v>967</v>
      </c>
      <c r="F123" s="710">
        <v>1275.74</v>
      </c>
      <c r="G123" s="679">
        <f t="shared" si="19"/>
        <v>308.74</v>
      </c>
      <c r="H123" s="558">
        <f t="shared" si="20"/>
        <v>308.74</v>
      </c>
      <c r="I123" s="619"/>
      <c r="J123" s="711">
        <f>H123/DAY(B2)</f>
        <v>308.74</v>
      </c>
    </row>
    <row r="124" spans="1:18" ht="29.25" customHeight="1">
      <c r="A124" s="813"/>
      <c r="B124" s="814"/>
      <c r="C124" s="815"/>
      <c r="D124" s="599"/>
      <c r="E124" s="155"/>
      <c r="F124" s="619"/>
      <c r="G124" s="620"/>
      <c r="H124" s="601"/>
      <c r="I124" s="619"/>
      <c r="J124" s="601"/>
    </row>
    <row r="125" spans="1:18" ht="26.25">
      <c r="A125" s="810" t="s">
        <v>196</v>
      </c>
      <c r="B125" s="811"/>
      <c r="C125" s="812"/>
      <c r="D125" s="569"/>
      <c r="E125" s="308"/>
      <c r="F125" s="619"/>
      <c r="G125" s="679">
        <f>SUM(G112:G124)</f>
        <v>3375.8300000000027</v>
      </c>
      <c r="H125" s="601"/>
      <c r="I125" s="601">
        <f>G125-(G39+G53)</f>
        <v>621.1199999999817</v>
      </c>
      <c r="J125" s="601"/>
    </row>
    <row r="126" spans="1:18" ht="26.25">
      <c r="A126" s="796" t="s">
        <v>317</v>
      </c>
      <c r="B126" s="796"/>
      <c r="C126" s="796"/>
      <c r="D126" s="796"/>
      <c r="E126" s="796"/>
      <c r="F126" s="796"/>
      <c r="G126" s="796"/>
      <c r="H126" s="796"/>
      <c r="I126" s="796"/>
      <c r="J126" s="796"/>
    </row>
    <row r="127" spans="1:18" ht="26.25">
      <c r="A127" s="797"/>
      <c r="B127" s="797"/>
      <c r="C127" s="599"/>
      <c r="D127" s="569"/>
      <c r="E127" s="308"/>
      <c r="F127" s="619"/>
      <c r="G127" s="679"/>
      <c r="H127" s="558">
        <f t="shared" ref="H127:H135" si="21">G127</f>
        <v>0</v>
      </c>
      <c r="I127" s="619"/>
      <c r="J127" s="711">
        <f>H127/DAY(B2)</f>
        <v>0</v>
      </c>
    </row>
    <row r="128" spans="1:18" ht="29.25" customHeight="1">
      <c r="A128" s="806" t="s">
        <v>318</v>
      </c>
      <c r="B128" s="807"/>
      <c r="C128" s="808"/>
      <c r="D128" s="569" t="s">
        <v>183</v>
      </c>
      <c r="E128" s="165">
        <v>81415</v>
      </c>
      <c r="F128" s="619">
        <v>81838.48</v>
      </c>
      <c r="G128" s="679">
        <f t="shared" ref="G128:G133" si="22">F128-E128</f>
        <v>423.47999999999593</v>
      </c>
      <c r="H128" s="558">
        <f t="shared" si="21"/>
        <v>423.47999999999593</v>
      </c>
      <c r="I128" s="619"/>
      <c r="J128" s="711">
        <f>H128/DAY(B2)</f>
        <v>423.47999999999593</v>
      </c>
    </row>
    <row r="129" spans="1:15" ht="26.25">
      <c r="A129" s="602" t="s">
        <v>319</v>
      </c>
      <c r="B129" s="713"/>
      <c r="C129" s="714"/>
      <c r="D129" s="569" t="s">
        <v>183</v>
      </c>
      <c r="E129" s="165">
        <v>51072</v>
      </c>
      <c r="F129" s="619">
        <v>51379.92</v>
      </c>
      <c r="G129" s="679">
        <f t="shared" si="22"/>
        <v>307.91999999999825</v>
      </c>
      <c r="H129" s="558">
        <f t="shared" si="21"/>
        <v>307.91999999999825</v>
      </c>
      <c r="I129" s="619"/>
      <c r="J129" s="711">
        <f>H129/DAY(B2)</f>
        <v>307.91999999999825</v>
      </c>
      <c r="N129" s="603"/>
      <c r="O129" s="596"/>
    </row>
    <row r="130" spans="1:15" ht="26.25">
      <c r="A130" s="602" t="s">
        <v>320</v>
      </c>
      <c r="B130" s="713"/>
      <c r="C130" s="714"/>
      <c r="D130" s="569" t="s">
        <v>183</v>
      </c>
      <c r="E130" s="165">
        <v>96646</v>
      </c>
      <c r="F130" s="619">
        <v>97385.85</v>
      </c>
      <c r="G130" s="679">
        <f t="shared" si="22"/>
        <v>739.85000000000582</v>
      </c>
      <c r="H130" s="558">
        <f t="shared" si="21"/>
        <v>739.85000000000582</v>
      </c>
      <c r="I130" s="619"/>
      <c r="J130" s="711">
        <f>H130/DAY(B2)</f>
        <v>739.85000000000582</v>
      </c>
      <c r="N130" s="603"/>
      <c r="O130" s="596"/>
    </row>
    <row r="131" spans="1:15" ht="26.25">
      <c r="A131" s="806" t="s">
        <v>321</v>
      </c>
      <c r="B131" s="807"/>
      <c r="C131" s="808"/>
      <c r="D131" s="569" t="s">
        <v>183</v>
      </c>
      <c r="E131" s="165">
        <v>30435</v>
      </c>
      <c r="F131" s="715">
        <v>30612.97</v>
      </c>
      <c r="G131" s="696">
        <f t="shared" si="22"/>
        <v>177.97000000000116</v>
      </c>
      <c r="H131" s="558">
        <f t="shared" si="21"/>
        <v>177.97000000000116</v>
      </c>
      <c r="I131" s="619"/>
      <c r="J131" s="711">
        <f>H131/DAY(B2)</f>
        <v>177.97000000000116</v>
      </c>
      <c r="N131" s="603"/>
      <c r="O131" s="596"/>
    </row>
    <row r="132" spans="1:15" ht="26.25">
      <c r="A132" s="806" t="s">
        <v>322</v>
      </c>
      <c r="B132" s="807"/>
      <c r="C132" s="808"/>
      <c r="D132" s="569" t="s">
        <v>183</v>
      </c>
      <c r="E132" s="466">
        <v>88937</v>
      </c>
      <c r="F132" s="715">
        <v>89453.4</v>
      </c>
      <c r="G132" s="696">
        <f t="shared" si="22"/>
        <v>516.39999999999418</v>
      </c>
      <c r="H132" s="558">
        <f t="shared" si="21"/>
        <v>516.39999999999418</v>
      </c>
      <c r="I132" s="619"/>
      <c r="J132" s="711">
        <f>H132/DAY(B2)</f>
        <v>516.39999999999418</v>
      </c>
    </row>
    <row r="133" spans="1:15" ht="26.25">
      <c r="A133" s="806" t="s">
        <v>342</v>
      </c>
      <c r="B133" s="807"/>
      <c r="C133" s="808"/>
      <c r="D133" s="569" t="s">
        <v>183</v>
      </c>
      <c r="E133" s="165">
        <v>172446</v>
      </c>
      <c r="F133" s="715">
        <v>173344.09</v>
      </c>
      <c r="G133" s="696">
        <f t="shared" si="22"/>
        <v>898.08999999999651</v>
      </c>
      <c r="H133" s="558">
        <f t="shared" si="21"/>
        <v>898.08999999999651</v>
      </c>
      <c r="I133" s="619"/>
      <c r="J133" s="711">
        <f>H133/DAY(B2)</f>
        <v>898.08999999999651</v>
      </c>
    </row>
    <row r="134" spans="1:15" ht="26.25">
      <c r="A134" s="809" t="s">
        <v>340</v>
      </c>
      <c r="B134" s="801"/>
      <c r="C134" s="789"/>
      <c r="D134" s="569" t="s">
        <v>183</v>
      </c>
      <c r="E134" s="468">
        <v>28093</v>
      </c>
      <c r="F134" s="715">
        <v>28360.68</v>
      </c>
      <c r="G134" s="696">
        <f>F134-E134</f>
        <v>267.68000000000029</v>
      </c>
      <c r="H134" s="558">
        <f t="shared" ref="H134" si="23">G134</f>
        <v>267.68000000000029</v>
      </c>
      <c r="I134" s="619"/>
      <c r="J134" s="711">
        <f>H134/DAY(B2)</f>
        <v>267.68000000000029</v>
      </c>
    </row>
    <row r="135" spans="1:15" ht="26.25">
      <c r="A135" s="810" t="s">
        <v>196</v>
      </c>
      <c r="B135" s="811"/>
      <c r="C135" s="812"/>
      <c r="D135" s="569"/>
      <c r="E135" s="155"/>
      <c r="F135" s="619"/>
      <c r="G135" s="679">
        <f>SUM(G128:G134)</f>
        <v>3331.3899999999921</v>
      </c>
      <c r="H135" s="558">
        <f t="shared" si="21"/>
        <v>3331.3899999999921</v>
      </c>
      <c r="I135" s="601">
        <f>G135-(G35+G49)</f>
        <v>-787.2300000000032</v>
      </c>
      <c r="J135" s="711">
        <f>H135/DAY(B2)</f>
        <v>3331.3899999999921</v>
      </c>
    </row>
    <row r="136" spans="1:15" ht="26.25">
      <c r="A136" s="796" t="s">
        <v>325</v>
      </c>
      <c r="B136" s="796"/>
      <c r="C136" s="796"/>
      <c r="D136" s="796"/>
      <c r="E136" s="796"/>
      <c r="F136" s="796"/>
      <c r="G136" s="796"/>
      <c r="H136" s="796"/>
      <c r="I136" s="796"/>
      <c r="J136" s="796"/>
    </row>
    <row r="137" spans="1:15" ht="26.25">
      <c r="A137" s="599"/>
      <c r="B137" s="599"/>
      <c r="C137" s="599"/>
      <c r="D137" s="599"/>
      <c r="E137" s="155"/>
      <c r="F137" s="619"/>
      <c r="G137" s="620"/>
      <c r="H137" s="601"/>
      <c r="I137" s="619"/>
      <c r="J137" s="601"/>
    </row>
    <row r="138" spans="1:15" ht="26.25">
      <c r="A138" s="802" t="s">
        <v>185</v>
      </c>
      <c r="B138" s="802"/>
      <c r="C138" s="802"/>
      <c r="D138" s="569" t="s">
        <v>183</v>
      </c>
      <c r="E138" s="147">
        <v>878784</v>
      </c>
      <c r="F138" s="716">
        <v>878929</v>
      </c>
      <c r="G138" s="679">
        <f t="shared" ref="G138:G150" si="24">F138-E138</f>
        <v>145</v>
      </c>
      <c r="H138" s="558">
        <f t="shared" ref="H138:H150" si="25">G138</f>
        <v>145</v>
      </c>
      <c r="I138" s="557"/>
      <c r="J138" s="711">
        <f>H138/DAY(B2)</f>
        <v>145</v>
      </c>
    </row>
    <row r="139" spans="1:15" ht="26.25">
      <c r="A139" s="802" t="s">
        <v>186</v>
      </c>
      <c r="B139" s="802"/>
      <c r="C139" s="802"/>
      <c r="D139" s="569" t="s">
        <v>183</v>
      </c>
      <c r="E139" s="148">
        <v>894866</v>
      </c>
      <c r="F139" s="717">
        <v>895019</v>
      </c>
      <c r="G139" s="679">
        <f t="shared" si="24"/>
        <v>153</v>
      </c>
      <c r="H139" s="558">
        <f t="shared" si="25"/>
        <v>153</v>
      </c>
      <c r="I139" s="557"/>
      <c r="J139" s="711">
        <f>H139/DAY(B2)</f>
        <v>153</v>
      </c>
    </row>
    <row r="140" spans="1:15" ht="26.25">
      <c r="A140" s="802" t="s">
        <v>187</v>
      </c>
      <c r="B140" s="802"/>
      <c r="C140" s="802"/>
      <c r="D140" s="569" t="s">
        <v>183</v>
      </c>
      <c r="E140" s="149">
        <v>135</v>
      </c>
      <c r="F140" s="718">
        <v>146</v>
      </c>
      <c r="G140" s="679">
        <f t="shared" si="24"/>
        <v>11</v>
      </c>
      <c r="H140" s="558">
        <f t="shared" si="25"/>
        <v>11</v>
      </c>
      <c r="I140" s="557"/>
      <c r="J140" s="711">
        <f>H140/DAY(B2)</f>
        <v>11</v>
      </c>
    </row>
    <row r="141" spans="1:15" ht="26.25">
      <c r="A141" s="805" t="s">
        <v>188</v>
      </c>
      <c r="B141" s="805"/>
      <c r="C141" s="805"/>
      <c r="D141" s="719" t="s">
        <v>183</v>
      </c>
      <c r="E141" s="149">
        <v>71774</v>
      </c>
      <c r="F141" s="717">
        <v>72001.16</v>
      </c>
      <c r="G141" s="696">
        <f t="shared" si="24"/>
        <v>227.16000000000349</v>
      </c>
      <c r="H141" s="720">
        <f t="shared" si="25"/>
        <v>227.16000000000349</v>
      </c>
      <c r="I141" s="721"/>
      <c r="J141" s="722">
        <f>H141/DAY(B2)</f>
        <v>227.16000000000349</v>
      </c>
    </row>
    <row r="142" spans="1:15" ht="26.25">
      <c r="A142" s="805" t="s">
        <v>189</v>
      </c>
      <c r="B142" s="805"/>
      <c r="C142" s="805"/>
      <c r="D142" s="719" t="s">
        <v>183</v>
      </c>
      <c r="E142" s="148">
        <v>27466</v>
      </c>
      <c r="F142" s="717">
        <v>27533.85</v>
      </c>
      <c r="G142" s="696">
        <f t="shared" si="24"/>
        <v>67.849999999998545</v>
      </c>
      <c r="H142" s="720">
        <f t="shared" si="25"/>
        <v>67.849999999998545</v>
      </c>
      <c r="I142" s="723"/>
      <c r="J142" s="722">
        <f>H142/DAY(B2)</f>
        <v>67.849999999998545</v>
      </c>
    </row>
    <row r="143" spans="1:15" ht="26.25">
      <c r="A143" s="860" t="s">
        <v>91</v>
      </c>
      <c r="B143" s="860"/>
      <c r="C143" s="860"/>
      <c r="D143" s="719" t="s">
        <v>183</v>
      </c>
      <c r="E143" s="149">
        <v>6417</v>
      </c>
      <c r="F143" s="717">
        <v>6440.7</v>
      </c>
      <c r="G143" s="696">
        <f t="shared" si="24"/>
        <v>23.699999999999818</v>
      </c>
      <c r="H143" s="720">
        <f t="shared" si="25"/>
        <v>23.699999999999818</v>
      </c>
      <c r="I143" s="723"/>
      <c r="J143" s="722">
        <f>H143/DAY(B2)</f>
        <v>23.699999999999818</v>
      </c>
    </row>
    <row r="144" spans="1:15" ht="26.25">
      <c r="A144" s="805" t="s">
        <v>90</v>
      </c>
      <c r="B144" s="805"/>
      <c r="C144" s="805"/>
      <c r="D144" s="719" t="s">
        <v>183</v>
      </c>
      <c r="E144" s="149">
        <v>897233</v>
      </c>
      <c r="F144" s="717">
        <v>897471</v>
      </c>
      <c r="G144" s="696">
        <f t="shared" si="24"/>
        <v>238</v>
      </c>
      <c r="H144" s="720">
        <f t="shared" si="25"/>
        <v>238</v>
      </c>
      <c r="I144" s="723"/>
      <c r="J144" s="722">
        <f>H144/DAY(B2)</f>
        <v>238</v>
      </c>
    </row>
    <row r="145" spans="1:10" ht="26.25">
      <c r="A145" s="860" t="s">
        <v>190</v>
      </c>
      <c r="B145" s="860"/>
      <c r="C145" s="860"/>
      <c r="D145" s="719" t="s">
        <v>183</v>
      </c>
      <c r="E145" s="149">
        <v>5628</v>
      </c>
      <c r="F145" s="717">
        <v>5630.26</v>
      </c>
      <c r="G145" s="696">
        <f t="shared" si="24"/>
        <v>2.2600000000002183</v>
      </c>
      <c r="H145" s="720">
        <f t="shared" si="25"/>
        <v>2.2600000000002183</v>
      </c>
      <c r="I145" s="723"/>
      <c r="J145" s="722">
        <f>H145/DAY(B2)</f>
        <v>2.2600000000002183</v>
      </c>
    </row>
    <row r="146" spans="1:10" ht="26.25">
      <c r="A146" s="861" t="s">
        <v>191</v>
      </c>
      <c r="B146" s="862"/>
      <c r="C146" s="863"/>
      <c r="D146" s="719" t="s">
        <v>183</v>
      </c>
      <c r="E146" s="148">
        <v>776454</v>
      </c>
      <c r="F146" s="717">
        <v>776454</v>
      </c>
      <c r="G146" s="696">
        <f t="shared" si="24"/>
        <v>0</v>
      </c>
      <c r="H146" s="720">
        <f t="shared" si="25"/>
        <v>0</v>
      </c>
      <c r="I146" s="723"/>
      <c r="J146" s="722">
        <f>H146/DAY(B2)</f>
        <v>0</v>
      </c>
    </row>
    <row r="147" spans="1:10" ht="26.25">
      <c r="A147" s="805" t="s">
        <v>192</v>
      </c>
      <c r="B147" s="805"/>
      <c r="C147" s="805"/>
      <c r="D147" s="719" t="s">
        <v>183</v>
      </c>
      <c r="E147" s="148">
        <v>663228</v>
      </c>
      <c r="F147" s="717">
        <v>663609.89</v>
      </c>
      <c r="G147" s="696">
        <f t="shared" si="24"/>
        <v>381.89000000001397</v>
      </c>
      <c r="H147" s="720">
        <f t="shared" si="25"/>
        <v>381.89000000001397</v>
      </c>
      <c r="I147" s="723"/>
      <c r="J147" s="722">
        <f>H147/DAY(B2)</f>
        <v>381.89000000001397</v>
      </c>
    </row>
    <row r="148" spans="1:10" ht="26.25">
      <c r="A148" s="856" t="s">
        <v>193</v>
      </c>
      <c r="B148" s="857"/>
      <c r="C148" s="858"/>
      <c r="D148" s="724" t="s">
        <v>130</v>
      </c>
      <c r="E148" s="150">
        <v>719916</v>
      </c>
      <c r="F148" s="695">
        <v>720327.76</v>
      </c>
      <c r="G148" s="696">
        <f t="shared" si="24"/>
        <v>411.76000000000931</v>
      </c>
      <c r="H148" s="720">
        <f t="shared" si="25"/>
        <v>411.76000000000931</v>
      </c>
      <c r="I148" s="720"/>
      <c r="J148" s="722">
        <f>H148/DAY(B2)</f>
        <v>411.76000000000931</v>
      </c>
    </row>
    <row r="149" spans="1:10" ht="26.25">
      <c r="A149" s="856" t="s">
        <v>336</v>
      </c>
      <c r="B149" s="857"/>
      <c r="C149" s="858"/>
      <c r="D149" s="725" t="s">
        <v>130</v>
      </c>
      <c r="E149" s="146">
        <v>83388</v>
      </c>
      <c r="F149" s="719">
        <v>83984.39</v>
      </c>
      <c r="G149" s="696">
        <f t="shared" si="24"/>
        <v>596.38999999999942</v>
      </c>
      <c r="H149" s="720">
        <f t="shared" si="25"/>
        <v>596.38999999999942</v>
      </c>
      <c r="I149" s="622"/>
      <c r="J149" s="722">
        <f>H149/DAY(B2)</f>
        <v>596.38999999999942</v>
      </c>
    </row>
    <row r="150" spans="1:10" ht="26.25">
      <c r="A150" s="856" t="s">
        <v>337</v>
      </c>
      <c r="B150" s="857"/>
      <c r="C150" s="858"/>
      <c r="D150" s="724" t="s">
        <v>130</v>
      </c>
      <c r="E150" s="233">
        <v>30587</v>
      </c>
      <c r="F150" s="719">
        <v>30805.01</v>
      </c>
      <c r="G150" s="696">
        <f t="shared" si="24"/>
        <v>218.0099999999984</v>
      </c>
      <c r="H150" s="720">
        <f t="shared" si="25"/>
        <v>218.0099999999984</v>
      </c>
      <c r="I150" s="622"/>
      <c r="J150" s="722">
        <f>H150/DAY(B2)</f>
        <v>218.0099999999984</v>
      </c>
    </row>
    <row r="151" spans="1:10" ht="26.25">
      <c r="A151" s="856" t="s">
        <v>338</v>
      </c>
      <c r="B151" s="857"/>
      <c r="C151" s="858"/>
      <c r="D151" s="726"/>
      <c r="E151" s="233">
        <v>109228</v>
      </c>
      <c r="F151" s="719">
        <v>109532</v>
      </c>
      <c r="G151" s="696">
        <f t="shared" ref="G151:G152" si="26">F151-E151</f>
        <v>304</v>
      </c>
      <c r="H151" s="720">
        <f t="shared" ref="H151:H158" si="27">G151</f>
        <v>304</v>
      </c>
      <c r="I151" s="622"/>
      <c r="J151" s="722">
        <f>H151/DAY(B2)</f>
        <v>304</v>
      </c>
    </row>
    <row r="152" spans="1:10" ht="26.25">
      <c r="A152" s="856" t="s">
        <v>339</v>
      </c>
      <c r="B152" s="857"/>
      <c r="C152" s="858"/>
      <c r="D152" s="726"/>
      <c r="E152" s="233">
        <v>11156</v>
      </c>
      <c r="F152" s="719">
        <v>11279.16</v>
      </c>
      <c r="G152" s="696">
        <f t="shared" si="26"/>
        <v>123.15999999999985</v>
      </c>
      <c r="H152" s="720">
        <f t="shared" si="27"/>
        <v>123.15999999999985</v>
      </c>
      <c r="I152" s="622"/>
      <c r="J152" s="722">
        <f>H152/DAY(B2)</f>
        <v>123.15999999999985</v>
      </c>
    </row>
    <row r="153" spans="1:10" ht="26.25">
      <c r="A153" s="810" t="s">
        <v>196</v>
      </c>
      <c r="B153" s="811"/>
      <c r="C153" s="812"/>
      <c r="D153" s="726"/>
      <c r="E153" s="361"/>
      <c r="F153" s="727"/>
      <c r="G153" s="728">
        <f>SUM(G138:G152)</f>
        <v>2903.180000000023</v>
      </c>
      <c r="H153" s="729">
        <f t="shared" si="27"/>
        <v>2903.180000000023</v>
      </c>
      <c r="I153" s="604">
        <f>G153-(G38+G52)</f>
        <v>544.9100000000135</v>
      </c>
      <c r="J153" s="730"/>
    </row>
    <row r="154" spans="1:10" ht="26.25">
      <c r="A154" s="859" t="s">
        <v>344</v>
      </c>
      <c r="B154" s="859"/>
      <c r="C154" s="859"/>
      <c r="D154" s="859"/>
      <c r="E154" s="859"/>
      <c r="F154" s="859"/>
      <c r="G154" s="859"/>
      <c r="H154" s="859"/>
      <c r="I154" s="859"/>
      <c r="J154" s="859"/>
    </row>
    <row r="155" spans="1:10" ht="27.75" customHeight="1">
      <c r="A155" s="805" t="s">
        <v>345</v>
      </c>
      <c r="B155" s="805"/>
      <c r="C155" s="805"/>
      <c r="D155" s="691" t="s">
        <v>130</v>
      </c>
      <c r="E155" s="374">
        <v>92732</v>
      </c>
      <c r="F155" s="715">
        <v>93371.71</v>
      </c>
      <c r="G155" s="696">
        <f t="shared" ref="G155:G158" si="28">F155-E155</f>
        <v>639.7100000000064</v>
      </c>
      <c r="H155" s="720">
        <f t="shared" si="27"/>
        <v>639.7100000000064</v>
      </c>
      <c r="I155" s="715"/>
      <c r="J155" s="722">
        <f>H155/DAY(B2)</f>
        <v>639.7100000000064</v>
      </c>
    </row>
    <row r="156" spans="1:10" ht="25.5" customHeight="1">
      <c r="A156" s="805" t="s">
        <v>370</v>
      </c>
      <c r="B156" s="805"/>
      <c r="C156" s="805"/>
      <c r="D156" s="691" t="s">
        <v>130</v>
      </c>
      <c r="E156" s="155">
        <v>7691</v>
      </c>
      <c r="F156" s="715">
        <v>7756.91</v>
      </c>
      <c r="G156" s="696">
        <f t="shared" si="28"/>
        <v>65.909999999999854</v>
      </c>
      <c r="H156" s="720">
        <f t="shared" si="27"/>
        <v>65.909999999999854</v>
      </c>
      <c r="I156" s="715"/>
      <c r="J156" s="722">
        <f>H156/DAY(B2)</f>
        <v>65.909999999999854</v>
      </c>
    </row>
    <row r="157" spans="1:10" ht="25.5" customHeight="1">
      <c r="A157" s="780" t="s">
        <v>361</v>
      </c>
      <c r="B157" s="781"/>
      <c r="C157" s="782"/>
      <c r="D157" s="691" t="s">
        <v>130</v>
      </c>
      <c r="E157" s="155">
        <v>13496</v>
      </c>
      <c r="F157" s="715">
        <v>13607.92</v>
      </c>
      <c r="G157" s="696">
        <f t="shared" si="28"/>
        <v>111.92000000000007</v>
      </c>
      <c r="H157" s="720">
        <f t="shared" si="27"/>
        <v>111.92000000000007</v>
      </c>
      <c r="I157" s="715"/>
      <c r="J157" s="722"/>
    </row>
    <row r="158" spans="1:10" ht="25.5" customHeight="1">
      <c r="A158" s="780" t="s">
        <v>362</v>
      </c>
      <c r="B158" s="781"/>
      <c r="C158" s="782"/>
      <c r="D158" s="691" t="s">
        <v>130</v>
      </c>
      <c r="E158" s="155">
        <v>113</v>
      </c>
      <c r="F158" s="715">
        <v>123.88</v>
      </c>
      <c r="G158" s="696">
        <f t="shared" si="28"/>
        <v>10.879999999999995</v>
      </c>
      <c r="H158" s="720">
        <f t="shared" si="27"/>
        <v>10.879999999999995</v>
      </c>
      <c r="I158" s="715"/>
      <c r="J158" s="722"/>
    </row>
    <row r="159" spans="1:10" ht="25.5" customHeight="1">
      <c r="A159" s="783"/>
      <c r="B159" s="784"/>
      <c r="C159" s="785"/>
      <c r="D159" s="731"/>
      <c r="E159" s="155"/>
      <c r="F159" s="715"/>
      <c r="G159" s="696"/>
      <c r="H159" s="732"/>
      <c r="I159" s="715"/>
      <c r="J159" s="722"/>
    </row>
    <row r="160" spans="1:10" ht="26.25">
      <c r="A160" s="796" t="s">
        <v>326</v>
      </c>
      <c r="B160" s="796"/>
      <c r="C160" s="796"/>
      <c r="D160" s="796"/>
      <c r="E160" s="796"/>
      <c r="F160" s="796"/>
      <c r="G160" s="796"/>
      <c r="H160" s="796"/>
      <c r="I160" s="796"/>
      <c r="J160" s="796"/>
    </row>
    <row r="161" spans="1:10" ht="26.25">
      <c r="A161" s="605" t="s">
        <v>92</v>
      </c>
      <c r="B161" s="733"/>
      <c r="C161" s="733"/>
      <c r="D161" s="734" t="s">
        <v>180</v>
      </c>
      <c r="E161" s="235">
        <v>474783</v>
      </c>
      <c r="F161" s="735">
        <v>474808.92</v>
      </c>
      <c r="G161" s="736">
        <f t="shared" ref="G161:G168" si="29">F161-E161</f>
        <v>25.919999999983702</v>
      </c>
      <c r="H161" s="558">
        <f t="shared" ref="H161:H168" si="30">G161</f>
        <v>25.919999999983702</v>
      </c>
      <c r="I161" s="622"/>
      <c r="J161" s="737">
        <f>H161/DAY(B2)</f>
        <v>25.919999999983702</v>
      </c>
    </row>
    <row r="162" spans="1:10" ht="26.25">
      <c r="A162" s="605" t="s">
        <v>93</v>
      </c>
      <c r="B162" s="733"/>
      <c r="C162" s="733"/>
      <c r="D162" s="734" t="s">
        <v>180</v>
      </c>
      <c r="E162" s="235">
        <v>91547</v>
      </c>
      <c r="F162" s="735">
        <v>91568.2</v>
      </c>
      <c r="G162" s="736">
        <f t="shared" si="29"/>
        <v>21.19999999999709</v>
      </c>
      <c r="H162" s="558">
        <f t="shared" si="30"/>
        <v>21.19999999999709</v>
      </c>
      <c r="I162" s="622"/>
      <c r="J162" s="737">
        <f>H162/DAY(B2)</f>
        <v>21.19999999999709</v>
      </c>
    </row>
    <row r="163" spans="1:10" ht="26.25">
      <c r="A163" s="605" t="s">
        <v>368</v>
      </c>
      <c r="B163" s="733"/>
      <c r="C163" s="733"/>
      <c r="D163" s="734" t="s">
        <v>180</v>
      </c>
      <c r="E163" s="235">
        <v>92036</v>
      </c>
      <c r="F163" s="735">
        <v>92192.5</v>
      </c>
      <c r="G163" s="736">
        <f t="shared" si="29"/>
        <v>156.5</v>
      </c>
      <c r="H163" s="558">
        <f t="shared" si="30"/>
        <v>156.5</v>
      </c>
      <c r="I163" s="622"/>
      <c r="J163" s="737">
        <f>H163/DAY(B2)</f>
        <v>156.5</v>
      </c>
    </row>
    <row r="164" spans="1:10" ht="26.25">
      <c r="A164" s="605" t="s">
        <v>368</v>
      </c>
      <c r="B164" s="733"/>
      <c r="C164" s="733"/>
      <c r="D164" s="734" t="s">
        <v>180</v>
      </c>
      <c r="E164" s="235">
        <v>5182</v>
      </c>
      <c r="F164" s="735">
        <v>5191</v>
      </c>
      <c r="G164" s="736">
        <f>F164-E164</f>
        <v>9</v>
      </c>
      <c r="H164" s="558">
        <f t="shared" si="30"/>
        <v>9</v>
      </c>
      <c r="I164" s="622"/>
      <c r="J164" s="737">
        <f>H164/DAY(B2)</f>
        <v>9</v>
      </c>
    </row>
    <row r="165" spans="1:10" ht="26.25">
      <c r="A165" s="605" t="s">
        <v>309</v>
      </c>
      <c r="B165" s="733"/>
      <c r="C165" s="733"/>
      <c r="D165" s="734" t="s">
        <v>180</v>
      </c>
      <c r="E165" s="235">
        <v>30634</v>
      </c>
      <c r="F165" s="735">
        <v>30643.29</v>
      </c>
      <c r="G165" s="736">
        <f t="shared" si="29"/>
        <v>9.2900000000008731</v>
      </c>
      <c r="H165" s="558">
        <f t="shared" si="30"/>
        <v>9.2900000000008731</v>
      </c>
      <c r="I165" s="622"/>
      <c r="J165" s="737">
        <f>H165/DAY(B2)</f>
        <v>9.2900000000008731</v>
      </c>
    </row>
    <row r="166" spans="1:10" ht="26.25">
      <c r="A166" s="797"/>
      <c r="B166" s="797"/>
      <c r="C166" s="599"/>
      <c r="D166" s="734" t="s">
        <v>180</v>
      </c>
      <c r="E166" s="155"/>
      <c r="F166" s="619"/>
      <c r="G166" s="736">
        <f t="shared" si="29"/>
        <v>0</v>
      </c>
      <c r="H166" s="558">
        <f t="shared" si="30"/>
        <v>0</v>
      </c>
      <c r="I166" s="619"/>
      <c r="J166" s="601"/>
    </row>
    <row r="167" spans="1:10" ht="26.25">
      <c r="A167" s="797"/>
      <c r="B167" s="797"/>
      <c r="C167" s="599"/>
      <c r="D167" s="734" t="s">
        <v>180</v>
      </c>
      <c r="E167" s="155"/>
      <c r="F167" s="619"/>
      <c r="G167" s="736">
        <f t="shared" si="29"/>
        <v>0</v>
      </c>
      <c r="H167" s="558">
        <f t="shared" si="30"/>
        <v>0</v>
      </c>
      <c r="I167" s="619"/>
      <c r="J167" s="601"/>
    </row>
    <row r="168" spans="1:10" ht="26.25">
      <c r="A168" s="797"/>
      <c r="B168" s="797"/>
      <c r="C168" s="599"/>
      <c r="D168" s="734" t="s">
        <v>180</v>
      </c>
      <c r="E168" s="155"/>
      <c r="F168" s="619"/>
      <c r="G168" s="736">
        <f t="shared" si="29"/>
        <v>0</v>
      </c>
      <c r="H168" s="558">
        <f t="shared" si="30"/>
        <v>0</v>
      </c>
      <c r="I168" s="619"/>
      <c r="J168" s="601"/>
    </row>
    <row r="169" spans="1:10" ht="26.25">
      <c r="B169" s="562"/>
      <c r="C169" s="562"/>
      <c r="D169" s="562"/>
      <c r="F169" s="707"/>
      <c r="G169" s="708"/>
      <c r="H169" s="709"/>
      <c r="I169" s="707"/>
      <c r="J169" s="709"/>
    </row>
    <row r="170" spans="1:10" ht="26.25">
      <c r="B170" s="562"/>
      <c r="C170" s="562"/>
      <c r="D170" s="562"/>
      <c r="F170" s="707"/>
      <c r="G170" s="708"/>
      <c r="H170" s="709"/>
      <c r="I170" s="707"/>
      <c r="J170" s="709"/>
    </row>
    <row r="171" spans="1:10" ht="26.25">
      <c r="A171" s="798" t="s">
        <v>330</v>
      </c>
      <c r="B171" s="799"/>
      <c r="C171" s="799"/>
      <c r="D171" s="799"/>
      <c r="E171" s="799"/>
      <c r="F171" s="799"/>
      <c r="G171" s="799"/>
      <c r="H171" s="799"/>
      <c r="I171" s="799"/>
      <c r="J171" s="800"/>
    </row>
    <row r="172" spans="1:10" ht="26.25">
      <c r="A172" s="794"/>
      <c r="B172" s="795"/>
      <c r="C172" s="738"/>
      <c r="D172" s="739"/>
      <c r="E172" s="155"/>
      <c r="F172" s="619"/>
      <c r="G172" s="620"/>
      <c r="H172" s="601"/>
      <c r="I172" s="619"/>
      <c r="J172" s="740">
        <f>H172/DAY(B2)</f>
        <v>0</v>
      </c>
    </row>
    <row r="173" spans="1:10" ht="26.25">
      <c r="A173" s="788" t="s">
        <v>209</v>
      </c>
      <c r="B173" s="789"/>
      <c r="C173" s="741"/>
      <c r="D173" s="739" t="s">
        <v>142</v>
      </c>
      <c r="E173" s="155">
        <v>8261</v>
      </c>
      <c r="F173" s="619">
        <v>8265</v>
      </c>
      <c r="G173" s="620">
        <f>F173-E173</f>
        <v>4</v>
      </c>
      <c r="H173" s="558">
        <f t="shared" ref="H173:H189" si="31">G173</f>
        <v>4</v>
      </c>
      <c r="I173" s="619"/>
      <c r="J173" s="740">
        <f>H173/DAY(B2)</f>
        <v>4</v>
      </c>
    </row>
    <row r="174" spans="1:10" ht="26.25">
      <c r="A174" s="788" t="s">
        <v>75</v>
      </c>
      <c r="B174" s="789"/>
      <c r="C174" s="741"/>
      <c r="D174" s="739" t="s">
        <v>142</v>
      </c>
      <c r="E174" s="157">
        <v>39928</v>
      </c>
      <c r="F174" s="715">
        <v>39946</v>
      </c>
      <c r="G174" s="620">
        <f t="shared" ref="G174:G175" si="32">F174-E174</f>
        <v>18</v>
      </c>
      <c r="H174" s="558">
        <f t="shared" si="31"/>
        <v>18</v>
      </c>
      <c r="I174" s="619"/>
      <c r="J174" s="740">
        <f>H174/DAY(B2)</f>
        <v>18</v>
      </c>
    </row>
    <row r="175" spans="1:10" ht="26.25">
      <c r="A175" s="788" t="s">
        <v>76</v>
      </c>
      <c r="B175" s="801"/>
      <c r="C175" s="789"/>
      <c r="D175" s="739" t="s">
        <v>142</v>
      </c>
      <c r="E175" s="155">
        <v>22889</v>
      </c>
      <c r="F175" s="619">
        <v>22903</v>
      </c>
      <c r="G175" s="620">
        <f t="shared" si="32"/>
        <v>14</v>
      </c>
      <c r="H175" s="558">
        <f t="shared" si="31"/>
        <v>14</v>
      </c>
      <c r="I175" s="619"/>
      <c r="J175" s="740"/>
    </row>
    <row r="176" spans="1:10" ht="26.25">
      <c r="A176" s="786" t="s">
        <v>196</v>
      </c>
      <c r="B176" s="787"/>
      <c r="C176" s="741"/>
      <c r="D176" s="739"/>
      <c r="E176" s="155"/>
      <c r="F176" s="619"/>
      <c r="G176" s="620">
        <f>SUM(G173:G175)</f>
        <v>36</v>
      </c>
      <c r="H176" s="558">
        <f t="shared" si="31"/>
        <v>36</v>
      </c>
      <c r="I176" s="619"/>
      <c r="J176" s="740">
        <f>H176/DAY(B2)</f>
        <v>36</v>
      </c>
    </row>
    <row r="177" spans="1:10" ht="26.25">
      <c r="A177" s="788" t="s">
        <v>77</v>
      </c>
      <c r="B177" s="789"/>
      <c r="C177" s="741"/>
      <c r="D177" s="739" t="s">
        <v>142</v>
      </c>
      <c r="E177" s="155"/>
      <c r="F177" s="619"/>
      <c r="G177" s="620"/>
      <c r="H177" s="558">
        <f t="shared" si="31"/>
        <v>0</v>
      </c>
      <c r="I177" s="619"/>
      <c r="J177" s="740">
        <f>H177/DAY(B2)</f>
        <v>0</v>
      </c>
    </row>
    <row r="178" spans="1:10" ht="26.25">
      <c r="A178" s="788" t="s">
        <v>210</v>
      </c>
      <c r="B178" s="789"/>
      <c r="C178" s="741"/>
      <c r="D178" s="739" t="s">
        <v>142</v>
      </c>
      <c r="E178" s="155">
        <v>88603</v>
      </c>
      <c r="F178" s="619">
        <v>88733</v>
      </c>
      <c r="G178" s="620">
        <f>F178-E178</f>
        <v>130</v>
      </c>
      <c r="H178" s="558">
        <f t="shared" si="31"/>
        <v>130</v>
      </c>
      <c r="I178" s="619"/>
      <c r="J178" s="740">
        <f>H178/DAY(B2)</f>
        <v>130</v>
      </c>
    </row>
    <row r="179" spans="1:10" ht="26.25">
      <c r="A179" s="788" t="s">
        <v>211</v>
      </c>
      <c r="B179" s="789"/>
      <c r="C179" s="741"/>
      <c r="D179" s="739" t="s">
        <v>142</v>
      </c>
      <c r="E179" s="155">
        <v>35773</v>
      </c>
      <c r="F179" s="619">
        <v>35773</v>
      </c>
      <c r="G179" s="620">
        <f t="shared" ref="G179:G180" si="33">F179-E179</f>
        <v>0</v>
      </c>
      <c r="H179" s="558">
        <f t="shared" si="31"/>
        <v>0</v>
      </c>
      <c r="I179" s="619"/>
      <c r="J179" s="740">
        <f>H179/DAY(B2)</f>
        <v>0</v>
      </c>
    </row>
    <row r="180" spans="1:10" ht="26.25">
      <c r="A180" s="788" t="s">
        <v>212</v>
      </c>
      <c r="B180" s="789"/>
      <c r="C180" s="741"/>
      <c r="D180" s="739" t="s">
        <v>142</v>
      </c>
      <c r="E180" s="155">
        <v>6389</v>
      </c>
      <c r="F180" s="619">
        <v>6393</v>
      </c>
      <c r="G180" s="620">
        <f t="shared" si="33"/>
        <v>4</v>
      </c>
      <c r="H180" s="558">
        <f t="shared" si="31"/>
        <v>4</v>
      </c>
      <c r="I180" s="619"/>
      <c r="J180" s="740">
        <f>H180/DAY(B2)</f>
        <v>4</v>
      </c>
    </row>
    <row r="181" spans="1:10" ht="26.25">
      <c r="A181" s="786" t="s">
        <v>108</v>
      </c>
      <c r="B181" s="787"/>
      <c r="C181" s="741"/>
      <c r="D181" s="739"/>
      <c r="E181" s="157"/>
      <c r="F181" s="619"/>
      <c r="G181" s="620">
        <f>SUM(G178:G180)</f>
        <v>134</v>
      </c>
      <c r="H181" s="558">
        <f t="shared" si="31"/>
        <v>134</v>
      </c>
      <c r="I181" s="619"/>
      <c r="J181" s="740">
        <f>H181/DAY(B2)</f>
        <v>134</v>
      </c>
    </row>
    <row r="182" spans="1:10" ht="21.95" customHeight="1">
      <c r="A182" s="788" t="s">
        <v>213</v>
      </c>
      <c r="B182" s="789"/>
      <c r="C182" s="741"/>
      <c r="D182" s="739"/>
      <c r="E182" s="155"/>
      <c r="F182" s="619"/>
      <c r="G182" s="620"/>
      <c r="H182" s="558">
        <f t="shared" si="31"/>
        <v>0</v>
      </c>
      <c r="I182" s="619"/>
      <c r="J182" s="740">
        <f>H182/DAY(B2)</f>
        <v>0</v>
      </c>
    </row>
    <row r="183" spans="1:10" ht="21.95" customHeight="1">
      <c r="A183" s="788" t="s">
        <v>214</v>
      </c>
      <c r="B183" s="789"/>
      <c r="C183" s="741"/>
      <c r="D183" s="739" t="s">
        <v>142</v>
      </c>
      <c r="E183" s="157">
        <v>16622</v>
      </c>
      <c r="F183" s="715">
        <v>16630</v>
      </c>
      <c r="G183" s="742">
        <f>F183-E183</f>
        <v>8</v>
      </c>
      <c r="H183" s="558">
        <f t="shared" si="31"/>
        <v>8</v>
      </c>
      <c r="I183" s="619"/>
      <c r="J183" s="740">
        <f>H183/DAY(B2)</f>
        <v>8</v>
      </c>
    </row>
    <row r="184" spans="1:10" ht="21.95" customHeight="1">
      <c r="A184" s="788" t="s">
        <v>215</v>
      </c>
      <c r="B184" s="789"/>
      <c r="C184" s="741"/>
      <c r="D184" s="739" t="s">
        <v>142</v>
      </c>
      <c r="E184" s="157">
        <v>11274</v>
      </c>
      <c r="F184" s="715">
        <v>11284</v>
      </c>
      <c r="G184" s="742">
        <f t="shared" ref="G184:G185" si="34">F184-E184</f>
        <v>10</v>
      </c>
      <c r="H184" s="558">
        <f t="shared" si="31"/>
        <v>10</v>
      </c>
      <c r="I184" s="619"/>
      <c r="J184" s="740">
        <f>H184/DAY(B2)</f>
        <v>10</v>
      </c>
    </row>
    <row r="185" spans="1:10" ht="26.25">
      <c r="A185" s="788" t="s">
        <v>216</v>
      </c>
      <c r="B185" s="789"/>
      <c r="C185" s="741"/>
      <c r="D185" s="739" t="s">
        <v>142</v>
      </c>
      <c r="E185" s="157"/>
      <c r="F185" s="715"/>
      <c r="G185" s="742">
        <f t="shared" si="34"/>
        <v>0</v>
      </c>
      <c r="H185" s="558">
        <f t="shared" si="31"/>
        <v>0</v>
      </c>
      <c r="I185" s="619"/>
      <c r="J185" s="743">
        <f>H185/DAY(B2)</f>
        <v>0</v>
      </c>
    </row>
    <row r="186" spans="1:10" ht="26.25">
      <c r="A186" s="786" t="s">
        <v>196</v>
      </c>
      <c r="B186" s="787"/>
      <c r="C186" s="741"/>
      <c r="D186" s="744"/>
      <c r="E186" s="157"/>
      <c r="F186" s="715"/>
      <c r="G186" s="742">
        <f>SUM(G183:G185)</f>
        <v>18</v>
      </c>
      <c r="H186" s="558">
        <f t="shared" si="31"/>
        <v>18</v>
      </c>
      <c r="I186" s="715"/>
      <c r="J186" s="743">
        <f>H186/DAY(B2)</f>
        <v>18</v>
      </c>
    </row>
    <row r="187" spans="1:10" ht="26.25">
      <c r="A187" s="788" t="s">
        <v>217</v>
      </c>
      <c r="B187" s="789"/>
      <c r="C187" s="741"/>
      <c r="D187" s="745" t="s">
        <v>142</v>
      </c>
      <c r="E187" s="159"/>
      <c r="F187" s="732"/>
      <c r="G187" s="742">
        <f>G62+G19</f>
        <v>226</v>
      </c>
      <c r="H187" s="558">
        <f t="shared" si="31"/>
        <v>226</v>
      </c>
      <c r="I187" s="715"/>
      <c r="J187" s="743">
        <f>H187/DAY(B2)</f>
        <v>226</v>
      </c>
    </row>
    <row r="188" spans="1:10" ht="26.25">
      <c r="A188" s="788" t="s">
        <v>218</v>
      </c>
      <c r="B188" s="789"/>
      <c r="C188" s="741"/>
      <c r="D188" s="745" t="s">
        <v>142</v>
      </c>
      <c r="E188" s="159"/>
      <c r="F188" s="732"/>
      <c r="G188" s="742">
        <f>G65+G66+G67+G69+G70</f>
        <v>234</v>
      </c>
      <c r="H188" s="558">
        <f t="shared" si="31"/>
        <v>234</v>
      </c>
      <c r="I188" s="715"/>
      <c r="J188" s="686"/>
    </row>
    <row r="189" spans="1:10" ht="26.25">
      <c r="A189" s="788" t="s">
        <v>219</v>
      </c>
      <c r="B189" s="789"/>
      <c r="C189" s="741"/>
      <c r="D189" s="745" t="s">
        <v>142</v>
      </c>
      <c r="E189" s="157"/>
      <c r="F189" s="715"/>
      <c r="G189" s="742">
        <f>G181</f>
        <v>134</v>
      </c>
      <c r="H189" s="558">
        <f t="shared" si="31"/>
        <v>134</v>
      </c>
      <c r="I189" s="715"/>
      <c r="J189" s="737">
        <f>H189/DAY(B2)</f>
        <v>134</v>
      </c>
    </row>
    <row r="190" spans="1:10" ht="26.25">
      <c r="A190" s="792" t="s">
        <v>358</v>
      </c>
      <c r="B190" s="793"/>
      <c r="C190" s="606"/>
      <c r="D190" s="607"/>
      <c r="E190" s="415">
        <v>53763</v>
      </c>
      <c r="F190" s="608">
        <v>53763</v>
      </c>
      <c r="G190" s="746">
        <f>F190-E190</f>
        <v>0</v>
      </c>
      <c r="H190" s="609"/>
      <c r="I190" s="608"/>
      <c r="J190" s="609"/>
    </row>
    <row r="191" spans="1:10" ht="26.25">
      <c r="A191" s="790"/>
      <c r="B191" s="791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zoomScale="55" zoomScaleSheetLayoutView="55" workbookViewId="0">
      <selection activeCell="F71" sqref="F71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6" s="57" customFormat="1" ht="23.25">
      <c r="A2" s="191" t="s">
        <v>354</v>
      </c>
      <c r="B2" s="262">
        <v>44683</v>
      </c>
      <c r="C2" s="348" t="s">
        <v>67</v>
      </c>
      <c r="D2" s="218">
        <v>0.86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860541.19</v>
      </c>
      <c r="F7" s="95">
        <v>888131.67</v>
      </c>
      <c r="G7" s="112">
        <f>F7-E7</f>
        <v>27590.480000000098</v>
      </c>
      <c r="H7" s="99">
        <f>G7+'1'!H7</f>
        <v>57080.670000000042</v>
      </c>
      <c r="I7" s="113">
        <f>'[1]1'!I7</f>
        <v>12000</v>
      </c>
      <c r="J7" s="175">
        <f>H7/DAY(B2)</f>
        <v>28540.335000000021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949164.63</v>
      </c>
      <c r="F8" s="114">
        <v>977181.11</v>
      </c>
      <c r="G8" s="115">
        <f>F8-E8</f>
        <v>28016.479999999981</v>
      </c>
      <c r="H8" s="99">
        <f>G8+'1'!H8</f>
        <v>58058.109999999986</v>
      </c>
      <c r="I8" s="116">
        <v>12000</v>
      </c>
      <c r="J8" s="175">
        <f>H8/DAY(B2)</f>
        <v>29029.054999999993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1915629.3</v>
      </c>
      <c r="F9" s="353">
        <v>1939379.7</v>
      </c>
      <c r="G9" s="112">
        <f t="shared" ref="G9:G11" si="0">F9-E9</f>
        <v>23750.399999999907</v>
      </c>
      <c r="H9" s="99">
        <f>G9+'1'!H9</f>
        <v>48344.699999999953</v>
      </c>
      <c r="I9" s="124">
        <f>I8-J8</f>
        <v>-17029.054999999993</v>
      </c>
      <c r="J9" s="175">
        <f>H9/DAY(B2)</f>
        <v>24172.349999999977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619566.94999999995</v>
      </c>
      <c r="F10" s="117">
        <v>622579.15</v>
      </c>
      <c r="G10" s="112">
        <f t="shared" si="0"/>
        <v>3012.2000000000698</v>
      </c>
      <c r="H10" s="99">
        <f>G10+'1'!H10</f>
        <v>7043.1500000000233</v>
      </c>
      <c r="I10" s="118"/>
      <c r="J10" s="175">
        <f>H10/DAY(B2)</f>
        <v>3521.5750000000116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26762.599999999977</v>
      </c>
      <c r="H13" s="99">
        <f>G13+'1'!H13</f>
        <v>52871.599999999977</v>
      </c>
      <c r="I13" s="120">
        <f>G7-G13</f>
        <v>827.88000000012107</v>
      </c>
      <c r="J13" s="175">
        <f>H13/DAY(B2)</f>
        <v>26435.799999999988</v>
      </c>
      <c r="K13" s="79"/>
      <c r="L13" s="66"/>
      <c r="N13" s="87"/>
      <c r="O13" s="71"/>
    </row>
    <row r="14" spans="1:16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2004830.99</v>
      </c>
      <c r="F15" s="352">
        <v>2005873.85</v>
      </c>
      <c r="G15" s="356">
        <f>(F15-E15)</f>
        <v>1042.8600000001024</v>
      </c>
      <c r="H15" s="99">
        <f>G15+'1'!H15</f>
        <v>2146.8500000000931</v>
      </c>
      <c r="I15" s="113">
        <v>800</v>
      </c>
      <c r="J15" s="175">
        <f>H15/DAY(B2)</f>
        <v>1073.4250000000466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-273.42500000004657</v>
      </c>
      <c r="J16" s="176"/>
      <c r="K16" s="79"/>
      <c r="L16" s="66"/>
      <c r="N16" s="87"/>
      <c r="O16" s="71"/>
      <c r="P16" s="71"/>
    </row>
    <row r="17" spans="1:16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907" t="s">
        <v>141</v>
      </c>
      <c r="B18" s="908"/>
      <c r="C18" s="909"/>
      <c r="D18" s="151" t="s">
        <v>142</v>
      </c>
      <c r="E18" s="95">
        <f>'1'!F18</f>
        <v>26</v>
      </c>
      <c r="F18" s="117">
        <v>20</v>
      </c>
      <c r="G18" s="119">
        <f>F18*10</f>
        <v>200</v>
      </c>
      <c r="H18" s="99">
        <f>G18+'1'!H18</f>
        <v>460</v>
      </c>
      <c r="I18" s="113">
        <f>'[1]1'!I18</f>
        <v>65</v>
      </c>
      <c r="J18" s="175">
        <f>H18/DAY(B2)</f>
        <v>230</v>
      </c>
      <c r="K18" s="79"/>
      <c r="L18" s="66"/>
      <c r="N18" s="87"/>
      <c r="O18" s="71"/>
    </row>
    <row r="19" spans="1:16" ht="25.5">
      <c r="A19" s="907" t="s">
        <v>69</v>
      </c>
      <c r="B19" s="908"/>
      <c r="C19" s="909"/>
      <c r="D19" s="151" t="s">
        <v>142</v>
      </c>
      <c r="E19" s="95">
        <f>'1'!F19</f>
        <v>158506</v>
      </c>
      <c r="F19" s="353">
        <v>158561</v>
      </c>
      <c r="G19" s="112">
        <f>F19-E19</f>
        <v>55</v>
      </c>
      <c r="H19" s="99">
        <f>G19+'1'!H19</f>
        <v>107</v>
      </c>
      <c r="I19" s="354"/>
      <c r="J19" s="175">
        <f>H19/DAY(B2)</f>
        <v>53.5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255</v>
      </c>
      <c r="H20" s="99">
        <f>G20+'1'!H20</f>
        <v>567</v>
      </c>
      <c r="I20" s="336">
        <f>I18-J20</f>
        <v>-218.5</v>
      </c>
      <c r="J20" s="175">
        <f>H20/DAY(B2)</f>
        <v>283.5</v>
      </c>
      <c r="K20" s="79"/>
      <c r="L20" s="66"/>
      <c r="N20" s="87"/>
      <c r="O20" s="71"/>
    </row>
    <row r="21" spans="1:16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28016.479999999981</v>
      </c>
      <c r="F27" s="136">
        <v>9</v>
      </c>
      <c r="G27" s="137">
        <f>E27*F27</f>
        <v>252148.31999999983</v>
      </c>
      <c r="H27" s="99">
        <f>G27+'1'!H27</f>
        <v>522522.98999999987</v>
      </c>
      <c r="I27" s="138"/>
      <c r="J27" s="175">
        <f>H27/DAY(B2)</f>
        <v>261261.49499999994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1042.8600000001024</v>
      </c>
      <c r="F28" s="136">
        <v>70</v>
      </c>
      <c r="G28" s="137">
        <f t="shared" ref="G28:G31" si="2">E28*F28</f>
        <v>73000.200000007171</v>
      </c>
      <c r="H28" s="99">
        <f>G28+'1'!H28</f>
        <v>150279.50000000652</v>
      </c>
      <c r="I28" s="140"/>
      <c r="J28" s="175">
        <f>H28/DAY(B2)</f>
        <v>75139.75000000326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 t="shared" si="2"/>
        <v>8305</v>
      </c>
      <c r="H30" s="99">
        <f>G30+'1'!H30</f>
        <v>16157</v>
      </c>
      <c r="I30" s="140"/>
      <c r="J30" s="175">
        <f>H30/DAY(B2)</f>
        <v>8078.5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 t="shared" si="2"/>
        <v>16000</v>
      </c>
      <c r="H31" s="99">
        <f>G31+'1'!H31</f>
        <v>36800</v>
      </c>
      <c r="I31" s="140"/>
      <c r="J31" s="175">
        <f>H31/DAY(B2)</f>
        <v>18400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349453.520000007</v>
      </c>
      <c r="H32" s="99">
        <f>G32+'1'!H32</f>
        <v>725759.49000000639</v>
      </c>
      <c r="I32" s="144"/>
      <c r="J32" s="175">
        <f>H32/DAY(B2)</f>
        <v>362879.7450000032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205140.97</v>
      </c>
      <c r="F35" s="145">
        <v>207233.83</v>
      </c>
      <c r="G35" s="112">
        <f t="shared" ref="G35:G46" si="3">F35-E35</f>
        <v>2092.859999999986</v>
      </c>
      <c r="H35" s="99">
        <f>G35+'1'!H35</f>
        <v>4348.8299999999872</v>
      </c>
      <c r="I35" s="95"/>
      <c r="J35" s="175">
        <f>H35/DAY(B2)</f>
        <v>2174.4149999999936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132423.20000000001</v>
      </c>
      <c r="F36" s="145">
        <v>133239.82</v>
      </c>
      <c r="G36" s="112">
        <f t="shared" si="3"/>
        <v>816.61999999999534</v>
      </c>
      <c r="H36" s="99">
        <f>G36+'1'!H36</f>
        <v>1660.820000000007</v>
      </c>
      <c r="I36" s="95"/>
      <c r="J36" s="175">
        <f>H36/DAY(B2)</f>
        <v>830.41000000000349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184802.95</v>
      </c>
      <c r="F37" s="145">
        <v>186481.17</v>
      </c>
      <c r="G37" s="112">
        <f t="shared" si="3"/>
        <v>1678.2200000000012</v>
      </c>
      <c r="H37" s="99">
        <f>G37+'1'!H37</f>
        <v>3356.1700000000128</v>
      </c>
      <c r="I37" s="95"/>
      <c r="J37" s="175">
        <f>H37/DAY(B2)</f>
        <v>1678.0850000000064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245810.51</v>
      </c>
      <c r="F38" s="108">
        <v>248148.59</v>
      </c>
      <c r="G38" s="112">
        <f t="shared" si="3"/>
        <v>2338.0799999999872</v>
      </c>
      <c r="H38" s="99">
        <f>G38+'1'!H38</f>
        <v>4696.5899999999965</v>
      </c>
      <c r="I38" s="95"/>
      <c r="J38" s="175">
        <f>H38/DAY(B2)</f>
        <v>2348.2949999999983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342742.71</v>
      </c>
      <c r="F39" s="145">
        <v>345585.55</v>
      </c>
      <c r="G39" s="112">
        <f t="shared" si="3"/>
        <v>2842.8399999999674</v>
      </c>
      <c r="H39" s="99">
        <f>G39+'1'!H39</f>
        <v>5597.5499999999884</v>
      </c>
      <c r="I39" s="95"/>
      <c r="J39" s="175">
        <f>H39/DAY(B2)</f>
        <v>2798.7749999999942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65662.02</v>
      </c>
      <c r="F40" s="145">
        <v>66488.509999999995</v>
      </c>
      <c r="G40" s="112">
        <f t="shared" si="3"/>
        <v>826.48999999999069</v>
      </c>
      <c r="H40" s="99">
        <f>G40+'1'!H40</f>
        <v>1611.5099999999948</v>
      </c>
      <c r="I40" s="95"/>
      <c r="J40" s="175">
        <f>H40/DAY(B2)</f>
        <v>805.75499999999738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31915.69</v>
      </c>
      <c r="F41" s="145">
        <v>37523.74</v>
      </c>
      <c r="G41" s="112">
        <f t="shared" si="3"/>
        <v>5608.0499999999993</v>
      </c>
      <c r="H41" s="99">
        <f>G41+'1'!H41</f>
        <v>9830.739999999998</v>
      </c>
      <c r="I41" s="95"/>
      <c r="J41" s="175">
        <f>H41/DAY(B2)</f>
        <v>4915.369999999999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431606</v>
      </c>
      <c r="F42" s="145">
        <v>435351.71</v>
      </c>
      <c r="G42" s="112">
        <f t="shared" si="3"/>
        <v>3745.710000000021</v>
      </c>
      <c r="H42" s="99">
        <f>G42+'1'!H42</f>
        <v>9550.710000000021</v>
      </c>
      <c r="I42" s="95"/>
      <c r="J42" s="175">
        <f>H42/DAY(B2)</f>
        <v>4775.3550000000105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361340.99</v>
      </c>
      <c r="F43" s="145">
        <v>365028.23</v>
      </c>
      <c r="G43" s="112">
        <f t="shared" si="3"/>
        <v>3687.2399999999907</v>
      </c>
      <c r="H43" s="99">
        <f>G43+'1'!H43</f>
        <v>7509.2299999999814</v>
      </c>
      <c r="I43" s="95"/>
      <c r="J43" s="175">
        <f>H43/DAY(B2)</f>
        <v>3754.6149999999907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23636.109999999939</v>
      </c>
      <c r="H47" s="99">
        <f>G47+'1'!H47</f>
        <v>48162.149999999987</v>
      </c>
      <c r="I47" s="95"/>
      <c r="J47" s="175">
        <f>H47/DAY(B2)</f>
        <v>24081.074999999993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167032.65</v>
      </c>
      <c r="F49" s="145">
        <v>168867.77</v>
      </c>
      <c r="G49" s="112">
        <f t="shared" ref="G49:G58" si="4">F49-E49</f>
        <v>1835.1199999999953</v>
      </c>
      <c r="H49" s="99">
        <f>G49+'1'!H49</f>
        <v>3697.7699999999895</v>
      </c>
      <c r="I49" s="95"/>
      <c r="J49" s="175">
        <f>H49/DAY(B2)</f>
        <v>1848.8849999999948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174381.41</v>
      </c>
      <c r="F50" s="145">
        <v>175497.11</v>
      </c>
      <c r="G50" s="112">
        <f t="shared" si="4"/>
        <v>1115.6999999999825</v>
      </c>
      <c r="H50" s="99">
        <f>G50+'1'!H50</f>
        <v>2890.109999999986</v>
      </c>
      <c r="I50" s="95"/>
      <c r="J50" s="175">
        <f>H50/DAY(B2)</f>
        <v>1445.054999999993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75.680000000000007</v>
      </c>
      <c r="F51" s="145">
        <v>75.680000000000007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50555.83</v>
      </c>
      <c r="F54" s="145">
        <v>51031.71</v>
      </c>
      <c r="G54" s="112">
        <f t="shared" si="4"/>
        <v>475.87999999999738</v>
      </c>
      <c r="H54" s="99">
        <f>G54+'1'!H54</f>
        <v>948.70999999999913</v>
      </c>
      <c r="I54" s="95"/>
      <c r="J54" s="175">
        <f>H54/DAY(B2)</f>
        <v>474.35499999999956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145222.93</v>
      </c>
      <c r="F55" s="145">
        <v>145222.93</v>
      </c>
      <c r="G55" s="112">
        <f t="shared" si="4"/>
        <v>0</v>
      </c>
      <c r="H55" s="99">
        <f>G55+'1'!H55</f>
        <v>255.92999999999302</v>
      </c>
      <c r="I55" s="95"/>
      <c r="J55" s="175">
        <f>H55/DAY(B2)</f>
        <v>127.96499999999651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107245.66</v>
      </c>
      <c r="F56" s="145">
        <v>107245.66</v>
      </c>
      <c r="G56" s="112">
        <f t="shared" si="4"/>
        <v>0</v>
      </c>
      <c r="H56" s="99">
        <f>G56+'1'!H56</f>
        <v>-0.33999999999650754</v>
      </c>
      <c r="I56" s="95"/>
      <c r="J56" s="175">
        <f>H56/DAY(B2)</f>
        <v>-0.16999999999825377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25724.51</v>
      </c>
      <c r="F58" s="145">
        <v>25975.81</v>
      </c>
      <c r="G58" s="112">
        <f t="shared" si="4"/>
        <v>251.30000000000291</v>
      </c>
      <c r="H58" s="99">
        <f>G58+'1'!H58</f>
        <v>482.81000000000131</v>
      </c>
      <c r="I58" s="95"/>
      <c r="J58" s="175">
        <f>H58/DAY(B2)</f>
        <v>241.40500000000065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3677.9999999999782</v>
      </c>
      <c r="H59" s="99">
        <f>G59+'1'!H59</f>
        <v>8274.7499999999727</v>
      </c>
      <c r="I59" s="95">
        <f>G7-G60</f>
        <v>276.37000000018088</v>
      </c>
      <c r="J59" s="175">
        <f>H59/DAY(B2)</f>
        <v>4137.3749999999864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27314.109999999917</v>
      </c>
      <c r="H60" s="99">
        <f>G60+'1'!H60</f>
        <v>56436.899999999965</v>
      </c>
      <c r="I60" s="95">
        <f>G13-G60</f>
        <v>-551.50999999994019</v>
      </c>
      <c r="J60" s="175">
        <f>H60/DAY(B2)</f>
        <v>28218.449999999983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'1'!F62</f>
        <v>284183</v>
      </c>
      <c r="F62" s="122">
        <v>284343</v>
      </c>
      <c r="G62" s="112">
        <f t="shared" ref="G62:G63" si="5">F62-E62</f>
        <v>160</v>
      </c>
      <c r="H62" s="99">
        <f>G62+'1'!H62</f>
        <v>334</v>
      </c>
      <c r="I62" s="118"/>
      <c r="J62" s="175">
        <f>H62/DAY(B2)</f>
        <v>167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'1'!F63</f>
        <v>227638</v>
      </c>
      <c r="F63" s="122">
        <v>227770</v>
      </c>
      <c r="G63" s="112">
        <f t="shared" si="5"/>
        <v>132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'1'!F64</f>
        <v>0</v>
      </c>
      <c r="F64" s="122"/>
      <c r="G64" s="112">
        <f>G62+G63</f>
        <v>292</v>
      </c>
      <c r="H64" s="99">
        <f>G64+'1'!H64</f>
        <v>625</v>
      </c>
      <c r="I64" s="118"/>
      <c r="J64" s="175">
        <f>H64/DAY(B2)</f>
        <v>312.5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'1'!F65</f>
        <v>444705</v>
      </c>
      <c r="F65" s="122">
        <v>444798</v>
      </c>
      <c r="G65" s="112">
        <f t="shared" ref="G65:G70" si="6">F65-E65</f>
        <v>93</v>
      </c>
      <c r="H65" s="99">
        <f>G65+'1'!H65</f>
        <v>206</v>
      </c>
      <c r="I65" s="118"/>
      <c r="J65" s="175">
        <f>H65/DAY(B2)</f>
        <v>103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109605</v>
      </c>
      <c r="F66" s="122">
        <v>109623</v>
      </c>
      <c r="G66" s="112">
        <f t="shared" si="6"/>
        <v>18</v>
      </c>
      <c r="H66" s="99">
        <f>G66+'1'!H66</f>
        <v>42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110977</v>
      </c>
      <c r="F67" s="122">
        <v>111055</v>
      </c>
      <c r="G67" s="112">
        <f t="shared" si="6"/>
        <v>78</v>
      </c>
      <c r="H67" s="99">
        <f>G67+'1'!H67</f>
        <v>155</v>
      </c>
      <c r="I67" s="118"/>
      <c r="J67" s="175">
        <f>H67/DAY(B2)</f>
        <v>77.5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161818</v>
      </c>
      <c r="F68" s="122">
        <v>161832</v>
      </c>
      <c r="G68" s="112">
        <f t="shared" si="6"/>
        <v>14</v>
      </c>
      <c r="H68" s="99">
        <f>G68+'1'!H68</f>
        <v>48</v>
      </c>
      <c r="I68" s="118"/>
      <c r="J68" s="175">
        <f>H68/DAY(B2)</f>
        <v>24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11605</v>
      </c>
      <c r="F69" s="122">
        <v>11613</v>
      </c>
      <c r="G69" s="236">
        <f t="shared" si="6"/>
        <v>8</v>
      </c>
      <c r="H69" s="99">
        <f>G69+'1'!H69</f>
        <v>15</v>
      </c>
      <c r="I69" s="118"/>
      <c r="J69" s="175">
        <f>H69/DAY(B2)</f>
        <v>7.5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9014</v>
      </c>
      <c r="F70" s="122">
        <v>9020</v>
      </c>
      <c r="G70" s="112">
        <f t="shared" si="6"/>
        <v>6</v>
      </c>
      <c r="H70" s="99">
        <f>G70+'1'!H70</f>
        <v>19</v>
      </c>
      <c r="I70" s="118"/>
      <c r="J70" s="175">
        <f>H70/DAY(B2)</f>
        <v>9.5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217</v>
      </c>
      <c r="H71" s="99">
        <f>G71+'1'!H71</f>
        <v>485</v>
      </c>
      <c r="I71" s="154"/>
      <c r="J71" s="175">
        <f>H71/DAY(B2)</f>
        <v>242.5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'1'!F74</f>
        <v>929107.14</v>
      </c>
      <c r="F74" s="123">
        <v>929406.89</v>
      </c>
      <c r="G74" s="112">
        <f t="shared" ref="G74:G78" si="7">F74-E74</f>
        <v>299.75</v>
      </c>
      <c r="H74" s="99">
        <f>G74+'1'!H74</f>
        <v>629.89000000001397</v>
      </c>
      <c r="I74" s="154"/>
      <c r="J74" s="175">
        <f>H74/DAY(B2)</f>
        <v>314.94500000000698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'1'!F76</f>
        <v>180263.6</v>
      </c>
      <c r="F76" s="123">
        <v>180373.73</v>
      </c>
      <c r="G76" s="112">
        <f t="shared" si="7"/>
        <v>110.13000000000466</v>
      </c>
      <c r="H76" s="99">
        <f>G76+'1'!H76</f>
        <v>219.73000000001048</v>
      </c>
      <c r="I76" s="154"/>
      <c r="J76" s="175">
        <f>H76/DAY(B2)</f>
        <v>109.86500000000524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'1'!F77</f>
        <v>45719.199999999997</v>
      </c>
      <c r="F77" s="123">
        <v>45763.9</v>
      </c>
      <c r="G77" s="112">
        <f t="shared" si="7"/>
        <v>44.700000000004366</v>
      </c>
      <c r="H77" s="99">
        <f>G77+'1'!H77</f>
        <v>89.900000000001455</v>
      </c>
      <c r="I77" s="154"/>
      <c r="J77" s="175">
        <f>H77/DAY(B2)</f>
        <v>44.950000000000728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'1'!F78</f>
        <v>9563.4</v>
      </c>
      <c r="F78" s="123">
        <v>9563</v>
      </c>
      <c r="G78" s="112">
        <f t="shared" si="7"/>
        <v>-0.3999999999996362</v>
      </c>
      <c r="H78" s="99">
        <f>G78+'1'!H78</f>
        <v>-0.3999999999996362</v>
      </c>
      <c r="I78" s="118"/>
      <c r="J78" s="175">
        <f>H78/DAY(B2)</f>
        <v>-0.1999999999998181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'1'!F79</f>
        <v>0</v>
      </c>
      <c r="F79" s="123"/>
      <c r="G79" s="112">
        <f>G15-SUM(G74:G78)</f>
        <v>588.68000000009306</v>
      </c>
      <c r="H79" s="99">
        <f>G79+'1'!H79</f>
        <v>1207.7300000000669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>
        <f>SUM(G74:G79)</f>
        <v>1042.8600000001024</v>
      </c>
      <c r="H80" s="99">
        <f>G80+'1'!H80</f>
        <v>1042.8600000001024</v>
      </c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41811</v>
      </c>
      <c r="F84" s="164">
        <v>41835.370000000003</v>
      </c>
      <c r="G84" s="112">
        <f t="shared" si="8"/>
        <v>24.370000000002619</v>
      </c>
      <c r="H84" s="99">
        <f>G84+'1'!H84</f>
        <v>43.370000000002619</v>
      </c>
      <c r="I84" s="575"/>
      <c r="J84" s="175">
        <f>H84/DAY(B2)</f>
        <v>21.68500000000131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3801.08</v>
      </c>
      <c r="F85" s="164">
        <v>3817.18</v>
      </c>
      <c r="G85" s="112">
        <f t="shared" si="8"/>
        <v>16.099999999999909</v>
      </c>
      <c r="H85" s="99">
        <f>G85+'1'!H85</f>
        <v>40.179999999999836</v>
      </c>
      <c r="I85" s="575"/>
      <c r="J85" s="175">
        <f>H85/DAY(B2)</f>
        <v>20.089999999999918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43941.120000000003</v>
      </c>
      <c r="F86" s="164">
        <v>43941.120000000003</v>
      </c>
      <c r="G86" s="112">
        <f t="shared" si="8"/>
        <v>0</v>
      </c>
      <c r="H86" s="99">
        <f>G86+'1'!H86</f>
        <v>2.1200000000026193</v>
      </c>
      <c r="I86" s="575"/>
      <c r="J86" s="175">
        <f>H86/DAY(B2)</f>
        <v>1.0600000000013097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35329.06</v>
      </c>
      <c r="F87" s="164">
        <v>35329.06</v>
      </c>
      <c r="G87" s="112">
        <f t="shared" si="8"/>
        <v>0</v>
      </c>
      <c r="H87" s="99">
        <f>G87+'1'!H87</f>
        <v>5.9999999997671694E-2</v>
      </c>
      <c r="I87" s="575">
        <f>G84+G85+G86+G87</f>
        <v>40.470000000002528</v>
      </c>
      <c r="J87" s="175">
        <f>H87/DAY(B2)</f>
        <v>2.9999999998835847E-2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24188.12</v>
      </c>
      <c r="F88" s="164">
        <v>24188.12</v>
      </c>
      <c r="G88" s="112">
        <f t="shared" si="8"/>
        <v>0</v>
      </c>
      <c r="H88" s="99">
        <f>G88+'1'!H88</f>
        <v>0</v>
      </c>
      <c r="I88" s="57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26719.62</v>
      </c>
      <c r="F89" s="164">
        <v>26729.5</v>
      </c>
      <c r="G89" s="112">
        <f t="shared" si="8"/>
        <v>9.8800000000010186</v>
      </c>
      <c r="H89" s="99">
        <f>G89+'1'!H89</f>
        <v>20.279999999998836</v>
      </c>
      <c r="I89" s="575">
        <f>G88+G89</f>
        <v>9.8800000000010186</v>
      </c>
      <c r="J89" s="175">
        <f>H89/DAY(B2)</f>
        <v>10.139999999999418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71872.98</v>
      </c>
      <c r="F90" s="164">
        <v>71882.37</v>
      </c>
      <c r="G90" s="112">
        <f t="shared" si="8"/>
        <v>9.3899999999994179</v>
      </c>
      <c r="H90" s="99">
        <f>G90+'1'!H90</f>
        <v>18.839999999996508</v>
      </c>
      <c r="I90" s="575">
        <f>G90</f>
        <v>9.3899999999994179</v>
      </c>
      <c r="J90" s="175">
        <f>H90/DAY(B2)</f>
        <v>9.4199999999982538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4071.33</v>
      </c>
      <c r="F91" s="122">
        <v>4082.32</v>
      </c>
      <c r="G91" s="112">
        <f t="shared" si="8"/>
        <v>10.990000000000236</v>
      </c>
      <c r="H91" s="99">
        <f>G91+'1'!H91</f>
        <v>23.080000000000382</v>
      </c>
      <c r="I91" s="594"/>
      <c r="J91" s="175">
        <f>H91/DAY(B2)</f>
        <v>11.540000000000191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5935</v>
      </c>
      <c r="F92" s="122">
        <v>5935</v>
      </c>
      <c r="G92" s="112">
        <f t="shared" si="8"/>
        <v>0</v>
      </c>
      <c r="H92" s="99">
        <f>G92+'1'!H92</f>
        <v>0</v>
      </c>
      <c r="I92" s="600">
        <f>G91+G92</f>
        <v>10.990000000000236</v>
      </c>
      <c r="J92" s="175">
        <f>H92/DAY(B2)</f>
        <v>0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7615.2199999999721</v>
      </c>
      <c r="H94" s="99">
        <f>G94+'1'!H94</f>
        <v>15555.829999999958</v>
      </c>
      <c r="I94" s="118"/>
      <c r="J94" s="175">
        <f>H94/DAY(B2)</f>
        <v>7777.914999999979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0.2760089712103575</v>
      </c>
      <c r="H95" s="99">
        <f>G95+'1'!H95</f>
        <v>0.54527173282701713</v>
      </c>
      <c r="I95" s="167"/>
      <c r="J95" s="175">
        <f>H95/DAY(B2)</f>
        <v>0.27263586641350857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9353.7600000000202</v>
      </c>
      <c r="H96" s="99">
        <f>G96+'1'!H96</f>
        <v>19637.040000000015</v>
      </c>
      <c r="I96" s="118"/>
      <c r="J96" s="175">
        <f>H96/DAY(B2)</f>
        <v>9818.5200000000077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0.33902128560285966</v>
      </c>
      <c r="H97" s="99">
        <f>G97+'1'!H97</f>
        <v>0.68772300641239037</v>
      </c>
      <c r="I97" s="167"/>
      <c r="J97" s="175">
        <f>H97/DAY(B2)</f>
        <v>0.34386150320619518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2842.8399999999674</v>
      </c>
      <c r="H98" s="99">
        <f>G98+'1'!H98</f>
        <v>5597.5499999999884</v>
      </c>
      <c r="I98" s="168"/>
      <c r="J98" s="175">
        <f>H98/DAY(B2)</f>
        <v>2798.7749999999942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0.10303698957031401</v>
      </c>
      <c r="H99" s="99">
        <f>G99+'1'!H99</f>
        <v>0.19644805270690371</v>
      </c>
      <c r="I99" s="168"/>
      <c r="J99" s="175">
        <f>H99/DAY(B2)</f>
        <v>9.8224026353451857E-2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2338.0799999999872</v>
      </c>
      <c r="H100" s="99">
        <f>G100+'1'!H100</f>
        <v>4696.3499999999967</v>
      </c>
      <c r="I100" s="118"/>
      <c r="J100" s="175">
        <f>H100/DAY(B2)</f>
        <v>2348.1749999999984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8.474227342184619E-2</v>
      </c>
      <c r="H101" s="99">
        <f>G101+'1'!H101</f>
        <v>0.16471022208545311</v>
      </c>
      <c r="I101" s="168"/>
      <c r="J101" s="175">
        <f>H101/DAY(B2)</f>
        <v>8.2355111042726553E-2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1932.3199999999779</v>
      </c>
      <c r="H102" s="99">
        <f>G102+'1'!H102</f>
        <v>4550.929999999993</v>
      </c>
      <c r="I102" s="168"/>
      <c r="J102" s="175">
        <f>H102/DAY(B2)</f>
        <v>2275.4649999999965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7.0035751462097465E-2</v>
      </c>
      <c r="H103" s="99">
        <f>G103+'1'!H103</f>
        <v>0.15883172056233114</v>
      </c>
      <c r="I103" s="118"/>
      <c r="J103" s="175">
        <f>H103/DAY(B2)</f>
        <v>7.9415860281165568E-2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1678.2200000000012</v>
      </c>
      <c r="H104" s="99">
        <f>G104+'1'!H104</f>
        <v>3356.1700000000128</v>
      </c>
      <c r="I104" s="118"/>
      <c r="J104" s="175">
        <f>H104/DAY(B2)</f>
        <v>1678.0850000000064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6.0826053044383252E-2</v>
      </c>
      <c r="H105" s="99">
        <f>G105+'1'!H105</f>
        <v>0.11772463525087344</v>
      </c>
      <c r="I105" s="187"/>
      <c r="J105" s="188">
        <f>H105/DAY(B2)</f>
        <v>5.8862317625436721E-2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'1'!F112</f>
        <v>321.54000000000002</v>
      </c>
      <c r="F112" s="237">
        <v>400.5</v>
      </c>
      <c r="G112" s="112">
        <f t="shared" ref="G112:G123" si="9">F112-E112</f>
        <v>78.95999999999998</v>
      </c>
      <c r="H112" s="99">
        <f>G112+'1'!H112</f>
        <v>157.5</v>
      </c>
      <c r="I112" s="165"/>
      <c r="J112" s="328">
        <f>H112/DAY(B2)</f>
        <v>78.75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'1'!F113</f>
        <v>631.83000000000004</v>
      </c>
      <c r="F113" s="237">
        <v>787.9</v>
      </c>
      <c r="G113" s="112">
        <f t="shared" si="9"/>
        <v>156.06999999999994</v>
      </c>
      <c r="H113" s="99">
        <f>G113+'1'!H113</f>
        <v>305.89999999999998</v>
      </c>
      <c r="I113" s="165"/>
      <c r="J113" s="328">
        <f>H113/DAY(B2)</f>
        <v>152.94999999999999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'1'!F114</f>
        <v>877.44</v>
      </c>
      <c r="F114" s="237">
        <v>1096.95</v>
      </c>
      <c r="G114" s="112">
        <f t="shared" si="9"/>
        <v>219.51</v>
      </c>
      <c r="H114" s="99">
        <f>G114+'1'!H114</f>
        <v>432.95000000000005</v>
      </c>
      <c r="I114" s="165"/>
      <c r="J114" s="328">
        <f>H114/DAY(B2)</f>
        <v>216.47500000000002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'1'!F115</f>
        <v>666.9</v>
      </c>
      <c r="F115" s="417">
        <v>827.25</v>
      </c>
      <c r="G115" s="112">
        <f t="shared" si="9"/>
        <v>160.35000000000002</v>
      </c>
      <c r="H115" s="99">
        <f>G115+'1'!H115</f>
        <v>316.25</v>
      </c>
      <c r="I115" s="165"/>
      <c r="J115" s="328">
        <f>H115/DAY(B2)</f>
        <v>158.125</v>
      </c>
    </row>
    <row r="116" spans="1:18" ht="29.25" customHeight="1">
      <c r="A116" s="893" t="s">
        <v>96</v>
      </c>
      <c r="B116" s="894"/>
      <c r="C116" s="895"/>
      <c r="D116" s="517" t="s">
        <v>183</v>
      </c>
      <c r="E116" s="95">
        <f>'1'!F116</f>
        <v>34965.910000000003</v>
      </c>
      <c r="F116" s="417">
        <v>35278.519999999997</v>
      </c>
      <c r="G116" s="112">
        <f t="shared" si="9"/>
        <v>312.60999999999331</v>
      </c>
      <c r="H116" s="99">
        <f>G116+'1'!H116</f>
        <v>612.5199999999968</v>
      </c>
      <c r="I116" s="165"/>
      <c r="J116" s="328">
        <f>H116/DAY(B2)</f>
        <v>306.2599999999984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'1'!F117</f>
        <v>19102.009999999998</v>
      </c>
      <c r="F117" s="417">
        <v>19279.18</v>
      </c>
      <c r="G117" s="112">
        <f t="shared" si="9"/>
        <v>177.17000000000189</v>
      </c>
      <c r="H117" s="99">
        <f>G117+'1'!H117</f>
        <v>343.18000000000029</v>
      </c>
      <c r="I117" s="165"/>
      <c r="J117" s="328">
        <f>H117/DAY(B2)</f>
        <v>171.59000000000015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'1'!F118</f>
        <v>9563.01</v>
      </c>
      <c r="F118" s="417">
        <v>10098.620000000001</v>
      </c>
      <c r="G118" s="112">
        <f t="shared" si="9"/>
        <v>535.61000000000058</v>
      </c>
      <c r="H118" s="99">
        <f>G118+'1'!H118</f>
        <v>1035.6200000000008</v>
      </c>
      <c r="I118" s="165"/>
      <c r="J118" s="328">
        <f>H118/DAY(B2)</f>
        <v>517.8100000000004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'1'!F119</f>
        <v>6351.82</v>
      </c>
      <c r="F119" s="417">
        <v>6793.56</v>
      </c>
      <c r="G119" s="112">
        <f t="shared" si="9"/>
        <v>441.74000000000069</v>
      </c>
      <c r="H119" s="99">
        <f>G119+'1'!H119</f>
        <v>890.5600000000004</v>
      </c>
      <c r="I119" s="165"/>
      <c r="J119" s="328">
        <f>H119/DAY(B2)</f>
        <v>445.2800000000002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'1'!F120</f>
        <v>7572.99</v>
      </c>
      <c r="F120" s="237">
        <v>8013.62</v>
      </c>
      <c r="G120" s="112">
        <f t="shared" si="9"/>
        <v>440.63000000000011</v>
      </c>
      <c r="H120" s="99">
        <f>G120+'1'!H120</f>
        <v>878.61999999999989</v>
      </c>
      <c r="I120" s="165"/>
      <c r="J120" s="328">
        <f>H120/DAY(B2)</f>
        <v>439.30999999999995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'1'!F121</f>
        <v>12167.7</v>
      </c>
      <c r="F121" s="237">
        <v>12615.75</v>
      </c>
      <c r="G121" s="112">
        <f t="shared" si="9"/>
        <v>448.04999999999927</v>
      </c>
      <c r="H121" s="99">
        <f>G121+'1'!H121</f>
        <v>888.75</v>
      </c>
      <c r="I121" s="165"/>
      <c r="J121" s="328">
        <f>H121/DAY(B2)</f>
        <v>444.375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'1'!F122</f>
        <v>3739.94</v>
      </c>
      <c r="F122" s="237">
        <v>3943.88</v>
      </c>
      <c r="G122" s="112">
        <f t="shared" si="9"/>
        <v>203.94000000000005</v>
      </c>
      <c r="H122" s="99">
        <f>G122+'1'!H122</f>
        <v>379.88000000000011</v>
      </c>
      <c r="I122" s="165"/>
      <c r="J122" s="328">
        <f>H122/DAY(B2)</f>
        <v>189.94000000000005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'1'!F123</f>
        <v>1275.74</v>
      </c>
      <c r="F123" s="237">
        <v>1587.44</v>
      </c>
      <c r="G123" s="112">
        <f t="shared" si="9"/>
        <v>311.70000000000005</v>
      </c>
      <c r="H123" s="99">
        <f>G123+'1'!H123</f>
        <v>620.44000000000005</v>
      </c>
      <c r="I123" s="165"/>
      <c r="J123" s="328">
        <f>H123/DAY(B2)</f>
        <v>310.22000000000003</v>
      </c>
    </row>
    <row r="124" spans="1:18" ht="29.2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3486.3399999999956</v>
      </c>
      <c r="H125" s="156"/>
      <c r="I125" s="327">
        <f>G125-(G39+G53)</f>
        <v>643.50000000002819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'1'!F128</f>
        <v>81838.48</v>
      </c>
      <c r="F128" s="165">
        <v>82236.27</v>
      </c>
      <c r="G128" s="112">
        <f t="shared" ref="G128:G133" si="10">F128-E128</f>
        <v>397.79000000000815</v>
      </c>
      <c r="H128" s="99">
        <f>G128+'1'!H128</f>
        <v>821.27000000000407</v>
      </c>
      <c r="I128" s="165"/>
      <c r="J128" s="328">
        <f>H128/DAY(B2)</f>
        <v>410.63500000000204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51379.92</v>
      </c>
      <c r="F129" s="165">
        <v>51648.26</v>
      </c>
      <c r="G129" s="112">
        <f t="shared" si="10"/>
        <v>268.34000000000378</v>
      </c>
      <c r="H129" s="99">
        <f>G129+'1'!H129</f>
        <v>576.26000000000204</v>
      </c>
      <c r="I129" s="165"/>
      <c r="J129" s="328">
        <f>H129/DAY(B2)</f>
        <v>288.13000000000102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97385.85</v>
      </c>
      <c r="F130" s="165">
        <v>98082.67</v>
      </c>
      <c r="G130" s="112">
        <f t="shared" si="10"/>
        <v>696.81999999999243</v>
      </c>
      <c r="H130" s="99">
        <f>G130+'1'!H130</f>
        <v>1436.6699999999983</v>
      </c>
      <c r="I130" s="165"/>
      <c r="J130" s="328">
        <f>H130/DAY(B2)</f>
        <v>718.33499999999913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'1'!F131</f>
        <v>30612.97</v>
      </c>
      <c r="F131" s="165">
        <v>30815.66</v>
      </c>
      <c r="G131" s="112">
        <f t="shared" si="10"/>
        <v>202.68999999999869</v>
      </c>
      <c r="H131" s="99">
        <f>G131+'1'!H131</f>
        <v>380.65999999999985</v>
      </c>
      <c r="I131" s="165"/>
      <c r="J131" s="328">
        <f>H131/DAY(B2)</f>
        <v>190.32999999999993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'1'!F132</f>
        <v>89453.4</v>
      </c>
      <c r="F132" s="165">
        <v>89969.9</v>
      </c>
      <c r="G132" s="112">
        <f t="shared" si="10"/>
        <v>516.5</v>
      </c>
      <c r="H132" s="99">
        <f>G132+'1'!H132</f>
        <v>1032.8999999999942</v>
      </c>
      <c r="I132" s="165"/>
      <c r="J132" s="328">
        <f>H132/DAY(B2)</f>
        <v>516.44999999999709</v>
      </c>
    </row>
    <row r="133" spans="1:15" ht="25.5">
      <c r="A133" s="886" t="s">
        <v>342</v>
      </c>
      <c r="B133" s="887"/>
      <c r="C133" s="888"/>
      <c r="D133" s="151" t="s">
        <v>183</v>
      </c>
      <c r="E133" s="95">
        <f>'1'!F133</f>
        <v>173344.09</v>
      </c>
      <c r="F133" s="165">
        <v>174208.73</v>
      </c>
      <c r="G133" s="112">
        <f t="shared" si="10"/>
        <v>864.64000000001397</v>
      </c>
      <c r="H133" s="99">
        <f>G133+'1'!H133</f>
        <v>1762.7300000000105</v>
      </c>
      <c r="I133" s="165"/>
      <c r="J133" s="328">
        <f>H133/DAY(B2)</f>
        <v>881.36500000000524</v>
      </c>
    </row>
    <row r="134" spans="1:15" ht="25.5">
      <c r="A134" s="886" t="s">
        <v>340</v>
      </c>
      <c r="B134" s="887"/>
      <c r="C134" s="888"/>
      <c r="D134" s="515" t="s">
        <v>183</v>
      </c>
      <c r="E134" s="95">
        <f>'1'!F134</f>
        <v>28360.68</v>
      </c>
      <c r="F134" s="158">
        <v>28592.27</v>
      </c>
      <c r="G134" s="112">
        <f>F134-E134</f>
        <v>231.59000000000015</v>
      </c>
      <c r="H134" s="99">
        <f>G134+'1'!H134</f>
        <v>499.27000000000044</v>
      </c>
      <c r="I134" s="165"/>
      <c r="J134" s="328">
        <f>H134/DAY(B2)</f>
        <v>249.63500000000022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3178.3700000000172</v>
      </c>
      <c r="H135" s="99">
        <f>G135+'1'!H135</f>
        <v>6509.7600000000093</v>
      </c>
      <c r="I135" s="327">
        <f>G135-(G35+G49)</f>
        <v>-749.6099999999642</v>
      </c>
      <c r="J135" s="328">
        <f>H135/DAY(B2)</f>
        <v>3254.8800000000047</v>
      </c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515" t="s">
        <v>183</v>
      </c>
      <c r="E138" s="95">
        <f>'1'!F138</f>
        <v>878929</v>
      </c>
      <c r="F138" s="147">
        <v>879079</v>
      </c>
      <c r="G138" s="112">
        <f t="shared" ref="G138:G152" si="11">F138-E138</f>
        <v>150</v>
      </c>
      <c r="H138" s="99">
        <f>G138+'1'!H138</f>
        <v>295</v>
      </c>
      <c r="I138" s="118"/>
      <c r="J138" s="328">
        <f>H138/DAY(B2)</f>
        <v>147.5</v>
      </c>
    </row>
    <row r="139" spans="1:15" ht="25.5">
      <c r="A139" s="885" t="s">
        <v>186</v>
      </c>
      <c r="B139" s="885"/>
      <c r="C139" s="885"/>
      <c r="D139" s="515" t="s">
        <v>183</v>
      </c>
      <c r="E139" s="95">
        <f>'1'!F139</f>
        <v>895019</v>
      </c>
      <c r="F139" s="148">
        <v>895170</v>
      </c>
      <c r="G139" s="112">
        <f t="shared" si="11"/>
        <v>151</v>
      </c>
      <c r="H139" s="99">
        <f>G139+'1'!H139</f>
        <v>304</v>
      </c>
      <c r="I139" s="118"/>
      <c r="J139" s="328">
        <f>H139/DAY(B2)</f>
        <v>152</v>
      </c>
    </row>
    <row r="140" spans="1:15" ht="25.5">
      <c r="A140" s="885" t="s">
        <v>187</v>
      </c>
      <c r="B140" s="885"/>
      <c r="C140" s="885"/>
      <c r="D140" s="515" t="s">
        <v>183</v>
      </c>
      <c r="E140" s="95">
        <f>'1'!F140</f>
        <v>146</v>
      </c>
      <c r="F140" s="149">
        <v>157.12</v>
      </c>
      <c r="G140" s="112">
        <f t="shared" si="11"/>
        <v>11.120000000000005</v>
      </c>
      <c r="H140" s="99">
        <f>G140+'1'!H140</f>
        <v>22.120000000000005</v>
      </c>
      <c r="I140" s="118"/>
      <c r="J140" s="328">
        <f>H140/DAY(B2)</f>
        <v>11.060000000000002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'1'!F141</f>
        <v>72001.16</v>
      </c>
      <c r="F141" s="149">
        <v>72211.839999999997</v>
      </c>
      <c r="G141" s="112">
        <f t="shared" si="11"/>
        <v>210.67999999999302</v>
      </c>
      <c r="H141" s="99">
        <f>G141+'1'!H141</f>
        <v>437.83999999999651</v>
      </c>
      <c r="I141" s="118"/>
      <c r="J141" s="328">
        <f>H141/DAY(B2)</f>
        <v>218.91999999999825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'1'!F142</f>
        <v>27533.85</v>
      </c>
      <c r="F142" s="148">
        <v>27599.759999999998</v>
      </c>
      <c r="G142" s="112">
        <f t="shared" si="11"/>
        <v>65.909999999999854</v>
      </c>
      <c r="H142" s="99">
        <f>G142+'1'!H142</f>
        <v>133.7599999999984</v>
      </c>
      <c r="I142" s="140"/>
      <c r="J142" s="328">
        <f>H142/DAY(B2)</f>
        <v>66.8799999999992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'1'!F143</f>
        <v>6440.7</v>
      </c>
      <c r="F143" s="149">
        <v>6465.29</v>
      </c>
      <c r="G143" s="112">
        <f t="shared" si="11"/>
        <v>24.590000000000146</v>
      </c>
      <c r="H143" s="99">
        <f>G143+'1'!H143</f>
        <v>48.289999999999964</v>
      </c>
      <c r="I143" s="140"/>
      <c r="J143" s="328">
        <f>H143/DAY(B2)</f>
        <v>24.144999999999982</v>
      </c>
    </row>
    <row r="144" spans="1:15" ht="25.5">
      <c r="A144" s="864" t="s">
        <v>90</v>
      </c>
      <c r="B144" s="864"/>
      <c r="C144" s="864"/>
      <c r="D144" s="515" t="s">
        <v>183</v>
      </c>
      <c r="E144" s="95">
        <f>'1'!F144</f>
        <v>897471</v>
      </c>
      <c r="F144" s="149">
        <v>897714</v>
      </c>
      <c r="G144" s="112">
        <f t="shared" si="11"/>
        <v>243</v>
      </c>
      <c r="H144" s="99">
        <f>G144+'1'!H144</f>
        <v>481</v>
      </c>
      <c r="I144" s="140"/>
      <c r="J144" s="328">
        <f>H144/DAY(B2)</f>
        <v>240.5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'1'!F145</f>
        <v>5630.26</v>
      </c>
      <c r="F145" s="149">
        <v>5632.58</v>
      </c>
      <c r="G145" s="112">
        <f t="shared" si="11"/>
        <v>2.319999999999709</v>
      </c>
      <c r="H145" s="99">
        <f>G145+'1'!H145</f>
        <v>4.5799999999999272</v>
      </c>
      <c r="I145" s="140"/>
      <c r="J145" s="328">
        <f>H145/DAY(B2)</f>
        <v>2.2899999999999636</v>
      </c>
    </row>
    <row r="146" spans="1:10" ht="25.5">
      <c r="A146" s="920" t="s">
        <v>191</v>
      </c>
      <c r="B146" s="905"/>
      <c r="C146" s="906"/>
      <c r="D146" s="515" t="s">
        <v>183</v>
      </c>
      <c r="E146" s="95">
        <f>'1'!F146</f>
        <v>776454</v>
      </c>
      <c r="F146" s="148">
        <v>776469</v>
      </c>
      <c r="G146" s="112">
        <f t="shared" si="11"/>
        <v>15</v>
      </c>
      <c r="H146" s="99">
        <f>G146+'1'!H146</f>
        <v>15</v>
      </c>
      <c r="I146" s="140"/>
      <c r="J146" s="328">
        <f>H146/DAY(B2)</f>
        <v>7.5</v>
      </c>
    </row>
    <row r="147" spans="1:10" ht="25.5">
      <c r="A147" s="864" t="s">
        <v>192</v>
      </c>
      <c r="B147" s="864"/>
      <c r="C147" s="864"/>
      <c r="D147" s="515" t="s">
        <v>183</v>
      </c>
      <c r="E147" s="95">
        <f>'1'!F147</f>
        <v>663609.89</v>
      </c>
      <c r="F147" s="148">
        <v>663995.31999999995</v>
      </c>
      <c r="G147" s="112">
        <f t="shared" si="11"/>
        <v>385.42999999993481</v>
      </c>
      <c r="H147" s="99">
        <f>G147+'1'!H147</f>
        <v>767.31999999994878</v>
      </c>
      <c r="I147" s="140"/>
      <c r="J147" s="328">
        <f>H147/DAY(B2)</f>
        <v>383.65999999997439</v>
      </c>
    </row>
    <row r="148" spans="1:10" ht="25.5">
      <c r="A148" s="865" t="s">
        <v>193</v>
      </c>
      <c r="B148" s="866"/>
      <c r="C148" s="867"/>
      <c r="D148" s="516" t="s">
        <v>130</v>
      </c>
      <c r="E148" s="95">
        <f>'1'!F148</f>
        <v>720327.76</v>
      </c>
      <c r="F148" s="164">
        <v>720651.52</v>
      </c>
      <c r="G148" s="112">
        <f t="shared" si="11"/>
        <v>323.76000000000931</v>
      </c>
      <c r="H148" s="99">
        <f>G148+'1'!H148</f>
        <v>735.52000000001863</v>
      </c>
      <c r="I148" s="124"/>
      <c r="J148" s="328">
        <f>H148/DAY(B2)</f>
        <v>367.76000000000931</v>
      </c>
    </row>
    <row r="149" spans="1:10" ht="25.5">
      <c r="A149" s="865" t="s">
        <v>336</v>
      </c>
      <c r="B149" s="866"/>
      <c r="C149" s="867"/>
      <c r="D149" s="517" t="s">
        <v>130</v>
      </c>
      <c r="E149" s="95">
        <f>'1'!F149</f>
        <v>83984.39</v>
      </c>
      <c r="F149" s="146">
        <v>84549.99</v>
      </c>
      <c r="G149" s="112">
        <f t="shared" si="11"/>
        <v>565.60000000000582</v>
      </c>
      <c r="H149" s="99">
        <f>G149+'1'!H149</f>
        <v>1161.9900000000052</v>
      </c>
      <c r="I149" s="119"/>
      <c r="J149" s="328">
        <f>H149/DAY(B2)</f>
        <v>580.99500000000262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'1'!F150</f>
        <v>30805.01</v>
      </c>
      <c r="F150" s="233">
        <v>31024.47</v>
      </c>
      <c r="G150" s="112">
        <f t="shared" si="11"/>
        <v>219.46000000000276</v>
      </c>
      <c r="H150" s="99">
        <f>G150+'1'!H150</f>
        <v>437.47000000000116</v>
      </c>
      <c r="I150" s="119"/>
      <c r="J150" s="328">
        <f>H150/DAY(B2)</f>
        <v>218.73500000000058</v>
      </c>
    </row>
    <row r="151" spans="1:10" ht="25.5">
      <c r="A151" s="865" t="s">
        <v>338</v>
      </c>
      <c r="B151" s="866"/>
      <c r="C151" s="867"/>
      <c r="D151" s="516" t="s">
        <v>130</v>
      </c>
      <c r="E151" s="95">
        <f>'1'!F151</f>
        <v>109532</v>
      </c>
      <c r="F151" s="233">
        <v>109807</v>
      </c>
      <c r="G151" s="112">
        <f t="shared" si="11"/>
        <v>275</v>
      </c>
      <c r="H151" s="99">
        <f>G151+'1'!H151</f>
        <v>579</v>
      </c>
      <c r="I151" s="119"/>
      <c r="J151" s="328">
        <f>H151/DAY(B2)</f>
        <v>289.5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'1'!F152</f>
        <v>11279.16</v>
      </c>
      <c r="F152" s="233">
        <v>11406.44</v>
      </c>
      <c r="G152" s="112">
        <f t="shared" si="11"/>
        <v>127.28000000000065</v>
      </c>
      <c r="H152" s="99">
        <f>G152+'1'!H152</f>
        <v>250.44000000000051</v>
      </c>
      <c r="I152" s="119"/>
      <c r="J152" s="328">
        <f>H152/DAY(B2)</f>
        <v>125.22000000000025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2770.149999999946</v>
      </c>
      <c r="H153" s="363"/>
      <c r="I153" s="119">
        <f>G153-(G38+G52)</f>
        <v>432.06999999995878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518" t="s">
        <v>130</v>
      </c>
      <c r="E155" s="95">
        <f>'1'!F155</f>
        <v>93371.71</v>
      </c>
      <c r="F155" s="423">
        <v>93980.06</v>
      </c>
      <c r="G155" s="112">
        <f t="shared" ref="G155:G158" si="12">F155-E155</f>
        <v>608.34999999999127</v>
      </c>
      <c r="H155" s="99">
        <f>G155+'1'!H155</f>
        <v>1248.0599999999977</v>
      </c>
      <c r="I155" s="364"/>
      <c r="J155" s="328">
        <f>H155/DAY(B2)</f>
        <v>624.02999999999884</v>
      </c>
    </row>
    <row r="156" spans="1:10" ht="25.5">
      <c r="A156" s="864" t="s">
        <v>347</v>
      </c>
      <c r="B156" s="864"/>
      <c r="C156" s="864"/>
      <c r="D156" s="518" t="s">
        <v>130</v>
      </c>
      <c r="E156" s="95">
        <f>'1'!F156</f>
        <v>7756.91</v>
      </c>
      <c r="F156" s="155">
        <v>7823.51</v>
      </c>
      <c r="G156" s="112">
        <f t="shared" si="12"/>
        <v>66.600000000000364</v>
      </c>
      <c r="H156" s="99">
        <f>G156+'1'!H156</f>
        <v>132.51000000000022</v>
      </c>
      <c r="I156" s="165"/>
      <c r="J156" s="328">
        <f>H156/DAY(B2)</f>
        <v>66.255000000000109</v>
      </c>
    </row>
    <row r="157" spans="1:10" ht="25.5">
      <c r="A157" s="865" t="s">
        <v>361</v>
      </c>
      <c r="B157" s="866"/>
      <c r="C157" s="867"/>
      <c r="D157" s="518" t="s">
        <v>130</v>
      </c>
      <c r="E157" s="95">
        <f>'1'!F157</f>
        <v>13607.92</v>
      </c>
      <c r="F157" s="155">
        <v>13721.18</v>
      </c>
      <c r="G157" s="112">
        <f t="shared" si="12"/>
        <v>113.26000000000022</v>
      </c>
      <c r="H157" s="99">
        <f>G157+'1'!H157</f>
        <v>225.18000000000029</v>
      </c>
      <c r="I157" s="165"/>
      <c r="J157" s="328"/>
    </row>
    <row r="158" spans="1:10" ht="25.5">
      <c r="A158" s="865" t="s">
        <v>362</v>
      </c>
      <c r="B158" s="866"/>
      <c r="C158" s="867"/>
      <c r="D158" s="117" t="s">
        <v>130</v>
      </c>
      <c r="E158" s="95">
        <v>90.42</v>
      </c>
      <c r="F158" s="155">
        <v>124.07</v>
      </c>
      <c r="G158" s="112">
        <f t="shared" si="12"/>
        <v>33.649999999999991</v>
      </c>
      <c r="H158" s="99">
        <f>G158+'1'!H158</f>
        <v>44.529999999999987</v>
      </c>
      <c r="I158" s="165"/>
      <c r="J158" s="328"/>
    </row>
    <row r="159" spans="1:10" ht="25.5">
      <c r="A159" s="865"/>
      <c r="B159" s="866"/>
      <c r="C159" s="867"/>
      <c r="D159" s="117"/>
      <c r="E159" s="95"/>
      <c r="F159" s="16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474808.92</v>
      </c>
      <c r="F161" s="235">
        <v>474833.24</v>
      </c>
      <c r="G161" s="238">
        <f t="shared" ref="G161:G165" si="13">F161-E161</f>
        <v>24.320000000006985</v>
      </c>
      <c r="H161" s="99">
        <f>G161+'1'!H161</f>
        <v>50.239999999990687</v>
      </c>
      <c r="I161" s="236"/>
      <c r="J161" s="239">
        <f>H161/DAY(B2)</f>
        <v>25.119999999995343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91568.2</v>
      </c>
      <c r="F162" s="235">
        <v>91612.5</v>
      </c>
      <c r="G162" s="238">
        <f t="shared" si="13"/>
        <v>44.30000000000291</v>
      </c>
      <c r="H162" s="99">
        <f>G162+'1'!H162</f>
        <v>65.5</v>
      </c>
      <c r="I162" s="236"/>
      <c r="J162" s="239">
        <f>H162/DAY(B2)</f>
        <v>32.75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92192.5</v>
      </c>
      <c r="F163" s="235">
        <v>92367.8</v>
      </c>
      <c r="G163" s="238">
        <f t="shared" si="13"/>
        <v>175.30000000000291</v>
      </c>
      <c r="H163" s="99">
        <f>G163+'1'!H163</f>
        <v>331.80000000000291</v>
      </c>
      <c r="I163" s="236"/>
      <c r="J163" s="239">
        <f>H163/DAY(B2)</f>
        <v>165.90000000000146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5191</v>
      </c>
      <c r="F164" s="235">
        <v>5202.8999999999996</v>
      </c>
      <c r="G164" s="238">
        <f t="shared" si="13"/>
        <v>11.899999999999636</v>
      </c>
      <c r="H164" s="99">
        <f>G164+'1'!H164</f>
        <v>20.899999999999636</v>
      </c>
      <c r="I164" s="236"/>
      <c r="J164" s="239">
        <f>H164/DAY(B2)</f>
        <v>10.449999999999818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30643.29</v>
      </c>
      <c r="F165" s="235">
        <v>30658.15</v>
      </c>
      <c r="G165" s="238">
        <f t="shared" si="13"/>
        <v>14.860000000000582</v>
      </c>
      <c r="H165" s="99">
        <f>G165+'1'!H165</f>
        <v>24.150000000001455</v>
      </c>
      <c r="I165" s="236"/>
      <c r="J165" s="239">
        <f>H165/DAY(B2)</f>
        <v>12.075000000000728</v>
      </c>
    </row>
    <row r="166" spans="1:14" ht="29.25" customHeight="1">
      <c r="A166" s="873"/>
      <c r="B166" s="873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873"/>
      <c r="B167" s="873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873"/>
      <c r="B168" s="873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4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79" t="s">
        <v>209</v>
      </c>
      <c r="B173" s="880"/>
      <c r="C173" s="333"/>
      <c r="D173" s="228" t="s">
        <v>142</v>
      </c>
      <c r="E173" s="95">
        <f>'1'!F173</f>
        <v>8265</v>
      </c>
      <c r="F173" s="155">
        <v>8265</v>
      </c>
      <c r="G173" s="155">
        <f>F173-E173</f>
        <v>0</v>
      </c>
      <c r="H173" s="99">
        <f>G173+'1'!H173</f>
        <v>4</v>
      </c>
      <c r="I173" s="155"/>
      <c r="J173" s="178">
        <f>H173/DAY(B2)</f>
        <v>2</v>
      </c>
    </row>
    <row r="174" spans="1:14" ht="25.5">
      <c r="A174" s="879" t="s">
        <v>75</v>
      </c>
      <c r="B174" s="880"/>
      <c r="C174" s="333"/>
      <c r="D174" s="228" t="s">
        <v>142</v>
      </c>
      <c r="E174" s="95">
        <f>'1'!F174</f>
        <v>39946</v>
      </c>
      <c r="F174" s="157">
        <v>39960</v>
      </c>
      <c r="G174" s="155">
        <f t="shared" ref="G174:G175" si="14">F174-E174</f>
        <v>14</v>
      </c>
      <c r="H174" s="99">
        <f>G174+'1'!H174</f>
        <v>32</v>
      </c>
      <c r="I174" s="155"/>
      <c r="J174" s="178">
        <f>H174/DAY(B2)</f>
        <v>16</v>
      </c>
    </row>
    <row r="175" spans="1:14" ht="25.5">
      <c r="A175" s="879" t="s">
        <v>76</v>
      </c>
      <c r="B175" s="919"/>
      <c r="C175" s="880"/>
      <c r="D175" s="228" t="s">
        <v>142</v>
      </c>
      <c r="E175" s="95">
        <f>'1'!F175</f>
        <v>22903</v>
      </c>
      <c r="F175" s="155">
        <v>22914</v>
      </c>
      <c r="G175" s="155">
        <f t="shared" si="14"/>
        <v>11</v>
      </c>
      <c r="H175" s="99">
        <f>G175+'1'!H175</f>
        <v>25</v>
      </c>
      <c r="I175" s="155"/>
      <c r="J175" s="178">
        <f>H175/DAY(B2)</f>
        <v>12.5</v>
      </c>
      <c r="N175" s="471"/>
    </row>
    <row r="176" spans="1:14" ht="25.5">
      <c r="A176" s="868" t="s">
        <v>196</v>
      </c>
      <c r="B176" s="869"/>
      <c r="C176" s="401"/>
      <c r="D176" s="228"/>
      <c r="E176" s="95"/>
      <c r="F176" s="155"/>
      <c r="G176" s="155">
        <f>SUM(G173:G175)</f>
        <v>25</v>
      </c>
      <c r="H176" s="99">
        <f>G176+'1'!H176</f>
        <v>61</v>
      </c>
      <c r="I176" s="155"/>
      <c r="J176" s="178">
        <f>H176/DAY(B2)</f>
        <v>30.5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79" t="s">
        <v>210</v>
      </c>
      <c r="B178" s="880"/>
      <c r="C178" s="333"/>
      <c r="D178" s="228" t="s">
        <v>142</v>
      </c>
      <c r="E178" s="95">
        <f>'1'!F178</f>
        <v>88733</v>
      </c>
      <c r="F178" s="157">
        <v>88841</v>
      </c>
      <c r="G178" s="155">
        <f>F178-E178</f>
        <v>108</v>
      </c>
      <c r="H178" s="99">
        <f>G178+'1'!H178</f>
        <v>238</v>
      </c>
      <c r="I178" s="155"/>
      <c r="J178" s="178">
        <f>H178/DAY(B2)</f>
        <v>119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'1'!F179</f>
        <v>35773</v>
      </c>
      <c r="F179" s="155">
        <v>35773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'1'!F180</f>
        <v>6393</v>
      </c>
      <c r="F180" s="155">
        <v>6400</v>
      </c>
      <c r="G180" s="155">
        <f t="shared" si="15"/>
        <v>7</v>
      </c>
      <c r="H180" s="99">
        <f>G180+'1'!H180</f>
        <v>11</v>
      </c>
      <c r="I180" s="155"/>
      <c r="J180" s="178">
        <f>H180/DAY(B2)</f>
        <v>5.5</v>
      </c>
    </row>
    <row r="181" spans="1:10" ht="25.5">
      <c r="A181" s="881" t="s">
        <v>108</v>
      </c>
      <c r="B181" s="882"/>
      <c r="C181" s="401"/>
      <c r="D181" s="228"/>
      <c r="E181" s="95"/>
      <c r="F181" s="155"/>
      <c r="G181" s="155">
        <f>SUM(G178:G180)</f>
        <v>115</v>
      </c>
      <c r="H181" s="99">
        <f>G181+'1'!H181</f>
        <v>249</v>
      </c>
      <c r="I181" s="155"/>
      <c r="J181" s="178">
        <f>H181/DAY(B2)</f>
        <v>124.5</v>
      </c>
    </row>
    <row r="182" spans="1:10" ht="31.5" customHeight="1">
      <c r="A182" s="879" t="s">
        <v>213</v>
      </c>
      <c r="B182" s="880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79" t="s">
        <v>214</v>
      </c>
      <c r="B183" s="880"/>
      <c r="C183" s="334"/>
      <c r="D183" s="228" t="s">
        <v>142</v>
      </c>
      <c r="E183" s="95">
        <f>'1'!F183</f>
        <v>16630</v>
      </c>
      <c r="F183" s="157">
        <v>16641</v>
      </c>
      <c r="G183" s="157">
        <f>F183-E183</f>
        <v>11</v>
      </c>
      <c r="H183" s="99">
        <f>G183+'1'!H183</f>
        <v>19</v>
      </c>
      <c r="I183" s="155"/>
      <c r="J183" s="178">
        <f>H183/DAY(B2)</f>
        <v>9.5</v>
      </c>
    </row>
    <row r="184" spans="1:10" ht="27.75" customHeight="1">
      <c r="A184" s="879" t="s">
        <v>215</v>
      </c>
      <c r="B184" s="880"/>
      <c r="C184" s="334"/>
      <c r="D184" s="228" t="s">
        <v>142</v>
      </c>
      <c r="E184" s="95">
        <f>'1'!F184</f>
        <v>11284</v>
      </c>
      <c r="F184" s="157">
        <v>11289</v>
      </c>
      <c r="G184" s="157">
        <f t="shared" ref="G184:G185" si="16">F184-E184</f>
        <v>5</v>
      </c>
      <c r="H184" s="99">
        <f>G184+'1'!H184</f>
        <v>15</v>
      </c>
      <c r="I184" s="155"/>
      <c r="J184" s="178">
        <f>H184/DAY(B2)</f>
        <v>7.5</v>
      </c>
    </row>
    <row r="185" spans="1:10" ht="24.75" customHeight="1">
      <c r="A185" s="879" t="s">
        <v>216</v>
      </c>
      <c r="B185" s="880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868" t="s">
        <v>196</v>
      </c>
      <c r="B186" s="869"/>
      <c r="C186" s="400"/>
      <c r="D186" s="229"/>
      <c r="E186" s="95"/>
      <c r="F186" s="157"/>
      <c r="G186" s="157">
        <f>SUM(G183:G185)</f>
        <v>16</v>
      </c>
      <c r="H186" s="99">
        <f>G186+'1'!H186</f>
        <v>34</v>
      </c>
      <c r="I186" s="157"/>
      <c r="J186" s="178">
        <f>H186/DAY(B2)</f>
        <v>17</v>
      </c>
    </row>
    <row r="187" spans="1:10" ht="28.5" customHeight="1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215</v>
      </c>
      <c r="H187" s="99">
        <f>G187+'1'!H187</f>
        <v>441</v>
      </c>
      <c r="I187" s="158"/>
      <c r="J187" s="179">
        <f>H187/DAY(B2)</f>
        <v>220.5</v>
      </c>
    </row>
    <row r="188" spans="1:10" ht="24" customHeight="1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203</v>
      </c>
      <c r="H188" s="99">
        <f>G188+'1'!H188</f>
        <v>437</v>
      </c>
      <c r="I188" s="158"/>
      <c r="J188" s="179">
        <f>H188/DAY(B2)</f>
        <v>218.5</v>
      </c>
    </row>
    <row r="189" spans="1:10" ht="24.75" customHeight="1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115</v>
      </c>
      <c r="H189" s="99">
        <f>G189+'1'!H189</f>
        <v>249</v>
      </c>
      <c r="I189" s="158"/>
      <c r="J189" s="179">
        <f>H189/DAY(B2)</f>
        <v>124.5</v>
      </c>
    </row>
    <row r="190" spans="1:10" ht="25.5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6" s="57" customFormat="1" ht="23.25">
      <c r="A2" s="191" t="s">
        <v>354</v>
      </c>
      <c r="B2" s="375">
        <v>44684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 t="s">
        <v>369</v>
      </c>
      <c r="E3" s="934" t="s">
        <v>119</v>
      </c>
      <c r="F3" s="935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888131.67</v>
      </c>
      <c r="F7" s="95">
        <v>915656.95</v>
      </c>
      <c r="G7" s="112">
        <f>F7-E7</f>
        <v>27525.279999999912</v>
      </c>
      <c r="H7" s="99">
        <f>G7+'2'!H7</f>
        <v>84605.949999999953</v>
      </c>
      <c r="I7" s="113">
        <f>'1'!I7</f>
        <v>12000</v>
      </c>
      <c r="J7" s="175">
        <f>H7/DAY(B2)</f>
        <v>28201.983333333319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v>0</v>
      </c>
      <c r="F8" s="114">
        <v>27972</v>
      </c>
      <c r="G8" s="115">
        <f>F8-E8</f>
        <v>27972</v>
      </c>
      <c r="H8" s="99">
        <f>G8+'2'!H8</f>
        <v>86030.109999999986</v>
      </c>
      <c r="I8" s="116"/>
      <c r="J8" s="175">
        <f>H8/DAY(B2)</f>
        <v>28676.703333333327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1939379.7</v>
      </c>
      <c r="F9" s="117">
        <v>1963042.7</v>
      </c>
      <c r="G9" s="112">
        <f>F9-E9</f>
        <v>23663</v>
      </c>
      <c r="H9" s="99">
        <f>G9+'2'!H9</f>
        <v>72007.699999999953</v>
      </c>
      <c r="I9" s="124">
        <f>I7-J7</f>
        <v>-16201.983333333319</v>
      </c>
      <c r="J9" s="175">
        <f>H9/DAY(B2)</f>
        <v>24002.566666666651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622579.15</v>
      </c>
      <c r="F10" s="117">
        <v>625619.43000000005</v>
      </c>
      <c r="G10" s="112">
        <f t="shared" ref="G10:G12" si="0">F10-E10</f>
        <v>3040.2800000000279</v>
      </c>
      <c r="H10" s="99">
        <f>G10+'2'!H10</f>
        <v>10083.430000000051</v>
      </c>
      <c r="I10" s="282"/>
      <c r="J10" s="175">
        <f>H10/DAY(B2)</f>
        <v>3361.1433333333503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26703.280000000028</v>
      </c>
      <c r="H13" s="99">
        <f>G13+'2'!H13</f>
        <v>79574.880000000005</v>
      </c>
      <c r="I13" s="120">
        <f>G7-G13</f>
        <v>821.99999999988358</v>
      </c>
      <c r="J13" s="175">
        <f>H13/DAY(B2)</f>
        <v>26524.960000000003</v>
      </c>
      <c r="K13" s="79"/>
      <c r="L13" s="66"/>
      <c r="N13" s="87"/>
      <c r="O13" s="71"/>
    </row>
    <row r="14" spans="1:16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2005873.85</v>
      </c>
      <c r="F15" s="410">
        <v>2006978.14</v>
      </c>
      <c r="G15" s="112">
        <f>(F15-E15)</f>
        <v>1104.2899999998044</v>
      </c>
      <c r="H15" s="99">
        <f>G15+'2'!H15</f>
        <v>3251.1399999998976</v>
      </c>
      <c r="I15" s="113">
        <f>'1'!I15</f>
        <v>800</v>
      </c>
      <c r="J15" s="175">
        <f>H15/DAY(B2)</f>
        <v>1083.7133333332993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-283.71333333329926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>
        <v>0</v>
      </c>
      <c r="B18" s="908"/>
      <c r="C18" s="909"/>
      <c r="D18" s="151" t="s">
        <v>142</v>
      </c>
      <c r="E18" s="95">
        <f>'2'!F18</f>
        <v>20</v>
      </c>
      <c r="F18" s="122">
        <v>22</v>
      </c>
      <c r="G18" s="119">
        <f>F18*10</f>
        <v>220</v>
      </c>
      <c r="H18" s="99">
        <f>G18+'2'!H18</f>
        <v>680</v>
      </c>
      <c r="I18" s="113">
        <f>'1'!I18</f>
        <v>65</v>
      </c>
      <c r="J18" s="175">
        <f>H18/DAY(B2)</f>
        <v>226.66666666666666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'2'!F19</f>
        <v>158561</v>
      </c>
      <c r="F19" s="122">
        <v>158614</v>
      </c>
      <c r="G19" s="112">
        <f t="shared" ref="G19" si="1">F19-E19</f>
        <v>53</v>
      </c>
      <c r="H19" s="99">
        <f>G19+'2'!H19</f>
        <v>160</v>
      </c>
      <c r="I19" s="335"/>
      <c r="J19" s="175">
        <f>H19/DAY(B2)</f>
        <v>53.333333333333336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G20+'2'!H20</f>
        <v>840</v>
      </c>
      <c r="I20" s="336">
        <f>I18-J20</f>
        <v>-215</v>
      </c>
      <c r="J20" s="175">
        <f>H20/DAY(B2)</f>
        <v>280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27972</v>
      </c>
      <c r="F27" s="136">
        <v>9</v>
      </c>
      <c r="G27" s="137">
        <f>E27*F27</f>
        <v>251748</v>
      </c>
      <c r="H27" s="99">
        <f>G27+'2'!H27</f>
        <v>774270.98999999987</v>
      </c>
      <c r="I27" s="138"/>
      <c r="J27" s="175">
        <f>H27/DAY(B2)</f>
        <v>258090.32999999996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1104.2899999998044</v>
      </c>
      <c r="F28" s="136">
        <v>70</v>
      </c>
      <c r="G28" s="137">
        <f>E28*F28</f>
        <v>77300.29999998631</v>
      </c>
      <c r="H28" s="99">
        <f>G28+'2'!H28</f>
        <v>227579.79999999283</v>
      </c>
      <c r="I28" s="140"/>
      <c r="J28" s="175">
        <f>H28/DAY(B2)</f>
        <v>75859.933333330948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G30+'2'!H30</f>
        <v>24160</v>
      </c>
      <c r="I30" s="140"/>
      <c r="J30" s="175">
        <f>H30/DAY(B2)</f>
        <v>8053.333333333333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G31+'2'!H31</f>
        <v>54400</v>
      </c>
      <c r="I31" s="140"/>
      <c r="J31" s="175">
        <f>H31/DAY(B2)</f>
        <v>18133.333333333332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354651.29999998631</v>
      </c>
      <c r="H32" s="99">
        <f>G32+'2'!H32</f>
        <v>1080410.7899999926</v>
      </c>
      <c r="I32" s="144"/>
      <c r="J32" s="175">
        <f>H32/DAY(B2)</f>
        <v>360136.92999999755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207233.83</v>
      </c>
      <c r="F35" s="145">
        <v>209279</v>
      </c>
      <c r="G35" s="112">
        <f t="shared" ref="G35:G46" si="3">F35-E35</f>
        <v>2045.1700000000128</v>
      </c>
      <c r="H35" s="99">
        <f>G35+'2'!H35</f>
        <v>6394</v>
      </c>
      <c r="I35" s="95"/>
      <c r="J35" s="175">
        <f>H35/DAY(B2)</f>
        <v>2131.3333333333335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133239.82</v>
      </c>
      <c r="F36" s="145">
        <v>134345.63</v>
      </c>
      <c r="G36" s="112">
        <f t="shared" si="3"/>
        <v>1105.8099999999977</v>
      </c>
      <c r="H36" s="99">
        <f>G36+'2'!H36</f>
        <v>2766.6300000000047</v>
      </c>
      <c r="I36" s="95"/>
      <c r="J36" s="175">
        <f>H36/DAY(B2)</f>
        <v>922.21000000000151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186481.17</v>
      </c>
      <c r="F37" s="145">
        <v>188167.75</v>
      </c>
      <c r="G37" s="112">
        <f t="shared" si="3"/>
        <v>1686.5799999999872</v>
      </c>
      <c r="H37" s="99">
        <f>G37+'2'!H37</f>
        <v>5042.75</v>
      </c>
      <c r="I37" s="95"/>
      <c r="J37" s="175">
        <f>H37/DAY(B2)</f>
        <v>1680.9166666666667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248148.59</v>
      </c>
      <c r="F38" s="108">
        <v>250498.63</v>
      </c>
      <c r="G38" s="112">
        <f t="shared" si="3"/>
        <v>2350.0400000000081</v>
      </c>
      <c r="H38" s="99">
        <f>G38+'2'!H38</f>
        <v>7046.6300000000047</v>
      </c>
      <c r="I38" s="95"/>
      <c r="J38" s="175">
        <f>H38/DAY(B2)</f>
        <v>2348.8766666666684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345585.55</v>
      </c>
      <c r="F39" s="145">
        <v>348408.31</v>
      </c>
      <c r="G39" s="112">
        <f t="shared" si="3"/>
        <v>2822.7600000000093</v>
      </c>
      <c r="H39" s="99">
        <f>G39+'2'!H39</f>
        <v>8420.3099999999977</v>
      </c>
      <c r="I39" s="95"/>
      <c r="J39" s="175">
        <f>H39/DAY(B2)</f>
        <v>2806.7699999999991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66488.509999999995</v>
      </c>
      <c r="F40" s="145">
        <v>67284.28</v>
      </c>
      <c r="G40" s="112">
        <f t="shared" si="3"/>
        <v>795.77000000000407</v>
      </c>
      <c r="H40" s="99">
        <f>G40+'2'!H40</f>
        <v>2407.2799999999988</v>
      </c>
      <c r="I40" s="95"/>
      <c r="J40" s="175">
        <f>H40/DAY(B2)</f>
        <v>802.42666666666628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37523.74</v>
      </c>
      <c r="F41" s="145">
        <v>43024.43</v>
      </c>
      <c r="G41" s="112">
        <f t="shared" si="3"/>
        <v>5500.6900000000023</v>
      </c>
      <c r="H41" s="99">
        <f>G41+'2'!H41</f>
        <v>15331.43</v>
      </c>
      <c r="I41" s="95"/>
      <c r="J41" s="175">
        <f>H41/DAY(B2)</f>
        <v>5110.4766666666665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435351.71</v>
      </c>
      <c r="F42" s="145">
        <v>439295.63</v>
      </c>
      <c r="G42" s="112">
        <f t="shared" si="3"/>
        <v>3943.9199999999837</v>
      </c>
      <c r="H42" s="99">
        <f>G42+'2'!H42</f>
        <v>13494.630000000005</v>
      </c>
      <c r="I42" s="95"/>
      <c r="J42" s="175">
        <f>H42/DAY(B2)</f>
        <v>4498.2100000000019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365028.23</v>
      </c>
      <c r="F43" s="145">
        <v>368274.63</v>
      </c>
      <c r="G43" s="112">
        <f t="shared" si="3"/>
        <v>3246.4000000000233</v>
      </c>
      <c r="H43" s="99">
        <f>G43+'2'!H43</f>
        <v>10755.630000000005</v>
      </c>
      <c r="I43" s="95"/>
      <c r="J43" s="175">
        <f>H43/DAY(B2)</f>
        <v>3585.2100000000014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23497.140000000029</v>
      </c>
      <c r="H47" s="99">
        <f>G47+'2'!H47</f>
        <v>71659.290000000008</v>
      </c>
      <c r="I47" s="95"/>
      <c r="J47" s="175">
        <f>H47/DAY(B2)</f>
        <v>23886.430000000004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168867.77</v>
      </c>
      <c r="F49" s="145">
        <v>170660.95</v>
      </c>
      <c r="G49" s="112">
        <f t="shared" ref="G49:G58" si="4">F49-E49</f>
        <v>1793.1800000000221</v>
      </c>
      <c r="H49" s="99">
        <f>G49+'2'!H49</f>
        <v>5490.9500000000116</v>
      </c>
      <c r="I49" s="95"/>
      <c r="J49" s="175">
        <f>H49/DAY(B2)</f>
        <v>1830.3166666666705</v>
      </c>
      <c r="K49" s="79"/>
      <c r="L49" s="66"/>
      <c r="N49" s="87">
        <f>G35+G49</f>
        <v>3838.3500000000349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175497.11</v>
      </c>
      <c r="F50" s="145">
        <v>176698.07</v>
      </c>
      <c r="G50" s="112">
        <f t="shared" si="4"/>
        <v>1200.960000000021</v>
      </c>
      <c r="H50" s="99">
        <f>G50+'2'!H50</f>
        <v>4091.070000000007</v>
      </c>
      <c r="I50" s="95"/>
      <c r="J50" s="175">
        <f>H50/DAY(B2)</f>
        <v>1363.6900000000023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75.680000000000007</v>
      </c>
      <c r="F51" s="145">
        <v>75.680000000000007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-0.25</v>
      </c>
      <c r="I52" s="95"/>
      <c r="J52" s="175">
        <f>H52/DAY(B2)</f>
        <v>-8.3333333333333329E-2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51031.71</v>
      </c>
      <c r="F54" s="145">
        <v>51505.04</v>
      </c>
      <c r="G54" s="112">
        <f t="shared" si="4"/>
        <v>473.33000000000175</v>
      </c>
      <c r="H54" s="99">
        <f>G54+'2'!H54</f>
        <v>1422.0400000000009</v>
      </c>
      <c r="I54" s="95"/>
      <c r="J54" s="175">
        <f>H54/DAY(B2)</f>
        <v>474.01333333333361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145222.93</v>
      </c>
      <c r="F55" s="145">
        <v>145222.93</v>
      </c>
      <c r="G55" s="112">
        <f t="shared" si="4"/>
        <v>0</v>
      </c>
      <c r="H55" s="99">
        <f>G55+'2'!H55</f>
        <v>255.92999999999302</v>
      </c>
      <c r="I55" s="95"/>
      <c r="J55" s="175">
        <f>H55/DAY(B2)</f>
        <v>85.309999999997672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107245.66</v>
      </c>
      <c r="F56" s="145">
        <v>107245.66</v>
      </c>
      <c r="G56" s="112">
        <f t="shared" si="4"/>
        <v>0</v>
      </c>
      <c r="H56" s="99">
        <f>G56+'2'!H56</f>
        <v>-0.33999999999650754</v>
      </c>
      <c r="I56" s="95"/>
      <c r="J56" s="175">
        <f>H56/DAY(B2)</f>
        <v>-0.11333333333216918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25975.81</v>
      </c>
      <c r="F58" s="145">
        <v>26202.04</v>
      </c>
      <c r="G58" s="112">
        <f t="shared" si="4"/>
        <v>226.22999999999956</v>
      </c>
      <c r="H58" s="99">
        <f>G58+'2'!H58</f>
        <v>709.04000000000087</v>
      </c>
      <c r="I58" s="95"/>
      <c r="J58" s="175">
        <f>H58/DAY(B2)</f>
        <v>236.34666666666695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3693.6900000000442</v>
      </c>
      <c r="H59" s="99">
        <f>G59+'2'!H59</f>
        <v>11968.440000000017</v>
      </c>
      <c r="I59" s="95">
        <f>G7-G60</f>
        <v>334.44999999983702</v>
      </c>
      <c r="J59" s="175">
        <f>H59/DAY(B2)</f>
        <v>3989.4800000000055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27190.830000000075</v>
      </c>
      <c r="H60" s="99">
        <f>G60+'2'!H60</f>
        <v>83627.73000000004</v>
      </c>
      <c r="I60" s="95">
        <f>G13-G60</f>
        <v>-487.55000000004657</v>
      </c>
      <c r="J60" s="175">
        <f>H60/DAY(B2)</f>
        <v>27875.910000000014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'2'!F62</f>
        <v>284343</v>
      </c>
      <c r="F62" s="164">
        <v>284481</v>
      </c>
      <c r="G62" s="112">
        <f t="shared" ref="G62:G63" si="5">F62-E62</f>
        <v>138</v>
      </c>
      <c r="H62" s="99">
        <f>G62+'2'!H62</f>
        <v>472</v>
      </c>
      <c r="I62" s="118"/>
      <c r="J62" s="175">
        <f>H62/DAY(B2)</f>
        <v>157.33333333333334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'2'!F63</f>
        <v>227770</v>
      </c>
      <c r="F63" s="122">
        <v>227933</v>
      </c>
      <c r="G63" s="112">
        <f t="shared" si="5"/>
        <v>163</v>
      </c>
      <c r="H63" s="99">
        <f>G63+'2'!H63</f>
        <v>454</v>
      </c>
      <c r="I63" s="118"/>
      <c r="J63" s="175">
        <f>H63/DAY(B2)</f>
        <v>151.33333333333334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'2'!F64</f>
        <v>0</v>
      </c>
      <c r="F64" s="122"/>
      <c r="G64" s="112">
        <f>G62+G63</f>
        <v>301</v>
      </c>
      <c r="H64" s="99">
        <f>G64+'2'!H64</f>
        <v>926</v>
      </c>
      <c r="I64" s="118"/>
      <c r="J64" s="175">
        <f>H64/DAY(B2)</f>
        <v>308.66666666666669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'2'!F65</f>
        <v>444798</v>
      </c>
      <c r="F65" s="122">
        <v>444899</v>
      </c>
      <c r="G65" s="112">
        <f t="shared" ref="G65:G70" si="6">F65-E65</f>
        <v>101</v>
      </c>
      <c r="H65" s="99">
        <f>G65+'2'!H65</f>
        <v>307</v>
      </c>
      <c r="I65" s="118"/>
      <c r="J65" s="175">
        <f>H65/DAY(B2)</f>
        <v>102.33333333333333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109623</v>
      </c>
      <c r="F66" s="122">
        <v>109643</v>
      </c>
      <c r="G66" s="112">
        <f t="shared" si="6"/>
        <v>20</v>
      </c>
      <c r="H66" s="99">
        <f>G66+'2'!H66</f>
        <v>62</v>
      </c>
      <c r="I66" s="118"/>
      <c r="J66" s="175">
        <f>H66/DAY(B2)</f>
        <v>20.666666666666668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111055</v>
      </c>
      <c r="F67" s="404">
        <v>111124</v>
      </c>
      <c r="G67" s="112">
        <f t="shared" si="6"/>
        <v>69</v>
      </c>
      <c r="H67" s="99">
        <f>G67+'2'!H67</f>
        <v>224</v>
      </c>
      <c r="I67" s="118"/>
      <c r="J67" s="175">
        <f>H67/DAY(B2)</f>
        <v>74.666666666666671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161832</v>
      </c>
      <c r="F68" s="122">
        <v>161847</v>
      </c>
      <c r="G68" s="112">
        <f t="shared" si="6"/>
        <v>15</v>
      </c>
      <c r="H68" s="99">
        <f>G68+'2'!H68</f>
        <v>63</v>
      </c>
      <c r="I68" s="118"/>
      <c r="J68" s="175">
        <f>H68/DAY(B2)</f>
        <v>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11613</v>
      </c>
      <c r="F69" s="122">
        <v>11624</v>
      </c>
      <c r="G69" s="112">
        <f t="shared" si="6"/>
        <v>11</v>
      </c>
      <c r="H69" s="99">
        <f>G69+'2'!H69</f>
        <v>26</v>
      </c>
      <c r="I69" s="118"/>
      <c r="J69" s="175">
        <f>H69/DAY(B2)</f>
        <v>8.6666666666666661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9020</v>
      </c>
      <c r="F70" s="404">
        <v>9026</v>
      </c>
      <c r="G70" s="112">
        <f t="shared" si="6"/>
        <v>6</v>
      </c>
      <c r="H70" s="99">
        <f>G70+'2'!H70</f>
        <v>25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222</v>
      </c>
      <c r="H71" s="99">
        <f>G71+'2'!H71</f>
        <v>707</v>
      </c>
      <c r="I71" s="154"/>
      <c r="J71" s="175">
        <f>H71/DAY(B2)</f>
        <v>235.66666666666666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'2'!F74</f>
        <v>929406.89</v>
      </c>
      <c r="F74" s="117">
        <v>929709.14</v>
      </c>
      <c r="G74" s="112">
        <f t="shared" ref="G74:G78" si="7">F74-E74</f>
        <v>302.25</v>
      </c>
      <c r="H74" s="99">
        <f>G74+'2'!H74</f>
        <v>932.14000000001397</v>
      </c>
      <c r="I74" s="154"/>
      <c r="J74" s="175">
        <f>H74/DAY(B2)</f>
        <v>310.71333333333797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'2'!F76</f>
        <v>180373.73</v>
      </c>
      <c r="F76" s="123">
        <v>180492.71</v>
      </c>
      <c r="G76" s="112">
        <f t="shared" si="7"/>
        <v>118.97999999998137</v>
      </c>
      <c r="H76" s="99">
        <f>G76+'2'!H76</f>
        <v>338.70999999999185</v>
      </c>
      <c r="I76" s="154"/>
      <c r="J76" s="175">
        <f>H76/DAY(B2)</f>
        <v>112.90333333333062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'2'!F77</f>
        <v>45763.9</v>
      </c>
      <c r="F77" s="123">
        <v>45823.1</v>
      </c>
      <c r="G77" s="112">
        <f t="shared" si="7"/>
        <v>59.19999999999709</v>
      </c>
      <c r="H77" s="99">
        <f>G77+'2'!H77</f>
        <v>149.09999999999854</v>
      </c>
      <c r="I77" s="154"/>
      <c r="J77" s="175">
        <f>H77/DAY(B2)</f>
        <v>49.699999999999513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-0.3999999999996362</v>
      </c>
      <c r="I78" s="118"/>
      <c r="J78" s="175">
        <f>H78/DAY(B2)</f>
        <v>-0.13333333333321207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'2'!F79</f>
        <v>0</v>
      </c>
      <c r="F79" s="117"/>
      <c r="G79" s="112">
        <f>G15-SUM(G74:G78)</f>
        <v>623.85999999982596</v>
      </c>
      <c r="H79" s="99">
        <f>G79+'2'!H79</f>
        <v>1831.5899999998928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>
        <f>SUM(G74:G79)</f>
        <v>1104.2899999998044</v>
      </c>
      <c r="H80" s="99">
        <f>G80+'2'!H80</f>
        <v>2147.1499999999069</v>
      </c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41835.370000000003</v>
      </c>
      <c r="F84" s="164">
        <v>41859.15</v>
      </c>
      <c r="G84" s="112">
        <f t="shared" si="8"/>
        <v>23.779999999998836</v>
      </c>
      <c r="H84" s="99">
        <f>G84+'2'!H84</f>
        <v>67.150000000001455</v>
      </c>
      <c r="I84" s="575"/>
      <c r="J84" s="175">
        <f>H84/DAY(B2)</f>
        <v>22.38333333333382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3817.18</v>
      </c>
      <c r="F85" s="164">
        <v>3833.4</v>
      </c>
      <c r="G85" s="112">
        <f t="shared" si="8"/>
        <v>16.220000000000255</v>
      </c>
      <c r="H85" s="99">
        <f>G85+'2'!H85</f>
        <v>56.400000000000091</v>
      </c>
      <c r="I85" s="575"/>
      <c r="J85" s="175">
        <f>H85/DAY(B2)</f>
        <v>18.800000000000029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43941.120000000003</v>
      </c>
      <c r="F86" s="164">
        <v>43941.120000000003</v>
      </c>
      <c r="G86" s="112">
        <f t="shared" si="8"/>
        <v>0</v>
      </c>
      <c r="H86" s="99">
        <f>G86+'2'!H86</f>
        <v>2.1200000000026193</v>
      </c>
      <c r="I86" s="575"/>
      <c r="J86" s="175">
        <f>H86/DAY(B2)</f>
        <v>0.70666666666753974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35329.06</v>
      </c>
      <c r="F87" s="164">
        <v>35329.06</v>
      </c>
      <c r="G87" s="112">
        <f t="shared" si="8"/>
        <v>0</v>
      </c>
      <c r="H87" s="99">
        <f>G87+'2'!H87</f>
        <v>5.9999999997671694E-2</v>
      </c>
      <c r="I87" s="575">
        <f>G84+G85+G86+G87</f>
        <v>39.999999999999091</v>
      </c>
      <c r="J87" s="175">
        <f>H87/DAY(B2)</f>
        <v>1.9999999999223899E-2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24188.12</v>
      </c>
      <c r="F88" s="164">
        <v>24192.15</v>
      </c>
      <c r="G88" s="112">
        <f t="shared" si="8"/>
        <v>4.0300000000024738</v>
      </c>
      <c r="H88" s="99">
        <f>G88+'2'!H88</f>
        <v>4.0300000000024738</v>
      </c>
      <c r="I88" s="575"/>
      <c r="J88" s="175">
        <f>H88/DAY(B2)</f>
        <v>1.3433333333341579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26729.5</v>
      </c>
      <c r="F89" s="164">
        <v>26738.799999999999</v>
      </c>
      <c r="G89" s="112">
        <f t="shared" si="8"/>
        <v>9.2999999999992724</v>
      </c>
      <c r="H89" s="99">
        <f>G89+'2'!H89</f>
        <v>29.579999999998108</v>
      </c>
      <c r="I89" s="575">
        <f>G88+G89</f>
        <v>13.330000000001746</v>
      </c>
      <c r="J89" s="175">
        <f>H89/DAY(B2)</f>
        <v>9.8599999999993688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71882.37</v>
      </c>
      <c r="F90" s="164">
        <v>71887.740000000005</v>
      </c>
      <c r="G90" s="112">
        <f t="shared" si="8"/>
        <v>5.3700000000098953</v>
      </c>
      <c r="H90" s="99">
        <f>G90+'2'!H90</f>
        <v>24.210000000006403</v>
      </c>
      <c r="I90" s="575">
        <f>G90</f>
        <v>5.3700000000098953</v>
      </c>
      <c r="J90" s="175">
        <f>H90/DAY(B2)</f>
        <v>8.0700000000021337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4082.32</v>
      </c>
      <c r="F91" s="164">
        <v>4093.42</v>
      </c>
      <c r="G91" s="112">
        <f t="shared" si="8"/>
        <v>11.099999999999909</v>
      </c>
      <c r="H91" s="99">
        <f>G91+'2'!H91</f>
        <v>34.180000000000291</v>
      </c>
      <c r="I91" s="594"/>
      <c r="J91" s="175">
        <f>H91/DAY(B2)</f>
        <v>11.39333333333343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5935</v>
      </c>
      <c r="F92" s="122">
        <v>5935</v>
      </c>
      <c r="G92" s="112">
        <f t="shared" si="8"/>
        <v>0</v>
      </c>
      <c r="H92" s="99">
        <f>G92+'2'!H92</f>
        <v>0</v>
      </c>
      <c r="I92" s="600">
        <f>G91+G92</f>
        <v>11.099999999999909</v>
      </c>
      <c r="J92" s="175">
        <f>H92/DAY(B2)</f>
        <v>0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7084.7500000000582</v>
      </c>
      <c r="H94" s="99">
        <f>G94+'2'!H94</f>
        <v>22640.580000000016</v>
      </c>
      <c r="I94" s="118"/>
      <c r="J94" s="175">
        <f>H94/DAY(B2)</f>
        <v>7546.8600000000051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0.25739066051281151</v>
      </c>
      <c r="H95" s="99">
        <f>G95+'2'!H95</f>
        <v>0.80266239333982869</v>
      </c>
      <c r="I95" s="167"/>
      <c r="J95" s="175">
        <f>H95/DAY(B2)</f>
        <v>0.26755413111327625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9444.609999999986</v>
      </c>
      <c r="H96" s="99">
        <f>G96+'2'!H96</f>
        <v>29081.65</v>
      </c>
      <c r="I96" s="118"/>
      <c r="J96" s="175">
        <f>H96/DAY(B2)</f>
        <v>9693.8833333333332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0.34312493823859436</v>
      </c>
      <c r="H97" s="99">
        <f>G97+'2'!H97</f>
        <v>1.0308479446509846</v>
      </c>
      <c r="I97" s="167"/>
      <c r="J97" s="175">
        <f>H97/DAY(B2)</f>
        <v>0.34361598155032819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2822.7600000000093</v>
      </c>
      <c r="H98" s="99">
        <f>G98+'2'!H98</f>
        <v>8420.3099999999977</v>
      </c>
      <c r="I98" s="168"/>
      <c r="J98" s="175">
        <f>H98/DAY(B2)</f>
        <v>2806.7699999999991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0.10255154534304532</v>
      </c>
      <c r="H99" s="99">
        <f>G99+'2'!H99</f>
        <v>0.29899959804994902</v>
      </c>
      <c r="I99" s="168"/>
      <c r="J99" s="175">
        <f>H99/DAY(B2)</f>
        <v>9.9666532683316336E-2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2350.0300000000079</v>
      </c>
      <c r="H100" s="99">
        <f>G100+'2'!H100</f>
        <v>7046.3800000000047</v>
      </c>
      <c r="I100" s="118"/>
      <c r="J100" s="175">
        <f>H100/DAY(B2)</f>
        <v>2348.7933333333349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8.5377151476752122E-2</v>
      </c>
      <c r="H101" s="99">
        <f>G101+'2'!H101</f>
        <v>0.25008737356220523</v>
      </c>
      <c r="I101" s="168"/>
      <c r="J101" s="175">
        <f>H101/DAY(B2)</f>
        <v>8.3362457854068414E-2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2306.7700000000186</v>
      </c>
      <c r="H102" s="99">
        <f>G102+'2'!H102</f>
        <v>6857.7000000000116</v>
      </c>
      <c r="I102" s="168"/>
      <c r="J102" s="175">
        <f>H102/DAY(B2)</f>
        <v>2285.9000000000037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8.3805505339092867E-2</v>
      </c>
      <c r="H103" s="99">
        <f>G103+'2'!H103</f>
        <v>0.242637225901424</v>
      </c>
      <c r="I103" s="118"/>
      <c r="J103" s="175">
        <f>H103/DAY(B2)</f>
        <v>8.0879075300474668E-2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1686.5799999999872</v>
      </c>
      <c r="H104" s="99">
        <f>G104+'2'!H104</f>
        <v>5042.75</v>
      </c>
      <c r="I104" s="118"/>
      <c r="J104" s="175">
        <f>H104/DAY(B2)</f>
        <v>1680.9166666666667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6.1273854434904663E-2</v>
      </c>
      <c r="H105" s="99">
        <f>G105+'2'!H105</f>
        <v>0.17899848968577811</v>
      </c>
      <c r="I105" s="187"/>
      <c r="J105" s="188">
        <f>H105/DAY(B2)</f>
        <v>5.9666163228592702E-2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'2'!F112</f>
        <v>400.5</v>
      </c>
      <c r="F112" s="237">
        <v>479.12</v>
      </c>
      <c r="G112" s="112">
        <f t="shared" ref="G112:G123" si="9">F112-E112</f>
        <v>78.62</v>
      </c>
      <c r="H112" s="99">
        <f>G112+'2'!H112</f>
        <v>236.12</v>
      </c>
      <c r="I112" s="165"/>
      <c r="J112" s="328">
        <f>H112/DAY(B2)</f>
        <v>78.706666666666663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'2'!F113</f>
        <v>787.9</v>
      </c>
      <c r="F113" s="237">
        <v>940.17</v>
      </c>
      <c r="G113" s="112">
        <f t="shared" si="9"/>
        <v>152.26999999999998</v>
      </c>
      <c r="H113" s="99">
        <f>G113+'2'!H113</f>
        <v>458.16999999999996</v>
      </c>
      <c r="I113" s="165"/>
      <c r="J113" s="328">
        <f>H113/DAY(B2)</f>
        <v>152.72333333333333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'2'!F114</f>
        <v>1096.95</v>
      </c>
      <c r="F114" s="237">
        <v>1312.5</v>
      </c>
      <c r="G114" s="112">
        <f t="shared" si="9"/>
        <v>215.54999999999995</v>
      </c>
      <c r="H114" s="99">
        <f>G114+'2'!H114</f>
        <v>648.5</v>
      </c>
      <c r="I114" s="165"/>
      <c r="J114" s="328">
        <f>H114/DAY(B2)</f>
        <v>216.16666666666666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'2'!F115</f>
        <v>827.25</v>
      </c>
      <c r="F115" s="237">
        <v>985.55</v>
      </c>
      <c r="G115" s="112">
        <f t="shared" si="9"/>
        <v>158.29999999999995</v>
      </c>
      <c r="H115" s="99">
        <f>G115+'2'!H115</f>
        <v>474.54999999999995</v>
      </c>
      <c r="I115" s="165"/>
      <c r="J115" s="328">
        <f>H115/DAY(B2)</f>
        <v>158.18333333333331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'2'!F116</f>
        <v>35278.519999999997</v>
      </c>
      <c r="F116" s="237">
        <v>35604.14</v>
      </c>
      <c r="G116" s="112">
        <f t="shared" si="9"/>
        <v>325.62000000000262</v>
      </c>
      <c r="H116" s="99">
        <f>G116+'2'!H116</f>
        <v>938.13999999999942</v>
      </c>
      <c r="I116" s="165"/>
      <c r="J116" s="328">
        <f>H116/DAY(B2)</f>
        <v>312.71333333333314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'2'!F117</f>
        <v>19279.18</v>
      </c>
      <c r="F117" s="237">
        <v>19438.95</v>
      </c>
      <c r="G117" s="112">
        <f t="shared" si="9"/>
        <v>159.77000000000044</v>
      </c>
      <c r="H117" s="99">
        <f>G117+'2'!H117</f>
        <v>502.95000000000073</v>
      </c>
      <c r="I117" s="165"/>
      <c r="J117" s="328">
        <f>H117/DAY(B2)</f>
        <v>167.65000000000023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'2'!F118</f>
        <v>10098.620000000001</v>
      </c>
      <c r="F118" s="237">
        <v>10645.87</v>
      </c>
      <c r="G118" s="112">
        <f t="shared" si="9"/>
        <v>547.25</v>
      </c>
      <c r="H118" s="99">
        <f>G118+'2'!H118</f>
        <v>1582.8700000000008</v>
      </c>
      <c r="I118" s="165"/>
      <c r="J118" s="328">
        <f>H118/DAY(B2)</f>
        <v>527.62333333333356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'2'!F119</f>
        <v>6793.56</v>
      </c>
      <c r="F119" s="237">
        <v>7207.1</v>
      </c>
      <c r="G119" s="112">
        <f t="shared" si="9"/>
        <v>413.53999999999996</v>
      </c>
      <c r="H119" s="99">
        <f>G119+'2'!H119</f>
        <v>1304.1000000000004</v>
      </c>
      <c r="I119" s="165"/>
      <c r="J119" s="328">
        <f>H119/DAY(B2)</f>
        <v>434.7000000000001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'2'!F120</f>
        <v>8013.62</v>
      </c>
      <c r="F120" s="237">
        <v>8437.24</v>
      </c>
      <c r="G120" s="112">
        <f t="shared" si="9"/>
        <v>423.61999999999989</v>
      </c>
      <c r="H120" s="99">
        <f>G120+'2'!H120</f>
        <v>1302.2399999999998</v>
      </c>
      <c r="I120" s="165"/>
      <c r="J120" s="328">
        <f>H120/DAY(B2)</f>
        <v>434.07999999999993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'2'!F121</f>
        <v>12615.75</v>
      </c>
      <c r="F121" s="237">
        <v>13076.38</v>
      </c>
      <c r="G121" s="112">
        <f t="shared" si="9"/>
        <v>460.6299999999992</v>
      </c>
      <c r="H121" s="99">
        <f>G121+'2'!H121</f>
        <v>1349.3799999999992</v>
      </c>
      <c r="I121" s="165"/>
      <c r="J121" s="328">
        <f>H121/DAY(B2)</f>
        <v>449.79333333333307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'2'!F122</f>
        <v>3943.88</v>
      </c>
      <c r="F122" s="237">
        <v>4149.75</v>
      </c>
      <c r="G122" s="112">
        <f t="shared" si="9"/>
        <v>205.86999999999989</v>
      </c>
      <c r="H122" s="99">
        <f>G122+'2'!H122</f>
        <v>585.75</v>
      </c>
      <c r="I122" s="165"/>
      <c r="J122" s="328">
        <f>H122/DAY(B2)</f>
        <v>195.25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'2'!F123</f>
        <v>1587.44</v>
      </c>
      <c r="F123" s="237">
        <v>1905.12</v>
      </c>
      <c r="G123" s="112">
        <f t="shared" si="9"/>
        <v>317.67999999999984</v>
      </c>
      <c r="H123" s="99">
        <f>G123+'2'!H123</f>
        <v>938.11999999999989</v>
      </c>
      <c r="I123" s="165"/>
      <c r="J123" s="328">
        <f>H123/DAY(B2)</f>
        <v>312.70666666666665</v>
      </c>
    </row>
    <row r="124" spans="1:18" ht="29.2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26.25">
      <c r="A125" s="916" t="s">
        <v>196</v>
      </c>
      <c r="B125" s="917"/>
      <c r="C125" s="918"/>
      <c r="D125" s="307"/>
      <c r="E125" s="308"/>
      <c r="F125" s="308"/>
      <c r="G125" s="309">
        <f>SUM(G112:G124)</f>
        <v>3458.7200000000016</v>
      </c>
      <c r="H125" s="156"/>
      <c r="I125" s="327">
        <f>G125-(G39+G53)</f>
        <v>635.95999999999231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'2'!F128</f>
        <v>82236.27</v>
      </c>
      <c r="F128" s="165">
        <v>82612.75</v>
      </c>
      <c r="G128" s="112">
        <f t="shared" ref="G128:G134" si="10">F128-E128</f>
        <v>376.47999999999593</v>
      </c>
      <c r="H128" s="99">
        <f>G128+'2'!H128</f>
        <v>1197.75</v>
      </c>
      <c r="I128" s="165"/>
      <c r="J128" s="328">
        <f>H128/DAY(B2)</f>
        <v>399.25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51648.26</v>
      </c>
      <c r="F129" s="165">
        <v>51909.98</v>
      </c>
      <c r="G129" s="112">
        <f t="shared" si="10"/>
        <v>261.72000000000116</v>
      </c>
      <c r="H129" s="99">
        <f>G129+'2'!H129</f>
        <v>837.9800000000032</v>
      </c>
      <c r="I129" s="165"/>
      <c r="J129" s="328">
        <f>H129/DAY(B2)</f>
        <v>279.32666666666773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98082.67</v>
      </c>
      <c r="F130" s="165">
        <v>98770.71</v>
      </c>
      <c r="G130" s="112">
        <f t="shared" si="10"/>
        <v>688.04000000000815</v>
      </c>
      <c r="H130" s="99">
        <f>G130+'2'!H130</f>
        <v>2124.7100000000064</v>
      </c>
      <c r="I130" s="165"/>
      <c r="J130" s="328">
        <f>H130/DAY(B2)</f>
        <v>708.23666666666884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'2'!F131</f>
        <v>30815.66</v>
      </c>
      <c r="F131" s="165">
        <v>31021.200000000001</v>
      </c>
      <c r="G131" s="112">
        <f t="shared" si="10"/>
        <v>205.54000000000087</v>
      </c>
      <c r="H131" s="99">
        <f>G131+'2'!H131</f>
        <v>586.20000000000073</v>
      </c>
      <c r="I131" s="165"/>
      <c r="J131" s="328">
        <f>H131/DAY(B2)</f>
        <v>195.40000000000023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'2'!F132</f>
        <v>89969.9</v>
      </c>
      <c r="F132" s="158">
        <v>90465.79</v>
      </c>
      <c r="G132" s="112">
        <f t="shared" si="10"/>
        <v>495.88999999999942</v>
      </c>
      <c r="H132" s="99">
        <f>G132+'2'!H132</f>
        <v>1528.7899999999936</v>
      </c>
      <c r="I132" s="165"/>
      <c r="J132" s="328">
        <f>H132/DAY(B2)</f>
        <v>509.59666666666453</v>
      </c>
    </row>
    <row r="133" spans="1:15" ht="25.5">
      <c r="A133" s="886" t="s">
        <v>342</v>
      </c>
      <c r="B133" s="887"/>
      <c r="C133" s="888"/>
      <c r="D133" s="151" t="s">
        <v>183</v>
      </c>
      <c r="E133" s="95">
        <f>'2'!F133</f>
        <v>174208.73</v>
      </c>
      <c r="F133" s="165">
        <v>175063</v>
      </c>
      <c r="G133" s="112">
        <f t="shared" si="10"/>
        <v>854.26999999998952</v>
      </c>
      <c r="H133" s="99">
        <f>G133+'2'!H133</f>
        <v>2617</v>
      </c>
      <c r="I133" s="165"/>
      <c r="J133" s="328">
        <f>H133/DAY(B2)</f>
        <v>872.33333333333337</v>
      </c>
    </row>
    <row r="134" spans="1:15" ht="25.5">
      <c r="A134" s="948" t="s">
        <v>340</v>
      </c>
      <c r="B134" s="949"/>
      <c r="C134" s="871"/>
      <c r="D134" s="151" t="s">
        <v>183</v>
      </c>
      <c r="E134" s="95">
        <f>'2'!F134</f>
        <v>28592.27</v>
      </c>
      <c r="F134" s="165">
        <v>28825.29</v>
      </c>
      <c r="G134" s="112">
        <f t="shared" si="10"/>
        <v>233.02000000000044</v>
      </c>
      <c r="H134" s="99">
        <f>G134+'2'!H134</f>
        <v>732.29000000000087</v>
      </c>
      <c r="I134" s="165"/>
      <c r="J134" s="328">
        <f>H134/DAY(B2)</f>
        <v>244.09666666666695</v>
      </c>
    </row>
    <row r="135" spans="1:15" ht="26.25">
      <c r="A135" s="916" t="s">
        <v>196</v>
      </c>
      <c r="B135" s="917"/>
      <c r="C135" s="918"/>
      <c r="D135" s="151"/>
      <c r="E135" s="95"/>
      <c r="F135" s="165"/>
      <c r="G135" s="112">
        <f>SUM(G128:G134)</f>
        <v>3114.9599999999955</v>
      </c>
      <c r="H135" s="99">
        <f>G135+'2'!H135</f>
        <v>9624.7200000000048</v>
      </c>
      <c r="I135" s="327">
        <f>G135-(G35+G49)</f>
        <v>-723.39000000003944</v>
      </c>
      <c r="J135" s="328">
        <f>H135/DAY(B2)</f>
        <v>3208.2400000000016</v>
      </c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'2'!F138</f>
        <v>879079</v>
      </c>
      <c r="F138" s="147">
        <v>879230</v>
      </c>
      <c r="G138" s="112">
        <f t="shared" ref="G138:G152" si="11">F138-E138</f>
        <v>151</v>
      </c>
      <c r="H138" s="99">
        <f>G138+'2'!H138</f>
        <v>446</v>
      </c>
      <c r="I138" s="118"/>
      <c r="J138" s="328">
        <f>H138/DAY(B2)</f>
        <v>148.66666666666666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'2'!F139</f>
        <v>895170</v>
      </c>
      <c r="F139" s="148">
        <v>895300</v>
      </c>
      <c r="G139" s="112">
        <f t="shared" si="11"/>
        <v>130</v>
      </c>
      <c r="H139" s="99">
        <f>G139+'2'!H139</f>
        <v>434</v>
      </c>
      <c r="I139" s="118"/>
      <c r="J139" s="328">
        <f>H139/DAY(B2)</f>
        <v>144.66666666666666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'2'!F140</f>
        <v>157.12</v>
      </c>
      <c r="F140" s="149">
        <v>175.71</v>
      </c>
      <c r="G140" s="112">
        <f t="shared" si="11"/>
        <v>18.590000000000003</v>
      </c>
      <c r="H140" s="99">
        <f>G140+'2'!H140</f>
        <v>40.710000000000008</v>
      </c>
      <c r="I140" s="118"/>
      <c r="J140" s="328">
        <f>H140/DAY(B2)</f>
        <v>13.570000000000002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'2'!F141</f>
        <v>72211.839999999997</v>
      </c>
      <c r="F141" s="149">
        <v>72406.77</v>
      </c>
      <c r="G141" s="112">
        <f t="shared" si="11"/>
        <v>194.93000000000757</v>
      </c>
      <c r="H141" s="99">
        <f>G141+'2'!H141</f>
        <v>632.77000000000407</v>
      </c>
      <c r="I141" s="118"/>
      <c r="J141" s="328">
        <f>H141/DAY(B2)</f>
        <v>210.92333333333468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'2'!F142</f>
        <v>27599.759999999998</v>
      </c>
      <c r="F142" s="148">
        <v>27667.71</v>
      </c>
      <c r="G142" s="112">
        <f t="shared" si="11"/>
        <v>67.950000000000728</v>
      </c>
      <c r="H142" s="99">
        <f>G142+'2'!H142</f>
        <v>201.70999999999913</v>
      </c>
      <c r="I142" s="140"/>
      <c r="J142" s="328">
        <f>H142/DAY(B2)</f>
        <v>67.23666666666638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'2'!F143</f>
        <v>6465.29</v>
      </c>
      <c r="F143" s="149">
        <v>6494.41</v>
      </c>
      <c r="G143" s="112">
        <f t="shared" si="11"/>
        <v>29.119999999999891</v>
      </c>
      <c r="H143" s="99">
        <f>G143+'2'!H143</f>
        <v>77.409999999999854</v>
      </c>
      <c r="I143" s="140"/>
      <c r="J143" s="328">
        <f>H143/DAY(B2)</f>
        <v>25.803333333333285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'2'!F144</f>
        <v>897714</v>
      </c>
      <c r="F144" s="149">
        <v>897977</v>
      </c>
      <c r="G144" s="112">
        <f t="shared" si="11"/>
        <v>263</v>
      </c>
      <c r="H144" s="99">
        <f>G144+'2'!H144</f>
        <v>744</v>
      </c>
      <c r="I144" s="140"/>
      <c r="J144" s="328">
        <f>H144/DAY(B2)</f>
        <v>248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'2'!F145</f>
        <v>5632.58</v>
      </c>
      <c r="F145" s="149">
        <v>5635.03</v>
      </c>
      <c r="G145" s="112">
        <f t="shared" si="11"/>
        <v>2.4499999999998181</v>
      </c>
      <c r="H145" s="99">
        <f>G145+'2'!H145</f>
        <v>7.0299999999997453</v>
      </c>
      <c r="I145" s="140"/>
      <c r="J145" s="328">
        <f>H145/DAY(B2)</f>
        <v>2.3433333333332484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'2'!F146</f>
        <v>776469</v>
      </c>
      <c r="F146" s="519">
        <v>776512</v>
      </c>
      <c r="G146" s="112">
        <f t="shared" si="11"/>
        <v>43</v>
      </c>
      <c r="H146" s="99">
        <f>G146+'2'!H146</f>
        <v>58</v>
      </c>
      <c r="I146" s="140"/>
      <c r="J146" s="328">
        <f>H146/DAY(B2)</f>
        <v>19.333333333333332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'2'!F147</f>
        <v>663995.31999999995</v>
      </c>
      <c r="F147" s="148">
        <v>664405.43999999994</v>
      </c>
      <c r="G147" s="112">
        <f t="shared" si="11"/>
        <v>410.11999999999534</v>
      </c>
      <c r="H147" s="99">
        <f>G147+'2'!H147</f>
        <v>1177.4399999999441</v>
      </c>
      <c r="I147" s="140"/>
      <c r="J147" s="328">
        <f>H147/DAY(B2)</f>
        <v>392.47999999998137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'2'!F148</f>
        <v>720651.52</v>
      </c>
      <c r="F148" s="150">
        <v>720958</v>
      </c>
      <c r="G148" s="112">
        <f t="shared" si="11"/>
        <v>306.47999999998137</v>
      </c>
      <c r="H148" s="99">
        <f>G148+'2'!H148</f>
        <v>1042</v>
      </c>
      <c r="I148" s="124"/>
      <c r="J148" s="328">
        <f>H148/DAY(B2)</f>
        <v>347.33333333333331</v>
      </c>
    </row>
    <row r="149" spans="1:10" ht="25.5">
      <c r="A149" s="944" t="s">
        <v>336</v>
      </c>
      <c r="B149" s="945"/>
      <c r="C149" s="946"/>
      <c r="D149" s="227" t="s">
        <v>130</v>
      </c>
      <c r="E149" s="95">
        <f>'2'!F149</f>
        <v>84549.99</v>
      </c>
      <c r="F149" s="146">
        <v>85117.64</v>
      </c>
      <c r="G149" s="112">
        <f t="shared" si="11"/>
        <v>567.64999999999418</v>
      </c>
      <c r="H149" s="99">
        <f>G149+'2'!H149</f>
        <v>1729.6399999999994</v>
      </c>
      <c r="I149" s="119"/>
      <c r="J149" s="328">
        <f>H149/DAY(B2)</f>
        <v>576.54666666666651</v>
      </c>
    </row>
    <row r="150" spans="1:10" ht="25.5">
      <c r="A150" s="944" t="s">
        <v>337</v>
      </c>
      <c r="B150" s="945"/>
      <c r="C150" s="946"/>
      <c r="D150" s="117" t="s">
        <v>130</v>
      </c>
      <c r="E150" s="95">
        <f>'2'!F150</f>
        <v>31024.47</v>
      </c>
      <c r="F150" s="233">
        <v>31242.73</v>
      </c>
      <c r="G150" s="112">
        <f t="shared" si="11"/>
        <v>218.2599999999984</v>
      </c>
      <c r="H150" s="99">
        <f>G150+'2'!H150</f>
        <v>655.72999999999956</v>
      </c>
      <c r="I150" s="119"/>
      <c r="J150" s="328">
        <f>H150/DAY(B2)</f>
        <v>218.57666666666651</v>
      </c>
    </row>
    <row r="151" spans="1:10" ht="29.25" customHeight="1">
      <c r="A151" s="944" t="s">
        <v>338</v>
      </c>
      <c r="B151" s="945"/>
      <c r="C151" s="946"/>
      <c r="D151" s="117" t="s">
        <v>130</v>
      </c>
      <c r="E151" s="95">
        <f>'2'!F151</f>
        <v>109807</v>
      </c>
      <c r="F151" s="233">
        <v>110109</v>
      </c>
      <c r="G151" s="112">
        <f t="shared" si="11"/>
        <v>302</v>
      </c>
      <c r="H151" s="99">
        <f>G151+'2'!H151</f>
        <v>881</v>
      </c>
      <c r="I151" s="119"/>
      <c r="J151" s="328">
        <f>H151/DAY(B2)</f>
        <v>293.66666666666669</v>
      </c>
    </row>
    <row r="152" spans="1:10" ht="29.25" customHeight="1">
      <c r="A152" s="944" t="s">
        <v>339</v>
      </c>
      <c r="B152" s="945"/>
      <c r="C152" s="946"/>
      <c r="D152" s="117" t="s">
        <v>130</v>
      </c>
      <c r="E152" s="95">
        <f>'2'!F152</f>
        <v>11406.44</v>
      </c>
      <c r="F152" s="233">
        <v>11536.85</v>
      </c>
      <c r="G152" s="112">
        <f t="shared" si="11"/>
        <v>130.40999999999985</v>
      </c>
      <c r="H152" s="99">
        <f>G152+'2'!H152</f>
        <v>380.85000000000036</v>
      </c>
      <c r="I152" s="119"/>
      <c r="J152" s="328">
        <f>H152/DAY(B2)</f>
        <v>126.95000000000012</v>
      </c>
    </row>
    <row r="153" spans="1:10" ht="29.25" customHeight="1">
      <c r="A153" s="916" t="s">
        <v>196</v>
      </c>
      <c r="B153" s="917"/>
      <c r="C153" s="918"/>
      <c r="D153" s="367"/>
      <c r="E153" s="368"/>
      <c r="F153" s="369"/>
      <c r="G153" s="370">
        <f>SUM(G138:G152)</f>
        <v>2834.9599999999773</v>
      </c>
      <c r="H153" s="371"/>
      <c r="I153" s="119">
        <f>G153-(G38+G52)</f>
        <v>484.92999999996937</v>
      </c>
      <c r="J153" s="372"/>
    </row>
    <row r="154" spans="1:10" ht="29.25" customHeight="1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9.25" customHeight="1">
      <c r="A155" s="864" t="s">
        <v>345</v>
      </c>
      <c r="B155" s="864"/>
      <c r="C155" s="864"/>
      <c r="D155" s="117" t="s">
        <v>130</v>
      </c>
      <c r="E155" s="95">
        <f>'2'!F155</f>
        <v>93980.06</v>
      </c>
      <c r="F155" s="389">
        <v>94649.51</v>
      </c>
      <c r="G155" s="112">
        <f t="shared" ref="G155:G158" si="12">F155-E155</f>
        <v>669.44999999999709</v>
      </c>
      <c r="H155" s="99">
        <f>G155+'2'!H155</f>
        <v>1917.5099999999948</v>
      </c>
      <c r="I155" s="364"/>
      <c r="J155" s="328">
        <f>H155/DAY(B2)</f>
        <v>639.16999999999825</v>
      </c>
    </row>
    <row r="156" spans="1:10" ht="29.25" customHeight="1">
      <c r="A156" s="947" t="s">
        <v>346</v>
      </c>
      <c r="B156" s="947"/>
      <c r="C156" s="947"/>
      <c r="D156" s="117" t="s">
        <v>130</v>
      </c>
      <c r="E156" s="95">
        <f>'2'!F156</f>
        <v>7823.51</v>
      </c>
      <c r="F156" s="389">
        <v>7891.13</v>
      </c>
      <c r="G156" s="112">
        <f t="shared" si="12"/>
        <v>67.619999999999891</v>
      </c>
      <c r="H156" s="99">
        <f>G156+'2'!H156</f>
        <v>200.13000000000011</v>
      </c>
      <c r="I156" s="165"/>
      <c r="J156" s="328">
        <f>H156/DAY(B2)</f>
        <v>66.710000000000036</v>
      </c>
    </row>
    <row r="157" spans="1:10" ht="29.25" customHeight="1">
      <c r="A157" s="865" t="s">
        <v>361</v>
      </c>
      <c r="B157" s="866"/>
      <c r="C157" s="867"/>
      <c r="D157" s="117" t="s">
        <v>130</v>
      </c>
      <c r="E157" s="95">
        <f>'2'!F157</f>
        <v>13721.18</v>
      </c>
      <c r="F157" s="389">
        <v>13836.62</v>
      </c>
      <c r="G157" s="112">
        <f t="shared" si="12"/>
        <v>115.44000000000051</v>
      </c>
      <c r="H157" s="99">
        <f>G157+'2'!H157</f>
        <v>340.6200000000008</v>
      </c>
      <c r="I157" s="165"/>
      <c r="J157" s="328"/>
    </row>
    <row r="158" spans="1:10" ht="29.25" customHeight="1">
      <c r="A158" s="865" t="s">
        <v>362</v>
      </c>
      <c r="B158" s="866"/>
      <c r="C158" s="867"/>
      <c r="D158" s="117" t="s">
        <v>130</v>
      </c>
      <c r="E158" s="95">
        <f>'2'!F158</f>
        <v>124.07</v>
      </c>
      <c r="F158" s="389">
        <v>124.07</v>
      </c>
      <c r="G158" s="112">
        <f t="shared" si="12"/>
        <v>0</v>
      </c>
      <c r="H158" s="99">
        <f>G158+'2'!H158</f>
        <v>44.529999999999987</v>
      </c>
      <c r="I158" s="165"/>
      <c r="J158" s="328"/>
    </row>
    <row r="159" spans="1:10" ht="29.25" customHeight="1">
      <c r="A159" s="944"/>
      <c r="B159" s="945"/>
      <c r="C159" s="946"/>
      <c r="D159" s="117"/>
      <c r="E159" s="95"/>
      <c r="F159" s="16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474833.24</v>
      </c>
      <c r="F161" s="235">
        <v>474855.48</v>
      </c>
      <c r="G161" s="238">
        <f t="shared" ref="G161:G165" si="13">F161-E161</f>
        <v>22.239999999990687</v>
      </c>
      <c r="H161" s="99">
        <f>G161+'2'!H161</f>
        <v>72.479999999981374</v>
      </c>
      <c r="I161" s="236"/>
      <c r="J161" s="239">
        <f>H161/DAY(B2)</f>
        <v>24.15999999999379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91612.5</v>
      </c>
      <c r="F162" s="418">
        <v>91649.1</v>
      </c>
      <c r="G162" s="238">
        <f t="shared" si="13"/>
        <v>36.600000000005821</v>
      </c>
      <c r="H162" s="99">
        <f>G162+'2'!H162</f>
        <v>102.10000000000582</v>
      </c>
      <c r="I162" s="236"/>
      <c r="J162" s="239">
        <f>H162/DAY(B2)</f>
        <v>34.033333333335271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92367.8</v>
      </c>
      <c r="F163" s="418">
        <v>92536</v>
      </c>
      <c r="G163" s="238">
        <f t="shared" si="13"/>
        <v>168.19999999999709</v>
      </c>
      <c r="H163" s="99">
        <f>G163+'2'!H163</f>
        <v>500</v>
      </c>
      <c r="I163" s="236"/>
      <c r="J163" s="239">
        <f>H163/DAY(B2)</f>
        <v>166.66666666666666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5202.8999999999996</v>
      </c>
      <c r="F164" s="418">
        <v>5213</v>
      </c>
      <c r="G164" s="238">
        <f t="shared" si="13"/>
        <v>10.100000000000364</v>
      </c>
      <c r="H164" s="99">
        <f>G164+'2'!H164</f>
        <v>31</v>
      </c>
      <c r="I164" s="236"/>
      <c r="J164" s="239">
        <f>H164/DAY(B2)</f>
        <v>10.333333333333334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30658.15</v>
      </c>
      <c r="F165" s="418">
        <v>30671.89</v>
      </c>
      <c r="G165" s="238">
        <f t="shared" si="13"/>
        <v>13.739999999997963</v>
      </c>
      <c r="H165" s="99">
        <f>G165+'2'!H165</f>
        <v>37.889999999999418</v>
      </c>
      <c r="I165" s="236"/>
      <c r="J165" s="239">
        <f>H165/DAY(B2)</f>
        <v>12.629999999999805</v>
      </c>
    </row>
    <row r="166" spans="1:10" ht="26.25">
      <c r="A166" s="873"/>
      <c r="B166" s="873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6.25">
      <c r="A167" s="873"/>
      <c r="B167" s="873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873"/>
      <c r="B168" s="873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'2'!F173</f>
        <v>8265</v>
      </c>
      <c r="F173" s="157">
        <v>8265</v>
      </c>
      <c r="G173" s="155">
        <f>F173-E173</f>
        <v>0</v>
      </c>
      <c r="H173" s="99">
        <f>G173+'2'!H173</f>
        <v>4</v>
      </c>
      <c r="I173" s="155"/>
      <c r="J173" s="178">
        <f>H173/DAY(B2)</f>
        <v>1.3333333333333333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'2'!F174</f>
        <v>39960</v>
      </c>
      <c r="F174" s="157">
        <v>39975</v>
      </c>
      <c r="G174" s="155">
        <f t="shared" ref="G174:G175" si="14">F174-E174</f>
        <v>15</v>
      </c>
      <c r="H174" s="99">
        <f>G174+'2'!H174</f>
        <v>47</v>
      </c>
      <c r="I174" s="155"/>
      <c r="J174" s="178">
        <f>H174/DAY(B2)</f>
        <v>15.666666666666666</v>
      </c>
    </row>
    <row r="175" spans="1:10" ht="21.75" customHeight="1">
      <c r="A175" s="879" t="s">
        <v>76</v>
      </c>
      <c r="B175" s="919"/>
      <c r="C175" s="880"/>
      <c r="D175" s="228" t="s">
        <v>142</v>
      </c>
      <c r="E175" s="95">
        <f>'2'!F175</f>
        <v>22914</v>
      </c>
      <c r="F175" s="155">
        <v>22927</v>
      </c>
      <c r="G175" s="155">
        <f t="shared" si="14"/>
        <v>13</v>
      </c>
      <c r="H175" s="99">
        <f>G175+'2'!H175</f>
        <v>38</v>
      </c>
      <c r="I175" s="155"/>
      <c r="J175" s="178">
        <f>H175/DAY(B2)</f>
        <v>12.666666666666666</v>
      </c>
    </row>
    <row r="176" spans="1:10" ht="21.75" customHeight="1">
      <c r="A176" s="916" t="s">
        <v>196</v>
      </c>
      <c r="B176" s="917"/>
      <c r="C176" s="918"/>
      <c r="D176" s="228"/>
      <c r="E176" s="95"/>
      <c r="F176" s="155"/>
      <c r="G176" s="155">
        <f>SUM(G173:G175)</f>
        <v>28</v>
      </c>
      <c r="H176" s="99">
        <f>G176+'2'!H176</f>
        <v>89</v>
      </c>
      <c r="I176" s="155"/>
      <c r="J176" s="178">
        <f>H176/DAY(B2)</f>
        <v>29.666666666666668</v>
      </c>
    </row>
    <row r="177" spans="1:10" ht="21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79" t="s">
        <v>210</v>
      </c>
      <c r="B178" s="880"/>
      <c r="C178" s="333"/>
      <c r="D178" s="228" t="s">
        <v>142</v>
      </c>
      <c r="E178" s="95">
        <f>'2'!F178</f>
        <v>88841</v>
      </c>
      <c r="F178" s="157">
        <v>88947</v>
      </c>
      <c r="G178" s="155">
        <f>F178-E178</f>
        <v>106</v>
      </c>
      <c r="H178" s="99">
        <f>G178+'2'!H178</f>
        <v>344</v>
      </c>
      <c r="I178" s="155"/>
      <c r="J178" s="178">
        <f>H178/DAY(B2)</f>
        <v>114.66666666666667</v>
      </c>
    </row>
    <row r="179" spans="1:10" ht="24" customHeight="1">
      <c r="A179" s="879" t="s">
        <v>211</v>
      </c>
      <c r="B179" s="880"/>
      <c r="C179" s="333"/>
      <c r="D179" s="228" t="s">
        <v>142</v>
      </c>
      <c r="E179" s="95">
        <f>'2'!F179</f>
        <v>35773</v>
      </c>
      <c r="F179" s="155">
        <v>35773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879" t="s">
        <v>212</v>
      </c>
      <c r="B180" s="880"/>
      <c r="C180" s="333"/>
      <c r="D180" s="228" t="s">
        <v>142</v>
      </c>
      <c r="E180" s="95">
        <f>'2'!F180</f>
        <v>6400</v>
      </c>
      <c r="F180" s="155">
        <v>6411</v>
      </c>
      <c r="G180" s="155">
        <f t="shared" si="15"/>
        <v>11</v>
      </c>
      <c r="H180" s="99">
        <f>G180+'2'!H180</f>
        <v>22</v>
      </c>
      <c r="I180" s="155"/>
      <c r="J180" s="178">
        <f>H180/DAY(B2)</f>
        <v>7.333333333333333</v>
      </c>
    </row>
    <row r="181" spans="1:10" ht="26.25">
      <c r="A181" s="916" t="s">
        <v>196</v>
      </c>
      <c r="B181" s="917"/>
      <c r="C181" s="918"/>
      <c r="D181" s="228"/>
      <c r="E181" s="95"/>
      <c r="F181" s="155"/>
      <c r="G181" s="155">
        <f>SUM(G178:G180)</f>
        <v>117</v>
      </c>
      <c r="H181" s="99">
        <f>G181+'2'!H181</f>
        <v>366</v>
      </c>
      <c r="I181" s="155"/>
      <c r="J181" s="178">
        <f>H181/DAY(B2)</f>
        <v>122</v>
      </c>
    </row>
    <row r="182" spans="1:10" ht="27" customHeight="1">
      <c r="A182" s="879" t="s">
        <v>213</v>
      </c>
      <c r="B182" s="880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79" t="s">
        <v>214</v>
      </c>
      <c r="B183" s="880"/>
      <c r="C183" s="334"/>
      <c r="D183" s="228" t="s">
        <v>142</v>
      </c>
      <c r="E183" s="95">
        <f>'2'!F183</f>
        <v>16641</v>
      </c>
      <c r="F183" s="157">
        <v>16654</v>
      </c>
      <c r="G183" s="157">
        <f>F183-E183</f>
        <v>13</v>
      </c>
      <c r="H183" s="99">
        <f>G183+'2'!H183</f>
        <v>32</v>
      </c>
      <c r="I183" s="155"/>
      <c r="J183" s="178">
        <f>H183/DAY(B2)</f>
        <v>10.666666666666666</v>
      </c>
    </row>
    <row r="184" spans="1:10" ht="25.5" customHeight="1">
      <c r="A184" s="879" t="s">
        <v>215</v>
      </c>
      <c r="B184" s="880"/>
      <c r="C184" s="334"/>
      <c r="D184" s="228" t="s">
        <v>142</v>
      </c>
      <c r="E184" s="95">
        <f>'2'!F184</f>
        <v>11289</v>
      </c>
      <c r="F184" s="157">
        <v>11296</v>
      </c>
      <c r="G184" s="157">
        <f t="shared" ref="G184:G185" si="16">F184-E184</f>
        <v>7</v>
      </c>
      <c r="H184" s="99">
        <f>G184+'2'!H184</f>
        <v>22</v>
      </c>
      <c r="I184" s="155"/>
      <c r="J184" s="178">
        <f>H184/DAY(B2)</f>
        <v>7.333333333333333</v>
      </c>
    </row>
    <row r="185" spans="1:10" ht="25.5">
      <c r="A185" s="879" t="s">
        <v>216</v>
      </c>
      <c r="B185" s="880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916" t="s">
        <v>196</v>
      </c>
      <c r="B186" s="917"/>
      <c r="C186" s="918"/>
      <c r="D186" s="229"/>
      <c r="E186" s="95"/>
      <c r="F186" s="157"/>
      <c r="G186" s="157">
        <f>SUM(G183:G185)</f>
        <v>20</v>
      </c>
      <c r="H186" s="99">
        <f>G186+'2'!H186</f>
        <v>54</v>
      </c>
      <c r="I186" s="157"/>
      <c r="J186" s="178">
        <f>H186/DAY(B2)</f>
        <v>18</v>
      </c>
    </row>
    <row r="187" spans="1:10" ht="25.5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191</v>
      </c>
      <c r="H187" s="99">
        <f>G187+'2'!H187</f>
        <v>632</v>
      </c>
      <c r="I187" s="158"/>
      <c r="J187" s="179">
        <f>H187/DAY(B2)</f>
        <v>210.66666666666666</v>
      </c>
    </row>
    <row r="188" spans="1:10" ht="25.5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G188+'2'!H188</f>
        <v>644</v>
      </c>
      <c r="I188" s="158"/>
      <c r="J188" s="179">
        <f>H188/DAY(B2)</f>
        <v>214.66666666666666</v>
      </c>
    </row>
    <row r="189" spans="1:10" ht="25.5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117</v>
      </c>
      <c r="H189" s="99">
        <f>G189+'2'!H189</f>
        <v>366</v>
      </c>
      <c r="I189" s="158"/>
      <c r="J189" s="179">
        <f>H189/DAY(B2)</f>
        <v>122</v>
      </c>
    </row>
    <row r="190" spans="1:10" ht="25.5">
      <c r="A190" s="870"/>
      <c r="B190" s="871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zoomScale="55" zoomScaleNormal="48" zoomScaleSheetLayoutView="55" workbookViewId="0">
      <selection activeCell="F179" sqref="F1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354</v>
      </c>
      <c r="B2" s="262">
        <v>44685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34" t="s">
        <v>119</v>
      </c>
      <c r="F3" s="935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915656.95</v>
      </c>
      <c r="F7" s="95">
        <v>941714.95</v>
      </c>
      <c r="G7" s="112">
        <f>F7-E7</f>
        <v>26058</v>
      </c>
      <c r="H7" s="99">
        <f>G7+'3'!H7</f>
        <v>110663.94999999995</v>
      </c>
      <c r="I7" s="113">
        <f>'1'!I7</f>
        <v>12000</v>
      </c>
      <c r="J7" s="175">
        <f>H7/DAY(B2)</f>
        <v>27665.987499999988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5152.83</v>
      </c>
      <c r="F8" s="114">
        <v>31587.09</v>
      </c>
      <c r="G8" s="115">
        <f>F8-E8</f>
        <v>26434.260000000002</v>
      </c>
      <c r="H8" s="99">
        <f>G8+'3'!H8</f>
        <v>112464.37</v>
      </c>
      <c r="I8" s="116"/>
      <c r="J8" s="175">
        <f>H8/DAY(B2)</f>
        <v>28116.092499999999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1963042.7</v>
      </c>
      <c r="F9" s="117">
        <v>1985328.31</v>
      </c>
      <c r="G9" s="112">
        <f>F9-E9</f>
        <v>22285.610000000102</v>
      </c>
      <c r="H9" s="99">
        <f>G9+'3'!H9</f>
        <v>94293.310000000056</v>
      </c>
      <c r="I9" s="124">
        <f>I7-J7</f>
        <v>-15665.987499999988</v>
      </c>
      <c r="J9" s="175">
        <f>H9/DAY(B2)</f>
        <v>23573.327500000014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625619.43000000005</v>
      </c>
      <c r="F10" s="117">
        <v>628612.55000000005</v>
      </c>
      <c r="G10" s="112">
        <f t="shared" ref="G10:G12" si="0">F10-E10</f>
        <v>2993.1199999999953</v>
      </c>
      <c r="H10" s="99">
        <f>G10+'3'!H10</f>
        <v>13076.550000000047</v>
      </c>
      <c r="I10" s="282"/>
      <c r="J10" s="175">
        <f>H10/DAY(B2)</f>
        <v>3269.1375000000116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25278.730000000098</v>
      </c>
      <c r="H13" s="99">
        <f>G13+'3'!H13</f>
        <v>104853.6100000001</v>
      </c>
      <c r="I13" s="120">
        <f>G7-G13</f>
        <v>779.26999999990221</v>
      </c>
      <c r="J13" s="175">
        <f>H13/DAY(B2)</f>
        <v>26213.402500000026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2006978.14</v>
      </c>
      <c r="F15" s="470">
        <v>2008036.45</v>
      </c>
      <c r="G15" s="112">
        <f>(F15-E15)</f>
        <v>1058.3100000000559</v>
      </c>
      <c r="H15" s="99">
        <f>G15+'3'!H15</f>
        <v>4309.4499999999534</v>
      </c>
      <c r="I15" s="113">
        <f>'1'!I15</f>
        <v>800</v>
      </c>
      <c r="J15" s="175">
        <f>H15/DAY(B2)</f>
        <v>1077.3624999999884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-277.36249999998836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'3'!F18</f>
        <v>22</v>
      </c>
      <c r="F18" s="122">
        <v>20</v>
      </c>
      <c r="G18" s="119">
        <f>F18*10</f>
        <v>200</v>
      </c>
      <c r="H18" s="99">
        <f>G18+'3'!H18</f>
        <v>880</v>
      </c>
      <c r="I18" s="113">
        <f>'1'!I18</f>
        <v>65</v>
      </c>
      <c r="J18" s="175">
        <f>H18/DAY(B2)</f>
        <v>220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'3'!F19</f>
        <v>158614</v>
      </c>
      <c r="F19" s="122">
        <v>158668</v>
      </c>
      <c r="G19" s="112">
        <f t="shared" ref="G19" si="1">F19-E19</f>
        <v>54</v>
      </c>
      <c r="H19" s="99">
        <f>G19+'3'!H19</f>
        <v>214</v>
      </c>
      <c r="I19" s="335"/>
      <c r="J19" s="175">
        <f>H19/DAY(B2)</f>
        <v>53.5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254</v>
      </c>
      <c r="H20" s="99">
        <f>G20+'3'!H20</f>
        <v>1094</v>
      </c>
      <c r="I20" s="336">
        <f>I18-J20</f>
        <v>-208.5</v>
      </c>
      <c r="J20" s="175">
        <f>H20/DAY(B2)</f>
        <v>273.5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26434.260000000002</v>
      </c>
      <c r="F27" s="136">
        <v>9</v>
      </c>
      <c r="G27" s="137">
        <f>E27*F27</f>
        <v>237908.34000000003</v>
      </c>
      <c r="H27" s="99">
        <f>G27+'3'!H27</f>
        <v>1012179.3299999998</v>
      </c>
      <c r="I27" s="138"/>
      <c r="J27" s="175">
        <f>H27/DAY(B2)</f>
        <v>253044.83249999996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1058.3100000000559</v>
      </c>
      <c r="F28" s="136">
        <v>70</v>
      </c>
      <c r="G28" s="137">
        <f>E28*F28</f>
        <v>74081.700000003912</v>
      </c>
      <c r="H28" s="99">
        <f>G28+'3'!H28</f>
        <v>301661.49999999674</v>
      </c>
      <c r="I28" s="140"/>
      <c r="J28" s="175">
        <f>H28/DAY(B2)</f>
        <v>75415.374999999185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G30+'3'!H30</f>
        <v>32314</v>
      </c>
      <c r="I30" s="140"/>
      <c r="J30" s="175">
        <f>H30/DAY(B2)</f>
        <v>8078.5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G31+'3'!H31</f>
        <v>70400</v>
      </c>
      <c r="I31" s="140"/>
      <c r="J31" s="175">
        <f>H31/DAY(B2)</f>
        <v>17600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336144.04000000394</v>
      </c>
      <c r="H32" s="99">
        <f>G32+'3'!H32</f>
        <v>1416554.8299999966</v>
      </c>
      <c r="I32" s="144"/>
      <c r="J32" s="175">
        <f>H32/DAY(B2)</f>
        <v>354138.70749999915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209279</v>
      </c>
      <c r="F35" s="145">
        <v>211411.83</v>
      </c>
      <c r="G35" s="112">
        <f t="shared" ref="G35:G46" si="3">F35-E35</f>
        <v>2132.8299999999872</v>
      </c>
      <c r="H35" s="99">
        <f>G35+'3'!H35</f>
        <v>8526.8299999999872</v>
      </c>
      <c r="I35" s="95"/>
      <c r="J35" s="175">
        <f>H35/DAY(B2)</f>
        <v>2131.7074999999968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134345.63</v>
      </c>
      <c r="F36" s="145">
        <v>135250.16</v>
      </c>
      <c r="G36" s="112">
        <f t="shared" si="3"/>
        <v>904.52999999999884</v>
      </c>
      <c r="H36" s="99">
        <f>G36+'3'!H36</f>
        <v>3671.1600000000035</v>
      </c>
      <c r="I36" s="95"/>
      <c r="J36" s="175">
        <f>H36/DAY(B2)</f>
        <v>917.79000000000087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188167.75</v>
      </c>
      <c r="F37" s="145">
        <v>189790.79</v>
      </c>
      <c r="G37" s="112">
        <f t="shared" si="3"/>
        <v>1623.0400000000081</v>
      </c>
      <c r="H37" s="99">
        <f>G37+'3'!H37</f>
        <v>6665.7900000000081</v>
      </c>
      <c r="I37" s="95"/>
      <c r="J37" s="175">
        <f>H37/DAY(B2)</f>
        <v>1666.447500000002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250498.63</v>
      </c>
      <c r="F38" s="108">
        <v>252899.71</v>
      </c>
      <c r="G38" s="112">
        <f t="shared" si="3"/>
        <v>2401.0799999999872</v>
      </c>
      <c r="H38" s="99">
        <f>G38+'3'!H38</f>
        <v>9447.7099999999919</v>
      </c>
      <c r="I38" s="95"/>
      <c r="J38" s="175">
        <f>H38/DAY(B2)</f>
        <v>2361.927499999998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348408.31</v>
      </c>
      <c r="F39" s="145">
        <v>351300.99</v>
      </c>
      <c r="G39" s="112">
        <f t="shared" si="3"/>
        <v>2892.679999999993</v>
      </c>
      <c r="H39" s="99">
        <f>G39+'3'!H39</f>
        <v>11312.989999999991</v>
      </c>
      <c r="I39" s="95"/>
      <c r="J39" s="175">
        <f>H39/DAY(B2)</f>
        <v>2828.2474999999977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67284.28</v>
      </c>
      <c r="F40" s="145">
        <v>68052.98</v>
      </c>
      <c r="G40" s="112">
        <f t="shared" si="3"/>
        <v>768.69999999999709</v>
      </c>
      <c r="H40" s="99">
        <f>G40+'3'!H40</f>
        <v>3175.9799999999959</v>
      </c>
      <c r="I40" s="95"/>
      <c r="J40" s="175">
        <f>H40/DAY(B2)</f>
        <v>793.99499999999898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43024.43</v>
      </c>
      <c r="F41" s="145">
        <v>48569.33</v>
      </c>
      <c r="G41" s="112">
        <f t="shared" si="3"/>
        <v>5544.9000000000015</v>
      </c>
      <c r="H41" s="99">
        <f>G41+'3'!H41</f>
        <v>20876.330000000002</v>
      </c>
      <c r="I41" s="95"/>
      <c r="J41" s="175">
        <f>H41/DAY(B2)</f>
        <v>5219.0825000000004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439295.63</v>
      </c>
      <c r="F42" s="145">
        <v>442596.75</v>
      </c>
      <c r="G42" s="112">
        <f t="shared" si="3"/>
        <v>3301.1199999999953</v>
      </c>
      <c r="H42" s="99">
        <f>G42+'3'!H42</f>
        <v>16795.75</v>
      </c>
      <c r="I42" s="95"/>
      <c r="J42" s="175">
        <f>H42/DAY(B2)</f>
        <v>4198.9375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368274.63</v>
      </c>
      <c r="F43" s="145">
        <v>370777.95</v>
      </c>
      <c r="G43" s="112">
        <f t="shared" si="3"/>
        <v>2503.320000000007</v>
      </c>
      <c r="H43" s="99">
        <f>G43+'3'!H43</f>
        <v>13258.950000000012</v>
      </c>
      <c r="I43" s="95"/>
      <c r="J43" s="175">
        <f>H43/DAY(B2)</f>
        <v>3314.7375000000029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22072.199999999975</v>
      </c>
      <c r="H47" s="99">
        <f>G47+'3'!H47</f>
        <v>93731.489999999991</v>
      </c>
      <c r="I47" s="95"/>
      <c r="J47" s="175">
        <f>H47/DAY(B2)</f>
        <v>23432.872499999998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170660.95</v>
      </c>
      <c r="F49" s="424">
        <v>172517.65</v>
      </c>
      <c r="G49" s="112">
        <f t="shared" ref="G49:G58" si="4">F49-E49</f>
        <v>1856.6999999999825</v>
      </c>
      <c r="H49" s="99">
        <f>G49+'3'!H49</f>
        <v>7347.6499999999942</v>
      </c>
      <c r="I49" s="95"/>
      <c r="J49" s="175">
        <f>H49/DAY(B2)</f>
        <v>1836.9124999999985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176698.07</v>
      </c>
      <c r="F50" s="145">
        <v>177793.23</v>
      </c>
      <c r="G50" s="112">
        <f t="shared" si="4"/>
        <v>1095.1600000000035</v>
      </c>
      <c r="H50" s="99">
        <f>G50+'3'!H50</f>
        <v>5186.2300000000105</v>
      </c>
      <c r="I50" s="95"/>
      <c r="J50" s="175">
        <f>H50/DAY(B2)</f>
        <v>1296.5575000000026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75.680000000000007</v>
      </c>
      <c r="F51" s="145">
        <v>75.680000000000007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51505.04</v>
      </c>
      <c r="F54" s="145">
        <v>51981.8</v>
      </c>
      <c r="G54" s="112">
        <f t="shared" si="4"/>
        <v>476.76000000000204</v>
      </c>
      <c r="H54" s="99">
        <f>G54+'3'!H54</f>
        <v>1898.8000000000029</v>
      </c>
      <c r="I54" s="95"/>
      <c r="J54" s="175">
        <f>H54/DAY(B2)</f>
        <v>474.70000000000073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145222.93</v>
      </c>
      <c r="F55" s="145">
        <v>145222.93</v>
      </c>
      <c r="G55" s="112">
        <f t="shared" si="4"/>
        <v>0</v>
      </c>
      <c r="H55" s="99">
        <f>G55+'3'!H55</f>
        <v>255.92999999999302</v>
      </c>
      <c r="I55" s="95"/>
      <c r="J55" s="175">
        <f>H55/DAY(B2)</f>
        <v>63.982499999998254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107245.66</v>
      </c>
      <c r="F56" s="145">
        <v>107245.66</v>
      </c>
      <c r="G56" s="112">
        <f t="shared" si="4"/>
        <v>0</v>
      </c>
      <c r="H56" s="99">
        <f>G56+'3'!H56</f>
        <v>-0.33999999999650754</v>
      </c>
      <c r="I56" s="95"/>
      <c r="J56" s="175">
        <f>H56/DAY(B2)</f>
        <v>-8.4999999999126885E-2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26202.04</v>
      </c>
      <c r="F58" s="145">
        <v>26433.69</v>
      </c>
      <c r="G58" s="112">
        <f t="shared" si="4"/>
        <v>231.64999999999782</v>
      </c>
      <c r="H58" s="99">
        <f>G58+'3'!H58</f>
        <v>940.68999999999869</v>
      </c>
      <c r="I58" s="95"/>
      <c r="J58" s="175">
        <f>H58/DAY(B2)</f>
        <v>235.17249999999967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3660.2699999999859</v>
      </c>
      <c r="H59" s="99">
        <f>G59+'3'!H59</f>
        <v>15628.710000000003</v>
      </c>
      <c r="I59" s="95">
        <f>G7-G60</f>
        <v>325.53000000003885</v>
      </c>
      <c r="J59" s="175">
        <f>H59/DAY(B2)</f>
        <v>3907.1775000000007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25732.469999999961</v>
      </c>
      <c r="H60" s="99">
        <f>G60+'3'!H60</f>
        <v>109360.2</v>
      </c>
      <c r="I60" s="95">
        <f>G13-G60</f>
        <v>-453.73999999986336</v>
      </c>
      <c r="J60" s="175">
        <f>H60/DAY(B2)</f>
        <v>27340.05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'3'!F62</f>
        <v>284481</v>
      </c>
      <c r="F62" s="122">
        <v>284625</v>
      </c>
      <c r="G62" s="112">
        <f t="shared" ref="G62:G63" si="5">F62-E62</f>
        <v>144</v>
      </c>
      <c r="H62" s="99">
        <f>G62+'3'!H62</f>
        <v>616</v>
      </c>
      <c r="I62" s="118"/>
      <c r="J62" s="175">
        <f>H62/DAY(B2)</f>
        <v>154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'3'!F63</f>
        <v>227933</v>
      </c>
      <c r="F63" s="122">
        <v>228087</v>
      </c>
      <c r="G63" s="112">
        <f t="shared" si="5"/>
        <v>154</v>
      </c>
      <c r="H63" s="99">
        <f>G63+'3'!H63</f>
        <v>608</v>
      </c>
      <c r="I63" s="118"/>
      <c r="J63" s="175">
        <f>H63/DAY(B2)</f>
        <v>152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122"/>
      <c r="F64" s="122"/>
      <c r="G64" s="112">
        <f>G62+G63</f>
        <v>298</v>
      </c>
      <c r="H64" s="99">
        <f>G64+'3'!H64</f>
        <v>1224</v>
      </c>
      <c r="I64" s="118"/>
      <c r="J64" s="175">
        <f>H64/DAY(B2)</f>
        <v>306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'3'!F65</f>
        <v>444899</v>
      </c>
      <c r="F65" s="122">
        <v>444993</v>
      </c>
      <c r="G65" s="112">
        <f t="shared" ref="G65:G70" si="6">F65-E65</f>
        <v>94</v>
      </c>
      <c r="H65" s="99">
        <f>G65+'3'!H65</f>
        <v>401</v>
      </c>
      <c r="I65" s="118"/>
      <c r="J65" s="175">
        <f>H65/DAY(B2)</f>
        <v>100.25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109643</v>
      </c>
      <c r="F66" s="122">
        <v>109659</v>
      </c>
      <c r="G66" s="112">
        <f t="shared" si="6"/>
        <v>16</v>
      </c>
      <c r="H66" s="99">
        <f>G66+'3'!H66</f>
        <v>78</v>
      </c>
      <c r="I66" s="118"/>
      <c r="J66" s="175">
        <f>H66/DAY(B2)</f>
        <v>19.5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111124</v>
      </c>
      <c r="F67" s="122">
        <v>111199</v>
      </c>
      <c r="G67" s="112">
        <f t="shared" si="6"/>
        <v>75</v>
      </c>
      <c r="H67" s="99">
        <f>G67+'3'!H67</f>
        <v>299</v>
      </c>
      <c r="I67" s="118"/>
      <c r="J67" s="175">
        <f>H67/DAY(B2)</f>
        <v>74.75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161847</v>
      </c>
      <c r="F68" s="122">
        <v>161861</v>
      </c>
      <c r="G68" s="112">
        <f t="shared" si="6"/>
        <v>14</v>
      </c>
      <c r="H68" s="99">
        <f>G68+'3'!H68</f>
        <v>77</v>
      </c>
      <c r="I68" s="118"/>
      <c r="J68" s="175">
        <f>H68/DAY(B2)</f>
        <v>19.25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11624</v>
      </c>
      <c r="F69" s="164">
        <v>11637</v>
      </c>
      <c r="G69" s="112">
        <f t="shared" si="6"/>
        <v>13</v>
      </c>
      <c r="H69" s="99">
        <f>G69+'3'!H69</f>
        <v>39</v>
      </c>
      <c r="I69" s="118"/>
      <c r="J69" s="175">
        <f>H69/DAY(B2)</f>
        <v>9.75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9026</v>
      </c>
      <c r="F70" s="122">
        <v>9035</v>
      </c>
      <c r="G70" s="112">
        <f t="shared" si="6"/>
        <v>9</v>
      </c>
      <c r="H70" s="99">
        <f>G70+'3'!H70</f>
        <v>34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221</v>
      </c>
      <c r="H71" s="99">
        <f>G71+'3'!H71</f>
        <v>928</v>
      </c>
      <c r="I71" s="154"/>
      <c r="J71" s="175">
        <f>H71/DAY(B2)</f>
        <v>232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'3'!F74</f>
        <v>929709.14</v>
      </c>
      <c r="F74" s="117">
        <v>929989.61</v>
      </c>
      <c r="G74" s="112">
        <f t="shared" ref="G74:G78" si="7">F74-E74</f>
        <v>280.46999999997206</v>
      </c>
      <c r="H74" s="99">
        <f>G74+'3'!H74</f>
        <v>1212.609999999986</v>
      </c>
      <c r="I74" s="154"/>
      <c r="J74" s="175">
        <f>H74/DAY(B2)</f>
        <v>303.15249999999651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'3'!F76</f>
        <v>180492.71</v>
      </c>
      <c r="F76" s="123">
        <v>180620.94</v>
      </c>
      <c r="G76" s="112">
        <f t="shared" si="7"/>
        <v>128.23000000001048</v>
      </c>
      <c r="H76" s="99">
        <f>G76+'3'!H76</f>
        <v>466.94000000000233</v>
      </c>
      <c r="I76" s="154"/>
      <c r="J76" s="175">
        <f>H76/DAY(B2)</f>
        <v>116.73500000000058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'3'!F77</f>
        <v>45823.1</v>
      </c>
      <c r="F77" s="123">
        <v>45867.9</v>
      </c>
      <c r="G77" s="112">
        <f t="shared" si="7"/>
        <v>44.80000000000291</v>
      </c>
      <c r="H77" s="99">
        <f>G77+'3'!H77</f>
        <v>193.90000000000146</v>
      </c>
      <c r="I77" s="154"/>
      <c r="J77" s="175">
        <f>H77/DAY(B2)</f>
        <v>48.475000000000364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-0.3999999999996362</v>
      </c>
      <c r="I78" s="118"/>
      <c r="J78" s="175">
        <f>H78/DAY(B2)</f>
        <v>-9.9999999999909051E-2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'3'!F79</f>
        <v>0</v>
      </c>
      <c r="F79" s="117"/>
      <c r="G79" s="112">
        <f>G15-SUM(G74:G78)</f>
        <v>604.81000000007043</v>
      </c>
      <c r="H79" s="99">
        <f>G79+'3'!H79</f>
        <v>2436.3999999999633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>
        <f>SUM(G74:G79)</f>
        <v>1058.3100000000559</v>
      </c>
      <c r="H80" s="99">
        <f>G80+'3'!H80</f>
        <v>3205.4599999999627</v>
      </c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41859.15</v>
      </c>
      <c r="F84" s="164">
        <v>41883.18</v>
      </c>
      <c r="G84" s="236">
        <f t="shared" si="8"/>
        <v>24.029999999998836</v>
      </c>
      <c r="H84" s="99">
        <f>G84+'3'!H84</f>
        <v>91.180000000000291</v>
      </c>
      <c r="I84" s="575"/>
      <c r="J84" s="175">
        <f>H84/DAY(B2)</f>
        <v>22.795000000000073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3833.4</v>
      </c>
      <c r="F85" s="164">
        <v>3848.19</v>
      </c>
      <c r="G85" s="236">
        <f t="shared" si="8"/>
        <v>14.789999999999964</v>
      </c>
      <c r="H85" s="99">
        <f>G85+'3'!H85</f>
        <v>71.190000000000055</v>
      </c>
      <c r="I85" s="575"/>
      <c r="J85" s="175">
        <f>H85/DAY(B2)</f>
        <v>17.797500000000014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43941.120000000003</v>
      </c>
      <c r="F86" s="164">
        <v>43941.120000000003</v>
      </c>
      <c r="G86" s="112">
        <f t="shared" si="8"/>
        <v>0</v>
      </c>
      <c r="H86" s="99">
        <f>G86+'3'!H86</f>
        <v>2.1200000000026193</v>
      </c>
      <c r="I86" s="575"/>
      <c r="J86" s="175">
        <f>H86/DAY(B2)</f>
        <v>0.53000000000065484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35329.06</v>
      </c>
      <c r="F87" s="164">
        <v>35329.06</v>
      </c>
      <c r="G87" s="112">
        <f t="shared" si="8"/>
        <v>0</v>
      </c>
      <c r="H87" s="99">
        <f>G87+'3'!H87</f>
        <v>5.9999999997671694E-2</v>
      </c>
      <c r="I87" s="575">
        <f>G84+G85+G86+G87</f>
        <v>38.819999999998799</v>
      </c>
      <c r="J87" s="175">
        <f>H87/DAY(B2)</f>
        <v>1.4999999999417923E-2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24192.15</v>
      </c>
      <c r="F88" s="164">
        <v>24192.15</v>
      </c>
      <c r="G88" s="112">
        <f t="shared" si="8"/>
        <v>0</v>
      </c>
      <c r="H88" s="99">
        <f>G88+'3'!H88</f>
        <v>4.0300000000024738</v>
      </c>
      <c r="I88" s="575"/>
      <c r="J88" s="175">
        <f>H88/DAY(B2)</f>
        <v>1.0075000000006185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26738.799999999999</v>
      </c>
      <c r="F89" s="164">
        <v>26748.23</v>
      </c>
      <c r="G89" s="112">
        <f t="shared" si="8"/>
        <v>9.430000000000291</v>
      </c>
      <c r="H89" s="99">
        <f>G89+'3'!H89</f>
        <v>39.009999999998399</v>
      </c>
      <c r="I89" s="575">
        <f>G88+G89</f>
        <v>9.430000000000291</v>
      </c>
      <c r="J89" s="175">
        <f>H89/DAY(B2)</f>
        <v>9.7524999999995998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71887.740000000005</v>
      </c>
      <c r="F90" s="164">
        <v>71897.679999999993</v>
      </c>
      <c r="G90" s="112">
        <f t="shared" si="8"/>
        <v>9.9399999999877764</v>
      </c>
      <c r="H90" s="99">
        <f>G90+'3'!H90</f>
        <v>34.149999999994179</v>
      </c>
      <c r="I90" s="575">
        <f>G90</f>
        <v>9.9399999999877764</v>
      </c>
      <c r="J90" s="175">
        <f>H90/DAY(B2)</f>
        <v>8.5374999999985448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4093.42</v>
      </c>
      <c r="F91" s="122">
        <v>4103.71</v>
      </c>
      <c r="G91" s="112">
        <f t="shared" si="8"/>
        <v>10.289999999999964</v>
      </c>
      <c r="H91" s="99">
        <f>G91+'3'!H91</f>
        <v>44.470000000000255</v>
      </c>
      <c r="I91" s="594"/>
      <c r="J91" s="175">
        <f>H91/DAY(B2)</f>
        <v>11.117500000000064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5935</v>
      </c>
      <c r="F92" s="122">
        <v>5935</v>
      </c>
      <c r="G92" s="112">
        <f t="shared" si="8"/>
        <v>0</v>
      </c>
      <c r="H92" s="99">
        <f>G92+'3'!H92</f>
        <v>0</v>
      </c>
      <c r="I92" s="600">
        <f>G91+G92</f>
        <v>10.289999999999964</v>
      </c>
      <c r="J92" s="175">
        <f>H92/DAY(B2)</f>
        <v>0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6492.8499999999767</v>
      </c>
      <c r="H94" s="99">
        <f>G94+'3'!H94</f>
        <v>29133.429999999993</v>
      </c>
      <c r="I94" s="118"/>
      <c r="J94" s="175">
        <f>H94/DAY(B2)</f>
        <v>7283.3574999999983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0.24916916110215584</v>
      </c>
      <c r="H95" s="99">
        <f>G95+'3'!H95</f>
        <v>1.0518315544419845</v>
      </c>
      <c r="I95" s="167"/>
      <c r="J95" s="175">
        <f>H95/DAY(B2)</f>
        <v>0.26295788861049613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8846.0199999999968</v>
      </c>
      <c r="H96" s="99">
        <f>G96+'3'!H96</f>
        <v>37927.67</v>
      </c>
      <c r="I96" s="118"/>
      <c r="J96" s="175">
        <f>H96/DAY(B2)</f>
        <v>9481.9174999999996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0.33947424975055634</v>
      </c>
      <c r="H97" s="99">
        <f>G97+'3'!H97</f>
        <v>1.3703221944015409</v>
      </c>
      <c r="I97" s="167"/>
      <c r="J97" s="175">
        <f>H97/DAY(B2)</f>
        <v>0.34258054860038523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2892.679999999993</v>
      </c>
      <c r="H98" s="99">
        <f>G98+'3'!H98</f>
        <v>11312.989999999991</v>
      </c>
      <c r="I98" s="168"/>
      <c r="J98" s="175">
        <f>H98/DAY(B2)</f>
        <v>2828.2474999999977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0.11100928697520888</v>
      </c>
      <c r="H99" s="99">
        <f>G99+'3'!H99</f>
        <v>0.41000888502515792</v>
      </c>
      <c r="I99" s="168"/>
      <c r="J99" s="175">
        <f>H99/DAY(B2)</f>
        <v>0.10250222125628948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2401.0799999999872</v>
      </c>
      <c r="H100" s="99">
        <f>G100+'3'!H100</f>
        <v>9447.4599999999919</v>
      </c>
      <c r="I100" s="118"/>
      <c r="J100" s="175">
        <f>H100/DAY(B2)</f>
        <v>2361.864999999998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9.2143679484226998E-2</v>
      </c>
      <c r="H101" s="99">
        <f>G101+'3'!H101</f>
        <v>0.3422310530464322</v>
      </c>
      <c r="I101" s="168"/>
      <c r="J101" s="175">
        <f>H101/DAY(B2)</f>
        <v>8.555776326160805E-2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1999.6900000000023</v>
      </c>
      <c r="H102" s="99">
        <f>G102+'3'!H102</f>
        <v>8857.390000000014</v>
      </c>
      <c r="I102" s="168"/>
      <c r="J102" s="175">
        <f>H102/DAY(B2)</f>
        <v>2214.3475000000035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7.6739964694143917E-2</v>
      </c>
      <c r="H103" s="99">
        <f>G103+'3'!H103</f>
        <v>0.31937719059556791</v>
      </c>
      <c r="I103" s="118"/>
      <c r="J103" s="175">
        <f>H103/DAY(B2)</f>
        <v>7.9844297648891976E-2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1623.0400000000081</v>
      </c>
      <c r="H104" s="99">
        <f>G104+'3'!H104</f>
        <v>6665.7900000000081</v>
      </c>
      <c r="I104" s="118"/>
      <c r="J104" s="175">
        <f>H104/DAY(B2)</f>
        <v>1666.447500000002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6.2285670427508183E-2</v>
      </c>
      <c r="H105" s="99">
        <f>G105+'3'!H105</f>
        <v>0.24128416011328629</v>
      </c>
      <c r="I105" s="187"/>
      <c r="J105" s="188">
        <f>H105/DAY(B2)</f>
        <v>6.0321040028321574E-2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'3'!F112</f>
        <v>479.12</v>
      </c>
      <c r="F112" s="237">
        <v>556.87</v>
      </c>
      <c r="G112" s="112">
        <f t="shared" ref="G112:G123" si="9">F112-E112</f>
        <v>77.75</v>
      </c>
      <c r="H112" s="99">
        <f>G112+'3'!H112</f>
        <v>313.87</v>
      </c>
      <c r="I112" s="165"/>
      <c r="J112" s="328">
        <f>H112/DAY(B2)</f>
        <v>78.467500000000001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'3'!F113</f>
        <v>940.17</v>
      </c>
      <c r="F113" s="237">
        <v>1095.23</v>
      </c>
      <c r="G113" s="112">
        <f t="shared" si="9"/>
        <v>155.06000000000006</v>
      </c>
      <c r="H113" s="99">
        <f>G113+'3'!H113</f>
        <v>613.23</v>
      </c>
      <c r="I113" s="165"/>
      <c r="J113" s="328">
        <f>H113/DAY(B2)</f>
        <v>153.3075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'3'!F114</f>
        <v>1312.5</v>
      </c>
      <c r="F114" s="237">
        <v>1531.13</v>
      </c>
      <c r="G114" s="112">
        <f t="shared" si="9"/>
        <v>218.63000000000011</v>
      </c>
      <c r="H114" s="99">
        <f>G114+'3'!H114</f>
        <v>867.13000000000011</v>
      </c>
      <c r="I114" s="165"/>
      <c r="J114" s="328">
        <f>H114/DAY(B2)</f>
        <v>216.78250000000003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'3'!F115</f>
        <v>985.55</v>
      </c>
      <c r="F115" s="237">
        <v>1168.29</v>
      </c>
      <c r="G115" s="112">
        <f t="shared" si="9"/>
        <v>182.74</v>
      </c>
      <c r="H115" s="99">
        <f>G115+'3'!H115</f>
        <v>657.29</v>
      </c>
      <c r="I115" s="165"/>
      <c r="J115" s="328">
        <f>H115/DAY(B2)</f>
        <v>164.32249999999999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'3'!F116</f>
        <v>35604.14</v>
      </c>
      <c r="F116" s="237">
        <v>35916.83</v>
      </c>
      <c r="G116" s="112">
        <f t="shared" si="9"/>
        <v>312.69000000000233</v>
      </c>
      <c r="H116" s="99">
        <f>G116+'3'!H116</f>
        <v>1250.8300000000017</v>
      </c>
      <c r="I116" s="165"/>
      <c r="J116" s="328">
        <f>H116/DAY(B2)</f>
        <v>312.70750000000044</v>
      </c>
      <c r="Q116" s="886" t="s">
        <v>311</v>
      </c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'3'!F117</f>
        <v>19438.95</v>
      </c>
      <c r="F117" s="237">
        <v>19626.740000000002</v>
      </c>
      <c r="G117" s="112">
        <f t="shared" si="9"/>
        <v>187.79000000000087</v>
      </c>
      <c r="H117" s="99">
        <f>G117+'3'!H117</f>
        <v>690.7400000000016</v>
      </c>
      <c r="I117" s="165"/>
      <c r="J117" s="328">
        <f>H117/DAY(B2)</f>
        <v>172.6850000000004</v>
      </c>
      <c r="Q117" s="886" t="s">
        <v>312</v>
      </c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'3'!F118</f>
        <v>10645.87</v>
      </c>
      <c r="F118" s="237">
        <v>11216.75</v>
      </c>
      <c r="G118" s="112">
        <f t="shared" si="9"/>
        <v>570.8799999999992</v>
      </c>
      <c r="H118" s="99">
        <f>G118+'3'!H118</f>
        <v>2153.75</v>
      </c>
      <c r="I118" s="165"/>
      <c r="J118" s="328">
        <f>H118/DAY(B2)</f>
        <v>538.4375</v>
      </c>
      <c r="Q118" s="886" t="s">
        <v>311</v>
      </c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'3'!F119</f>
        <v>7207.1</v>
      </c>
      <c r="F119" s="237">
        <v>7628.11</v>
      </c>
      <c r="G119" s="112">
        <f t="shared" si="9"/>
        <v>421.00999999999931</v>
      </c>
      <c r="H119" s="99">
        <f>G119+'3'!H119</f>
        <v>1725.1099999999997</v>
      </c>
      <c r="I119" s="165"/>
      <c r="J119" s="328">
        <f>H119/DAY(B2)</f>
        <v>431.27749999999992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'3'!F120</f>
        <v>8437.24</v>
      </c>
      <c r="F120" s="237">
        <v>8853.91</v>
      </c>
      <c r="G120" s="112">
        <f t="shared" si="9"/>
        <v>416.67000000000007</v>
      </c>
      <c r="H120" s="99">
        <f>G120+'3'!H120</f>
        <v>1718.9099999999999</v>
      </c>
      <c r="I120" s="165"/>
      <c r="J120" s="328">
        <f>H120/DAY(B2)</f>
        <v>429.72749999999996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'3'!F121</f>
        <v>13076.38</v>
      </c>
      <c r="F121" s="237">
        <v>13525.32</v>
      </c>
      <c r="G121" s="112">
        <f t="shared" si="9"/>
        <v>448.94000000000051</v>
      </c>
      <c r="H121" s="99">
        <f>G121+'3'!H121</f>
        <v>1798.3199999999997</v>
      </c>
      <c r="I121" s="165"/>
      <c r="J121" s="328">
        <f>H121/DAY(B2)</f>
        <v>449.57999999999993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'3'!F122</f>
        <v>4149.75</v>
      </c>
      <c r="F122" s="237">
        <v>4344.76</v>
      </c>
      <c r="G122" s="112">
        <f t="shared" si="9"/>
        <v>195.01000000000022</v>
      </c>
      <c r="H122" s="99">
        <f>G122+'3'!H122</f>
        <v>780.76000000000022</v>
      </c>
      <c r="I122" s="165"/>
      <c r="J122" s="328">
        <f>H122/DAY(B2)</f>
        <v>195.19000000000005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'3'!F123</f>
        <v>1905.12</v>
      </c>
      <c r="F123" s="237">
        <v>2232.88</v>
      </c>
      <c r="G123" s="112">
        <f t="shared" si="9"/>
        <v>327.76000000000022</v>
      </c>
      <c r="H123" s="99">
        <f>G123+'3'!H123</f>
        <v>1265.8800000000001</v>
      </c>
      <c r="I123" s="165"/>
      <c r="J123" s="328">
        <f>H123/DAY(B2)</f>
        <v>316.47000000000003</v>
      </c>
    </row>
    <row r="124" spans="1:18" ht="29.25" customHeight="1">
      <c r="A124" s="890"/>
      <c r="B124" s="891"/>
      <c r="C124" s="892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61" t="s">
        <v>196</v>
      </c>
      <c r="B125" s="462"/>
      <c r="C125" s="463"/>
      <c r="D125" s="307"/>
      <c r="E125" s="308"/>
      <c r="F125" s="308"/>
      <c r="G125" s="309">
        <f>SUM(G112:G124)</f>
        <v>3514.930000000003</v>
      </c>
      <c r="H125" s="156"/>
      <c r="I125" s="327">
        <f>G125-(G39+G53)</f>
        <v>622.25000000001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'3'!F128</f>
        <v>82612.75</v>
      </c>
      <c r="F128" s="165">
        <v>82989.05</v>
      </c>
      <c r="G128" s="112">
        <f t="shared" ref="G128:G134" si="10">F128-E128</f>
        <v>376.30000000000291</v>
      </c>
      <c r="H128" s="99">
        <f>G128+'3'!H128</f>
        <v>1574.0500000000029</v>
      </c>
      <c r="I128" s="165"/>
      <c r="J128" s="328">
        <f>H128/DAY(B2)</f>
        <v>393.51250000000073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51909.98</v>
      </c>
      <c r="F129" s="165">
        <v>52194.05</v>
      </c>
      <c r="G129" s="112">
        <f t="shared" si="10"/>
        <v>284.06999999999971</v>
      </c>
      <c r="H129" s="99">
        <f>G129+'3'!H129</f>
        <v>1122.0500000000029</v>
      </c>
      <c r="I129" s="165"/>
      <c r="J129" s="328">
        <f>H129/DAY(B2)</f>
        <v>280.51250000000073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98770.71</v>
      </c>
      <c r="F130" s="165">
        <v>99555.55</v>
      </c>
      <c r="G130" s="112">
        <f t="shared" si="10"/>
        <v>784.83999999999651</v>
      </c>
      <c r="H130" s="99">
        <f>G130+'3'!H130</f>
        <v>2909.5500000000029</v>
      </c>
      <c r="I130" s="165"/>
      <c r="J130" s="328">
        <f>H130/DAY(B2)</f>
        <v>727.38750000000073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'3'!F131</f>
        <v>31021.200000000001</v>
      </c>
      <c r="F131" s="165">
        <v>31227.29</v>
      </c>
      <c r="G131" s="112">
        <f t="shared" si="10"/>
        <v>206.09000000000015</v>
      </c>
      <c r="H131" s="99">
        <f>G131+'3'!H131</f>
        <v>792.29000000000087</v>
      </c>
      <c r="I131" s="165"/>
      <c r="J131" s="328">
        <f>H131/DAY(B2)</f>
        <v>198.07250000000022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'3'!F132</f>
        <v>90465.79</v>
      </c>
      <c r="F132" s="165">
        <v>90983.75</v>
      </c>
      <c r="G132" s="112">
        <f t="shared" si="10"/>
        <v>517.9600000000064</v>
      </c>
      <c r="H132" s="99">
        <f>G132+'3'!H132</f>
        <v>2046.75</v>
      </c>
      <c r="I132" s="165"/>
      <c r="J132" s="328">
        <f>H132/DAY(B2)</f>
        <v>511.6875</v>
      </c>
    </row>
    <row r="133" spans="1:15" ht="25.5">
      <c r="A133" s="886" t="s">
        <v>323</v>
      </c>
      <c r="B133" s="887"/>
      <c r="C133" s="888"/>
      <c r="D133" s="151" t="s">
        <v>183</v>
      </c>
      <c r="E133" s="95">
        <f>'3'!F133</f>
        <v>175063</v>
      </c>
      <c r="F133" s="165">
        <v>175939.07</v>
      </c>
      <c r="G133" s="112">
        <f t="shared" si="10"/>
        <v>876.07000000000698</v>
      </c>
      <c r="H133" s="99">
        <f>G133+'3'!H133</f>
        <v>3493.070000000007</v>
      </c>
      <c r="I133" s="165"/>
      <c r="J133" s="328">
        <f>H133/DAY(B2)</f>
        <v>873.26750000000175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'3'!F134</f>
        <v>28825.29</v>
      </c>
      <c r="F134" s="165">
        <v>29064.52</v>
      </c>
      <c r="G134" s="112">
        <f t="shared" si="10"/>
        <v>239.22999999999956</v>
      </c>
      <c r="H134" s="99">
        <f>G134+'3'!H134</f>
        <v>971.52000000000044</v>
      </c>
      <c r="I134" s="165"/>
      <c r="J134" s="328">
        <f>H134/DAY(B2)</f>
        <v>242.88000000000011</v>
      </c>
    </row>
    <row r="135" spans="1:15" ht="26.25">
      <c r="A135" s="916" t="s">
        <v>196</v>
      </c>
      <c r="B135" s="917"/>
      <c r="C135" s="918"/>
      <c r="D135" s="151"/>
      <c r="E135" s="95"/>
      <c r="F135" s="165"/>
      <c r="G135" s="112">
        <f>SUM(G128:G134)</f>
        <v>3284.5600000000122</v>
      </c>
      <c r="H135" s="99">
        <f>G135+'3'!H135</f>
        <v>12909.280000000017</v>
      </c>
      <c r="I135" s="327">
        <f>G135-(G35+G49)</f>
        <v>-704.96999999995751</v>
      </c>
      <c r="J135" s="328">
        <f>H135/DAY(B2)</f>
        <v>3227.3200000000043</v>
      </c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'3'!F138</f>
        <v>879230</v>
      </c>
      <c r="F138" s="147">
        <v>879371</v>
      </c>
      <c r="G138" s="112">
        <f t="shared" ref="G138:G152" si="11">F138-E138</f>
        <v>141</v>
      </c>
      <c r="H138" s="99">
        <f>G138+'3'!H138</f>
        <v>587</v>
      </c>
      <c r="I138" s="118"/>
      <c r="J138" s="328">
        <f>H138/DAY(B2)</f>
        <v>146.75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'3'!F139</f>
        <v>895300</v>
      </c>
      <c r="F139" s="148">
        <v>895473</v>
      </c>
      <c r="G139" s="112">
        <f t="shared" si="11"/>
        <v>173</v>
      </c>
      <c r="H139" s="99">
        <f>G139+'3'!H139</f>
        <v>607</v>
      </c>
      <c r="I139" s="118"/>
      <c r="J139" s="328">
        <f>H139/DAY(B2)</f>
        <v>151.75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'3'!F140</f>
        <v>175.71</v>
      </c>
      <c r="F140" s="149">
        <v>190.98</v>
      </c>
      <c r="G140" s="112">
        <f t="shared" si="11"/>
        <v>15.269999999999982</v>
      </c>
      <c r="H140" s="99">
        <f>G140+'3'!H140</f>
        <v>55.97999999999999</v>
      </c>
      <c r="I140" s="118"/>
      <c r="J140" s="328">
        <f>H140/DAY(B2)</f>
        <v>13.994999999999997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'3'!F141</f>
        <v>72406.77</v>
      </c>
      <c r="F141" s="149">
        <v>72606.61</v>
      </c>
      <c r="G141" s="112">
        <f t="shared" si="11"/>
        <v>199.83999999999651</v>
      </c>
      <c r="H141" s="99">
        <f>G141+'3'!H141</f>
        <v>832.61000000000058</v>
      </c>
      <c r="I141" s="118"/>
      <c r="J141" s="328">
        <f>H141/DAY(B2)</f>
        <v>208.15250000000015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'3'!F142</f>
        <v>27667.71</v>
      </c>
      <c r="F142" s="148">
        <v>27735.83</v>
      </c>
      <c r="G142" s="112">
        <f t="shared" si="11"/>
        <v>68.120000000002619</v>
      </c>
      <c r="H142" s="99">
        <f>G142+'3'!H142</f>
        <v>269.83000000000175</v>
      </c>
      <c r="I142" s="140"/>
      <c r="J142" s="328">
        <f>H142/DAY(B2)</f>
        <v>67.457500000000437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'3'!F143</f>
        <v>6494.41</v>
      </c>
      <c r="F143" s="149">
        <v>6521.46</v>
      </c>
      <c r="G143" s="112">
        <f t="shared" si="11"/>
        <v>27.050000000000182</v>
      </c>
      <c r="H143" s="99">
        <f>G143+'3'!H143</f>
        <v>104.46000000000004</v>
      </c>
      <c r="I143" s="140"/>
      <c r="J143" s="328">
        <f>H143/DAY(B2)</f>
        <v>26.115000000000009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'3'!F144</f>
        <v>897977</v>
      </c>
      <c r="F144" s="149">
        <v>898244</v>
      </c>
      <c r="G144" s="112">
        <f t="shared" si="11"/>
        <v>267</v>
      </c>
      <c r="H144" s="99">
        <f>G144+'3'!H144</f>
        <v>1011</v>
      </c>
      <c r="I144" s="140"/>
      <c r="J144" s="328">
        <f>H144/DAY(B2)</f>
        <v>252.75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'3'!F145</f>
        <v>5635.03</v>
      </c>
      <c r="F145" s="149">
        <v>5637.53</v>
      </c>
      <c r="G145" s="112">
        <f t="shared" si="11"/>
        <v>2.5</v>
      </c>
      <c r="H145" s="99">
        <f>G145+'3'!H145</f>
        <v>9.5299999999997453</v>
      </c>
      <c r="I145" s="140"/>
      <c r="J145" s="328">
        <f>H145/DAY(B2)</f>
        <v>2.3824999999999363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'3'!F146</f>
        <v>776512</v>
      </c>
      <c r="F146" s="148">
        <v>776557</v>
      </c>
      <c r="G146" s="112">
        <f t="shared" si="11"/>
        <v>45</v>
      </c>
      <c r="H146" s="99">
        <f>G146+'3'!H146</f>
        <v>103</v>
      </c>
      <c r="I146" s="140"/>
      <c r="J146" s="328">
        <f>H146/DAY(B2)</f>
        <v>25.75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'3'!F147</f>
        <v>664405.43999999994</v>
      </c>
      <c r="F147" s="148">
        <v>664817.80000000005</v>
      </c>
      <c r="G147" s="112">
        <f t="shared" si="11"/>
        <v>412.36000000010245</v>
      </c>
      <c r="H147" s="99">
        <f>G147+'3'!H147</f>
        <v>1589.8000000000466</v>
      </c>
      <c r="I147" s="140"/>
      <c r="J147" s="328">
        <f>H147/DAY(B2)</f>
        <v>397.45000000001164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'3'!F148</f>
        <v>720958</v>
      </c>
      <c r="F148" s="150">
        <v>721264.56</v>
      </c>
      <c r="G148" s="112">
        <f t="shared" si="11"/>
        <v>306.56000000005588</v>
      </c>
      <c r="H148" s="99">
        <f>G148+'3'!H148</f>
        <v>1348.5600000000559</v>
      </c>
      <c r="I148" s="124"/>
      <c r="J148" s="328">
        <f>H148/DAY(B2)</f>
        <v>337.14000000001397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'3'!F149</f>
        <v>85117.64</v>
      </c>
      <c r="F149" s="146">
        <v>85675.59</v>
      </c>
      <c r="G149" s="112">
        <f t="shared" si="11"/>
        <v>557.94999999999709</v>
      </c>
      <c r="H149" s="99">
        <f>G149+'3'!H149</f>
        <v>2287.5899999999965</v>
      </c>
      <c r="I149" s="119"/>
      <c r="J149" s="328">
        <f>H149/DAY(B2)</f>
        <v>571.89749999999913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'3'!F150</f>
        <v>31242.73</v>
      </c>
      <c r="F150" s="233">
        <v>31457.79</v>
      </c>
      <c r="G150" s="112">
        <f t="shared" si="11"/>
        <v>215.06000000000131</v>
      </c>
      <c r="H150" s="99">
        <f>G150+'3'!H150</f>
        <v>870.79000000000087</v>
      </c>
      <c r="I150" s="119"/>
      <c r="J150" s="328">
        <f>H150/DAY(B2)</f>
        <v>217.69750000000022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'3'!F151</f>
        <v>110109</v>
      </c>
      <c r="F151" s="233">
        <v>110408</v>
      </c>
      <c r="G151" s="112">
        <f t="shared" si="11"/>
        <v>299</v>
      </c>
      <c r="H151" s="99">
        <f>G151+'3'!H151</f>
        <v>1180</v>
      </c>
      <c r="I151" s="119"/>
      <c r="J151" s="328">
        <f>H151/DAY(B2)</f>
        <v>295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'3'!F152</f>
        <v>11536.85</v>
      </c>
      <c r="F152" s="233">
        <v>11684.09</v>
      </c>
      <c r="G152" s="112">
        <f t="shared" si="11"/>
        <v>147.23999999999978</v>
      </c>
      <c r="H152" s="99">
        <f>G152+'3'!H152</f>
        <v>528.09000000000015</v>
      </c>
      <c r="I152" s="119"/>
      <c r="J152" s="328">
        <f>H152/DAY(B2)</f>
        <v>132.02250000000004</v>
      </c>
    </row>
    <row r="153" spans="1:10" ht="26.25">
      <c r="A153" s="916" t="s">
        <v>196</v>
      </c>
      <c r="B153" s="917"/>
      <c r="C153" s="918"/>
      <c r="D153" s="358"/>
      <c r="E153" s="360"/>
      <c r="F153" s="361"/>
      <c r="G153" s="362">
        <f>SUM(G138:G152)</f>
        <v>2876.9500000001558</v>
      </c>
      <c r="H153" s="363"/>
      <c r="I153" s="119">
        <f>G153-(G38+G52)</f>
        <v>475.8700000001686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'3'!F155</f>
        <v>94649.51</v>
      </c>
      <c r="F155" s="374">
        <v>95290.07</v>
      </c>
      <c r="G155" s="112">
        <f t="shared" ref="G155:G158" si="12">F155-E155</f>
        <v>640.56000000001222</v>
      </c>
      <c r="H155" s="99">
        <f>G155+'3'!H155</f>
        <v>2558.070000000007</v>
      </c>
      <c r="I155" s="364"/>
      <c r="J155" s="328">
        <f>H155/DAY(B2)</f>
        <v>639.51750000000175</v>
      </c>
    </row>
    <row r="156" spans="1:10" ht="25.5">
      <c r="A156" s="864" t="s">
        <v>346</v>
      </c>
      <c r="B156" s="864"/>
      <c r="C156" s="864"/>
      <c r="D156" s="117" t="s">
        <v>130</v>
      </c>
      <c r="E156" s="95">
        <f>'3'!F156</f>
        <v>7891.13</v>
      </c>
      <c r="F156" s="155">
        <v>7957.42</v>
      </c>
      <c r="G156" s="112">
        <f t="shared" si="12"/>
        <v>66.289999999999964</v>
      </c>
      <c r="H156" s="99">
        <f>G156+'3'!H156</f>
        <v>266.42000000000007</v>
      </c>
      <c r="I156" s="165"/>
      <c r="J156" s="328">
        <f>H156/DAY(B2)</f>
        <v>66.605000000000018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'3'!F157</f>
        <v>13836.62</v>
      </c>
      <c r="F157" s="155">
        <v>13946.97</v>
      </c>
      <c r="G157" s="112">
        <f t="shared" si="12"/>
        <v>110.34999999999854</v>
      </c>
      <c r="H157" s="99">
        <f>G157+'3'!H157</f>
        <v>450.96999999999935</v>
      </c>
      <c r="I157" s="165"/>
      <c r="J157" s="328">
        <f>H157/DAY(B2)</f>
        <v>112.74249999999984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'3'!F158</f>
        <v>124.07</v>
      </c>
      <c r="F158" s="155">
        <v>124.32</v>
      </c>
      <c r="G158" s="112">
        <f t="shared" si="12"/>
        <v>0.25</v>
      </c>
      <c r="H158" s="99">
        <f>G158+'3'!H158</f>
        <v>44.779999999999987</v>
      </c>
      <c r="I158" s="165"/>
      <c r="J158" s="328">
        <f>H158/DAY(B2)</f>
        <v>11.194999999999997</v>
      </c>
    </row>
    <row r="159" spans="1:10" ht="25.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474855.48</v>
      </c>
      <c r="F161" s="235">
        <v>474879.84</v>
      </c>
      <c r="G161" s="238">
        <f t="shared" ref="G161:G168" si="13">F161-E161</f>
        <v>24.360000000044238</v>
      </c>
      <c r="H161" s="99">
        <f>G161+'3'!H161</f>
        <v>96.840000000025611</v>
      </c>
      <c r="I161" s="236"/>
      <c r="J161" s="239">
        <f>H161/DAY(B2)</f>
        <v>24.210000000006403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91649.1</v>
      </c>
      <c r="F162" s="235">
        <v>91689</v>
      </c>
      <c r="G162" s="238">
        <f t="shared" si="13"/>
        <v>39.899999999994179</v>
      </c>
      <c r="H162" s="99">
        <f>G162+'3'!H162</f>
        <v>142</v>
      </c>
      <c r="I162" s="236"/>
      <c r="J162" s="239">
        <f>H162/DAY(B2)</f>
        <v>35.5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92536</v>
      </c>
      <c r="F163" s="235">
        <v>92711.9</v>
      </c>
      <c r="G163" s="238">
        <f t="shared" si="13"/>
        <v>175.89999999999418</v>
      </c>
      <c r="H163" s="99">
        <f>G163+'3'!H163</f>
        <v>675.89999999999418</v>
      </c>
      <c r="I163" s="236"/>
      <c r="J163" s="239">
        <f>H163/DAY(B2)</f>
        <v>168.97499999999854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5213</v>
      </c>
      <c r="F164" s="235">
        <v>5225.6000000000004</v>
      </c>
      <c r="G164" s="238">
        <f t="shared" si="13"/>
        <v>12.600000000000364</v>
      </c>
      <c r="H164" s="99">
        <f>G164+'3'!H164</f>
        <v>43.600000000000364</v>
      </c>
      <c r="I164" s="236"/>
      <c r="J164" s="239">
        <f>H164/DAY(B2)</f>
        <v>10.900000000000091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30671.89</v>
      </c>
      <c r="F165" s="235">
        <v>30683.29</v>
      </c>
      <c r="G165" s="238">
        <f t="shared" si="13"/>
        <v>11.400000000001455</v>
      </c>
      <c r="H165" s="99">
        <f>G165+'3'!H165</f>
        <v>49.290000000000873</v>
      </c>
      <c r="I165" s="236"/>
      <c r="J165" s="239">
        <f>H165/DAY(B2)</f>
        <v>12.322500000000218</v>
      </c>
    </row>
    <row r="166" spans="1:10" ht="26.25">
      <c r="A166" s="873"/>
      <c r="B166" s="873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873"/>
      <c r="B167" s="873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873"/>
      <c r="B168" s="873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'3'!F173</f>
        <v>8265</v>
      </c>
      <c r="F173" s="155">
        <v>8265</v>
      </c>
      <c r="G173" s="155">
        <f>F173-E173</f>
        <v>0</v>
      </c>
      <c r="H173" s="99">
        <f>G173+'3'!H173</f>
        <v>4</v>
      </c>
      <c r="I173" s="155"/>
      <c r="J173" s="178">
        <f>H173/DAY(B2)</f>
        <v>1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'3'!F174</f>
        <v>39975</v>
      </c>
      <c r="F174" s="157">
        <v>39989</v>
      </c>
      <c r="G174" s="155">
        <f t="shared" ref="G174:G175" si="14">F174-E174</f>
        <v>14</v>
      </c>
      <c r="H174" s="99">
        <f>G174+'3'!H174</f>
        <v>61</v>
      </c>
      <c r="I174" s="155"/>
      <c r="J174" s="178">
        <f>H174/DAY(B2)</f>
        <v>15.25</v>
      </c>
    </row>
    <row r="175" spans="1:10" ht="25.5" customHeight="1">
      <c r="A175" s="879" t="s">
        <v>76</v>
      </c>
      <c r="B175" s="919"/>
      <c r="C175" s="880"/>
      <c r="D175" s="228" t="s">
        <v>142</v>
      </c>
      <c r="E175" s="95">
        <f>'3'!F175</f>
        <v>22927</v>
      </c>
      <c r="F175" s="155">
        <v>22938</v>
      </c>
      <c r="G175" s="155">
        <f t="shared" si="14"/>
        <v>11</v>
      </c>
      <c r="H175" s="99">
        <f>G175+'3'!H175</f>
        <v>49</v>
      </c>
      <c r="I175" s="155"/>
      <c r="J175" s="178">
        <f>H175/DAY(B2)</f>
        <v>12.25</v>
      </c>
    </row>
    <row r="176" spans="1:10" ht="24.75" customHeight="1">
      <c r="A176" s="916" t="s">
        <v>196</v>
      </c>
      <c r="B176" s="917"/>
      <c r="C176" s="918"/>
      <c r="D176" s="228"/>
      <c r="E176" s="95"/>
      <c r="F176" s="155"/>
      <c r="G176" s="155">
        <f>SUM(G173:G175)</f>
        <v>25</v>
      </c>
      <c r="H176" s="99">
        <f>G176+'3'!H176</f>
        <v>114</v>
      </c>
      <c r="I176" s="155"/>
      <c r="J176" s="178">
        <f>H176/DAY(B2)</f>
        <v>28.5</v>
      </c>
    </row>
    <row r="177" spans="1:10" ht="28.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79" t="s">
        <v>210</v>
      </c>
      <c r="B178" s="880"/>
      <c r="C178" s="333"/>
      <c r="D178" s="228" t="s">
        <v>142</v>
      </c>
      <c r="E178" s="95">
        <f>'3'!F178</f>
        <v>88947</v>
      </c>
      <c r="F178" s="157">
        <v>89034</v>
      </c>
      <c r="G178" s="155">
        <f>F178-E178</f>
        <v>87</v>
      </c>
      <c r="H178" s="99">
        <f>G178+'3'!H178</f>
        <v>431</v>
      </c>
      <c r="I178" s="155"/>
      <c r="J178" s="178">
        <f>H178/DAY(B2)</f>
        <v>107.75</v>
      </c>
    </row>
    <row r="179" spans="1:10" ht="24" customHeight="1">
      <c r="A179" s="879" t="s">
        <v>211</v>
      </c>
      <c r="B179" s="880"/>
      <c r="C179" s="333"/>
      <c r="D179" s="228" t="s">
        <v>142</v>
      </c>
      <c r="E179" s="95">
        <f>'3'!F179</f>
        <v>35773</v>
      </c>
      <c r="F179" s="155">
        <v>35773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'3'!F180</f>
        <v>6411</v>
      </c>
      <c r="F180" s="155">
        <v>6415</v>
      </c>
      <c r="G180" s="155">
        <f t="shared" si="15"/>
        <v>4</v>
      </c>
      <c r="H180" s="99">
        <f>G180+'3'!H180</f>
        <v>26</v>
      </c>
      <c r="I180" s="155"/>
      <c r="J180" s="178">
        <f>H180/DAY(B2)</f>
        <v>6.5</v>
      </c>
    </row>
    <row r="181" spans="1:10" ht="21.95" customHeight="1">
      <c r="A181" s="916" t="s">
        <v>196</v>
      </c>
      <c r="B181" s="917"/>
      <c r="C181" s="918"/>
      <c r="D181" s="228"/>
      <c r="E181" s="95"/>
      <c r="F181" s="155"/>
      <c r="G181" s="155">
        <f>SUM(G178:G180)</f>
        <v>91</v>
      </c>
      <c r="H181" s="99">
        <f>G181+'3'!H181</f>
        <v>457</v>
      </c>
      <c r="I181" s="155"/>
      <c r="J181" s="178">
        <f>H181/DAY(B2)</f>
        <v>114.25</v>
      </c>
    </row>
    <row r="182" spans="1:10" ht="21.95" customHeight="1">
      <c r="A182" s="879" t="s">
        <v>213</v>
      </c>
      <c r="B182" s="880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'3'!F183</f>
        <v>16654</v>
      </c>
      <c r="F183" s="157">
        <v>16669</v>
      </c>
      <c r="G183" s="157">
        <f>F183-E183</f>
        <v>15</v>
      </c>
      <c r="H183" s="99">
        <f>G183+'3'!H183</f>
        <v>47</v>
      </c>
      <c r="I183" s="155"/>
      <c r="J183" s="178">
        <f>H183/DAY(B2)</f>
        <v>11.75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'3'!F184</f>
        <v>11296</v>
      </c>
      <c r="F184" s="157">
        <v>11301</v>
      </c>
      <c r="G184" s="157">
        <f t="shared" ref="G184:G185" si="16">F184-E184</f>
        <v>5</v>
      </c>
      <c r="H184" s="99">
        <f>G184+'3'!H184</f>
        <v>27</v>
      </c>
      <c r="I184" s="155"/>
      <c r="J184" s="178">
        <f>H184/DAY(B2)</f>
        <v>6.75</v>
      </c>
    </row>
    <row r="185" spans="1:10" ht="25.5">
      <c r="A185" s="879" t="s">
        <v>216</v>
      </c>
      <c r="B185" s="880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916" t="s">
        <v>196</v>
      </c>
      <c r="B186" s="917"/>
      <c r="C186" s="918"/>
      <c r="D186" s="229"/>
      <c r="E186" s="95"/>
      <c r="F186" s="157"/>
      <c r="G186" s="157">
        <f>SUM(G183:G185)</f>
        <v>20</v>
      </c>
      <c r="H186" s="99">
        <f>G186+'3'!H186</f>
        <v>74</v>
      </c>
      <c r="I186" s="157"/>
      <c r="J186" s="178">
        <f>H186/DAY(B2)</f>
        <v>18.5</v>
      </c>
    </row>
    <row r="187" spans="1:10" ht="25.5" customHeight="1">
      <c r="A187" s="870" t="s">
        <v>217</v>
      </c>
      <c r="B187" s="871"/>
      <c r="C187" s="333"/>
      <c r="D187" s="230" t="s">
        <v>142</v>
      </c>
      <c r="E187" s="95"/>
      <c r="F187" s="99"/>
      <c r="G187" s="378">
        <f>G62+G19</f>
        <v>198</v>
      </c>
      <c r="H187" s="99">
        <f>G187+'3'!H187</f>
        <v>830</v>
      </c>
      <c r="I187" s="158"/>
      <c r="J187" s="179">
        <f>H187/DAY(B2)</f>
        <v>207.5</v>
      </c>
    </row>
    <row r="188" spans="1:10" ht="25.5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G188+'3'!H188</f>
        <v>851</v>
      </c>
      <c r="I188" s="158"/>
      <c r="J188" s="179">
        <f>H188/DAY(B2)</f>
        <v>212.75</v>
      </c>
    </row>
    <row r="189" spans="1:10" ht="25.5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91</v>
      </c>
      <c r="H189" s="99">
        <f>G189+'3'!H189</f>
        <v>457</v>
      </c>
      <c r="I189" s="158"/>
      <c r="J189" s="179">
        <f>H189/DAY(B2)</f>
        <v>114.25</v>
      </c>
    </row>
    <row r="190" spans="1:10" ht="25.5">
      <c r="A190" s="870"/>
      <c r="B190" s="871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4" zoomScale="51" zoomScaleNormal="48" zoomScaleSheetLayoutView="51" workbookViewId="0">
      <selection activeCell="F77" sqref="F7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354</v>
      </c>
      <c r="B2" s="262">
        <v>44686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941714.95</v>
      </c>
      <c r="F7" s="95">
        <v>968433.11</v>
      </c>
      <c r="G7" s="112">
        <f>F7-E7</f>
        <v>26718.160000000033</v>
      </c>
      <c r="H7" s="99">
        <f>G7+'4'!H7</f>
        <v>137382.10999999999</v>
      </c>
      <c r="I7" s="113">
        <f>'1'!I7</f>
        <v>12000</v>
      </c>
      <c r="J7" s="175">
        <f>H7/DAY(B2)</f>
        <v>27476.421999999999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31587.09</v>
      </c>
      <c r="F8" s="114">
        <v>58844.92</v>
      </c>
      <c r="G8" s="115">
        <f>F8-E8</f>
        <v>27257.829999999998</v>
      </c>
      <c r="H8" s="99">
        <f>G8+'4'!H8</f>
        <v>139722.19999999998</v>
      </c>
      <c r="I8" s="116"/>
      <c r="J8" s="175">
        <f>H8/DAY(B2)</f>
        <v>27944.439999999995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1985328.31</v>
      </c>
      <c r="F9" s="117">
        <v>2004819.9</v>
      </c>
      <c r="G9" s="112">
        <f>F9-E9</f>
        <v>19491.589999999851</v>
      </c>
      <c r="H9" s="99">
        <f>G9+'4'!H9</f>
        <v>113784.89999999991</v>
      </c>
      <c r="I9" s="124">
        <f>I7-J7</f>
        <v>-15476.421999999999</v>
      </c>
      <c r="J9" s="175">
        <f>H9/DAY(B2)</f>
        <v>22756.979999999981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628612.55000000005</v>
      </c>
      <c r="F10" s="117">
        <v>635093.51</v>
      </c>
      <c r="G10" s="112">
        <f t="shared" ref="G10:G12" si="0">F10-E10</f>
        <v>6480.9599999999627</v>
      </c>
      <c r="H10" s="99">
        <f>G10+'4'!H10</f>
        <v>19557.510000000009</v>
      </c>
      <c r="I10" s="282"/>
      <c r="J10" s="175">
        <f>H10/DAY(B2)</f>
        <v>3911.5020000000018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25972.549999999814</v>
      </c>
      <c r="H13" s="99">
        <f>G13+'4'!H13</f>
        <v>130826.15999999992</v>
      </c>
      <c r="I13" s="120">
        <f>G7-G13</f>
        <v>745.61000000021886</v>
      </c>
      <c r="J13" s="175">
        <f>H13/DAY(B2)</f>
        <v>26165.231999999982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'4'!F15</f>
        <v>2008036.45</v>
      </c>
      <c r="F15" s="470">
        <v>2009110.4</v>
      </c>
      <c r="G15" s="112">
        <f>(F15-E15)</f>
        <v>1073.9499999999534</v>
      </c>
      <c r="H15" s="99">
        <f>G15+'4'!H15</f>
        <v>5383.3999999999069</v>
      </c>
      <c r="I15" s="113">
        <f>'1'!I15</f>
        <v>800</v>
      </c>
      <c r="J15" s="175">
        <f>H15/DAY(B2)</f>
        <v>1076.6799999999814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-276.67999999998142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'4'!F18</f>
        <v>20</v>
      </c>
      <c r="F18" s="122">
        <v>22</v>
      </c>
      <c r="G18" s="119">
        <f>F18*10</f>
        <v>220</v>
      </c>
      <c r="H18" s="99">
        <f>G18+'4'!H18</f>
        <v>1100</v>
      </c>
      <c r="I18" s="113">
        <f>'1'!I18</f>
        <v>65</v>
      </c>
      <c r="J18" s="175">
        <f>H18/DAY(B2)</f>
        <v>220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'4'!F19</f>
        <v>158668</v>
      </c>
      <c r="F19" s="122">
        <v>158722</v>
      </c>
      <c r="G19" s="112">
        <f t="shared" ref="G19" si="1">F19-E19</f>
        <v>54</v>
      </c>
      <c r="H19" s="99">
        <f>G19+'4'!H19</f>
        <v>268</v>
      </c>
      <c r="I19" s="335"/>
      <c r="J19" s="175">
        <f>H19/DAY(B2)</f>
        <v>53.6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G20+'4'!H20</f>
        <v>1368</v>
      </c>
      <c r="I20" s="336">
        <f>I18-J20</f>
        <v>-208.60000000000002</v>
      </c>
      <c r="J20" s="175">
        <f>H20/DAY(B2)</f>
        <v>273.60000000000002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27257.829999999998</v>
      </c>
      <c r="F27" s="136">
        <v>9</v>
      </c>
      <c r="G27" s="137">
        <f>E27*F27</f>
        <v>245320.46999999997</v>
      </c>
      <c r="H27" s="99">
        <f>G27+'4'!H27</f>
        <v>1257499.7999999998</v>
      </c>
      <c r="I27" s="138"/>
      <c r="J27" s="175">
        <f>H27/DAY(B2)</f>
        <v>251499.95999999996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1073.9499999999534</v>
      </c>
      <c r="F28" s="136">
        <v>70</v>
      </c>
      <c r="G28" s="137">
        <f>E28*F28</f>
        <v>75176.49999999674</v>
      </c>
      <c r="H28" s="99">
        <f>G28+'4'!H28</f>
        <v>376837.99999999348</v>
      </c>
      <c r="I28" s="140"/>
      <c r="J28" s="175">
        <f>H28/DAY(B2)</f>
        <v>75367.599999998696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G30+'4'!H30</f>
        <v>40468</v>
      </c>
      <c r="I30" s="140"/>
      <c r="J30" s="175">
        <f>H30/DAY(B2)</f>
        <v>8093.6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G31+'4'!H31</f>
        <v>88000</v>
      </c>
      <c r="I31" s="140"/>
      <c r="J31" s="175">
        <f>H31/DAY(B2)</f>
        <v>17600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346250.96999999671</v>
      </c>
      <c r="H32" s="99">
        <f>G32+'4'!H32</f>
        <v>1762805.7999999933</v>
      </c>
      <c r="I32" s="144"/>
      <c r="J32" s="175">
        <f>H32/DAY(B2)</f>
        <v>352561.15999999864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211411.83</v>
      </c>
      <c r="F35" s="145">
        <v>213506.23</v>
      </c>
      <c r="G35" s="112">
        <f t="shared" ref="G35:G46" si="3">F35-E35</f>
        <v>2094.4000000000233</v>
      </c>
      <c r="H35" s="99">
        <f>G35+'4'!H35</f>
        <v>10621.23000000001</v>
      </c>
      <c r="I35" s="95"/>
      <c r="J35" s="175">
        <f>H35/DAY(B2)</f>
        <v>2124.2460000000019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135250.16</v>
      </c>
      <c r="F36" s="145">
        <v>136230.26999999999</v>
      </c>
      <c r="G36" s="112">
        <f t="shared" si="3"/>
        <v>980.10999999998603</v>
      </c>
      <c r="H36" s="99">
        <f>G36+'4'!H36</f>
        <v>4651.2699999999895</v>
      </c>
      <c r="I36" s="95"/>
      <c r="J36" s="175">
        <f>H36/DAY(B2)</f>
        <v>930.25399999999786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189790.79</v>
      </c>
      <c r="F37" s="145">
        <v>191377.33</v>
      </c>
      <c r="G37" s="112">
        <f t="shared" si="3"/>
        <v>1586.539999999979</v>
      </c>
      <c r="H37" s="99">
        <f>G37+'4'!H37</f>
        <v>8252.3299999999872</v>
      </c>
      <c r="I37" s="95"/>
      <c r="J37" s="175">
        <f>H37/DAY(B2)</f>
        <v>1650.4659999999974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252899.71</v>
      </c>
      <c r="F38" s="108">
        <v>255399.29</v>
      </c>
      <c r="G38" s="112">
        <f t="shared" si="3"/>
        <v>2499.5800000000163</v>
      </c>
      <c r="H38" s="99">
        <f>G38+'4'!H38</f>
        <v>11947.290000000008</v>
      </c>
      <c r="I38" s="95"/>
      <c r="J38" s="175">
        <f>H38/DAY(B2)</f>
        <v>2389.4580000000014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351300.99</v>
      </c>
      <c r="F39" s="145">
        <v>354224.99</v>
      </c>
      <c r="G39" s="112">
        <f t="shared" si="3"/>
        <v>2924</v>
      </c>
      <c r="H39" s="99">
        <f>G39+'4'!H39</f>
        <v>14236.989999999991</v>
      </c>
      <c r="I39" s="95"/>
      <c r="J39" s="175">
        <f>H39/DAY(B2)</f>
        <v>2847.3979999999983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68052.98</v>
      </c>
      <c r="F40" s="145">
        <v>68678.36</v>
      </c>
      <c r="G40" s="112">
        <f t="shared" si="3"/>
        <v>625.38000000000466</v>
      </c>
      <c r="H40" s="99">
        <f>G40+'4'!H40</f>
        <v>3801.3600000000006</v>
      </c>
      <c r="I40" s="95"/>
      <c r="J40" s="175">
        <f>H40/DAY(B2)</f>
        <v>760.27200000000016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48569.33</v>
      </c>
      <c r="F41" s="145">
        <v>54165.11</v>
      </c>
      <c r="G41" s="112">
        <f t="shared" si="3"/>
        <v>5595.7799999999988</v>
      </c>
      <c r="H41" s="99">
        <f>G41+'4'!H41</f>
        <v>26472.11</v>
      </c>
      <c r="I41" s="95"/>
      <c r="J41" s="175">
        <f>H41/DAY(B2)</f>
        <v>5294.4220000000005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442596.75</v>
      </c>
      <c r="F42" s="145">
        <v>442596.75</v>
      </c>
      <c r="G42" s="112">
        <f t="shared" si="3"/>
        <v>0</v>
      </c>
      <c r="H42" s="99">
        <f>G42+'4'!H42</f>
        <v>16795.75</v>
      </c>
      <c r="I42" s="95"/>
      <c r="J42" s="175">
        <f>H42/DAY(B2)</f>
        <v>3359.15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370777.95</v>
      </c>
      <c r="F43" s="145">
        <v>373372.83</v>
      </c>
      <c r="G43" s="112">
        <f t="shared" si="3"/>
        <v>2594.8800000000047</v>
      </c>
      <c r="H43" s="99">
        <f>G43+'4'!H43</f>
        <v>15853.830000000016</v>
      </c>
      <c r="I43" s="95"/>
      <c r="J43" s="175">
        <f>H43/DAY(B2)</f>
        <v>3170.7660000000033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18900.670000000013</v>
      </c>
      <c r="H47" s="99">
        <f>G47+'4'!H47</f>
        <v>112632.16</v>
      </c>
      <c r="I47" s="95"/>
      <c r="J47" s="175">
        <f>H47/DAY(B2)</f>
        <v>22526.432000000001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172517.65</v>
      </c>
      <c r="F49" s="145">
        <v>174419.03</v>
      </c>
      <c r="G49" s="112">
        <f t="shared" ref="G49:G58" si="4">F49-E49</f>
        <v>1901.3800000000047</v>
      </c>
      <c r="H49" s="99">
        <f>G49+'4'!H49</f>
        <v>9249.0299999999988</v>
      </c>
      <c r="I49" s="95"/>
      <c r="J49" s="175">
        <f>H49/DAY(B2)</f>
        <v>1849.8059999999998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177793.23</v>
      </c>
      <c r="F50" s="145">
        <v>178903.37</v>
      </c>
      <c r="G50" s="112">
        <f t="shared" si="4"/>
        <v>1110.1399999999849</v>
      </c>
      <c r="H50" s="99">
        <f>G50+'4'!H50</f>
        <v>6296.3699999999953</v>
      </c>
      <c r="I50" s="95"/>
      <c r="J50" s="175">
        <f>H50/DAY(B2)</f>
        <v>1259.273999999999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75.680000000000007</v>
      </c>
      <c r="F51" s="145">
        <v>75.680000000000007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51981.8</v>
      </c>
      <c r="F54" s="145">
        <v>52451.49</v>
      </c>
      <c r="G54" s="112">
        <f t="shared" si="4"/>
        <v>469.68999999999505</v>
      </c>
      <c r="H54" s="99">
        <f>G54+'4'!H54</f>
        <v>2368.489999999998</v>
      </c>
      <c r="I54" s="95"/>
      <c r="J54" s="175">
        <f>H54/DAY(B2)</f>
        <v>473.69799999999958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145222.93</v>
      </c>
      <c r="F55" s="145">
        <v>147642.93</v>
      </c>
      <c r="G55" s="112">
        <f t="shared" si="4"/>
        <v>2420</v>
      </c>
      <c r="H55" s="99">
        <f>G55+'4'!H55</f>
        <v>2675.929999999993</v>
      </c>
      <c r="I55" s="95"/>
      <c r="J55" s="175">
        <f>H55/DAY(B2)</f>
        <v>535.18599999999856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107245.66</v>
      </c>
      <c r="F56" s="145">
        <v>107245.66</v>
      </c>
      <c r="G56" s="112">
        <f t="shared" si="4"/>
        <v>0</v>
      </c>
      <c r="H56" s="99">
        <f>G56+'4'!H56</f>
        <v>-0.33999999999650754</v>
      </c>
      <c r="I56" s="95"/>
      <c r="J56" s="175">
        <f>H56/DAY(B2)</f>
        <v>-6.7999999999301508E-2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26433.69</v>
      </c>
      <c r="F58" s="145">
        <v>26684.09</v>
      </c>
      <c r="G58" s="112">
        <f t="shared" si="4"/>
        <v>250.40000000000146</v>
      </c>
      <c r="H58" s="99">
        <f>G58+'4'!H58</f>
        <v>1191.0900000000001</v>
      </c>
      <c r="I58" s="95"/>
      <c r="J58" s="175">
        <f>H58/DAY(B2)</f>
        <v>238.21800000000002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6151.6199999999862</v>
      </c>
      <c r="H59" s="99">
        <f>G59+'4'!H59</f>
        <v>21780.329999999987</v>
      </c>
      <c r="I59" s="95">
        <f>G7-G60</f>
        <v>1665.8700000000317</v>
      </c>
      <c r="J59" s="175">
        <f>H59/DAY(B2)</f>
        <v>4356.0659999999971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25052.29</v>
      </c>
      <c r="H60" s="99">
        <f>G60+'4'!H60</f>
        <v>134412.49</v>
      </c>
      <c r="I60" s="95">
        <f>G13-G60</f>
        <v>920.25999999981286</v>
      </c>
      <c r="J60" s="175">
        <f>H60/DAY(B2)</f>
        <v>26882.498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'4'!F62</f>
        <v>284625</v>
      </c>
      <c r="F62" s="122">
        <v>284784</v>
      </c>
      <c r="G62" s="112">
        <f t="shared" ref="G62:G63" si="5">F62-E62</f>
        <v>159</v>
      </c>
      <c r="H62" s="99">
        <f>G62+'4'!H62</f>
        <v>775</v>
      </c>
      <c r="I62" s="118"/>
      <c r="J62" s="175">
        <f>H62/DAY(B2)</f>
        <v>155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'4'!F63</f>
        <v>228087</v>
      </c>
      <c r="F63" s="122">
        <v>228231</v>
      </c>
      <c r="G63" s="112">
        <f t="shared" si="5"/>
        <v>144</v>
      </c>
      <c r="H63" s="99">
        <f>G63+'4'!H63</f>
        <v>752</v>
      </c>
      <c r="I63" s="118"/>
      <c r="J63" s="175">
        <f>H63/DAY(B2)</f>
        <v>150.4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'4'!F64</f>
        <v>0</v>
      </c>
      <c r="F64" s="122"/>
      <c r="G64" s="112">
        <f>G62+G63</f>
        <v>303</v>
      </c>
      <c r="H64" s="99">
        <f>G64+'4'!H64</f>
        <v>1527</v>
      </c>
      <c r="I64" s="118"/>
      <c r="J64" s="175">
        <f>H64/DAY(B2)</f>
        <v>305.39999999999998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'4'!F65</f>
        <v>444993</v>
      </c>
      <c r="F65" s="122">
        <v>445099</v>
      </c>
      <c r="G65" s="112">
        <f t="shared" ref="G65:G70" si="6">F65-E65</f>
        <v>106</v>
      </c>
      <c r="H65" s="99">
        <f>G65+'4'!H65</f>
        <v>507</v>
      </c>
      <c r="I65" s="118"/>
      <c r="J65" s="175">
        <f>H65/DAY(B2)</f>
        <v>101.4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109659</v>
      </c>
      <c r="F66" s="122">
        <v>109677</v>
      </c>
      <c r="G66" s="112">
        <f t="shared" si="6"/>
        <v>18</v>
      </c>
      <c r="H66" s="99">
        <f>G66+'4'!H66</f>
        <v>96</v>
      </c>
      <c r="I66" s="118"/>
      <c r="J66" s="175">
        <f>H66/DAY(B2)</f>
        <v>19.2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111199</v>
      </c>
      <c r="F67" s="122">
        <v>111275</v>
      </c>
      <c r="G67" s="112">
        <f t="shared" si="6"/>
        <v>76</v>
      </c>
      <c r="H67" s="99">
        <f>G67+'4'!H67</f>
        <v>375</v>
      </c>
      <c r="I67" s="118"/>
      <c r="J67" s="175">
        <f>H67/DAY(B2)</f>
        <v>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161861</v>
      </c>
      <c r="F68" s="122">
        <v>161874</v>
      </c>
      <c r="G68" s="112">
        <f t="shared" si="6"/>
        <v>13</v>
      </c>
      <c r="H68" s="99">
        <f>G68+'4'!H68</f>
        <v>90</v>
      </c>
      <c r="I68" s="118"/>
      <c r="J68" s="175">
        <f>H68/DAY(B2)</f>
        <v>18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11637</v>
      </c>
      <c r="F69" s="122">
        <v>11645</v>
      </c>
      <c r="G69" s="112">
        <f t="shared" si="6"/>
        <v>8</v>
      </c>
      <c r="H69" s="99">
        <f>G69+'4'!H69</f>
        <v>47</v>
      </c>
      <c r="I69" s="118"/>
      <c r="J69" s="175">
        <f>H69/DAY(B2)</f>
        <v>9.4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9035</v>
      </c>
      <c r="F70" s="122">
        <v>9048</v>
      </c>
      <c r="G70" s="112">
        <f t="shared" si="6"/>
        <v>13</v>
      </c>
      <c r="H70" s="99">
        <f>G70+'4'!H70</f>
        <v>47</v>
      </c>
      <c r="I70" s="118"/>
      <c r="J70" s="175">
        <f>H70/DAY(B2)</f>
        <v>9.4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234</v>
      </c>
      <c r="H71" s="99">
        <f>G71+'4'!H71</f>
        <v>1162</v>
      </c>
      <c r="I71" s="154"/>
      <c r="J71" s="175">
        <f>H71/DAY(B2)</f>
        <v>232.4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'4'!F74</f>
        <v>929989.61</v>
      </c>
      <c r="F74" s="123">
        <v>930284.22</v>
      </c>
      <c r="G74" s="112">
        <f t="shared" ref="G74:G78" si="7">F74-E74</f>
        <v>294.60999999998603</v>
      </c>
      <c r="H74" s="99">
        <f>G74+'4'!H74</f>
        <v>1507.2199999999721</v>
      </c>
      <c r="I74" s="154"/>
      <c r="J74" s="175">
        <f>H74/DAY(B2)</f>
        <v>301.44399999999439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'4'!F76</f>
        <v>180620.94</v>
      </c>
      <c r="F76" s="123">
        <v>180729.85</v>
      </c>
      <c r="G76" s="112">
        <f t="shared" si="7"/>
        <v>108.91000000000349</v>
      </c>
      <c r="H76" s="99">
        <f>G76+'4'!H76</f>
        <v>575.85000000000582</v>
      </c>
      <c r="I76" s="154"/>
      <c r="J76" s="175">
        <f>H76/DAY(B2)</f>
        <v>115.17000000000117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'4'!F77</f>
        <v>45867.9</v>
      </c>
      <c r="F77" s="123">
        <v>45908</v>
      </c>
      <c r="G77" s="112">
        <f t="shared" si="7"/>
        <v>40.099999999998545</v>
      </c>
      <c r="H77" s="99">
        <f>G77+'4'!H77</f>
        <v>234</v>
      </c>
      <c r="I77" s="154"/>
      <c r="J77" s="175">
        <f>H77/DAY(B2)</f>
        <v>46.8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117"/>
      <c r="F79" s="117"/>
      <c r="G79" s="112">
        <f>G15-SUM(G74:G78)</f>
        <v>629.92999999996573</v>
      </c>
      <c r="H79" s="99">
        <f>G79+'4'!H79</f>
        <v>3066.329999999929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>
        <f>SUM(G74:G79)</f>
        <v>1073.9499999999534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41883.18</v>
      </c>
      <c r="F84" s="164">
        <v>41907.18</v>
      </c>
      <c r="G84" s="112">
        <f t="shared" si="8"/>
        <v>24</v>
      </c>
      <c r="H84" s="99">
        <f>G84+'4'!H84</f>
        <v>115.18000000000029</v>
      </c>
      <c r="I84" s="575"/>
      <c r="J84" s="175">
        <f>H84/DAY(B2)</f>
        <v>23.036000000000058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3848.19</v>
      </c>
      <c r="F85" s="164">
        <v>3848.19</v>
      </c>
      <c r="G85" s="112">
        <f t="shared" si="8"/>
        <v>0</v>
      </c>
      <c r="H85" s="99">
        <f>G85+'4'!H85</f>
        <v>71.190000000000055</v>
      </c>
      <c r="I85" s="575"/>
      <c r="J85" s="175">
        <f>H85/DAY(B2)</f>
        <v>14.23800000000001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43941.120000000003</v>
      </c>
      <c r="F86" s="164">
        <v>43957.39</v>
      </c>
      <c r="G86" s="112">
        <f t="shared" si="8"/>
        <v>16.269999999996799</v>
      </c>
      <c r="H86" s="99">
        <f>G86+'4'!H86</f>
        <v>18.389999999999418</v>
      </c>
      <c r="I86" s="575"/>
      <c r="J86" s="175">
        <f>H86/DAY(B2)</f>
        <v>3.6779999999998836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35329.06</v>
      </c>
      <c r="F87" s="164">
        <v>35329.06</v>
      </c>
      <c r="G87" s="112">
        <f t="shared" si="8"/>
        <v>0</v>
      </c>
      <c r="H87" s="99">
        <f>G87+'4'!H87</f>
        <v>5.9999999997671694E-2</v>
      </c>
      <c r="I87" s="575">
        <f>G84+G85+G86+G87</f>
        <v>40.269999999996799</v>
      </c>
      <c r="J87" s="175">
        <f>H87/DAY(B2)</f>
        <v>1.1999999999534338E-2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24192.15</v>
      </c>
      <c r="F88" s="164">
        <v>24198.400000000001</v>
      </c>
      <c r="G88" s="112">
        <f t="shared" si="8"/>
        <v>6.25</v>
      </c>
      <c r="H88" s="99">
        <f>G88+'4'!H88</f>
        <v>10.280000000002474</v>
      </c>
      <c r="I88" s="575"/>
      <c r="J88" s="175">
        <f>H88/DAY(B2)</f>
        <v>2.0560000000004948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26748.23</v>
      </c>
      <c r="F89" s="164">
        <v>26759</v>
      </c>
      <c r="G89" s="112">
        <f t="shared" si="8"/>
        <v>10.770000000000437</v>
      </c>
      <c r="H89" s="99">
        <f>G89+'4'!H89</f>
        <v>49.779999999998836</v>
      </c>
      <c r="I89" s="575">
        <f>G88+G89</f>
        <v>17.020000000000437</v>
      </c>
      <c r="J89" s="175">
        <f>H89/DAY(B2)</f>
        <v>9.9559999999997668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71897.679999999993</v>
      </c>
      <c r="F90" s="164">
        <v>71897.679999999993</v>
      </c>
      <c r="G90" s="112">
        <f t="shared" si="8"/>
        <v>0</v>
      </c>
      <c r="H90" s="99">
        <f>G90+'4'!H90</f>
        <v>34.149999999994179</v>
      </c>
      <c r="I90" s="575">
        <f>G90</f>
        <v>0</v>
      </c>
      <c r="J90" s="175">
        <f>H90/DAY(B2)</f>
        <v>6.8299999999988357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4103.71</v>
      </c>
      <c r="F91" s="122">
        <v>4114.55</v>
      </c>
      <c r="G91" s="112">
        <f t="shared" si="8"/>
        <v>10.840000000000146</v>
      </c>
      <c r="H91" s="99">
        <f>G91+'4'!H91</f>
        <v>55.3100000000004</v>
      </c>
      <c r="I91" s="594"/>
      <c r="J91" s="175">
        <f>H91/DAY(B2)</f>
        <v>11.062000000000079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5935</v>
      </c>
      <c r="F92" s="122">
        <v>5935</v>
      </c>
      <c r="G92" s="112">
        <f t="shared" si="8"/>
        <v>0</v>
      </c>
      <c r="H92" s="99">
        <f>G92+'4'!H92</f>
        <v>0</v>
      </c>
      <c r="I92" s="600">
        <f>G91+G92</f>
        <v>10.840000000000146</v>
      </c>
      <c r="J92" s="175">
        <f>H92/DAY(B2)</f>
        <v>0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6590.6600000000326</v>
      </c>
      <c r="H94" s="99">
        <f>G94+'4'!H94</f>
        <v>35724.090000000026</v>
      </c>
      <c r="I94" s="118"/>
      <c r="J94" s="175">
        <f>H94/DAY(B2)</f>
        <v>7144.8180000000048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0.24667342361899264</v>
      </c>
      <c r="H95" s="99">
        <f>G95+'4'!H95</f>
        <v>1.2985049780609772</v>
      </c>
      <c r="I95" s="167"/>
      <c r="J95" s="175">
        <f>H95/DAY(B2)</f>
        <v>0.25970099561219545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8015.7799999999988</v>
      </c>
      <c r="H96" s="99">
        <f>G96+'4'!H96</f>
        <v>45943.45</v>
      </c>
      <c r="I96" s="118"/>
      <c r="J96" s="175">
        <f>H96/DAY(B2)</f>
        <v>9188.6899999999987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0.30001242600538319</v>
      </c>
      <c r="H97" s="99">
        <f>G97+'4'!H97</f>
        <v>1.670334620406924</v>
      </c>
      <c r="I97" s="167"/>
      <c r="J97" s="175">
        <f>H97/DAY(B2)</f>
        <v>0.33406692408138483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2924</v>
      </c>
      <c r="H98" s="99">
        <f>G98+'4'!H98</f>
        <v>14236.989999999991</v>
      </c>
      <c r="I98" s="168"/>
      <c r="J98" s="175">
        <f>H98/DAY(B2)</f>
        <v>2847.3979999999983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0.10943867392065908</v>
      </c>
      <c r="H99" s="99">
        <f>G99+'4'!H99</f>
        <v>0.51944755894581696</v>
      </c>
      <c r="I99" s="168"/>
      <c r="J99" s="175">
        <f>H99/DAY(B2)</f>
        <v>0.10388951178916339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2499.5900000000165</v>
      </c>
      <c r="H100" s="99">
        <f>G100+'4'!H100</f>
        <v>11947.050000000008</v>
      </c>
      <c r="I100" s="118"/>
      <c r="J100" s="175">
        <f>H100/DAY(B2)</f>
        <v>2389.4100000000017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9.3553972279528733E-2</v>
      </c>
      <c r="H101" s="99">
        <f>G101+'4'!H101</f>
        <v>0.43578502532596092</v>
      </c>
      <c r="I101" s="168"/>
      <c r="J101" s="175">
        <f>H101/DAY(B2)</f>
        <v>8.7157005065192181E-2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2090.2499999999709</v>
      </c>
      <c r="H102" s="99">
        <f>G102+'4'!H102</f>
        <v>10947.639999999985</v>
      </c>
      <c r="I102" s="168"/>
      <c r="J102" s="175">
        <f>H102/DAY(B2)</f>
        <v>2189.5279999999971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7.8233306485175944E-2</v>
      </c>
      <c r="H103" s="99">
        <f>G103+'4'!H103</f>
        <v>0.39761049708074386</v>
      </c>
      <c r="I103" s="118"/>
      <c r="J103" s="175">
        <f>H103/DAY(B2)</f>
        <v>7.9522099416148767E-2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1586.539999999979</v>
      </c>
      <c r="H104" s="99">
        <f>G104+'4'!H104</f>
        <v>8252.3299999999872</v>
      </c>
      <c r="I104" s="118"/>
      <c r="J104" s="175">
        <f>H104/DAY(B2)</f>
        <v>1650.4659999999974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5.9380586088262709E-2</v>
      </c>
      <c r="H105" s="99">
        <f>G105+'4'!H105</f>
        <v>0.30066474620154898</v>
      </c>
      <c r="I105" s="187"/>
      <c r="J105" s="188">
        <f>H105/DAY(B2)</f>
        <v>6.0132949240309798E-2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'4'!F112</f>
        <v>556.87</v>
      </c>
      <c r="F112" s="237">
        <v>635.33000000000004</v>
      </c>
      <c r="G112" s="112">
        <f t="shared" ref="G112:G123" si="9">F112-E112</f>
        <v>78.460000000000036</v>
      </c>
      <c r="H112" s="99">
        <f>G112+'4'!H112</f>
        <v>392.33000000000004</v>
      </c>
      <c r="I112" s="165"/>
      <c r="J112" s="328">
        <f>H112/DAY(B2)</f>
        <v>78.466000000000008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'4'!F113</f>
        <v>1095.23</v>
      </c>
      <c r="F113" s="237">
        <v>1245.78</v>
      </c>
      <c r="G113" s="112">
        <f t="shared" si="9"/>
        <v>150.54999999999995</v>
      </c>
      <c r="H113" s="99">
        <f>G113+'4'!H113</f>
        <v>763.78</v>
      </c>
      <c r="I113" s="165"/>
      <c r="J113" s="328">
        <f>H113/DAY(B2)</f>
        <v>152.756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'4'!F114</f>
        <v>1531.13</v>
      </c>
      <c r="F114" s="237">
        <v>1757.01</v>
      </c>
      <c r="G114" s="112">
        <f t="shared" si="9"/>
        <v>225.87999999999988</v>
      </c>
      <c r="H114" s="99">
        <f>G114+'4'!H114</f>
        <v>1093.01</v>
      </c>
      <c r="I114" s="165"/>
      <c r="J114" s="328">
        <f>H114/DAY(B2)</f>
        <v>218.602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'4'!F115</f>
        <v>1168.29</v>
      </c>
      <c r="F115" s="237">
        <v>1339.32</v>
      </c>
      <c r="G115" s="112">
        <f t="shared" si="9"/>
        <v>171.02999999999997</v>
      </c>
      <c r="H115" s="99">
        <f>G115+'4'!H115</f>
        <v>828.31999999999994</v>
      </c>
      <c r="I115" s="165"/>
      <c r="J115" s="328">
        <f>H115/DAY(B2)</f>
        <v>165.66399999999999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'4'!F116</f>
        <v>35916.83</v>
      </c>
      <c r="F116" s="237">
        <v>36387.410000000003</v>
      </c>
      <c r="G116" s="112">
        <f t="shared" si="9"/>
        <v>470.58000000000175</v>
      </c>
      <c r="H116" s="99">
        <f>G116+'4'!H116</f>
        <v>1721.4100000000035</v>
      </c>
      <c r="I116" s="165"/>
      <c r="J116" s="328">
        <f>H116/DAY(B2)</f>
        <v>344.28200000000072</v>
      </c>
      <c r="Q116" s="959"/>
      <c r="R116" s="959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'4'!F117</f>
        <v>19626.740000000002</v>
      </c>
      <c r="F117" s="237">
        <v>19824.28</v>
      </c>
      <c r="G117" s="112">
        <f t="shared" si="9"/>
        <v>197.53999999999724</v>
      </c>
      <c r="H117" s="99">
        <f>G117+'4'!H117</f>
        <v>888.27999999999884</v>
      </c>
      <c r="I117" s="165"/>
      <c r="J117" s="328">
        <f>H117/DAY(B2)</f>
        <v>177.65599999999978</v>
      </c>
      <c r="Q117" s="959"/>
      <c r="R117" s="959"/>
    </row>
    <row r="118" spans="1:18" ht="25.5">
      <c r="A118" s="885" t="s">
        <v>97</v>
      </c>
      <c r="B118" s="885"/>
      <c r="C118" s="885"/>
      <c r="D118" s="151" t="s">
        <v>183</v>
      </c>
      <c r="E118" s="95">
        <f>'4'!F118</f>
        <v>11216.75</v>
      </c>
      <c r="F118" s="237">
        <v>11749.08</v>
      </c>
      <c r="G118" s="112">
        <f t="shared" si="9"/>
        <v>532.32999999999993</v>
      </c>
      <c r="H118" s="99">
        <f>G118+'4'!H118</f>
        <v>2686.08</v>
      </c>
      <c r="I118" s="165"/>
      <c r="J118" s="328">
        <f>H118/DAY(B2)</f>
        <v>537.21600000000001</v>
      </c>
      <c r="Q118" s="959"/>
      <c r="R118" s="959"/>
    </row>
    <row r="119" spans="1:18" ht="25.5">
      <c r="A119" s="885" t="s">
        <v>98</v>
      </c>
      <c r="B119" s="885"/>
      <c r="C119" s="885"/>
      <c r="D119" s="151" t="s">
        <v>183</v>
      </c>
      <c r="E119" s="95">
        <f>'4'!F119</f>
        <v>7628.11</v>
      </c>
      <c r="F119" s="237">
        <v>8028.45</v>
      </c>
      <c r="G119" s="112">
        <f t="shared" si="9"/>
        <v>400.34000000000015</v>
      </c>
      <c r="H119" s="99">
        <f>G119+'4'!H119</f>
        <v>2125.4499999999998</v>
      </c>
      <c r="I119" s="165"/>
      <c r="J119" s="328">
        <f>H119/DAY(B2)</f>
        <v>425.09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'4'!F120</f>
        <v>8853.91</v>
      </c>
      <c r="F120" s="469">
        <v>9260.18</v>
      </c>
      <c r="G120" s="112">
        <f t="shared" si="9"/>
        <v>406.27000000000044</v>
      </c>
      <c r="H120" s="99">
        <f>G120+'4'!H120</f>
        <v>2125.1800000000003</v>
      </c>
      <c r="I120" s="165"/>
      <c r="J120" s="328">
        <f>H120/DAY(B2)</f>
        <v>425.03600000000006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'4'!F121</f>
        <v>13525.32</v>
      </c>
      <c r="F121" s="237">
        <v>13953.73</v>
      </c>
      <c r="G121" s="112">
        <f t="shared" si="9"/>
        <v>428.40999999999985</v>
      </c>
      <c r="H121" s="99">
        <f>G121+'4'!H121</f>
        <v>2226.7299999999996</v>
      </c>
      <c r="I121" s="165"/>
      <c r="J121" s="328">
        <f>H121/DAY(B2)</f>
        <v>445.34599999999989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'4'!F122</f>
        <v>4344.76</v>
      </c>
      <c r="F122" s="237">
        <v>4555.0600000000004</v>
      </c>
      <c r="G122" s="112">
        <f t="shared" si="9"/>
        <v>210.30000000000018</v>
      </c>
      <c r="H122" s="99">
        <f>G122+'4'!H122</f>
        <v>991.0600000000004</v>
      </c>
      <c r="I122" s="165"/>
      <c r="J122" s="328">
        <f>H122/DAY(B2)</f>
        <v>198.21200000000007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'4'!F123</f>
        <v>2232.88</v>
      </c>
      <c r="F123" s="237">
        <v>2545.94</v>
      </c>
      <c r="G123" s="112">
        <f t="shared" si="9"/>
        <v>313.05999999999995</v>
      </c>
      <c r="H123" s="99">
        <f>G123+'4'!H123</f>
        <v>1578.94</v>
      </c>
      <c r="I123" s="165"/>
      <c r="J123" s="328">
        <f>H123/DAY(B2)</f>
        <v>315.78800000000001</v>
      </c>
    </row>
    <row r="124" spans="1:18" ht="29.2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25.5">
      <c r="A125" s="954" t="s">
        <v>196</v>
      </c>
      <c r="B125" s="954"/>
      <c r="C125" s="245"/>
      <c r="D125" s="307"/>
      <c r="E125" s="308"/>
      <c r="F125" s="308"/>
      <c r="G125" s="309">
        <f>SUM(G112:G124)</f>
        <v>3584.7499999999995</v>
      </c>
      <c r="H125" s="156"/>
      <c r="I125" s="327">
        <f>G125-(G39+G53)</f>
        <v>660.74999999999955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'4'!F128</f>
        <v>82989.05</v>
      </c>
      <c r="F128" s="388">
        <v>83387.72</v>
      </c>
      <c r="G128" s="112">
        <f t="shared" ref="G128:G134" si="10">F128-E128</f>
        <v>398.66999999999825</v>
      </c>
      <c r="H128" s="99">
        <f>G128+'4'!H128</f>
        <v>1972.7200000000012</v>
      </c>
      <c r="I128" s="165"/>
      <c r="J128" s="328">
        <f>H128/DAY(B2)</f>
        <v>394.54400000000021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52194.05</v>
      </c>
      <c r="F129" s="388">
        <v>52485.17</v>
      </c>
      <c r="G129" s="112">
        <f t="shared" si="10"/>
        <v>291.11999999999534</v>
      </c>
      <c r="H129" s="99">
        <f>G129+'4'!H129</f>
        <v>1413.1699999999983</v>
      </c>
      <c r="I129" s="165"/>
      <c r="J129" s="328">
        <f>H129/DAY(B2)</f>
        <v>282.63399999999967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99555.55</v>
      </c>
      <c r="F130" s="388">
        <v>100275.67</v>
      </c>
      <c r="G130" s="112">
        <f t="shared" si="10"/>
        <v>720.11999999999534</v>
      </c>
      <c r="H130" s="99">
        <f>G130+'4'!H130</f>
        <v>3629.6699999999983</v>
      </c>
      <c r="I130" s="165"/>
      <c r="J130" s="328">
        <f>H130/DAY(B2)</f>
        <v>725.93399999999963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'4'!F131</f>
        <v>31227.29</v>
      </c>
      <c r="F131" s="388">
        <v>31429.94</v>
      </c>
      <c r="G131" s="112">
        <f t="shared" si="10"/>
        <v>202.64999999999782</v>
      </c>
      <c r="H131" s="99">
        <f>G131+'4'!H131</f>
        <v>994.93999999999869</v>
      </c>
      <c r="I131" s="165"/>
      <c r="J131" s="328">
        <f>H131/DAY(B2)</f>
        <v>198.98799999999974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'4'!F132</f>
        <v>90983.75</v>
      </c>
      <c r="F132" s="388">
        <v>91496.59</v>
      </c>
      <c r="G132" s="112">
        <f t="shared" si="10"/>
        <v>512.83999999999651</v>
      </c>
      <c r="H132" s="99">
        <f>G132+'4'!H132</f>
        <v>2559.5899999999965</v>
      </c>
      <c r="I132" s="165"/>
      <c r="J132" s="328">
        <f>H132/DAY(B2)</f>
        <v>511.91799999999932</v>
      </c>
    </row>
    <row r="133" spans="1:15" ht="25.5">
      <c r="A133" s="886" t="s">
        <v>323</v>
      </c>
      <c r="B133" s="887"/>
      <c r="C133" s="888"/>
      <c r="D133" s="151" t="s">
        <v>183</v>
      </c>
      <c r="E133" s="95">
        <f>'4'!F133</f>
        <v>175939.07</v>
      </c>
      <c r="F133" s="388">
        <v>176850.55</v>
      </c>
      <c r="G133" s="112">
        <f t="shared" si="10"/>
        <v>911.47999999998137</v>
      </c>
      <c r="H133" s="99">
        <f>G133+'4'!H133</f>
        <v>4404.5499999999884</v>
      </c>
      <c r="I133" s="165"/>
      <c r="J133" s="328">
        <f>H133/DAY(B2)</f>
        <v>880.90999999999769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'4'!F134</f>
        <v>29064.52</v>
      </c>
      <c r="F134" s="388">
        <v>29305.17</v>
      </c>
      <c r="G134" s="112">
        <f t="shared" si="10"/>
        <v>240.64999999999782</v>
      </c>
      <c r="H134" s="99">
        <f>G134+'4'!H134</f>
        <v>1212.1699999999983</v>
      </c>
      <c r="I134" s="165"/>
      <c r="J134" s="328">
        <f>H134/DAY(B2)</f>
        <v>242.43399999999966</v>
      </c>
    </row>
    <row r="135" spans="1:15" ht="25.5">
      <c r="A135" s="954" t="s">
        <v>196</v>
      </c>
      <c r="B135" s="954"/>
      <c r="C135" s="331"/>
      <c r="D135" s="151"/>
      <c r="E135" s="95"/>
      <c r="F135" s="165"/>
      <c r="G135" s="112">
        <f>SUM(G128:G134)</f>
        <v>3277.5299999999625</v>
      </c>
      <c r="H135" s="99">
        <f>G135+'4'!H135</f>
        <v>16186.809999999979</v>
      </c>
      <c r="I135" s="327">
        <f>G135-(G35+G49)</f>
        <v>-718.25000000006548</v>
      </c>
      <c r="J135" s="328">
        <f>H135/DAY(B2)</f>
        <v>3237.361999999996</v>
      </c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'4'!F138</f>
        <v>879371</v>
      </c>
      <c r="F138" s="147">
        <v>879510</v>
      </c>
      <c r="G138" s="112">
        <f t="shared" ref="G138:G152" si="11">F138-E138</f>
        <v>139</v>
      </c>
      <c r="H138" s="99">
        <f>G138+'4'!H138</f>
        <v>726</v>
      </c>
      <c r="I138" s="118"/>
      <c r="J138" s="328">
        <f>H138/DAY(B2)</f>
        <v>145.19999999999999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'4'!F139</f>
        <v>895473</v>
      </c>
      <c r="F139" s="148">
        <v>895643</v>
      </c>
      <c r="G139" s="112">
        <f t="shared" si="11"/>
        <v>170</v>
      </c>
      <c r="H139" s="99">
        <f>G139+'4'!H139</f>
        <v>777</v>
      </c>
      <c r="I139" s="118"/>
      <c r="J139" s="328">
        <f>H139/DAY(B2)</f>
        <v>155.4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'4'!F140</f>
        <v>190.98</v>
      </c>
      <c r="F140" s="149">
        <v>202.23</v>
      </c>
      <c r="G140" s="112">
        <f t="shared" si="11"/>
        <v>11.25</v>
      </c>
      <c r="H140" s="99">
        <f>G140+'4'!H140</f>
        <v>67.22999999999999</v>
      </c>
      <c r="I140" s="118"/>
      <c r="J140" s="328">
        <f>H140/DAY(B2)</f>
        <v>13.445999999999998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'4'!F141</f>
        <v>72606.61</v>
      </c>
      <c r="F141" s="149">
        <v>72809.34</v>
      </c>
      <c r="G141" s="112">
        <f t="shared" si="11"/>
        <v>202.72999999999593</v>
      </c>
      <c r="H141" s="99">
        <f>G141+'4'!H141</f>
        <v>1035.3399999999965</v>
      </c>
      <c r="I141" s="118"/>
      <c r="J141" s="328">
        <f>H141/DAY(B2)</f>
        <v>207.0679999999993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'4'!F142</f>
        <v>27735.83</v>
      </c>
      <c r="F142" s="148">
        <v>27803.61</v>
      </c>
      <c r="G142" s="112">
        <f t="shared" si="11"/>
        <v>67.779999999998836</v>
      </c>
      <c r="H142" s="99">
        <f>G142+'4'!H142</f>
        <v>337.61000000000058</v>
      </c>
      <c r="I142" s="140"/>
      <c r="J142" s="328">
        <f>H142/DAY(B2)</f>
        <v>67.522000000000119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'4'!F143</f>
        <v>6521.46</v>
      </c>
      <c r="F143" s="149">
        <v>6547.51</v>
      </c>
      <c r="G143" s="112">
        <f t="shared" si="11"/>
        <v>26.050000000000182</v>
      </c>
      <c r="H143" s="99">
        <f>G143+'4'!H143</f>
        <v>130.51000000000022</v>
      </c>
      <c r="I143" s="140"/>
      <c r="J143" s="328">
        <f>H143/DAY(B2)</f>
        <v>26.102000000000043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'4'!F144</f>
        <v>898244</v>
      </c>
      <c r="F144" s="149">
        <v>898500</v>
      </c>
      <c r="G144" s="112">
        <f t="shared" si="11"/>
        <v>256</v>
      </c>
      <c r="H144" s="99">
        <f>G144+'4'!H144</f>
        <v>1267</v>
      </c>
      <c r="I144" s="140"/>
      <c r="J144" s="328">
        <f>H144/DAY(B2)</f>
        <v>253.4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'4'!F145</f>
        <v>5637.53</v>
      </c>
      <c r="F145" s="149">
        <v>5640.04</v>
      </c>
      <c r="G145" s="112">
        <f t="shared" si="11"/>
        <v>2.5100000000002183</v>
      </c>
      <c r="H145" s="99">
        <f>G145+'4'!H145</f>
        <v>12.039999999999964</v>
      </c>
      <c r="I145" s="140"/>
      <c r="J145" s="328">
        <f>H145/DAY(B2)</f>
        <v>2.4079999999999928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'4'!F146</f>
        <v>776557</v>
      </c>
      <c r="F146" s="148">
        <v>776579</v>
      </c>
      <c r="G146" s="112">
        <f t="shared" si="11"/>
        <v>22</v>
      </c>
      <c r="H146" s="99">
        <f>G146+'4'!H146</f>
        <v>125</v>
      </c>
      <c r="I146" s="140"/>
      <c r="J146" s="328">
        <f>H146/DAY(B2)</f>
        <v>25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'4'!F147</f>
        <v>664817.80000000005</v>
      </c>
      <c r="F147" s="148">
        <v>665212.52</v>
      </c>
      <c r="G147" s="112">
        <f t="shared" si="11"/>
        <v>394.71999999997206</v>
      </c>
      <c r="H147" s="99">
        <f>G147+'4'!H147</f>
        <v>1984.5200000000186</v>
      </c>
      <c r="I147" s="140"/>
      <c r="J147" s="328">
        <f>H147/DAY(B2)</f>
        <v>396.90400000000375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'4'!F148</f>
        <v>721264.56</v>
      </c>
      <c r="F148" s="150">
        <v>721600.32</v>
      </c>
      <c r="G148" s="112">
        <f t="shared" si="11"/>
        <v>335.7599999998929</v>
      </c>
      <c r="H148" s="99">
        <f>G148+'4'!H148</f>
        <v>1684.3199999999488</v>
      </c>
      <c r="I148" s="124"/>
      <c r="J148" s="328">
        <f>H148/DAY(B2)</f>
        <v>336.86399999998974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'4'!F149</f>
        <v>85675.59</v>
      </c>
      <c r="F149" s="146">
        <v>86283.31</v>
      </c>
      <c r="G149" s="112">
        <f t="shared" si="11"/>
        <v>607.72000000000116</v>
      </c>
      <c r="H149" s="99">
        <f>G149+'4'!H149</f>
        <v>2895.3099999999977</v>
      </c>
      <c r="I149" s="119"/>
      <c r="J149" s="328">
        <f>H149/DAY(B2)</f>
        <v>579.06199999999956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'4'!F150</f>
        <v>31457.79</v>
      </c>
      <c r="F150" s="233">
        <v>31678.79</v>
      </c>
      <c r="G150" s="112">
        <f t="shared" si="11"/>
        <v>221</v>
      </c>
      <c r="H150" s="99">
        <f>G150+'4'!H150</f>
        <v>1091.7900000000009</v>
      </c>
      <c r="I150" s="119"/>
      <c r="J150" s="328">
        <f>H150/DAY(B2)</f>
        <v>218.35800000000017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'4'!F151</f>
        <v>110408</v>
      </c>
      <c r="F151" s="233">
        <v>110728</v>
      </c>
      <c r="G151" s="112">
        <f t="shared" si="11"/>
        <v>320</v>
      </c>
      <c r="H151" s="99">
        <f>G151+'4'!H151</f>
        <v>1500</v>
      </c>
      <c r="I151" s="119"/>
      <c r="J151" s="328">
        <f>H151/DAY(B2)</f>
        <v>300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'4'!F152</f>
        <v>11684.09</v>
      </c>
      <c r="F152" s="233">
        <v>11835.48</v>
      </c>
      <c r="G152" s="112">
        <f t="shared" si="11"/>
        <v>151.38999999999942</v>
      </c>
      <c r="H152" s="99">
        <f>G152+'4'!H152</f>
        <v>679.47999999999956</v>
      </c>
      <c r="I152" s="119"/>
      <c r="J152" s="328">
        <f>H152/DAY(B2)</f>
        <v>135.8959999999999</v>
      </c>
    </row>
    <row r="153" spans="1:10" ht="25.5">
      <c r="A153" s="954" t="s">
        <v>196</v>
      </c>
      <c r="B153" s="954"/>
      <c r="C153" s="365"/>
      <c r="D153" s="358"/>
      <c r="E153" s="360"/>
      <c r="F153" s="361"/>
      <c r="G153" s="362">
        <f>SUM(G138:G152)</f>
        <v>2927.9099999998607</v>
      </c>
      <c r="H153" s="363"/>
      <c r="I153" s="119">
        <f>G153-(G38+G52)</f>
        <v>428.31999999984419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'4'!F155</f>
        <v>95290.07</v>
      </c>
      <c r="F155" s="374">
        <v>95892.85</v>
      </c>
      <c r="G155" s="112">
        <f t="shared" ref="G155:G158" si="12">F155-E155</f>
        <v>602.77999999999884</v>
      </c>
      <c r="H155" s="99">
        <f>G155+'4'!H155</f>
        <v>3160.8500000000058</v>
      </c>
      <c r="I155" s="364"/>
      <c r="J155" s="328">
        <f>H155/DAY(B2)</f>
        <v>632.17000000000121</v>
      </c>
    </row>
    <row r="156" spans="1:10" ht="25.5">
      <c r="A156" s="864" t="s">
        <v>346</v>
      </c>
      <c r="B156" s="864"/>
      <c r="C156" s="864"/>
      <c r="D156" s="117" t="s">
        <v>130</v>
      </c>
      <c r="E156" s="95">
        <f>'4'!F156</f>
        <v>7957.42</v>
      </c>
      <c r="F156" s="155">
        <v>8023.2</v>
      </c>
      <c r="G156" s="112">
        <f t="shared" si="12"/>
        <v>65.779999999999745</v>
      </c>
      <c r="H156" s="99">
        <f>G156+'4'!H156</f>
        <v>332.19999999999982</v>
      </c>
      <c r="I156" s="165"/>
      <c r="J156" s="328">
        <f>H156/DAY(B2)</f>
        <v>66.439999999999969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'4'!F157</f>
        <v>13946.97</v>
      </c>
      <c r="F157" s="155">
        <v>14063.46</v>
      </c>
      <c r="G157" s="112">
        <f t="shared" si="12"/>
        <v>116.48999999999978</v>
      </c>
      <c r="H157" s="99">
        <f>G157+'4'!H157</f>
        <v>567.45999999999913</v>
      </c>
      <c r="I157" s="165"/>
      <c r="J157" s="328">
        <f>H157/DAY(B2)</f>
        <v>113.49199999999982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'4'!F158</f>
        <v>124.32</v>
      </c>
      <c r="F158" s="155">
        <v>124.53</v>
      </c>
      <c r="G158" s="112">
        <f t="shared" si="12"/>
        <v>0.21000000000000796</v>
      </c>
      <c r="H158" s="99">
        <f>G158+'4'!H158</f>
        <v>44.989999999999995</v>
      </c>
      <c r="I158" s="165"/>
      <c r="J158" s="328">
        <f>H158/DAY(B2)</f>
        <v>8.9979999999999993</v>
      </c>
    </row>
    <row r="159" spans="1:10" ht="25.5">
      <c r="A159" s="950"/>
      <c r="B159" s="951"/>
      <c r="C159" s="952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474879.84</v>
      </c>
      <c r="F161" s="235">
        <v>474902</v>
      </c>
      <c r="G161" s="238">
        <f t="shared" ref="G161:G165" si="13">F161-E161</f>
        <v>22.159999999974389</v>
      </c>
      <c r="H161" s="99">
        <f>G161+'4'!H161</f>
        <v>119</v>
      </c>
      <c r="I161" s="236"/>
      <c r="J161" s="239">
        <f>H161/DAY(B2)</f>
        <v>23.8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91689</v>
      </c>
      <c r="F162" s="235">
        <v>91728</v>
      </c>
      <c r="G162" s="238">
        <f t="shared" si="13"/>
        <v>39</v>
      </c>
      <c r="H162" s="99">
        <f>G162+'4'!H162</f>
        <v>181</v>
      </c>
      <c r="I162" s="236"/>
      <c r="J162" s="239">
        <f>H162/DAY(B2)</f>
        <v>36.200000000000003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92711.9</v>
      </c>
      <c r="F163" s="235">
        <v>92851.8</v>
      </c>
      <c r="G163" s="238">
        <f t="shared" si="13"/>
        <v>139.90000000000873</v>
      </c>
      <c r="H163" s="99">
        <f>G163+'4'!H163</f>
        <v>815.80000000000291</v>
      </c>
      <c r="I163" s="236"/>
      <c r="J163" s="239">
        <f>H163/DAY(B2)</f>
        <v>163.16000000000059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5225.6000000000004</v>
      </c>
      <c r="F164" s="235">
        <v>5238.6000000000004</v>
      </c>
      <c r="G164" s="238">
        <f t="shared" si="13"/>
        <v>13</v>
      </c>
      <c r="H164" s="99">
        <f>G164+'4'!H164</f>
        <v>56.600000000000364</v>
      </c>
      <c r="I164" s="236"/>
      <c r="J164" s="239">
        <f>H164/DAY(B2)</f>
        <v>11.320000000000073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30683.29</v>
      </c>
      <c r="F165" s="235">
        <v>30695.55</v>
      </c>
      <c r="G165" s="238">
        <f t="shared" si="13"/>
        <v>12.259999999998399</v>
      </c>
      <c r="H165" s="99">
        <f>G165+'4'!H165</f>
        <v>61.549999999999272</v>
      </c>
      <c r="I165" s="236"/>
      <c r="J165" s="239">
        <f>H165/DAY(B2)</f>
        <v>12.309999999999855</v>
      </c>
    </row>
    <row r="166" spans="1:10" ht="26.25">
      <c r="A166" s="873"/>
      <c r="B166" s="873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873"/>
      <c r="B167" s="873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873"/>
      <c r="B168" s="873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955"/>
      <c r="B172" s="955"/>
      <c r="C172" s="390"/>
      <c r="D172" s="155"/>
      <c r="E172" s="155"/>
      <c r="F172" s="155"/>
      <c r="G172" s="155"/>
      <c r="H172" s="156"/>
      <c r="I172" s="155"/>
      <c r="J172" s="156"/>
    </row>
    <row r="173" spans="1:10" ht="25.5">
      <c r="A173" s="953" t="s">
        <v>209</v>
      </c>
      <c r="B173" s="953"/>
      <c r="C173" s="333"/>
      <c r="D173" s="155" t="s">
        <v>142</v>
      </c>
      <c r="E173" s="95">
        <f>'4'!F173</f>
        <v>8265</v>
      </c>
      <c r="F173" s="155">
        <v>8265</v>
      </c>
      <c r="G173" s="155">
        <f>F173-E173</f>
        <v>0</v>
      </c>
      <c r="H173" s="99">
        <f>G173+'4'!H173</f>
        <v>4</v>
      </c>
      <c r="I173" s="155"/>
      <c r="J173" s="156">
        <f>H173/DAY(B2)</f>
        <v>0.8</v>
      </c>
    </row>
    <row r="174" spans="1:10" ht="25.5">
      <c r="A174" s="953" t="s">
        <v>75</v>
      </c>
      <c r="B174" s="953"/>
      <c r="C174" s="333"/>
      <c r="D174" s="155" t="s">
        <v>142</v>
      </c>
      <c r="E174" s="95">
        <f>'4'!F174</f>
        <v>39989</v>
      </c>
      <c r="F174" s="157">
        <v>40004</v>
      </c>
      <c r="G174" s="155">
        <f t="shared" ref="G174:G175" si="14">F174-E174</f>
        <v>15</v>
      </c>
      <c r="H174" s="99">
        <f>G174+'4'!H174</f>
        <v>76</v>
      </c>
      <c r="I174" s="155"/>
      <c r="J174" s="156">
        <f>H174/DAY(B2)</f>
        <v>15.2</v>
      </c>
    </row>
    <row r="175" spans="1:10" ht="25.5">
      <c r="A175" s="953" t="s">
        <v>76</v>
      </c>
      <c r="B175" s="953"/>
      <c r="C175" s="953"/>
      <c r="D175" s="155" t="s">
        <v>142</v>
      </c>
      <c r="E175" s="95">
        <f>'4'!F175</f>
        <v>22938</v>
      </c>
      <c r="F175" s="157">
        <v>22952</v>
      </c>
      <c r="G175" s="155">
        <f t="shared" si="14"/>
        <v>14</v>
      </c>
      <c r="H175" s="99">
        <f>G175+'4'!H175</f>
        <v>63</v>
      </c>
      <c r="I175" s="155"/>
      <c r="J175" s="156">
        <f>H175/DAY(B2)</f>
        <v>12.6</v>
      </c>
    </row>
    <row r="176" spans="1:10" ht="25.5">
      <c r="A176" s="954" t="s">
        <v>196</v>
      </c>
      <c r="B176" s="954"/>
      <c r="C176" s="333"/>
      <c r="D176" s="155"/>
      <c r="E176" s="95">
        <f>'4'!F176</f>
        <v>0</v>
      </c>
      <c r="F176" s="155"/>
      <c r="G176" s="155">
        <f>SUM(G173:G175)</f>
        <v>29</v>
      </c>
      <c r="H176" s="99">
        <f>G176+'4'!H176</f>
        <v>143</v>
      </c>
      <c r="I176" s="155"/>
      <c r="J176" s="156">
        <f>H176/DAY(B2)</f>
        <v>28.6</v>
      </c>
    </row>
    <row r="177" spans="1:10" ht="25.5">
      <c r="A177" s="953" t="s">
        <v>77</v>
      </c>
      <c r="B177" s="953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53" t="s">
        <v>210</v>
      </c>
      <c r="B178" s="953"/>
      <c r="C178" s="333"/>
      <c r="D178" s="155" t="s">
        <v>142</v>
      </c>
      <c r="E178" s="95">
        <f>'4'!F178</f>
        <v>89034</v>
      </c>
      <c r="F178" s="155">
        <v>89133</v>
      </c>
      <c r="G178" s="155">
        <f>F178-E178</f>
        <v>99</v>
      </c>
      <c r="H178" s="99">
        <f>G178+'4'!H178</f>
        <v>530</v>
      </c>
      <c r="I178" s="155"/>
      <c r="J178" s="156">
        <f>H178/DAY(B2)</f>
        <v>106</v>
      </c>
    </row>
    <row r="179" spans="1:10" ht="25.5">
      <c r="A179" s="953" t="s">
        <v>211</v>
      </c>
      <c r="B179" s="953"/>
      <c r="C179" s="333"/>
      <c r="D179" s="155" t="s">
        <v>142</v>
      </c>
      <c r="E179" s="95">
        <f>'4'!F179</f>
        <v>35773</v>
      </c>
      <c r="F179" s="155">
        <v>35773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53" t="s">
        <v>212</v>
      </c>
      <c r="B180" s="953"/>
      <c r="C180" s="333"/>
      <c r="D180" s="155" t="s">
        <v>142</v>
      </c>
      <c r="E180" s="95">
        <f>'4'!F180</f>
        <v>6415</v>
      </c>
      <c r="F180" s="155">
        <v>6431</v>
      </c>
      <c r="G180" s="155">
        <f t="shared" si="15"/>
        <v>16</v>
      </c>
      <c r="H180" s="99">
        <f>G180+'4'!H180</f>
        <v>42</v>
      </c>
      <c r="I180" s="155"/>
      <c r="J180" s="156">
        <f>H180/DAY(B2)</f>
        <v>8.4</v>
      </c>
    </row>
    <row r="181" spans="1:10" ht="25.5">
      <c r="A181" s="958" t="s">
        <v>108</v>
      </c>
      <c r="B181" s="958"/>
      <c r="C181" s="333"/>
      <c r="D181" s="155"/>
      <c r="E181" s="95">
        <f>'4'!F181</f>
        <v>0</v>
      </c>
      <c r="F181" s="155"/>
      <c r="G181" s="155">
        <f>SUM(G178:G180)</f>
        <v>115</v>
      </c>
      <c r="H181" s="99">
        <f>G181+'4'!H181</f>
        <v>572</v>
      </c>
      <c r="I181" s="155"/>
      <c r="J181" s="156">
        <f>H181/DAY(B2)</f>
        <v>114.4</v>
      </c>
    </row>
    <row r="182" spans="1:10" ht="25.5">
      <c r="A182" s="953" t="s">
        <v>213</v>
      </c>
      <c r="B182" s="953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53" t="s">
        <v>214</v>
      </c>
      <c r="B183" s="953"/>
      <c r="C183" s="334"/>
      <c r="D183" s="155" t="s">
        <v>142</v>
      </c>
      <c r="E183" s="95">
        <f>'4'!F183</f>
        <v>16669</v>
      </c>
      <c r="F183" s="157">
        <v>16680</v>
      </c>
      <c r="G183" s="157">
        <f>F183-E183</f>
        <v>11</v>
      </c>
      <c r="H183" s="99">
        <f>G183+'4'!H183</f>
        <v>58</v>
      </c>
      <c r="I183" s="155"/>
      <c r="J183" s="156">
        <f>H183/DAY(B2)</f>
        <v>11.6</v>
      </c>
    </row>
    <row r="184" spans="1:10" ht="25.5">
      <c r="A184" s="953" t="s">
        <v>215</v>
      </c>
      <c r="B184" s="953"/>
      <c r="C184" s="334"/>
      <c r="D184" s="155" t="s">
        <v>142</v>
      </c>
      <c r="E184" s="95">
        <f>'4'!F184</f>
        <v>11301</v>
      </c>
      <c r="F184" s="157">
        <v>11313</v>
      </c>
      <c r="G184" s="157">
        <f t="shared" ref="G184:G185" si="16">F184-E184</f>
        <v>12</v>
      </c>
      <c r="H184" s="99">
        <f>G184+'4'!H184</f>
        <v>39</v>
      </c>
      <c r="I184" s="155"/>
      <c r="J184" s="156">
        <f>H184/DAY(B2)</f>
        <v>7.8</v>
      </c>
    </row>
    <row r="185" spans="1:10" ht="29.25" customHeight="1">
      <c r="A185" s="953" t="s">
        <v>216</v>
      </c>
      <c r="B185" s="953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54" t="s">
        <v>196</v>
      </c>
      <c r="B186" s="954"/>
      <c r="C186" s="334"/>
      <c r="D186" s="379"/>
      <c r="E186" s="95"/>
      <c r="F186" s="157"/>
      <c r="G186" s="157">
        <f>SUM(G183:G185)</f>
        <v>23</v>
      </c>
      <c r="H186" s="99">
        <f>G186+'4'!H186</f>
        <v>97</v>
      </c>
      <c r="I186" s="157"/>
      <c r="J186" s="156">
        <f>H186/DAY(B2)</f>
        <v>19.399999999999999</v>
      </c>
    </row>
    <row r="187" spans="1:10" ht="25.5">
      <c r="A187" s="957" t="s">
        <v>217</v>
      </c>
      <c r="B187" s="957"/>
      <c r="C187" s="333"/>
      <c r="D187" s="157" t="s">
        <v>142</v>
      </c>
      <c r="E187" s="95"/>
      <c r="F187" s="159"/>
      <c r="G187" s="378">
        <f>G62+G19</f>
        <v>213</v>
      </c>
      <c r="H187" s="99">
        <f>G187+'4'!H187</f>
        <v>1043</v>
      </c>
      <c r="I187" s="158"/>
      <c r="J187" s="159">
        <f>H187/DAY(B2)</f>
        <v>208.6</v>
      </c>
    </row>
    <row r="188" spans="1:10" ht="25.5">
      <c r="A188" s="957" t="s">
        <v>218</v>
      </c>
      <c r="B188" s="957"/>
      <c r="C188" s="333"/>
      <c r="D188" s="157" t="s">
        <v>142</v>
      </c>
      <c r="E188" s="95"/>
      <c r="F188" s="159"/>
      <c r="G188" s="378">
        <f>G65+G66+G67+G69+G70</f>
        <v>221</v>
      </c>
      <c r="H188" s="99">
        <f>G188+'4'!H188</f>
        <v>1072</v>
      </c>
      <c r="I188" s="158"/>
      <c r="J188" s="159">
        <f>H188/DAY(B2)</f>
        <v>214.4</v>
      </c>
    </row>
    <row r="189" spans="1:10" ht="25.5">
      <c r="A189" s="957" t="s">
        <v>219</v>
      </c>
      <c r="B189" s="957"/>
      <c r="C189" s="333"/>
      <c r="D189" s="157" t="s">
        <v>142</v>
      </c>
      <c r="E189" s="95"/>
      <c r="F189" s="157"/>
      <c r="G189" s="377">
        <f>G181</f>
        <v>115</v>
      </c>
      <c r="H189" s="99">
        <f>G189+'4'!H189</f>
        <v>572</v>
      </c>
      <c r="I189" s="158"/>
      <c r="J189" s="159">
        <f>H189/DAY(B2)</f>
        <v>114.4</v>
      </c>
    </row>
    <row r="190" spans="1:10" ht="25.5">
      <c r="A190" s="956"/>
      <c r="B190" s="956"/>
      <c r="C190" s="391"/>
      <c r="D190" s="392"/>
      <c r="E190" s="393"/>
      <c r="F190" s="392"/>
      <c r="G190" s="392"/>
      <c r="H190" s="394"/>
      <c r="I190" s="392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7" zoomScale="55" zoomScaleSheetLayoutView="55" workbookViewId="0">
      <selection activeCell="F35" sqref="F3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354</v>
      </c>
      <c r="B2" s="262">
        <v>44687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968433.11</v>
      </c>
      <c r="F7" s="95">
        <v>995170.07</v>
      </c>
      <c r="G7" s="112">
        <f>F7-E7</f>
        <v>26736.959999999963</v>
      </c>
      <c r="H7" s="99">
        <f>G7+'5'!H7</f>
        <v>164119.06999999995</v>
      </c>
      <c r="I7" s="113">
        <f>'1'!I7</f>
        <v>12000</v>
      </c>
      <c r="J7" s="175">
        <f>H7/DAY(B2)</f>
        <v>27353.178333333326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58844.92</v>
      </c>
      <c r="F8" s="114">
        <v>86153.88</v>
      </c>
      <c r="G8" s="115">
        <f>F8-E8</f>
        <v>27308.960000000006</v>
      </c>
      <c r="H8" s="99">
        <f>G8+'5'!H8</f>
        <v>167031.15999999997</v>
      </c>
      <c r="I8" s="116"/>
      <c r="J8" s="175">
        <f>H8/DAY(B2)</f>
        <v>27838.526666666661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2004819.9</v>
      </c>
      <c r="F9" s="117">
        <v>2024062.5</v>
      </c>
      <c r="G9" s="112">
        <f>F9-E9</f>
        <v>19242.600000000093</v>
      </c>
      <c r="H9" s="99">
        <f>G9+'5'!H9</f>
        <v>133027.5</v>
      </c>
      <c r="I9" s="124">
        <f>I7-J7</f>
        <v>-15353.178333333326</v>
      </c>
      <c r="J9" s="175">
        <f>H9/DAY(B2)</f>
        <v>22171.25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635093.51</v>
      </c>
      <c r="F10" s="117">
        <v>641857.75</v>
      </c>
      <c r="G10" s="112">
        <f t="shared" ref="G10:G12" si="0">F10-E10</f>
        <v>6764.2399999999907</v>
      </c>
      <c r="H10" s="99">
        <f>G10+'5'!H10</f>
        <v>26321.75</v>
      </c>
      <c r="I10" s="282"/>
      <c r="J10" s="175">
        <f>H10/DAY(B2)</f>
        <v>4386.958333333333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26006.840000000084</v>
      </c>
      <c r="H13" s="99">
        <f>G13+'5'!H13</f>
        <v>156833</v>
      </c>
      <c r="I13" s="120">
        <f>G7-G13</f>
        <v>730.11999999987893</v>
      </c>
      <c r="J13" s="175">
        <f>H13/DAY(B2)</f>
        <v>26138.833333333332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2009110.4</v>
      </c>
      <c r="F15" s="470">
        <v>2010303.86</v>
      </c>
      <c r="G15" s="112">
        <f>(F15-E15)</f>
        <v>1193.4600000001956</v>
      </c>
      <c r="H15" s="99">
        <f>G15+'5'!H15</f>
        <v>6576.8600000001024</v>
      </c>
      <c r="I15" s="113">
        <f>'1'!I15</f>
        <v>800</v>
      </c>
      <c r="J15" s="175">
        <f>H15/DAY(B2)</f>
        <v>1096.1433333333505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-296.14333333335048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'5'!F18</f>
        <v>22</v>
      </c>
      <c r="F18" s="122">
        <v>23</v>
      </c>
      <c r="G18" s="119">
        <f>F18*10</f>
        <v>230</v>
      </c>
      <c r="H18" s="99">
        <f>G18+'5'!H18</f>
        <v>1330</v>
      </c>
      <c r="I18" s="113">
        <f>'1'!I18</f>
        <v>65</v>
      </c>
      <c r="J18" s="175">
        <f>H18/DAY(B2)</f>
        <v>221.66666666666666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'5'!F19</f>
        <v>158722</v>
      </c>
      <c r="F19" s="122">
        <v>158777</v>
      </c>
      <c r="G19" s="112">
        <f t="shared" ref="G19" si="1">F19-E19</f>
        <v>55</v>
      </c>
      <c r="H19" s="99">
        <f>G19+'5'!H19</f>
        <v>323</v>
      </c>
      <c r="I19" s="335"/>
      <c r="J19" s="175">
        <f>H19/DAY(B2)</f>
        <v>53.833333333333336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285</v>
      </c>
      <c r="H20" s="99">
        <f>G20+'5'!H20</f>
        <v>1653</v>
      </c>
      <c r="I20" s="336">
        <f>I18-J20</f>
        <v>-210.5</v>
      </c>
      <c r="J20" s="175">
        <f>H20/DAY(B2)</f>
        <v>275.5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27308.960000000006</v>
      </c>
      <c r="F27" s="136">
        <v>9</v>
      </c>
      <c r="G27" s="137">
        <f>E27*F27</f>
        <v>245780.64000000007</v>
      </c>
      <c r="H27" s="99">
        <f>G27+'5'!H27</f>
        <v>1503280.44</v>
      </c>
      <c r="I27" s="138"/>
      <c r="J27" s="175">
        <f>H27/DAY(B2)</f>
        <v>250546.74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1193.4600000001956</v>
      </c>
      <c r="F28" s="136">
        <v>70</v>
      </c>
      <c r="G28" s="137">
        <f>E28*F28</f>
        <v>83542.20000001369</v>
      </c>
      <c r="H28" s="99">
        <f>G28+'5'!H28</f>
        <v>460380.20000000717</v>
      </c>
      <c r="I28" s="140"/>
      <c r="J28" s="175">
        <f>H28/DAY(B2)</f>
        <v>76730.033333334533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G30+'5'!H30</f>
        <v>48773</v>
      </c>
      <c r="I30" s="140"/>
      <c r="J30" s="175">
        <f>H30/DAY(B2)</f>
        <v>8128.833333333333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G31+'5'!H31</f>
        <v>106400</v>
      </c>
      <c r="I31" s="140"/>
      <c r="J31" s="175">
        <f>H31/DAY(B2)</f>
        <v>17733.333333333332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356027.84000001376</v>
      </c>
      <c r="H32" s="99">
        <f>G32+'5'!H32</f>
        <v>2118833.6400000071</v>
      </c>
      <c r="I32" s="144"/>
      <c r="J32" s="175">
        <f>H32/DAY(B2)</f>
        <v>353138.94000000117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213506.23</v>
      </c>
      <c r="F35" s="145">
        <v>215634.29</v>
      </c>
      <c r="G35" s="112">
        <f t="shared" ref="G35:G46" si="3">F35-E35</f>
        <v>2128.0599999999977</v>
      </c>
      <c r="H35" s="99">
        <f>G35+'5'!H35</f>
        <v>12749.290000000008</v>
      </c>
      <c r="I35" s="95"/>
      <c r="J35" s="175">
        <f>H35/DAY(B2)</f>
        <v>2124.881666666668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136230.26999999999</v>
      </c>
      <c r="F36" s="145">
        <v>137092.35999999999</v>
      </c>
      <c r="G36" s="112">
        <f t="shared" si="3"/>
        <v>862.08999999999651</v>
      </c>
      <c r="H36" s="99">
        <f>G36+'5'!H36</f>
        <v>5513.359999999986</v>
      </c>
      <c r="I36" s="95"/>
      <c r="J36" s="175">
        <f>H36/DAY(B2)</f>
        <v>918.89333333333104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191377.33</v>
      </c>
      <c r="F37" s="145">
        <v>192934.61</v>
      </c>
      <c r="G37" s="112">
        <f t="shared" si="3"/>
        <v>1557.2799999999988</v>
      </c>
      <c r="H37" s="99">
        <f>G37+'5'!H37</f>
        <v>9809.609999999986</v>
      </c>
      <c r="I37" s="95"/>
      <c r="J37" s="175">
        <f>H37/DAY(B2)</f>
        <v>1634.9349999999977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255399.29</v>
      </c>
      <c r="F38" s="108">
        <v>257844.65</v>
      </c>
      <c r="G38" s="112">
        <f t="shared" si="3"/>
        <v>2445.359999999986</v>
      </c>
      <c r="H38" s="99">
        <f>G38+'5'!H38</f>
        <v>14392.649999999994</v>
      </c>
      <c r="I38" s="95"/>
      <c r="J38" s="175">
        <f>H38/DAY(B2)</f>
        <v>2398.7749999999992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354224.99</v>
      </c>
      <c r="F39" s="145">
        <v>357172.07</v>
      </c>
      <c r="G39" s="112">
        <f t="shared" si="3"/>
        <v>2947.0800000000163</v>
      </c>
      <c r="H39" s="99">
        <f>G39+'5'!H39</f>
        <v>17184.070000000007</v>
      </c>
      <c r="I39" s="95"/>
      <c r="J39" s="175">
        <f>H39/DAY(B2)</f>
        <v>2864.0116666666677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68678.36</v>
      </c>
      <c r="F40" s="145">
        <v>69076.75</v>
      </c>
      <c r="G40" s="112">
        <f t="shared" si="3"/>
        <v>398.38999999999942</v>
      </c>
      <c r="H40" s="99">
        <f>G40+'5'!H40</f>
        <v>4199.75</v>
      </c>
      <c r="I40" s="95"/>
      <c r="J40" s="175">
        <f>H40/DAY(B2)</f>
        <v>699.95833333333337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54165.11</v>
      </c>
      <c r="F41" s="145">
        <v>59633.94</v>
      </c>
      <c r="G41" s="112">
        <f t="shared" si="3"/>
        <v>5468.8300000000017</v>
      </c>
      <c r="H41" s="99">
        <f>G41+'5'!H41</f>
        <v>31940.940000000002</v>
      </c>
      <c r="I41" s="95"/>
      <c r="J41" s="175">
        <f>H41/DAY(B2)</f>
        <v>5323.4900000000007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442596.75</v>
      </c>
      <c r="F42" s="145">
        <v>442649.19</v>
      </c>
      <c r="G42" s="112">
        <f t="shared" si="3"/>
        <v>52.440000000002328</v>
      </c>
      <c r="H42" s="99">
        <f>G42+'5'!H42</f>
        <v>16848.190000000002</v>
      </c>
      <c r="I42" s="95"/>
      <c r="J42" s="175">
        <f>H42/DAY(B2)</f>
        <v>2808.0316666666672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373372.83</v>
      </c>
      <c r="F43" s="145">
        <v>376064.63</v>
      </c>
      <c r="G43" s="112">
        <f t="shared" si="3"/>
        <v>2691.7999999999884</v>
      </c>
      <c r="H43" s="99">
        <f>G43+'5'!H43</f>
        <v>18545.630000000005</v>
      </c>
      <c r="I43" s="95"/>
      <c r="J43" s="175">
        <f>H43/DAY(B2)</f>
        <v>3090.938333333334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18551.329999999987</v>
      </c>
      <c r="H47" s="99">
        <f>G47+'5'!H47</f>
        <v>131183.49</v>
      </c>
      <c r="I47" s="95"/>
      <c r="J47" s="175">
        <f>H47/DAY(B2)</f>
        <v>21863.914999999997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174419.03</v>
      </c>
      <c r="F49" s="145">
        <v>176563.85</v>
      </c>
      <c r="G49" s="112">
        <f t="shared" ref="G49:G58" si="4">F49-E49</f>
        <v>2144.820000000007</v>
      </c>
      <c r="H49" s="99">
        <f>G49+'5'!H49</f>
        <v>11393.850000000006</v>
      </c>
      <c r="I49" s="95"/>
      <c r="J49" s="175">
        <f>H49/DAY(B2)</f>
        <v>1898.975000000001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178903.37</v>
      </c>
      <c r="F50" s="145">
        <v>180133.81</v>
      </c>
      <c r="G50" s="112">
        <f t="shared" si="4"/>
        <v>1230.4400000000023</v>
      </c>
      <c r="H50" s="99">
        <f>G50+'5'!H50</f>
        <v>7526.8099999999977</v>
      </c>
      <c r="I50" s="95"/>
      <c r="J50" s="175">
        <f>H50/DAY(B2)</f>
        <v>1254.468333333333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52451.49</v>
      </c>
      <c r="F54" s="145">
        <v>52921.41</v>
      </c>
      <c r="G54" s="112">
        <f t="shared" si="4"/>
        <v>469.92000000000553</v>
      </c>
      <c r="H54" s="99">
        <f>G54+'5'!H54</f>
        <v>2838.4100000000035</v>
      </c>
      <c r="I54" s="95"/>
      <c r="J54" s="175">
        <f>H54/DAY(B2)</f>
        <v>473.0683333333339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147642.93</v>
      </c>
      <c r="F55" s="145">
        <v>150060.39000000001</v>
      </c>
      <c r="G55" s="112">
        <f t="shared" si="4"/>
        <v>2417.460000000021</v>
      </c>
      <c r="H55" s="99">
        <f>G55+'5'!H55</f>
        <v>5093.390000000014</v>
      </c>
      <c r="I55" s="95"/>
      <c r="J55" s="175">
        <f>H55/DAY(B2)</f>
        <v>848.8983333333357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107245.66</v>
      </c>
      <c r="F56" s="145">
        <v>107245.66</v>
      </c>
      <c r="G56" s="112">
        <f t="shared" si="4"/>
        <v>0</v>
      </c>
      <c r="H56" s="99">
        <f>G56+'5'!H56</f>
        <v>-0.33999999999650754</v>
      </c>
      <c r="I56" s="95"/>
      <c r="J56" s="175">
        <f>H56/DAY(B2)</f>
        <v>-5.6666666666084588E-2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26684.09</v>
      </c>
      <c r="F58" s="145">
        <v>26928.93</v>
      </c>
      <c r="G58" s="112">
        <f t="shared" si="4"/>
        <v>244.84000000000015</v>
      </c>
      <c r="H58" s="99">
        <f>G58+'5'!H58</f>
        <v>1435.9300000000003</v>
      </c>
      <c r="I58" s="95"/>
      <c r="J58" s="175">
        <f>H58/DAY(B2)</f>
        <v>239.32166666666672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6507.4800000000359</v>
      </c>
      <c r="H59" s="99">
        <f>G59+'5'!H59</f>
        <v>28287.810000000023</v>
      </c>
      <c r="I59" s="95">
        <f>G7-G60</f>
        <v>1678.1499999999396</v>
      </c>
      <c r="J59" s="175">
        <f>H59/DAY(B2)</f>
        <v>4714.6350000000039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25058.810000000023</v>
      </c>
      <c r="H60" s="99">
        <f>G60+'5'!H60</f>
        <v>159471.30000000002</v>
      </c>
      <c r="I60" s="95">
        <f>G13-G60</f>
        <v>948.03000000006068</v>
      </c>
      <c r="J60" s="175">
        <f>H60/DAY(B2)</f>
        <v>26578.550000000003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'5'!F62</f>
        <v>284784</v>
      </c>
      <c r="F62" s="122">
        <v>284955</v>
      </c>
      <c r="G62" s="112">
        <f t="shared" ref="G62:G63" si="5">F62-E62</f>
        <v>171</v>
      </c>
      <c r="H62" s="99">
        <f>G62+'5'!H62</f>
        <v>946</v>
      </c>
      <c r="I62" s="118"/>
      <c r="J62" s="175">
        <f>H62/DAY(B2)</f>
        <v>157.66666666666666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'5'!F63</f>
        <v>228231</v>
      </c>
      <c r="F63" s="122">
        <v>228396</v>
      </c>
      <c r="G63" s="112">
        <f t="shared" si="5"/>
        <v>165</v>
      </c>
      <c r="H63" s="99">
        <f>G63+'5'!H63</f>
        <v>917</v>
      </c>
      <c r="I63" s="118"/>
      <c r="J63" s="175">
        <f>H63/DAY(B2)</f>
        <v>152.83333333333334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'5'!F64</f>
        <v>0</v>
      </c>
      <c r="F64" s="122"/>
      <c r="G64" s="112">
        <f>G62+G63</f>
        <v>336</v>
      </c>
      <c r="H64" s="99">
        <f>G64+'5'!H64</f>
        <v>1863</v>
      </c>
      <c r="I64" s="118"/>
      <c r="J64" s="175">
        <f>H64/DAY(B2)</f>
        <v>310.5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'5'!F65</f>
        <v>445099</v>
      </c>
      <c r="F65" s="122">
        <v>445213</v>
      </c>
      <c r="G65" s="112">
        <f t="shared" ref="G65:G70" si="6">F65-E65</f>
        <v>114</v>
      </c>
      <c r="H65" s="99">
        <f>G65+'5'!H65</f>
        <v>621</v>
      </c>
      <c r="I65" s="118"/>
      <c r="J65" s="175">
        <f>H65/DAY(B2)</f>
        <v>103.5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109677</v>
      </c>
      <c r="F66" s="122">
        <v>109701</v>
      </c>
      <c r="G66" s="112">
        <f t="shared" si="6"/>
        <v>24</v>
      </c>
      <c r="H66" s="99">
        <f>G66+'5'!H66</f>
        <v>120</v>
      </c>
      <c r="I66" s="118"/>
      <c r="J66" s="175">
        <f>H66/DAY(B2)</f>
        <v>20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111275</v>
      </c>
      <c r="F67" s="122">
        <v>111347</v>
      </c>
      <c r="G67" s="112">
        <f t="shared" si="6"/>
        <v>72</v>
      </c>
      <c r="H67" s="99">
        <f>G67+'5'!H67</f>
        <v>447</v>
      </c>
      <c r="I67" s="118"/>
      <c r="J67" s="175">
        <f>H67/DAY(B2)</f>
        <v>74.5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161874</v>
      </c>
      <c r="F68" s="122">
        <v>161885</v>
      </c>
      <c r="G68" s="112">
        <f t="shared" si="6"/>
        <v>11</v>
      </c>
      <c r="H68" s="99">
        <f>G68+'5'!H68</f>
        <v>101</v>
      </c>
      <c r="I68" s="118"/>
      <c r="J68" s="175">
        <f>H68/DAY(B2)</f>
        <v>16.833333333333332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11645</v>
      </c>
      <c r="F69" s="122">
        <v>11652</v>
      </c>
      <c r="G69" s="112">
        <f t="shared" si="6"/>
        <v>7</v>
      </c>
      <c r="H69" s="99">
        <f>G69+'5'!H69</f>
        <v>54</v>
      </c>
      <c r="I69" s="118"/>
      <c r="J69" s="175">
        <f>H69/DAY(B2)</f>
        <v>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9048</v>
      </c>
      <c r="F70" s="122">
        <v>9054</v>
      </c>
      <c r="G70" s="112">
        <f t="shared" si="6"/>
        <v>6</v>
      </c>
      <c r="H70" s="99">
        <f>G70+'5'!H70</f>
        <v>53</v>
      </c>
      <c r="I70" s="118"/>
      <c r="J70" s="175">
        <f>H70/DAY(B2)</f>
        <v>8.8333333333333339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234</v>
      </c>
      <c r="H71" s="99">
        <f>G71+'5'!H71</f>
        <v>1396</v>
      </c>
      <c r="I71" s="154"/>
      <c r="J71" s="175">
        <f>H71/DAY(B2)</f>
        <v>232.66666666666666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'5'!F74</f>
        <v>930284.22</v>
      </c>
      <c r="F74" s="123">
        <v>930577.4</v>
      </c>
      <c r="G74" s="112">
        <f t="shared" ref="G74:G78" si="7">F74-E74</f>
        <v>293.18000000005122</v>
      </c>
      <c r="H74" s="99">
        <f>G74+'5'!H74</f>
        <v>1800.4000000000233</v>
      </c>
      <c r="I74" s="154"/>
      <c r="J74" s="175">
        <f>H74/DAY(B2)</f>
        <v>300.06666666667053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'5'!F76</f>
        <v>180729.85</v>
      </c>
      <c r="F76" s="123">
        <v>180843.51</v>
      </c>
      <c r="G76" s="112">
        <f t="shared" si="7"/>
        <v>113.66000000000349</v>
      </c>
      <c r="H76" s="99">
        <f>G76+'5'!H76</f>
        <v>689.51000000000931</v>
      </c>
      <c r="I76" s="154"/>
      <c r="J76" s="175">
        <f>H76/DAY(B2)</f>
        <v>114.91833333333489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'5'!F77</f>
        <v>45908</v>
      </c>
      <c r="F77" s="123">
        <v>45985</v>
      </c>
      <c r="G77" s="112">
        <f t="shared" si="7"/>
        <v>77</v>
      </c>
      <c r="H77" s="99">
        <f>G77+'5'!H77</f>
        <v>311</v>
      </c>
      <c r="I77" s="154"/>
      <c r="J77" s="175">
        <f>H77/DAY(B2)</f>
        <v>51.833333333333336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117"/>
      <c r="F79" s="117"/>
      <c r="G79" s="112">
        <f>G15-SUM(G74:G78)</f>
        <v>709.62000000014086</v>
      </c>
      <c r="H79" s="99">
        <f>G79+'5'!H79</f>
        <v>3775.9500000000698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>
        <f>SUM(G74:G79)</f>
        <v>1193.4600000001956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41907.18</v>
      </c>
      <c r="F84" s="164">
        <v>41931.19</v>
      </c>
      <c r="G84" s="112">
        <f t="shared" si="8"/>
        <v>24.010000000002037</v>
      </c>
      <c r="H84" s="99">
        <f>G84+'5'!H84</f>
        <v>139.19000000000233</v>
      </c>
      <c r="I84" s="575"/>
      <c r="J84" s="175">
        <f>H84/DAY(B2)</f>
        <v>23.198333333333721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3848.19</v>
      </c>
      <c r="F85" s="164">
        <v>3848.19</v>
      </c>
      <c r="G85" s="112">
        <f t="shared" si="8"/>
        <v>0</v>
      </c>
      <c r="H85" s="99">
        <f>G85+'5'!H85</f>
        <v>71.190000000000055</v>
      </c>
      <c r="I85" s="575"/>
      <c r="J85" s="175">
        <f>H85/DAY(B2)</f>
        <v>11.865000000000009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43957.39</v>
      </c>
      <c r="F86" s="164">
        <v>43974.35</v>
      </c>
      <c r="G86" s="112">
        <f t="shared" si="8"/>
        <v>16.959999999999127</v>
      </c>
      <c r="H86" s="99">
        <f>G86+'5'!H86</f>
        <v>35.349999999998545</v>
      </c>
      <c r="I86" s="575"/>
      <c r="J86" s="175">
        <f>H86/DAY(B2)</f>
        <v>5.8916666666664241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35329.06</v>
      </c>
      <c r="F87" s="164">
        <v>35329.06</v>
      </c>
      <c r="G87" s="112">
        <f t="shared" si="8"/>
        <v>0</v>
      </c>
      <c r="H87" s="99">
        <f>G87+'5'!H87</f>
        <v>5.9999999997671694E-2</v>
      </c>
      <c r="I87" s="575">
        <f>G84+G85+G86+G87</f>
        <v>40.970000000001164</v>
      </c>
      <c r="J87" s="175">
        <f>H87/DAY(B2)</f>
        <v>9.9999999996119495E-3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24198.400000000001</v>
      </c>
      <c r="F88" s="164">
        <v>24206.47</v>
      </c>
      <c r="G88" s="112">
        <f t="shared" si="8"/>
        <v>8.069999999999709</v>
      </c>
      <c r="H88" s="99">
        <f>G88+'5'!H88</f>
        <v>18.350000000002183</v>
      </c>
      <c r="I88" s="575"/>
      <c r="J88" s="175">
        <f>H88/DAY(B2)</f>
        <v>3.0583333333336973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26759</v>
      </c>
      <c r="F89" s="164">
        <v>26769.89</v>
      </c>
      <c r="G89" s="112">
        <f t="shared" si="8"/>
        <v>10.889999999999418</v>
      </c>
      <c r="H89" s="99">
        <f>G89+'5'!H89</f>
        <v>60.669999999998254</v>
      </c>
      <c r="I89" s="575">
        <f>G88+G89</f>
        <v>18.959999999999127</v>
      </c>
      <c r="J89" s="175">
        <f>H89/DAY(B2)</f>
        <v>10.111666666666375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71897.679999999993</v>
      </c>
      <c r="F90" s="164">
        <v>71897.69</v>
      </c>
      <c r="G90" s="112">
        <f t="shared" si="8"/>
        <v>1.0000000009313226E-2</v>
      </c>
      <c r="H90" s="99">
        <f>G90+'5'!H90</f>
        <v>34.160000000003492</v>
      </c>
      <c r="I90" s="575">
        <f>G90</f>
        <v>1.0000000009313226E-2</v>
      </c>
      <c r="J90" s="175">
        <f>H90/DAY(B2)</f>
        <v>5.6933333333339151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4114.55</v>
      </c>
      <c r="F91" s="122">
        <v>4121.6499999999996</v>
      </c>
      <c r="G91" s="112">
        <f t="shared" si="8"/>
        <v>7.0999999999994543</v>
      </c>
      <c r="H91" s="99">
        <f>G91+'5'!H91</f>
        <v>62.409999999999854</v>
      </c>
      <c r="I91" s="594"/>
      <c r="J91" s="175">
        <f>H91/DAY(B2)</f>
        <v>10.401666666666642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5935</v>
      </c>
      <c r="F92" s="122">
        <v>5938.47</v>
      </c>
      <c r="G92" s="112">
        <f t="shared" si="8"/>
        <v>3.4700000000002547</v>
      </c>
      <c r="H92" s="99">
        <f>G92+'5'!H92</f>
        <v>3.4700000000002547</v>
      </c>
      <c r="I92" s="600">
        <f>G91+G92</f>
        <v>10.569999999999709</v>
      </c>
      <c r="J92" s="175">
        <f>H92/DAY(B2)</f>
        <v>0.57833333333337578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6964.679999999993</v>
      </c>
      <c r="H94" s="99">
        <f>G94+'5'!H94</f>
        <v>42688.770000000019</v>
      </c>
      <c r="I94" s="118"/>
      <c r="J94" s="175">
        <f>H94/DAY(B2)</f>
        <v>7114.7950000000028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0.26048885138774203</v>
      </c>
      <c r="H95" s="99">
        <f>G95+'5'!H95</f>
        <v>1.5589938294487191</v>
      </c>
      <c r="I95" s="167"/>
      <c r="J95" s="175">
        <f>H95/DAY(B2)</f>
        <v>0.25983230490811987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7938.730000000025</v>
      </c>
      <c r="H96" s="99">
        <f>G96+'5'!H96</f>
        <v>53882.180000000022</v>
      </c>
      <c r="I96" s="118"/>
      <c r="J96" s="175">
        <f>H96/DAY(B2)</f>
        <v>8980.3633333333364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0.29691969468481216</v>
      </c>
      <c r="H97" s="99">
        <f>G97+'5'!H97</f>
        <v>1.9672543150917363</v>
      </c>
      <c r="I97" s="167"/>
      <c r="J97" s="175">
        <f>H97/DAY(B2)</f>
        <v>0.32787571918195607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2947.0800000000163</v>
      </c>
      <c r="H98" s="99">
        <f>G98+'5'!H98</f>
        <v>17184.070000000007</v>
      </c>
      <c r="I98" s="168"/>
      <c r="J98" s="175">
        <f>H98/DAY(B2)</f>
        <v>2864.0116666666677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0.11022494703960437</v>
      </c>
      <c r="H99" s="99">
        <f>G99+'5'!H99</f>
        <v>0.62967250598542135</v>
      </c>
      <c r="I99" s="168"/>
      <c r="J99" s="175">
        <f>H99/DAY(B2)</f>
        <v>0.10494541766423689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2445.359999999986</v>
      </c>
      <c r="H100" s="99">
        <f>G100+'5'!H100</f>
        <v>14392.409999999994</v>
      </c>
      <c r="I100" s="118"/>
      <c r="J100" s="175">
        <f>H100/DAY(B2)</f>
        <v>2398.7349999999992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9.1459911672830019E-2</v>
      </c>
      <c r="H101" s="99">
        <f>G101+'5'!H101</f>
        <v>0.52724493699879094</v>
      </c>
      <c r="I101" s="168"/>
      <c r="J101" s="175">
        <f>H101/DAY(B2)</f>
        <v>8.7874156166465156E-2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2092.5299999999988</v>
      </c>
      <c r="H102" s="99">
        <f>G102+'5'!H102</f>
        <v>13040.169999999984</v>
      </c>
      <c r="I102" s="168"/>
      <c r="J102" s="175">
        <f>H102/DAY(B2)</f>
        <v>2173.361666666664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7.8263572223618613E-2</v>
      </c>
      <c r="H103" s="99">
        <f>G103+'5'!H103</f>
        <v>0.47587406930436249</v>
      </c>
      <c r="I103" s="118"/>
      <c r="J103" s="175">
        <f>H103/DAY(B2)</f>
        <v>7.9312344884060415E-2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1557.2799999999988</v>
      </c>
      <c r="H104" s="99">
        <f>G104+'5'!H104</f>
        <v>9809.609999999986</v>
      </c>
      <c r="I104" s="118"/>
      <c r="J104" s="175">
        <f>H104/DAY(B2)</f>
        <v>1634.9349999999977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5.824446758345006E-2</v>
      </c>
      <c r="H105" s="99">
        <f>G105+'5'!H105</f>
        <v>0.35890921378499907</v>
      </c>
      <c r="I105" s="187"/>
      <c r="J105" s="188">
        <f>H105/DAY(B2)</f>
        <v>5.9818202297499845E-2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'5'!F112</f>
        <v>635.33000000000004</v>
      </c>
      <c r="F112" s="237">
        <v>714.61</v>
      </c>
      <c r="G112" s="112">
        <f t="shared" ref="G112:G123" si="9">F112-E112</f>
        <v>79.279999999999973</v>
      </c>
      <c r="H112" s="99">
        <f>G112+'5'!H112</f>
        <v>471.61</v>
      </c>
      <c r="I112" s="165"/>
      <c r="J112" s="328">
        <f>H112/DAY(B2)</f>
        <v>78.601666666666674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'5'!F113</f>
        <v>1245.78</v>
      </c>
      <c r="F113" s="237">
        <v>1398.56</v>
      </c>
      <c r="G113" s="112">
        <f t="shared" si="9"/>
        <v>152.77999999999997</v>
      </c>
      <c r="H113" s="99">
        <f>G113+'5'!H113</f>
        <v>916.56</v>
      </c>
      <c r="I113" s="165"/>
      <c r="J113" s="328">
        <f>H113/DAY(B2)</f>
        <v>152.76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'5'!F114</f>
        <v>1757.01</v>
      </c>
      <c r="F114" s="237">
        <v>1982.94</v>
      </c>
      <c r="G114" s="112">
        <f t="shared" si="9"/>
        <v>225.93000000000006</v>
      </c>
      <c r="H114" s="99">
        <f>G114+'5'!H114</f>
        <v>1318.94</v>
      </c>
      <c r="I114" s="165"/>
      <c r="J114" s="328">
        <f>H114/DAY(B2)</f>
        <v>219.82333333333335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'5'!F115</f>
        <v>1339.32</v>
      </c>
      <c r="F115" s="237">
        <v>1508.2</v>
      </c>
      <c r="G115" s="112">
        <f t="shared" si="9"/>
        <v>168.88000000000011</v>
      </c>
      <c r="H115" s="99">
        <f>G115+'5'!H115</f>
        <v>997.2</v>
      </c>
      <c r="I115" s="165"/>
      <c r="J115" s="328">
        <f>H115/DAY(B2)</f>
        <v>166.20000000000002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'5'!F116</f>
        <v>36387.410000000003</v>
      </c>
      <c r="F116" s="237">
        <v>36844</v>
      </c>
      <c r="G116" s="112">
        <f t="shared" si="9"/>
        <v>456.58999999999651</v>
      </c>
      <c r="H116" s="99">
        <f>G116+'5'!H116</f>
        <v>2178</v>
      </c>
      <c r="I116" s="165"/>
      <c r="J116" s="328">
        <f>H116/DAY(B2)</f>
        <v>363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'5'!F117</f>
        <v>19824.28</v>
      </c>
      <c r="F117" s="237">
        <v>20020.89</v>
      </c>
      <c r="G117" s="112">
        <f t="shared" si="9"/>
        <v>196.61000000000058</v>
      </c>
      <c r="H117" s="99">
        <f>G117+'5'!H117</f>
        <v>1084.8899999999994</v>
      </c>
      <c r="I117" s="165"/>
      <c r="J117" s="328">
        <f>H117/DAY(B2)</f>
        <v>180.81499999999991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'5'!F118</f>
        <v>11749.08</v>
      </c>
      <c r="F118" s="237">
        <v>12280.8</v>
      </c>
      <c r="G118" s="112">
        <f t="shared" si="9"/>
        <v>531.71999999999935</v>
      </c>
      <c r="H118" s="99">
        <f>G118+'5'!H118</f>
        <v>3217.7999999999993</v>
      </c>
      <c r="I118" s="165"/>
      <c r="J118" s="328">
        <f>H118/DAY(B2)</f>
        <v>536.29999999999984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'5'!F119</f>
        <v>8028.45</v>
      </c>
      <c r="F119" s="237">
        <v>8429.98</v>
      </c>
      <c r="G119" s="112">
        <f t="shared" si="9"/>
        <v>401.52999999999975</v>
      </c>
      <c r="H119" s="99">
        <f>G119+'5'!H119</f>
        <v>2526.9799999999996</v>
      </c>
      <c r="I119" s="165"/>
      <c r="J119" s="328">
        <f>H119/DAY(B2)</f>
        <v>421.16333333333324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'5'!F120</f>
        <v>9260.18</v>
      </c>
      <c r="F120" s="237">
        <v>9657.66</v>
      </c>
      <c r="G120" s="112">
        <f t="shared" si="9"/>
        <v>397.47999999999956</v>
      </c>
      <c r="H120" s="99">
        <f>G120+'5'!H120</f>
        <v>2522.66</v>
      </c>
      <c r="I120" s="165"/>
      <c r="J120" s="328">
        <f>H120/DAY(B2)</f>
        <v>420.44333333333333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'5'!F121</f>
        <v>13953.73</v>
      </c>
      <c r="F121" s="237">
        <v>14397.56</v>
      </c>
      <c r="G121" s="112">
        <f t="shared" si="9"/>
        <v>443.82999999999993</v>
      </c>
      <c r="H121" s="99">
        <f>G121+'5'!H121</f>
        <v>2670.5599999999995</v>
      </c>
      <c r="I121" s="165"/>
      <c r="J121" s="328">
        <f>H121/DAY(B2)</f>
        <v>445.09333333333325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'5'!F122</f>
        <v>4555.0600000000004</v>
      </c>
      <c r="F122" s="237">
        <v>4761.51</v>
      </c>
      <c r="G122" s="112">
        <f t="shared" si="9"/>
        <v>206.44999999999982</v>
      </c>
      <c r="H122" s="99">
        <f>G122+'5'!H122</f>
        <v>1197.5100000000002</v>
      </c>
      <c r="I122" s="165"/>
      <c r="J122" s="328">
        <f>H122/DAY(B2)</f>
        <v>199.58500000000004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'5'!F123</f>
        <v>2545.94</v>
      </c>
      <c r="F123" s="237">
        <v>2868.11</v>
      </c>
      <c r="G123" s="112">
        <f t="shared" si="9"/>
        <v>322.17000000000007</v>
      </c>
      <c r="H123" s="99">
        <f>G123+'5'!H123</f>
        <v>1901.1100000000001</v>
      </c>
      <c r="I123" s="165"/>
      <c r="J123" s="328">
        <f>H123/DAY(B2)</f>
        <v>316.85166666666669</v>
      </c>
    </row>
    <row r="124" spans="1:18" ht="29.25" customHeight="1">
      <c r="A124" s="890"/>
      <c r="B124" s="891"/>
      <c r="C124" s="892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3583.2499999999955</v>
      </c>
      <c r="H125" s="156"/>
      <c r="I125" s="327">
        <f>G125-(G39+G53)</f>
        <v>636.16999999997915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'5'!F128</f>
        <v>83387.72</v>
      </c>
      <c r="F128" s="165">
        <v>83802.95</v>
      </c>
      <c r="G128" s="112">
        <f t="shared" ref="G128:G134" si="10">F128-E128</f>
        <v>415.22999999999593</v>
      </c>
      <c r="H128" s="99">
        <f>G128+'5'!H128</f>
        <v>2387.9499999999971</v>
      </c>
      <c r="I128" s="165"/>
      <c r="J128" s="328">
        <f>H128/DAY(B2)</f>
        <v>397.99166666666616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52485.17</v>
      </c>
      <c r="F129" s="165">
        <v>52767.48</v>
      </c>
      <c r="G129" s="112">
        <f t="shared" si="10"/>
        <v>282.31000000000495</v>
      </c>
      <c r="H129" s="99">
        <f>G129+'5'!H129</f>
        <v>1695.4800000000032</v>
      </c>
      <c r="I129" s="165"/>
      <c r="J129" s="328">
        <f>H129/DAY(B2)</f>
        <v>282.58000000000055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100275.67</v>
      </c>
      <c r="F130" s="165">
        <v>101002.97</v>
      </c>
      <c r="G130" s="112">
        <f t="shared" si="10"/>
        <v>727.30000000000291</v>
      </c>
      <c r="H130" s="99">
        <f>G130+'5'!H130</f>
        <v>4356.9700000000012</v>
      </c>
      <c r="I130" s="165"/>
      <c r="J130" s="328">
        <f>H130/DAY(B2)</f>
        <v>726.16166666666686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'5'!F131</f>
        <v>31429.94</v>
      </c>
      <c r="F131" s="165">
        <v>31647.54</v>
      </c>
      <c r="G131" s="112">
        <f t="shared" si="10"/>
        <v>217.60000000000218</v>
      </c>
      <c r="H131" s="99">
        <f>G131+'5'!H131</f>
        <v>1212.5400000000009</v>
      </c>
      <c r="I131" s="165"/>
      <c r="J131" s="328">
        <f>H131/DAY(B2)</f>
        <v>202.09000000000015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'5'!F132</f>
        <v>91496.59</v>
      </c>
      <c r="F132" s="165">
        <v>92009.15</v>
      </c>
      <c r="G132" s="112">
        <f t="shared" si="10"/>
        <v>512.55999999999767</v>
      </c>
      <c r="H132" s="99">
        <f>G132+'5'!H132</f>
        <v>3072.1499999999942</v>
      </c>
      <c r="I132" s="165"/>
      <c r="J132" s="328">
        <f>H132/DAY(B2)</f>
        <v>512.02499999999907</v>
      </c>
    </row>
    <row r="133" spans="1:15" ht="25.5">
      <c r="A133" s="886" t="s">
        <v>323</v>
      </c>
      <c r="B133" s="887"/>
      <c r="C133" s="888"/>
      <c r="D133" s="151" t="s">
        <v>183</v>
      </c>
      <c r="E133" s="95">
        <f>'5'!F133</f>
        <v>176850.55</v>
      </c>
      <c r="F133" s="165">
        <v>177967.17</v>
      </c>
      <c r="G133" s="112">
        <f t="shared" si="10"/>
        <v>1116.6200000000244</v>
      </c>
      <c r="H133" s="99">
        <f>G133+'5'!H133</f>
        <v>5521.1700000000128</v>
      </c>
      <c r="I133" s="165"/>
      <c r="J133" s="328">
        <f>H133/DAY(B2)</f>
        <v>920.1950000000021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'5'!F134</f>
        <v>29305.17</v>
      </c>
      <c r="F134" s="165">
        <v>29546.27</v>
      </c>
      <c r="G134" s="112">
        <f t="shared" si="10"/>
        <v>241.10000000000218</v>
      </c>
      <c r="H134" s="99">
        <f>G134+'5'!H134</f>
        <v>1453.2700000000004</v>
      </c>
      <c r="I134" s="165"/>
      <c r="J134" s="328">
        <f>H134/DAY(B2)</f>
        <v>242.21166666666673</v>
      </c>
    </row>
    <row r="135" spans="1:15" ht="25.5">
      <c r="A135" s="868" t="s">
        <v>196</v>
      </c>
      <c r="B135" s="869"/>
      <c r="C135" s="331"/>
      <c r="D135" s="151"/>
      <c r="E135" s="95"/>
      <c r="F135" s="112"/>
      <c r="G135" s="112">
        <f>SUM(G128:G134)</f>
        <v>3512.7200000000303</v>
      </c>
      <c r="H135" s="99">
        <f>G135+'5'!H135</f>
        <v>19699.53000000001</v>
      </c>
      <c r="I135" s="327">
        <f>G135-(G35+G49)</f>
        <v>-760.15999999997439</v>
      </c>
      <c r="J135" s="328">
        <f>H135/DAY(B2)</f>
        <v>3283.2550000000015</v>
      </c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'5'!F138</f>
        <v>879510</v>
      </c>
      <c r="F138" s="147">
        <v>879633</v>
      </c>
      <c r="G138" s="112">
        <f t="shared" ref="G138:G152" si="11">F138-E138</f>
        <v>123</v>
      </c>
      <c r="H138" s="99">
        <f>G138+'5'!H138</f>
        <v>849</v>
      </c>
      <c r="I138" s="118"/>
      <c r="J138" s="328">
        <f>H138/DAY(B2)</f>
        <v>141.5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'5'!F139</f>
        <v>895643</v>
      </c>
      <c r="F139" s="148">
        <v>895793</v>
      </c>
      <c r="G139" s="112">
        <f t="shared" si="11"/>
        <v>150</v>
      </c>
      <c r="H139" s="99">
        <f>G139+'5'!H139</f>
        <v>927</v>
      </c>
      <c r="I139" s="118"/>
      <c r="J139" s="328">
        <f>H139/DAY(B2)</f>
        <v>154.5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'5'!F140</f>
        <v>202.23</v>
      </c>
      <c r="F140" s="149">
        <v>219.19</v>
      </c>
      <c r="G140" s="112">
        <f t="shared" si="11"/>
        <v>16.960000000000008</v>
      </c>
      <c r="H140" s="99">
        <f>G140+'5'!H140</f>
        <v>84.19</v>
      </c>
      <c r="I140" s="118"/>
      <c r="J140" s="328">
        <f>H140/DAY(B2)</f>
        <v>14.031666666666666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'5'!F141</f>
        <v>72809.34</v>
      </c>
      <c r="F141" s="149">
        <v>73022.960000000006</v>
      </c>
      <c r="G141" s="112">
        <f t="shared" si="11"/>
        <v>213.6200000000099</v>
      </c>
      <c r="H141" s="99">
        <f>G141+'5'!H141</f>
        <v>1248.9600000000064</v>
      </c>
      <c r="I141" s="118"/>
      <c r="J141" s="328">
        <f>H141/DAY(B2)</f>
        <v>208.16000000000108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'5'!F142</f>
        <v>27803.61</v>
      </c>
      <c r="F142" s="148">
        <v>27873.34</v>
      </c>
      <c r="G142" s="112">
        <f t="shared" si="11"/>
        <v>69.729999999999563</v>
      </c>
      <c r="H142" s="99">
        <f>G142+'5'!H142</f>
        <v>407.34000000000015</v>
      </c>
      <c r="I142" s="140"/>
      <c r="J142" s="328">
        <f>H142/DAY(B2)</f>
        <v>67.890000000000029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'5'!F143</f>
        <v>6547.51</v>
      </c>
      <c r="F143" s="149">
        <v>6574.5</v>
      </c>
      <c r="G143" s="112">
        <f t="shared" si="11"/>
        <v>26.989999999999782</v>
      </c>
      <c r="H143" s="99">
        <f>G143+'5'!H143</f>
        <v>157.5</v>
      </c>
      <c r="I143" s="140"/>
      <c r="J143" s="328">
        <f>H143/DAY(B2)</f>
        <v>26.25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'5'!F144</f>
        <v>898500</v>
      </c>
      <c r="F144" s="149">
        <v>898760</v>
      </c>
      <c r="G144" s="112">
        <f t="shared" si="11"/>
        <v>260</v>
      </c>
      <c r="H144" s="99">
        <f>G144+'5'!H144</f>
        <v>1527</v>
      </c>
      <c r="I144" s="140"/>
      <c r="J144" s="328">
        <f>H144/DAY(B2)</f>
        <v>254.5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'5'!F145</f>
        <v>5640.04</v>
      </c>
      <c r="F145" s="149">
        <v>5642.57</v>
      </c>
      <c r="G145" s="112">
        <f t="shared" si="11"/>
        <v>2.5299999999997453</v>
      </c>
      <c r="H145" s="99">
        <f>G145+'5'!H145</f>
        <v>14.569999999999709</v>
      </c>
      <c r="I145" s="140"/>
      <c r="J145" s="328">
        <f>H145/DAY(B2)</f>
        <v>2.4283333333332848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'5'!F146</f>
        <v>776579</v>
      </c>
      <c r="F146" s="148">
        <v>776606</v>
      </c>
      <c r="G146" s="112">
        <f t="shared" si="11"/>
        <v>27</v>
      </c>
      <c r="H146" s="99">
        <f>G146+'5'!H146</f>
        <v>152</v>
      </c>
      <c r="I146" s="140"/>
      <c r="J146" s="328">
        <f>H146/DAY(B2)</f>
        <v>25.333333333333332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'5'!F147</f>
        <v>665212.52</v>
      </c>
      <c r="F147" s="148">
        <v>665610.06000000006</v>
      </c>
      <c r="G147" s="112">
        <f t="shared" si="11"/>
        <v>397.54000000003725</v>
      </c>
      <c r="H147" s="99">
        <f>G147+'5'!H147</f>
        <v>2382.0600000000559</v>
      </c>
      <c r="I147" s="140"/>
      <c r="J147" s="328">
        <f>H147/DAY(B2)</f>
        <v>397.01000000000931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'5'!F148</f>
        <v>721600.32</v>
      </c>
      <c r="F148" s="150">
        <v>721936.24</v>
      </c>
      <c r="G148" s="112">
        <f t="shared" si="11"/>
        <v>335.92000000004191</v>
      </c>
      <c r="H148" s="99">
        <f>G148+'5'!H148</f>
        <v>2020.2399999999907</v>
      </c>
      <c r="I148" s="124"/>
      <c r="J148" s="328">
        <f>H148/DAY(B2)</f>
        <v>336.70666666666511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'5'!F149</f>
        <v>86283.31</v>
      </c>
      <c r="F149" s="146">
        <v>86880.74</v>
      </c>
      <c r="G149" s="112">
        <f t="shared" si="11"/>
        <v>597.43000000000757</v>
      </c>
      <c r="H149" s="99">
        <f>G149+'5'!H149</f>
        <v>3492.7400000000052</v>
      </c>
      <c r="I149" s="119"/>
      <c r="J149" s="328">
        <f>H149/DAY(B2)</f>
        <v>582.12333333333424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'5'!F150</f>
        <v>31678.79</v>
      </c>
      <c r="F150" s="233">
        <v>31907.56</v>
      </c>
      <c r="G150" s="112">
        <f t="shared" si="11"/>
        <v>228.77000000000044</v>
      </c>
      <c r="H150" s="99">
        <f>G150+'5'!H150</f>
        <v>1320.5600000000013</v>
      </c>
      <c r="I150" s="119"/>
      <c r="J150" s="328">
        <f>H150/DAY(B2)</f>
        <v>220.09333333333356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'5'!F151</f>
        <v>110728</v>
      </c>
      <c r="F151" s="233">
        <v>111066</v>
      </c>
      <c r="G151" s="112">
        <f t="shared" si="11"/>
        <v>338</v>
      </c>
      <c r="H151" s="99">
        <f>G151+'5'!H151</f>
        <v>1838</v>
      </c>
      <c r="I151" s="119"/>
      <c r="J151" s="328">
        <f>H151/DAY(B2)</f>
        <v>306.33333333333331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'5'!F152</f>
        <v>11835.48</v>
      </c>
      <c r="F152" s="233">
        <v>11987.93</v>
      </c>
      <c r="G152" s="112">
        <f t="shared" si="11"/>
        <v>152.45000000000073</v>
      </c>
      <c r="H152" s="99">
        <f>G152+'5'!H152</f>
        <v>831.93000000000029</v>
      </c>
      <c r="I152" s="119"/>
      <c r="J152" s="328">
        <f>H152/DAY(B2)</f>
        <v>138.65500000000006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2939.9400000000969</v>
      </c>
      <c r="H153" s="363"/>
      <c r="I153" s="119">
        <f>G153-(G38+G52)</f>
        <v>494.58000000011089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'5'!F155</f>
        <v>95892.85</v>
      </c>
      <c r="F155" s="374">
        <v>96466.92</v>
      </c>
      <c r="G155" s="112">
        <f t="shared" ref="G155:G158" si="12">F155-E155</f>
        <v>574.06999999999243</v>
      </c>
      <c r="H155" s="99">
        <f>G155+'5'!H155</f>
        <v>3734.9199999999983</v>
      </c>
      <c r="I155" s="364"/>
      <c r="J155" s="328">
        <f>H155/DAY(B2)</f>
        <v>622.48666666666634</v>
      </c>
    </row>
    <row r="156" spans="1:10" ht="25.5">
      <c r="A156" s="864" t="s">
        <v>346</v>
      </c>
      <c r="B156" s="864"/>
      <c r="C156" s="864"/>
      <c r="D156" s="117" t="s">
        <v>130</v>
      </c>
      <c r="E156" s="95">
        <f>'5'!F156</f>
        <v>8023.2</v>
      </c>
      <c r="F156" s="155">
        <v>8079.65</v>
      </c>
      <c r="G156" s="112">
        <f t="shared" si="12"/>
        <v>56.449999999999818</v>
      </c>
      <c r="H156" s="99">
        <f>G156+'5'!H156</f>
        <v>388.64999999999964</v>
      </c>
      <c r="I156" s="165"/>
      <c r="J156" s="328">
        <f>H156/DAY(B2)</f>
        <v>64.774999999999935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'5'!F157</f>
        <v>14063.46</v>
      </c>
      <c r="F157" s="155">
        <v>14169.13</v>
      </c>
      <c r="G157" s="112">
        <f t="shared" si="12"/>
        <v>105.67000000000007</v>
      </c>
      <c r="H157" s="99">
        <f>G157+'5'!H157</f>
        <v>673.1299999999992</v>
      </c>
      <c r="I157" s="165"/>
      <c r="J157" s="328">
        <f>H157/DAY(B2)</f>
        <v>112.1883333333332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'5'!F158</f>
        <v>124.53</v>
      </c>
      <c r="F158" s="155">
        <v>124.78</v>
      </c>
      <c r="G158" s="112">
        <f t="shared" si="12"/>
        <v>0.25</v>
      </c>
      <c r="H158" s="99">
        <f>G158+'5'!H158</f>
        <v>45.239999999999995</v>
      </c>
      <c r="I158" s="165"/>
      <c r="J158" s="328">
        <f>H158/DAY(B2)</f>
        <v>7.5399999999999991</v>
      </c>
    </row>
    <row r="159" spans="1:10" ht="25.5">
      <c r="A159" s="950"/>
      <c r="B159" s="951"/>
      <c r="C159" s="952"/>
      <c r="D159" s="117"/>
      <c r="E159" s="95"/>
      <c r="F159" s="15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474902</v>
      </c>
      <c r="F161" s="235">
        <v>474924.64</v>
      </c>
      <c r="G161" s="238">
        <f t="shared" ref="G161:G165" si="13">F161-E161</f>
        <v>22.64000000001397</v>
      </c>
      <c r="H161" s="99">
        <f>G161+'5'!H161</f>
        <v>141.64000000001397</v>
      </c>
      <c r="I161" s="236"/>
      <c r="J161" s="239">
        <f>H161/DAY(B2)</f>
        <v>23.606666666668996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91728</v>
      </c>
      <c r="F162" s="235">
        <v>91766.3</v>
      </c>
      <c r="G162" s="238">
        <f t="shared" si="13"/>
        <v>38.30000000000291</v>
      </c>
      <c r="H162" s="99">
        <f>G162+'5'!H162</f>
        <v>219.30000000000291</v>
      </c>
      <c r="I162" s="236"/>
      <c r="J162" s="239">
        <f>H162/DAY(B2)</f>
        <v>36.550000000000487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92851.8</v>
      </c>
      <c r="F163" s="235">
        <v>92987.8</v>
      </c>
      <c r="G163" s="238">
        <f t="shared" si="13"/>
        <v>136</v>
      </c>
      <c r="H163" s="99">
        <f>G163+'5'!H163</f>
        <v>951.80000000000291</v>
      </c>
      <c r="I163" s="236"/>
      <c r="J163" s="239">
        <f>H163/DAY(B2)</f>
        <v>158.63333333333381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5238.6000000000004</v>
      </c>
      <c r="F164" s="235">
        <v>5251.6</v>
      </c>
      <c r="G164" s="238">
        <f t="shared" si="13"/>
        <v>13</v>
      </c>
      <c r="H164" s="99">
        <f>G164+'5'!H164</f>
        <v>69.600000000000364</v>
      </c>
      <c r="I164" s="236"/>
      <c r="J164" s="239">
        <f>H164/DAY(B2)</f>
        <v>11.60000000000006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30695.55</v>
      </c>
      <c r="F165" s="235">
        <v>30709.66</v>
      </c>
      <c r="G165" s="238">
        <f t="shared" si="13"/>
        <v>14.110000000000582</v>
      </c>
      <c r="H165" s="99">
        <f>G165+'5'!H165</f>
        <v>75.659999999999854</v>
      </c>
      <c r="I165" s="236"/>
      <c r="J165" s="239">
        <f>H165/DAY(B2)</f>
        <v>12.609999999999976</v>
      </c>
    </row>
    <row r="166" spans="1:10" ht="26.25">
      <c r="A166" s="873"/>
      <c r="B166" s="873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'5'!F173</f>
        <v>8265</v>
      </c>
      <c r="F173" s="155">
        <v>8265</v>
      </c>
      <c r="G173" s="155">
        <f>F173-E173</f>
        <v>0</v>
      </c>
      <c r="H173" s="99">
        <f>G173+'5'!H173</f>
        <v>4</v>
      </c>
      <c r="I173" s="155"/>
      <c r="J173" s="178">
        <f>H173/DAY(B2)</f>
        <v>0.66666666666666663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'5'!F174</f>
        <v>40004</v>
      </c>
      <c r="F174" s="157">
        <v>40018</v>
      </c>
      <c r="G174" s="155">
        <f t="shared" ref="G174:G175" si="14">F174-E174</f>
        <v>14</v>
      </c>
      <c r="H174" s="99">
        <f>G174+'5'!H174</f>
        <v>90</v>
      </c>
      <c r="I174" s="155"/>
      <c r="J174" s="178">
        <f>H174/DAY(B2)</f>
        <v>15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'5'!F175</f>
        <v>22952</v>
      </c>
      <c r="F175" s="155">
        <v>22966</v>
      </c>
      <c r="G175" s="155">
        <f t="shared" si="14"/>
        <v>14</v>
      </c>
      <c r="H175" s="99">
        <f>G175+'5'!H175</f>
        <v>77</v>
      </c>
      <c r="I175" s="155"/>
      <c r="J175" s="178">
        <f>H175/DAY(B2)</f>
        <v>12.833333333333334</v>
      </c>
    </row>
    <row r="176" spans="1:10" ht="25.5">
      <c r="A176" s="464" t="s">
        <v>196</v>
      </c>
      <c r="B176" s="465"/>
      <c r="C176" s="333"/>
      <c r="D176" s="228"/>
      <c r="E176" s="95">
        <f>'5'!F176</f>
        <v>0</v>
      </c>
      <c r="F176" s="155"/>
      <c r="G176" s="155">
        <f>SUM(G173:G175)</f>
        <v>28</v>
      </c>
      <c r="H176" s="99">
        <f>G176+'5'!H176</f>
        <v>171</v>
      </c>
      <c r="I176" s="155"/>
      <c r="J176" s="178">
        <f>H176/DAY(B2)</f>
        <v>28.5</v>
      </c>
    </row>
    <row r="177" spans="1:10" ht="25.5">
      <c r="A177" s="879" t="s">
        <v>77</v>
      </c>
      <c r="B177" s="880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'5'!F178</f>
        <v>89133</v>
      </c>
      <c r="F178" s="155">
        <v>89242</v>
      </c>
      <c r="G178" s="155">
        <f>F178-E178</f>
        <v>109</v>
      </c>
      <c r="H178" s="99">
        <f>G178+'5'!H178</f>
        <v>639</v>
      </c>
      <c r="I178" s="155"/>
      <c r="J178" s="178">
        <f>H178/DAY(B2)</f>
        <v>106.5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'5'!F179</f>
        <v>35773</v>
      </c>
      <c r="F179" s="155">
        <v>35773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'5'!F180</f>
        <v>6431</v>
      </c>
      <c r="F180" s="155">
        <v>6445</v>
      </c>
      <c r="G180" s="155">
        <f t="shared" si="15"/>
        <v>14</v>
      </c>
      <c r="H180" s="99">
        <f>G180+'5'!H180</f>
        <v>56</v>
      </c>
      <c r="I180" s="155"/>
      <c r="J180" s="178">
        <f>H180/DAY(B2)</f>
        <v>9.3333333333333339</v>
      </c>
    </row>
    <row r="181" spans="1:10" ht="25.5">
      <c r="A181" s="881" t="s">
        <v>108</v>
      </c>
      <c r="B181" s="882"/>
      <c r="C181" s="333"/>
      <c r="D181" s="228"/>
      <c r="E181" s="95">
        <f>'5'!F181</f>
        <v>0</v>
      </c>
      <c r="F181" s="155"/>
      <c r="G181" s="155">
        <f>SUM(G178:G180)</f>
        <v>123</v>
      </c>
      <c r="H181" s="99">
        <f>G181+'5'!H181</f>
        <v>695</v>
      </c>
      <c r="I181" s="155"/>
      <c r="J181" s="178">
        <f>H181/DAY(B2)</f>
        <v>115.83333333333333</v>
      </c>
    </row>
    <row r="182" spans="1:10" ht="25.5">
      <c r="A182" s="879" t="s">
        <v>213</v>
      </c>
      <c r="B182" s="880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'5'!F183</f>
        <v>16680</v>
      </c>
      <c r="F183" s="157">
        <v>16690</v>
      </c>
      <c r="G183" s="157">
        <f>F183-E183</f>
        <v>10</v>
      </c>
      <c r="H183" s="99">
        <f>G183+'5'!H183</f>
        <v>68</v>
      </c>
      <c r="I183" s="155"/>
      <c r="J183" s="178">
        <f>H183/DAY(B2)</f>
        <v>11.333333333333334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'5'!F184</f>
        <v>11313</v>
      </c>
      <c r="F184" s="157">
        <v>11318</v>
      </c>
      <c r="G184" s="157">
        <f t="shared" ref="G184:G185" si="16">F184-E184</f>
        <v>5</v>
      </c>
      <c r="H184" s="99">
        <f>G184+'5'!H184</f>
        <v>44</v>
      </c>
      <c r="I184" s="155"/>
      <c r="J184" s="178">
        <f>H184/DAY(B2)</f>
        <v>7.333333333333333</v>
      </c>
    </row>
    <row r="185" spans="1:10" ht="25.5">
      <c r="A185" s="879" t="s">
        <v>216</v>
      </c>
      <c r="B185" s="880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334"/>
      <c r="D186" s="229"/>
      <c r="E186" s="95"/>
      <c r="F186" s="157"/>
      <c r="G186" s="157">
        <f>SUM(G183:G185)</f>
        <v>15</v>
      </c>
      <c r="H186" s="99">
        <f>G186+'5'!H186</f>
        <v>112</v>
      </c>
      <c r="I186" s="157"/>
      <c r="J186" s="178">
        <f>H186/DAY(B2)</f>
        <v>18.666666666666668</v>
      </c>
    </row>
    <row r="187" spans="1:10" ht="25.5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226</v>
      </c>
      <c r="H187" s="99">
        <f>G187+'5'!H187</f>
        <v>1269</v>
      </c>
      <c r="I187" s="158"/>
      <c r="J187" s="179">
        <f>H187/DAY(B2)</f>
        <v>211.5</v>
      </c>
    </row>
    <row r="188" spans="1:10" ht="25.5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223</v>
      </c>
      <c r="H188" s="99">
        <f>G188+'5'!H188</f>
        <v>1295</v>
      </c>
      <c r="I188" s="158"/>
      <c r="J188" s="179">
        <f>H188/DAY(B2)</f>
        <v>215.83333333333334</v>
      </c>
    </row>
    <row r="189" spans="1:10" ht="25.5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123</v>
      </c>
      <c r="H189" s="99">
        <f>G189+'5'!H189</f>
        <v>695</v>
      </c>
      <c r="I189" s="158"/>
      <c r="J189" s="179">
        <f>H189/DAY(B2)</f>
        <v>115.83333333333333</v>
      </c>
    </row>
    <row r="190" spans="1:10" ht="25.5">
      <c r="A190" s="877"/>
      <c r="B190" s="87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49" zoomScale="60" zoomScaleNormal="77" workbookViewId="0">
      <selection activeCell="F65" sqref="F6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303</v>
      </c>
      <c r="B2" s="262">
        <v>44658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995170.07</v>
      </c>
      <c r="F7" s="95">
        <v>1023340</v>
      </c>
      <c r="G7" s="112">
        <f>F7-E7</f>
        <v>28169.930000000051</v>
      </c>
      <c r="H7" s="99">
        <f>G7+'6'!H7</f>
        <v>192289</v>
      </c>
      <c r="I7" s="113">
        <f>'1'!I7</f>
        <v>12000</v>
      </c>
      <c r="J7" s="175">
        <f>H7/DAY(B2)</f>
        <v>27469.857142857141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86153.88</v>
      </c>
      <c r="F8" s="114">
        <v>114901</v>
      </c>
      <c r="G8" s="115">
        <f>F8-E8</f>
        <v>28747.119999999995</v>
      </c>
      <c r="H8" s="99">
        <f>G8+'6'!H8</f>
        <v>195778.27999999997</v>
      </c>
      <c r="I8" s="116"/>
      <c r="J8" s="175">
        <f>H8/DAY(B2)</f>
        <v>27968.325714285711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2024062.5</v>
      </c>
      <c r="F9" s="117">
        <v>2043960</v>
      </c>
      <c r="G9" s="112">
        <f>F9-E9</f>
        <v>19897.5</v>
      </c>
      <c r="H9" s="99">
        <f>G9+'6'!H9</f>
        <v>152925</v>
      </c>
      <c r="I9" s="124">
        <f>I7-J7</f>
        <v>-15469.857142857141</v>
      </c>
      <c r="J9" s="175">
        <f>H9/DAY(B2)</f>
        <v>21846.428571428572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641857.75</v>
      </c>
      <c r="F10" s="117">
        <v>649336</v>
      </c>
      <c r="G10" s="112">
        <f t="shared" ref="G10:G12" si="0">F10-E10</f>
        <v>7478.25</v>
      </c>
      <c r="H10" s="99">
        <f>G10+'6'!H10</f>
        <v>33800</v>
      </c>
      <c r="I10" s="282"/>
      <c r="J10" s="175">
        <f>H10/DAY(B2)</f>
        <v>4828.5714285714284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27375.75</v>
      </c>
      <c r="H13" s="99">
        <f>G13+'6'!H13</f>
        <v>184208.75</v>
      </c>
      <c r="I13" s="120">
        <f>G7-G13</f>
        <v>794.18000000005122</v>
      </c>
      <c r="J13" s="175">
        <f>H13/DAY(B2)</f>
        <v>26315.535714285714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2010303.86</v>
      </c>
      <c r="F15" s="470">
        <v>2011438</v>
      </c>
      <c r="G15" s="112">
        <f>(F15-E15)</f>
        <v>1134.1399999998976</v>
      </c>
      <c r="H15" s="99">
        <f>G15+'6'!H15</f>
        <v>7711</v>
      </c>
      <c r="I15" s="113">
        <f>'1'!I15</f>
        <v>800</v>
      </c>
      <c r="J15" s="175">
        <f>H15/DAY(B2)</f>
        <v>1101.5714285714287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-301.57142857142867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'6'!F18</f>
        <v>23</v>
      </c>
      <c r="F18" s="122">
        <v>25</v>
      </c>
      <c r="G18" s="119">
        <f>F18*10</f>
        <v>250</v>
      </c>
      <c r="H18" s="99">
        <f>G18+'6'!H18</f>
        <v>1580</v>
      </c>
      <c r="I18" s="113">
        <f>'1'!I18</f>
        <v>65</v>
      </c>
      <c r="J18" s="175">
        <f>H18/DAY(B2)</f>
        <v>225.71428571428572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'6'!F19</f>
        <v>158777</v>
      </c>
      <c r="F19" s="122">
        <v>158833</v>
      </c>
      <c r="G19" s="112">
        <f t="shared" ref="G19" si="1">F19-E19</f>
        <v>56</v>
      </c>
      <c r="H19" s="99">
        <f>G19+'6'!H19</f>
        <v>379</v>
      </c>
      <c r="I19" s="335"/>
      <c r="J19" s="175">
        <f>H19/DAY(B2)</f>
        <v>54.142857142857146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306</v>
      </c>
      <c r="H20" s="99">
        <f>G20+'6'!H20</f>
        <v>1959</v>
      </c>
      <c r="I20" s="336">
        <f>I18-J20</f>
        <v>-214.85714285714283</v>
      </c>
      <c r="J20" s="175">
        <f>H20/DAY(B2)</f>
        <v>279.85714285714283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28747.119999999995</v>
      </c>
      <c r="F27" s="136">
        <v>9</v>
      </c>
      <c r="G27" s="137">
        <f>E27*F27</f>
        <v>258724.07999999996</v>
      </c>
      <c r="H27" s="99">
        <f>G27+'6'!H27</f>
        <v>1762004.52</v>
      </c>
      <c r="I27" s="138"/>
      <c r="J27" s="175">
        <f>H27/DAY(B2)</f>
        <v>251714.93142857144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1134.1399999998976</v>
      </c>
      <c r="F28" s="136">
        <v>70</v>
      </c>
      <c r="G28" s="137">
        <f>E28*F28</f>
        <v>79389.799999992829</v>
      </c>
      <c r="H28" s="99">
        <f>G28+'6'!H28</f>
        <v>539770</v>
      </c>
      <c r="I28" s="140"/>
      <c r="J28" s="175">
        <f>H28/DAY(B2)</f>
        <v>77110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G30+'6'!H30</f>
        <v>57229</v>
      </c>
      <c r="I30" s="140"/>
      <c r="J30" s="175">
        <f>H30/DAY(B2)</f>
        <v>8175.5714285714284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G31+'6'!H31</f>
        <v>126400</v>
      </c>
      <c r="I31" s="140"/>
      <c r="J31" s="175">
        <f>H31/DAY(B2)</f>
        <v>18057.142857142859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366569.87999999279</v>
      </c>
      <c r="H32" s="99">
        <f>G32+'6'!H32</f>
        <v>2485403.52</v>
      </c>
      <c r="I32" s="144"/>
      <c r="J32" s="175">
        <f>H32/DAY(B2)</f>
        <v>355057.64571428573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215634.29</v>
      </c>
      <c r="F35" s="145">
        <v>217697</v>
      </c>
      <c r="G35" s="112">
        <f t="shared" ref="G35:G46" si="3">F35-E35</f>
        <v>2062.7099999999919</v>
      </c>
      <c r="H35" s="99">
        <f>G35+'6'!H35</f>
        <v>14812</v>
      </c>
      <c r="I35" s="95"/>
      <c r="J35" s="175">
        <f>H35/DAY(B2)</f>
        <v>2116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137092.35999999999</v>
      </c>
      <c r="F36" s="145">
        <v>138143</v>
      </c>
      <c r="G36" s="112">
        <f t="shared" si="3"/>
        <v>1050.640000000014</v>
      </c>
      <c r="H36" s="99">
        <f>G36+'6'!H36</f>
        <v>6564</v>
      </c>
      <c r="I36" s="95"/>
      <c r="J36" s="175">
        <f>H36/DAY(B2)</f>
        <v>937.71428571428567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192934.61</v>
      </c>
      <c r="F37" s="145">
        <v>194550</v>
      </c>
      <c r="G37" s="112">
        <f t="shared" si="3"/>
        <v>1615.390000000014</v>
      </c>
      <c r="H37" s="99">
        <f>G37+'6'!H37</f>
        <v>11425</v>
      </c>
      <c r="I37" s="95"/>
      <c r="J37" s="175">
        <f>H37/DAY(B2)</f>
        <v>1632.1428571428571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257844.65</v>
      </c>
      <c r="F38" s="108">
        <v>260297</v>
      </c>
      <c r="G38" s="112">
        <f t="shared" si="3"/>
        <v>2452.3500000000058</v>
      </c>
      <c r="H38" s="99">
        <f>G38+'6'!H38</f>
        <v>16845</v>
      </c>
      <c r="I38" s="95"/>
      <c r="J38" s="175">
        <f>H38/DAY(B2)</f>
        <v>2406.4285714285716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357172.07</v>
      </c>
      <c r="F39" s="145">
        <v>360153</v>
      </c>
      <c r="G39" s="112">
        <f t="shared" si="3"/>
        <v>2980.929999999993</v>
      </c>
      <c r="H39" s="99">
        <f>G39+'6'!H39</f>
        <v>20165</v>
      </c>
      <c r="I39" s="95"/>
      <c r="J39" s="175">
        <f>H39/DAY(B2)</f>
        <v>2880.7142857142858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69076.75</v>
      </c>
      <c r="F40" s="145">
        <v>69283</v>
      </c>
      <c r="G40" s="112">
        <f t="shared" si="3"/>
        <v>206.25</v>
      </c>
      <c r="H40" s="99">
        <f>G40+'6'!H40</f>
        <v>4406</v>
      </c>
      <c r="I40" s="95"/>
      <c r="J40" s="175">
        <f>H40/DAY(B2)</f>
        <v>629.42857142857144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59633.94</v>
      </c>
      <c r="F41" s="145">
        <v>65445</v>
      </c>
      <c r="G41" s="112">
        <f t="shared" si="3"/>
        <v>5811.0599999999977</v>
      </c>
      <c r="H41" s="99">
        <f>G41+'6'!H41</f>
        <v>37752</v>
      </c>
      <c r="I41" s="95"/>
      <c r="J41" s="175">
        <f>H41/DAY(B2)</f>
        <v>5393.1428571428569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442649.19</v>
      </c>
      <c r="F42" s="145">
        <v>442649</v>
      </c>
      <c r="G42" s="112">
        <f t="shared" si="3"/>
        <v>-0.19000000000232831</v>
      </c>
      <c r="H42" s="99">
        <f>G42+'6'!H42</f>
        <v>16848</v>
      </c>
      <c r="I42" s="95"/>
      <c r="J42" s="175">
        <f>H42/DAY(B2)</f>
        <v>2406.8571428571427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376064.63</v>
      </c>
      <c r="F43" s="145">
        <v>378856</v>
      </c>
      <c r="G43" s="112">
        <f t="shared" si="3"/>
        <v>2791.3699999999953</v>
      </c>
      <c r="H43" s="99">
        <f>G43+'6'!H43</f>
        <v>21337</v>
      </c>
      <c r="I43" s="95"/>
      <c r="J43" s="175">
        <f>H43/DAY(B2)</f>
        <v>3048.1428571428573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18970.510000000009</v>
      </c>
      <c r="H47" s="99">
        <f>G47+'6'!H47</f>
        <v>150154</v>
      </c>
      <c r="I47" s="95"/>
      <c r="J47" s="175">
        <f>H47/DAY(B2)</f>
        <v>21450.571428571428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176563.85</v>
      </c>
      <c r="F49" s="145">
        <v>178600</v>
      </c>
      <c r="G49" s="112">
        <f t="shared" ref="G49:G58" si="4">F49-E49</f>
        <v>2036.1499999999942</v>
      </c>
      <c r="H49" s="99">
        <f>G49+'6'!H49</f>
        <v>13430</v>
      </c>
      <c r="I49" s="95"/>
      <c r="J49" s="175">
        <f>H49/DAY(B2)</f>
        <v>1918.5714285714287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180133.81</v>
      </c>
      <c r="F50" s="145">
        <v>181614</v>
      </c>
      <c r="G50" s="112">
        <f t="shared" si="4"/>
        <v>1480.1900000000023</v>
      </c>
      <c r="H50" s="99">
        <f>G50+'6'!H50</f>
        <v>9007</v>
      </c>
      <c r="I50" s="95"/>
      <c r="J50" s="175">
        <f>H50/DAY(B2)</f>
        <v>1286.7142857142858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52921.41</v>
      </c>
      <c r="F54" s="145">
        <v>53390</v>
      </c>
      <c r="G54" s="112">
        <f t="shared" si="4"/>
        <v>468.58999999999651</v>
      </c>
      <c r="H54" s="99">
        <f>G54+'6'!H54</f>
        <v>3307</v>
      </c>
      <c r="I54" s="95"/>
      <c r="J54" s="175">
        <f>H54/DAY(B2)</f>
        <v>472.42857142857144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150060.39000000001</v>
      </c>
      <c r="F55" s="145">
        <v>152801</v>
      </c>
      <c r="G55" s="112">
        <f t="shared" si="4"/>
        <v>2740.609999999986</v>
      </c>
      <c r="H55" s="99">
        <f>G55+'6'!H55</f>
        <v>7834</v>
      </c>
      <c r="I55" s="95"/>
      <c r="J55" s="175">
        <f>H55/DAY(B2)</f>
        <v>1119.1428571428571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107245.66</v>
      </c>
      <c r="F56" s="145">
        <v>107245.86</v>
      </c>
      <c r="G56" s="112">
        <f t="shared" si="4"/>
        <v>0.19999999999708962</v>
      </c>
      <c r="H56" s="99">
        <f>G56+'6'!H56</f>
        <v>-0.13999999999941792</v>
      </c>
      <c r="I56" s="95"/>
      <c r="J56" s="175">
        <f>H56/DAY(B2)</f>
        <v>-1.9999999999916845E-2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26928.93</v>
      </c>
      <c r="F58" s="145">
        <v>27158</v>
      </c>
      <c r="G58" s="112">
        <f t="shared" si="4"/>
        <v>229.06999999999971</v>
      </c>
      <c r="H58" s="99">
        <f>G58+'6'!H58</f>
        <v>1665</v>
      </c>
      <c r="I58" s="95"/>
      <c r="J58" s="175">
        <f>H58/DAY(B2)</f>
        <v>237.85714285714286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6954.8099999999758</v>
      </c>
      <c r="H59" s="99">
        <f>G59+'6'!H59</f>
        <v>35242.619999999995</v>
      </c>
      <c r="I59" s="95">
        <f>G7-G60</f>
        <v>2244.6100000000661</v>
      </c>
      <c r="J59" s="175">
        <f>H59/DAY(B2)</f>
        <v>5034.6599999999989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25925.319999999985</v>
      </c>
      <c r="H60" s="99">
        <f>G60+'6'!H60</f>
        <v>185396.62</v>
      </c>
      <c r="I60" s="95">
        <f>G13-G60</f>
        <v>1450.4300000000148</v>
      </c>
      <c r="J60" s="175">
        <f>H60/DAY(B2)</f>
        <v>26485.231428571427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'6'!F62</f>
        <v>284955</v>
      </c>
      <c r="F62" s="122">
        <v>285135</v>
      </c>
      <c r="G62" s="112">
        <f t="shared" ref="G62:G63" si="5">F62-E62</f>
        <v>180</v>
      </c>
      <c r="H62" s="99">
        <f>G62+'6'!H62</f>
        <v>1126</v>
      </c>
      <c r="I62" s="118"/>
      <c r="J62" s="175">
        <f>H62/DAY(B2)</f>
        <v>160.85714285714286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'6'!F63</f>
        <v>228396</v>
      </c>
      <c r="F63" s="122">
        <v>228531</v>
      </c>
      <c r="G63" s="112">
        <f t="shared" si="5"/>
        <v>135</v>
      </c>
      <c r="H63" s="99">
        <f>G63+'6'!H63</f>
        <v>1052</v>
      </c>
      <c r="I63" s="118"/>
      <c r="J63" s="175">
        <f>H63/DAY(B2)</f>
        <v>150.28571428571428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'6'!F64</f>
        <v>0</v>
      </c>
      <c r="F64" s="122"/>
      <c r="G64" s="112">
        <f>G62+G63</f>
        <v>315</v>
      </c>
      <c r="H64" s="99">
        <f>G64+'6'!H64</f>
        <v>2178</v>
      </c>
      <c r="I64" s="118"/>
      <c r="J64" s="175">
        <f>H64/DAY(B2)</f>
        <v>311.14285714285717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'6'!F65</f>
        <v>445213</v>
      </c>
      <c r="F65" s="122">
        <v>445318</v>
      </c>
      <c r="G65" s="112">
        <f t="shared" ref="G65:G70" si="6">F65-E65</f>
        <v>105</v>
      </c>
      <c r="H65" s="99">
        <f>G65+'6'!H65</f>
        <v>726</v>
      </c>
      <c r="I65" s="118"/>
      <c r="J65" s="175">
        <f>H65/DAY(B2)</f>
        <v>103.71428571428571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109701</v>
      </c>
      <c r="F66" s="122">
        <v>109729</v>
      </c>
      <c r="G66" s="112">
        <f t="shared" si="6"/>
        <v>28</v>
      </c>
      <c r="H66" s="99">
        <f>G66+'6'!H66</f>
        <v>148</v>
      </c>
      <c r="I66" s="118"/>
      <c r="J66" s="175">
        <f>H66/DAY(B2)</f>
        <v>21.142857142857142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111347</v>
      </c>
      <c r="F67" s="150">
        <v>111425</v>
      </c>
      <c r="G67" s="112">
        <f t="shared" si="6"/>
        <v>78</v>
      </c>
      <c r="H67" s="99">
        <f>G67+'6'!H67</f>
        <v>525</v>
      </c>
      <c r="I67" s="118"/>
      <c r="J67" s="175">
        <f>H67/DAY(B2)</f>
        <v>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161885</v>
      </c>
      <c r="F68" s="122">
        <v>161905</v>
      </c>
      <c r="G68" s="112">
        <f t="shared" si="6"/>
        <v>20</v>
      </c>
      <c r="H68" s="99">
        <f>G68+'6'!H68</f>
        <v>121</v>
      </c>
      <c r="I68" s="118"/>
      <c r="J68" s="175">
        <f>H68/DAY(B2)</f>
        <v>17.285714285714285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11652</v>
      </c>
      <c r="F69" s="122">
        <v>11661</v>
      </c>
      <c r="G69" s="112">
        <f t="shared" si="6"/>
        <v>9</v>
      </c>
      <c r="H69" s="99">
        <f>G69+'6'!H69</f>
        <v>63</v>
      </c>
      <c r="I69" s="118"/>
      <c r="J69" s="175">
        <f>H69/DAY(B2)</f>
        <v>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9054</v>
      </c>
      <c r="F70" s="150">
        <v>9067</v>
      </c>
      <c r="G70" s="112">
        <f t="shared" si="6"/>
        <v>13</v>
      </c>
      <c r="H70" s="99">
        <f>G70+'6'!H70</f>
        <v>66</v>
      </c>
      <c r="I70" s="118"/>
      <c r="J70" s="175">
        <f>H70/DAY(B2)</f>
        <v>9.4285714285714288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253</v>
      </c>
      <c r="H71" s="99">
        <f>G71+'6'!H71</f>
        <v>1649</v>
      </c>
      <c r="I71" s="154"/>
      <c r="J71" s="175">
        <f>H71/DAY(B2)</f>
        <v>235.57142857142858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'6'!F74</f>
        <v>930577.4</v>
      </c>
      <c r="F74" s="123">
        <v>930923</v>
      </c>
      <c r="G74" s="112">
        <f t="shared" ref="G74:G78" si="7">F74-E74</f>
        <v>345.59999999997672</v>
      </c>
      <c r="H74" s="99">
        <f>G74+'6'!H74</f>
        <v>2146</v>
      </c>
      <c r="I74" s="154"/>
      <c r="J74" s="175">
        <f>H74/DAY(B2)</f>
        <v>306.57142857142856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'6'!F76</f>
        <v>180843.51</v>
      </c>
      <c r="F76" s="123">
        <v>180948</v>
      </c>
      <c r="G76" s="112">
        <f t="shared" si="7"/>
        <v>104.48999999999069</v>
      </c>
      <c r="H76" s="99">
        <f>G76+'6'!H76</f>
        <v>794</v>
      </c>
      <c r="I76" s="154"/>
      <c r="J76" s="175">
        <f>H76/DAY(B2)</f>
        <v>113.42857142857143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'6'!F77</f>
        <v>45985</v>
      </c>
      <c r="F77" s="123">
        <v>46055</v>
      </c>
      <c r="G77" s="112">
        <f t="shared" si="7"/>
        <v>70</v>
      </c>
      <c r="H77" s="99">
        <f>G77+'6'!H77</f>
        <v>381</v>
      </c>
      <c r="I77" s="154"/>
      <c r="J77" s="175">
        <f>H77/DAY(B2)</f>
        <v>54.428571428571431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'6'!F79</f>
        <v>0</v>
      </c>
      <c r="F79" s="123"/>
      <c r="G79" s="112">
        <f>G15-SUM(G74:G78)</f>
        <v>614.04999999993015</v>
      </c>
      <c r="H79" s="99">
        <f>G79+'6'!H79</f>
        <v>4390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>
        <f>SUM(G74:G79)</f>
        <v>1134.1399999998976</v>
      </c>
      <c r="H80" s="99">
        <f>G80+'6'!H80</f>
        <v>1134.1399999998976</v>
      </c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41931.19</v>
      </c>
      <c r="F84" s="164">
        <v>41955</v>
      </c>
      <c r="G84" s="112">
        <f t="shared" si="8"/>
        <v>23.809999999997672</v>
      </c>
      <c r="H84" s="99">
        <f>G84+'6'!H84</f>
        <v>163</v>
      </c>
      <c r="I84" s="575"/>
      <c r="J84" s="175">
        <f>H84/DAY(B2)</f>
        <v>23.285714285714285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3848.19</v>
      </c>
      <c r="F85" s="164">
        <v>3848.19</v>
      </c>
      <c r="G85" s="112">
        <f t="shared" si="8"/>
        <v>0</v>
      </c>
      <c r="H85" s="99">
        <f>G85+'6'!H85</f>
        <v>71.190000000000055</v>
      </c>
      <c r="I85" s="575"/>
      <c r="J85" s="175">
        <f>H85/DAY(B2)</f>
        <v>10.170000000000007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43974.35</v>
      </c>
      <c r="F86" s="164">
        <v>43992</v>
      </c>
      <c r="G86" s="112">
        <f t="shared" si="8"/>
        <v>17.650000000001455</v>
      </c>
      <c r="H86" s="99">
        <f>G86+'6'!H86</f>
        <v>53</v>
      </c>
      <c r="I86" s="575"/>
      <c r="J86" s="175">
        <f>H86/DAY(B2)</f>
        <v>7.5714285714285712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35329.06</v>
      </c>
      <c r="F87" s="164">
        <v>35329.06</v>
      </c>
      <c r="G87" s="112">
        <f t="shared" si="8"/>
        <v>0</v>
      </c>
      <c r="H87" s="99">
        <f>G87+'6'!H87</f>
        <v>5.9999999997671694E-2</v>
      </c>
      <c r="I87" s="557">
        <f>G84+G85+G86+G87</f>
        <v>41.459999999999127</v>
      </c>
      <c r="J87" s="175">
        <f>H87/DAY(B2)</f>
        <v>8.571428571095956E-3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24206.47</v>
      </c>
      <c r="F88" s="164">
        <v>24206.47</v>
      </c>
      <c r="G88" s="112">
        <f t="shared" si="8"/>
        <v>0</v>
      </c>
      <c r="H88" s="99">
        <f>G88+'6'!H88</f>
        <v>18.350000000002183</v>
      </c>
      <c r="I88" s="557"/>
      <c r="J88" s="175">
        <f>H88/DAY(B2)</f>
        <v>2.6214285714288832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26769.89</v>
      </c>
      <c r="F89" s="164">
        <v>26779.55</v>
      </c>
      <c r="G89" s="112">
        <f t="shared" si="8"/>
        <v>9.6599999999998545</v>
      </c>
      <c r="H89" s="99">
        <f>G89+'6'!H89</f>
        <v>70.329999999998108</v>
      </c>
      <c r="I89" s="557">
        <f>G88+G89</f>
        <v>9.6599999999998545</v>
      </c>
      <c r="J89" s="175">
        <f>H89/DAY(B2)</f>
        <v>10.047142857142587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71897.69</v>
      </c>
      <c r="F90" s="164">
        <v>71908.42</v>
      </c>
      <c r="G90" s="112">
        <f t="shared" si="8"/>
        <v>10.729999999995925</v>
      </c>
      <c r="H90" s="99">
        <f>G90+'6'!H90</f>
        <v>44.889999999999418</v>
      </c>
      <c r="I90" s="557">
        <f>G90</f>
        <v>10.729999999995925</v>
      </c>
      <c r="J90" s="175">
        <f>H90/DAY(B2)</f>
        <v>6.4128571428570593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4121.6499999999996</v>
      </c>
      <c r="F91" s="122">
        <v>4121.6499999999996</v>
      </c>
      <c r="G91" s="112">
        <f t="shared" si="8"/>
        <v>0</v>
      </c>
      <c r="H91" s="99">
        <f>G91+'6'!H91</f>
        <v>62.409999999999854</v>
      </c>
      <c r="I91" s="619"/>
      <c r="J91" s="175">
        <f>H91/DAY(B2)</f>
        <v>8.9157142857142642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5938.47</v>
      </c>
      <c r="F92" s="122">
        <v>5950.35</v>
      </c>
      <c r="G92" s="112">
        <f t="shared" si="8"/>
        <v>11.880000000000109</v>
      </c>
      <c r="H92" s="99">
        <f>G92+'6'!H92</f>
        <v>15.350000000000364</v>
      </c>
      <c r="I92" s="620">
        <f>G91+G92</f>
        <v>11.880000000000109</v>
      </c>
      <c r="J92" s="175">
        <f>H92/DAY(B2)</f>
        <v>2.192857142857195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6890.2299999999814</v>
      </c>
      <c r="H94" s="99">
        <f>G94+'6'!H94</f>
        <v>49579</v>
      </c>
      <c r="I94" s="118"/>
      <c r="J94" s="175">
        <f>H94/DAY(B2)</f>
        <v>7082.7142857142853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0.24459521198668116</v>
      </c>
      <c r="H95" s="99">
        <f>G95+'6'!H95</f>
        <v>1.8035890414354003</v>
      </c>
      <c r="I95" s="167"/>
      <c r="J95" s="175">
        <f>H95/DAY(B2)</f>
        <v>0.25765557734791433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8551.6799999999785</v>
      </c>
      <c r="H96" s="99">
        <f>G96+'6'!H96</f>
        <v>62433.86</v>
      </c>
      <c r="I96" s="118"/>
      <c r="J96" s="175">
        <f>H96/DAY(B2)</f>
        <v>8919.1228571428564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0.303574769266376</v>
      </c>
      <c r="H97" s="99">
        <f>G97+'6'!H97</f>
        <v>2.2708290843581125</v>
      </c>
      <c r="I97" s="167"/>
      <c r="J97" s="175">
        <f>H97/DAY(B2)</f>
        <v>0.32440415490830177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2980.929999999993</v>
      </c>
      <c r="H98" s="99">
        <f>G98+'6'!H98</f>
        <v>20165</v>
      </c>
      <c r="I98" s="168"/>
      <c r="J98" s="175">
        <f>H98/DAY(B2)</f>
        <v>2880.7142857142858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0.10581957427654196</v>
      </c>
      <c r="H99" s="99">
        <f>G99+'6'!H99</f>
        <v>0.73549208026196333</v>
      </c>
      <c r="I99" s="168"/>
      <c r="J99" s="175">
        <f>H99/DAY(B2)</f>
        <v>0.10507029718028048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2452.3500000000058</v>
      </c>
      <c r="H100" s="99">
        <f>G100+'6'!H100</f>
        <v>16844.760000000002</v>
      </c>
      <c r="I100" s="118"/>
      <c r="J100" s="175">
        <f>H100/DAY(B2)</f>
        <v>2406.3942857142861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8.7055594387348542E-2</v>
      </c>
      <c r="H101" s="99">
        <f>G101+'6'!H101</f>
        <v>0.61430053138613949</v>
      </c>
      <c r="I101" s="168"/>
      <c r="J101" s="175">
        <f>H101/DAY(B2)</f>
        <v>8.7757218769448503E-2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2530.8300000000163</v>
      </c>
      <c r="H102" s="99">
        <f>G102+'6'!H102</f>
        <v>15571</v>
      </c>
      <c r="I102" s="168"/>
      <c r="J102" s="175">
        <f>H102/DAY(B2)</f>
        <v>2224.4285714285716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8.9841543802203688E-2</v>
      </c>
      <c r="H103" s="99">
        <f>G103+'6'!H103</f>
        <v>0.56571561310656615</v>
      </c>
      <c r="I103" s="118"/>
      <c r="J103" s="175">
        <f>H103/DAY(B2)</f>
        <v>8.0816516158080873E-2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1615.390000000014</v>
      </c>
      <c r="H104" s="99">
        <f>G104+'6'!H104</f>
        <v>11425</v>
      </c>
      <c r="I104" s="118"/>
      <c r="J104" s="175">
        <f>H104/DAY(B2)</f>
        <v>1632.1428571428571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5.7344480444218748E-2</v>
      </c>
      <c r="H105" s="99">
        <f>G105+'6'!H105</f>
        <v>0.41625369422921782</v>
      </c>
      <c r="I105" s="187"/>
      <c r="J105" s="188">
        <f>H105/DAY(B2)</f>
        <v>5.946481346131683E-2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'6'!F112</f>
        <v>714.61</v>
      </c>
      <c r="F112" s="237">
        <v>792</v>
      </c>
      <c r="G112" s="112">
        <f t="shared" ref="G112:G123" si="9">F112-E112</f>
        <v>77.389999999999986</v>
      </c>
      <c r="H112" s="99">
        <f>G112+'6'!H112</f>
        <v>549</v>
      </c>
      <c r="I112" s="165"/>
      <c r="J112" s="328">
        <f>H112/DAY(B2)</f>
        <v>78.428571428571431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'6'!F113</f>
        <v>1398.56</v>
      </c>
      <c r="F113" s="237">
        <v>1550</v>
      </c>
      <c r="G113" s="112">
        <f t="shared" si="9"/>
        <v>151.44000000000005</v>
      </c>
      <c r="H113" s="99">
        <f>G113+'6'!H113</f>
        <v>1068</v>
      </c>
      <c r="I113" s="165"/>
      <c r="J113" s="328">
        <f>H113/DAY(B2)</f>
        <v>152.57142857142858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'6'!F114</f>
        <v>1982.94</v>
      </c>
      <c r="F114" s="237">
        <v>2201</v>
      </c>
      <c r="G114" s="112">
        <f t="shared" si="9"/>
        <v>218.05999999999995</v>
      </c>
      <c r="H114" s="99">
        <f>G114+'6'!H114</f>
        <v>1537</v>
      </c>
      <c r="I114" s="165"/>
      <c r="J114" s="328">
        <f>H114/DAY(B2)</f>
        <v>219.57142857142858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'6'!F115</f>
        <v>1508.2</v>
      </c>
      <c r="F115" s="237">
        <v>1637</v>
      </c>
      <c r="G115" s="112">
        <f t="shared" si="9"/>
        <v>128.79999999999995</v>
      </c>
      <c r="H115" s="99">
        <f>G115+'6'!H115</f>
        <v>1126</v>
      </c>
      <c r="I115" s="165"/>
      <c r="J115" s="328">
        <f>H115/DAY(B2)</f>
        <v>160.85714285714286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'6'!F116</f>
        <v>36844</v>
      </c>
      <c r="F116" s="237">
        <v>37297</v>
      </c>
      <c r="G116" s="112">
        <f t="shared" si="9"/>
        <v>453</v>
      </c>
      <c r="H116" s="99">
        <f>G116+'6'!H116</f>
        <v>2631</v>
      </c>
      <c r="I116" s="165"/>
      <c r="J116" s="328">
        <f>H116/DAY(B2)</f>
        <v>375.85714285714283</v>
      </c>
      <c r="Q116" s="886" t="s">
        <v>311</v>
      </c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'6'!F117</f>
        <v>20020.89</v>
      </c>
      <c r="F117" s="237">
        <v>20230</v>
      </c>
      <c r="G117" s="112">
        <f t="shared" si="9"/>
        <v>209.11000000000058</v>
      </c>
      <c r="H117" s="99">
        <f>G117+'6'!H117</f>
        <v>1294</v>
      </c>
      <c r="I117" s="165"/>
      <c r="J117" s="328">
        <f>H117/DAY(B2)</f>
        <v>184.85714285714286</v>
      </c>
      <c r="Q117" s="886" t="s">
        <v>312</v>
      </c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'6'!F118</f>
        <v>12280.8</v>
      </c>
      <c r="F118" s="237">
        <v>12846</v>
      </c>
      <c r="G118" s="112">
        <f t="shared" si="9"/>
        <v>565.20000000000073</v>
      </c>
      <c r="H118" s="99">
        <f>G118+'6'!H118</f>
        <v>3783</v>
      </c>
      <c r="I118" s="165"/>
      <c r="J118" s="328">
        <f>H118/DAY(B2)</f>
        <v>540.42857142857144</v>
      </c>
      <c r="Q118" s="886" t="s">
        <v>311</v>
      </c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'6'!F119</f>
        <v>8429.98</v>
      </c>
      <c r="F119" s="237">
        <v>8838</v>
      </c>
      <c r="G119" s="112">
        <f t="shared" si="9"/>
        <v>408.02000000000044</v>
      </c>
      <c r="H119" s="99">
        <f>G119+'6'!H119</f>
        <v>2935</v>
      </c>
      <c r="I119" s="165"/>
      <c r="J119" s="328">
        <f>H119/DAY(B2)</f>
        <v>419.28571428571428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'6'!F120</f>
        <v>9657.66</v>
      </c>
      <c r="F120" s="237">
        <v>10063</v>
      </c>
      <c r="G120" s="112">
        <f t="shared" si="9"/>
        <v>405.34000000000015</v>
      </c>
      <c r="H120" s="99">
        <f>G120+'6'!H120</f>
        <v>2928</v>
      </c>
      <c r="I120" s="165"/>
      <c r="J120" s="328">
        <f>H120/DAY(B2)</f>
        <v>418.28571428571428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'6'!F121</f>
        <v>14397.56</v>
      </c>
      <c r="F121" s="237">
        <v>14871</v>
      </c>
      <c r="G121" s="112">
        <f t="shared" si="9"/>
        <v>473.44000000000051</v>
      </c>
      <c r="H121" s="99">
        <f>G121+'6'!H121</f>
        <v>3144</v>
      </c>
      <c r="I121" s="165"/>
      <c r="J121" s="328">
        <f>H121/DAY(B2)</f>
        <v>449.14285714285717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'6'!F122</f>
        <v>4761.51</v>
      </c>
      <c r="F122" s="237">
        <v>4951</v>
      </c>
      <c r="G122" s="112">
        <f t="shared" si="9"/>
        <v>189.48999999999978</v>
      </c>
      <c r="H122" s="99">
        <f>G122+'6'!H122</f>
        <v>1387</v>
      </c>
      <c r="I122" s="165"/>
      <c r="J122" s="328">
        <f>H122/DAY(B2)</f>
        <v>198.14285714285714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'6'!F123</f>
        <v>2868.11</v>
      </c>
      <c r="F123" s="237">
        <v>3198</v>
      </c>
      <c r="G123" s="112">
        <f t="shared" si="9"/>
        <v>329.88999999999987</v>
      </c>
      <c r="H123" s="99">
        <f>G123+'6'!H123</f>
        <v>2231</v>
      </c>
      <c r="I123" s="165"/>
      <c r="J123" s="328">
        <f>H123/DAY(B2)</f>
        <v>318.71428571428572</v>
      </c>
    </row>
    <row r="124" spans="1:18" ht="29.2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8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3609.1800000000021</v>
      </c>
      <c r="H125" s="156"/>
      <c r="I125" s="327">
        <f>G125-(G39+G53)</f>
        <v>628.25000000000909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'6'!F128</f>
        <v>83802.95</v>
      </c>
      <c r="F128" s="165">
        <v>84197</v>
      </c>
      <c r="G128" s="112">
        <f t="shared" ref="G128:G134" si="10">F128-E128</f>
        <v>394.05000000000291</v>
      </c>
      <c r="H128" s="99">
        <f>G128+'6'!H128</f>
        <v>2782</v>
      </c>
      <c r="I128" s="165"/>
      <c r="J128" s="328">
        <f>H128/DAY(B2)</f>
        <v>397.42857142857144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52767.48</v>
      </c>
      <c r="F129" s="165">
        <v>53042</v>
      </c>
      <c r="G129" s="112">
        <f t="shared" si="10"/>
        <v>274.5199999999968</v>
      </c>
      <c r="H129" s="99">
        <f>G129+'6'!H129</f>
        <v>1970</v>
      </c>
      <c r="I129" s="165"/>
      <c r="J129" s="328">
        <f>H129/DAY(B2)</f>
        <v>281.42857142857144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101002.97</v>
      </c>
      <c r="F130" s="165">
        <v>101753</v>
      </c>
      <c r="G130" s="112">
        <f t="shared" si="10"/>
        <v>750.02999999999884</v>
      </c>
      <c r="H130" s="99">
        <f>G130+'6'!H130</f>
        <v>5107</v>
      </c>
      <c r="I130" s="165"/>
      <c r="J130" s="328">
        <f>H130/DAY(B2)</f>
        <v>729.57142857142856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'6'!F131</f>
        <v>31647.54</v>
      </c>
      <c r="F131" s="165">
        <v>31799</v>
      </c>
      <c r="G131" s="112">
        <f t="shared" si="10"/>
        <v>151.45999999999913</v>
      </c>
      <c r="H131" s="99">
        <f>G131+'6'!H131</f>
        <v>1364</v>
      </c>
      <c r="I131" s="165"/>
      <c r="J131" s="328">
        <f>H131/DAY(B2)</f>
        <v>194.85714285714286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'6'!F132</f>
        <v>92009.15</v>
      </c>
      <c r="F132" s="165">
        <v>92518</v>
      </c>
      <c r="G132" s="112">
        <f t="shared" si="10"/>
        <v>508.85000000000582</v>
      </c>
      <c r="H132" s="99">
        <f>G132+'6'!H132</f>
        <v>3581</v>
      </c>
      <c r="I132" s="165"/>
      <c r="J132" s="328">
        <f>H132/DAY(B2)</f>
        <v>511.57142857142856</v>
      </c>
    </row>
    <row r="133" spans="1:15" ht="25.5">
      <c r="A133" s="886" t="s">
        <v>323</v>
      </c>
      <c r="B133" s="887"/>
      <c r="C133" s="888"/>
      <c r="D133" s="151" t="s">
        <v>183</v>
      </c>
      <c r="E133" s="95">
        <f>'6'!F133</f>
        <v>177967.17</v>
      </c>
      <c r="F133" s="165">
        <v>179012</v>
      </c>
      <c r="G133" s="112">
        <f t="shared" si="10"/>
        <v>1044.8299999999872</v>
      </c>
      <c r="H133" s="99">
        <f>G133+'6'!H133</f>
        <v>6566</v>
      </c>
      <c r="I133" s="165"/>
      <c r="J133" s="328">
        <f>H133/DAY(B2)</f>
        <v>938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'6'!F134</f>
        <v>29546.27</v>
      </c>
      <c r="F134" s="165">
        <v>29782</v>
      </c>
      <c r="G134" s="112">
        <f t="shared" si="10"/>
        <v>235.72999999999956</v>
      </c>
      <c r="H134" s="99">
        <f>G134+'6'!H134</f>
        <v>1689</v>
      </c>
      <c r="I134" s="165"/>
      <c r="J134" s="328">
        <f>H134/DAY(B2)</f>
        <v>241.28571428571428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3359.4699999999903</v>
      </c>
      <c r="H135" s="99">
        <f>G135+'6'!H135</f>
        <v>23059</v>
      </c>
      <c r="I135" s="327">
        <f>G135-(G35+G49)</f>
        <v>-739.38999999999578</v>
      </c>
      <c r="J135" s="328">
        <f>H135/DAY(B2)</f>
        <v>3294.1428571428573</v>
      </c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'6'!F138</f>
        <v>879633</v>
      </c>
      <c r="F138" s="147">
        <v>879778</v>
      </c>
      <c r="G138" s="112">
        <f t="shared" ref="G138:G152" si="11">F138-E138</f>
        <v>145</v>
      </c>
      <c r="H138" s="99">
        <f>G138+'6'!H138</f>
        <v>994</v>
      </c>
      <c r="I138" s="118"/>
      <c r="J138" s="328">
        <f>H138/DAY(B2)</f>
        <v>142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'6'!F139</f>
        <v>895793</v>
      </c>
      <c r="F139" s="148">
        <v>895943</v>
      </c>
      <c r="G139" s="112">
        <f t="shared" si="11"/>
        <v>150</v>
      </c>
      <c r="H139" s="99">
        <f>G139+'6'!H139</f>
        <v>1077</v>
      </c>
      <c r="I139" s="118"/>
      <c r="J139" s="328">
        <f>H139/DAY(B2)</f>
        <v>153.85714285714286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'6'!F140</f>
        <v>219.19</v>
      </c>
      <c r="F140" s="149">
        <v>234</v>
      </c>
      <c r="G140" s="112">
        <f t="shared" si="11"/>
        <v>14.810000000000002</v>
      </c>
      <c r="H140" s="99">
        <f>G140+'6'!H140</f>
        <v>99</v>
      </c>
      <c r="I140" s="118"/>
      <c r="J140" s="328">
        <f>H140/DAY(B2)</f>
        <v>14.142857142857142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'6'!F141</f>
        <v>73022.960000000006</v>
      </c>
      <c r="F141" s="149">
        <v>73226</v>
      </c>
      <c r="G141" s="112">
        <f t="shared" si="11"/>
        <v>203.0399999999936</v>
      </c>
      <c r="H141" s="99">
        <f>G141+'6'!H141</f>
        <v>1452</v>
      </c>
      <c r="I141" s="118"/>
      <c r="J141" s="328">
        <f>H141/DAY(B2)</f>
        <v>207.42857142857142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'6'!F142</f>
        <v>27873.34</v>
      </c>
      <c r="F142" s="148">
        <v>27943</v>
      </c>
      <c r="G142" s="112">
        <f t="shared" si="11"/>
        <v>69.659999999999854</v>
      </c>
      <c r="H142" s="99">
        <f>G142+'6'!H142</f>
        <v>477</v>
      </c>
      <c r="I142" s="140"/>
      <c r="J142" s="328">
        <f>H142/DAY(B2)</f>
        <v>68.142857142857139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'6'!F143</f>
        <v>6574.5</v>
      </c>
      <c r="F143" s="149">
        <v>6604</v>
      </c>
      <c r="G143" s="112">
        <f t="shared" si="11"/>
        <v>29.5</v>
      </c>
      <c r="H143" s="99">
        <f>G143+'6'!H143</f>
        <v>187</v>
      </c>
      <c r="I143" s="140"/>
      <c r="J143" s="328">
        <f>H143/DAY(B2)</f>
        <v>26.714285714285715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'6'!F144</f>
        <v>898760</v>
      </c>
      <c r="F144" s="149">
        <v>899010</v>
      </c>
      <c r="G144" s="112">
        <f t="shared" si="11"/>
        <v>250</v>
      </c>
      <c r="H144" s="99">
        <f>G144+'6'!H144</f>
        <v>1777</v>
      </c>
      <c r="I144" s="140"/>
      <c r="J144" s="328">
        <f>H144/DAY(B2)</f>
        <v>253.85714285714286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'6'!F145</f>
        <v>5642.57</v>
      </c>
      <c r="F145" s="149">
        <v>5645</v>
      </c>
      <c r="G145" s="112">
        <f t="shared" si="11"/>
        <v>2.430000000000291</v>
      </c>
      <c r="H145" s="99">
        <f>G145+'6'!H145</f>
        <v>17</v>
      </c>
      <c r="I145" s="140"/>
      <c r="J145" s="328">
        <f>H145/DAY(B2)</f>
        <v>2.4285714285714284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'6'!F146</f>
        <v>776606</v>
      </c>
      <c r="F146" s="148">
        <v>776667</v>
      </c>
      <c r="G146" s="112">
        <f t="shared" si="11"/>
        <v>61</v>
      </c>
      <c r="H146" s="99">
        <f>G146+'6'!H146</f>
        <v>213</v>
      </c>
      <c r="I146" s="140"/>
      <c r="J146" s="328">
        <f>H146/DAY(B2)</f>
        <v>30.428571428571427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'6'!F147</f>
        <v>665610.06000000006</v>
      </c>
      <c r="F147" s="148">
        <v>666033</v>
      </c>
      <c r="G147" s="112">
        <f t="shared" si="11"/>
        <v>422.93999999994412</v>
      </c>
      <c r="H147" s="99">
        <f>G147+'6'!H147</f>
        <v>2805</v>
      </c>
      <c r="I147" s="140"/>
      <c r="J147" s="328">
        <f>H147/DAY(B2)</f>
        <v>400.71428571428572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'6'!F148</f>
        <v>721936.24</v>
      </c>
      <c r="F148" s="150">
        <v>722311</v>
      </c>
      <c r="G148" s="112">
        <f t="shared" si="11"/>
        <v>374.76000000000931</v>
      </c>
      <c r="H148" s="99">
        <f>G148+'6'!H148</f>
        <v>2395</v>
      </c>
      <c r="I148" s="124"/>
      <c r="J148" s="328">
        <f>H148/DAY(B2)</f>
        <v>342.14285714285717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'6'!F149</f>
        <v>86880.74</v>
      </c>
      <c r="F149" s="146">
        <v>87494</v>
      </c>
      <c r="G149" s="112">
        <f t="shared" si="11"/>
        <v>613.25999999999476</v>
      </c>
      <c r="H149" s="99">
        <f>G149+'6'!H149</f>
        <v>4106</v>
      </c>
      <c r="I149" s="119"/>
      <c r="J149" s="328">
        <f>H149/DAY(B2)</f>
        <v>586.57142857142856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'6'!F150</f>
        <v>31907.56</v>
      </c>
      <c r="F150" s="233">
        <v>32120</v>
      </c>
      <c r="G150" s="112">
        <f t="shared" si="11"/>
        <v>212.43999999999869</v>
      </c>
      <c r="H150" s="99">
        <f>G150+'6'!H150</f>
        <v>1533</v>
      </c>
      <c r="I150" s="119"/>
      <c r="J150" s="328">
        <f>H150/DAY(B2)</f>
        <v>219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'6'!F151</f>
        <v>111066</v>
      </c>
      <c r="F151" s="233">
        <v>111358</v>
      </c>
      <c r="G151" s="112">
        <f t="shared" si="11"/>
        <v>292</v>
      </c>
      <c r="H151" s="99">
        <f>G151+'6'!H151</f>
        <v>2130</v>
      </c>
      <c r="I151" s="119"/>
      <c r="J151" s="328">
        <f>H151/DAY(B2)</f>
        <v>304.28571428571428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'6'!F152</f>
        <v>11987.93</v>
      </c>
      <c r="F152" s="233">
        <v>12138</v>
      </c>
      <c r="G152" s="112">
        <f t="shared" si="11"/>
        <v>150.06999999999971</v>
      </c>
      <c r="H152" s="99">
        <f>G152+'6'!H152</f>
        <v>982</v>
      </c>
      <c r="I152" s="119"/>
      <c r="J152" s="328">
        <f>H152/DAY(B2)</f>
        <v>140.28571428571428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2990.9099999999403</v>
      </c>
      <c r="H153" s="363"/>
      <c r="I153" s="119" t="s">
        <v>207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'6'!F155</f>
        <v>96466.92</v>
      </c>
      <c r="F155" s="374">
        <v>97129</v>
      </c>
      <c r="G155" s="112">
        <f t="shared" ref="G155:G158" si="12">F155-E155</f>
        <v>662.08000000000175</v>
      </c>
      <c r="H155" s="99">
        <f>G155+'6'!H155</f>
        <v>4397</v>
      </c>
      <c r="I155" s="364"/>
      <c r="J155" s="328">
        <f>H155/DAY(B2)</f>
        <v>628.14285714285711</v>
      </c>
    </row>
    <row r="156" spans="1:10" ht="25.5">
      <c r="A156" s="864" t="s">
        <v>346</v>
      </c>
      <c r="B156" s="864"/>
      <c r="C156" s="864"/>
      <c r="D156" s="117" t="s">
        <v>130</v>
      </c>
      <c r="E156" s="95">
        <f>'6'!F156</f>
        <v>8079.65</v>
      </c>
      <c r="F156" s="155">
        <v>8141</v>
      </c>
      <c r="G156" s="112">
        <f t="shared" si="12"/>
        <v>61.350000000000364</v>
      </c>
      <c r="H156" s="99">
        <f>G156+'6'!H156</f>
        <v>450</v>
      </c>
      <c r="I156" s="165"/>
      <c r="J156" s="328">
        <f>H156/DAY(B2)</f>
        <v>64.285714285714292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'6'!F157</f>
        <v>14169.13</v>
      </c>
      <c r="F157" s="155">
        <v>14292</v>
      </c>
      <c r="G157" s="112">
        <f t="shared" si="12"/>
        <v>122.8700000000008</v>
      </c>
      <c r="H157" s="99">
        <f>G157+'6'!H157</f>
        <v>796</v>
      </c>
      <c r="I157" s="165"/>
      <c r="J157" s="328">
        <f>H157/DAY(B2)</f>
        <v>113.71428571428571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'6'!F158</f>
        <v>124.78</v>
      </c>
      <c r="F158" s="155">
        <v>125</v>
      </c>
      <c r="G158" s="112">
        <f t="shared" si="12"/>
        <v>0.21999999999999886</v>
      </c>
      <c r="H158" s="99">
        <f>G158+'6'!H158</f>
        <v>45.459999999999994</v>
      </c>
      <c r="I158" s="165"/>
      <c r="J158" s="328">
        <f>H158/DAY(B2)</f>
        <v>6.4942857142857138</v>
      </c>
    </row>
    <row r="159" spans="1:10" ht="25.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474924.64</v>
      </c>
      <c r="F161" s="235">
        <v>474947</v>
      </c>
      <c r="G161" s="238">
        <f t="shared" ref="G161:G165" si="13">F161-E161</f>
        <v>22.35999999998603</v>
      </c>
      <c r="H161" s="99">
        <f>G161+'6'!H161</f>
        <v>164</v>
      </c>
      <c r="I161" s="236"/>
      <c r="J161" s="239">
        <f>H161/DAY(B2)</f>
        <v>23.428571428571427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91766.3</v>
      </c>
      <c r="F162" s="235">
        <v>91813</v>
      </c>
      <c r="G162" s="238">
        <f t="shared" si="13"/>
        <v>46.69999999999709</v>
      </c>
      <c r="H162" s="99">
        <f>G162+'6'!H162</f>
        <v>266</v>
      </c>
      <c r="I162" s="236"/>
      <c r="J162" s="239">
        <f>H162/DAY(B2)</f>
        <v>38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92987.8</v>
      </c>
      <c r="F163" s="235">
        <v>93161</v>
      </c>
      <c r="G163" s="238">
        <f t="shared" si="13"/>
        <v>173.19999999999709</v>
      </c>
      <c r="H163" s="99">
        <f>G163+'6'!H163</f>
        <v>1125</v>
      </c>
      <c r="I163" s="236"/>
      <c r="J163" s="239">
        <f>H163/DAY(B2)</f>
        <v>160.71428571428572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5251.6</v>
      </c>
      <c r="F164" s="235">
        <v>5261</v>
      </c>
      <c r="G164" s="238">
        <f t="shared" si="13"/>
        <v>9.3999999999996362</v>
      </c>
      <c r="H164" s="99">
        <f>G164+'6'!H164</f>
        <v>79</v>
      </c>
      <c r="I164" s="236"/>
      <c r="J164" s="239">
        <f>H164/DAY(B2)</f>
        <v>11.285714285714286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30709.66</v>
      </c>
      <c r="F165" s="235">
        <v>30720</v>
      </c>
      <c r="G165" s="238">
        <f t="shared" si="13"/>
        <v>10.340000000000146</v>
      </c>
      <c r="H165" s="99">
        <f>G165+'6'!H165</f>
        <v>86</v>
      </c>
      <c r="I165" s="236"/>
      <c r="J165" s="239">
        <f>H165/DAY(B2)</f>
        <v>12.285714285714286</v>
      </c>
    </row>
    <row r="166" spans="1:10" ht="25.5" customHeight="1">
      <c r="A166" s="873"/>
      <c r="B166" s="873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'6'!F173</f>
        <v>8265</v>
      </c>
      <c r="F173" s="155">
        <v>8265</v>
      </c>
      <c r="G173" s="155">
        <f>F173-E173</f>
        <v>0</v>
      </c>
      <c r="H173" s="99">
        <f>G173+'6'!H173</f>
        <v>4</v>
      </c>
      <c r="I173" s="155"/>
      <c r="J173" s="178">
        <f>H173/DAY(B2)</f>
        <v>0.5714285714285714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'6'!F174</f>
        <v>40018</v>
      </c>
      <c r="F174" s="157">
        <v>40035</v>
      </c>
      <c r="G174" s="155">
        <f t="shared" ref="G174:G175" si="14">F174-E174</f>
        <v>17</v>
      </c>
      <c r="H174" s="99">
        <f>G174+'6'!H174</f>
        <v>107</v>
      </c>
      <c r="I174" s="155"/>
      <c r="J174" s="178">
        <f>H174/DAY(B2)</f>
        <v>15.285714285714286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'6'!F175</f>
        <v>22966</v>
      </c>
      <c r="F175" s="155">
        <v>22980</v>
      </c>
      <c r="G175" s="155">
        <f t="shared" si="14"/>
        <v>14</v>
      </c>
      <c r="H175" s="99">
        <f>G175+'6'!H175</f>
        <v>91</v>
      </c>
      <c r="I175" s="155"/>
      <c r="J175" s="178">
        <f>H175/DAY(B2)</f>
        <v>13</v>
      </c>
    </row>
    <row r="176" spans="1:10" ht="25.5">
      <c r="A176" s="464" t="s">
        <v>196</v>
      </c>
      <c r="B176" s="465"/>
      <c r="C176" s="333"/>
      <c r="D176" s="228" t="s">
        <v>142</v>
      </c>
      <c r="E176" s="95"/>
      <c r="F176" s="155"/>
      <c r="G176" s="155">
        <f>SUM(G173:G175)</f>
        <v>31</v>
      </c>
      <c r="H176" s="99">
        <f>G176+'6'!H176</f>
        <v>202</v>
      </c>
      <c r="I176" s="155"/>
      <c r="J176" s="178">
        <f>H176/DAY(B2)</f>
        <v>28.857142857142858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'6'!F178</f>
        <v>89242</v>
      </c>
      <c r="F178" s="155">
        <v>89346</v>
      </c>
      <c r="G178" s="155">
        <f>F178-E178</f>
        <v>104</v>
      </c>
      <c r="H178" s="99">
        <f>G178+'6'!H178</f>
        <v>743</v>
      </c>
      <c r="I178" s="155"/>
      <c r="J178" s="178">
        <f>H178/DAY(B2)</f>
        <v>106.14285714285714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'6'!F179</f>
        <v>35773</v>
      </c>
      <c r="F179" s="155">
        <v>35773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'6'!F180</f>
        <v>6445</v>
      </c>
      <c r="F180" s="155">
        <v>6447</v>
      </c>
      <c r="G180" s="155">
        <f t="shared" si="15"/>
        <v>2</v>
      </c>
      <c r="H180" s="99">
        <f>G180+'6'!H180</f>
        <v>58</v>
      </c>
      <c r="I180" s="155"/>
      <c r="J180" s="178">
        <f>H180/DAY(B2)</f>
        <v>8.2857142857142865</v>
      </c>
    </row>
    <row r="181" spans="1:10" ht="25.5">
      <c r="A181" s="881" t="s">
        <v>108</v>
      </c>
      <c r="B181" s="882"/>
      <c r="C181" s="333"/>
      <c r="D181" s="228" t="s">
        <v>142</v>
      </c>
      <c r="E181" s="95"/>
      <c r="F181" s="155"/>
      <c r="G181" s="155">
        <f>SUM(G178:G180)</f>
        <v>106</v>
      </c>
      <c r="H181" s="99">
        <f>G181+'6'!H181</f>
        <v>801</v>
      </c>
      <c r="I181" s="155"/>
      <c r="J181" s="178">
        <f>H181/DAY(B2)</f>
        <v>114.42857142857143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'6'!F183</f>
        <v>16690</v>
      </c>
      <c r="F183" s="157">
        <v>16699</v>
      </c>
      <c r="G183" s="157">
        <f>F183-E183</f>
        <v>9</v>
      </c>
      <c r="H183" s="99">
        <f>G183+'6'!H183</f>
        <v>77</v>
      </c>
      <c r="I183" s="155"/>
      <c r="J183" s="178">
        <f>H183/DAY(B2)</f>
        <v>11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'6'!F184</f>
        <v>11318</v>
      </c>
      <c r="F184" s="157">
        <v>11326</v>
      </c>
      <c r="G184" s="157">
        <f t="shared" ref="G184:G185" si="16">F184-E184</f>
        <v>8</v>
      </c>
      <c r="H184" s="99">
        <f>G184+'6'!H184</f>
        <v>52</v>
      </c>
      <c r="I184" s="155"/>
      <c r="J184" s="178">
        <f>H184/DAY(B2)</f>
        <v>7.4285714285714288</v>
      </c>
    </row>
    <row r="185" spans="1:10" ht="25.5">
      <c r="A185" s="879" t="s">
        <v>216</v>
      </c>
      <c r="B185" s="880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334"/>
      <c r="D186" s="228" t="s">
        <v>142</v>
      </c>
      <c r="E186" s="95"/>
      <c r="F186" s="157"/>
      <c r="G186" s="157">
        <f>SUM(G183:G185)</f>
        <v>17</v>
      </c>
      <c r="H186" s="99">
        <f>G186+'6'!H186</f>
        <v>129</v>
      </c>
      <c r="I186" s="157"/>
      <c r="J186" s="178">
        <f>H186/DAY(B2)</f>
        <v>18.428571428571427</v>
      </c>
    </row>
    <row r="187" spans="1:10" ht="25.5">
      <c r="A187" s="870" t="s">
        <v>217</v>
      </c>
      <c r="B187" s="871"/>
      <c r="C187" s="333"/>
      <c r="D187" s="228" t="s">
        <v>142</v>
      </c>
      <c r="E187" s="95"/>
      <c r="F187" s="159"/>
      <c r="G187" s="378">
        <f>G62+G19</f>
        <v>236</v>
      </c>
      <c r="H187" s="99">
        <f>G187+'6'!H187</f>
        <v>1505</v>
      </c>
      <c r="I187" s="158"/>
      <c r="J187" s="179">
        <f>H187/DAY(B2)</f>
        <v>215</v>
      </c>
    </row>
    <row r="188" spans="1:10" ht="25.5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233</v>
      </c>
      <c r="H188" s="99">
        <f>G188+'6'!H188</f>
        <v>1528</v>
      </c>
      <c r="I188" s="158"/>
      <c r="J188" s="179">
        <f>H188/DAY(B2)</f>
        <v>218.28571428571428</v>
      </c>
    </row>
    <row r="189" spans="1:10" ht="25.5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106</v>
      </c>
      <c r="H189" s="99">
        <f>G189+'6'!H189</f>
        <v>801</v>
      </c>
      <c r="I189" s="158"/>
      <c r="J189" s="179">
        <f>H189/DAY(B2)</f>
        <v>114.42857142857143</v>
      </c>
    </row>
    <row r="190" spans="1:10" ht="25.5">
      <c r="A190" s="877"/>
      <c r="B190" s="87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139" zoomScale="55" zoomScaleSheetLayoutView="55" workbookViewId="0">
      <selection activeCell="F140" sqref="F140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372</v>
      </c>
      <c r="B2" s="262">
        <v>44689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23327</v>
      </c>
      <c r="F7" s="95">
        <v>50650</v>
      </c>
      <c r="G7" s="112">
        <f>F7-E7</f>
        <v>27323</v>
      </c>
      <c r="H7" s="99">
        <f>G7+'7'!H7</f>
        <v>219612</v>
      </c>
      <c r="I7" s="113">
        <f>'1'!I7</f>
        <v>12000</v>
      </c>
      <c r="J7" s="175">
        <f>H7/DAY(B2)</f>
        <v>27451.5</v>
      </c>
      <c r="K7" s="172">
        <v>1375467</v>
      </c>
      <c r="L7" s="66"/>
      <c r="N7" s="87"/>
      <c r="O7" s="71">
        <f>G7-G8</f>
        <v>-634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'7'!F8</f>
        <v>114901</v>
      </c>
      <c r="F8" s="114">
        <v>142858</v>
      </c>
      <c r="G8" s="115">
        <f>F8-E8</f>
        <v>27957</v>
      </c>
      <c r="H8" s="99">
        <f>G8+'7'!H8</f>
        <v>223735.27999999997</v>
      </c>
      <c r="I8" s="116"/>
      <c r="J8" s="175">
        <f>H8/DAY(B2)</f>
        <v>27966.909999999996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'7'!F9</f>
        <v>2043960</v>
      </c>
      <c r="F9" s="117">
        <v>2063594</v>
      </c>
      <c r="G9" s="112">
        <f>F9-E9</f>
        <v>19634</v>
      </c>
      <c r="H9" s="99">
        <f>G9+'7'!H9</f>
        <v>172559</v>
      </c>
      <c r="I9" s="124">
        <f>I7-J7</f>
        <v>-15451.5</v>
      </c>
      <c r="J9" s="175">
        <f>H9/DAY(B2)</f>
        <v>21569.875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'7'!F10</f>
        <v>649336</v>
      </c>
      <c r="F10" s="117">
        <v>656046</v>
      </c>
      <c r="G10" s="112">
        <f t="shared" ref="G10:G12" si="0">F10-E10</f>
        <v>6710</v>
      </c>
      <c r="H10" s="99">
        <f>G10+'7'!H10</f>
        <v>40510</v>
      </c>
      <c r="I10" s="282"/>
      <c r="J10" s="175">
        <f>H10/DAY(B2)</f>
        <v>5063.75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26344</v>
      </c>
      <c r="H13" s="99">
        <f>G13+'7'!H13</f>
        <v>210552.75</v>
      </c>
      <c r="I13" s="120">
        <f>G7-G13</f>
        <v>979</v>
      </c>
      <c r="J13" s="175">
        <f>H13/DAY(B2)</f>
        <v>26319.09375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'7'!F15</f>
        <v>2011438</v>
      </c>
      <c r="F15" s="470">
        <v>2012580</v>
      </c>
      <c r="G15" s="112">
        <f>(F15-E15)</f>
        <v>1142</v>
      </c>
      <c r="H15" s="99">
        <f>G15+'7'!H15</f>
        <v>8853</v>
      </c>
      <c r="I15" s="113">
        <f>'1'!I15</f>
        <v>800</v>
      </c>
      <c r="J15" s="175">
        <f>H15/DAY(B2)</f>
        <v>1106.625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-306.625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'7'!F18</f>
        <v>25</v>
      </c>
      <c r="F18" s="122">
        <v>35</v>
      </c>
      <c r="G18" s="119">
        <f>F18*10</f>
        <v>350</v>
      </c>
      <c r="H18" s="99">
        <f>G18+'7'!H18</f>
        <v>1930</v>
      </c>
      <c r="I18" s="113">
        <f>'1'!I18</f>
        <v>65</v>
      </c>
      <c r="J18" s="175">
        <f>H18/DAY(B2)</f>
        <v>241.25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'7'!F19</f>
        <v>158833</v>
      </c>
      <c r="F19" s="122">
        <v>158891</v>
      </c>
      <c r="G19" s="112">
        <f t="shared" ref="G19" si="1">F19-E19</f>
        <v>58</v>
      </c>
      <c r="H19" s="99">
        <f>G19+'7'!H19</f>
        <v>437</v>
      </c>
      <c r="I19" s="335"/>
      <c r="J19" s="175">
        <f>H19/DAY(B2)</f>
        <v>54.625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408</v>
      </c>
      <c r="H20" s="99">
        <f>G20+'7'!H20</f>
        <v>2367</v>
      </c>
      <c r="I20" s="336">
        <f>I18-J20</f>
        <v>-230.875</v>
      </c>
      <c r="J20" s="175">
        <f>H20/DAY(B2)</f>
        <v>295.875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27957</v>
      </c>
      <c r="F27" s="136">
        <v>9</v>
      </c>
      <c r="G27" s="137">
        <f>E27*F27</f>
        <v>251613</v>
      </c>
      <c r="H27" s="99">
        <f>G27+'7'!H27</f>
        <v>2013617.52</v>
      </c>
      <c r="I27" s="138"/>
      <c r="J27" s="175">
        <f>H27/DAY(B2)</f>
        <v>251702.19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1142</v>
      </c>
      <c r="F28" s="136">
        <v>70</v>
      </c>
      <c r="G28" s="137">
        <f>E28*F28</f>
        <v>79940</v>
      </c>
      <c r="H28" s="99">
        <f>G28+'7'!H28</f>
        <v>619710</v>
      </c>
      <c r="I28" s="140"/>
      <c r="J28" s="175">
        <f>H28/DAY(B2)</f>
        <v>77463.75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G30+'7'!H30</f>
        <v>65987</v>
      </c>
      <c r="I30" s="140"/>
      <c r="J30" s="175">
        <f>H30/DAY(B2)</f>
        <v>8248.375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350</v>
      </c>
      <c r="F31" s="136">
        <v>80</v>
      </c>
      <c r="G31" s="137">
        <f>E31*F31</f>
        <v>28000</v>
      </c>
      <c r="H31" s="99">
        <f>G31+'7'!H31</f>
        <v>154400</v>
      </c>
      <c r="I31" s="140"/>
      <c r="J31" s="175">
        <f>H31/DAY(B2)</f>
        <v>19300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368311</v>
      </c>
      <c r="H32" s="99">
        <f>G32+'7'!H32</f>
        <v>2853714.52</v>
      </c>
      <c r="I32" s="144"/>
      <c r="J32" s="175">
        <f>H32/DAY(B2)</f>
        <v>356714.315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217697</v>
      </c>
      <c r="F35" s="145">
        <v>219764</v>
      </c>
      <c r="G35" s="112">
        <f t="shared" ref="G35:G46" si="3">F35-E35</f>
        <v>2067</v>
      </c>
      <c r="H35" s="99">
        <f>G35+'7'!H35</f>
        <v>16879</v>
      </c>
      <c r="I35" s="95"/>
      <c r="J35" s="175">
        <f>H35/DAY(B2)</f>
        <v>2109.875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138143</v>
      </c>
      <c r="F36" s="145">
        <v>139222</v>
      </c>
      <c r="G36" s="112">
        <f t="shared" si="3"/>
        <v>1079</v>
      </c>
      <c r="H36" s="99">
        <f>G36+'7'!H36</f>
        <v>7643</v>
      </c>
      <c r="I36" s="95"/>
      <c r="J36" s="175">
        <f>H36/DAY(B2)</f>
        <v>955.375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194550</v>
      </c>
      <c r="F37" s="145">
        <v>196132</v>
      </c>
      <c r="G37" s="112">
        <f t="shared" si="3"/>
        <v>1582</v>
      </c>
      <c r="H37" s="99">
        <f>G37+'7'!H37</f>
        <v>13007</v>
      </c>
      <c r="I37" s="95"/>
      <c r="J37" s="175">
        <f>H37/DAY(B2)</f>
        <v>1625.875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260297</v>
      </c>
      <c r="F38" s="108">
        <v>262800</v>
      </c>
      <c r="G38" s="112">
        <f t="shared" si="3"/>
        <v>2503</v>
      </c>
      <c r="H38" s="99">
        <f>G38+'7'!H38</f>
        <v>19348</v>
      </c>
      <c r="I38" s="95"/>
      <c r="J38" s="175">
        <f>H38/DAY(B2)</f>
        <v>2418.5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360153</v>
      </c>
      <c r="F39" s="145">
        <v>363090</v>
      </c>
      <c r="G39" s="112">
        <f t="shared" si="3"/>
        <v>2937</v>
      </c>
      <c r="H39" s="99">
        <f>G39+'7'!H39</f>
        <v>23102</v>
      </c>
      <c r="I39" s="95"/>
      <c r="J39" s="175">
        <f>H39/DAY(B2)</f>
        <v>2887.75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69283</v>
      </c>
      <c r="F40" s="145">
        <v>69467</v>
      </c>
      <c r="G40" s="112">
        <f t="shared" si="3"/>
        <v>184</v>
      </c>
      <c r="H40" s="99">
        <f>G40+'7'!H40</f>
        <v>4590</v>
      </c>
      <c r="I40" s="95"/>
      <c r="J40" s="175">
        <f>H40/DAY(B2)</f>
        <v>573.75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65445</v>
      </c>
      <c r="F41" s="145">
        <v>68834</v>
      </c>
      <c r="G41" s="112">
        <f t="shared" si="3"/>
        <v>3389</v>
      </c>
      <c r="H41" s="99">
        <f>G41+'7'!H41</f>
        <v>41141</v>
      </c>
      <c r="I41" s="95"/>
      <c r="J41" s="175">
        <f>H41/DAY(B2)</f>
        <v>5142.625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442649</v>
      </c>
      <c r="F42" s="145">
        <v>444743</v>
      </c>
      <c r="G42" s="112">
        <f t="shared" si="3"/>
        <v>2094</v>
      </c>
      <c r="H42" s="99">
        <f>G42+'7'!H42</f>
        <v>18942</v>
      </c>
      <c r="I42" s="95"/>
      <c r="J42" s="175">
        <f>H42/DAY(B2)</f>
        <v>2367.75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378856</v>
      </c>
      <c r="F43" s="145">
        <v>381712</v>
      </c>
      <c r="G43" s="112">
        <f t="shared" si="3"/>
        <v>2856</v>
      </c>
      <c r="H43" s="99">
        <f>G43+'7'!H43</f>
        <v>24193</v>
      </c>
      <c r="I43" s="95"/>
      <c r="J43" s="175">
        <f>H43/DAY(B2)</f>
        <v>3024.125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18691</v>
      </c>
      <c r="H47" s="99">
        <f>G47+'7'!H47</f>
        <v>168845</v>
      </c>
      <c r="I47" s="95"/>
      <c r="J47" s="175">
        <f>H47/DAY(B2)</f>
        <v>21105.625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178600</v>
      </c>
      <c r="F49" s="145">
        <v>180677</v>
      </c>
      <c r="G49" s="112">
        <f t="shared" ref="G49:G58" si="4">F49-E49</f>
        <v>2077</v>
      </c>
      <c r="H49" s="99">
        <f>G49+'7'!H49</f>
        <v>15507</v>
      </c>
      <c r="I49" s="95"/>
      <c r="J49" s="175">
        <f>H49/DAY(B2)</f>
        <v>1938.375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181614</v>
      </c>
      <c r="F50" s="145">
        <v>182904</v>
      </c>
      <c r="G50" s="112">
        <f t="shared" si="4"/>
        <v>1290</v>
      </c>
      <c r="H50" s="99">
        <f>G50+'7'!H50</f>
        <v>10297</v>
      </c>
      <c r="I50" s="95"/>
      <c r="J50" s="175">
        <f>H50/DAY(B2)</f>
        <v>1287.125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75.680000000000007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53390</v>
      </c>
      <c r="F54" s="145">
        <v>53861</v>
      </c>
      <c r="G54" s="112">
        <f t="shared" si="4"/>
        <v>471</v>
      </c>
      <c r="H54" s="99">
        <f>G54+'7'!H54</f>
        <v>3778</v>
      </c>
      <c r="I54" s="95"/>
      <c r="J54" s="175">
        <f>H54/DAY(B2)</f>
        <v>472.25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152801</v>
      </c>
      <c r="F55" s="145">
        <v>155201</v>
      </c>
      <c r="G55" s="112">
        <f t="shared" si="4"/>
        <v>2400</v>
      </c>
      <c r="H55" s="99">
        <f>G55+'7'!H55</f>
        <v>10234</v>
      </c>
      <c r="I55" s="95"/>
      <c r="J55" s="175">
        <f>H55/DAY(B2)</f>
        <v>1279.25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107245.86</v>
      </c>
      <c r="F56" s="145">
        <v>107245.86</v>
      </c>
      <c r="G56" s="112">
        <f t="shared" si="4"/>
        <v>0</v>
      </c>
      <c r="H56" s="99">
        <f>G56+'7'!H56</f>
        <v>-0.13999999999941792</v>
      </c>
      <c r="I56" s="95"/>
      <c r="J56" s="175">
        <f>H56/DAY(B2)</f>
        <v>-1.749999999992724E-2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27158</v>
      </c>
      <c r="F58" s="145">
        <v>27399</v>
      </c>
      <c r="G58" s="112">
        <f t="shared" si="4"/>
        <v>241</v>
      </c>
      <c r="H58" s="99">
        <f>G58+'7'!H58</f>
        <v>1906</v>
      </c>
      <c r="I58" s="95"/>
      <c r="J58" s="175">
        <f>H58/DAY(B2)</f>
        <v>238.25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6479</v>
      </c>
      <c r="H59" s="99">
        <f>G59+'7'!H59</f>
        <v>41721.619999999995</v>
      </c>
      <c r="I59" s="95">
        <f>G7-G60</f>
        <v>2153</v>
      </c>
      <c r="J59" s="175">
        <f>H59/DAY(B2)</f>
        <v>5215.2024999999994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25170</v>
      </c>
      <c r="H60" s="99">
        <f>G60+'7'!H60</f>
        <v>210566.62</v>
      </c>
      <c r="I60" s="95">
        <f>G13-G60</f>
        <v>1174</v>
      </c>
      <c r="J60" s="175">
        <f>H60/DAY(B2)</f>
        <v>26320.827499999999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'7'!F62</f>
        <v>285135</v>
      </c>
      <c r="F62" s="122">
        <v>285338</v>
      </c>
      <c r="G62" s="112">
        <f t="shared" ref="G62:G63" si="5">F62-E62</f>
        <v>203</v>
      </c>
      <c r="H62" s="99">
        <f>G62+'7'!H62</f>
        <v>1329</v>
      </c>
      <c r="I62" s="118"/>
      <c r="J62" s="175">
        <f>H62/DAY(B2)</f>
        <v>166.125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'7'!F63</f>
        <v>228531</v>
      </c>
      <c r="F63" s="122">
        <v>228715</v>
      </c>
      <c r="G63" s="112">
        <f t="shared" si="5"/>
        <v>184</v>
      </c>
      <c r="H63" s="99">
        <f>G63+'7'!H63</f>
        <v>1236</v>
      </c>
      <c r="I63" s="118"/>
      <c r="J63" s="175">
        <f>H63/DAY(B2)</f>
        <v>154.5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'7'!F64</f>
        <v>0</v>
      </c>
      <c r="F64" s="122"/>
      <c r="G64" s="112">
        <f>G62+G63</f>
        <v>387</v>
      </c>
      <c r="H64" s="99">
        <f>G64+'7'!H64</f>
        <v>2565</v>
      </c>
      <c r="I64" s="118"/>
      <c r="J64" s="175">
        <f>H64/DAY(B2)</f>
        <v>320.625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'7'!F65</f>
        <v>445318</v>
      </c>
      <c r="F65" s="122">
        <v>445440</v>
      </c>
      <c r="G65" s="112">
        <f t="shared" ref="G65:G70" si="6">F65-E65</f>
        <v>122</v>
      </c>
      <c r="H65" s="99">
        <f>G65+'7'!H65</f>
        <v>848</v>
      </c>
      <c r="I65" s="118"/>
      <c r="J65" s="175">
        <f>H65/DAY(B2)</f>
        <v>106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109729</v>
      </c>
      <c r="F66" s="122">
        <v>109759</v>
      </c>
      <c r="G66" s="112">
        <f t="shared" si="6"/>
        <v>30</v>
      </c>
      <c r="H66" s="99">
        <f>G66+'7'!H66</f>
        <v>178</v>
      </c>
      <c r="I66" s="118"/>
      <c r="J66" s="175">
        <f>H66/DAY(B2)</f>
        <v>22.25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111425</v>
      </c>
      <c r="F67" s="122">
        <v>111517</v>
      </c>
      <c r="G67" s="112">
        <f t="shared" si="6"/>
        <v>92</v>
      </c>
      <c r="H67" s="99">
        <f>G67+'7'!H67</f>
        <v>617</v>
      </c>
      <c r="I67" s="118"/>
      <c r="J67" s="175">
        <f>H67/DAY(B2)</f>
        <v>77.125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161905</v>
      </c>
      <c r="F68" s="122">
        <v>161935</v>
      </c>
      <c r="G68" s="112">
        <f t="shared" si="6"/>
        <v>30</v>
      </c>
      <c r="H68" s="99">
        <f>G68+'7'!H68</f>
        <v>151</v>
      </c>
      <c r="I68" s="118"/>
      <c r="J68" s="175">
        <f>H68/DAY(B2)</f>
        <v>18.875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11661</v>
      </c>
      <c r="F69" s="122">
        <v>11669</v>
      </c>
      <c r="G69" s="112">
        <f t="shared" si="6"/>
        <v>8</v>
      </c>
      <c r="H69" s="99">
        <f>G69+'7'!H69</f>
        <v>71</v>
      </c>
      <c r="I69" s="118"/>
      <c r="J69" s="175">
        <f>H69/DAY(B2)</f>
        <v>8.875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9067</v>
      </c>
      <c r="F70" s="122">
        <v>9072</v>
      </c>
      <c r="G70" s="112">
        <f t="shared" si="6"/>
        <v>5</v>
      </c>
      <c r="H70" s="99">
        <f>G70+'7'!H70</f>
        <v>71</v>
      </c>
      <c r="I70" s="118"/>
      <c r="J70" s="175">
        <f>H70/DAY(B2)</f>
        <v>8.875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287</v>
      </c>
      <c r="H71" s="99">
        <f>G71+'7'!H71</f>
        <v>1936</v>
      </c>
      <c r="I71" s="154"/>
      <c r="J71" s="175">
        <f>H71/DAY(B2)</f>
        <v>242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'7'!F74</f>
        <v>930923</v>
      </c>
      <c r="F74" s="123">
        <v>931245</v>
      </c>
      <c r="G74" s="112">
        <f t="shared" ref="G74:G78" si="7">F74-E74</f>
        <v>322</v>
      </c>
      <c r="H74" s="99">
        <f>G74+'7'!H74</f>
        <v>2468</v>
      </c>
      <c r="I74" s="154"/>
      <c r="J74" s="175">
        <f>H74/DAY(B2)</f>
        <v>308.5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'7'!F76</f>
        <v>180948</v>
      </c>
      <c r="F76" s="123">
        <v>181051</v>
      </c>
      <c r="G76" s="112">
        <f t="shared" si="7"/>
        <v>103</v>
      </c>
      <c r="H76" s="99">
        <f>G76+'7'!H76</f>
        <v>897</v>
      </c>
      <c r="I76" s="154"/>
      <c r="J76" s="175">
        <f>H76/DAY(B2)</f>
        <v>112.125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'7'!F77</f>
        <v>46055</v>
      </c>
      <c r="F77" s="123">
        <v>46113</v>
      </c>
      <c r="G77" s="112">
        <f t="shared" si="7"/>
        <v>58</v>
      </c>
      <c r="H77" s="99">
        <f>G77+'7'!H77</f>
        <v>439</v>
      </c>
      <c r="I77" s="154"/>
      <c r="J77" s="175">
        <f>H77/DAY(B2)</f>
        <v>54.875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'7'!F79</f>
        <v>0</v>
      </c>
      <c r="F79" s="117"/>
      <c r="G79" s="112">
        <f>G15-SUM(G74:G78)</f>
        <v>659</v>
      </c>
      <c r="H79" s="99">
        <f>G79+'7'!H79</f>
        <v>5049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>
        <f>SUM(G74:G79)</f>
        <v>1142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41955</v>
      </c>
      <c r="F84" s="164">
        <v>41969</v>
      </c>
      <c r="G84" s="112">
        <f t="shared" si="8"/>
        <v>14</v>
      </c>
      <c r="H84" s="99">
        <f>G84+'7'!H84</f>
        <v>177</v>
      </c>
      <c r="I84" s="575"/>
      <c r="J84" s="175">
        <f>H84/DAY(B2)</f>
        <v>22.125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3848.19</v>
      </c>
      <c r="F85" s="164">
        <v>3858</v>
      </c>
      <c r="G85" s="112">
        <f t="shared" si="8"/>
        <v>9.8099999999999454</v>
      </c>
      <c r="H85" s="99">
        <f>G85+'7'!H85</f>
        <v>81</v>
      </c>
      <c r="I85" s="575"/>
      <c r="J85" s="175">
        <f>H85/DAY(B2)</f>
        <v>10.125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43992</v>
      </c>
      <c r="F86" s="164">
        <v>44009</v>
      </c>
      <c r="G86" s="112">
        <f t="shared" si="8"/>
        <v>17</v>
      </c>
      <c r="H86" s="99">
        <f>G86+'7'!H86</f>
        <v>70</v>
      </c>
      <c r="I86" s="575"/>
      <c r="J86" s="175">
        <f>H86/DAY(B2)</f>
        <v>8.75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35329.06</v>
      </c>
      <c r="F87" s="164">
        <v>35329.06</v>
      </c>
      <c r="G87" s="112">
        <f t="shared" si="8"/>
        <v>0</v>
      </c>
      <c r="H87" s="99">
        <f>G87+'7'!H87</f>
        <v>5.9999999997671694E-2</v>
      </c>
      <c r="I87" s="557">
        <f>G84+G85+G86+G87</f>
        <v>40.809999999999945</v>
      </c>
      <c r="J87" s="175">
        <f>H87/DAY(B2)</f>
        <v>7.4999999997089617E-3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24206.47</v>
      </c>
      <c r="F88" s="164">
        <v>24207.32</v>
      </c>
      <c r="G88" s="112">
        <f t="shared" si="8"/>
        <v>0.84999999999854481</v>
      </c>
      <c r="H88" s="99">
        <f>G88+'7'!H88</f>
        <v>19.200000000000728</v>
      </c>
      <c r="I88" s="557"/>
      <c r="J88" s="175">
        <f>H88/DAY(B2)</f>
        <v>2.4000000000000909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26779.55</v>
      </c>
      <c r="F89" s="164">
        <v>26789.43</v>
      </c>
      <c r="G89" s="112">
        <f t="shared" si="8"/>
        <v>9.8800000000010186</v>
      </c>
      <c r="H89" s="99">
        <f>G89+'7'!H89</f>
        <v>80.209999999999127</v>
      </c>
      <c r="I89" s="557">
        <f>G88+G89</f>
        <v>10.729999999999563</v>
      </c>
      <c r="J89" s="175">
        <f>H89/DAY(B2)</f>
        <v>10.026249999999891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71908.42</v>
      </c>
      <c r="F90" s="164">
        <v>71920.009999999995</v>
      </c>
      <c r="G90" s="112">
        <f t="shared" si="8"/>
        <v>11.589999999996508</v>
      </c>
      <c r="H90" s="99">
        <f>G90+'7'!H90</f>
        <v>56.479999999995925</v>
      </c>
      <c r="I90" s="557">
        <f>G90</f>
        <v>11.589999999996508</v>
      </c>
      <c r="J90" s="175">
        <f>H90/DAY(B2)</f>
        <v>7.0599999999994907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4121.6499999999996</v>
      </c>
      <c r="F91" s="122">
        <v>4121.6499999999996</v>
      </c>
      <c r="G91" s="112">
        <f t="shared" si="8"/>
        <v>0</v>
      </c>
      <c r="H91" s="99">
        <f>G91+'7'!H91</f>
        <v>62.409999999999854</v>
      </c>
      <c r="I91" s="619"/>
      <c r="J91" s="175">
        <f>H91/DAY(B2)</f>
        <v>7.8012499999999818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5950.35</v>
      </c>
      <c r="F92" s="122">
        <v>5961.42</v>
      </c>
      <c r="G92" s="112">
        <f t="shared" si="8"/>
        <v>11.069999999999709</v>
      </c>
      <c r="H92" s="99">
        <f>G92+'7'!H92</f>
        <v>26.420000000000073</v>
      </c>
      <c r="I92" s="620">
        <f>G91+G92</f>
        <v>11.069999999999709</v>
      </c>
      <c r="J92" s="175">
        <f>H92/DAY(B2)</f>
        <v>3.3025000000000091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7000</v>
      </c>
      <c r="H94" s="99">
        <f>G94+'7'!H94</f>
        <v>56579</v>
      </c>
      <c r="I94" s="118"/>
      <c r="J94" s="175">
        <f>H94/DAY(B2)</f>
        <v>7072.375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0.25619441496175382</v>
      </c>
      <c r="H95" s="99">
        <f>G95+'7'!H95</f>
        <v>2.0597834563971542</v>
      </c>
      <c r="I95" s="167"/>
      <c r="J95" s="175">
        <f>H95/DAY(B2)</f>
        <v>0.25747293204964428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7883</v>
      </c>
      <c r="H96" s="99">
        <f>G96+'7'!H96</f>
        <v>70316.86</v>
      </c>
      <c r="I96" s="118"/>
      <c r="J96" s="175">
        <f>H96/DAY(B2)</f>
        <v>8789.6075000000001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0.28851151044907219</v>
      </c>
      <c r="H97" s="99">
        <f>G97+'7'!H97</f>
        <v>2.5593405948071846</v>
      </c>
      <c r="I97" s="167"/>
      <c r="J97" s="175">
        <f>H97/DAY(B2)</f>
        <v>0.31991757435089807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2937</v>
      </c>
      <c r="H98" s="99">
        <f>G98+'7'!H98</f>
        <v>23102</v>
      </c>
      <c r="I98" s="168"/>
      <c r="J98" s="175">
        <f>H98/DAY(B2)</f>
        <v>2887.75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0.10749185667752444</v>
      </c>
      <c r="H99" s="99">
        <f>G99+'7'!H99</f>
        <v>0.84298393693948781</v>
      </c>
      <c r="I99" s="168"/>
      <c r="J99" s="175">
        <f>H99/DAY(B2)</f>
        <v>0.10537299211743598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2503</v>
      </c>
      <c r="H100" s="99">
        <f>G100+'7'!H100</f>
        <v>19347.760000000002</v>
      </c>
      <c r="I100" s="118"/>
      <c r="J100" s="175">
        <f>H100/DAY(B2)</f>
        <v>2418.4700000000003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9.1607802949895692E-2</v>
      </c>
      <c r="H101" s="99">
        <f>G101+'7'!H101</f>
        <v>0.70590833433603517</v>
      </c>
      <c r="I101" s="168"/>
      <c r="J101" s="175">
        <f>H101/DAY(B2)</f>
        <v>8.8238541792004396E-2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2369</v>
      </c>
      <c r="H102" s="99">
        <f>G102+'7'!H102</f>
        <v>17940</v>
      </c>
      <c r="I102" s="168"/>
      <c r="J102" s="175">
        <f>H102/DAY(B2)</f>
        <v>2242.5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8.6703509863484976E-2</v>
      </c>
      <c r="H103" s="99">
        <f>G103+'7'!H103</f>
        <v>0.65241912297005111</v>
      </c>
      <c r="I103" s="118"/>
      <c r="J103" s="175">
        <f>H103/DAY(B2)</f>
        <v>8.1552390371256389E-2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1582</v>
      </c>
      <c r="H104" s="99">
        <f>G104+'7'!H104</f>
        <v>13007</v>
      </c>
      <c r="I104" s="118"/>
      <c r="J104" s="175">
        <f>H104/DAY(B2)</f>
        <v>1625.875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5.7899937781356367E-2</v>
      </c>
      <c r="H105" s="99">
        <f>G105+'7'!H105</f>
        <v>0.4741536320105742</v>
      </c>
      <c r="I105" s="187"/>
      <c r="J105" s="188">
        <f>H105/DAY(B2)</f>
        <v>5.9269204001321775E-2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'7'!F112</f>
        <v>792</v>
      </c>
      <c r="F112" s="237">
        <v>871</v>
      </c>
      <c r="G112" s="112">
        <f t="shared" ref="G112:G123" si="9">F112-E112</f>
        <v>79</v>
      </c>
      <c r="H112" s="99">
        <f>G112+'7'!H112</f>
        <v>628</v>
      </c>
      <c r="I112" s="165"/>
      <c r="J112" s="328">
        <f>H112/DAY(B2)</f>
        <v>78.5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'7'!F113</f>
        <v>1550</v>
      </c>
      <c r="F113" s="237">
        <v>1704</v>
      </c>
      <c r="G113" s="112">
        <f t="shared" si="9"/>
        <v>154</v>
      </c>
      <c r="H113" s="99">
        <f>G113+'7'!H113</f>
        <v>1222</v>
      </c>
      <c r="I113" s="165"/>
      <c r="J113" s="328">
        <f>H113/DAY(B2)</f>
        <v>152.75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'7'!F114</f>
        <v>2201</v>
      </c>
      <c r="F114" s="237">
        <v>2416</v>
      </c>
      <c r="G114" s="112">
        <f t="shared" si="9"/>
        <v>215</v>
      </c>
      <c r="H114" s="99">
        <f>G114+'7'!H114</f>
        <v>1752</v>
      </c>
      <c r="I114" s="165"/>
      <c r="J114" s="328">
        <f>H114/DAY(B2)</f>
        <v>219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'7'!F115</f>
        <v>1637</v>
      </c>
      <c r="F115" s="237">
        <v>1770</v>
      </c>
      <c r="G115" s="112">
        <f t="shared" si="9"/>
        <v>133</v>
      </c>
      <c r="H115" s="99">
        <f>G115+'7'!H115</f>
        <v>1259</v>
      </c>
      <c r="I115" s="165"/>
      <c r="J115" s="328">
        <f>H115/DAY(B2)</f>
        <v>157.375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'7'!F116</f>
        <v>37297</v>
      </c>
      <c r="F116" s="237">
        <v>37723</v>
      </c>
      <c r="G116" s="112">
        <f t="shared" si="9"/>
        <v>426</v>
      </c>
      <c r="H116" s="99">
        <f>G116+'7'!H116</f>
        <v>3057</v>
      </c>
      <c r="I116" s="165"/>
      <c r="J116" s="328">
        <f>H116/DAY(B2)</f>
        <v>382.125</v>
      </c>
      <c r="Q116" s="886" t="s">
        <v>311</v>
      </c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'7'!F117</f>
        <v>20230</v>
      </c>
      <c r="F117" s="237">
        <v>20434</v>
      </c>
      <c r="G117" s="112">
        <f t="shared" si="9"/>
        <v>204</v>
      </c>
      <c r="H117" s="99">
        <f>G117+'7'!H117</f>
        <v>1498</v>
      </c>
      <c r="I117" s="165"/>
      <c r="J117" s="328">
        <f>H117/DAY(B2)</f>
        <v>187.25</v>
      </c>
      <c r="Q117" s="886" t="s">
        <v>312</v>
      </c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'7'!F118</f>
        <v>12846</v>
      </c>
      <c r="F118" s="237">
        <v>13413</v>
      </c>
      <c r="G118" s="112">
        <f t="shared" si="9"/>
        <v>567</v>
      </c>
      <c r="H118" s="99">
        <f>G118+'7'!H118</f>
        <v>4350</v>
      </c>
      <c r="I118" s="165"/>
      <c r="J118" s="328">
        <f>H118/DAY(B2)</f>
        <v>543.75</v>
      </c>
      <c r="Q118" s="886" t="s">
        <v>311</v>
      </c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'7'!F119</f>
        <v>8838</v>
      </c>
      <c r="F119" s="237">
        <v>9249</v>
      </c>
      <c r="G119" s="112">
        <f t="shared" si="9"/>
        <v>411</v>
      </c>
      <c r="H119" s="99">
        <f>G119+'7'!H119</f>
        <v>3346</v>
      </c>
      <c r="I119" s="165"/>
      <c r="J119" s="328">
        <f>H119/DAY(B2)</f>
        <v>418.25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'7'!F120</f>
        <v>10063</v>
      </c>
      <c r="F120" s="237">
        <v>10472</v>
      </c>
      <c r="G120" s="112">
        <f t="shared" si="9"/>
        <v>409</v>
      </c>
      <c r="H120" s="99">
        <f>G120+'7'!H120</f>
        <v>3337</v>
      </c>
      <c r="I120" s="165"/>
      <c r="J120" s="328">
        <f>H120/DAY(B2)</f>
        <v>417.125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'7'!F121</f>
        <v>14871</v>
      </c>
      <c r="F121" s="237">
        <v>15316</v>
      </c>
      <c r="G121" s="112">
        <f t="shared" si="9"/>
        <v>445</v>
      </c>
      <c r="H121" s="99">
        <f>G121+'7'!H121</f>
        <v>3589</v>
      </c>
      <c r="I121" s="165"/>
      <c r="J121" s="328">
        <f>H121/DAY(B2)</f>
        <v>448.625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'7'!F122</f>
        <v>4951</v>
      </c>
      <c r="F122" s="237">
        <v>5147</v>
      </c>
      <c r="G122" s="112">
        <f t="shared" si="9"/>
        <v>196</v>
      </c>
      <c r="H122" s="99">
        <f>G122+'7'!H122</f>
        <v>1583</v>
      </c>
      <c r="I122" s="165"/>
      <c r="J122" s="328">
        <f>H122/DAY(B2)</f>
        <v>197.875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'7'!F123</f>
        <v>3198</v>
      </c>
      <c r="F123" s="237">
        <v>3529</v>
      </c>
      <c r="G123" s="112">
        <f t="shared" si="9"/>
        <v>331</v>
      </c>
      <c r="H123" s="99">
        <f>G123+'7'!H123</f>
        <v>2562</v>
      </c>
      <c r="I123" s="165"/>
      <c r="J123" s="328">
        <f>H123/DAY(B2)</f>
        <v>320.25</v>
      </c>
    </row>
    <row r="124" spans="1:18" ht="29.2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3570</v>
      </c>
      <c r="H125" s="156"/>
      <c r="I125" s="327">
        <f>G125-(G39+G53)</f>
        <v>633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'7'!F128</f>
        <v>84197</v>
      </c>
      <c r="F128" s="165">
        <v>84588</v>
      </c>
      <c r="G128" s="112">
        <f t="shared" ref="G128:G134" si="10">F128-E128</f>
        <v>391</v>
      </c>
      <c r="H128" s="99">
        <f>G128+'7'!H128</f>
        <v>3173</v>
      </c>
      <c r="I128" s="165"/>
      <c r="J128" s="328">
        <f>H128/DAY(B2)</f>
        <v>396.625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53042</v>
      </c>
      <c r="F129" s="165">
        <v>53345</v>
      </c>
      <c r="G129" s="112">
        <f t="shared" si="10"/>
        <v>303</v>
      </c>
      <c r="H129" s="99">
        <f>G129+'7'!H129</f>
        <v>2273</v>
      </c>
      <c r="I129" s="165"/>
      <c r="J129" s="328">
        <f>H129/DAY(B2)</f>
        <v>284.125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101753</v>
      </c>
      <c r="F130" s="165">
        <v>102510</v>
      </c>
      <c r="G130" s="112">
        <f t="shared" si="10"/>
        <v>757</v>
      </c>
      <c r="H130" s="99">
        <f>G130+'7'!H130</f>
        <v>5864</v>
      </c>
      <c r="I130" s="165"/>
      <c r="J130" s="328">
        <f>H130/DAY(B2)</f>
        <v>733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'7'!F131</f>
        <v>31799</v>
      </c>
      <c r="F131" s="165">
        <v>31946</v>
      </c>
      <c r="G131" s="112">
        <f t="shared" si="10"/>
        <v>147</v>
      </c>
      <c r="H131" s="99">
        <f>G131+'7'!H131</f>
        <v>1511</v>
      </c>
      <c r="I131" s="165"/>
      <c r="J131" s="328">
        <f>H131/DAY(B2)</f>
        <v>188.875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'7'!F132</f>
        <v>92518</v>
      </c>
      <c r="F132" s="165">
        <v>93032</v>
      </c>
      <c r="G132" s="112">
        <f t="shared" si="10"/>
        <v>514</v>
      </c>
      <c r="H132" s="99">
        <f>G132+'7'!H132</f>
        <v>4095</v>
      </c>
      <c r="I132" s="165"/>
      <c r="J132" s="328">
        <f>H132/DAY(B2)</f>
        <v>511.875</v>
      </c>
    </row>
    <row r="133" spans="1:15" ht="25.5">
      <c r="A133" s="886" t="s">
        <v>323</v>
      </c>
      <c r="B133" s="887"/>
      <c r="C133" s="888"/>
      <c r="D133" s="151" t="s">
        <v>183</v>
      </c>
      <c r="E133" s="95">
        <f>'7'!F133</f>
        <v>179012</v>
      </c>
      <c r="F133" s="165">
        <v>180038</v>
      </c>
      <c r="G133" s="112">
        <f t="shared" si="10"/>
        <v>1026</v>
      </c>
      <c r="H133" s="99">
        <f>G133+'7'!H133</f>
        <v>7592</v>
      </c>
      <c r="I133" s="165"/>
      <c r="J133" s="328">
        <f>H133/DAY(B2)</f>
        <v>949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'7'!F134</f>
        <v>29782</v>
      </c>
      <c r="F134" s="165">
        <v>30021</v>
      </c>
      <c r="G134" s="112">
        <f t="shared" si="10"/>
        <v>239</v>
      </c>
      <c r="H134" s="99">
        <f>G134+'7'!H134</f>
        <v>1928</v>
      </c>
      <c r="I134" s="165"/>
      <c r="J134" s="328">
        <f>H134/DAY(B2)</f>
        <v>241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3377</v>
      </c>
      <c r="H135" s="99">
        <f>G135+'7'!H135</f>
        <v>26436</v>
      </c>
      <c r="I135" s="327">
        <f>G135-(G35+G49)</f>
        <v>-767</v>
      </c>
      <c r="J135" s="328">
        <f>H135/DAY(B2)</f>
        <v>3304.5</v>
      </c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'7'!F138</f>
        <v>879778</v>
      </c>
      <c r="F138" s="147">
        <v>879927</v>
      </c>
      <c r="G138" s="112">
        <f t="shared" ref="G138:G152" si="11">F138-E138</f>
        <v>149</v>
      </c>
      <c r="H138" s="99">
        <f>G138+'7'!H138</f>
        <v>1143</v>
      </c>
      <c r="I138" s="118"/>
      <c r="J138" s="328">
        <f>H138/DAY(B2)</f>
        <v>142.875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'7'!F139</f>
        <v>895943</v>
      </c>
      <c r="F139" s="148">
        <v>896089</v>
      </c>
      <c r="G139" s="112">
        <f t="shared" si="11"/>
        <v>146</v>
      </c>
      <c r="H139" s="99">
        <f>G139+'7'!H139</f>
        <v>1223</v>
      </c>
      <c r="I139" s="118"/>
      <c r="J139" s="328">
        <f>H139/DAY(B2)</f>
        <v>152.875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'7'!F140</f>
        <v>234</v>
      </c>
      <c r="F140" s="149">
        <v>247</v>
      </c>
      <c r="G140" s="112">
        <f t="shared" si="11"/>
        <v>13</v>
      </c>
      <c r="H140" s="99">
        <f>G140+'7'!H140</f>
        <v>112</v>
      </c>
      <c r="I140" s="118"/>
      <c r="J140" s="328">
        <f>H140/DAY(B2)</f>
        <v>14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'7'!F141</f>
        <v>73226</v>
      </c>
      <c r="F141" s="149">
        <v>73431</v>
      </c>
      <c r="G141" s="112">
        <f t="shared" si="11"/>
        <v>205</v>
      </c>
      <c r="H141" s="99">
        <f>G141+'7'!H141</f>
        <v>1657</v>
      </c>
      <c r="I141" s="118"/>
      <c r="J141" s="328">
        <f>H141/DAY(B2)</f>
        <v>207.125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'7'!F142</f>
        <v>27943</v>
      </c>
      <c r="F142" s="519">
        <v>28016</v>
      </c>
      <c r="G142" s="112">
        <f t="shared" si="11"/>
        <v>73</v>
      </c>
      <c r="H142" s="99">
        <f>G142+'7'!H142</f>
        <v>550</v>
      </c>
      <c r="I142" s="140"/>
      <c r="J142" s="328">
        <f>H142/DAY(B2)</f>
        <v>68.75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'7'!F143</f>
        <v>6604</v>
      </c>
      <c r="F143" s="149">
        <v>6635</v>
      </c>
      <c r="G143" s="112">
        <f t="shared" si="11"/>
        <v>31</v>
      </c>
      <c r="H143" s="99">
        <f>G143+'7'!H143</f>
        <v>218</v>
      </c>
      <c r="I143" s="140"/>
      <c r="J143" s="328">
        <f>H143/DAY(B2)</f>
        <v>27.25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'7'!F144</f>
        <v>899010</v>
      </c>
      <c r="F144" s="149">
        <v>899267</v>
      </c>
      <c r="G144" s="112">
        <f t="shared" si="11"/>
        <v>257</v>
      </c>
      <c r="H144" s="99">
        <f>G144+'7'!H144</f>
        <v>2034</v>
      </c>
      <c r="I144" s="140"/>
      <c r="J144" s="328">
        <f>H144/DAY(B2)</f>
        <v>254.25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'7'!F145</f>
        <v>5645</v>
      </c>
      <c r="F145" s="149">
        <v>5647</v>
      </c>
      <c r="G145" s="112">
        <f t="shared" si="11"/>
        <v>2</v>
      </c>
      <c r="H145" s="99">
        <f>G145+'7'!H145</f>
        <v>19</v>
      </c>
      <c r="I145" s="140"/>
      <c r="J145" s="328">
        <f>H145/DAY(B2)</f>
        <v>2.375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'7'!F146</f>
        <v>776667</v>
      </c>
      <c r="F146" s="148">
        <v>776712</v>
      </c>
      <c r="G146" s="112">
        <f t="shared" si="11"/>
        <v>45</v>
      </c>
      <c r="H146" s="99">
        <f>G146+'7'!H146</f>
        <v>258</v>
      </c>
      <c r="I146" s="140"/>
      <c r="J146" s="328">
        <f>H146/DAY(B2)</f>
        <v>32.25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'7'!F147</f>
        <v>666033</v>
      </c>
      <c r="F147" s="148">
        <v>666447</v>
      </c>
      <c r="G147" s="112">
        <f t="shared" si="11"/>
        <v>414</v>
      </c>
      <c r="H147" s="99">
        <f>G147+'7'!H147</f>
        <v>3219</v>
      </c>
      <c r="I147" s="140"/>
      <c r="J147" s="328">
        <f>H147/DAY(B2)</f>
        <v>402.375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'7'!F148</f>
        <v>722311</v>
      </c>
      <c r="F148" s="150">
        <v>722695</v>
      </c>
      <c r="G148" s="112">
        <f t="shared" si="11"/>
        <v>384</v>
      </c>
      <c r="H148" s="99">
        <f>G148+'7'!H148</f>
        <v>2779</v>
      </c>
      <c r="I148" s="124"/>
      <c r="J148" s="328">
        <f>H148/DAY(B2)</f>
        <v>347.375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'7'!F149</f>
        <v>87494</v>
      </c>
      <c r="F149" s="146">
        <v>88099</v>
      </c>
      <c r="G149" s="112">
        <f t="shared" si="11"/>
        <v>605</v>
      </c>
      <c r="H149" s="99">
        <f>G149+'7'!H149</f>
        <v>4711</v>
      </c>
      <c r="I149" s="119"/>
      <c r="J149" s="328">
        <f>H149/DAY(B2)</f>
        <v>588.875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'7'!F150</f>
        <v>32120</v>
      </c>
      <c r="F150" s="233">
        <v>32341</v>
      </c>
      <c r="G150" s="112">
        <f t="shared" si="11"/>
        <v>221</v>
      </c>
      <c r="H150" s="99">
        <f>G150+'7'!H150</f>
        <v>1754</v>
      </c>
      <c r="I150" s="119"/>
      <c r="J150" s="328">
        <f>H150/DAY(B2)</f>
        <v>219.25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'7'!F151</f>
        <v>111358</v>
      </c>
      <c r="F151" s="233">
        <v>111690</v>
      </c>
      <c r="G151" s="112">
        <f t="shared" si="11"/>
        <v>332</v>
      </c>
      <c r="H151" s="99">
        <f>G151+'7'!H151</f>
        <v>2462</v>
      </c>
      <c r="I151" s="119"/>
      <c r="J151" s="328">
        <f>H151/DAY(B2)</f>
        <v>307.75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'7'!F152</f>
        <v>12138</v>
      </c>
      <c r="F152" s="233">
        <v>12289</v>
      </c>
      <c r="G152" s="112">
        <f t="shared" si="11"/>
        <v>151</v>
      </c>
      <c r="H152" s="99">
        <f>G152+'7'!H152</f>
        <v>1133</v>
      </c>
      <c r="I152" s="119"/>
      <c r="J152" s="328">
        <f>H152/DAY(B2)</f>
        <v>141.625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3028</v>
      </c>
      <c r="H153" s="363"/>
      <c r="I153" s="119">
        <f>G153-(G38+G52)</f>
        <v>525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'7'!F155</f>
        <v>97129</v>
      </c>
      <c r="F155" s="374">
        <v>97730</v>
      </c>
      <c r="G155" s="112">
        <f t="shared" ref="G155:G158" si="12">F155-E155</f>
        <v>601</v>
      </c>
      <c r="H155" s="99">
        <f>G155+'7'!H155</f>
        <v>4998</v>
      </c>
      <c r="I155" s="364"/>
      <c r="J155" s="328">
        <f>H155/DAY(B2)</f>
        <v>624.75</v>
      </c>
    </row>
    <row r="156" spans="1:10" ht="25.5">
      <c r="A156" s="864" t="s">
        <v>346</v>
      </c>
      <c r="B156" s="864"/>
      <c r="C156" s="864"/>
      <c r="D156" s="117" t="s">
        <v>130</v>
      </c>
      <c r="E156" s="95">
        <f>'7'!F156</f>
        <v>8141</v>
      </c>
      <c r="F156" s="155">
        <v>8201</v>
      </c>
      <c r="G156" s="112">
        <f t="shared" si="12"/>
        <v>60</v>
      </c>
      <c r="H156" s="99">
        <f>G156+'7'!H156</f>
        <v>510</v>
      </c>
      <c r="I156" s="165"/>
      <c r="J156" s="328">
        <f>H156/DAY(B2)</f>
        <v>63.75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'7'!F157</f>
        <v>14292</v>
      </c>
      <c r="F157" s="155">
        <v>14431</v>
      </c>
      <c r="G157" s="112">
        <f t="shared" si="12"/>
        <v>139</v>
      </c>
      <c r="H157" s="99">
        <f>G157+'7'!H157</f>
        <v>935</v>
      </c>
      <c r="I157" s="165"/>
      <c r="J157" s="328">
        <f>H157/DAY(B2)</f>
        <v>116.875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'7'!F158</f>
        <v>125</v>
      </c>
      <c r="F158" s="155">
        <v>126</v>
      </c>
      <c r="G158" s="112">
        <f t="shared" si="12"/>
        <v>1</v>
      </c>
      <c r="H158" s="99">
        <f>G158+'7'!H158</f>
        <v>46.459999999999994</v>
      </c>
      <c r="I158" s="165"/>
      <c r="J158" s="328">
        <f>H158/DAY(B2)</f>
        <v>5.8074999999999992</v>
      </c>
    </row>
    <row r="159" spans="1:10" ht="25.5">
      <c r="A159" s="950"/>
      <c r="B159" s="951"/>
      <c r="C159" s="952"/>
      <c r="D159" s="117"/>
      <c r="E159" s="95"/>
      <c r="F159" s="15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474947</v>
      </c>
      <c r="F161" s="235">
        <v>474970</v>
      </c>
      <c r="G161" s="238">
        <f t="shared" ref="G161:G165" si="13">F161-E161</f>
        <v>23</v>
      </c>
      <c r="H161" s="99">
        <f>G161+'7'!H161</f>
        <v>187</v>
      </c>
      <c r="I161" s="236"/>
      <c r="J161" s="239">
        <f>H161/DAY(B2)</f>
        <v>23.375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91813</v>
      </c>
      <c r="F162" s="235">
        <v>91830</v>
      </c>
      <c r="G162" s="238">
        <f t="shared" si="13"/>
        <v>17</v>
      </c>
      <c r="H162" s="99">
        <f>G162+'7'!H162</f>
        <v>283</v>
      </c>
      <c r="I162" s="236"/>
      <c r="J162" s="239">
        <f>H162/DAY(B2)</f>
        <v>35.375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93161</v>
      </c>
      <c r="F163" s="235">
        <v>93334</v>
      </c>
      <c r="G163" s="238">
        <f t="shared" si="13"/>
        <v>173</v>
      </c>
      <c r="H163" s="99">
        <f>G163+'7'!H163</f>
        <v>1298</v>
      </c>
      <c r="I163" s="236"/>
      <c r="J163" s="239">
        <f>H163/DAY(B2)</f>
        <v>162.25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5261</v>
      </c>
      <c r="F164" s="235">
        <v>5270</v>
      </c>
      <c r="G164" s="238">
        <f t="shared" si="13"/>
        <v>9</v>
      </c>
      <c r="H164" s="99">
        <f>G164+'7'!H164</f>
        <v>88</v>
      </c>
      <c r="I164" s="236"/>
      <c r="J164" s="239">
        <f>H164/DAY(B2)</f>
        <v>11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30720</v>
      </c>
      <c r="F165" s="418">
        <v>30728</v>
      </c>
      <c r="G165" s="238">
        <f t="shared" si="13"/>
        <v>8</v>
      </c>
      <c r="H165" s="99">
        <f>G165+'7'!H165</f>
        <v>94</v>
      </c>
      <c r="I165" s="236"/>
      <c r="J165" s="239">
        <f>H165/DAY(B2)</f>
        <v>11.75</v>
      </c>
    </row>
    <row r="166" spans="1:10" ht="26.25">
      <c r="A166" s="873"/>
      <c r="B166" s="873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'7'!F173</f>
        <v>8265</v>
      </c>
      <c r="F173" s="155">
        <v>8265</v>
      </c>
      <c r="G173" s="155">
        <f>F173-E173</f>
        <v>0</v>
      </c>
      <c r="H173" s="99">
        <f>G173+'7'!H173</f>
        <v>4</v>
      </c>
      <c r="I173" s="155"/>
      <c r="J173" s="178">
        <f>H173/DAY(B2)</f>
        <v>0.5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'7'!F174</f>
        <v>40035</v>
      </c>
      <c r="F174" s="157">
        <v>40048</v>
      </c>
      <c r="G174" s="155">
        <f t="shared" ref="G174:G175" si="14">F174-E174</f>
        <v>13</v>
      </c>
      <c r="H174" s="99">
        <f>G174+'7'!H174</f>
        <v>120</v>
      </c>
      <c r="I174" s="155"/>
      <c r="J174" s="178">
        <f>H174/DAY(B2)</f>
        <v>15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'7'!F175</f>
        <v>22980</v>
      </c>
      <c r="F175" s="155">
        <v>22995</v>
      </c>
      <c r="G175" s="155">
        <f t="shared" si="14"/>
        <v>15</v>
      </c>
      <c r="H175" s="99">
        <f>G175+'7'!H175</f>
        <v>106</v>
      </c>
      <c r="I175" s="155"/>
      <c r="J175" s="178">
        <f>H175/DAY(B2)</f>
        <v>13.25</v>
      </c>
    </row>
    <row r="176" spans="1:10" ht="25.5">
      <c r="A176" s="868" t="s">
        <v>196</v>
      </c>
      <c r="B176" s="869"/>
      <c r="C176" s="333"/>
      <c r="D176" s="228" t="s">
        <v>142</v>
      </c>
      <c r="E176" s="95"/>
      <c r="F176" s="155"/>
      <c r="G176" s="155">
        <f>SUM(G173:G175)</f>
        <v>28</v>
      </c>
      <c r="H176" s="99">
        <f>G176+'7'!H176</f>
        <v>230</v>
      </c>
      <c r="I176" s="155"/>
      <c r="J176" s="178">
        <f>H176/DAY(B2)</f>
        <v>28.75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'7'!F178</f>
        <v>89346</v>
      </c>
      <c r="F178" s="155">
        <v>89473</v>
      </c>
      <c r="G178" s="155">
        <f>F178-E178</f>
        <v>127</v>
      </c>
      <c r="H178" s="99">
        <f>G178+'7'!H178</f>
        <v>870</v>
      </c>
      <c r="I178" s="155"/>
      <c r="J178" s="178">
        <f>H178/DAY(B2)</f>
        <v>108.75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'7'!F179</f>
        <v>35773</v>
      </c>
      <c r="F179" s="155">
        <v>35773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'7'!F180</f>
        <v>6447</v>
      </c>
      <c r="F180" s="155">
        <v>6452</v>
      </c>
      <c r="G180" s="155">
        <f t="shared" si="15"/>
        <v>5</v>
      </c>
      <c r="H180" s="99">
        <f>G180+'7'!H180</f>
        <v>63</v>
      </c>
      <c r="I180" s="155"/>
      <c r="J180" s="178">
        <f>H180/DAY(B2)</f>
        <v>7.875</v>
      </c>
    </row>
    <row r="181" spans="1:10" ht="25.5">
      <c r="A181" s="881" t="s">
        <v>108</v>
      </c>
      <c r="B181" s="882"/>
      <c r="C181" s="333"/>
      <c r="D181" s="228" t="s">
        <v>142</v>
      </c>
      <c r="E181" s="95"/>
      <c r="F181" s="155"/>
      <c r="G181" s="155">
        <f>SUM(G178:G180)</f>
        <v>132</v>
      </c>
      <c r="H181" s="99">
        <f>G181+'7'!H181</f>
        <v>933</v>
      </c>
      <c r="I181" s="155"/>
      <c r="J181" s="178">
        <f>H181/DAY(B2)</f>
        <v>116.625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'7'!F183</f>
        <v>16699</v>
      </c>
      <c r="F183" s="157">
        <v>16710</v>
      </c>
      <c r="G183" s="157">
        <f>F183-E183</f>
        <v>11</v>
      </c>
      <c r="H183" s="99">
        <f>G183+'7'!H183</f>
        <v>88</v>
      </c>
      <c r="I183" s="155"/>
      <c r="J183" s="178">
        <f>H183/DAY(B2)</f>
        <v>11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'7'!F184</f>
        <v>11326</v>
      </c>
      <c r="F184" s="157">
        <v>11335</v>
      </c>
      <c r="G184" s="157">
        <f t="shared" ref="G184:G185" si="16">F184-E184</f>
        <v>9</v>
      </c>
      <c r="H184" s="99">
        <f>G184+'7'!H184</f>
        <v>61</v>
      </c>
      <c r="I184" s="155"/>
      <c r="J184" s="178">
        <f>H184/DAY(B2)</f>
        <v>7.625</v>
      </c>
    </row>
    <row r="185" spans="1:10" ht="25.5">
      <c r="A185" s="879" t="s">
        <v>216</v>
      </c>
      <c r="B185" s="880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868" t="s">
        <v>196</v>
      </c>
      <c r="B186" s="869"/>
      <c r="C186" s="334"/>
      <c r="D186" s="228" t="s">
        <v>142</v>
      </c>
      <c r="E186" s="95"/>
      <c r="F186" s="157"/>
      <c r="G186" s="157">
        <f>SUM(G183:G185)</f>
        <v>20</v>
      </c>
      <c r="H186" s="99">
        <f>G186+'7'!H186</f>
        <v>149</v>
      </c>
      <c r="I186" s="157"/>
      <c r="J186" s="178">
        <f>H186/DAY(B2)</f>
        <v>18.625</v>
      </c>
    </row>
    <row r="187" spans="1:10" ht="25.5">
      <c r="A187" s="870" t="s">
        <v>217</v>
      </c>
      <c r="B187" s="871"/>
      <c r="C187" s="333"/>
      <c r="D187" s="230" t="s">
        <v>142</v>
      </c>
      <c r="E187" s="95"/>
      <c r="F187" s="159"/>
      <c r="G187" s="159">
        <f>G62+G19</f>
        <v>261</v>
      </c>
      <c r="H187" s="99">
        <f>G187+'7'!H187</f>
        <v>1766</v>
      </c>
      <c r="I187" s="158"/>
      <c r="J187" s="179">
        <f>H187/DAY(B2)</f>
        <v>220.75</v>
      </c>
    </row>
    <row r="188" spans="1:10" ht="25.5">
      <c r="A188" s="870" t="s">
        <v>218</v>
      </c>
      <c r="B188" s="871"/>
      <c r="C188" s="333"/>
      <c r="D188" s="230" t="s">
        <v>142</v>
      </c>
      <c r="E188" s="95"/>
      <c r="F188" s="159"/>
      <c r="G188" s="159">
        <f>G65+G66+G67+G69+G70</f>
        <v>257</v>
      </c>
      <c r="H188" s="99">
        <f>G188+'7'!H188</f>
        <v>1785</v>
      </c>
      <c r="I188" s="158"/>
      <c r="J188" s="179">
        <f>H188/DAY(B2)</f>
        <v>223.125</v>
      </c>
    </row>
    <row r="189" spans="1:10" ht="25.5">
      <c r="A189" s="870" t="s">
        <v>219</v>
      </c>
      <c r="B189" s="871"/>
      <c r="C189" s="333"/>
      <c r="D189" s="230" t="s">
        <v>142</v>
      </c>
      <c r="E189" s="95"/>
      <c r="F189" s="157"/>
      <c r="G189" s="157">
        <f>G181</f>
        <v>132</v>
      </c>
      <c r="H189" s="99">
        <f>G189+'7'!H189</f>
        <v>933</v>
      </c>
      <c r="I189" s="158"/>
      <c r="J189" s="179">
        <f>H189/DAY(B2)</f>
        <v>116.625</v>
      </c>
    </row>
    <row r="190" spans="1:10" ht="25.5">
      <c r="A190" s="877"/>
      <c r="B190" s="87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45" zoomScale="55" zoomScaleNormal="80" zoomScaleSheetLayoutView="55" workbookViewId="0">
      <selection activeCell="A54" sqref="A54:XFD54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373</v>
      </c>
      <c r="B2" s="262">
        <v>44660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50650</v>
      </c>
      <c r="F7" s="95">
        <v>77372</v>
      </c>
      <c r="G7" s="112">
        <f>F7-E7</f>
        <v>26722</v>
      </c>
      <c r="H7" s="99">
        <f>G7+'8'!H7</f>
        <v>246334</v>
      </c>
      <c r="I7" s="113">
        <f>'1'!I7</f>
        <v>12000</v>
      </c>
      <c r="J7" s="175">
        <f>H7/DAY(B2)</f>
        <v>27370.444444444445</v>
      </c>
      <c r="K7" s="172">
        <v>1375467</v>
      </c>
      <c r="L7" s="66"/>
      <c r="N7" s="87">
        <f>G7+600</f>
        <v>27322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142858</v>
      </c>
      <c r="F8" s="114">
        <v>170133</v>
      </c>
      <c r="G8" s="115">
        <f>F8-E8</f>
        <v>27275</v>
      </c>
      <c r="H8" s="99">
        <f>G8+'8'!H8</f>
        <v>251010.27999999997</v>
      </c>
      <c r="I8" s="116"/>
      <c r="J8" s="175">
        <f>H8/DAY(B2)</f>
        <v>27890.031111111108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2063594</v>
      </c>
      <c r="F9" s="353">
        <v>2083119</v>
      </c>
      <c r="G9" s="112">
        <f>F9-E9</f>
        <v>19525</v>
      </c>
      <c r="H9" s="99">
        <f>G9+'8'!H9</f>
        <v>192084</v>
      </c>
      <c r="I9" s="124">
        <f>I7-J7</f>
        <v>-15370.444444444445</v>
      </c>
      <c r="J9" s="175">
        <f>H9/DAY(B2)</f>
        <v>21342.666666666668</v>
      </c>
      <c r="K9" s="79">
        <f>K8-100</f>
        <v>1715817</v>
      </c>
      <c r="L9" s="66"/>
      <c r="N9" s="87">
        <f>E8+234223+600</f>
        <v>377681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656046</v>
      </c>
      <c r="F10" s="117">
        <v>662621</v>
      </c>
      <c r="G10" s="112">
        <f t="shared" ref="G10:G12" si="0">F10-E10</f>
        <v>6575</v>
      </c>
      <c r="H10" s="99">
        <f>G10+'8'!H10</f>
        <v>47085</v>
      </c>
      <c r="I10" s="282"/>
      <c r="J10" s="175">
        <f>H10/DAY(B2)</f>
        <v>5231.666666666667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26100</v>
      </c>
      <c r="H13" s="99">
        <f>G13+'8'!H13</f>
        <v>236652.75</v>
      </c>
      <c r="I13" s="120">
        <f>G7-G13</f>
        <v>622</v>
      </c>
      <c r="J13" s="175">
        <f>H13/DAY(B2)</f>
        <v>26294.75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2012580</v>
      </c>
      <c r="F15" s="470">
        <v>2013684</v>
      </c>
      <c r="G15" s="112">
        <f>(F15-E15)</f>
        <v>1104</v>
      </c>
      <c r="H15" s="99">
        <f>G15+'8'!H15</f>
        <v>9957</v>
      </c>
      <c r="I15" s="113">
        <f>'1'!I15</f>
        <v>800</v>
      </c>
      <c r="J15" s="175">
        <f>H15/DAY(B2)</f>
        <v>1106.3333333333333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-306.33333333333326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'8'!F18</f>
        <v>35</v>
      </c>
      <c r="F18" s="164">
        <v>34</v>
      </c>
      <c r="G18" s="119">
        <f>F18*10</f>
        <v>340</v>
      </c>
      <c r="H18" s="99">
        <f>G18+'8'!H18</f>
        <v>2270</v>
      </c>
      <c r="I18" s="113">
        <f>'1'!I18</f>
        <v>65</v>
      </c>
      <c r="J18" s="175">
        <f>H18/DAY(B2)</f>
        <v>252.22222222222223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'8'!F19</f>
        <v>158891</v>
      </c>
      <c r="F19" s="122">
        <v>158949</v>
      </c>
      <c r="G19" s="112">
        <f t="shared" ref="G19" si="1">F19-E19</f>
        <v>58</v>
      </c>
      <c r="H19" s="99">
        <f>G19+'8'!H19</f>
        <v>495</v>
      </c>
      <c r="I19" s="335"/>
      <c r="J19" s="175">
        <f>H19/DAY(B2)</f>
        <v>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398</v>
      </c>
      <c r="H20" s="99">
        <f>G20+'8'!H20</f>
        <v>2765</v>
      </c>
      <c r="I20" s="336">
        <f>I18-J20</f>
        <v>-242.22222222222223</v>
      </c>
      <c r="J20" s="175">
        <f>H20/DAY(B2)</f>
        <v>307.22222222222223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2970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27275</v>
      </c>
      <c r="F27" s="136">
        <v>9</v>
      </c>
      <c r="G27" s="137">
        <f>E27*F27</f>
        <v>245475</v>
      </c>
      <c r="H27" s="99">
        <f>G27+'8'!H27</f>
        <v>2259092.52</v>
      </c>
      <c r="I27" s="138"/>
      <c r="J27" s="175">
        <f>H27/DAY(B2)</f>
        <v>251010.28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1104</v>
      </c>
      <c r="F28" s="136">
        <v>52</v>
      </c>
      <c r="G28" s="137">
        <f>E28*F28</f>
        <v>57408</v>
      </c>
      <c r="H28" s="99">
        <f>G28+'8'!H28</f>
        <v>677118</v>
      </c>
      <c r="I28" s="140"/>
      <c r="J28" s="175">
        <f>H28/DAY(B2)</f>
        <v>75235.333333333328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G30+'8'!H30</f>
        <v>74455</v>
      </c>
      <c r="I30" s="140"/>
      <c r="J30" s="175">
        <f>H30/DAY(B2)</f>
        <v>8272.7777777777774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340</v>
      </c>
      <c r="F31" s="136">
        <v>80</v>
      </c>
      <c r="G31" s="137">
        <f>E31*F31</f>
        <v>27200</v>
      </c>
      <c r="H31" s="99">
        <f>G31+'8'!H31</f>
        <v>181600</v>
      </c>
      <c r="I31" s="140"/>
      <c r="J31" s="175">
        <f>H31/DAY(B2)</f>
        <v>20177.777777777777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338551</v>
      </c>
      <c r="H32" s="99">
        <f>G32+'8'!H32</f>
        <v>3192265.52</v>
      </c>
      <c r="I32" s="144"/>
      <c r="J32" s="175">
        <f>H32/DAY(B2)</f>
        <v>354696.1688888889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219764</v>
      </c>
      <c r="F35" s="145">
        <v>221732</v>
      </c>
      <c r="G35" s="112">
        <f t="shared" ref="G35:G46" si="3">F35-E35</f>
        <v>1968</v>
      </c>
      <c r="H35" s="99">
        <f>G35+'8'!H35</f>
        <v>18847</v>
      </c>
      <c r="I35" s="95"/>
      <c r="J35" s="175">
        <f>H35/DAY(B2)</f>
        <v>2094.1111111111113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139222</v>
      </c>
      <c r="F36" s="145">
        <v>140384</v>
      </c>
      <c r="G36" s="112">
        <f t="shared" si="3"/>
        <v>1162</v>
      </c>
      <c r="H36" s="99">
        <f>G36+'8'!H36</f>
        <v>8805</v>
      </c>
      <c r="I36" s="95"/>
      <c r="J36" s="175">
        <f>H36/DAY(B2)</f>
        <v>978.33333333333337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196132</v>
      </c>
      <c r="F37" s="145">
        <v>197789</v>
      </c>
      <c r="G37" s="112">
        <f t="shared" si="3"/>
        <v>1657</v>
      </c>
      <c r="H37" s="99">
        <f>G37+'8'!H37</f>
        <v>14664</v>
      </c>
      <c r="I37" s="95"/>
      <c r="J37" s="175">
        <f>H37/DAY(B2)</f>
        <v>1629.3333333333333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262800</v>
      </c>
      <c r="F38" s="108">
        <v>265211</v>
      </c>
      <c r="G38" s="112">
        <f t="shared" si="3"/>
        <v>2411</v>
      </c>
      <c r="H38" s="99">
        <f>G38+'8'!H38</f>
        <v>21759</v>
      </c>
      <c r="I38" s="95"/>
      <c r="J38" s="175">
        <f>H38/DAY(B2)</f>
        <v>2417.6666666666665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363090</v>
      </c>
      <c r="F39" s="145">
        <v>365973</v>
      </c>
      <c r="G39" s="112">
        <f t="shared" si="3"/>
        <v>2883</v>
      </c>
      <c r="H39" s="99">
        <f>G39+'8'!H39</f>
        <v>25985</v>
      </c>
      <c r="I39" s="95"/>
      <c r="J39" s="175">
        <f>H39/DAY(B2)</f>
        <v>2887.2222222222222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69467</v>
      </c>
      <c r="F40" s="145">
        <v>69668</v>
      </c>
      <c r="G40" s="112">
        <f t="shared" si="3"/>
        <v>201</v>
      </c>
      <c r="H40" s="99">
        <f>G40+'8'!H40</f>
        <v>4791</v>
      </c>
      <c r="I40" s="95"/>
      <c r="J40" s="175">
        <f>H40/DAY(B2)</f>
        <v>532.33333333333337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68834</v>
      </c>
      <c r="F41" s="145">
        <v>68834</v>
      </c>
      <c r="G41" s="112">
        <f t="shared" si="3"/>
        <v>0</v>
      </c>
      <c r="H41" s="99">
        <f>G41+'8'!H41</f>
        <v>41141</v>
      </c>
      <c r="I41" s="95"/>
      <c r="J41" s="175">
        <f>H41/DAY(B2)</f>
        <v>4571.2222222222226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444743</v>
      </c>
      <c r="F42" s="145">
        <v>450205</v>
      </c>
      <c r="G42" s="112">
        <f t="shared" si="3"/>
        <v>5462</v>
      </c>
      <c r="H42" s="99">
        <f>G42+'8'!H42</f>
        <v>24404</v>
      </c>
      <c r="I42" s="95"/>
      <c r="J42" s="175">
        <f>H42/DAY(B2)</f>
        <v>2711.5555555555557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381712</v>
      </c>
      <c r="F43" s="145">
        <v>384568</v>
      </c>
      <c r="G43" s="112">
        <f t="shared" si="3"/>
        <v>2856</v>
      </c>
      <c r="H43" s="99">
        <f>G43+'8'!H43</f>
        <v>27049</v>
      </c>
      <c r="I43" s="95"/>
      <c r="J43" s="175">
        <f>H43/DAY(B2)</f>
        <v>3005.4444444444443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18600</v>
      </c>
      <c r="H47" s="99">
        <f>G47+'8'!H47</f>
        <v>187445</v>
      </c>
      <c r="I47" s="95"/>
      <c r="J47" s="175">
        <f>H47/DAY(B2)</f>
        <v>20827.222222222223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</f>
        <v>180677</v>
      </c>
      <c r="F49" s="145">
        <v>182727</v>
      </c>
      <c r="G49" s="112">
        <f t="shared" ref="G49:G58" si="4">F49-E49</f>
        <v>2050</v>
      </c>
      <c r="H49" s="99">
        <f>G49+'8'!H49</f>
        <v>17557</v>
      </c>
      <c r="I49" s="95"/>
      <c r="J49" s="175">
        <f>H49/DAY(B2)</f>
        <v>1950.7777777777778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182904</v>
      </c>
      <c r="F50" s="145">
        <v>184021</v>
      </c>
      <c r="G50" s="112">
        <f t="shared" si="4"/>
        <v>1117</v>
      </c>
      <c r="H50" s="99">
        <f>G50+'8'!H50</f>
        <v>11414</v>
      </c>
      <c r="I50" s="95"/>
      <c r="J50" s="175">
        <f>H50/DAY(B2)</f>
        <v>1268.2222222222222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75.680000000000007</v>
      </c>
      <c r="F51" s="145">
        <v>76</v>
      </c>
      <c r="G51" s="112">
        <f t="shared" si="4"/>
        <v>0.31999999999999318</v>
      </c>
      <c r="H51" s="99">
        <f>G51+'8'!H51</f>
        <v>0.31999999999999318</v>
      </c>
      <c r="I51" s="95"/>
      <c r="J51" s="175">
        <f>H51/DAY(B2)</f>
        <v>3.5555555555554799E-2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10</v>
      </c>
      <c r="G52" s="112">
        <f t="shared" si="4"/>
        <v>0.24000000000000021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53861</v>
      </c>
      <c r="F54" s="145">
        <v>54331</v>
      </c>
      <c r="G54" s="112">
        <f t="shared" si="4"/>
        <v>470</v>
      </c>
      <c r="H54" s="99">
        <f>G54+'8'!H54</f>
        <v>4248</v>
      </c>
      <c r="I54" s="95"/>
      <c r="J54" s="175">
        <f>H54/DAY(B2)</f>
        <v>472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155201</v>
      </c>
      <c r="F55" s="145">
        <v>157619</v>
      </c>
      <c r="G55" s="112">
        <f t="shared" si="4"/>
        <v>2418</v>
      </c>
      <c r="H55" s="99">
        <f>G55+'8'!H55</f>
        <v>12652</v>
      </c>
      <c r="I55" s="95"/>
      <c r="J55" s="175">
        <f>H55/DAY(B2)</f>
        <v>1405.7777777777778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107245.86</v>
      </c>
      <c r="F56" s="145">
        <v>107245.86</v>
      </c>
      <c r="G56" s="112">
        <f t="shared" si="4"/>
        <v>0</v>
      </c>
      <c r="H56" s="99">
        <f>G56+'8'!H56</f>
        <v>-0.13999999999941792</v>
      </c>
      <c r="I56" s="95"/>
      <c r="J56" s="175">
        <f>H56/DAY(B2)</f>
        <v>-1.5555555555490881E-2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27399</v>
      </c>
      <c r="F58" s="145">
        <v>27632</v>
      </c>
      <c r="G58" s="112">
        <f t="shared" si="4"/>
        <v>233</v>
      </c>
      <c r="H58" s="99">
        <f>G58+'8'!H58</f>
        <v>2139</v>
      </c>
      <c r="I58" s="95"/>
      <c r="J58" s="175">
        <f>H58/DAY(B2)</f>
        <v>237.66666666666666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6288.5599999999995</v>
      </c>
      <c r="H59" s="99">
        <f>G59+'8'!H59</f>
        <v>48010.179999999993</v>
      </c>
      <c r="I59" s="95">
        <f>G7-G60</f>
        <v>1833.4400000000023</v>
      </c>
      <c r="J59" s="175">
        <f>H59/DAY(B2)</f>
        <v>5334.4644444444439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24888.559999999998</v>
      </c>
      <c r="H60" s="99">
        <f>G60+'8'!H60</f>
        <v>235455.18</v>
      </c>
      <c r="I60" s="95">
        <f>G13-G60</f>
        <v>1211.4400000000023</v>
      </c>
      <c r="J60" s="175">
        <f>H60/DAY(B2)</f>
        <v>26161.686666666665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122">
        <v>285338</v>
      </c>
      <c r="F62" s="122">
        <v>285490</v>
      </c>
      <c r="G62" s="112">
        <f t="shared" ref="G62:G63" si="5">F62-E62</f>
        <v>152</v>
      </c>
      <c r="H62" s="99">
        <f>G62+'8'!H62</f>
        <v>1481</v>
      </c>
      <c r="I62" s="118"/>
      <c r="J62" s="175">
        <f>H62/DAY(B2)</f>
        <v>164.55555555555554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'8'!F63</f>
        <v>228715</v>
      </c>
      <c r="F63" s="122">
        <v>228820</v>
      </c>
      <c r="G63" s="112">
        <f t="shared" si="5"/>
        <v>105</v>
      </c>
      <c r="H63" s="99">
        <f>G63+'8'!H63</f>
        <v>1341</v>
      </c>
      <c r="I63" s="118"/>
      <c r="J63" s="175">
        <f>H63/DAY(B2)</f>
        <v>149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'8'!F64</f>
        <v>0</v>
      </c>
      <c r="F64" s="122">
        <v>0</v>
      </c>
      <c r="G64" s="112">
        <f>G62+G63</f>
        <v>257</v>
      </c>
      <c r="H64" s="99">
        <f>G64+'8'!H64</f>
        <v>2822</v>
      </c>
      <c r="I64" s="118"/>
      <c r="J64" s="175">
        <f>H64/DAY(B2)</f>
        <v>313.55555555555554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'8'!F65</f>
        <v>445440</v>
      </c>
      <c r="F65" s="122">
        <v>445545</v>
      </c>
      <c r="G65" s="112">
        <f t="shared" ref="G65:G70" si="6">F65-E65</f>
        <v>105</v>
      </c>
      <c r="H65" s="99">
        <f>G65+'8'!H65</f>
        <v>953</v>
      </c>
      <c r="I65" s="118"/>
      <c r="J65" s="175">
        <f>H65/DAY(B2)</f>
        <v>105.88888888888889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109759</v>
      </c>
      <c r="F66" s="122">
        <v>109777</v>
      </c>
      <c r="G66" s="112">
        <f t="shared" si="6"/>
        <v>18</v>
      </c>
      <c r="H66" s="99">
        <f>G66+'8'!H66</f>
        <v>196</v>
      </c>
      <c r="I66" s="118"/>
      <c r="J66" s="175">
        <f>H66/DAY(B2)</f>
        <v>21.777777777777779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111517</v>
      </c>
      <c r="F67" s="122">
        <v>111597</v>
      </c>
      <c r="G67" s="112">
        <f t="shared" si="6"/>
        <v>80</v>
      </c>
      <c r="H67" s="99">
        <f>G67+'8'!H67</f>
        <v>697</v>
      </c>
      <c r="I67" s="118"/>
      <c r="J67" s="175">
        <f>H67/DAY(B2)</f>
        <v>77.444444444444443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161935</v>
      </c>
      <c r="F68" s="122">
        <v>161956</v>
      </c>
      <c r="G68" s="112">
        <f t="shared" si="6"/>
        <v>21</v>
      </c>
      <c r="H68" s="99">
        <f>G68+'8'!H68</f>
        <v>172</v>
      </c>
      <c r="I68" s="118"/>
      <c r="J68" s="175">
        <f>H68/DAY(B2)</f>
        <v>19.111111111111111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11669</v>
      </c>
      <c r="F69" s="122">
        <v>11673</v>
      </c>
      <c r="G69" s="112">
        <f t="shared" si="6"/>
        <v>4</v>
      </c>
      <c r="H69" s="99">
        <f>G69+'8'!H69</f>
        <v>75</v>
      </c>
      <c r="I69" s="118"/>
      <c r="J69" s="175">
        <f>H69/DAY(B2)</f>
        <v>8.3333333333333339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9072</v>
      </c>
      <c r="F70" s="122">
        <v>9078</v>
      </c>
      <c r="G70" s="112">
        <f t="shared" si="6"/>
        <v>6</v>
      </c>
      <c r="H70" s="99">
        <f>G70+'8'!H70</f>
        <v>77</v>
      </c>
      <c r="I70" s="118"/>
      <c r="J70" s="175">
        <f>H70/DAY(B2)</f>
        <v>8.5555555555555554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234</v>
      </c>
      <c r="H71" s="99">
        <f>G71+'8'!H71</f>
        <v>2170</v>
      </c>
      <c r="I71" s="154"/>
      <c r="J71" s="175">
        <f>H71/DAY(B2)</f>
        <v>241.11111111111111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'8'!F74</f>
        <v>931245</v>
      </c>
      <c r="F74" s="117">
        <v>931568</v>
      </c>
      <c r="G74" s="112">
        <f t="shared" ref="G74:G78" si="7">F74-E74</f>
        <v>323</v>
      </c>
      <c r="H74" s="99">
        <f>G74+'8'!H74</f>
        <v>2791</v>
      </c>
      <c r="I74" s="154"/>
      <c r="J74" s="175">
        <f>H74/DAY(B2)</f>
        <v>310.11111111111109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'8'!F76</f>
        <v>181051</v>
      </c>
      <c r="F76" s="123">
        <v>181171</v>
      </c>
      <c r="G76" s="112">
        <f t="shared" si="7"/>
        <v>120</v>
      </c>
      <c r="H76" s="99">
        <f>G76+'8'!H76</f>
        <v>1017</v>
      </c>
      <c r="I76" s="154"/>
      <c r="J76" s="175">
        <f>H76/DAY(B2)</f>
        <v>113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'8'!F77</f>
        <v>46113</v>
      </c>
      <c r="F77" s="123">
        <v>46165</v>
      </c>
      <c r="G77" s="112">
        <f t="shared" si="7"/>
        <v>52</v>
      </c>
      <c r="H77" s="99">
        <f>G77+'8'!H77</f>
        <v>491</v>
      </c>
      <c r="I77" s="154"/>
      <c r="J77" s="175">
        <f>H77/DAY(B2)</f>
        <v>54.555555555555557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'8'!F79</f>
        <v>0</v>
      </c>
      <c r="F79" s="117"/>
      <c r="G79" s="112">
        <f>G15-SUM(G74:G78)</f>
        <v>609</v>
      </c>
      <c r="H79" s="99">
        <f>G79+'8'!H79</f>
        <v>5658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>
        <f>SUM(G74:G79)</f>
        <v>1104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41969</v>
      </c>
      <c r="F84" s="164">
        <v>41969</v>
      </c>
      <c r="G84" s="112">
        <f t="shared" si="8"/>
        <v>0</v>
      </c>
      <c r="H84" s="99">
        <f>G84+'8'!H84</f>
        <v>177</v>
      </c>
      <c r="I84" s="575"/>
      <c r="J84" s="175">
        <f>H84/DAY(B2)</f>
        <v>19.666666666666668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3858</v>
      </c>
      <c r="F85" s="164">
        <v>3882</v>
      </c>
      <c r="G85" s="112">
        <f t="shared" si="8"/>
        <v>24</v>
      </c>
      <c r="H85" s="99">
        <f>G85+'8'!H85</f>
        <v>105</v>
      </c>
      <c r="I85" s="575"/>
      <c r="J85" s="175">
        <f>H85/DAY(B2)</f>
        <v>11.666666666666666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44009</v>
      </c>
      <c r="F86" s="164">
        <v>44025</v>
      </c>
      <c r="G86" s="112">
        <f t="shared" si="8"/>
        <v>16</v>
      </c>
      <c r="H86" s="99">
        <f>G86+'8'!H86</f>
        <v>86</v>
      </c>
      <c r="I86" s="575"/>
      <c r="J86" s="175">
        <f>H86/DAY(B2)</f>
        <v>9.5555555555555554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35329.06</v>
      </c>
      <c r="F87" s="164">
        <v>35329.06</v>
      </c>
      <c r="G87" s="112">
        <f t="shared" si="8"/>
        <v>0</v>
      </c>
      <c r="H87" s="99">
        <f>G87+'8'!H87</f>
        <v>5.9999999997671694E-2</v>
      </c>
      <c r="I87" s="557">
        <f>G84+G85+G86+G87</f>
        <v>40</v>
      </c>
      <c r="J87" s="175">
        <f>H87/DAY(B2)</f>
        <v>6.666666666407966E-3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24207.32</v>
      </c>
      <c r="F88" s="164">
        <v>24207.32</v>
      </c>
      <c r="G88" s="112">
        <f t="shared" si="8"/>
        <v>0</v>
      </c>
      <c r="H88" s="99">
        <f>G88+'8'!H88</f>
        <v>19.200000000000728</v>
      </c>
      <c r="I88" s="557"/>
      <c r="J88" s="175">
        <f>H88/DAY(B2)</f>
        <v>2.1333333333334141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26789.43</v>
      </c>
      <c r="F89" s="164">
        <v>26799.26</v>
      </c>
      <c r="G89" s="112">
        <f t="shared" si="8"/>
        <v>9.8299999999981083</v>
      </c>
      <c r="H89" s="99">
        <f>G89+'8'!H89</f>
        <v>90.039999999997235</v>
      </c>
      <c r="I89" s="557">
        <f>G88+G89</f>
        <v>9.8299999999981083</v>
      </c>
      <c r="J89" s="175">
        <f>H89/DAY(B2)</f>
        <v>10.004444444444138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71920.009999999995</v>
      </c>
      <c r="F90" s="164">
        <v>71931.09</v>
      </c>
      <c r="G90" s="112">
        <f t="shared" si="8"/>
        <v>11.080000000001746</v>
      </c>
      <c r="H90" s="99">
        <f>G90+'8'!H90</f>
        <v>67.559999999997672</v>
      </c>
      <c r="I90" s="557">
        <f>G90</f>
        <v>11.080000000001746</v>
      </c>
      <c r="J90" s="175">
        <f>H90/DAY(B2)</f>
        <v>7.5066666666664084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4121.6499999999996</v>
      </c>
      <c r="F91" s="122">
        <v>4121.6499999999996</v>
      </c>
      <c r="G91" s="112">
        <f t="shared" si="8"/>
        <v>0</v>
      </c>
      <c r="H91" s="99">
        <f>G91+'8'!H91</f>
        <v>62.409999999999854</v>
      </c>
      <c r="I91" s="619"/>
      <c r="J91" s="175">
        <f>H91/DAY(B2)</f>
        <v>6.934444444444428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5961.42</v>
      </c>
      <c r="F92" s="122">
        <v>5972.63</v>
      </c>
      <c r="G92" s="112">
        <f t="shared" si="8"/>
        <v>11.210000000000036</v>
      </c>
      <c r="H92" s="99">
        <f>G92+'8'!H92</f>
        <v>37.630000000000109</v>
      </c>
      <c r="I92" s="620">
        <f>G91+G92</f>
        <v>11.210000000000036</v>
      </c>
      <c r="J92" s="175">
        <f>H92/DAY(B2)</f>
        <v>4.1811111111111234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6874</v>
      </c>
      <c r="H94" s="99">
        <f>G94+'8'!H94</f>
        <v>63453</v>
      </c>
      <c r="I94" s="118"/>
      <c r="J94" s="175">
        <f>H94/DAY(B2)</f>
        <v>7050.333333333333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0.25724122445924708</v>
      </c>
      <c r="H95" s="99">
        <f>G95+'8'!H95</f>
        <v>2.3170246808564015</v>
      </c>
      <c r="I95" s="167"/>
      <c r="J95" s="175">
        <f>H95/DAY(B2)</f>
        <v>0.25744718676182238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7880</v>
      </c>
      <c r="H96" s="99">
        <f>G96+'8'!H96</f>
        <v>78196.86</v>
      </c>
      <c r="I96" s="118"/>
      <c r="J96" s="175">
        <f>H96/DAY(B2)</f>
        <v>8688.5400000000009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0.29488810717760644</v>
      </c>
      <c r="H97" s="99">
        <f>G97+'8'!H97</f>
        <v>2.8542287019847912</v>
      </c>
      <c r="I97" s="167"/>
      <c r="J97" s="175">
        <f>H97/DAY(B2)</f>
        <v>0.31713652244275459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2883</v>
      </c>
      <c r="H98" s="99">
        <f>G98+'8'!H98</f>
        <v>25985</v>
      </c>
      <c r="I98" s="168"/>
      <c r="J98" s="175">
        <f>H98/DAY(B2)</f>
        <v>2887.2222222222222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0.10788863109048724</v>
      </c>
      <c r="H99" s="99">
        <f>G99+'8'!H99</f>
        <v>0.950872568029975</v>
      </c>
      <c r="I99" s="168"/>
      <c r="J99" s="175">
        <f>H99/DAY(B2)</f>
        <v>0.10565250755888611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2411.2399999999998</v>
      </c>
      <c r="H100" s="99">
        <f>G100+'8'!H100</f>
        <v>21759</v>
      </c>
      <c r="I100" s="118"/>
      <c r="J100" s="175">
        <f>H100/DAY(B2)</f>
        <v>2417.6666666666665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9.0234263902402509E-2</v>
      </c>
      <c r="H101" s="99">
        <f>G101+'8'!H101</f>
        <v>0.79614259823843769</v>
      </c>
      <c r="I101" s="168"/>
      <c r="J101" s="175">
        <f>H101/DAY(B2)</f>
        <v>8.846028869315975E-2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2279</v>
      </c>
      <c r="H102" s="99">
        <f>G102+'8'!H102</f>
        <v>20219</v>
      </c>
      <c r="I102" s="168"/>
      <c r="J102" s="175">
        <f>H102/DAY(B2)</f>
        <v>2246.5555555555557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8.5285532520020954E-2</v>
      </c>
      <c r="H103" s="99">
        <f>G103+'8'!H103</f>
        <v>0.73770465549007203</v>
      </c>
      <c r="I103" s="118"/>
      <c r="J103" s="175">
        <f>H103/DAY(B2)</f>
        <v>8.1967183943341335E-2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1657.32</v>
      </c>
      <c r="H104" s="99">
        <f>G104+'8'!H104</f>
        <v>14664.32</v>
      </c>
      <c r="I104" s="118"/>
      <c r="J104" s="175">
        <f>H104/DAY(B2)</f>
        <v>1629.3688888888889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6.202080682583639E-2</v>
      </c>
      <c r="H105" s="99">
        <f>G105+'8'!H105</f>
        <v>0.53617443883641058</v>
      </c>
      <c r="I105" s="187"/>
      <c r="J105" s="188">
        <f>H105/DAY(B2)</f>
        <v>5.9574937648490062E-2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'8'!F112</f>
        <v>871</v>
      </c>
      <c r="F112" s="237">
        <v>951</v>
      </c>
      <c r="G112" s="112">
        <f t="shared" ref="G112:G123" si="9">F112-E112</f>
        <v>80</v>
      </c>
      <c r="H112" s="99">
        <f>G112+'8'!H112</f>
        <v>708</v>
      </c>
      <c r="I112" s="165"/>
      <c r="J112" s="328">
        <f>H112/DAY(B2)</f>
        <v>78.666666666666671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'8'!F113</f>
        <v>1704</v>
      </c>
      <c r="F113" s="237">
        <v>1892</v>
      </c>
      <c r="G113" s="112">
        <f t="shared" si="9"/>
        <v>188</v>
      </c>
      <c r="H113" s="99">
        <f>G113+'8'!H113</f>
        <v>1410</v>
      </c>
      <c r="I113" s="165"/>
      <c r="J113" s="328">
        <f>H113/DAY(B2)</f>
        <v>156.66666666666666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'8'!F114</f>
        <v>2416</v>
      </c>
      <c r="F114" s="237">
        <v>2638</v>
      </c>
      <c r="G114" s="112">
        <f t="shared" si="9"/>
        <v>222</v>
      </c>
      <c r="H114" s="99">
        <f>G114+'8'!H114</f>
        <v>1974</v>
      </c>
      <c r="I114" s="165"/>
      <c r="J114" s="328">
        <f>H114/DAY(B2)</f>
        <v>219.33333333333334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'8'!F115</f>
        <v>1770</v>
      </c>
      <c r="F115" s="237">
        <v>1911</v>
      </c>
      <c r="G115" s="112">
        <f t="shared" si="9"/>
        <v>141</v>
      </c>
      <c r="H115" s="99">
        <f>G115+'8'!H115</f>
        <v>1400</v>
      </c>
      <c r="I115" s="165"/>
      <c r="J115" s="328">
        <f>H115/DAY(B2)</f>
        <v>155.55555555555554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'8'!F116</f>
        <v>37723</v>
      </c>
      <c r="F116" s="237">
        <v>38082</v>
      </c>
      <c r="G116" s="112">
        <f t="shared" si="9"/>
        <v>359</v>
      </c>
      <c r="H116" s="99">
        <f>G116+'8'!H116</f>
        <v>3416</v>
      </c>
      <c r="I116" s="165"/>
      <c r="J116" s="328">
        <f>H116/DAY(B2)</f>
        <v>379.55555555555554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406">
        <f>'8'!F117</f>
        <v>20434</v>
      </c>
      <c r="F117" s="417">
        <v>20615</v>
      </c>
      <c r="G117" s="236">
        <f t="shared" si="9"/>
        <v>181</v>
      </c>
      <c r="H117" s="99">
        <f>G117+'8'!H117</f>
        <v>1679</v>
      </c>
      <c r="I117" s="165"/>
      <c r="J117" s="328">
        <f>H117/DAY(B2)</f>
        <v>186.55555555555554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406">
        <f>'8'!F118</f>
        <v>13413</v>
      </c>
      <c r="F118" s="417">
        <v>13990</v>
      </c>
      <c r="G118" s="236">
        <f t="shared" si="9"/>
        <v>577</v>
      </c>
      <c r="H118" s="99">
        <f>G118+'8'!H118</f>
        <v>4927</v>
      </c>
      <c r="I118" s="165"/>
      <c r="J118" s="328">
        <f>H118/DAY(B2)</f>
        <v>547.44444444444446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406">
        <f>'8'!F119</f>
        <v>9249</v>
      </c>
      <c r="F119" s="417">
        <v>9664</v>
      </c>
      <c r="G119" s="236">
        <f t="shared" si="9"/>
        <v>415</v>
      </c>
      <c r="H119" s="99">
        <f>G119+'8'!H119</f>
        <v>3761</v>
      </c>
      <c r="I119" s="165"/>
      <c r="J119" s="328">
        <f>H119/DAY(B2)</f>
        <v>417.88888888888891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'8'!F120</f>
        <v>10472</v>
      </c>
      <c r="F120" s="237">
        <v>10888</v>
      </c>
      <c r="G120" s="112">
        <f t="shared" si="9"/>
        <v>416</v>
      </c>
      <c r="H120" s="99">
        <f>G120+'8'!H120</f>
        <v>3753</v>
      </c>
      <c r="I120" s="165"/>
      <c r="J120" s="328">
        <f>H120/DAY(B2)</f>
        <v>417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'8'!F121</f>
        <v>15316</v>
      </c>
      <c r="F121" s="237">
        <v>15756</v>
      </c>
      <c r="G121" s="112">
        <f t="shared" si="9"/>
        <v>440</v>
      </c>
      <c r="H121" s="99">
        <f>G121+'8'!H121</f>
        <v>4029</v>
      </c>
      <c r="I121" s="165"/>
      <c r="J121" s="328">
        <f>H121/DAY(B2)</f>
        <v>447.66666666666669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'8'!F122</f>
        <v>5147</v>
      </c>
      <c r="F122" s="237">
        <v>5370</v>
      </c>
      <c r="G122" s="112">
        <f t="shared" si="9"/>
        <v>223</v>
      </c>
      <c r="H122" s="99">
        <f>G122+'8'!H122</f>
        <v>1806</v>
      </c>
      <c r="I122" s="165"/>
      <c r="J122" s="328">
        <f>H122/DAY(B2)</f>
        <v>200.66666666666666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'8'!F123</f>
        <v>3529</v>
      </c>
      <c r="F123" s="237">
        <v>3857</v>
      </c>
      <c r="G123" s="112">
        <f t="shared" si="9"/>
        <v>328</v>
      </c>
      <c r="H123" s="99">
        <f>G123+'8'!H123</f>
        <v>2890</v>
      </c>
      <c r="I123" s="165"/>
      <c r="J123" s="328">
        <f>H123/DAY(B2)</f>
        <v>321.11111111111109</v>
      </c>
    </row>
    <row r="124" spans="1:18" ht="29.2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3570</v>
      </c>
      <c r="H125" s="156"/>
      <c r="I125" s="327">
        <f>G125-(G39+G53)</f>
        <v>687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'8'!F128</f>
        <v>84588</v>
      </c>
      <c r="F128" s="155">
        <v>85007</v>
      </c>
      <c r="G128" s="112">
        <f t="shared" ref="G128:G134" si="10">F128-E128</f>
        <v>419</v>
      </c>
      <c r="H128" s="99">
        <f>G128+'8'!H128</f>
        <v>3592</v>
      </c>
      <c r="I128" s="165"/>
      <c r="J128" s="328">
        <f>H128/DAY(B2)</f>
        <v>399.11111111111109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53345</v>
      </c>
      <c r="F129" s="155">
        <v>53628</v>
      </c>
      <c r="G129" s="112">
        <f t="shared" si="10"/>
        <v>283</v>
      </c>
      <c r="H129" s="99">
        <f>G129+'8'!H129</f>
        <v>2556</v>
      </c>
      <c r="I129" s="165"/>
      <c r="J129" s="328">
        <f>H129/DAY(B2)</f>
        <v>284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102510</v>
      </c>
      <c r="F130" s="155">
        <v>103157</v>
      </c>
      <c r="G130" s="112">
        <f t="shared" si="10"/>
        <v>647</v>
      </c>
      <c r="H130" s="99">
        <f>G130+'8'!H130</f>
        <v>6511</v>
      </c>
      <c r="I130" s="165"/>
      <c r="J130" s="328">
        <f>H130/DAY(B2)</f>
        <v>723.44444444444446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'8'!F131</f>
        <v>31946</v>
      </c>
      <c r="F131" s="155">
        <v>32095</v>
      </c>
      <c r="G131" s="112">
        <f t="shared" si="10"/>
        <v>149</v>
      </c>
      <c r="H131" s="99">
        <f>G131+'8'!H131</f>
        <v>1660</v>
      </c>
      <c r="I131" s="165"/>
      <c r="J131" s="328">
        <f>H131/DAY(B2)</f>
        <v>184.44444444444446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'8'!F132</f>
        <v>93032</v>
      </c>
      <c r="F132" s="155">
        <v>93549</v>
      </c>
      <c r="G132" s="112">
        <f t="shared" si="10"/>
        <v>517</v>
      </c>
      <c r="H132" s="99">
        <f>G132+'8'!H132</f>
        <v>4612</v>
      </c>
      <c r="I132" s="165"/>
      <c r="J132" s="328">
        <f>H132/DAY(B2)</f>
        <v>512.44444444444446</v>
      </c>
    </row>
    <row r="133" spans="1:15" ht="25.5">
      <c r="A133" s="886" t="s">
        <v>323</v>
      </c>
      <c r="B133" s="887"/>
      <c r="C133" s="888"/>
      <c r="D133" s="151" t="s">
        <v>183</v>
      </c>
      <c r="E133" s="95">
        <f>'8'!F133</f>
        <v>180038</v>
      </c>
      <c r="F133" s="155">
        <v>181075</v>
      </c>
      <c r="G133" s="112">
        <f t="shared" si="10"/>
        <v>1037</v>
      </c>
      <c r="H133" s="99">
        <f>G133+'8'!H133</f>
        <v>8629</v>
      </c>
      <c r="I133" s="165"/>
      <c r="J133" s="328">
        <f>H133/DAY(B2)</f>
        <v>958.77777777777783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'8'!F134</f>
        <v>30021</v>
      </c>
      <c r="F134" s="155">
        <v>30261</v>
      </c>
      <c r="G134" s="112">
        <f t="shared" si="10"/>
        <v>240</v>
      </c>
      <c r="H134" s="99">
        <f>G134+'8'!H134</f>
        <v>2168</v>
      </c>
      <c r="I134" s="165"/>
      <c r="J134" s="328">
        <f>H134/DAY(B2)</f>
        <v>240.88888888888889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3292</v>
      </c>
      <c r="H135" s="99">
        <f>G135+'8'!H135</f>
        <v>29728</v>
      </c>
      <c r="I135" s="327">
        <f>G135-(G35+G49)</f>
        <v>-726</v>
      </c>
      <c r="J135" s="328">
        <f>H135/DAY(B2)</f>
        <v>3303.1111111111113</v>
      </c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'8'!F138</f>
        <v>879927</v>
      </c>
      <c r="F138" s="147">
        <v>880086</v>
      </c>
      <c r="G138" s="112">
        <f t="shared" ref="G138:G152" si="11">F138-E138</f>
        <v>159</v>
      </c>
      <c r="H138" s="99">
        <f>G138+'8'!H138</f>
        <v>1302</v>
      </c>
      <c r="I138" s="118"/>
      <c r="J138" s="328">
        <f>H138/DAY(B2)</f>
        <v>144.66666666666666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'8'!F139</f>
        <v>896089</v>
      </c>
      <c r="F139" s="148">
        <v>896246</v>
      </c>
      <c r="G139" s="112">
        <f t="shared" si="11"/>
        <v>157</v>
      </c>
      <c r="H139" s="99">
        <f>G139+'8'!H139</f>
        <v>1380</v>
      </c>
      <c r="I139" s="118"/>
      <c r="J139" s="328">
        <f>H139/DAY(B2)</f>
        <v>153.33333333333334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'8'!F140</f>
        <v>247</v>
      </c>
      <c r="F140" s="149">
        <v>259</v>
      </c>
      <c r="G140" s="112">
        <f t="shared" si="11"/>
        <v>12</v>
      </c>
      <c r="H140" s="99">
        <f>G140+'8'!H140</f>
        <v>124</v>
      </c>
      <c r="I140" s="118"/>
      <c r="J140" s="328">
        <f>H140/DAY(B2)</f>
        <v>13.777777777777779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'8'!F141</f>
        <v>73431</v>
      </c>
      <c r="F141" s="149">
        <v>73624</v>
      </c>
      <c r="G141" s="112">
        <f t="shared" si="11"/>
        <v>193</v>
      </c>
      <c r="H141" s="99">
        <f>G141+'8'!H141</f>
        <v>1850</v>
      </c>
      <c r="I141" s="118"/>
      <c r="J141" s="328">
        <f>H141/DAY(B2)</f>
        <v>205.55555555555554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'8'!F142</f>
        <v>28016</v>
      </c>
      <c r="F142" s="148">
        <v>28083</v>
      </c>
      <c r="G142" s="112">
        <f t="shared" si="11"/>
        <v>67</v>
      </c>
      <c r="H142" s="99">
        <f>G142+'8'!H142</f>
        <v>617</v>
      </c>
      <c r="I142" s="140"/>
      <c r="J142" s="328">
        <f>H142/DAY(B2)</f>
        <v>68.555555555555557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'8'!F143</f>
        <v>6635</v>
      </c>
      <c r="F143" s="149">
        <v>6662</v>
      </c>
      <c r="G143" s="112">
        <f t="shared" si="11"/>
        <v>27</v>
      </c>
      <c r="H143" s="99">
        <f>G143+'8'!H143</f>
        <v>245</v>
      </c>
      <c r="I143" s="140"/>
      <c r="J143" s="328">
        <f>H143/DAY(B2)</f>
        <v>27.222222222222221</v>
      </c>
    </row>
    <row r="144" spans="1:15" ht="25.5">
      <c r="A144" s="864" t="s">
        <v>90</v>
      </c>
      <c r="B144" s="864"/>
      <c r="C144" s="864"/>
      <c r="D144" s="151" t="s">
        <v>183</v>
      </c>
      <c r="E144" s="406">
        <f>'8'!F144</f>
        <v>899267</v>
      </c>
      <c r="F144" s="148">
        <v>899528</v>
      </c>
      <c r="G144" s="112">
        <f t="shared" si="11"/>
        <v>261</v>
      </c>
      <c r="H144" s="99">
        <f>G144+'8'!H144</f>
        <v>2295</v>
      </c>
      <c r="I144" s="140"/>
      <c r="J144" s="328">
        <f>H144/DAY(B2)</f>
        <v>255</v>
      </c>
    </row>
    <row r="145" spans="1:10" ht="25.5">
      <c r="A145" s="885" t="s">
        <v>190</v>
      </c>
      <c r="B145" s="885"/>
      <c r="C145" s="885"/>
      <c r="D145" s="152" t="s">
        <v>183</v>
      </c>
      <c r="E145" s="406">
        <f>'8'!F145</f>
        <v>5647</v>
      </c>
      <c r="F145" s="148">
        <v>5650</v>
      </c>
      <c r="G145" s="112">
        <f t="shared" si="11"/>
        <v>3</v>
      </c>
      <c r="H145" s="99">
        <f>G145+'8'!H145</f>
        <v>22</v>
      </c>
      <c r="I145" s="140"/>
      <c r="J145" s="328">
        <f>H145/DAY(B2)</f>
        <v>2.4444444444444446</v>
      </c>
    </row>
    <row r="146" spans="1:10" ht="25.5">
      <c r="A146" s="920" t="s">
        <v>191</v>
      </c>
      <c r="B146" s="905"/>
      <c r="C146" s="906"/>
      <c r="D146" s="152" t="s">
        <v>183</v>
      </c>
      <c r="E146" s="406">
        <f>'8'!F146</f>
        <v>776712</v>
      </c>
      <c r="F146" s="148">
        <v>776741</v>
      </c>
      <c r="G146" s="112">
        <f t="shared" si="11"/>
        <v>29</v>
      </c>
      <c r="H146" s="99">
        <f>G146+'8'!H146</f>
        <v>287</v>
      </c>
      <c r="I146" s="140"/>
      <c r="J146" s="328">
        <f>H146/DAY(B2)</f>
        <v>31.888888888888889</v>
      </c>
    </row>
    <row r="147" spans="1:10" ht="25.5">
      <c r="A147" s="864" t="s">
        <v>192</v>
      </c>
      <c r="B147" s="864"/>
      <c r="C147" s="864"/>
      <c r="D147" s="152" t="s">
        <v>183</v>
      </c>
      <c r="E147" s="406">
        <f>'8'!F147</f>
        <v>666447</v>
      </c>
      <c r="F147" s="148">
        <v>666841</v>
      </c>
      <c r="G147" s="112">
        <f t="shared" si="11"/>
        <v>394</v>
      </c>
      <c r="H147" s="99">
        <f>G147+'8'!H147</f>
        <v>3613</v>
      </c>
      <c r="I147" s="140"/>
      <c r="J147" s="328">
        <f>H147/DAY(B2)</f>
        <v>401.44444444444446</v>
      </c>
    </row>
    <row r="148" spans="1:10" ht="25.5">
      <c r="A148" s="865" t="s">
        <v>193</v>
      </c>
      <c r="B148" s="866"/>
      <c r="C148" s="867"/>
      <c r="D148" s="123" t="s">
        <v>130</v>
      </c>
      <c r="E148" s="406">
        <f>'8'!F148</f>
        <v>722695</v>
      </c>
      <c r="F148" s="164">
        <v>723037</v>
      </c>
      <c r="G148" s="112">
        <f t="shared" si="11"/>
        <v>342</v>
      </c>
      <c r="H148" s="99">
        <f>G148+'8'!H148</f>
        <v>3121</v>
      </c>
      <c r="I148" s="124"/>
      <c r="J148" s="328">
        <f>H148/DAY(B2)</f>
        <v>346.77777777777777</v>
      </c>
    </row>
    <row r="149" spans="1:10" ht="25.5">
      <c r="A149" s="865" t="s">
        <v>336</v>
      </c>
      <c r="B149" s="866"/>
      <c r="C149" s="867"/>
      <c r="D149" s="227" t="s">
        <v>130</v>
      </c>
      <c r="E149" s="406">
        <f>'8'!F149</f>
        <v>88099</v>
      </c>
      <c r="F149" s="416">
        <v>88661</v>
      </c>
      <c r="G149" s="112">
        <f t="shared" si="11"/>
        <v>562</v>
      </c>
      <c r="H149" s="99">
        <f>G149+'8'!H149</f>
        <v>5273</v>
      </c>
      <c r="I149" s="119"/>
      <c r="J149" s="328">
        <f>H149/DAY(B2)</f>
        <v>585.88888888888891</v>
      </c>
    </row>
    <row r="150" spans="1:10" ht="25.5">
      <c r="A150" s="865" t="s">
        <v>337</v>
      </c>
      <c r="B150" s="866"/>
      <c r="C150" s="867"/>
      <c r="D150" s="117" t="s">
        <v>130</v>
      </c>
      <c r="E150" s="406">
        <f>'8'!F150</f>
        <v>32341</v>
      </c>
      <c r="F150" s="233">
        <v>32556</v>
      </c>
      <c r="G150" s="112">
        <f t="shared" si="11"/>
        <v>215</v>
      </c>
      <c r="H150" s="99">
        <f>G150+'8'!H150</f>
        <v>1969</v>
      </c>
      <c r="I150" s="119"/>
      <c r="J150" s="328">
        <f>H150/DAY(B2)</f>
        <v>218.77777777777777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'8'!F151</f>
        <v>111690</v>
      </c>
      <c r="F151" s="233">
        <v>111992</v>
      </c>
      <c r="G151" s="112">
        <f t="shared" si="11"/>
        <v>302</v>
      </c>
      <c r="H151" s="99">
        <f>G151+'8'!H151</f>
        <v>2764</v>
      </c>
      <c r="I151" s="119"/>
      <c r="J151" s="328">
        <f>H151/DAY(B2)</f>
        <v>307.11111111111109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'8'!F152</f>
        <v>12289</v>
      </c>
      <c r="F152" s="233">
        <v>12440</v>
      </c>
      <c r="G152" s="112">
        <f t="shared" si="11"/>
        <v>151</v>
      </c>
      <c r="H152" s="99">
        <f>G152+'8'!H152</f>
        <v>1284</v>
      </c>
      <c r="I152" s="119"/>
      <c r="J152" s="328">
        <f>H152/DAY(B2)</f>
        <v>142.66666666666666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2874</v>
      </c>
      <c r="H153" s="363"/>
      <c r="I153" s="119">
        <f>G153-(G38+G52)</f>
        <v>462.76000000000022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'8'!F155</f>
        <v>97730</v>
      </c>
      <c r="F155" s="374">
        <v>98361</v>
      </c>
      <c r="G155" s="112">
        <f t="shared" ref="G155:G158" si="12">F155-E155</f>
        <v>631</v>
      </c>
      <c r="H155" s="99">
        <f>G155+'8'!H155</f>
        <v>5629</v>
      </c>
      <c r="I155" s="364"/>
      <c r="J155" s="328">
        <f>H155/DAY(B2)</f>
        <v>625.44444444444446</v>
      </c>
    </row>
    <row r="156" spans="1:10" ht="25.5">
      <c r="A156" s="864" t="s">
        <v>346</v>
      </c>
      <c r="B156" s="864"/>
      <c r="C156" s="864"/>
      <c r="D156" s="117" t="s">
        <v>130</v>
      </c>
      <c r="E156" s="95">
        <f>'8'!F156</f>
        <v>8201</v>
      </c>
      <c r="F156" s="155">
        <v>8260</v>
      </c>
      <c r="G156" s="112">
        <f t="shared" si="12"/>
        <v>59</v>
      </c>
      <c r="H156" s="99">
        <f>G156+'8'!H156</f>
        <v>569</v>
      </c>
      <c r="I156" s="165"/>
      <c r="J156" s="328">
        <f>H156/DAY(B2)</f>
        <v>63.222222222222221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'8'!F157</f>
        <v>14431</v>
      </c>
      <c r="F157" s="155">
        <v>14548</v>
      </c>
      <c r="G157" s="112">
        <f t="shared" si="12"/>
        <v>117</v>
      </c>
      <c r="H157" s="99">
        <f>G157+'8'!H157</f>
        <v>1052</v>
      </c>
      <c r="I157" s="165"/>
      <c r="J157" s="328">
        <f>H157/DAY(B2)</f>
        <v>116.88888888888889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'8'!F158</f>
        <v>126</v>
      </c>
      <c r="F158" s="155">
        <v>126</v>
      </c>
      <c r="G158" s="112">
        <f t="shared" si="12"/>
        <v>0</v>
      </c>
      <c r="H158" s="99">
        <f>G158+'8'!H158</f>
        <v>46.459999999999994</v>
      </c>
      <c r="I158" s="165"/>
      <c r="J158" s="328">
        <f>H158/DAY(B2)</f>
        <v>5.1622222222222218</v>
      </c>
    </row>
    <row r="159" spans="1:10" ht="25.5">
      <c r="A159" s="950"/>
      <c r="B159" s="951"/>
      <c r="C159" s="952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474970</v>
      </c>
      <c r="F161" s="235">
        <v>474992</v>
      </c>
      <c r="G161" s="238">
        <f t="shared" ref="G161:G166" si="13">F161-E161</f>
        <v>22</v>
      </c>
      <c r="H161" s="99">
        <f>G161+'8'!H161</f>
        <v>209</v>
      </c>
      <c r="I161" s="236"/>
      <c r="J161" s="239">
        <f>H161/DAY(B2)</f>
        <v>23.222222222222221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91830</v>
      </c>
      <c r="F162" s="235">
        <v>91869</v>
      </c>
      <c r="G162" s="238">
        <f t="shared" si="13"/>
        <v>39</v>
      </c>
      <c r="H162" s="99">
        <f>G162+'8'!H162</f>
        <v>322</v>
      </c>
      <c r="I162" s="236"/>
      <c r="J162" s="239">
        <f>H162/DAY(B2)</f>
        <v>35.777777777777779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93334</v>
      </c>
      <c r="F163" s="235">
        <v>93505</v>
      </c>
      <c r="G163" s="238">
        <f t="shared" si="13"/>
        <v>171</v>
      </c>
      <c r="H163" s="99">
        <f>G163+'8'!H163</f>
        <v>1469</v>
      </c>
      <c r="I163" s="236"/>
      <c r="J163" s="239">
        <f>H163/DAY(B2)</f>
        <v>163.22222222222223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5270</v>
      </c>
      <c r="F164" s="235">
        <v>5282</v>
      </c>
      <c r="G164" s="238">
        <f t="shared" si="13"/>
        <v>12</v>
      </c>
      <c r="H164" s="99">
        <f>G164+'8'!H164</f>
        <v>100</v>
      </c>
      <c r="I164" s="236"/>
      <c r="J164" s="239">
        <f>H164/DAY(B2)</f>
        <v>11.111111111111111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30728</v>
      </c>
      <c r="F165" s="235">
        <v>30741</v>
      </c>
      <c r="G165" s="238">
        <f t="shared" si="13"/>
        <v>13</v>
      </c>
      <c r="H165" s="99">
        <f>G165+'8'!H165</f>
        <v>107</v>
      </c>
      <c r="I165" s="236"/>
      <c r="J165" s="239">
        <f>H165/DAY(B2)</f>
        <v>11.888888888888889</v>
      </c>
    </row>
    <row r="166" spans="1:10" ht="26.25">
      <c r="A166" s="873"/>
      <c r="B166" s="873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'8'!F173</f>
        <v>8265</v>
      </c>
      <c r="F173" s="155">
        <v>8265</v>
      </c>
      <c r="G173" s="155">
        <f>F173-E173</f>
        <v>0</v>
      </c>
      <c r="H173" s="99">
        <f>G173+'8'!H173</f>
        <v>4</v>
      </c>
      <c r="I173" s="155"/>
      <c r="J173" s="178">
        <f>H173/DAY(B2)</f>
        <v>0.44444444444444442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'8'!F174</f>
        <v>40048</v>
      </c>
      <c r="F174" s="157">
        <v>40062</v>
      </c>
      <c r="G174" s="155">
        <f t="shared" ref="G174:G175" si="14">F174-E174</f>
        <v>14</v>
      </c>
      <c r="H174" s="99">
        <f>G174+'8'!H174</f>
        <v>134</v>
      </c>
      <c r="I174" s="155"/>
      <c r="J174" s="178">
        <f>H174/DAY(B2)</f>
        <v>14.888888888888889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'8'!F175</f>
        <v>22995</v>
      </c>
      <c r="F175" s="155">
        <v>23006</v>
      </c>
      <c r="G175" s="155">
        <f t="shared" si="14"/>
        <v>11</v>
      </c>
      <c r="H175" s="99">
        <f>G175+'8'!H175</f>
        <v>117</v>
      </c>
      <c r="I175" s="155"/>
      <c r="J175" s="178">
        <f>H175/DAY(B2)</f>
        <v>13</v>
      </c>
    </row>
    <row r="176" spans="1:10" ht="25.5">
      <c r="A176" s="868" t="s">
        <v>196</v>
      </c>
      <c r="B176" s="869"/>
      <c r="C176" s="333"/>
      <c r="D176" s="228" t="s">
        <v>142</v>
      </c>
      <c r="E176" s="95"/>
      <c r="F176" s="155"/>
      <c r="G176" s="155">
        <f>SUM(G173:G175)</f>
        <v>25</v>
      </c>
      <c r="H176" s="99">
        <f>G176+'8'!H176</f>
        <v>255</v>
      </c>
      <c r="I176" s="155"/>
      <c r="J176" s="178">
        <f>H176/DAY(B2)</f>
        <v>28.333333333333332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'8'!F178</f>
        <v>89473</v>
      </c>
      <c r="F178" s="155">
        <v>89599</v>
      </c>
      <c r="G178" s="155">
        <f>F178-E178</f>
        <v>126</v>
      </c>
      <c r="H178" s="99">
        <f>G178+'8'!H178</f>
        <v>996</v>
      </c>
      <c r="I178" s="155"/>
      <c r="J178" s="178">
        <f>H178/DAY(B2)</f>
        <v>110.66666666666667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'8'!F179</f>
        <v>35773</v>
      </c>
      <c r="F179" s="155">
        <v>35773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79" t="s">
        <v>212</v>
      </c>
      <c r="B180" s="880"/>
      <c r="C180" s="333"/>
      <c r="D180" s="228" t="s">
        <v>142</v>
      </c>
      <c r="E180" s="95">
        <f>'8'!F180</f>
        <v>6452</v>
      </c>
      <c r="F180" s="155">
        <v>6453</v>
      </c>
      <c r="G180" s="155">
        <f t="shared" si="15"/>
        <v>1</v>
      </c>
      <c r="H180" s="99">
        <f>G180+'8'!H180</f>
        <v>64</v>
      </c>
      <c r="I180" s="155"/>
      <c r="J180" s="178">
        <f>H180/DAY(B2)</f>
        <v>7.1111111111111107</v>
      </c>
    </row>
    <row r="181" spans="1:10" ht="25.5">
      <c r="A181" s="881" t="s">
        <v>108</v>
      </c>
      <c r="B181" s="882"/>
      <c r="C181" s="333"/>
      <c r="D181" s="228" t="s">
        <v>142</v>
      </c>
      <c r="E181" s="95"/>
      <c r="F181" s="155"/>
      <c r="G181" s="155">
        <f>SUM(G178:G180)</f>
        <v>127</v>
      </c>
      <c r="H181" s="99">
        <f>G181+'8'!H181</f>
        <v>1060</v>
      </c>
      <c r="I181" s="155"/>
      <c r="J181" s="178">
        <f>H181/DAY(B2)</f>
        <v>117.77777777777777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'8'!F183</f>
        <v>16710</v>
      </c>
      <c r="F183" s="157">
        <v>16715</v>
      </c>
      <c r="G183" s="157">
        <f>F183-E183</f>
        <v>5</v>
      </c>
      <c r="H183" s="99">
        <f>G183+'8'!H183</f>
        <v>93</v>
      </c>
      <c r="I183" s="155"/>
      <c r="J183" s="178">
        <f>H183/DAY(B2)</f>
        <v>10.333333333333334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'8'!F184</f>
        <v>11335</v>
      </c>
      <c r="F184" s="157">
        <v>11338</v>
      </c>
      <c r="G184" s="157">
        <f t="shared" ref="G184:G185" si="16">F184-E184</f>
        <v>3</v>
      </c>
      <c r="H184" s="99">
        <f>G184+'8'!H184</f>
        <v>64</v>
      </c>
      <c r="I184" s="155"/>
      <c r="J184" s="178">
        <f>H184/DAY(B2)</f>
        <v>7.1111111111111107</v>
      </c>
    </row>
    <row r="185" spans="1:10" ht="35.25" customHeight="1">
      <c r="A185" s="879" t="s">
        <v>216</v>
      </c>
      <c r="B185" s="880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868" t="s">
        <v>196</v>
      </c>
      <c r="B186" s="869"/>
      <c r="C186" s="334"/>
      <c r="D186" s="228" t="s">
        <v>142</v>
      </c>
      <c r="E186" s="95"/>
      <c r="F186" s="157"/>
      <c r="G186" s="157">
        <f>SUM(G183:G185)</f>
        <v>8</v>
      </c>
      <c r="H186" s="99">
        <f>G186+'8'!H186</f>
        <v>157</v>
      </c>
      <c r="I186" s="157"/>
      <c r="J186" s="178">
        <f>H186/DAY(B2)</f>
        <v>17.444444444444443</v>
      </c>
    </row>
    <row r="187" spans="1:10" ht="25.5">
      <c r="A187" s="870" t="s">
        <v>217</v>
      </c>
      <c r="B187" s="871"/>
      <c r="C187" s="333"/>
      <c r="D187" s="230" t="s">
        <v>142</v>
      </c>
      <c r="E187" s="95"/>
      <c r="F187" s="159"/>
      <c r="G187" s="159">
        <f>G62+G19</f>
        <v>210</v>
      </c>
      <c r="H187" s="99">
        <f>G187+'8'!H187</f>
        <v>1976</v>
      </c>
      <c r="I187" s="158"/>
      <c r="J187" s="179">
        <f>H187/DAY(B2)</f>
        <v>219.55555555555554</v>
      </c>
    </row>
    <row r="188" spans="1:10" ht="25.5">
      <c r="A188" s="870" t="s">
        <v>218</v>
      </c>
      <c r="B188" s="871"/>
      <c r="C188" s="333"/>
      <c r="D188" s="230" t="s">
        <v>142</v>
      </c>
      <c r="E188" s="95"/>
      <c r="F188" s="159"/>
      <c r="G188" s="159">
        <f>G65+G66+G67+G69+G70</f>
        <v>213</v>
      </c>
      <c r="H188" s="99">
        <f>G188+'8'!H188</f>
        <v>1998</v>
      </c>
      <c r="I188" s="158"/>
      <c r="J188" s="179">
        <f>H188/DAY(B2)</f>
        <v>222</v>
      </c>
    </row>
    <row r="189" spans="1:10" ht="25.5">
      <c r="A189" s="870" t="s">
        <v>219</v>
      </c>
      <c r="B189" s="871"/>
      <c r="C189" s="333"/>
      <c r="D189" s="230" t="s">
        <v>142</v>
      </c>
      <c r="E189" s="95"/>
      <c r="F189" s="157"/>
      <c r="G189" s="157">
        <f>G181</f>
        <v>127</v>
      </c>
      <c r="H189" s="99">
        <f>G189+'8'!H189</f>
        <v>1060</v>
      </c>
      <c r="I189" s="158"/>
      <c r="J189" s="179">
        <f>H189/DAY(B2)</f>
        <v>117.77777777777777</v>
      </c>
    </row>
    <row r="190" spans="1:10" ht="29.25" customHeight="1">
      <c r="A190" s="877"/>
      <c r="B190" s="87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124" zoomScale="55" zoomScaleNormal="55" zoomScaleSheetLayoutView="55" workbookViewId="0">
      <selection activeCell="F148" sqref="F14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349</v>
      </c>
      <c r="B2" s="262">
        <v>44691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77372</v>
      </c>
      <c r="F7" s="95">
        <v>103949.62</v>
      </c>
      <c r="G7" s="112">
        <f>F7-E7</f>
        <v>26577.619999999995</v>
      </c>
      <c r="H7" s="99">
        <f>G7+'9'!H7</f>
        <v>272911.62</v>
      </c>
      <c r="I7" s="113">
        <f>'1'!I7</f>
        <v>12000</v>
      </c>
      <c r="J7" s="175">
        <f>H7/DAY(B2)</f>
        <v>27291.162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170133</v>
      </c>
      <c r="F8" s="114">
        <v>197278.9</v>
      </c>
      <c r="G8" s="115">
        <f>F8-E8</f>
        <v>27145.899999999994</v>
      </c>
      <c r="H8" s="99">
        <f>G8+'9'!H8</f>
        <v>278156.17999999993</v>
      </c>
      <c r="I8" s="116"/>
      <c r="J8" s="175">
        <f>H8/DAY(B2)</f>
        <v>27815.617999999995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2083119</v>
      </c>
      <c r="F9" s="470">
        <v>2102432.1</v>
      </c>
      <c r="G9" s="112">
        <f>F9-E9</f>
        <v>19313.100000000093</v>
      </c>
      <c r="H9" s="99">
        <f>G9+'9'!H9</f>
        <v>211397.10000000009</v>
      </c>
      <c r="I9" s="124">
        <f>I7-J7</f>
        <v>-15291.162</v>
      </c>
      <c r="J9" s="175">
        <f>H9/DAY(B2)</f>
        <v>21139.71000000001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662621</v>
      </c>
      <c r="F10" s="117">
        <v>669249</v>
      </c>
      <c r="G10" s="112">
        <f t="shared" ref="G10:G12" si="0">F10-E10</f>
        <v>6628</v>
      </c>
      <c r="H10" s="99">
        <f>G10+'9'!H10</f>
        <v>53713</v>
      </c>
      <c r="I10" s="282"/>
      <c r="J10" s="175">
        <f>H10/DAY(B2)</f>
        <v>5371.3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25941.100000000093</v>
      </c>
      <c r="H13" s="99">
        <f>G13+'9'!H13</f>
        <v>262593.85000000009</v>
      </c>
      <c r="I13" s="120">
        <f>G7-G13</f>
        <v>636.51999999990221</v>
      </c>
      <c r="J13" s="175">
        <f>H13/DAY(B2)</f>
        <v>26259.385000000009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2013684</v>
      </c>
      <c r="F15" s="470">
        <v>2014748</v>
      </c>
      <c r="G15" s="112">
        <f>(F15-E15)</f>
        <v>1064</v>
      </c>
      <c r="H15" s="99">
        <f>G15+'9'!H15</f>
        <v>11021</v>
      </c>
      <c r="I15" s="113">
        <f>'1'!I15</f>
        <v>800</v>
      </c>
      <c r="J15" s="175">
        <f>H15/DAY(B2)</f>
        <v>1102.0999999999999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-302.09999999999991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'9'!F18</f>
        <v>34</v>
      </c>
      <c r="F18" s="164">
        <v>3</v>
      </c>
      <c r="G18" s="119">
        <f>F18*10</f>
        <v>30</v>
      </c>
      <c r="H18" s="99">
        <f>G18+'9'!H18</f>
        <v>2300</v>
      </c>
      <c r="I18" s="113">
        <f>'1'!I18</f>
        <v>65</v>
      </c>
      <c r="J18" s="175">
        <f>H18/DAY(B2)</f>
        <v>230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'9'!F19</f>
        <v>158949</v>
      </c>
      <c r="F19" s="122">
        <v>159000</v>
      </c>
      <c r="G19" s="112">
        <f t="shared" ref="G19" si="1">F19-E19</f>
        <v>51</v>
      </c>
      <c r="H19" s="99">
        <f>G19+'9'!H19</f>
        <v>546</v>
      </c>
      <c r="I19" s="335"/>
      <c r="J19" s="175">
        <f>H19/DAY(B2)</f>
        <v>54.6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81</v>
      </c>
      <c r="H20" s="99">
        <f>G20+'9'!H20</f>
        <v>2846</v>
      </c>
      <c r="I20" s="336">
        <f>I18-J20</f>
        <v>-219.60000000000002</v>
      </c>
      <c r="J20" s="175">
        <f>H20/DAY(B2)</f>
        <v>284.60000000000002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27145.899999999994</v>
      </c>
      <c r="F27" s="136">
        <v>9</v>
      </c>
      <c r="G27" s="137">
        <f>E27*F27</f>
        <v>244313.09999999995</v>
      </c>
      <c r="H27" s="99">
        <f>G27+'9'!H27</f>
        <v>2503405.62</v>
      </c>
      <c r="I27" s="138"/>
      <c r="J27" s="175">
        <f>H27/DAY(B2)</f>
        <v>250340.56200000001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1064</v>
      </c>
      <c r="F28" s="136">
        <v>52</v>
      </c>
      <c r="G28" s="137">
        <f>E28*F28</f>
        <v>55328</v>
      </c>
      <c r="H28" s="99">
        <f>G28+'9'!H28</f>
        <v>732446</v>
      </c>
      <c r="I28" s="140"/>
      <c r="J28" s="175">
        <f>H28/DAY(B2)</f>
        <v>73244.600000000006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G30+'9'!H30</f>
        <v>81901</v>
      </c>
      <c r="I30" s="140"/>
      <c r="J30" s="175">
        <f>H30/DAY(B2)</f>
        <v>8190.1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</v>
      </c>
      <c r="F31" s="136">
        <v>80</v>
      </c>
      <c r="G31" s="137">
        <f>E31*F31</f>
        <v>2400</v>
      </c>
      <c r="H31" s="99">
        <f>G31+'9'!H31</f>
        <v>184000</v>
      </c>
      <c r="I31" s="140"/>
      <c r="J31" s="175">
        <f>H31/DAY(B2)</f>
        <v>18400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309487.09999999998</v>
      </c>
      <c r="H32" s="99">
        <f>G32+'9'!H32</f>
        <v>3501752.62</v>
      </c>
      <c r="I32" s="144"/>
      <c r="J32" s="175">
        <f>H32/DAY(B2)</f>
        <v>350175.26199999999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221732</v>
      </c>
      <c r="F35" s="145">
        <v>223844.39</v>
      </c>
      <c r="G35" s="112">
        <f t="shared" ref="G35:G46" si="3">F35-E35</f>
        <v>2112.390000000014</v>
      </c>
      <c r="H35" s="99">
        <f>G35+'9'!H35</f>
        <v>20959.390000000014</v>
      </c>
      <c r="I35" s="95"/>
      <c r="J35" s="175">
        <f>H35/DAY(B2)</f>
        <v>2095.9390000000012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140384</v>
      </c>
      <c r="F36" s="145">
        <v>141311.78</v>
      </c>
      <c r="G36" s="112">
        <f t="shared" si="3"/>
        <v>927.77999999999884</v>
      </c>
      <c r="H36" s="99">
        <f>G36+'9'!H36</f>
        <v>9732.7799999999988</v>
      </c>
      <c r="I36" s="95"/>
      <c r="J36" s="175">
        <f>H36/DAY(B2)</f>
        <v>973.27799999999991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197789</v>
      </c>
      <c r="F37" s="145">
        <v>199472</v>
      </c>
      <c r="G37" s="112">
        <f t="shared" si="3"/>
        <v>1683</v>
      </c>
      <c r="H37" s="99">
        <f>G37+'9'!H37</f>
        <v>16347</v>
      </c>
      <c r="I37" s="95"/>
      <c r="J37" s="175">
        <f>H37/DAY(B2)</f>
        <v>1634.7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265211</v>
      </c>
      <c r="F38" s="108">
        <v>267425.95</v>
      </c>
      <c r="G38" s="112">
        <f t="shared" si="3"/>
        <v>2214.9500000000116</v>
      </c>
      <c r="H38" s="99">
        <f>G38+'9'!H38</f>
        <v>23973.950000000012</v>
      </c>
      <c r="I38" s="95"/>
      <c r="J38" s="175">
        <f>H38/DAY(B2)</f>
        <v>2397.3950000000013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365973</v>
      </c>
      <c r="F39" s="145">
        <v>368872.19</v>
      </c>
      <c r="G39" s="112">
        <f t="shared" si="3"/>
        <v>2899.1900000000023</v>
      </c>
      <c r="H39" s="99">
        <f>G39+'9'!H39</f>
        <v>28884.190000000002</v>
      </c>
      <c r="I39" s="95"/>
      <c r="J39" s="175">
        <f>H39/DAY(B2)</f>
        <v>2888.4190000000003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69668</v>
      </c>
      <c r="F40" s="145">
        <v>69898.94</v>
      </c>
      <c r="G40" s="112">
        <f t="shared" si="3"/>
        <v>230.94000000000233</v>
      </c>
      <c r="H40" s="99">
        <f>G40+'9'!H40</f>
        <v>5021.9400000000023</v>
      </c>
      <c r="I40" s="95"/>
      <c r="J40" s="175">
        <f>H40/DAY(B2)</f>
        <v>502.19400000000024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68834</v>
      </c>
      <c r="F41" s="145">
        <v>68834.100000000006</v>
      </c>
      <c r="G41" s="112">
        <f t="shared" si="3"/>
        <v>0.10000000000582077</v>
      </c>
      <c r="H41" s="99">
        <f>G41+'9'!H41</f>
        <v>41141.100000000006</v>
      </c>
      <c r="I41" s="95"/>
      <c r="J41" s="175">
        <f>H41/DAY(B2)</f>
        <v>4114.1100000000006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450205</v>
      </c>
      <c r="F42" s="145">
        <v>455009.71</v>
      </c>
      <c r="G42" s="112">
        <f t="shared" si="3"/>
        <v>4804.710000000021</v>
      </c>
      <c r="H42" s="99">
        <f>G42+'9'!H42</f>
        <v>29208.710000000021</v>
      </c>
      <c r="I42" s="95"/>
      <c r="J42" s="175">
        <f>H42/DAY(B2)</f>
        <v>2920.8710000000019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384568</v>
      </c>
      <c r="F43" s="145">
        <v>387477.03</v>
      </c>
      <c r="G43" s="112">
        <f t="shared" si="3"/>
        <v>2909.0300000000279</v>
      </c>
      <c r="H43" s="99">
        <f>G43+'9'!H43</f>
        <v>29958.030000000028</v>
      </c>
      <c r="I43" s="95"/>
      <c r="J43" s="175">
        <f>H43/DAY(B2)</f>
        <v>2995.8030000000026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17782.090000000084</v>
      </c>
      <c r="H47" s="99">
        <f>G47+'9'!H47</f>
        <v>205227.09000000008</v>
      </c>
      <c r="I47" s="95"/>
      <c r="J47" s="175">
        <f>H47/DAY(B2)</f>
        <v>20522.70900000001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182727</v>
      </c>
      <c r="F49" s="145">
        <v>184837.81</v>
      </c>
      <c r="G49" s="112">
        <f t="shared" ref="G49:G58" si="4">F49-E49</f>
        <v>2110.8099999999977</v>
      </c>
      <c r="H49" s="99">
        <f>G49+'9'!H49</f>
        <v>19667.809999999998</v>
      </c>
      <c r="I49" s="95"/>
      <c r="J49" s="175">
        <f>H49/DAY(B2)</f>
        <v>1966.7809999999997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184021</v>
      </c>
      <c r="F50" s="145">
        <v>185107.7</v>
      </c>
      <c r="G50" s="112">
        <f t="shared" si="4"/>
        <v>1086.7000000000116</v>
      </c>
      <c r="H50" s="99">
        <f>G50+'9'!H50</f>
        <v>12500.700000000012</v>
      </c>
      <c r="I50" s="95"/>
      <c r="J50" s="175">
        <f>H50/DAY(B2)</f>
        <v>1250.0700000000011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76</v>
      </c>
      <c r="F51" s="145">
        <v>76</v>
      </c>
      <c r="G51" s="112">
        <f t="shared" si="4"/>
        <v>0</v>
      </c>
      <c r="H51" s="99">
        <f>G51+'9'!H51</f>
        <v>0.31999999999999318</v>
      </c>
      <c r="I51" s="95"/>
      <c r="J51" s="175">
        <f>H51/DAY(B2)</f>
        <v>3.1999999999999321E-2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10</v>
      </c>
      <c r="F52" s="145">
        <v>10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54331</v>
      </c>
      <c r="F54" s="145">
        <v>54803</v>
      </c>
      <c r="G54" s="112">
        <f t="shared" si="4"/>
        <v>472</v>
      </c>
      <c r="H54" s="99">
        <f>G54+'9'!H54</f>
        <v>4720</v>
      </c>
      <c r="I54" s="95"/>
      <c r="J54" s="175">
        <f>H54/DAY(B2)</f>
        <v>472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157619</v>
      </c>
      <c r="F55" s="424">
        <v>160102.85</v>
      </c>
      <c r="G55" s="112">
        <f t="shared" si="4"/>
        <v>2483.8500000000058</v>
      </c>
      <c r="H55" s="99">
        <f>G55+'9'!H55</f>
        <v>15135.850000000006</v>
      </c>
      <c r="I55" s="95"/>
      <c r="J55" s="175">
        <f>H55/DAY(B2)</f>
        <v>1513.5850000000005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107245.86</v>
      </c>
      <c r="F56" s="424">
        <v>107245.66</v>
      </c>
      <c r="G56" s="112">
        <f t="shared" si="4"/>
        <v>-0.19999999999708962</v>
      </c>
      <c r="H56" s="99">
        <f>G56+'9'!H56</f>
        <v>-0.33999999999650754</v>
      </c>
      <c r="I56" s="95"/>
      <c r="J56" s="175">
        <f>H56/DAY(B2)</f>
        <v>-3.3999999999650754E-2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0</v>
      </c>
      <c r="F57" s="424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27632</v>
      </c>
      <c r="F58" s="424">
        <v>27835.4</v>
      </c>
      <c r="G58" s="112">
        <f t="shared" si="4"/>
        <v>203.40000000000146</v>
      </c>
      <c r="H58" s="99">
        <f>G58+'9'!H58</f>
        <v>2342.4000000000015</v>
      </c>
      <c r="I58" s="95"/>
      <c r="J58" s="175">
        <f>H58/DAY(B2)</f>
        <v>234.24000000000015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6356.5600000000195</v>
      </c>
      <c r="H59" s="99">
        <f>G59+'9'!H59</f>
        <v>54366.740000000013</v>
      </c>
      <c r="I59" s="95">
        <f>G7-G60</f>
        <v>2438.969999999892</v>
      </c>
      <c r="J59" s="175">
        <f>H59/DAY(B2)</f>
        <v>5436.6740000000009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24138.650000000103</v>
      </c>
      <c r="H60" s="99">
        <f>G60+'9'!H60</f>
        <v>259593.8300000001</v>
      </c>
      <c r="I60" s="95">
        <f>G13-G60</f>
        <v>1802.4499999999898</v>
      </c>
      <c r="J60" s="175">
        <f>H60/DAY(B2)</f>
        <v>25959.383000000009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'9'!F62</f>
        <v>285490</v>
      </c>
      <c r="F62" s="122">
        <v>285542</v>
      </c>
      <c r="G62" s="112">
        <f t="shared" ref="G62:G63" si="5">F62-E62</f>
        <v>52</v>
      </c>
      <c r="H62" s="99">
        <f>G62+'9'!H62</f>
        <v>1533</v>
      </c>
      <c r="I62" s="118"/>
      <c r="J62" s="175">
        <f>H62/DAY(B2)</f>
        <v>153.30000000000001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'9'!F63</f>
        <v>228820</v>
      </c>
      <c r="F63" s="164">
        <v>228969</v>
      </c>
      <c r="G63" s="112">
        <f t="shared" si="5"/>
        <v>149</v>
      </c>
      <c r="H63" s="99">
        <f>G63+'9'!H63</f>
        <v>1490</v>
      </c>
      <c r="I63" s="118"/>
      <c r="J63" s="175">
        <f>H63/DAY(B2)</f>
        <v>149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'9'!F64</f>
        <v>0</v>
      </c>
      <c r="F64" s="122"/>
      <c r="G64" s="112">
        <f>G62+G63</f>
        <v>201</v>
      </c>
      <c r="H64" s="99">
        <f>G64+'9'!H64</f>
        <v>3023</v>
      </c>
      <c r="I64" s="118"/>
      <c r="J64" s="175">
        <f>H64/DAY(B2)</f>
        <v>302.3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'9'!F65</f>
        <v>445545</v>
      </c>
      <c r="F65" s="122">
        <v>445681</v>
      </c>
      <c r="G65" s="112">
        <f t="shared" ref="G65:G70" si="6">F65-E65</f>
        <v>136</v>
      </c>
      <c r="H65" s="99">
        <f>G65+'9'!H65</f>
        <v>1089</v>
      </c>
      <c r="I65" s="118"/>
      <c r="J65" s="175">
        <f>H65/DAY(B2)</f>
        <v>108.9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109777</v>
      </c>
      <c r="F66" s="122">
        <v>109795</v>
      </c>
      <c r="G66" s="112">
        <f t="shared" si="6"/>
        <v>18</v>
      </c>
      <c r="H66" s="99">
        <f>G66+'9'!H66</f>
        <v>214</v>
      </c>
      <c r="I66" s="118"/>
      <c r="J66" s="175">
        <f>H66/DAY(B2)</f>
        <v>21.4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111597</v>
      </c>
      <c r="F67" s="122">
        <v>111675</v>
      </c>
      <c r="G67" s="112">
        <f t="shared" si="6"/>
        <v>78</v>
      </c>
      <c r="H67" s="99">
        <f>G67+'9'!H67</f>
        <v>775</v>
      </c>
      <c r="I67" s="118"/>
      <c r="J67" s="175">
        <f>H67/DAY(B2)</f>
        <v>77.5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161956</v>
      </c>
      <c r="F68" s="122">
        <v>161985</v>
      </c>
      <c r="G68" s="112">
        <f t="shared" si="6"/>
        <v>29</v>
      </c>
      <c r="H68" s="99">
        <f>G68+'9'!H68</f>
        <v>201</v>
      </c>
      <c r="I68" s="118"/>
      <c r="J68" s="175">
        <f>H68/DAY(B2)</f>
        <v>20.100000000000001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11673</v>
      </c>
      <c r="F69" s="122">
        <v>11678</v>
      </c>
      <c r="G69" s="112">
        <f t="shared" si="6"/>
        <v>5</v>
      </c>
      <c r="H69" s="99">
        <f>G69+'9'!H69</f>
        <v>80</v>
      </c>
      <c r="I69" s="118"/>
      <c r="J69" s="175">
        <f>H69/DAY(B2)</f>
        <v>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9078</v>
      </c>
      <c r="F70" s="122">
        <v>9084</v>
      </c>
      <c r="G70" s="112">
        <f t="shared" si="6"/>
        <v>6</v>
      </c>
      <c r="H70" s="99">
        <f>G70+'9'!H70</f>
        <v>83</v>
      </c>
      <c r="I70" s="118"/>
      <c r="J70" s="175">
        <f>H70/DAY(B2)</f>
        <v>8.3000000000000007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272</v>
      </c>
      <c r="H71" s="99">
        <f>G71+'9'!H71</f>
        <v>2442</v>
      </c>
      <c r="I71" s="154"/>
      <c r="J71" s="175">
        <f>H71/DAY(B2)</f>
        <v>244.2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'9'!F74</f>
        <v>931568</v>
      </c>
      <c r="F74" s="117">
        <v>931891.74899999995</v>
      </c>
      <c r="G74" s="112">
        <f t="shared" ref="G74:G78" si="7">F74-E74</f>
        <v>323.7489999999525</v>
      </c>
      <c r="H74" s="99">
        <f>G74+'9'!H74</f>
        <v>3114.7489999999525</v>
      </c>
      <c r="I74" s="154"/>
      <c r="J74" s="175">
        <f>H74/DAY(B2)</f>
        <v>311.47489999999527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'9'!F76</f>
        <v>181171</v>
      </c>
      <c r="F76" s="123">
        <v>181288</v>
      </c>
      <c r="G76" s="112">
        <f t="shared" si="7"/>
        <v>117</v>
      </c>
      <c r="H76" s="99">
        <f>G76+'9'!H76</f>
        <v>1134</v>
      </c>
      <c r="I76" s="154"/>
      <c r="J76" s="175">
        <f>H76/DAY(B2)</f>
        <v>113.4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'9'!F77</f>
        <v>46165</v>
      </c>
      <c r="F77" s="123">
        <v>46222</v>
      </c>
      <c r="G77" s="112">
        <f t="shared" si="7"/>
        <v>57</v>
      </c>
      <c r="H77" s="99">
        <f>G77+'9'!H77</f>
        <v>548</v>
      </c>
      <c r="I77" s="154"/>
      <c r="J77" s="175">
        <f>H77/DAY(B2)</f>
        <v>54.8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'9'!F78</f>
        <v>9563.4</v>
      </c>
      <c r="F78" s="123">
        <v>9563</v>
      </c>
      <c r="G78" s="112">
        <f t="shared" si="7"/>
        <v>-0.3999999999996362</v>
      </c>
      <c r="H78" s="99">
        <f>G78+'9'!H78</f>
        <v>-0.3999999999996362</v>
      </c>
      <c r="I78" s="118"/>
      <c r="J78" s="175">
        <f>H78/DAY(B2)</f>
        <v>-3.999999999996362E-2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'9'!F79</f>
        <v>0</v>
      </c>
      <c r="F79" s="117"/>
      <c r="G79" s="112">
        <f>G15-SUM(G74:G78)</f>
        <v>566.65100000004713</v>
      </c>
      <c r="H79" s="99">
        <f>G79+'9'!H79</f>
        <v>6224.6510000000471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>
        <f>SUM(G74:G79)</f>
        <v>1064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41969</v>
      </c>
      <c r="F84" s="164">
        <v>41969</v>
      </c>
      <c r="G84" s="112">
        <f t="shared" si="8"/>
        <v>0</v>
      </c>
      <c r="H84" s="99">
        <f>G84+'9'!H84</f>
        <v>177</v>
      </c>
      <c r="I84" s="575"/>
      <c r="J84" s="175">
        <f>H84/DAY(B2)</f>
        <v>17.7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3882</v>
      </c>
      <c r="F85" s="164">
        <v>3905.4</v>
      </c>
      <c r="G85" s="112">
        <f t="shared" si="8"/>
        <v>23.400000000000091</v>
      </c>
      <c r="H85" s="99">
        <f>G85+'9'!H85</f>
        <v>128.40000000000009</v>
      </c>
      <c r="I85" s="575"/>
      <c r="J85" s="175">
        <f>H85/DAY(B2)</f>
        <v>12.840000000000009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44025</v>
      </c>
      <c r="F86" s="164">
        <v>44042</v>
      </c>
      <c r="G86" s="112">
        <f t="shared" si="8"/>
        <v>17</v>
      </c>
      <c r="H86" s="99">
        <f>G86+'9'!H86</f>
        <v>103</v>
      </c>
      <c r="I86" s="575"/>
      <c r="J86" s="175">
        <f>H86/DAY(B2)</f>
        <v>10.3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35329.06</v>
      </c>
      <c r="F87" s="164">
        <v>35329.06</v>
      </c>
      <c r="G87" s="112">
        <f t="shared" si="8"/>
        <v>0</v>
      </c>
      <c r="H87" s="99">
        <f>G87+'9'!H87</f>
        <v>5.9999999997671694E-2</v>
      </c>
      <c r="I87" s="575">
        <f>G84+G85+G86+G87</f>
        <v>40.400000000000091</v>
      </c>
      <c r="J87" s="175">
        <f>H87/DAY(B2)</f>
        <v>5.999999999767169E-3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24207.32</v>
      </c>
      <c r="F88" s="164">
        <v>24207.52</v>
      </c>
      <c r="G88" s="112">
        <f t="shared" si="8"/>
        <v>0.2000000000007276</v>
      </c>
      <c r="H88" s="99">
        <f>G88+'9'!H88</f>
        <v>19.400000000001455</v>
      </c>
      <c r="I88" s="575"/>
      <c r="J88" s="175">
        <f>H88/DAY(B2)</f>
        <v>1.9400000000001456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26799.26</v>
      </c>
      <c r="F89" s="164">
        <v>26808.51</v>
      </c>
      <c r="G89" s="112">
        <f t="shared" si="8"/>
        <v>9.25</v>
      </c>
      <c r="H89" s="99">
        <f>G89+'9'!H89</f>
        <v>99.289999999997235</v>
      </c>
      <c r="I89" s="575">
        <f>G88+G89</f>
        <v>9.4500000000007276</v>
      </c>
      <c r="J89" s="175">
        <f>H89/DAY(B2)</f>
        <v>9.9289999999997232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71931.09</v>
      </c>
      <c r="F90" s="164">
        <v>71939.11</v>
      </c>
      <c r="G90" s="112">
        <f t="shared" si="8"/>
        <v>8.0200000000040745</v>
      </c>
      <c r="H90" s="99">
        <f>G90+'9'!H90</f>
        <v>75.580000000001746</v>
      </c>
      <c r="I90" s="575">
        <f>G90</f>
        <v>8.0200000000040745</v>
      </c>
      <c r="J90" s="175">
        <f>H90/DAY(B2)</f>
        <v>7.5580000000001748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4121.6499999999996</v>
      </c>
      <c r="F91" s="122">
        <v>4121.6499999999996</v>
      </c>
      <c r="G91" s="112">
        <f t="shared" si="8"/>
        <v>0</v>
      </c>
      <c r="H91" s="99">
        <f>G91+'9'!H91</f>
        <v>62.409999999999854</v>
      </c>
      <c r="I91" s="594"/>
      <c r="J91" s="175">
        <f>H91/DAY(B2)</f>
        <v>6.2409999999999854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5972.63</v>
      </c>
      <c r="F92" s="122">
        <v>5983.77</v>
      </c>
      <c r="G92" s="112">
        <f t="shared" si="8"/>
        <v>11.140000000000327</v>
      </c>
      <c r="H92" s="99">
        <f>G92+'9'!H92</f>
        <v>48.770000000000437</v>
      </c>
      <c r="I92" s="600">
        <f>G91+G92</f>
        <v>11.140000000000327</v>
      </c>
      <c r="J92" s="175">
        <f>H92/DAY(B2)</f>
        <v>4.8770000000000433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7132.2300000000396</v>
      </c>
      <c r="H94" s="99">
        <f>G94+'9'!H94</f>
        <v>70585.23000000004</v>
      </c>
      <c r="I94" s="118"/>
      <c r="J94" s="175">
        <f>H94/DAY(B2)</f>
        <v>7058.5230000000038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0.26835472852723613</v>
      </c>
      <c r="H95" s="99">
        <f>G95+'9'!H95</f>
        <v>2.5853794093836377</v>
      </c>
      <c r="I95" s="167"/>
      <c r="J95" s="175">
        <f>H95/DAY(B2)</f>
        <v>0.2585379409383638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7288.4600000000355</v>
      </c>
      <c r="H96" s="99">
        <f>G96+'9'!H96</f>
        <v>85485.320000000036</v>
      </c>
      <c r="I96" s="118"/>
      <c r="J96" s="175">
        <f>H96/DAY(B2)</f>
        <v>8548.5320000000029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0.2742329824867703</v>
      </c>
      <c r="H97" s="99">
        <f>G97+'9'!H97</f>
        <v>3.1284616844715614</v>
      </c>
      <c r="I97" s="167"/>
      <c r="J97" s="175">
        <f>H97/DAY(B2)</f>
        <v>0.31284616844715613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2899.1900000000023</v>
      </c>
      <c r="H98" s="99">
        <f>G98+'9'!H98</f>
        <v>28884.190000000002</v>
      </c>
      <c r="I98" s="168"/>
      <c r="J98" s="175">
        <f>H98/DAY(B2)</f>
        <v>2888.4190000000003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0.10908388335750165</v>
      </c>
      <c r="H99" s="99">
        <f>G99+'9'!H99</f>
        <v>1.0599564513874766</v>
      </c>
      <c r="I99" s="168"/>
      <c r="J99" s="175">
        <f>H99/DAY(B2)</f>
        <v>0.10599564513874767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2214.9500000000116</v>
      </c>
      <c r="H100" s="99">
        <f>G100+'9'!H100</f>
        <v>23973.950000000012</v>
      </c>
      <c r="I100" s="118"/>
      <c r="J100" s="175">
        <f>H100/DAY(B2)</f>
        <v>2397.3950000000013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8.3338914470144881E-2</v>
      </c>
      <c r="H101" s="99">
        <f>G101+'9'!H101</f>
        <v>0.87948151270858255</v>
      </c>
      <c r="I101" s="168"/>
      <c r="J101" s="175">
        <f>H101/DAY(B2)</f>
        <v>8.7948151270858255E-2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2014.4800000000105</v>
      </c>
      <c r="H102" s="99">
        <f>G102+'9'!H102</f>
        <v>22233.48000000001</v>
      </c>
      <c r="I102" s="168"/>
      <c r="J102" s="175">
        <f>H102/DAY(B2)</f>
        <v>2223.3480000000009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7.5796102134051538E-2</v>
      </c>
      <c r="H103" s="99">
        <f>G103+'9'!H103</f>
        <v>0.81350075762412355</v>
      </c>
      <c r="I103" s="118"/>
      <c r="J103" s="175">
        <f>H103/DAY(B2)</f>
        <v>8.1350075762412349E-2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1683</v>
      </c>
      <c r="H104" s="99">
        <f>G104+'9'!H104</f>
        <v>16347.32</v>
      </c>
      <c r="I104" s="118"/>
      <c r="J104" s="175">
        <f>H104/DAY(B2)</f>
        <v>1634.732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6.3323954515114605E-2</v>
      </c>
      <c r="H105" s="99">
        <f>G105+'9'!H105</f>
        <v>0.59949839335152522</v>
      </c>
      <c r="I105" s="187"/>
      <c r="J105" s="188">
        <f>H105/DAY(B2)</f>
        <v>5.9949839335152522E-2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'9'!F112</f>
        <v>951</v>
      </c>
      <c r="F112" s="237">
        <v>1031.18</v>
      </c>
      <c r="G112" s="112">
        <f t="shared" ref="G112:G123" si="9">F112-E112</f>
        <v>80.180000000000064</v>
      </c>
      <c r="H112" s="99">
        <f>G112+'9'!H112</f>
        <v>788.18000000000006</v>
      </c>
      <c r="I112" s="165"/>
      <c r="J112" s="328">
        <f>H112/DAY(B2)</f>
        <v>78.818000000000012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'9'!F113</f>
        <v>1892</v>
      </c>
      <c r="F113" s="237">
        <v>2106.1999999999998</v>
      </c>
      <c r="G113" s="112">
        <f t="shared" si="9"/>
        <v>214.19999999999982</v>
      </c>
      <c r="H113" s="99">
        <f>G113+'9'!H113</f>
        <v>1624.1999999999998</v>
      </c>
      <c r="I113" s="165"/>
      <c r="J113" s="328">
        <f>H113/DAY(B2)</f>
        <v>162.41999999999999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'9'!F114</f>
        <v>2638</v>
      </c>
      <c r="F114" s="237">
        <v>2857.71</v>
      </c>
      <c r="G114" s="112">
        <f t="shared" si="9"/>
        <v>219.71000000000004</v>
      </c>
      <c r="H114" s="99">
        <f>G114+'9'!H114</f>
        <v>2193.71</v>
      </c>
      <c r="I114" s="165"/>
      <c r="J114" s="328">
        <f>H114/DAY(B2)</f>
        <v>219.37100000000001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'9'!F115</f>
        <v>1911</v>
      </c>
      <c r="F115" s="237">
        <v>2039.6</v>
      </c>
      <c r="G115" s="112">
        <f t="shared" si="9"/>
        <v>128.59999999999991</v>
      </c>
      <c r="H115" s="99">
        <f>G115+'9'!H115</f>
        <v>1528.6</v>
      </c>
      <c r="I115" s="165"/>
      <c r="J115" s="328">
        <f>H115/DAY(B2)</f>
        <v>152.85999999999999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'9'!F116</f>
        <v>38082</v>
      </c>
      <c r="F116" s="237">
        <v>38462.1</v>
      </c>
      <c r="G116" s="112">
        <f t="shared" si="9"/>
        <v>380.09999999999854</v>
      </c>
      <c r="H116" s="99">
        <f>G116+'9'!H116</f>
        <v>3796.0999999999985</v>
      </c>
      <c r="I116" s="165"/>
      <c r="J116" s="328">
        <f>H116/DAY(B2)</f>
        <v>379.60999999999984</v>
      </c>
      <c r="Q116" s="886" t="s">
        <v>311</v>
      </c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'9'!F117</f>
        <v>20615</v>
      </c>
      <c r="F117" s="237">
        <v>20806.5</v>
      </c>
      <c r="G117" s="112">
        <f t="shared" si="9"/>
        <v>191.5</v>
      </c>
      <c r="H117" s="99">
        <f>G117+'9'!H117</f>
        <v>1870.5</v>
      </c>
      <c r="I117" s="165"/>
      <c r="J117" s="328">
        <f>H117/DAY(B2)</f>
        <v>187.05</v>
      </c>
      <c r="Q117" s="886" t="s">
        <v>312</v>
      </c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'9'!F118</f>
        <v>13990</v>
      </c>
      <c r="F118" s="237">
        <v>14563.2</v>
      </c>
      <c r="G118" s="112">
        <f t="shared" si="9"/>
        <v>573.20000000000073</v>
      </c>
      <c r="H118" s="99">
        <f>G118+'9'!H118</f>
        <v>5500.2000000000007</v>
      </c>
      <c r="I118" s="165"/>
      <c r="J118" s="328">
        <f>H118/DAY(B2)</f>
        <v>550.0200000000001</v>
      </c>
      <c r="Q118" s="886" t="s">
        <v>311</v>
      </c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'9'!F119</f>
        <v>9664</v>
      </c>
      <c r="F119" s="237">
        <v>10072.5</v>
      </c>
      <c r="G119" s="112">
        <f t="shared" si="9"/>
        <v>408.5</v>
      </c>
      <c r="H119" s="99">
        <f>G119+'9'!H119</f>
        <v>4169.5</v>
      </c>
      <c r="I119" s="165"/>
      <c r="J119" s="328">
        <f>H119/DAY(B2)</f>
        <v>416.95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'9'!F120</f>
        <v>10888</v>
      </c>
      <c r="F120" s="237">
        <v>11304.3</v>
      </c>
      <c r="G120" s="112">
        <f t="shared" si="9"/>
        <v>416.29999999999927</v>
      </c>
      <c r="H120" s="99">
        <f>G120+'9'!H120</f>
        <v>4169.2999999999993</v>
      </c>
      <c r="I120" s="165"/>
      <c r="J120" s="328">
        <f>H120/DAY(B2)</f>
        <v>416.92999999999995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'9'!F121</f>
        <v>15756</v>
      </c>
      <c r="F121" s="237">
        <v>16176.2</v>
      </c>
      <c r="G121" s="112">
        <f t="shared" si="9"/>
        <v>420.20000000000073</v>
      </c>
      <c r="H121" s="99">
        <f>G121+'9'!H121</f>
        <v>4449.2000000000007</v>
      </c>
      <c r="I121" s="165"/>
      <c r="J121" s="328">
        <f>H121/DAY(B2)</f>
        <v>444.92000000000007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'9'!F122</f>
        <v>5370</v>
      </c>
      <c r="F122" s="237">
        <v>5575.9</v>
      </c>
      <c r="G122" s="112">
        <f t="shared" si="9"/>
        <v>205.89999999999964</v>
      </c>
      <c r="H122" s="99">
        <f>G122+'9'!H122</f>
        <v>2011.8999999999996</v>
      </c>
      <c r="I122" s="165"/>
      <c r="J122" s="328">
        <f>H122/DAY(B2)</f>
        <v>201.18999999999997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'9'!F123</f>
        <v>3857</v>
      </c>
      <c r="F123" s="237">
        <v>4179.6000000000004</v>
      </c>
      <c r="G123" s="112">
        <f t="shared" si="9"/>
        <v>322.60000000000036</v>
      </c>
      <c r="H123" s="99">
        <f>G123+'9'!H123</f>
        <v>3212.6000000000004</v>
      </c>
      <c r="I123" s="165"/>
      <c r="J123" s="328">
        <f>H123/DAY(B2)</f>
        <v>321.26000000000005</v>
      </c>
    </row>
    <row r="124" spans="1:18" ht="29.25" customHeight="1">
      <c r="A124" s="890"/>
      <c r="B124" s="891"/>
      <c r="C124" s="892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3560.9899999999989</v>
      </c>
      <c r="H125" s="156"/>
      <c r="I125" s="327">
        <f>G125-(G39+G53)</f>
        <v>661.79999999999654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'9'!F128</f>
        <v>85007</v>
      </c>
      <c r="F128" s="155">
        <v>85434.1</v>
      </c>
      <c r="G128" s="112">
        <f t="shared" ref="G128:G134" si="10">F128-E128</f>
        <v>427.10000000000582</v>
      </c>
      <c r="H128" s="99">
        <f>G128+'9'!H128</f>
        <v>4019.1000000000058</v>
      </c>
      <c r="I128" s="165"/>
      <c r="J128" s="328">
        <f>H128/DAY(B2)</f>
        <v>401.91000000000059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53628</v>
      </c>
      <c r="F129" s="155">
        <v>53945.5</v>
      </c>
      <c r="G129" s="112">
        <f t="shared" si="10"/>
        <v>317.5</v>
      </c>
      <c r="H129" s="99">
        <f>G129+'9'!H129</f>
        <v>2873.5</v>
      </c>
      <c r="I129" s="165"/>
      <c r="J129" s="328">
        <f>H129/DAY(B2)</f>
        <v>287.35000000000002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'9'!F130</f>
        <v>103157</v>
      </c>
      <c r="F130" s="157">
        <v>103803</v>
      </c>
      <c r="G130" s="112">
        <f t="shared" si="10"/>
        <v>646</v>
      </c>
      <c r="H130" s="99">
        <f>G130+'9'!H130</f>
        <v>7157</v>
      </c>
      <c r="I130" s="165"/>
      <c r="J130" s="328">
        <f>H130/DAY(B2)</f>
        <v>715.7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'9'!F131</f>
        <v>32095</v>
      </c>
      <c r="F131" s="155">
        <v>32254.65</v>
      </c>
      <c r="G131" s="112">
        <f t="shared" si="10"/>
        <v>159.65000000000146</v>
      </c>
      <c r="H131" s="99">
        <f>G131+'9'!H131</f>
        <v>1819.6500000000015</v>
      </c>
      <c r="I131" s="165"/>
      <c r="J131" s="328">
        <f>H131/DAY(B2)</f>
        <v>181.96500000000015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'9'!F132</f>
        <v>93549</v>
      </c>
      <c r="F132" s="155">
        <v>94059.53</v>
      </c>
      <c r="G132" s="112">
        <f t="shared" si="10"/>
        <v>510.52999999999884</v>
      </c>
      <c r="H132" s="99">
        <f>G132+'9'!H132</f>
        <v>5122.5299999999988</v>
      </c>
      <c r="I132" s="165"/>
      <c r="J132" s="328">
        <f>H132/DAY(B2)</f>
        <v>512.25299999999993</v>
      </c>
    </row>
    <row r="133" spans="1:15" ht="25.5">
      <c r="A133" s="886" t="s">
        <v>323</v>
      </c>
      <c r="B133" s="887"/>
      <c r="C133" s="888"/>
      <c r="D133" s="151" t="s">
        <v>183</v>
      </c>
      <c r="E133" s="95">
        <f>'9'!F133</f>
        <v>181075</v>
      </c>
      <c r="F133" s="155">
        <v>182096.75</v>
      </c>
      <c r="G133" s="112">
        <f t="shared" si="10"/>
        <v>1021.75</v>
      </c>
      <c r="H133" s="99">
        <f>G133+'9'!H133</f>
        <v>9650.75</v>
      </c>
      <c r="I133" s="165"/>
      <c r="J133" s="328">
        <f>H133/DAY(B2)</f>
        <v>965.07500000000005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'9'!F134</f>
        <v>30261</v>
      </c>
      <c r="F134" s="157">
        <v>30500.7</v>
      </c>
      <c r="G134" s="112">
        <f t="shared" si="10"/>
        <v>239.70000000000073</v>
      </c>
      <c r="H134" s="99">
        <f>G134+'9'!H134</f>
        <v>2407.7000000000007</v>
      </c>
      <c r="I134" s="165"/>
      <c r="J134" s="328">
        <f>H134/DAY(B2)</f>
        <v>240.77000000000007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3322.2300000000068</v>
      </c>
      <c r="H135" s="99">
        <f>G135+'9'!H135</f>
        <v>33050.23000000001</v>
      </c>
      <c r="I135" s="327">
        <f>G135-(G35+G49)</f>
        <v>-900.9700000000048</v>
      </c>
      <c r="J135" s="328">
        <f>H135/DAY(B2)</f>
        <v>3305.023000000001</v>
      </c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'9'!F138</f>
        <v>880086</v>
      </c>
      <c r="F138" s="147">
        <v>880248</v>
      </c>
      <c r="G138" s="112">
        <f t="shared" ref="G138:G152" si="11">F138-E138</f>
        <v>162</v>
      </c>
      <c r="H138" s="99">
        <f>G138+'9'!H138</f>
        <v>1464</v>
      </c>
      <c r="I138" s="118"/>
      <c r="J138" s="328">
        <f>H138/DAY(B2)</f>
        <v>146.4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'9'!F139</f>
        <v>896246</v>
      </c>
      <c r="F139" s="148">
        <v>896403</v>
      </c>
      <c r="G139" s="112">
        <f t="shared" si="11"/>
        <v>157</v>
      </c>
      <c r="H139" s="99">
        <f>G139+'9'!H139</f>
        <v>1537</v>
      </c>
      <c r="I139" s="118"/>
      <c r="J139" s="328">
        <f>H139/DAY(B2)</f>
        <v>153.69999999999999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'9'!F140</f>
        <v>259</v>
      </c>
      <c r="F140" s="149">
        <v>259</v>
      </c>
      <c r="G140" s="112">
        <f t="shared" si="11"/>
        <v>0</v>
      </c>
      <c r="H140" s="99">
        <f>G140+'9'!H140</f>
        <v>124</v>
      </c>
      <c r="I140" s="118"/>
      <c r="J140" s="328">
        <f>H140/DAY(B2)</f>
        <v>12.4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'9'!F141</f>
        <v>73624</v>
      </c>
      <c r="F141" s="149">
        <v>73823.27</v>
      </c>
      <c r="G141" s="112">
        <f t="shared" si="11"/>
        <v>199.27000000000407</v>
      </c>
      <c r="H141" s="99">
        <f>G141+'9'!H141</f>
        <v>2049.2700000000041</v>
      </c>
      <c r="I141" s="118"/>
      <c r="J141" s="328">
        <f>H141/DAY(B2)</f>
        <v>204.92700000000042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'9'!F142</f>
        <v>28083</v>
      </c>
      <c r="F142" s="148">
        <f>28083+67</f>
        <v>28150</v>
      </c>
      <c r="G142" s="112">
        <f t="shared" si="11"/>
        <v>67</v>
      </c>
      <c r="H142" s="99">
        <f>G142+'9'!H142</f>
        <v>684</v>
      </c>
      <c r="I142" s="140"/>
      <c r="J142" s="328">
        <f>H142/DAY(B2)</f>
        <v>68.400000000000006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'9'!F143</f>
        <v>6662</v>
      </c>
      <c r="F143" s="149">
        <v>6697.09</v>
      </c>
      <c r="G143" s="112">
        <f t="shared" si="11"/>
        <v>35.090000000000146</v>
      </c>
      <c r="H143" s="99">
        <f>G143+'9'!H143</f>
        <v>280.09000000000015</v>
      </c>
      <c r="I143" s="140"/>
      <c r="J143" s="328">
        <f>H143/DAY(B2)</f>
        <v>28.009000000000015</v>
      </c>
      <c r="O143" s="148">
        <v>582206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'9'!F144</f>
        <v>899528</v>
      </c>
      <c r="F144" s="149">
        <v>899795</v>
      </c>
      <c r="G144" s="112">
        <f t="shared" si="11"/>
        <v>267</v>
      </c>
      <c r="H144" s="99">
        <f>G144+'9'!H144</f>
        <v>2562</v>
      </c>
      <c r="I144" s="140"/>
      <c r="J144" s="328">
        <f>H144/DAY(B2)</f>
        <v>256.2</v>
      </c>
    </row>
    <row r="145" spans="1:15" ht="25.5">
      <c r="A145" s="885" t="s">
        <v>190</v>
      </c>
      <c r="B145" s="885"/>
      <c r="C145" s="885"/>
      <c r="D145" s="152" t="s">
        <v>183</v>
      </c>
      <c r="E145" s="95">
        <f>'9'!F145</f>
        <v>5650</v>
      </c>
      <c r="F145" s="149">
        <v>5652.76</v>
      </c>
      <c r="G145" s="112">
        <f t="shared" si="11"/>
        <v>2.7600000000002183</v>
      </c>
      <c r="H145" s="99">
        <f>G145+'9'!H145</f>
        <v>24.760000000000218</v>
      </c>
      <c r="I145" s="140"/>
      <c r="J145" s="328">
        <f>H145/DAY(B2)</f>
        <v>2.4760000000000217</v>
      </c>
    </row>
    <row r="146" spans="1:15" ht="25.5">
      <c r="A146" s="920" t="s">
        <v>191</v>
      </c>
      <c r="B146" s="905"/>
      <c r="C146" s="906"/>
      <c r="D146" s="152" t="s">
        <v>183</v>
      </c>
      <c r="E146" s="95">
        <f>'9'!F146</f>
        <v>776741</v>
      </c>
      <c r="F146" s="148">
        <v>776767</v>
      </c>
      <c r="G146" s="112">
        <f t="shared" si="11"/>
        <v>26</v>
      </c>
      <c r="H146" s="99">
        <f>G146+'9'!H146</f>
        <v>313</v>
      </c>
      <c r="I146" s="140"/>
      <c r="J146" s="328">
        <f>H146/DAY(B2)</f>
        <v>31.3</v>
      </c>
    </row>
    <row r="147" spans="1:15" ht="25.5">
      <c r="A147" s="864" t="s">
        <v>192</v>
      </c>
      <c r="B147" s="864"/>
      <c r="C147" s="864"/>
      <c r="D147" s="152" t="s">
        <v>183</v>
      </c>
      <c r="E147" s="95">
        <f>'9'!F147</f>
        <v>666841</v>
      </c>
      <c r="F147" s="148">
        <v>667256.80000000005</v>
      </c>
      <c r="G147" s="112">
        <f t="shared" si="11"/>
        <v>415.80000000004657</v>
      </c>
      <c r="H147" s="99">
        <f>G147+'9'!H147</f>
        <v>4028.8000000000466</v>
      </c>
      <c r="I147" s="140"/>
      <c r="J147" s="328">
        <f>H147/DAY(B2)</f>
        <v>402.88000000000466</v>
      </c>
    </row>
    <row r="148" spans="1:15" ht="25.5">
      <c r="A148" s="865" t="s">
        <v>193</v>
      </c>
      <c r="B148" s="866"/>
      <c r="C148" s="867"/>
      <c r="D148" s="123" t="s">
        <v>130</v>
      </c>
      <c r="E148" s="95">
        <f>'9'!F148</f>
        <v>723037</v>
      </c>
      <c r="F148" s="150">
        <v>723443.28</v>
      </c>
      <c r="G148" s="112">
        <f t="shared" si="11"/>
        <v>406.28000000002794</v>
      </c>
      <c r="H148" s="99">
        <f>G148+'9'!H148</f>
        <v>3527.2800000000279</v>
      </c>
      <c r="I148" s="124"/>
      <c r="J148" s="328">
        <f>H148/DAY(B2)</f>
        <v>352.72800000000279</v>
      </c>
    </row>
    <row r="149" spans="1:15" ht="25.5">
      <c r="A149" s="865" t="s">
        <v>336</v>
      </c>
      <c r="B149" s="866"/>
      <c r="C149" s="867"/>
      <c r="D149" s="227" t="s">
        <v>130</v>
      </c>
      <c r="E149" s="95">
        <f>'9'!F149</f>
        <v>88661</v>
      </c>
      <c r="F149" s="146">
        <v>89046.7</v>
      </c>
      <c r="G149" s="112">
        <f t="shared" si="11"/>
        <v>385.69999999999709</v>
      </c>
      <c r="H149" s="99">
        <f>G149+'9'!H149</f>
        <v>5658.6999999999971</v>
      </c>
      <c r="I149" s="119"/>
      <c r="J149" s="328">
        <f>H149/DAY(B2)</f>
        <v>565.86999999999966</v>
      </c>
    </row>
    <row r="150" spans="1:15" ht="25.5">
      <c r="A150" s="865" t="s">
        <v>337</v>
      </c>
      <c r="B150" s="866"/>
      <c r="C150" s="867"/>
      <c r="D150" s="117" t="s">
        <v>130</v>
      </c>
      <c r="E150" s="95">
        <f>'9'!F150</f>
        <v>32556</v>
      </c>
      <c r="F150" s="233">
        <v>32771.550000000003</v>
      </c>
      <c r="G150" s="112">
        <f t="shared" si="11"/>
        <v>215.55000000000291</v>
      </c>
      <c r="H150" s="99">
        <f>G150+'9'!H150</f>
        <v>2184.5500000000029</v>
      </c>
      <c r="I150" s="119"/>
      <c r="J150" s="328">
        <f>H150/DAY(B2)</f>
        <v>218.4550000000003</v>
      </c>
    </row>
    <row r="151" spans="1:15" ht="25.5">
      <c r="A151" s="865" t="s">
        <v>338</v>
      </c>
      <c r="B151" s="866"/>
      <c r="C151" s="867"/>
      <c r="D151" s="117" t="s">
        <v>130</v>
      </c>
      <c r="E151" s="95">
        <f>'9'!F151</f>
        <v>111992</v>
      </c>
      <c r="F151" s="233">
        <v>112285</v>
      </c>
      <c r="G151" s="112">
        <f t="shared" si="11"/>
        <v>293</v>
      </c>
      <c r="H151" s="99">
        <f>G151+'9'!H151</f>
        <v>3057</v>
      </c>
      <c r="I151" s="119"/>
      <c r="J151" s="328">
        <f>H151/DAY(B2)</f>
        <v>305.7</v>
      </c>
    </row>
    <row r="152" spans="1:15" ht="25.5">
      <c r="A152" s="865" t="s">
        <v>339</v>
      </c>
      <c r="B152" s="866"/>
      <c r="C152" s="867"/>
      <c r="D152" s="117" t="s">
        <v>130</v>
      </c>
      <c r="E152" s="95">
        <f>'9'!F152</f>
        <v>12440</v>
      </c>
      <c r="F152" s="233">
        <v>12599.7</v>
      </c>
      <c r="G152" s="112">
        <f t="shared" si="11"/>
        <v>159.70000000000073</v>
      </c>
      <c r="H152" s="99">
        <f>G152+'9'!H152</f>
        <v>1443.7000000000007</v>
      </c>
      <c r="I152" s="119"/>
      <c r="J152" s="328">
        <f>H152/DAY(B2)</f>
        <v>144.37000000000006</v>
      </c>
    </row>
    <row r="153" spans="1:15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2792.1500000000797</v>
      </c>
      <c r="H153" s="363"/>
      <c r="I153" s="119">
        <f>G153-(G38+G52)</f>
        <v>577.20000000006803</v>
      </c>
      <c r="J153" s="366"/>
    </row>
    <row r="154" spans="1:15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5" ht="27.75">
      <c r="A155" s="864" t="s">
        <v>345</v>
      </c>
      <c r="B155" s="864"/>
      <c r="C155" s="864"/>
      <c r="D155" s="117" t="s">
        <v>130</v>
      </c>
      <c r="E155" s="95">
        <f>'9'!F155</f>
        <v>98361</v>
      </c>
      <c r="F155" s="374">
        <f>98361+670</f>
        <v>99031</v>
      </c>
      <c r="G155" s="112">
        <f t="shared" ref="G155:G158" si="12">F155-E155</f>
        <v>670</v>
      </c>
      <c r="H155" s="99">
        <f>G155+'9'!H155</f>
        <v>6299</v>
      </c>
      <c r="I155" s="364"/>
      <c r="J155" s="328">
        <f>H155/DAY(B2)</f>
        <v>629.9</v>
      </c>
      <c r="O155" s="65">
        <v>678.99000000000524</v>
      </c>
    </row>
    <row r="156" spans="1:15" ht="25.5">
      <c r="A156" s="864" t="s">
        <v>346</v>
      </c>
      <c r="B156" s="864"/>
      <c r="C156" s="864"/>
      <c r="D156" s="117" t="s">
        <v>130</v>
      </c>
      <c r="E156" s="95">
        <f>'9'!F156</f>
        <v>8260</v>
      </c>
      <c r="F156" s="155">
        <f>8260+59</f>
        <v>8319</v>
      </c>
      <c r="G156" s="112">
        <f t="shared" si="12"/>
        <v>59</v>
      </c>
      <c r="H156" s="99">
        <f>G156+'9'!H156</f>
        <v>628</v>
      </c>
      <c r="I156" s="165"/>
      <c r="J156" s="328">
        <f>H156/DAY(B2)</f>
        <v>62.8</v>
      </c>
      <c r="O156" s="65">
        <v>50.350000000000364</v>
      </c>
    </row>
    <row r="157" spans="1:15" ht="25.5">
      <c r="A157" s="865" t="s">
        <v>361</v>
      </c>
      <c r="B157" s="866"/>
      <c r="C157" s="867"/>
      <c r="D157" s="117" t="s">
        <v>130</v>
      </c>
      <c r="E157" s="95">
        <f>'9'!F157</f>
        <v>14548</v>
      </c>
      <c r="F157" s="155">
        <v>14668.6</v>
      </c>
      <c r="G157" s="112">
        <f t="shared" si="12"/>
        <v>120.60000000000036</v>
      </c>
      <c r="H157" s="99">
        <f>G157+'9'!H157</f>
        <v>1172.6000000000004</v>
      </c>
      <c r="I157" s="165"/>
      <c r="J157" s="328">
        <f>H157/DAY(B2)</f>
        <v>117.26000000000003</v>
      </c>
      <c r="O157" s="65">
        <v>101.82999999999993</v>
      </c>
    </row>
    <row r="158" spans="1:15" ht="25.5">
      <c r="A158" s="865" t="s">
        <v>362</v>
      </c>
      <c r="B158" s="866"/>
      <c r="C158" s="867"/>
      <c r="D158" s="117" t="s">
        <v>130</v>
      </c>
      <c r="E158" s="95">
        <f>'9'!F158</f>
        <v>126</v>
      </c>
      <c r="F158" s="155">
        <v>126.3</v>
      </c>
      <c r="G158" s="112">
        <f t="shared" si="12"/>
        <v>0.29999999999999716</v>
      </c>
      <c r="H158" s="99">
        <f>G158+'9'!H158</f>
        <v>46.759999999999991</v>
      </c>
      <c r="I158" s="165"/>
      <c r="J158" s="328">
        <f>H158/DAY(B2)</f>
        <v>4.6759999999999993</v>
      </c>
    </row>
    <row r="159" spans="1:15" ht="25.5">
      <c r="A159" s="950"/>
      <c r="B159" s="951"/>
      <c r="C159" s="952"/>
      <c r="D159" s="117"/>
      <c r="E159" s="95"/>
      <c r="F159" s="155"/>
      <c r="G159" s="112"/>
      <c r="H159" s="99"/>
      <c r="I159" s="165"/>
      <c r="J159" s="328"/>
    </row>
    <row r="160" spans="1:15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474992</v>
      </c>
      <c r="F161" s="235">
        <v>475016.64</v>
      </c>
      <c r="G161" s="238">
        <f t="shared" ref="G161:G165" si="13">F161-E161</f>
        <v>24.64000000001397</v>
      </c>
      <c r="H161" s="99">
        <f>G161+'9'!H161</f>
        <v>233.64000000001397</v>
      </c>
      <c r="I161" s="236"/>
      <c r="J161" s="239">
        <f>H161/DAY(B2)</f>
        <v>23.364000000001397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91869</v>
      </c>
      <c r="F162" s="235">
        <v>91911.2</v>
      </c>
      <c r="G162" s="238">
        <f t="shared" si="13"/>
        <v>42.19999999999709</v>
      </c>
      <c r="H162" s="99">
        <f>G162+'9'!H162</f>
        <v>364.19999999999709</v>
      </c>
      <c r="I162" s="236"/>
      <c r="J162" s="239">
        <f>H162/DAY(B2)</f>
        <v>36.41999999999971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93505</v>
      </c>
      <c r="F163" s="235">
        <v>93691.6</v>
      </c>
      <c r="G163" s="238">
        <f t="shared" si="13"/>
        <v>186.60000000000582</v>
      </c>
      <c r="H163" s="99">
        <f>G163+'9'!H163</f>
        <v>1655.6000000000058</v>
      </c>
      <c r="I163" s="236"/>
      <c r="J163" s="239">
        <f>H163/DAY(B2)</f>
        <v>165.56000000000057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5282</v>
      </c>
      <c r="F164" s="235">
        <v>5297.5</v>
      </c>
      <c r="G164" s="238">
        <f t="shared" si="13"/>
        <v>15.5</v>
      </c>
      <c r="H164" s="99">
        <f>G164+'9'!H164</f>
        <v>115.5</v>
      </c>
      <c r="I164" s="236"/>
      <c r="J164" s="239">
        <f>H164/DAY(B2)</f>
        <v>11.55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30741</v>
      </c>
      <c r="F165" s="235">
        <v>30759.9</v>
      </c>
      <c r="G165" s="238">
        <f t="shared" si="13"/>
        <v>18.900000000001455</v>
      </c>
      <c r="H165" s="99">
        <f>G165+'9'!H165</f>
        <v>125.90000000000146</v>
      </c>
      <c r="I165" s="236"/>
      <c r="J165" s="239">
        <f>H165/DAY(B2)</f>
        <v>12.590000000000146</v>
      </c>
    </row>
    <row r="166" spans="1:10" ht="26.25">
      <c r="A166" s="873"/>
      <c r="B166" s="873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'9'!F173</f>
        <v>8265</v>
      </c>
      <c r="F173" s="155">
        <v>8265</v>
      </c>
      <c r="G173" s="155">
        <f>F173-E173</f>
        <v>0</v>
      </c>
      <c r="H173" s="99">
        <f>G173+'9'!H173</f>
        <v>4</v>
      </c>
      <c r="I173" s="155"/>
      <c r="J173" s="178">
        <f>H173/DAY(B2)</f>
        <v>0.4</v>
      </c>
    </row>
    <row r="174" spans="1:10" ht="34.5" customHeight="1">
      <c r="A174" s="879" t="s">
        <v>75</v>
      </c>
      <c r="B174" s="880"/>
      <c r="C174" s="333"/>
      <c r="D174" s="228" t="s">
        <v>142</v>
      </c>
      <c r="E174" s="95">
        <f>'9'!F174</f>
        <v>40062</v>
      </c>
      <c r="F174" s="157">
        <v>40072</v>
      </c>
      <c r="G174" s="155">
        <f t="shared" ref="G174:G175" si="14">F174-E174</f>
        <v>10</v>
      </c>
      <c r="H174" s="99">
        <f>G174+'9'!H174</f>
        <v>144</v>
      </c>
      <c r="I174" s="155"/>
      <c r="J174" s="178">
        <f>H174/DAY(B2)</f>
        <v>14.4</v>
      </c>
    </row>
    <row r="175" spans="1:10" ht="31.5" customHeight="1">
      <c r="A175" s="879" t="s">
        <v>76</v>
      </c>
      <c r="B175" s="919"/>
      <c r="C175" s="880"/>
      <c r="D175" s="228" t="s">
        <v>142</v>
      </c>
      <c r="E175" s="95">
        <f>'9'!F175</f>
        <v>23006</v>
      </c>
      <c r="F175" s="155">
        <v>23017</v>
      </c>
      <c r="G175" s="155">
        <f t="shared" si="14"/>
        <v>11</v>
      </c>
      <c r="H175" s="99">
        <f>G175+'9'!H175</f>
        <v>128</v>
      </c>
      <c r="I175" s="155"/>
      <c r="J175" s="178">
        <f>H175/DAY(B2)</f>
        <v>12.8</v>
      </c>
    </row>
    <row r="176" spans="1:10" ht="21.75" customHeight="1">
      <c r="A176" s="868" t="s">
        <v>196</v>
      </c>
      <c r="B176" s="869"/>
      <c r="C176" s="333"/>
      <c r="D176" s="228"/>
      <c r="E176" s="95"/>
      <c r="F176" s="155"/>
      <c r="G176" s="155">
        <f>SUM(G173:G175)</f>
        <v>21</v>
      </c>
      <c r="H176" s="99">
        <f>G176+'9'!H176</f>
        <v>276</v>
      </c>
      <c r="I176" s="155"/>
      <c r="J176" s="178">
        <f>H176/DAY(B2)</f>
        <v>27.6</v>
      </c>
    </row>
    <row r="177" spans="1:10" ht="27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79" t="s">
        <v>210</v>
      </c>
      <c r="B178" s="880"/>
      <c r="C178" s="333"/>
      <c r="D178" s="228" t="s">
        <v>142</v>
      </c>
      <c r="E178" s="95">
        <f>'9'!F178</f>
        <v>89599</v>
      </c>
      <c r="F178" s="155">
        <v>89679</v>
      </c>
      <c r="G178" s="155">
        <f>F178-E178</f>
        <v>80</v>
      </c>
      <c r="H178" s="99">
        <f>G178+'9'!H178</f>
        <v>1076</v>
      </c>
      <c r="I178" s="155"/>
      <c r="J178" s="178">
        <f>H178/DAY(B2)</f>
        <v>107.6</v>
      </c>
    </row>
    <row r="179" spans="1:10" ht="27.75" customHeight="1">
      <c r="A179" s="879" t="s">
        <v>211</v>
      </c>
      <c r="B179" s="880"/>
      <c r="C179" s="333"/>
      <c r="D179" s="228" t="s">
        <v>142</v>
      </c>
      <c r="E179" s="95">
        <f>'9'!F179</f>
        <v>35773</v>
      </c>
      <c r="F179" s="155">
        <v>35773</v>
      </c>
      <c r="G179" s="155">
        <f t="shared" ref="G179:G180" si="15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'9'!F180</f>
        <v>6453</v>
      </c>
      <c r="F180" s="155">
        <v>6470</v>
      </c>
      <c r="G180" s="155">
        <f t="shared" si="15"/>
        <v>17</v>
      </c>
      <c r="H180" s="99">
        <f>G180+'9'!H180</f>
        <v>81</v>
      </c>
      <c r="I180" s="155"/>
      <c r="J180" s="178">
        <f>H180/DAY(B2)</f>
        <v>8.1</v>
      </c>
    </row>
    <row r="181" spans="1:10" ht="25.5">
      <c r="A181" s="881" t="s">
        <v>108</v>
      </c>
      <c r="B181" s="882"/>
      <c r="C181" s="333"/>
      <c r="D181" s="228"/>
      <c r="E181" s="95"/>
      <c r="F181" s="155"/>
      <c r="G181" s="155">
        <f>SUM(G178:G180)</f>
        <v>97</v>
      </c>
      <c r="H181" s="99">
        <f>G181+'9'!H181</f>
        <v>1157</v>
      </c>
      <c r="I181" s="155"/>
      <c r="J181" s="178">
        <f>H181/DAY(B2)</f>
        <v>115.7</v>
      </c>
    </row>
    <row r="182" spans="1:10" ht="25.5">
      <c r="A182" s="879" t="s">
        <v>213</v>
      </c>
      <c r="B182" s="880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'9'!F183</f>
        <v>16715</v>
      </c>
      <c r="F183" s="157">
        <v>16722</v>
      </c>
      <c r="G183" s="157">
        <f>F183-E183</f>
        <v>7</v>
      </c>
      <c r="H183" s="99">
        <f>G183+'9'!H183</f>
        <v>100</v>
      </c>
      <c r="I183" s="155"/>
      <c r="J183" s="178">
        <f>H183/DAY(B2)</f>
        <v>10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'9'!F184</f>
        <v>11338</v>
      </c>
      <c r="F184" s="157">
        <v>11344</v>
      </c>
      <c r="G184" s="157">
        <f t="shared" ref="G184:G185" si="16">F184-E184</f>
        <v>6</v>
      </c>
      <c r="H184" s="99">
        <f>G184+'9'!H184</f>
        <v>70</v>
      </c>
      <c r="I184" s="155"/>
      <c r="J184" s="178">
        <f>H184/DAY(B2)</f>
        <v>7</v>
      </c>
    </row>
    <row r="185" spans="1:10" ht="37.5" customHeight="1">
      <c r="A185" s="879" t="s">
        <v>216</v>
      </c>
      <c r="B185" s="880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868" t="s">
        <v>196</v>
      </c>
      <c r="B186" s="869"/>
      <c r="C186" s="334"/>
      <c r="D186" s="229"/>
      <c r="E186" s="95"/>
      <c r="F186" s="157"/>
      <c r="G186" s="157">
        <f>SUM(G183:G185)</f>
        <v>13</v>
      </c>
      <c r="H186" s="99">
        <f>G186+'9'!H186</f>
        <v>170</v>
      </c>
      <c r="I186" s="157"/>
      <c r="J186" s="178">
        <f>H186/DAY(B2)</f>
        <v>17</v>
      </c>
    </row>
    <row r="187" spans="1:10" ht="21.75" customHeight="1">
      <c r="A187" s="870" t="s">
        <v>217</v>
      </c>
      <c r="B187" s="871"/>
      <c r="C187" s="333"/>
      <c r="D187" s="230" t="s">
        <v>142</v>
      </c>
      <c r="E187" s="95"/>
      <c r="F187" s="159"/>
      <c r="G187" s="425">
        <f>G62+G19</f>
        <v>103</v>
      </c>
      <c r="H187" s="99">
        <f>G187+'9'!H187</f>
        <v>2079</v>
      </c>
      <c r="I187" s="158"/>
      <c r="J187" s="179">
        <f>H187/DAY(B2)</f>
        <v>207.9</v>
      </c>
    </row>
    <row r="188" spans="1:10" ht="21.75" customHeight="1">
      <c r="A188" s="870" t="s">
        <v>218</v>
      </c>
      <c r="B188" s="871"/>
      <c r="C188" s="333"/>
      <c r="D188" s="230" t="s">
        <v>142</v>
      </c>
      <c r="E188" s="95"/>
      <c r="F188" s="159"/>
      <c r="G188" s="425">
        <f>G65+G66+G67+G69+G70</f>
        <v>243</v>
      </c>
      <c r="H188" s="99">
        <f>G188+'9'!H188</f>
        <v>2241</v>
      </c>
      <c r="I188" s="158"/>
      <c r="J188" s="179">
        <f>H188/DAY(B2)</f>
        <v>224.1</v>
      </c>
    </row>
    <row r="189" spans="1:10" ht="21.75" customHeight="1">
      <c r="A189" s="870" t="s">
        <v>219</v>
      </c>
      <c r="B189" s="871"/>
      <c r="C189" s="333"/>
      <c r="D189" s="230" t="s">
        <v>142</v>
      </c>
      <c r="E189" s="95"/>
      <c r="F189" s="157"/>
      <c r="G189" s="422">
        <f>G181</f>
        <v>97</v>
      </c>
      <c r="H189" s="99">
        <f>G189+'9'!H189</f>
        <v>1157</v>
      </c>
      <c r="I189" s="158"/>
      <c r="J189" s="179">
        <f>H189/DAY(B2)</f>
        <v>115.7</v>
      </c>
    </row>
    <row r="190" spans="1:10" ht="27" customHeight="1">
      <c r="A190" s="877"/>
      <c r="B190" s="878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166" zoomScale="55" zoomScaleNormal="55" workbookViewId="0">
      <selection activeCell="F174" sqref="F174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6" s="57" customFormat="1" ht="30.75" customHeight="1">
      <c r="A2" s="191" t="s">
        <v>349</v>
      </c>
      <c r="B2" s="262">
        <v>44662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103949.62</v>
      </c>
      <c r="F7" s="95">
        <v>130272</v>
      </c>
      <c r="G7" s="112">
        <f>F7-E7</f>
        <v>26322.380000000005</v>
      </c>
      <c r="H7" s="99">
        <f>G7+'10'!H7</f>
        <v>299234</v>
      </c>
      <c r="I7" s="113">
        <f>'1'!I7</f>
        <v>12000</v>
      </c>
      <c r="J7" s="175">
        <f>H7/DAY(B2)</f>
        <v>27203.090909090908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197278.9</v>
      </c>
      <c r="F8" s="114">
        <v>224389</v>
      </c>
      <c r="G8" s="115">
        <f>F8-E8</f>
        <v>27110.100000000006</v>
      </c>
      <c r="H8" s="99">
        <f>G8+'10'!H8</f>
        <v>305266.27999999991</v>
      </c>
      <c r="I8" s="116"/>
      <c r="J8" s="175">
        <f>H8/DAY(B2)</f>
        <v>27751.479999999992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2102432.1</v>
      </c>
      <c r="F9" s="470">
        <v>2119304.2999999998</v>
      </c>
      <c r="G9" s="112">
        <f>F9-E9</f>
        <v>16872.199999999721</v>
      </c>
      <c r="H9" s="99">
        <f>G9+'10'!H9</f>
        <v>228269.29999999981</v>
      </c>
      <c r="I9" s="124">
        <f>I7-J7</f>
        <v>-15203.090909090908</v>
      </c>
      <c r="J9" s="175">
        <f>H9/DAY(B2)</f>
        <v>20751.754545454529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669249</v>
      </c>
      <c r="F10" s="353">
        <v>677990.47</v>
      </c>
      <c r="G10" s="112">
        <f t="shared" ref="G10:G12" si="0">F10-E10</f>
        <v>8741.4699999999721</v>
      </c>
      <c r="H10" s="99">
        <f>G10+'10'!H10</f>
        <v>62454.469999999972</v>
      </c>
      <c r="I10" s="282"/>
      <c r="J10" s="175">
        <f>H10/DAY(B2)</f>
        <v>5677.6790909090887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25613.669999999693</v>
      </c>
      <c r="H13" s="99">
        <f>G13+'10'!H13</f>
        <v>288207.51999999979</v>
      </c>
      <c r="I13" s="120">
        <f>G7-G13</f>
        <v>708.71000000031199</v>
      </c>
      <c r="J13" s="175">
        <f>H13/DAY(B2)</f>
        <v>26200.683636363618</v>
      </c>
      <c r="K13" s="79"/>
      <c r="L13" s="66"/>
      <c r="N13" s="87"/>
      <c r="O13" s="71"/>
    </row>
    <row r="14" spans="1:16" ht="30.75" customHeight="1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2014748</v>
      </c>
      <c r="F15" s="470">
        <v>2015674.1</v>
      </c>
      <c r="G15" s="112">
        <f>(F15-E15)</f>
        <v>926.10000000009313</v>
      </c>
      <c r="H15" s="99">
        <f>G15+'10'!H15</f>
        <v>11947.100000000093</v>
      </c>
      <c r="I15" s="113">
        <f>'1'!I15</f>
        <v>800</v>
      </c>
      <c r="J15" s="175">
        <f>H15/DAY(B2)</f>
        <v>1086.1000000000085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-286.10000000000855</v>
      </c>
      <c r="J16" s="176"/>
      <c r="K16" s="79"/>
      <c r="L16" s="66"/>
      <c r="N16" s="87"/>
      <c r="O16" s="71"/>
    </row>
    <row r="17" spans="1:15" ht="30.75" customHeight="1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07" t="s">
        <v>141</v>
      </c>
      <c r="B18" s="908"/>
      <c r="C18" s="909"/>
      <c r="D18" s="151" t="s">
        <v>142</v>
      </c>
      <c r="E18" s="95">
        <f>'10'!F18</f>
        <v>3</v>
      </c>
      <c r="F18" s="122">
        <v>0</v>
      </c>
      <c r="G18" s="119">
        <f>F18*10</f>
        <v>0</v>
      </c>
      <c r="H18" s="99">
        <f>G18+'10'!H18</f>
        <v>2300</v>
      </c>
      <c r="I18" s="113">
        <f>'1'!I18</f>
        <v>65</v>
      </c>
      <c r="J18" s="175">
        <f>H18/DAY(B2)</f>
        <v>209.09090909090909</v>
      </c>
      <c r="K18" s="79"/>
      <c r="L18" s="66"/>
      <c r="N18" s="87"/>
      <c r="O18" s="71"/>
    </row>
    <row r="19" spans="1:15" ht="30.75" customHeight="1">
      <c r="A19" s="907" t="s">
        <v>69</v>
      </c>
      <c r="B19" s="908"/>
      <c r="C19" s="909"/>
      <c r="D19" s="151" t="s">
        <v>142</v>
      </c>
      <c r="E19" s="95">
        <f>'10'!F19</f>
        <v>159000</v>
      </c>
      <c r="F19" s="122">
        <v>159054</v>
      </c>
      <c r="G19" s="112">
        <f t="shared" ref="G19" si="1">F19-E19</f>
        <v>54</v>
      </c>
      <c r="H19" s="99">
        <f>G19+'10'!H19</f>
        <v>600</v>
      </c>
      <c r="I19" s="335"/>
      <c r="J19" s="175">
        <f>H19/DAY(B2)</f>
        <v>54.545454545454547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54</v>
      </c>
      <c r="H20" s="99">
        <f>G20+'10'!H20</f>
        <v>2900</v>
      </c>
      <c r="I20" s="336">
        <f>I18-J20</f>
        <v>-198.63636363636363</v>
      </c>
      <c r="J20" s="175">
        <f>H20/DAY(B2)</f>
        <v>263.63636363636363</v>
      </c>
      <c r="K20" s="79"/>
      <c r="L20" s="66"/>
      <c r="N20" s="87"/>
      <c r="O20" s="71"/>
    </row>
    <row r="21" spans="1:15" ht="30.75" customHeight="1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27110.100000000006</v>
      </c>
      <c r="F27" s="136">
        <v>9</v>
      </c>
      <c r="G27" s="137">
        <f>E27*F27</f>
        <v>243990.90000000005</v>
      </c>
      <c r="H27" s="99">
        <f>G27+'10'!H27</f>
        <v>2747396.52</v>
      </c>
      <c r="I27" s="138"/>
      <c r="J27" s="175">
        <f>H27/DAY(B2)</f>
        <v>249763.32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926.10000000009313</v>
      </c>
      <c r="F28" s="136">
        <v>52</v>
      </c>
      <c r="G28" s="137">
        <f>E28*F28</f>
        <v>48157.200000004843</v>
      </c>
      <c r="H28" s="99">
        <f>G28+'10'!H28</f>
        <v>780603.20000000484</v>
      </c>
      <c r="I28" s="140"/>
      <c r="J28" s="175">
        <f>H28/DAY(B2)</f>
        <v>70963.927272727713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G30+'10'!H30</f>
        <v>89785</v>
      </c>
      <c r="I30" s="140"/>
      <c r="J30" s="175">
        <f>H30/DAY(B2)</f>
        <v>8162.272727272727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>E31*F31</f>
        <v>0</v>
      </c>
      <c r="H31" s="99">
        <f>G31+'10'!H31</f>
        <v>184000</v>
      </c>
      <c r="I31" s="140"/>
      <c r="J31" s="175">
        <f>H31/DAY(B2)</f>
        <v>16727.272727272728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300032.10000000487</v>
      </c>
      <c r="H32" s="99">
        <f>G32+'10'!H32</f>
        <v>3801784.7200000049</v>
      </c>
      <c r="I32" s="144"/>
      <c r="J32" s="175">
        <f>H32/DAY(B2)</f>
        <v>345616.79272727319</v>
      </c>
      <c r="K32" s="63"/>
      <c r="L32" s="89"/>
      <c r="N32" s="87"/>
      <c r="O32" s="71"/>
    </row>
    <row r="33" spans="1:15" ht="30.7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223844.39</v>
      </c>
      <c r="F35" s="145">
        <v>225879.89</v>
      </c>
      <c r="G35" s="112">
        <f t="shared" ref="G35:G46" si="3">F35-E35</f>
        <v>2035.5</v>
      </c>
      <c r="H35" s="99">
        <f>G35+'10'!H35</f>
        <v>22994.890000000014</v>
      </c>
      <c r="I35" s="95"/>
      <c r="J35" s="175">
        <f>H35/DAY(B2)</f>
        <v>2090.4445454545466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141311.78</v>
      </c>
      <c r="F36" s="145">
        <v>142306.16</v>
      </c>
      <c r="G36" s="112">
        <f t="shared" si="3"/>
        <v>994.38000000000466</v>
      </c>
      <c r="H36" s="99">
        <f>G36+'10'!H36</f>
        <v>10727.160000000003</v>
      </c>
      <c r="I36" s="95"/>
      <c r="J36" s="175">
        <f>H36/DAY(B2)</f>
        <v>975.19636363636391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199472</v>
      </c>
      <c r="F37" s="145">
        <v>201120.57</v>
      </c>
      <c r="G37" s="112">
        <f t="shared" si="3"/>
        <v>1648.570000000007</v>
      </c>
      <c r="H37" s="99">
        <f>G37+'10'!H37</f>
        <v>17995.570000000007</v>
      </c>
      <c r="I37" s="95"/>
      <c r="J37" s="175">
        <f>H37/DAY(B2)</f>
        <v>1635.9609090909098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267425.95</v>
      </c>
      <c r="F38" s="108">
        <v>269444.51</v>
      </c>
      <c r="G38" s="112">
        <f t="shared" si="3"/>
        <v>2018.5599999999977</v>
      </c>
      <c r="H38" s="99">
        <f>G38+'10'!H38</f>
        <v>25992.510000000009</v>
      </c>
      <c r="I38" s="95"/>
      <c r="J38" s="175">
        <f>H38/DAY(B2)</f>
        <v>2362.9554545454553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368872.19</v>
      </c>
      <c r="F39" s="145">
        <v>371749</v>
      </c>
      <c r="G39" s="112">
        <f t="shared" si="3"/>
        <v>2876.8099999999977</v>
      </c>
      <c r="H39" s="99">
        <f>G39+'10'!H39</f>
        <v>31761</v>
      </c>
      <c r="I39" s="95"/>
      <c r="J39" s="175">
        <f>H39/DAY(B2)</f>
        <v>2887.3636363636365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69898.94</v>
      </c>
      <c r="F40" s="145">
        <v>70016.11</v>
      </c>
      <c r="G40" s="112">
        <f t="shared" si="3"/>
        <v>117.16999999999825</v>
      </c>
      <c r="H40" s="99">
        <f>G40+'10'!H40</f>
        <v>5139.1100000000006</v>
      </c>
      <c r="I40" s="95"/>
      <c r="J40" s="175">
        <f>H40/DAY(B2)</f>
        <v>467.19181818181823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68834.100000000006</v>
      </c>
      <c r="F41" s="145">
        <v>68834.19</v>
      </c>
      <c r="G41" s="112">
        <f t="shared" si="3"/>
        <v>8.999999999650754E-2</v>
      </c>
      <c r="H41" s="99">
        <f>G41+'10'!H41</f>
        <v>41141.19</v>
      </c>
      <c r="I41" s="95"/>
      <c r="J41" s="175">
        <f>H41/DAY(B2)</f>
        <v>3740.1081818181819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455009.71</v>
      </c>
      <c r="F42" s="145">
        <v>459007.55</v>
      </c>
      <c r="G42" s="112">
        <f t="shared" si="3"/>
        <v>3997.8399999999674</v>
      </c>
      <c r="H42" s="99">
        <f>G42+'10'!H42</f>
        <v>33206.549999999988</v>
      </c>
      <c r="I42" s="95"/>
      <c r="J42" s="175">
        <f>H42/DAY(B2)</f>
        <v>3018.7772727272718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387477.03</v>
      </c>
      <c r="F43" s="424">
        <v>390109.95</v>
      </c>
      <c r="G43" s="112">
        <f t="shared" si="3"/>
        <v>2632.9199999999837</v>
      </c>
      <c r="H43" s="99">
        <f>G43+'10'!H43</f>
        <v>32590.950000000012</v>
      </c>
      <c r="I43" s="95"/>
      <c r="J43" s="175">
        <f>H43/DAY(B2)</f>
        <v>2962.8136363636372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16321.839999999953</v>
      </c>
      <c r="H47" s="99">
        <f>G47+'10'!H47</f>
        <v>221548.93000000005</v>
      </c>
      <c r="I47" s="95"/>
      <c r="J47" s="175">
        <f>H47/DAY(B2)</f>
        <v>20140.811818181824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184837.81</v>
      </c>
      <c r="F49" s="145">
        <v>186890.95</v>
      </c>
      <c r="G49" s="112">
        <f t="shared" ref="G49:G58" si="4">F49-E49</f>
        <v>2053.140000000014</v>
      </c>
      <c r="H49" s="99">
        <f>G49+'10'!H49</f>
        <v>21720.950000000012</v>
      </c>
      <c r="I49" s="95"/>
      <c r="J49" s="175">
        <f>H49/DAY(B2)</f>
        <v>1974.6318181818192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185107.7</v>
      </c>
      <c r="F50" s="145">
        <v>186419.20000000001</v>
      </c>
      <c r="G50" s="112">
        <f t="shared" si="4"/>
        <v>1311.5</v>
      </c>
      <c r="H50" s="99">
        <f>G50+'10'!H50</f>
        <v>13812.200000000012</v>
      </c>
      <c r="I50" s="95"/>
      <c r="J50" s="175">
        <f>H50/DAY(B2)</f>
        <v>1255.6545454545465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76</v>
      </c>
      <c r="F51" s="145">
        <v>76</v>
      </c>
      <c r="G51" s="112">
        <f t="shared" si="4"/>
        <v>0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10</v>
      </c>
      <c r="F52" s="145">
        <v>10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54803</v>
      </c>
      <c r="F54" s="145">
        <v>55264.46</v>
      </c>
      <c r="G54" s="112">
        <f t="shared" si="4"/>
        <v>461.45999999999913</v>
      </c>
      <c r="H54" s="99">
        <f>G54+'10'!H54</f>
        <v>5181.4599999999991</v>
      </c>
      <c r="I54" s="95"/>
      <c r="J54" s="175">
        <f>H54/DAY(B2)</f>
        <v>471.04181818181809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160102.85</v>
      </c>
      <c r="F55" s="145">
        <v>163837.4</v>
      </c>
      <c r="G55" s="112">
        <f t="shared" si="4"/>
        <v>3734.5499999999884</v>
      </c>
      <c r="H55" s="99">
        <f>G55+'10'!H55</f>
        <v>18870.399999999994</v>
      </c>
      <c r="I55" s="95"/>
      <c r="J55" s="175">
        <f>H55/DAY(B2)</f>
        <v>1715.4909090909086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107245.66</v>
      </c>
      <c r="F56" s="424">
        <v>107245.66</v>
      </c>
      <c r="G56" s="112">
        <f t="shared" si="4"/>
        <v>0</v>
      </c>
      <c r="H56" s="99">
        <f>G56+'10'!H56</f>
        <v>-0.33999999999650754</v>
      </c>
      <c r="I56" s="95"/>
      <c r="J56" s="175">
        <f>H56/DAY(B2)</f>
        <v>-3.0909090908773414E-2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27835.4</v>
      </c>
      <c r="F58" s="145">
        <v>27983.83</v>
      </c>
      <c r="G58" s="112">
        <f t="shared" si="4"/>
        <v>148.43000000000029</v>
      </c>
      <c r="H58" s="99">
        <f>G58+'10'!H58</f>
        <v>2490.8300000000017</v>
      </c>
      <c r="I58" s="95"/>
      <c r="J58" s="175">
        <f>H58/DAY(B2)</f>
        <v>226.43909090909108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7709.0800000000017</v>
      </c>
      <c r="H59" s="99">
        <f>G59+'10'!H59</f>
        <v>62075.820000000014</v>
      </c>
      <c r="I59" s="95">
        <f>G7-G60</f>
        <v>2291.4600000000501</v>
      </c>
      <c r="J59" s="175">
        <f>H59/DAY(B2)</f>
        <v>5643.2563636363648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24030.919999999955</v>
      </c>
      <c r="H60" s="99">
        <f>G60+'10'!H60</f>
        <v>283624.75000000006</v>
      </c>
      <c r="I60" s="95">
        <f>G13-G60</f>
        <v>1582.7499999997381</v>
      </c>
      <c r="J60" s="175">
        <f>H60/DAY(B2)</f>
        <v>25784.068181818187</v>
      </c>
      <c r="K60" s="79"/>
      <c r="L60" s="66"/>
      <c r="N60" s="87"/>
      <c r="O60" s="71"/>
    </row>
    <row r="61" spans="1:15" s="68" customFormat="1" ht="30.75" customHeight="1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907" t="s">
        <v>198</v>
      </c>
      <c r="B62" s="908"/>
      <c r="C62" s="909"/>
      <c r="D62" s="151" t="s">
        <v>142</v>
      </c>
      <c r="E62" s="95">
        <f>'10'!F62</f>
        <v>285542</v>
      </c>
      <c r="F62" s="122">
        <v>285542</v>
      </c>
      <c r="G62" s="112">
        <f t="shared" ref="G62:G63" si="5">F62-E62</f>
        <v>0</v>
      </c>
      <c r="H62" s="99">
        <f>G62+'10'!H62</f>
        <v>1533</v>
      </c>
      <c r="I62" s="118"/>
      <c r="J62" s="175">
        <f>H62/DAY(B2)</f>
        <v>139.36363636363637</v>
      </c>
      <c r="K62" s="80"/>
      <c r="L62" s="66"/>
      <c r="N62" s="87"/>
      <c r="O62" s="71"/>
    </row>
    <row r="63" spans="1:15" ht="30.75" customHeight="1">
      <c r="A63" s="907" t="s">
        <v>199</v>
      </c>
      <c r="B63" s="908"/>
      <c r="C63" s="909"/>
      <c r="D63" s="151" t="s">
        <v>142</v>
      </c>
      <c r="E63" s="95">
        <f>'10'!F63</f>
        <v>228969</v>
      </c>
      <c r="F63" s="150">
        <v>229089</v>
      </c>
      <c r="G63" s="112">
        <f t="shared" si="5"/>
        <v>120</v>
      </c>
      <c r="H63" s="99">
        <f>G63+'10'!H63</f>
        <v>1610</v>
      </c>
      <c r="I63" s="118"/>
      <c r="J63" s="175">
        <f>H63/DAY(B2)</f>
        <v>146.36363636363637</v>
      </c>
      <c r="K63" s="69"/>
      <c r="L63" s="66"/>
      <c r="N63" s="87"/>
      <c r="O63" s="71"/>
    </row>
    <row r="64" spans="1:15" ht="30.75" customHeight="1">
      <c r="A64" s="916" t="s">
        <v>200</v>
      </c>
      <c r="B64" s="917"/>
      <c r="C64" s="918"/>
      <c r="D64" s="151"/>
      <c r="E64" s="95">
        <f>'10'!F64</f>
        <v>0</v>
      </c>
      <c r="F64" s="122"/>
      <c r="G64" s="112">
        <f>G62+G63</f>
        <v>120</v>
      </c>
      <c r="H64" s="99">
        <f>G64+'10'!H64</f>
        <v>3143</v>
      </c>
      <c r="I64" s="118"/>
      <c r="J64" s="175">
        <f>H64/DAY(B2)</f>
        <v>285.72727272727275</v>
      </c>
      <c r="K64" s="69"/>
      <c r="L64" s="66"/>
      <c r="N64" s="87"/>
      <c r="O64" s="71"/>
    </row>
    <row r="65" spans="1:15" ht="30.75" customHeight="1">
      <c r="A65" s="907" t="s">
        <v>201</v>
      </c>
      <c r="B65" s="908"/>
      <c r="C65" s="909"/>
      <c r="D65" s="151" t="s">
        <v>142</v>
      </c>
      <c r="E65" s="95">
        <f>'10'!F65</f>
        <v>445681</v>
      </c>
      <c r="F65" s="122">
        <v>445763</v>
      </c>
      <c r="G65" s="112">
        <f t="shared" ref="G65:G70" si="6">F65-E65</f>
        <v>82</v>
      </c>
      <c r="H65" s="99">
        <f>G65+'10'!H65</f>
        <v>1171</v>
      </c>
      <c r="I65" s="118"/>
      <c r="J65" s="175">
        <f>H65/DAY(B2)</f>
        <v>106.45454545454545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109795</v>
      </c>
      <c r="F66" s="122">
        <v>109817</v>
      </c>
      <c r="G66" s="112">
        <f t="shared" si="6"/>
        <v>22</v>
      </c>
      <c r="H66" s="99">
        <f>G66+'10'!H66</f>
        <v>236</v>
      </c>
      <c r="I66" s="118"/>
      <c r="J66" s="175">
        <f>H66/DAY(B2)</f>
        <v>21.454545454545453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111675</v>
      </c>
      <c r="F67" s="122">
        <v>111754</v>
      </c>
      <c r="G67" s="112">
        <f t="shared" si="6"/>
        <v>79</v>
      </c>
      <c r="H67" s="99">
        <f>G67+'10'!H67</f>
        <v>854</v>
      </c>
      <c r="I67" s="118"/>
      <c r="J67" s="175">
        <f>H67/DAY(B2)</f>
        <v>77.63636363636364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161985</v>
      </c>
      <c r="F68" s="122">
        <v>162013</v>
      </c>
      <c r="G68" s="112">
        <f t="shared" si="6"/>
        <v>28</v>
      </c>
      <c r="H68" s="99">
        <f>G68+'10'!H68</f>
        <v>229</v>
      </c>
      <c r="I68" s="118"/>
      <c r="J68" s="175">
        <f>H68/DAY(B2)</f>
        <v>20.818181818181817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11678</v>
      </c>
      <c r="F69" s="122">
        <v>11687</v>
      </c>
      <c r="G69" s="112">
        <f t="shared" si="6"/>
        <v>9</v>
      </c>
      <c r="H69" s="99">
        <f>G69+'10'!H69</f>
        <v>89</v>
      </c>
      <c r="I69" s="118"/>
      <c r="J69" s="175">
        <f>H69/DAY(B2)</f>
        <v>8.0909090909090917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9084</v>
      </c>
      <c r="F70" s="122">
        <v>9089</v>
      </c>
      <c r="G70" s="112">
        <f t="shared" si="6"/>
        <v>5</v>
      </c>
      <c r="H70" s="99">
        <f>G70+'10'!H70</f>
        <v>88</v>
      </c>
      <c r="I70" s="118"/>
      <c r="J70" s="175">
        <f>H70/DAY(B2)</f>
        <v>8</v>
      </c>
      <c r="K70" s="69"/>
      <c r="L70" s="66"/>
      <c r="N70" s="87"/>
      <c r="O70" s="71"/>
    </row>
    <row r="71" spans="1:15" ht="30.75" customHeight="1">
      <c r="A71" s="916" t="s">
        <v>208</v>
      </c>
      <c r="B71" s="917"/>
      <c r="C71" s="918"/>
      <c r="D71" s="152"/>
      <c r="E71" s="152"/>
      <c r="F71" s="152"/>
      <c r="G71" s="153">
        <f>SUM(G65:G70)</f>
        <v>225</v>
      </c>
      <c r="H71" s="99">
        <f>G71+'10'!H71</f>
        <v>2667</v>
      </c>
      <c r="I71" s="154"/>
      <c r="J71" s="175">
        <f>H71/DAY(B2)</f>
        <v>242.45454545454547</v>
      </c>
      <c r="K71" s="69"/>
      <c r="L71" s="66"/>
      <c r="N71" s="87"/>
      <c r="O71" s="71"/>
    </row>
    <row r="72" spans="1:15" s="88" customFormat="1" ht="30.75" customHeight="1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07" t="s">
        <v>220</v>
      </c>
      <c r="B74" s="908"/>
      <c r="C74" s="909"/>
      <c r="D74" s="151" t="s">
        <v>139</v>
      </c>
      <c r="E74" s="95">
        <f>'10'!F74</f>
        <v>931891.74899999995</v>
      </c>
      <c r="F74" s="117">
        <v>932212.94</v>
      </c>
      <c r="G74" s="112">
        <f>F74-E74</f>
        <v>321.19099999999162</v>
      </c>
      <c r="H74" s="99">
        <f>G74+'10'!H74</f>
        <v>3435.9399999999441</v>
      </c>
      <c r="I74" s="154"/>
      <c r="J74" s="175">
        <f>H74/DAY(B2)</f>
        <v>312.35818181817672</v>
      </c>
      <c r="K74" s="69"/>
      <c r="L74" s="66"/>
      <c r="N74" s="87"/>
      <c r="O74" s="71"/>
    </row>
    <row r="75" spans="1:15" ht="30.75" customHeight="1">
      <c r="A75" s="907" t="s">
        <v>221</v>
      </c>
      <c r="B75" s="908"/>
      <c r="C75" s="909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04" t="s">
        <v>222</v>
      </c>
      <c r="B76" s="905"/>
      <c r="C76" s="906"/>
      <c r="D76" s="151" t="s">
        <v>139</v>
      </c>
      <c r="E76" s="95">
        <f>'10'!F76</f>
        <v>181288</v>
      </c>
      <c r="F76" s="123">
        <v>181413</v>
      </c>
      <c r="G76" s="112">
        <f t="shared" si="7"/>
        <v>125</v>
      </c>
      <c r="H76" s="99">
        <f>G76+'10'!H76</f>
        <v>1259</v>
      </c>
      <c r="I76" s="154"/>
      <c r="J76" s="175">
        <f>H76/DAY(B2)</f>
        <v>114.45454545454545</v>
      </c>
      <c r="K76" s="69"/>
      <c r="L76" s="66"/>
      <c r="N76" s="87"/>
      <c r="O76" s="71"/>
    </row>
    <row r="77" spans="1:15" ht="30.75" customHeight="1">
      <c r="A77" s="904" t="s">
        <v>223</v>
      </c>
      <c r="B77" s="905"/>
      <c r="C77" s="906"/>
      <c r="D77" s="151" t="s">
        <v>139</v>
      </c>
      <c r="E77" s="95">
        <f>'10'!F77</f>
        <v>46222</v>
      </c>
      <c r="F77" s="123">
        <v>46282</v>
      </c>
      <c r="G77" s="112">
        <f t="shared" si="7"/>
        <v>60</v>
      </c>
      <c r="H77" s="99">
        <f>G77+'10'!H77</f>
        <v>608</v>
      </c>
      <c r="I77" s="154"/>
      <c r="J77" s="175">
        <f>H77/DAY(B2)</f>
        <v>55.272727272727273</v>
      </c>
      <c r="K77" s="69"/>
      <c r="L77" s="66"/>
      <c r="N77" s="87"/>
      <c r="O77" s="71"/>
    </row>
    <row r="78" spans="1:15" ht="30.75" customHeight="1">
      <c r="A78" s="904" t="s">
        <v>224</v>
      </c>
      <c r="B78" s="905"/>
      <c r="C78" s="906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-0.3999999999996362</v>
      </c>
      <c r="I78" s="118"/>
      <c r="J78" s="175">
        <f>H78/DAY(B2)</f>
        <v>-3.6363636363603291E-2</v>
      </c>
      <c r="K78" s="69"/>
      <c r="L78" s="66"/>
      <c r="N78" s="87"/>
      <c r="O78" s="71"/>
    </row>
    <row r="79" spans="1:15" s="57" customFormat="1" ht="30.75" customHeight="1">
      <c r="A79" s="904" t="s">
        <v>225</v>
      </c>
      <c r="B79" s="905"/>
      <c r="C79" s="906"/>
      <c r="D79" s="151"/>
      <c r="E79" s="95">
        <f>'10'!F79</f>
        <v>0</v>
      </c>
      <c r="F79" s="117"/>
      <c r="G79" s="112">
        <f>G15-SUM(G74:G78)</f>
        <v>419.90900000010151</v>
      </c>
      <c r="H79" s="99">
        <f>G79+'10'!H79</f>
        <v>6644.5600000001486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16" t="s">
        <v>329</v>
      </c>
      <c r="B80" s="917"/>
      <c r="C80" s="918"/>
      <c r="D80" s="151"/>
      <c r="E80" s="117"/>
      <c r="F80" s="117"/>
      <c r="G80" s="112">
        <f>SUM(G74:G79)</f>
        <v>926.10000000009313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7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7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41969</v>
      </c>
      <c r="F84" s="164">
        <v>41969</v>
      </c>
      <c r="G84" s="112">
        <f t="shared" si="8"/>
        <v>0</v>
      </c>
      <c r="H84" s="99">
        <f>G84+'10'!H84</f>
        <v>177</v>
      </c>
      <c r="I84" s="575"/>
      <c r="J84" s="175">
        <f>H84/DAY(B2)</f>
        <v>16.09090909090909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3905.4</v>
      </c>
      <c r="F85" s="164">
        <v>3919.4</v>
      </c>
      <c r="G85" s="112">
        <f t="shared" si="8"/>
        <v>14</v>
      </c>
      <c r="H85" s="99">
        <f>G85+'10'!H85</f>
        <v>142.40000000000009</v>
      </c>
      <c r="I85" s="575"/>
      <c r="J85" s="175">
        <f>H85/DAY(B2)</f>
        <v>12.945454545454554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44042</v>
      </c>
      <c r="F86" s="164">
        <v>44066</v>
      </c>
      <c r="G86" s="112">
        <f t="shared" si="8"/>
        <v>24</v>
      </c>
      <c r="H86" s="99">
        <f>G86+'10'!H86</f>
        <v>127</v>
      </c>
      <c r="I86" s="575"/>
      <c r="J86" s="175">
        <f>H86/DAY(B2)</f>
        <v>11.545454545454545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35329.06</v>
      </c>
      <c r="F87" s="164">
        <v>35329.06</v>
      </c>
      <c r="G87" s="112">
        <f t="shared" si="8"/>
        <v>0</v>
      </c>
      <c r="H87" s="99">
        <f>G87+'10'!H87</f>
        <v>5.9999999997671694E-2</v>
      </c>
      <c r="I87" s="575">
        <f>G84+G85+G86+G87</f>
        <v>38</v>
      </c>
      <c r="J87" s="175">
        <f>H87/DAY(B2)</f>
        <v>5.4545454543337901E-3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24207.52</v>
      </c>
      <c r="F88" s="164">
        <v>24207.32</v>
      </c>
      <c r="G88" s="112">
        <f t="shared" si="8"/>
        <v>-0.2000000000007276</v>
      </c>
      <c r="H88" s="99">
        <f>G88+'10'!H88</f>
        <v>19.200000000000728</v>
      </c>
      <c r="I88" s="575"/>
      <c r="J88" s="175">
        <f>H88/DAY(B2)</f>
        <v>1.7454545454546115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26808.51</v>
      </c>
      <c r="F89" s="164">
        <v>26814.69</v>
      </c>
      <c r="G89" s="112">
        <f t="shared" si="8"/>
        <v>6.180000000000291</v>
      </c>
      <c r="H89" s="99">
        <f>G89+'10'!H89</f>
        <v>105.46999999999753</v>
      </c>
      <c r="I89" s="575">
        <f>G88+G89</f>
        <v>5.9799999999995634</v>
      </c>
      <c r="J89" s="175">
        <f>H89/DAY(B2)</f>
        <v>9.5881818181815941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71939.11</v>
      </c>
      <c r="F90" s="164">
        <v>71944.52</v>
      </c>
      <c r="G90" s="112">
        <f t="shared" si="8"/>
        <v>5.4100000000034925</v>
      </c>
      <c r="H90" s="99">
        <f>G90+'10'!H90</f>
        <v>80.990000000005239</v>
      </c>
      <c r="I90" s="575">
        <f>G90</f>
        <v>5.4100000000034925</v>
      </c>
      <c r="J90" s="175">
        <f>H90/DAY(B2)</f>
        <v>7.3627272727277493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4121.6499999999996</v>
      </c>
      <c r="F91" s="122">
        <v>4121.6499999999996</v>
      </c>
      <c r="G91" s="112">
        <f t="shared" si="8"/>
        <v>0</v>
      </c>
      <c r="H91" s="99">
        <f>G91+'10'!H91</f>
        <v>62.409999999999854</v>
      </c>
      <c r="I91" s="594"/>
      <c r="J91" s="175">
        <f>H91/DAY(B2)</f>
        <v>5.6736363636363505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5983.77</v>
      </c>
      <c r="F92" s="122">
        <v>5994.97</v>
      </c>
      <c r="G92" s="112">
        <f t="shared" si="8"/>
        <v>11.199999999999818</v>
      </c>
      <c r="H92" s="99">
        <f>G92+'10'!H92</f>
        <v>59.970000000000255</v>
      </c>
      <c r="I92" s="600">
        <f>G91+G92</f>
        <v>11.199999999999818</v>
      </c>
      <c r="J92" s="175">
        <f>H92/DAY(B2)</f>
        <v>5.4518181818182052</v>
      </c>
      <c r="O92" s="71"/>
    </row>
    <row r="93" spans="1:15" ht="30.75" customHeight="1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6721.5599999999977</v>
      </c>
      <c r="H94" s="99">
        <f>G94+'10'!H94</f>
        <v>77306.790000000037</v>
      </c>
      <c r="I94" s="118"/>
      <c r="J94" s="175">
        <f>H94/DAY(B2)</f>
        <v>7027.8900000000031</v>
      </c>
      <c r="K94" s="69"/>
      <c r="L94" s="66"/>
      <c r="O94" s="71"/>
    </row>
    <row r="95" spans="1:15" ht="30.75" customHeight="1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0.25535532881145234</v>
      </c>
      <c r="H95" s="99">
        <f>G95+'10'!H95</f>
        <v>2.8407347381950903</v>
      </c>
      <c r="I95" s="167"/>
      <c r="J95" s="175">
        <f>H95/DAY(B2)</f>
        <v>0.25824861256319004</v>
      </c>
      <c r="K95" s="69"/>
      <c r="L95" s="66"/>
      <c r="O95" s="71"/>
    </row>
    <row r="96" spans="1:15" ht="30.75" customHeight="1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7732.4799999999523</v>
      </c>
      <c r="H96" s="99">
        <f>G96+'10'!H96</f>
        <v>93217.799999999988</v>
      </c>
      <c r="I96" s="118"/>
      <c r="J96" s="175">
        <f>H96/DAY(B2)</f>
        <v>8474.3454545454533</v>
      </c>
      <c r="K96" s="69"/>
      <c r="L96" s="66"/>
      <c r="O96" s="71"/>
    </row>
    <row r="97" spans="1:15" ht="30.75" customHeight="1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0.29376067057765864</v>
      </c>
      <c r="H97" s="99">
        <f>G97+'10'!H97</f>
        <v>3.4222223550492199</v>
      </c>
      <c r="I97" s="167"/>
      <c r="J97" s="175">
        <f>H97/DAY(B2)</f>
        <v>0.31111112318629269</v>
      </c>
      <c r="K97" s="69"/>
      <c r="L97" s="66"/>
      <c r="O97" s="71"/>
    </row>
    <row r="98" spans="1:15" ht="30.75" customHeight="1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2876.8099999999977</v>
      </c>
      <c r="H98" s="99">
        <f>G98+'10'!H98</f>
        <v>31761</v>
      </c>
      <c r="I98" s="168"/>
      <c r="J98" s="175">
        <f>H98/DAY(B2)</f>
        <v>2887.3636363636365</v>
      </c>
      <c r="K98" s="69"/>
      <c r="L98" s="66"/>
      <c r="O98" s="71"/>
    </row>
    <row r="99" spans="1:15" ht="30.75" customHeight="1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0.10929140905951502</v>
      </c>
      <c r="H99" s="99">
        <f>G99+'10'!H99</f>
        <v>1.1692478604469916</v>
      </c>
      <c r="I99" s="168"/>
      <c r="J99" s="175">
        <f>H99/DAY(B2)</f>
        <v>0.10629526004063559</v>
      </c>
      <c r="O99" s="71"/>
    </row>
    <row r="100" spans="1:15" ht="30.75" customHeight="1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2018.5599999999977</v>
      </c>
      <c r="H100" s="99">
        <f>G100+'10'!H100</f>
        <v>25992.510000000009</v>
      </c>
      <c r="I100" s="118"/>
      <c r="J100" s="175">
        <f>H100/DAY(B2)</f>
        <v>2362.9554545454553</v>
      </c>
      <c r="K100" s="70"/>
      <c r="O100" s="71"/>
    </row>
    <row r="101" spans="1:15" ht="30.75" customHeight="1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7.6686074739442153E-2</v>
      </c>
      <c r="H101" s="99">
        <f>G101+'10'!H101</f>
        <v>0.95616758744802466</v>
      </c>
      <c r="I101" s="168"/>
      <c r="J101" s="175">
        <f>H101/DAY(B2)</f>
        <v>8.6924326131638599E-2</v>
      </c>
      <c r="O101" s="71"/>
    </row>
    <row r="102" spans="1:15" ht="30.75" customHeight="1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2305.8800000000047</v>
      </c>
      <c r="H102" s="99">
        <f>G102+'10'!H102</f>
        <v>24539.360000000015</v>
      </c>
      <c r="I102" s="168"/>
      <c r="J102" s="175">
        <f>H102/DAY(B2)</f>
        <v>2230.8509090909106</v>
      </c>
      <c r="O102" s="71"/>
    </row>
    <row r="103" spans="1:15" ht="30.75" customHeight="1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8.7601501080069671E-2</v>
      </c>
      <c r="H103" s="99">
        <f>G103+'10'!H103</f>
        <v>0.90110225870419325</v>
      </c>
      <c r="I103" s="118"/>
      <c r="J103" s="175">
        <f>H103/DAY(B2)</f>
        <v>8.1918387154926664E-2</v>
      </c>
      <c r="O103" s="71"/>
    </row>
    <row r="104" spans="1:15" ht="30.75" customHeight="1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1648.570000000007</v>
      </c>
      <c r="H104" s="99">
        <f>G104+'10'!H104</f>
        <v>17995.890000000007</v>
      </c>
      <c r="I104" s="118"/>
      <c r="J104" s="175">
        <f>H104/DAY(B2)</f>
        <v>1635.9900000000007</v>
      </c>
      <c r="O104" s="71"/>
    </row>
    <row r="105" spans="1:15" ht="30.75" customHeight="1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6.2629974949074005E-2</v>
      </c>
      <c r="H105" s="99">
        <f>G105+'10'!H105</f>
        <v>0.66212836830059918</v>
      </c>
      <c r="I105" s="187"/>
      <c r="J105" s="188">
        <f>H105/DAY(B2)</f>
        <v>6.0193488027327199E-2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30.75" customHeight="1">
      <c r="A109" s="924"/>
      <c r="B109" s="924"/>
    </row>
    <row r="110" spans="1:15" ht="30.75" customHeight="1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30.75" customHeight="1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86" t="s">
        <v>252</v>
      </c>
      <c r="B112" s="887"/>
      <c r="C112" s="888"/>
      <c r="D112" s="146" t="s">
        <v>183</v>
      </c>
      <c r="E112" s="95">
        <f>'10'!F112</f>
        <v>1031.18</v>
      </c>
      <c r="F112" s="237">
        <v>1110.5</v>
      </c>
      <c r="G112" s="112">
        <f t="shared" ref="G112:G123" si="9">F112-E112</f>
        <v>79.319999999999936</v>
      </c>
      <c r="H112" s="99">
        <f>G112+'10'!H112</f>
        <v>867.5</v>
      </c>
      <c r="I112" s="165"/>
      <c r="J112" s="328">
        <f>H112/DAY(B2)</f>
        <v>78.86363636363636</v>
      </c>
    </row>
    <row r="113" spans="1:18" ht="30.75" customHeight="1">
      <c r="A113" s="886" t="s">
        <v>253</v>
      </c>
      <c r="B113" s="887"/>
      <c r="C113" s="888"/>
      <c r="D113" s="146" t="s">
        <v>183</v>
      </c>
      <c r="E113" s="95">
        <f>'10'!F113</f>
        <v>2106.1999999999998</v>
      </c>
      <c r="F113" s="237">
        <v>2317.92</v>
      </c>
      <c r="G113" s="112">
        <f t="shared" si="9"/>
        <v>211.72000000000025</v>
      </c>
      <c r="H113" s="99">
        <f>G113+'10'!H113</f>
        <v>1835.92</v>
      </c>
      <c r="I113" s="165"/>
      <c r="J113" s="328">
        <f>H113/DAY(B2)</f>
        <v>166.90181818181819</v>
      </c>
    </row>
    <row r="114" spans="1:18" ht="30.75" customHeight="1">
      <c r="A114" s="886" t="s">
        <v>254</v>
      </c>
      <c r="B114" s="887"/>
      <c r="C114" s="888"/>
      <c r="D114" s="146" t="s">
        <v>183</v>
      </c>
      <c r="E114" s="95">
        <f>'10'!F114</f>
        <v>2857.71</v>
      </c>
      <c r="F114" s="237">
        <v>3070.3</v>
      </c>
      <c r="G114" s="112">
        <f t="shared" si="9"/>
        <v>212.59000000000015</v>
      </c>
      <c r="H114" s="99">
        <f>G114+'10'!H114</f>
        <v>2406.3000000000002</v>
      </c>
      <c r="I114" s="165"/>
      <c r="J114" s="328">
        <f>H114/DAY(B2)</f>
        <v>218.75454545454548</v>
      </c>
    </row>
    <row r="115" spans="1:18" ht="30.75" customHeight="1">
      <c r="A115" s="886" t="s">
        <v>255</v>
      </c>
      <c r="B115" s="887"/>
      <c r="C115" s="888"/>
      <c r="D115" s="146" t="s">
        <v>183</v>
      </c>
      <c r="E115" s="95">
        <f>'10'!F115</f>
        <v>2039.6</v>
      </c>
      <c r="F115" s="237">
        <v>2190.5</v>
      </c>
      <c r="G115" s="112">
        <f t="shared" si="9"/>
        <v>150.90000000000009</v>
      </c>
      <c r="H115" s="99">
        <f>G115+'10'!H115</f>
        <v>1679.5</v>
      </c>
      <c r="I115" s="165"/>
      <c r="J115" s="328">
        <f>H115/DAY(B2)</f>
        <v>152.68181818181819</v>
      </c>
    </row>
    <row r="116" spans="1:18" ht="30.75" customHeight="1">
      <c r="A116" s="893" t="s">
        <v>96</v>
      </c>
      <c r="B116" s="894"/>
      <c r="C116" s="895"/>
      <c r="D116" s="146" t="s">
        <v>183</v>
      </c>
      <c r="E116" s="95">
        <f>'10'!F116</f>
        <v>38462.1</v>
      </c>
      <c r="F116" s="237">
        <v>38837.699999999997</v>
      </c>
      <c r="G116" s="112">
        <f t="shared" si="9"/>
        <v>375.59999999999854</v>
      </c>
      <c r="H116" s="99">
        <f>G116+'10'!H116</f>
        <v>4171.6999999999971</v>
      </c>
      <c r="I116" s="165"/>
      <c r="J116" s="328">
        <f>H116/DAY(B2)</f>
        <v>379.24545454545427</v>
      </c>
      <c r="Q116" s="886" t="s">
        <v>311</v>
      </c>
      <c r="R116" s="888"/>
    </row>
    <row r="117" spans="1:18" ht="30.75" customHeight="1">
      <c r="A117" s="893" t="s">
        <v>184</v>
      </c>
      <c r="B117" s="894"/>
      <c r="C117" s="895"/>
      <c r="D117" s="146" t="s">
        <v>183</v>
      </c>
      <c r="E117" s="95">
        <f>'10'!F117</f>
        <v>20806.5</v>
      </c>
      <c r="F117" s="237">
        <v>20984.799999999999</v>
      </c>
      <c r="G117" s="112">
        <f t="shared" si="9"/>
        <v>178.29999999999927</v>
      </c>
      <c r="H117" s="99">
        <f>G117+'10'!H117</f>
        <v>2048.7999999999993</v>
      </c>
      <c r="I117" s="165"/>
      <c r="J117" s="328">
        <f>H117/DAY(B2)</f>
        <v>186.25454545454539</v>
      </c>
      <c r="Q117" s="886" t="s">
        <v>312</v>
      </c>
      <c r="R117" s="888"/>
    </row>
    <row r="118" spans="1:18" ht="30.75" customHeight="1">
      <c r="A118" s="885" t="s">
        <v>97</v>
      </c>
      <c r="B118" s="885"/>
      <c r="C118" s="885"/>
      <c r="D118" s="151" t="s">
        <v>183</v>
      </c>
      <c r="E118" s="95">
        <f>'10'!F118</f>
        <v>14563.2</v>
      </c>
      <c r="F118" s="417">
        <v>15112.74</v>
      </c>
      <c r="G118" s="112">
        <f t="shared" si="9"/>
        <v>549.53999999999905</v>
      </c>
      <c r="H118" s="99">
        <f>G118+'10'!H118</f>
        <v>6049.74</v>
      </c>
      <c r="I118" s="165"/>
      <c r="J118" s="328">
        <f>H118/DAY(B2)</f>
        <v>549.97636363636366</v>
      </c>
      <c r="Q118" s="886" t="s">
        <v>311</v>
      </c>
      <c r="R118" s="888"/>
    </row>
    <row r="119" spans="1:18" ht="30.75" customHeight="1">
      <c r="A119" s="885" t="s">
        <v>98</v>
      </c>
      <c r="B119" s="885"/>
      <c r="C119" s="885"/>
      <c r="D119" s="151" t="s">
        <v>183</v>
      </c>
      <c r="E119" s="95">
        <f>'10'!F119</f>
        <v>10072.5</v>
      </c>
      <c r="F119" s="237">
        <v>10479.209999999999</v>
      </c>
      <c r="G119" s="112">
        <f t="shared" si="9"/>
        <v>406.70999999999913</v>
      </c>
      <c r="H119" s="99">
        <f>G119+'10'!H119</f>
        <v>4576.2099999999991</v>
      </c>
      <c r="I119" s="165"/>
      <c r="J119" s="328">
        <f>H119/DAY(B2)</f>
        <v>416.01909090909083</v>
      </c>
    </row>
    <row r="120" spans="1:18" ht="30.75" customHeight="1">
      <c r="A120" s="885" t="s">
        <v>99</v>
      </c>
      <c r="B120" s="885"/>
      <c r="C120" s="885"/>
      <c r="D120" s="151" t="s">
        <v>183</v>
      </c>
      <c r="E120" s="95">
        <f>'10'!F120</f>
        <v>11304.3</v>
      </c>
      <c r="F120" s="237">
        <v>11707.5</v>
      </c>
      <c r="G120" s="112">
        <f t="shared" si="9"/>
        <v>403.20000000000073</v>
      </c>
      <c r="H120" s="99">
        <f>G120+'10'!H120</f>
        <v>4572.5</v>
      </c>
      <c r="I120" s="165"/>
      <c r="J120" s="328">
        <f>H120/DAY(B2)</f>
        <v>415.68181818181819</v>
      </c>
    </row>
    <row r="121" spans="1:18" ht="30.75" customHeight="1">
      <c r="A121" s="885" t="s">
        <v>100</v>
      </c>
      <c r="B121" s="885"/>
      <c r="C121" s="885"/>
      <c r="D121" s="151" t="s">
        <v>183</v>
      </c>
      <c r="E121" s="95">
        <f>'10'!F121</f>
        <v>16176.2</v>
      </c>
      <c r="F121" s="237">
        <v>16631</v>
      </c>
      <c r="G121" s="112">
        <f t="shared" si="9"/>
        <v>454.79999999999927</v>
      </c>
      <c r="H121" s="99">
        <f>G121+'10'!H121</f>
        <v>4904</v>
      </c>
      <c r="I121" s="165"/>
      <c r="J121" s="328">
        <f>H121/DAY(B2)</f>
        <v>445.81818181818181</v>
      </c>
    </row>
    <row r="122" spans="1:18" ht="30.75" customHeight="1">
      <c r="A122" s="885" t="s">
        <v>101</v>
      </c>
      <c r="B122" s="885"/>
      <c r="C122" s="885"/>
      <c r="D122" s="151" t="s">
        <v>183</v>
      </c>
      <c r="E122" s="95">
        <f>'10'!F122</f>
        <v>5575.9</v>
      </c>
      <c r="F122" s="237">
        <v>5784.27</v>
      </c>
      <c r="G122" s="112">
        <f t="shared" si="9"/>
        <v>208.3700000000008</v>
      </c>
      <c r="H122" s="99">
        <f>G122+'10'!H122</f>
        <v>2220.2700000000004</v>
      </c>
      <c r="I122" s="165"/>
      <c r="J122" s="328">
        <f>H122/DAY(B2)</f>
        <v>201.8427272727273</v>
      </c>
    </row>
    <row r="123" spans="1:18" ht="30.75" customHeight="1">
      <c r="A123" s="885" t="s">
        <v>102</v>
      </c>
      <c r="B123" s="885"/>
      <c r="C123" s="885"/>
      <c r="D123" s="151" t="s">
        <v>183</v>
      </c>
      <c r="E123" s="95">
        <f>'10'!F123</f>
        <v>4179.6000000000004</v>
      </c>
      <c r="F123" s="237">
        <v>4493.9399999999996</v>
      </c>
      <c r="G123" s="112">
        <f t="shared" si="9"/>
        <v>314.33999999999924</v>
      </c>
      <c r="H123" s="99">
        <f>G123+'10'!H123</f>
        <v>3526.9399999999996</v>
      </c>
      <c r="I123" s="165"/>
      <c r="J123" s="328">
        <f>H123/DAY(B2)</f>
        <v>320.63090909090903</v>
      </c>
    </row>
    <row r="124" spans="1:18" ht="30.7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868" t="s">
        <v>196</v>
      </c>
      <c r="B125" s="869"/>
      <c r="C125" s="245"/>
      <c r="D125" s="307"/>
      <c r="E125" s="308"/>
      <c r="F125" s="308"/>
      <c r="G125" s="309">
        <f>SUM(G112:G124)</f>
        <v>3545.3899999999967</v>
      </c>
      <c r="H125" s="156"/>
      <c r="I125" s="327">
        <f>G125-(G39+G53)</f>
        <v>668.57999999999902</v>
      </c>
      <c r="J125" s="327"/>
    </row>
    <row r="126" spans="1:18" ht="30.75" customHeight="1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30.75" customHeight="1">
      <c r="A127" s="873"/>
      <c r="B127" s="873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886" t="s">
        <v>318</v>
      </c>
      <c r="B128" s="887"/>
      <c r="C128" s="888"/>
      <c r="D128" s="151" t="s">
        <v>183</v>
      </c>
      <c r="E128" s="95">
        <f>'10'!F128</f>
        <v>85434.1</v>
      </c>
      <c r="F128" s="157">
        <v>85870.9</v>
      </c>
      <c r="G128" s="112">
        <f t="shared" ref="G128:G134" si="10">F128-E128</f>
        <v>436.79999999998836</v>
      </c>
      <c r="H128" s="99">
        <f>G128+'10'!H128</f>
        <v>4455.8999999999942</v>
      </c>
      <c r="I128" s="165"/>
      <c r="J128" s="328">
        <f>H128/DAY(B2)</f>
        <v>405.08181818181765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53945.5</v>
      </c>
      <c r="F129" s="157">
        <v>54276.95</v>
      </c>
      <c r="G129" s="112">
        <f t="shared" si="10"/>
        <v>331.44999999999709</v>
      </c>
      <c r="H129" s="99">
        <f>G129+'10'!H129</f>
        <v>3204.9499999999971</v>
      </c>
      <c r="I129" s="165"/>
      <c r="J129" s="328">
        <f>H129/DAY(B2)</f>
        <v>291.35909090909064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103803</v>
      </c>
      <c r="F130" s="157">
        <v>104496.28</v>
      </c>
      <c r="G130" s="112">
        <f t="shared" si="10"/>
        <v>693.27999999999884</v>
      </c>
      <c r="H130" s="99">
        <f>G130+'10'!H130</f>
        <v>7850.2799999999988</v>
      </c>
      <c r="I130" s="165"/>
      <c r="J130" s="328">
        <f>H130/DAY(B2)</f>
        <v>713.66181818181803</v>
      </c>
      <c r="N130" s="240"/>
      <c r="O130" s="241"/>
    </row>
    <row r="131" spans="1:15" ht="30.75" customHeight="1">
      <c r="A131" s="886" t="s">
        <v>321</v>
      </c>
      <c r="B131" s="887"/>
      <c r="C131" s="888"/>
      <c r="D131" s="151" t="s">
        <v>183</v>
      </c>
      <c r="E131" s="95">
        <f>'10'!F131</f>
        <v>32254.65</v>
      </c>
      <c r="F131" s="157">
        <v>32430</v>
      </c>
      <c r="G131" s="112">
        <f t="shared" si="10"/>
        <v>175.34999999999854</v>
      </c>
      <c r="H131" s="99">
        <f>G131+'10'!H131</f>
        <v>1995</v>
      </c>
      <c r="I131" s="165"/>
      <c r="J131" s="328">
        <f>H131/DAY(B2)</f>
        <v>181.36363636363637</v>
      </c>
      <c r="N131" s="240"/>
      <c r="O131" s="241"/>
    </row>
    <row r="132" spans="1:15" ht="30.75" customHeight="1">
      <c r="A132" s="886" t="s">
        <v>322</v>
      </c>
      <c r="B132" s="887"/>
      <c r="C132" s="888"/>
      <c r="D132" s="151" t="s">
        <v>183</v>
      </c>
      <c r="E132" s="95">
        <f>'10'!F132</f>
        <v>94059.53</v>
      </c>
      <c r="F132" s="157">
        <v>94558</v>
      </c>
      <c r="G132" s="112">
        <f t="shared" si="10"/>
        <v>498.47000000000116</v>
      </c>
      <c r="H132" s="99">
        <f>G132+'10'!H132</f>
        <v>5621</v>
      </c>
      <c r="I132" s="165"/>
      <c r="J132" s="328">
        <f>H132/DAY(B2)</f>
        <v>511</v>
      </c>
    </row>
    <row r="133" spans="1:15" ht="30.75" customHeight="1">
      <c r="A133" s="886" t="s">
        <v>360</v>
      </c>
      <c r="B133" s="887"/>
      <c r="C133" s="888"/>
      <c r="D133" s="151" t="s">
        <v>183</v>
      </c>
      <c r="E133" s="95">
        <f>'10'!F133</f>
        <v>182096.75</v>
      </c>
      <c r="F133" s="157">
        <v>183091</v>
      </c>
      <c r="G133" s="112">
        <f t="shared" si="10"/>
        <v>994.25</v>
      </c>
      <c r="H133" s="99">
        <f>G133+'10'!H133</f>
        <v>10645</v>
      </c>
      <c r="I133" s="165"/>
      <c r="J133" s="328">
        <f>H133/DAY(B2)</f>
        <v>967.72727272727275</v>
      </c>
    </row>
    <row r="134" spans="1:15" ht="30.75" customHeight="1">
      <c r="A134" s="886" t="s">
        <v>340</v>
      </c>
      <c r="B134" s="887"/>
      <c r="C134" s="888"/>
      <c r="D134" s="151" t="s">
        <v>183</v>
      </c>
      <c r="E134" s="95">
        <f>'10'!F134</f>
        <v>30500.7</v>
      </c>
      <c r="F134" s="157">
        <v>30733</v>
      </c>
      <c r="G134" s="112">
        <f t="shared" si="10"/>
        <v>232.29999999999927</v>
      </c>
      <c r="H134" s="99">
        <f>G134+'10'!H134</f>
        <v>2640</v>
      </c>
      <c r="I134" s="165"/>
      <c r="J134" s="328">
        <f>H134/DAY(B2)</f>
        <v>240</v>
      </c>
    </row>
    <row r="135" spans="1:15" ht="30.75" customHeight="1">
      <c r="A135" s="868" t="s">
        <v>196</v>
      </c>
      <c r="B135" s="869"/>
      <c r="C135" s="331"/>
      <c r="D135" s="151"/>
      <c r="E135" s="95"/>
      <c r="F135" s="165"/>
      <c r="G135" s="112">
        <f>SUM(G128:G134)</f>
        <v>3361.8999999999833</v>
      </c>
      <c r="H135" s="99">
        <f>G135+'10'!H135</f>
        <v>36412.12999999999</v>
      </c>
      <c r="I135" s="327">
        <f>G135-(G35+G49)</f>
        <v>-726.7400000000307</v>
      </c>
      <c r="J135" s="328">
        <f>H135/DAY(B2)</f>
        <v>3310.1936363636355</v>
      </c>
    </row>
    <row r="136" spans="1:15" ht="30.75" customHeight="1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85" t="s">
        <v>185</v>
      </c>
      <c r="B138" s="885"/>
      <c r="C138" s="885"/>
      <c r="D138" s="151" t="s">
        <v>183</v>
      </c>
      <c r="E138" s="95">
        <f>'10'!F138</f>
        <v>880248</v>
      </c>
      <c r="F138" s="147">
        <f>880248+160</f>
        <v>880408</v>
      </c>
      <c r="G138" s="112">
        <f t="shared" ref="G138:G152" si="11">F138-E138</f>
        <v>160</v>
      </c>
      <c r="H138" s="99">
        <f>G138+'10'!H138</f>
        <v>1624</v>
      </c>
      <c r="I138" s="118"/>
      <c r="J138" s="328">
        <f>H138/DAY(B2)</f>
        <v>147.63636363636363</v>
      </c>
    </row>
    <row r="139" spans="1:15" ht="30.75" customHeight="1">
      <c r="A139" s="885" t="s">
        <v>186</v>
      </c>
      <c r="B139" s="885"/>
      <c r="C139" s="885"/>
      <c r="D139" s="151" t="s">
        <v>183</v>
      </c>
      <c r="E139" s="95">
        <f>'10'!F139</f>
        <v>896403</v>
      </c>
      <c r="F139" s="148">
        <f>896403+156</f>
        <v>896559</v>
      </c>
      <c r="G139" s="112">
        <f t="shared" si="11"/>
        <v>156</v>
      </c>
      <c r="H139" s="99">
        <f>G139+'10'!H139</f>
        <v>1693</v>
      </c>
      <c r="I139" s="118"/>
      <c r="J139" s="328">
        <f>H139/DAY(B2)</f>
        <v>153.90909090909091</v>
      </c>
    </row>
    <row r="140" spans="1:15" ht="30.75" customHeight="1">
      <c r="A140" s="885" t="s">
        <v>187</v>
      </c>
      <c r="B140" s="885"/>
      <c r="C140" s="885"/>
      <c r="D140" s="151" t="s">
        <v>183</v>
      </c>
      <c r="E140" s="95">
        <f>'10'!F140</f>
        <v>259</v>
      </c>
      <c r="F140" s="149">
        <v>284.72000000000003</v>
      </c>
      <c r="G140" s="112">
        <f t="shared" si="11"/>
        <v>25.720000000000027</v>
      </c>
      <c r="H140" s="99">
        <f>G140+'10'!H140</f>
        <v>149.72000000000003</v>
      </c>
      <c r="I140" s="118"/>
      <c r="J140" s="328">
        <f>H140/DAY(B2)</f>
        <v>13.610909090909093</v>
      </c>
    </row>
    <row r="141" spans="1:15" ht="30.75" customHeight="1">
      <c r="A141" s="864" t="s">
        <v>188</v>
      </c>
      <c r="B141" s="864"/>
      <c r="C141" s="864"/>
      <c r="D141" s="151" t="s">
        <v>183</v>
      </c>
      <c r="E141" s="95">
        <f>'10'!F141</f>
        <v>73823.27</v>
      </c>
      <c r="F141" s="149">
        <v>74009.100000000006</v>
      </c>
      <c r="G141" s="112">
        <f t="shared" si="11"/>
        <v>185.83000000000175</v>
      </c>
      <c r="H141" s="99">
        <f>G141+'10'!H141</f>
        <v>2235.1000000000058</v>
      </c>
      <c r="I141" s="118"/>
      <c r="J141" s="328">
        <f>H141/DAY(B2)</f>
        <v>203.19090909090963</v>
      </c>
    </row>
    <row r="142" spans="1:15" ht="30.75" customHeight="1">
      <c r="A142" s="864" t="s">
        <v>189</v>
      </c>
      <c r="B142" s="864"/>
      <c r="C142" s="864"/>
      <c r="D142" s="151" t="s">
        <v>183</v>
      </c>
      <c r="E142" s="95">
        <f>'10'!F142</f>
        <v>28150</v>
      </c>
      <c r="F142" s="148">
        <v>28210.58</v>
      </c>
      <c r="G142" s="112">
        <f t="shared" si="11"/>
        <v>60.580000000001746</v>
      </c>
      <c r="H142" s="99">
        <f>G142+'10'!H142</f>
        <v>744.58000000000175</v>
      </c>
      <c r="I142" s="140"/>
      <c r="J142" s="328">
        <f>H142/DAY(B2)</f>
        <v>67.689090909091064</v>
      </c>
    </row>
    <row r="143" spans="1:15" ht="30.75" customHeight="1">
      <c r="A143" s="885" t="s">
        <v>91</v>
      </c>
      <c r="B143" s="885"/>
      <c r="C143" s="885"/>
      <c r="D143" s="151" t="s">
        <v>183</v>
      </c>
      <c r="E143" s="95">
        <f>'10'!F143</f>
        <v>6697.09</v>
      </c>
      <c r="F143" s="149">
        <v>6725.02</v>
      </c>
      <c r="G143" s="112">
        <f t="shared" si="11"/>
        <v>27.930000000000291</v>
      </c>
      <c r="H143" s="99">
        <f>G143+'10'!H143</f>
        <v>308.02000000000044</v>
      </c>
      <c r="I143" s="140"/>
      <c r="J143" s="328">
        <f>H143/DAY(B2)</f>
        <v>28.001818181818223</v>
      </c>
    </row>
    <row r="144" spans="1:15" ht="30.75" customHeight="1">
      <c r="A144" s="864" t="s">
        <v>90</v>
      </c>
      <c r="B144" s="864"/>
      <c r="C144" s="864"/>
      <c r="D144" s="151" t="s">
        <v>183</v>
      </c>
      <c r="E144" s="95">
        <f>'10'!F144</f>
        <v>899795</v>
      </c>
      <c r="F144" s="149">
        <v>900053</v>
      </c>
      <c r="G144" s="112">
        <f t="shared" si="11"/>
        <v>258</v>
      </c>
      <c r="H144" s="99">
        <f>G144+'10'!H144</f>
        <v>2820</v>
      </c>
      <c r="I144" s="140"/>
      <c r="J144" s="328">
        <f>H144/DAY(B2)</f>
        <v>256.36363636363637</v>
      </c>
    </row>
    <row r="145" spans="1:10" ht="30.75" customHeight="1">
      <c r="A145" s="885" t="s">
        <v>190</v>
      </c>
      <c r="B145" s="885"/>
      <c r="C145" s="885"/>
      <c r="D145" s="152" t="s">
        <v>183</v>
      </c>
      <c r="E145" s="95">
        <f>'10'!F145</f>
        <v>5652.76</v>
      </c>
      <c r="F145" s="149">
        <v>5655.27</v>
      </c>
      <c r="G145" s="112">
        <f t="shared" si="11"/>
        <v>2.5100000000002183</v>
      </c>
      <c r="H145" s="99">
        <f>G145+'10'!H145</f>
        <v>27.270000000000437</v>
      </c>
      <c r="I145" s="140"/>
      <c r="J145" s="328">
        <f>H145/DAY(B2)</f>
        <v>2.479090909090949</v>
      </c>
    </row>
    <row r="146" spans="1:10" ht="30.75" customHeight="1">
      <c r="A146" s="920" t="s">
        <v>191</v>
      </c>
      <c r="B146" s="905"/>
      <c r="C146" s="906"/>
      <c r="D146" s="152" t="s">
        <v>183</v>
      </c>
      <c r="E146" s="95">
        <f>'10'!F146</f>
        <v>776767</v>
      </c>
      <c r="F146" s="148">
        <f>776767+25</f>
        <v>776792</v>
      </c>
      <c r="G146" s="112">
        <f t="shared" si="11"/>
        <v>25</v>
      </c>
      <c r="H146" s="99">
        <f>G146+'10'!H146</f>
        <v>338</v>
      </c>
      <c r="I146" s="140"/>
      <c r="J146" s="328">
        <f>H146/DAY(B2)</f>
        <v>30.727272727272727</v>
      </c>
    </row>
    <row r="147" spans="1:10" ht="30.75" customHeight="1">
      <c r="A147" s="864" t="s">
        <v>192</v>
      </c>
      <c r="B147" s="864"/>
      <c r="C147" s="864"/>
      <c r="D147" s="152" t="s">
        <v>183</v>
      </c>
      <c r="E147" s="95">
        <f>'10'!F147</f>
        <v>667256.80000000005</v>
      </c>
      <c r="F147" s="148">
        <v>667656</v>
      </c>
      <c r="G147" s="112">
        <f t="shared" si="11"/>
        <v>399.19999999995343</v>
      </c>
      <c r="H147" s="99">
        <f>G147+'10'!H147</f>
        <v>4428</v>
      </c>
      <c r="I147" s="140"/>
      <c r="J147" s="328">
        <f>H147/DAY(B2)</f>
        <v>402.54545454545456</v>
      </c>
    </row>
    <row r="148" spans="1:10" ht="30.75" customHeight="1">
      <c r="A148" s="865" t="s">
        <v>193</v>
      </c>
      <c r="B148" s="866"/>
      <c r="C148" s="867"/>
      <c r="D148" s="123" t="s">
        <v>130</v>
      </c>
      <c r="E148" s="95">
        <f>'10'!F148</f>
        <v>723443.28</v>
      </c>
      <c r="F148" s="150">
        <v>723771</v>
      </c>
      <c r="G148" s="112">
        <f t="shared" si="11"/>
        <v>327.71999999997206</v>
      </c>
      <c r="H148" s="99">
        <f>G148+'10'!H148</f>
        <v>3855</v>
      </c>
      <c r="I148" s="124"/>
      <c r="J148" s="328">
        <f>H148/DAY(B2)</f>
        <v>350.45454545454544</v>
      </c>
    </row>
    <row r="149" spans="1:10" ht="30.75" customHeight="1">
      <c r="A149" s="865" t="s">
        <v>336</v>
      </c>
      <c r="B149" s="866"/>
      <c r="C149" s="867"/>
      <c r="D149" s="227" t="s">
        <v>130</v>
      </c>
      <c r="E149" s="95">
        <f>'10'!F149</f>
        <v>89046.7</v>
      </c>
      <c r="F149" s="146">
        <v>89363.199999999997</v>
      </c>
      <c r="G149" s="112">
        <f t="shared" si="11"/>
        <v>316.5</v>
      </c>
      <c r="H149" s="99">
        <f>G149+'10'!H149</f>
        <v>5975.1999999999971</v>
      </c>
      <c r="I149" s="119"/>
      <c r="J149" s="328">
        <f>H149/DAY(B2)</f>
        <v>543.1999999999997</v>
      </c>
    </row>
    <row r="150" spans="1:10" ht="30.75" customHeight="1">
      <c r="A150" s="865" t="s">
        <v>337</v>
      </c>
      <c r="B150" s="866"/>
      <c r="C150" s="867"/>
      <c r="D150" s="117" t="s">
        <v>130</v>
      </c>
      <c r="E150" s="95">
        <f>'10'!F150</f>
        <v>32771.550000000003</v>
      </c>
      <c r="F150" s="233">
        <v>32971.9</v>
      </c>
      <c r="G150" s="112">
        <f t="shared" si="11"/>
        <v>200.34999999999854</v>
      </c>
      <c r="H150" s="99">
        <f>G150+'10'!H150</f>
        <v>2384.9000000000015</v>
      </c>
      <c r="I150" s="119"/>
      <c r="J150" s="328">
        <f>H150/DAY(B2)</f>
        <v>216.80909090909105</v>
      </c>
    </row>
    <row r="151" spans="1:10" ht="30.75" customHeight="1">
      <c r="A151" s="865" t="s">
        <v>338</v>
      </c>
      <c r="B151" s="866"/>
      <c r="C151" s="867"/>
      <c r="D151" s="117" t="s">
        <v>130</v>
      </c>
      <c r="E151" s="95">
        <f>'10'!F151</f>
        <v>112285</v>
      </c>
      <c r="F151" s="233">
        <v>112538</v>
      </c>
      <c r="G151" s="112">
        <f t="shared" si="11"/>
        <v>253</v>
      </c>
      <c r="H151" s="99">
        <f>G151+'10'!H151</f>
        <v>3310</v>
      </c>
      <c r="I151" s="119"/>
      <c r="J151" s="328">
        <f>H151/DAY(B2)</f>
        <v>300.90909090909093</v>
      </c>
    </row>
    <row r="152" spans="1:10" ht="30.75" customHeight="1">
      <c r="A152" s="865" t="s">
        <v>339</v>
      </c>
      <c r="B152" s="866"/>
      <c r="C152" s="867"/>
      <c r="D152" s="117" t="s">
        <v>130</v>
      </c>
      <c r="E152" s="95">
        <f>'10'!F152</f>
        <v>12599.7</v>
      </c>
      <c r="F152" s="233">
        <v>12747.83</v>
      </c>
      <c r="G152" s="112">
        <f t="shared" si="11"/>
        <v>148.1299999999992</v>
      </c>
      <c r="H152" s="99">
        <f>G152+'10'!H152</f>
        <v>1591.83</v>
      </c>
      <c r="I152" s="119"/>
      <c r="J152" s="328">
        <f>H152/DAY(B2)</f>
        <v>144.71181818181819</v>
      </c>
    </row>
    <row r="153" spans="1:10" ht="30.75" customHeight="1">
      <c r="A153" s="868" t="s">
        <v>196</v>
      </c>
      <c r="B153" s="869"/>
      <c r="C153" s="365"/>
      <c r="D153" s="358"/>
      <c r="E153" s="360"/>
      <c r="F153" s="361"/>
      <c r="G153" s="362">
        <f>SUM(G138:G152)</f>
        <v>2546.4699999999275</v>
      </c>
      <c r="H153" s="363"/>
      <c r="I153" s="119">
        <f>G153-(G38+G52)</f>
        <v>527.90999999992982</v>
      </c>
      <c r="J153" s="366"/>
    </row>
    <row r="154" spans="1:10" ht="30.75" customHeight="1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30.75" customHeight="1">
      <c r="A155" s="864" t="s">
        <v>345</v>
      </c>
      <c r="B155" s="864"/>
      <c r="C155" s="864"/>
      <c r="D155" s="117" t="s">
        <v>130</v>
      </c>
      <c r="E155" s="95">
        <f>'10'!F155</f>
        <v>99031</v>
      </c>
      <c r="F155" s="157">
        <f>99031+650</f>
        <v>99681</v>
      </c>
      <c r="G155" s="112">
        <f t="shared" ref="G155:G159" si="12">F155-E155</f>
        <v>650</v>
      </c>
      <c r="H155" s="99">
        <f>G155+'10'!H155</f>
        <v>6949</v>
      </c>
      <c r="I155" s="364"/>
      <c r="J155" s="328">
        <f>H155/DAY(B2)</f>
        <v>631.72727272727275</v>
      </c>
    </row>
    <row r="156" spans="1:10" ht="30.75" customHeight="1">
      <c r="A156" s="864" t="s">
        <v>347</v>
      </c>
      <c r="B156" s="864"/>
      <c r="C156" s="864"/>
      <c r="D156" s="117" t="s">
        <v>130</v>
      </c>
      <c r="E156" s="95">
        <f>'10'!F156</f>
        <v>8319</v>
      </c>
      <c r="F156" s="155">
        <f>8319+59</f>
        <v>8378</v>
      </c>
      <c r="G156" s="112">
        <f t="shared" si="12"/>
        <v>59</v>
      </c>
      <c r="H156" s="99">
        <f>G156+'10'!H156</f>
        <v>687</v>
      </c>
      <c r="I156" s="165"/>
      <c r="J156" s="328">
        <f>H156/DAY(B2)</f>
        <v>62.454545454545453</v>
      </c>
    </row>
    <row r="157" spans="1:10" ht="30.75" customHeight="1">
      <c r="A157" s="865" t="s">
        <v>361</v>
      </c>
      <c r="B157" s="866"/>
      <c r="C157" s="867"/>
      <c r="D157" s="117" t="s">
        <v>130</v>
      </c>
      <c r="E157" s="95">
        <f>'10'!F157</f>
        <v>14668.6</v>
      </c>
      <c r="F157" s="155">
        <v>14785.9</v>
      </c>
      <c r="G157" s="112">
        <f t="shared" si="12"/>
        <v>117.29999999999927</v>
      </c>
      <c r="H157" s="99">
        <f>G157+'10'!H157</f>
        <v>1289.8999999999996</v>
      </c>
      <c r="I157" s="165"/>
      <c r="J157" s="328">
        <f>H157/DAY(B2)</f>
        <v>117.26363636363634</v>
      </c>
    </row>
    <row r="158" spans="1:10" ht="30.75" customHeight="1">
      <c r="A158" s="865" t="s">
        <v>362</v>
      </c>
      <c r="B158" s="866"/>
      <c r="C158" s="867"/>
      <c r="D158" s="117" t="s">
        <v>130</v>
      </c>
      <c r="E158" s="95">
        <f>'10'!F158</f>
        <v>126.3</v>
      </c>
      <c r="F158" s="155">
        <v>126.3</v>
      </c>
      <c r="G158" s="112">
        <f t="shared" si="12"/>
        <v>0</v>
      </c>
      <c r="H158" s="99">
        <f>G158+'10'!H158</f>
        <v>46.759999999999991</v>
      </c>
      <c r="I158" s="165"/>
      <c r="J158" s="328">
        <f>H158/DAY(B2)</f>
        <v>4.2509090909090901</v>
      </c>
    </row>
    <row r="159" spans="1:10" ht="30.75" customHeight="1">
      <c r="A159" s="950"/>
      <c r="B159" s="951"/>
      <c r="C159" s="952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475016.64</v>
      </c>
      <c r="F161" s="235">
        <v>475041.72</v>
      </c>
      <c r="G161" s="238">
        <f>F161-E161</f>
        <v>25.07999999995809</v>
      </c>
      <c r="H161" s="99">
        <f>G161+'10'!H161</f>
        <v>258.71999999997206</v>
      </c>
      <c r="I161" s="236"/>
      <c r="J161" s="239">
        <f>H161/DAY(B2)</f>
        <v>23.519999999997459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91911.2</v>
      </c>
      <c r="F162" s="235">
        <v>91956.7</v>
      </c>
      <c r="G162" s="238">
        <f t="shared" ref="G162:G165" si="13">F162-E162</f>
        <v>45.5</v>
      </c>
      <c r="H162" s="99">
        <f>G162+'10'!H162</f>
        <v>409.69999999999709</v>
      </c>
      <c r="I162" s="236"/>
      <c r="J162" s="239">
        <f>H162/DAY(B2)</f>
        <v>37.24545454545428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93691.6</v>
      </c>
      <c r="F163" s="235">
        <v>93862.7</v>
      </c>
      <c r="G163" s="238">
        <f t="shared" si="13"/>
        <v>171.09999999999127</v>
      </c>
      <c r="H163" s="99">
        <f>G163+'10'!H163</f>
        <v>1826.6999999999971</v>
      </c>
      <c r="I163" s="236"/>
      <c r="J163" s="239">
        <f>H163/DAY(B2)</f>
        <v>166.06363636363611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5297.5</v>
      </c>
      <c r="F164" s="235">
        <v>5309.7</v>
      </c>
      <c r="G164" s="238">
        <f t="shared" si="13"/>
        <v>12.199999999999818</v>
      </c>
      <c r="H164" s="99">
        <f>G164+'10'!H164</f>
        <v>127.69999999999982</v>
      </c>
      <c r="I164" s="236"/>
      <c r="J164" s="239">
        <f>H164/DAY(B2)</f>
        <v>11.609090909090893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30759.9</v>
      </c>
      <c r="F165" s="235">
        <v>30777.65</v>
      </c>
      <c r="G165" s="238">
        <f t="shared" si="13"/>
        <v>17.75</v>
      </c>
      <c r="H165" s="99">
        <f>G165+'10'!H165</f>
        <v>143.65000000000146</v>
      </c>
      <c r="I165" s="236"/>
      <c r="J165" s="239">
        <f>H165/DAY(B2)</f>
        <v>13.059090909091042</v>
      </c>
    </row>
    <row r="166" spans="1:10" ht="30.75" customHeight="1">
      <c r="A166" s="873"/>
      <c r="B166" s="873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873"/>
      <c r="B167" s="873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873"/>
      <c r="B168" s="873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30.75" customHeight="1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79" t="s">
        <v>209</v>
      </c>
      <c r="B173" s="880"/>
      <c r="C173" s="333"/>
      <c r="D173" s="228" t="s">
        <v>142</v>
      </c>
      <c r="E173" s="95">
        <f>'10'!F173</f>
        <v>8265</v>
      </c>
      <c r="F173" s="157">
        <v>8265</v>
      </c>
      <c r="G173" s="155">
        <f>F173-E173</f>
        <v>0</v>
      </c>
      <c r="H173" s="99">
        <f>G173+'10'!H173</f>
        <v>4</v>
      </c>
      <c r="I173" s="155"/>
      <c r="J173" s="178">
        <f>H173/DAY(B2)</f>
        <v>0.36363636363636365</v>
      </c>
    </row>
    <row r="174" spans="1:10" ht="30.75" customHeight="1">
      <c r="A174" s="879" t="s">
        <v>75</v>
      </c>
      <c r="B174" s="880"/>
      <c r="C174" s="333"/>
      <c r="D174" s="228" t="s">
        <v>142</v>
      </c>
      <c r="E174" s="95">
        <f>'10'!F174</f>
        <v>40072</v>
      </c>
      <c r="F174" s="157">
        <v>40075</v>
      </c>
      <c r="G174" s="155">
        <f t="shared" ref="G174:G175" si="14">F174-E174</f>
        <v>3</v>
      </c>
      <c r="H174" s="99">
        <f>G174+'10'!H174</f>
        <v>147</v>
      </c>
      <c r="I174" s="155"/>
      <c r="J174" s="178">
        <f>H174/DAY(B2)</f>
        <v>13.363636363636363</v>
      </c>
    </row>
    <row r="175" spans="1:10" ht="30.75" customHeight="1">
      <c r="A175" s="879" t="s">
        <v>76</v>
      </c>
      <c r="B175" s="919"/>
      <c r="C175" s="880"/>
      <c r="D175" s="228" t="s">
        <v>142</v>
      </c>
      <c r="E175" s="95">
        <f>'10'!F175</f>
        <v>23017</v>
      </c>
      <c r="F175" s="155">
        <v>23024</v>
      </c>
      <c r="G175" s="155">
        <f t="shared" si="14"/>
        <v>7</v>
      </c>
      <c r="H175" s="99">
        <f>G175+'10'!H175</f>
        <v>135</v>
      </c>
      <c r="I175" s="155"/>
      <c r="J175" s="178">
        <f>H175/DAY(B2)</f>
        <v>12.272727272727273</v>
      </c>
    </row>
    <row r="176" spans="1:10" ht="30.75" customHeight="1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10</v>
      </c>
      <c r="H176" s="99">
        <f>G176+'10'!H176</f>
        <v>286</v>
      </c>
      <c r="I176" s="155"/>
      <c r="J176" s="178">
        <f>H176/DAY(B2)</f>
        <v>26</v>
      </c>
    </row>
    <row r="177" spans="1:10" ht="30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79" t="s">
        <v>210</v>
      </c>
      <c r="B178" s="880"/>
      <c r="C178" s="333"/>
      <c r="D178" s="228" t="s">
        <v>142</v>
      </c>
      <c r="E178" s="95">
        <f>'10'!F178</f>
        <v>89679</v>
      </c>
      <c r="F178" s="155">
        <v>89757</v>
      </c>
      <c r="G178" s="155">
        <f>F178-E178</f>
        <v>78</v>
      </c>
      <c r="H178" s="99">
        <f>G178+'10'!H178</f>
        <v>1154</v>
      </c>
      <c r="I178" s="155"/>
      <c r="J178" s="178">
        <f>H178/DAY(B2)</f>
        <v>104.90909090909091</v>
      </c>
    </row>
    <row r="179" spans="1:10" ht="30.75" customHeight="1">
      <c r="A179" s="879" t="s">
        <v>211</v>
      </c>
      <c r="B179" s="880"/>
      <c r="C179" s="333"/>
      <c r="D179" s="228" t="s">
        <v>142</v>
      </c>
      <c r="E179" s="95">
        <f>'10'!F179</f>
        <v>35773</v>
      </c>
      <c r="F179" s="155">
        <v>35775</v>
      </c>
      <c r="G179" s="155">
        <f t="shared" ref="G179:G180" si="15">F179-E179</f>
        <v>2</v>
      </c>
      <c r="H179" s="99">
        <f>G179+'10'!H179</f>
        <v>2</v>
      </c>
      <c r="I179" s="155"/>
      <c r="J179" s="178">
        <f>H179/DAY(B2)</f>
        <v>0.18181818181818182</v>
      </c>
    </row>
    <row r="180" spans="1:10" ht="30.75" customHeight="1">
      <c r="A180" s="879" t="s">
        <v>212</v>
      </c>
      <c r="B180" s="880"/>
      <c r="C180" s="333"/>
      <c r="D180" s="228" t="s">
        <v>142</v>
      </c>
      <c r="E180" s="95">
        <f>'10'!F180</f>
        <v>6470</v>
      </c>
      <c r="F180" s="155">
        <v>6487</v>
      </c>
      <c r="G180" s="155">
        <f t="shared" si="15"/>
        <v>17</v>
      </c>
      <c r="H180" s="99">
        <f>G180+'10'!H180</f>
        <v>98</v>
      </c>
      <c r="I180" s="155"/>
      <c r="J180" s="178">
        <f>H180/DAY(B2)</f>
        <v>8.9090909090909083</v>
      </c>
    </row>
    <row r="181" spans="1:10" ht="30.75" customHeight="1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97</v>
      </c>
      <c r="H181" s="99">
        <f>G181+'10'!H181</f>
        <v>1254</v>
      </c>
      <c r="I181" s="155"/>
      <c r="J181" s="178">
        <f>H181/DAY(B2)</f>
        <v>114</v>
      </c>
    </row>
    <row r="182" spans="1:10" ht="30.75" customHeight="1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79" t="s">
        <v>214</v>
      </c>
      <c r="B183" s="880"/>
      <c r="C183" s="334"/>
      <c r="D183" s="228" t="s">
        <v>142</v>
      </c>
      <c r="E183" s="95">
        <f>'10'!F183</f>
        <v>16722</v>
      </c>
      <c r="F183" s="157">
        <v>16732</v>
      </c>
      <c r="G183" s="157">
        <f>F183-E183</f>
        <v>10</v>
      </c>
      <c r="H183" s="99">
        <f>G183+'10'!H183</f>
        <v>110</v>
      </c>
      <c r="I183" s="155"/>
      <c r="J183" s="178">
        <f>H183/DAY(B2)</f>
        <v>10</v>
      </c>
    </row>
    <row r="184" spans="1:10" ht="30.75" customHeight="1">
      <c r="A184" s="879" t="s">
        <v>215</v>
      </c>
      <c r="B184" s="880"/>
      <c r="C184" s="334"/>
      <c r="D184" s="228" t="s">
        <v>142</v>
      </c>
      <c r="E184" s="95">
        <f>'10'!F184</f>
        <v>11344</v>
      </c>
      <c r="F184" s="157">
        <v>11347</v>
      </c>
      <c r="G184" s="157">
        <f t="shared" ref="G184:G185" si="16">F184-E184</f>
        <v>3</v>
      </c>
      <c r="H184" s="99">
        <f>G184+'10'!H184</f>
        <v>73</v>
      </c>
      <c r="I184" s="155"/>
      <c r="J184" s="178">
        <f>H184/DAY(B2)</f>
        <v>6.6363636363636367</v>
      </c>
    </row>
    <row r="185" spans="1:10" ht="30.75" customHeight="1">
      <c r="A185" s="879" t="s">
        <v>216</v>
      </c>
      <c r="B185" s="880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13</v>
      </c>
      <c r="H186" s="99">
        <f>G186+'10'!H186</f>
        <v>183</v>
      </c>
      <c r="I186" s="157"/>
      <c r="J186" s="178">
        <f>H186/DAY(B2)</f>
        <v>16.636363636363637</v>
      </c>
    </row>
    <row r="187" spans="1:10" ht="30.75" customHeight="1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54</v>
      </c>
      <c r="H187" s="99">
        <f>G187+'10'!H187</f>
        <v>2133</v>
      </c>
      <c r="I187" s="158"/>
      <c r="J187" s="179">
        <f>H187/DAY(B2)</f>
        <v>193.90909090909091</v>
      </c>
    </row>
    <row r="188" spans="1:10" ht="30.75" customHeight="1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197</v>
      </c>
      <c r="H188" s="99">
        <f>G188+'10'!H188</f>
        <v>2438</v>
      </c>
      <c r="I188" s="158"/>
      <c r="J188" s="179">
        <f>H188/DAY(B2)</f>
        <v>221.63636363636363</v>
      </c>
    </row>
    <row r="189" spans="1:10" ht="30.75" customHeight="1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97</v>
      </c>
      <c r="H189" s="99">
        <f>G189+'10'!H189</f>
        <v>1254</v>
      </c>
      <c r="I189" s="158"/>
      <c r="J189" s="179">
        <f>H189/DAY(B2)</f>
        <v>114</v>
      </c>
    </row>
    <row r="190" spans="1:10" ht="30.75" customHeight="1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30" zoomScale="55" zoomScaleNormal="75" zoomScaleSheetLayoutView="55" workbookViewId="0">
      <selection activeCell="F174" sqref="F174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32.25" customHeight="1">
      <c r="A2" s="191" t="s">
        <v>349</v>
      </c>
      <c r="B2" s="262">
        <v>44693</v>
      </c>
      <c r="C2" s="34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33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0.81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130272</v>
      </c>
      <c r="F7" s="95">
        <v>158721</v>
      </c>
      <c r="G7" s="112">
        <f>F7-E7</f>
        <v>28449</v>
      </c>
      <c r="H7" s="99">
        <f>G7+'11'!H7</f>
        <v>327683</v>
      </c>
      <c r="I7" s="113">
        <f>'1'!I7</f>
        <v>12000</v>
      </c>
      <c r="J7" s="175">
        <f>H7/DAY(B2)</f>
        <v>27306.916666666668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224389</v>
      </c>
      <c r="F8" s="114">
        <v>253550.9</v>
      </c>
      <c r="G8" s="115">
        <f>F8-E8</f>
        <v>29161.899999999994</v>
      </c>
      <c r="H8" s="99">
        <f>G8+'11'!H8</f>
        <v>334428.17999999993</v>
      </c>
      <c r="I8" s="116"/>
      <c r="J8" s="175">
        <f>H8/DAY(B2)</f>
        <v>27869.014999999996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2119304.2999999998</v>
      </c>
      <c r="F9" s="470">
        <v>2138014.7000000002</v>
      </c>
      <c r="G9" s="112">
        <f>F9-E9</f>
        <v>18710.400000000373</v>
      </c>
      <c r="H9" s="99">
        <f>G9+'11'!H9</f>
        <v>246979.70000000019</v>
      </c>
      <c r="I9" s="124">
        <f>I7-J7</f>
        <v>-15306.916666666668</v>
      </c>
      <c r="J9" s="175">
        <f>H9/DAY(B2)</f>
        <v>20581.641666666681</v>
      </c>
      <c r="K9" s="79">
        <f>K8-100</f>
        <v>1715817</v>
      </c>
      <c r="L9" s="66"/>
      <c r="N9" s="87"/>
      <c r="O9" s="71">
        <f>G9-G10</f>
        <v>9740.1600000003818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677990.47</v>
      </c>
      <c r="F10" s="353">
        <v>686960.71</v>
      </c>
      <c r="G10" s="112">
        <f t="shared" ref="G10:G12" si="0">F10-E10</f>
        <v>8970.2399999999907</v>
      </c>
      <c r="H10" s="99">
        <f>G10+'11'!H10</f>
        <v>71424.709999999963</v>
      </c>
      <c r="I10" s="282"/>
      <c r="J10" s="175">
        <f>H10/DAY(B2)</f>
        <v>5952.0591666666633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27680.640000000363</v>
      </c>
      <c r="H13" s="99">
        <f>G13+'11'!H13</f>
        <v>315888.16000000015</v>
      </c>
      <c r="I13" s="120">
        <f>G7-G13</f>
        <v>768.35999999963678</v>
      </c>
      <c r="J13" s="175">
        <f>H13/DAY(B2)</f>
        <v>26324.013333333347</v>
      </c>
      <c r="K13" s="79"/>
      <c r="L13" s="66"/>
      <c r="N13" s="87"/>
      <c r="O13" s="71"/>
    </row>
    <row r="14" spans="1:15" ht="32.25" customHeight="1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2015674.1</v>
      </c>
      <c r="F15" s="470">
        <f>E15+1100</f>
        <v>2016774.1</v>
      </c>
      <c r="G15" s="112">
        <f>(F15-E15)</f>
        <v>1100</v>
      </c>
      <c r="H15" s="99">
        <f>G15+'11'!H15</f>
        <v>13047.100000000093</v>
      </c>
      <c r="I15" s="113">
        <f>'1'!I15</f>
        <v>800</v>
      </c>
      <c r="J15" s="175">
        <f>H15/DAY(B2)</f>
        <v>1087.2583333333412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-287.25833333334117</v>
      </c>
      <c r="J16" s="176"/>
      <c r="K16" s="79"/>
      <c r="L16" s="66"/>
      <c r="N16" s="87"/>
      <c r="O16" s="71"/>
    </row>
    <row r="17" spans="1:15" ht="32.25" customHeight="1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907" t="s">
        <v>141</v>
      </c>
      <c r="B18" s="908"/>
      <c r="C18" s="909"/>
      <c r="D18" s="151" t="s">
        <v>142</v>
      </c>
      <c r="E18" s="95">
        <f>'11'!F18</f>
        <v>0</v>
      </c>
      <c r="F18" s="122">
        <v>0</v>
      </c>
      <c r="G18" s="119">
        <f>F18*10</f>
        <v>0</v>
      </c>
      <c r="H18" s="99">
        <f>G18+'11'!H18</f>
        <v>2300</v>
      </c>
      <c r="I18" s="113">
        <f>'1'!I18</f>
        <v>65</v>
      </c>
      <c r="J18" s="175">
        <f>H18/DAY(B2)</f>
        <v>191.66666666666666</v>
      </c>
      <c r="K18" s="79"/>
      <c r="L18" s="66"/>
      <c r="N18" s="87"/>
      <c r="O18" s="71"/>
    </row>
    <row r="19" spans="1:15" ht="32.25" customHeight="1">
      <c r="A19" s="907" t="s">
        <v>69</v>
      </c>
      <c r="B19" s="908"/>
      <c r="C19" s="909"/>
      <c r="D19" s="151" t="s">
        <v>142</v>
      </c>
      <c r="E19" s="95">
        <f>'11'!F19</f>
        <v>159054</v>
      </c>
      <c r="F19" s="122">
        <v>159109</v>
      </c>
      <c r="G19" s="112">
        <f t="shared" ref="G19" si="1">F19-E19</f>
        <v>55</v>
      </c>
      <c r="H19" s="99">
        <f>G19+'11'!H19</f>
        <v>655</v>
      </c>
      <c r="I19" s="335"/>
      <c r="J19" s="175">
        <f>H19/DAY(B2)</f>
        <v>54.583333333333336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55</v>
      </c>
      <c r="H20" s="99">
        <f>G20+'11'!H20</f>
        <v>2955</v>
      </c>
      <c r="I20" s="336">
        <f>I18-J20</f>
        <v>-181.25</v>
      </c>
      <c r="J20" s="175">
        <f>H20/DAY(B2)</f>
        <v>246.25</v>
      </c>
      <c r="K20" s="79"/>
      <c r="L20" s="66"/>
      <c r="N20" s="87"/>
      <c r="O20" s="71"/>
    </row>
    <row r="21" spans="1:15" ht="32.25" customHeight="1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29161.899999999994</v>
      </c>
      <c r="F27" s="136">
        <v>9</v>
      </c>
      <c r="G27" s="137">
        <f>E27*F27</f>
        <v>262457.09999999998</v>
      </c>
      <c r="H27" s="99">
        <f>G27+'11'!H27</f>
        <v>3009853.62</v>
      </c>
      <c r="I27" s="138"/>
      <c r="J27" s="175">
        <f>H27/DAY(B2)</f>
        <v>250821.13500000001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G28+'11'!H28</f>
        <v>857603.20000000484</v>
      </c>
      <c r="I28" s="140"/>
      <c r="J28" s="175">
        <f>H28/DAY(B2)</f>
        <v>71466.933333333742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G30+'11'!H30</f>
        <v>98090</v>
      </c>
      <c r="I30" s="140"/>
      <c r="J30" s="175">
        <f>H30/DAY(B2)</f>
        <v>8174.166666666667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>E31*F31</f>
        <v>0</v>
      </c>
      <c r="H31" s="99">
        <f>G31+'11'!H31</f>
        <v>184000</v>
      </c>
      <c r="I31" s="140"/>
      <c r="J31" s="175">
        <f>H31/DAY(B2)</f>
        <v>15333.333333333334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347762.1</v>
      </c>
      <c r="H32" s="99">
        <f>G32+'11'!H32</f>
        <v>4149546.820000005</v>
      </c>
      <c r="I32" s="144"/>
      <c r="J32" s="175">
        <f>H32/DAY(B2)</f>
        <v>345795.56833333377</v>
      </c>
      <c r="K32" s="63"/>
      <c r="L32" s="89"/>
      <c r="N32" s="87"/>
      <c r="O32" s="71"/>
    </row>
    <row r="33" spans="1:15" ht="32.2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225879.89</v>
      </c>
      <c r="F35" s="145">
        <v>228139.6</v>
      </c>
      <c r="G35" s="112">
        <f t="shared" ref="G35:G46" si="3">F35-E35</f>
        <v>2259.7099999999919</v>
      </c>
      <c r="H35" s="99">
        <f>G35+'11'!H35</f>
        <v>25254.600000000006</v>
      </c>
      <c r="I35" s="95"/>
      <c r="J35" s="175">
        <f>H35/DAY(B2)</f>
        <v>2104.5500000000006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142306.16</v>
      </c>
      <c r="F36" s="145">
        <v>143552.5</v>
      </c>
      <c r="G36" s="112">
        <f t="shared" si="3"/>
        <v>1246.3399999999965</v>
      </c>
      <c r="H36" s="99">
        <f>G36+'11'!H36</f>
        <v>11973.5</v>
      </c>
      <c r="I36" s="95"/>
      <c r="J36" s="175">
        <f>H36/DAY(B2)</f>
        <v>997.79166666666663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201120.57</v>
      </c>
      <c r="F37" s="376">
        <v>202829.97</v>
      </c>
      <c r="G37" s="112">
        <f t="shared" si="3"/>
        <v>1709.3999999999942</v>
      </c>
      <c r="H37" s="99">
        <f>G37+'11'!H37</f>
        <v>19704.97</v>
      </c>
      <c r="I37" s="95"/>
      <c r="J37" s="175">
        <f>H37/DAY(B2)</f>
        <v>1642.0808333333334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269444.51</v>
      </c>
      <c r="F38" s="108">
        <v>271427.93</v>
      </c>
      <c r="G38" s="112">
        <f t="shared" si="3"/>
        <v>1983.4199999999837</v>
      </c>
      <c r="H38" s="99">
        <f>G38+'11'!H38</f>
        <v>27975.929999999993</v>
      </c>
      <c r="I38" s="95"/>
      <c r="J38" s="175">
        <f>H38/DAY(B2)</f>
        <v>2331.3274999999994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371749</v>
      </c>
      <c r="F39" s="145">
        <v>374783.9</v>
      </c>
      <c r="G39" s="112">
        <f t="shared" si="3"/>
        <v>3034.9000000000233</v>
      </c>
      <c r="H39" s="99">
        <f>G39+'11'!H39</f>
        <v>34795.900000000023</v>
      </c>
      <c r="I39" s="95"/>
      <c r="J39" s="175">
        <f>H39/DAY(B2)</f>
        <v>2899.6583333333351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70016.11</v>
      </c>
      <c r="F40" s="145">
        <v>70163.899999999994</v>
      </c>
      <c r="G40" s="112">
        <f t="shared" si="3"/>
        <v>147.7899999999936</v>
      </c>
      <c r="H40" s="99">
        <f>G40+'11'!H40</f>
        <v>5286.8999999999942</v>
      </c>
      <c r="I40" s="95"/>
      <c r="J40" s="175">
        <f>H40/DAY(B2)</f>
        <v>440.57499999999953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68834.19</v>
      </c>
      <c r="F41" s="145">
        <v>68834.100000000006</v>
      </c>
      <c r="G41" s="112">
        <f t="shared" si="3"/>
        <v>-8.999999999650754E-2</v>
      </c>
      <c r="H41" s="99">
        <f>G41+'11'!H41</f>
        <v>41141.100000000006</v>
      </c>
      <c r="I41" s="95"/>
      <c r="J41" s="175">
        <f>H41/DAY(B2)</f>
        <v>3428.4250000000006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459007.55</v>
      </c>
      <c r="F42" s="145">
        <v>463223.43</v>
      </c>
      <c r="G42" s="112">
        <f t="shared" si="3"/>
        <v>4215.8800000000047</v>
      </c>
      <c r="H42" s="99">
        <f>G42+'11'!H42</f>
        <v>37422.429999999993</v>
      </c>
      <c r="I42" s="95"/>
      <c r="J42" s="175">
        <f>H42/DAY(B2)</f>
        <v>3118.5358333333329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390109.95</v>
      </c>
      <c r="F43" s="376">
        <v>393087.47</v>
      </c>
      <c r="G43" s="112">
        <f t="shared" si="3"/>
        <v>2977.5199999999604</v>
      </c>
      <c r="H43" s="99">
        <f>G43+'11'!H43</f>
        <v>35568.469999999972</v>
      </c>
      <c r="I43" s="95"/>
      <c r="J43" s="175">
        <f>H43/DAY(B2)</f>
        <v>2964.0391666666642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17574.869999999952</v>
      </c>
      <c r="H47" s="99">
        <f>G47+'11'!H47</f>
        <v>239123.8</v>
      </c>
      <c r="I47" s="95"/>
      <c r="J47" s="175">
        <f>H47/DAY(B2)</f>
        <v>19926.983333333334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186890.95</v>
      </c>
      <c r="F49" s="145">
        <v>189010.69</v>
      </c>
      <c r="G49" s="112">
        <f t="shared" ref="G49:G58" si="4">F49-E49</f>
        <v>2119.7399999999907</v>
      </c>
      <c r="H49" s="99">
        <f>G49+'11'!H49</f>
        <v>23840.690000000002</v>
      </c>
      <c r="I49" s="95"/>
      <c r="J49" s="175">
        <f>H49/DAY(B2)</f>
        <v>1986.7241666666669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186419.20000000001</v>
      </c>
      <c r="F50" s="145">
        <v>187987.67</v>
      </c>
      <c r="G50" s="112">
        <f t="shared" si="4"/>
        <v>1568.4700000000012</v>
      </c>
      <c r="H50" s="99">
        <f>G50+'11'!H50</f>
        <v>15380.670000000013</v>
      </c>
      <c r="I50" s="95"/>
      <c r="J50" s="175">
        <f>H50/DAY(B2)</f>
        <v>1281.722500000001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76</v>
      </c>
      <c r="G51" s="112">
        <f t="shared" si="4"/>
        <v>0</v>
      </c>
      <c r="H51" s="99">
        <f>G51+'11'!H51</f>
        <v>0.31999999999999318</v>
      </c>
      <c r="I51" s="95"/>
      <c r="J51" s="175">
        <f>H51/DAY(B2)</f>
        <v>2.6666666666666099E-2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10</v>
      </c>
      <c r="F52" s="145">
        <v>10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55264.46</v>
      </c>
      <c r="F54" s="145">
        <v>55737.05</v>
      </c>
      <c r="G54" s="112">
        <f t="shared" si="4"/>
        <v>472.59000000000378</v>
      </c>
      <c r="H54" s="99">
        <f>G54+'11'!H54</f>
        <v>5654.0500000000029</v>
      </c>
      <c r="I54" s="95"/>
      <c r="J54" s="175">
        <f>H54/DAY(B2)</f>
        <v>471.17083333333358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163837.4</v>
      </c>
      <c r="F55" s="145">
        <v>167629.9</v>
      </c>
      <c r="G55" s="112">
        <f t="shared" si="4"/>
        <v>3792.5</v>
      </c>
      <c r="H55" s="99">
        <f>G55+'11'!H55</f>
        <v>22662.899999999994</v>
      </c>
      <c r="I55" s="95"/>
      <c r="J55" s="175">
        <f>H55/DAY(B2)</f>
        <v>1888.5749999999996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107245.66</v>
      </c>
      <c r="F56" s="145">
        <v>107245.6</v>
      </c>
      <c r="G56" s="112">
        <f t="shared" si="4"/>
        <v>-5.9999999997671694E-2</v>
      </c>
      <c r="H56" s="99">
        <f>G56+'11'!H56</f>
        <v>-0.39999999999417923</v>
      </c>
      <c r="I56" s="95"/>
      <c r="J56" s="175">
        <f>H56/DAY(B2)</f>
        <v>-3.3333333332848269E-2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27983.83</v>
      </c>
      <c r="F58" s="145">
        <v>28035.8</v>
      </c>
      <c r="G58" s="112">
        <f t="shared" si="4"/>
        <v>51.969999999997526</v>
      </c>
      <c r="H58" s="99">
        <f>G58+'11'!H58</f>
        <v>2542.7999999999993</v>
      </c>
      <c r="I58" s="95"/>
      <c r="J58" s="175">
        <f>H58/DAY(B2)</f>
        <v>211.89999999999995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8005.2099999999955</v>
      </c>
      <c r="H59" s="99">
        <f>G59+'11'!H59</f>
        <v>70081.030000000013</v>
      </c>
      <c r="I59" s="95">
        <f>G7-G60</f>
        <v>2868.9200000000528</v>
      </c>
      <c r="J59" s="175">
        <f>H59/DAY(B2)</f>
        <v>5840.0858333333344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25580.079999999947</v>
      </c>
      <c r="H60" s="99">
        <f>G60+'11'!H60</f>
        <v>309204.83</v>
      </c>
      <c r="I60" s="95">
        <f>G13-G60</f>
        <v>2100.560000000416</v>
      </c>
      <c r="J60" s="175">
        <f>H60/DAY(B2)</f>
        <v>25767.069166666668</v>
      </c>
      <c r="K60" s="79"/>
      <c r="L60" s="66"/>
      <c r="N60" s="87"/>
      <c r="O60" s="71"/>
    </row>
    <row r="61" spans="1:15" s="68" customFormat="1" ht="32.25" customHeight="1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907" t="s">
        <v>198</v>
      </c>
      <c r="B62" s="908"/>
      <c r="C62" s="909"/>
      <c r="D62" s="151" t="s">
        <v>142</v>
      </c>
      <c r="E62" s="95">
        <f>'11'!F62</f>
        <v>285542</v>
      </c>
      <c r="F62" s="122">
        <v>285542</v>
      </c>
      <c r="G62" s="112">
        <f t="shared" ref="G62:G63" si="5">F62-E62</f>
        <v>0</v>
      </c>
      <c r="H62" s="99">
        <f>G62+'11'!H62</f>
        <v>1533</v>
      </c>
      <c r="I62" s="118"/>
      <c r="J62" s="175">
        <f>H62/DAY(B2)</f>
        <v>127.75</v>
      </c>
      <c r="K62" s="80"/>
      <c r="L62" s="66"/>
      <c r="N62" s="87"/>
      <c r="O62" s="71"/>
    </row>
    <row r="63" spans="1:15" ht="32.25" customHeight="1">
      <c r="A63" s="907" t="s">
        <v>199</v>
      </c>
      <c r="B63" s="908"/>
      <c r="C63" s="909"/>
      <c r="D63" s="151" t="s">
        <v>142</v>
      </c>
      <c r="E63" s="95">
        <f>'11'!F63</f>
        <v>229089</v>
      </c>
      <c r="F63" s="122">
        <v>229228</v>
      </c>
      <c r="G63" s="112">
        <f t="shared" si="5"/>
        <v>139</v>
      </c>
      <c r="H63" s="99">
        <f>G63+'11'!H63</f>
        <v>1749</v>
      </c>
      <c r="I63" s="118"/>
      <c r="J63" s="175">
        <f>H63/DAY(B2)</f>
        <v>145.75</v>
      </c>
      <c r="K63" s="69"/>
      <c r="L63" s="66"/>
      <c r="N63" s="87"/>
      <c r="O63" s="71"/>
    </row>
    <row r="64" spans="1:15" ht="32.25" customHeight="1">
      <c r="A64" s="916" t="s">
        <v>200</v>
      </c>
      <c r="B64" s="917"/>
      <c r="C64" s="918"/>
      <c r="D64" s="151"/>
      <c r="E64" s="95">
        <f>'11'!F64</f>
        <v>0</v>
      </c>
      <c r="F64" s="122"/>
      <c r="G64" s="112">
        <f>G62+G63</f>
        <v>139</v>
      </c>
      <c r="H64" s="99">
        <f>G64+'11'!H64</f>
        <v>3282</v>
      </c>
      <c r="I64" s="118"/>
      <c r="J64" s="175">
        <f>H64/DAY(B2)</f>
        <v>273.5</v>
      </c>
      <c r="K64" s="69"/>
      <c r="L64" s="66"/>
      <c r="N64" s="87"/>
      <c r="O64" s="71"/>
    </row>
    <row r="65" spans="1:15" ht="32.25" customHeight="1">
      <c r="A65" s="907" t="s">
        <v>201</v>
      </c>
      <c r="B65" s="908"/>
      <c r="C65" s="909"/>
      <c r="D65" s="151" t="s">
        <v>142</v>
      </c>
      <c r="E65" s="95">
        <f>'11'!F65</f>
        <v>445763</v>
      </c>
      <c r="F65" s="122">
        <v>445862</v>
      </c>
      <c r="G65" s="112">
        <f t="shared" ref="G65:G70" si="6">F65-E65</f>
        <v>99</v>
      </c>
      <c r="H65" s="99">
        <f>G65+'11'!H65</f>
        <v>1270</v>
      </c>
      <c r="I65" s="118"/>
      <c r="J65" s="175">
        <f>H65/DAY(B2)</f>
        <v>105.83333333333333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109817</v>
      </c>
      <c r="F66" s="122">
        <v>109844</v>
      </c>
      <c r="G66" s="112">
        <f t="shared" si="6"/>
        <v>27</v>
      </c>
      <c r="H66" s="99">
        <f>G66+'11'!H66</f>
        <v>263</v>
      </c>
      <c r="I66" s="118"/>
      <c r="J66" s="175">
        <f>H66/DAY(B2)</f>
        <v>21.916666666666668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111754</v>
      </c>
      <c r="F67" s="122">
        <v>111829</v>
      </c>
      <c r="G67" s="112">
        <f t="shared" si="6"/>
        <v>75</v>
      </c>
      <c r="H67" s="99">
        <f>G67+'11'!H67</f>
        <v>929</v>
      </c>
      <c r="I67" s="118"/>
      <c r="J67" s="175">
        <f>H67/DAY(B2)</f>
        <v>77.416666666666671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162013</v>
      </c>
      <c r="F68" s="122">
        <v>162042</v>
      </c>
      <c r="G68" s="112">
        <f t="shared" si="6"/>
        <v>29</v>
      </c>
      <c r="H68" s="99">
        <f>G68+'11'!H68</f>
        <v>258</v>
      </c>
      <c r="I68" s="118"/>
      <c r="J68" s="175">
        <f>H68/DAY(B2)</f>
        <v>21.5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11687</v>
      </c>
      <c r="F69" s="122">
        <v>16743</v>
      </c>
      <c r="G69" s="112">
        <f t="shared" si="6"/>
        <v>5056</v>
      </c>
      <c r="H69" s="99">
        <f>G69+'11'!H69</f>
        <v>5145</v>
      </c>
      <c r="I69" s="118"/>
      <c r="J69" s="175">
        <f>H69/DAY(B2)</f>
        <v>428.75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9089</v>
      </c>
      <c r="F70" s="122">
        <v>9094</v>
      </c>
      <c r="G70" s="112">
        <f t="shared" si="6"/>
        <v>5</v>
      </c>
      <c r="H70" s="99">
        <f>G70+'11'!H70</f>
        <v>93</v>
      </c>
      <c r="I70" s="118"/>
      <c r="J70" s="175">
        <f>H70/DAY(B2)</f>
        <v>7.75</v>
      </c>
      <c r="K70" s="69"/>
      <c r="L70" s="66"/>
      <c r="N70" s="87"/>
      <c r="O70" s="71"/>
    </row>
    <row r="71" spans="1:15" ht="32.25" customHeight="1">
      <c r="A71" s="916" t="s">
        <v>208</v>
      </c>
      <c r="B71" s="917"/>
      <c r="C71" s="918"/>
      <c r="D71" s="152"/>
      <c r="E71" s="152"/>
      <c r="F71" s="152"/>
      <c r="G71" s="153">
        <f>SUM(G65:G70)</f>
        <v>5291</v>
      </c>
      <c r="H71" s="99">
        <f>G71+'11'!H71</f>
        <v>7958</v>
      </c>
      <c r="I71" s="154"/>
      <c r="J71" s="175">
        <f>H71/DAY(B2)</f>
        <v>663.16666666666663</v>
      </c>
      <c r="K71" s="69"/>
      <c r="L71" s="66"/>
      <c r="N71" s="87"/>
      <c r="O71" s="71"/>
    </row>
    <row r="72" spans="1:15" s="88" customFormat="1" ht="32.25" customHeight="1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907" t="s">
        <v>220</v>
      </c>
      <c r="B74" s="908"/>
      <c r="C74" s="909"/>
      <c r="D74" s="151" t="s">
        <v>139</v>
      </c>
      <c r="E74" s="95">
        <f>'11'!F74</f>
        <v>932212.94</v>
      </c>
      <c r="F74" s="117">
        <v>932524</v>
      </c>
      <c r="G74" s="112">
        <f t="shared" ref="G74:G78" si="7">F74-E74</f>
        <v>311.06000000005588</v>
      </c>
      <c r="H74" s="99">
        <f>G74+'11'!H74</f>
        <v>3747</v>
      </c>
      <c r="I74" s="154"/>
      <c r="J74" s="175">
        <f>H74/DAY(B2)</f>
        <v>312.25</v>
      </c>
      <c r="K74" s="69"/>
      <c r="L74" s="66"/>
      <c r="N74" s="87"/>
      <c r="O74" s="71"/>
    </row>
    <row r="75" spans="1:15" ht="32.25" customHeight="1">
      <c r="A75" s="907" t="s">
        <v>221</v>
      </c>
      <c r="B75" s="908"/>
      <c r="C75" s="909"/>
      <c r="D75" s="151" t="s">
        <v>139</v>
      </c>
      <c r="E75" s="95">
        <f>'11'!F75</f>
        <v>73586.8</v>
      </c>
      <c r="F75" s="123">
        <v>73587</v>
      </c>
      <c r="G75" s="112">
        <f t="shared" si="7"/>
        <v>0.19999999999708962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904" t="s">
        <v>222</v>
      </c>
      <c r="B76" s="905"/>
      <c r="C76" s="906"/>
      <c r="D76" s="151" t="s">
        <v>139</v>
      </c>
      <c r="E76" s="95">
        <f>'11'!F76</f>
        <v>181413</v>
      </c>
      <c r="F76" s="123">
        <v>181532</v>
      </c>
      <c r="G76" s="112">
        <f t="shared" si="7"/>
        <v>119</v>
      </c>
      <c r="H76" s="99">
        <f>G76+'11'!H76</f>
        <v>1378</v>
      </c>
      <c r="I76" s="154"/>
      <c r="J76" s="175">
        <f>H76/DAY(B2)</f>
        <v>114.83333333333333</v>
      </c>
      <c r="K76" s="69"/>
      <c r="L76" s="66"/>
      <c r="N76" s="87"/>
      <c r="O76" s="71"/>
    </row>
    <row r="77" spans="1:15" ht="32.25" customHeight="1">
      <c r="A77" s="904" t="s">
        <v>223</v>
      </c>
      <c r="B77" s="905"/>
      <c r="C77" s="906"/>
      <c r="D77" s="151" t="s">
        <v>139</v>
      </c>
      <c r="E77" s="95">
        <f>'11'!F77</f>
        <v>46282</v>
      </c>
      <c r="F77" s="123">
        <v>46342</v>
      </c>
      <c r="G77" s="112">
        <f t="shared" si="7"/>
        <v>60</v>
      </c>
      <c r="H77" s="99">
        <f>G77+'11'!H77</f>
        <v>668</v>
      </c>
      <c r="I77" s="154"/>
      <c r="J77" s="175">
        <f>H77/DAY(B2)</f>
        <v>55.666666666666664</v>
      </c>
      <c r="K77" s="69"/>
      <c r="L77" s="66"/>
      <c r="N77" s="87"/>
      <c r="O77" s="71"/>
    </row>
    <row r="78" spans="1:15" ht="32.25" customHeight="1">
      <c r="A78" s="904" t="s">
        <v>224</v>
      </c>
      <c r="B78" s="905"/>
      <c r="C78" s="906"/>
      <c r="D78" s="151" t="s">
        <v>139</v>
      </c>
      <c r="E78" s="95">
        <f>'11'!F78</f>
        <v>9563</v>
      </c>
      <c r="F78" s="123">
        <v>9563.4</v>
      </c>
      <c r="G78" s="112">
        <f t="shared" si="7"/>
        <v>0.3999999999996362</v>
      </c>
      <c r="H78" s="99">
        <f>G78+'11'!H78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2.25" customHeight="1">
      <c r="A79" s="904" t="s">
        <v>225</v>
      </c>
      <c r="B79" s="905"/>
      <c r="C79" s="906"/>
      <c r="D79" s="151"/>
      <c r="E79" s="95">
        <f>'11'!F79</f>
        <v>0</v>
      </c>
      <c r="F79" s="117"/>
      <c r="G79" s="112">
        <f>G15-SUM(G74:G78)</f>
        <v>609.33999999994739</v>
      </c>
      <c r="H79" s="99">
        <f>G79+'11'!H79</f>
        <v>7253.900000000096</v>
      </c>
      <c r="I79" s="118"/>
      <c r="J79" s="175">
        <f>H79/DAY(B2)</f>
        <v>604.49166666667463</v>
      </c>
      <c r="K79" s="59"/>
      <c r="L79" s="58"/>
      <c r="N79" s="87"/>
      <c r="O79" s="71"/>
    </row>
    <row r="80" spans="1:15" s="57" customFormat="1" ht="32.25" customHeight="1">
      <c r="A80" s="916" t="s">
        <v>329</v>
      </c>
      <c r="B80" s="917"/>
      <c r="C80" s="918"/>
      <c r="D80" s="151"/>
      <c r="E80" s="117"/>
      <c r="F80" s="117"/>
      <c r="G80" s="112">
        <f>SUM(G74:G79)</f>
        <v>1100</v>
      </c>
      <c r="H80" s="99">
        <f>G80+'11'!H80</f>
        <v>1100</v>
      </c>
      <c r="I80" s="118"/>
      <c r="J80" s="175">
        <f>H80/DAY(B2)</f>
        <v>91.666666666666671</v>
      </c>
      <c r="K80" s="59"/>
      <c r="L80" s="58"/>
      <c r="N80" s="87"/>
      <c r="O80" s="71"/>
    </row>
    <row r="81" spans="1:15" ht="32.25" customHeight="1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75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75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41969</v>
      </c>
      <c r="F84" s="164">
        <v>41969</v>
      </c>
      <c r="G84" s="112">
        <f t="shared" si="8"/>
        <v>0</v>
      </c>
      <c r="H84" s="99">
        <f>G84+'11'!H84</f>
        <v>177</v>
      </c>
      <c r="I84" s="575"/>
      <c r="J84" s="175">
        <f>H84/DAY(B2)</f>
        <v>14.75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3919.4</v>
      </c>
      <c r="F85" s="164">
        <v>3937.2</v>
      </c>
      <c r="G85" s="112">
        <f t="shared" si="8"/>
        <v>17.799999999999727</v>
      </c>
      <c r="H85" s="99">
        <f>G85+'11'!H85</f>
        <v>160.19999999999982</v>
      </c>
      <c r="I85" s="575"/>
      <c r="J85" s="175">
        <f>H85/DAY(B2)</f>
        <v>13.349999999999985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44066</v>
      </c>
      <c r="F86" s="164">
        <v>44090.400000000001</v>
      </c>
      <c r="G86" s="112">
        <f t="shared" si="8"/>
        <v>24.400000000001455</v>
      </c>
      <c r="H86" s="99">
        <f>G86+'11'!H86</f>
        <v>151.40000000000146</v>
      </c>
      <c r="I86" s="575"/>
      <c r="J86" s="175">
        <f>H86/DAY(B2)</f>
        <v>12.616666666666788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35329.06</v>
      </c>
      <c r="F87" s="164">
        <v>35329</v>
      </c>
      <c r="G87" s="112">
        <f t="shared" si="8"/>
        <v>-5.9999999997671694E-2</v>
      </c>
      <c r="H87" s="99">
        <f>G87+'11'!H87</f>
        <v>0</v>
      </c>
      <c r="I87" s="575">
        <f>G84+G85+G86+G87</f>
        <v>42.140000000003511</v>
      </c>
      <c r="J87" s="175">
        <f>H87/DAY(B2)</f>
        <v>0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24207.32</v>
      </c>
      <c r="F88" s="164">
        <v>24207.32</v>
      </c>
      <c r="G88" s="112">
        <f t="shared" si="8"/>
        <v>0</v>
      </c>
      <c r="H88" s="99">
        <f>G88+'11'!H88</f>
        <v>19.200000000000728</v>
      </c>
      <c r="I88" s="575"/>
      <c r="J88" s="175">
        <f>H88/DAY(B2)</f>
        <v>1.6000000000000607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26814.69</v>
      </c>
      <c r="F89" s="164">
        <v>26814.69</v>
      </c>
      <c r="G89" s="112">
        <f t="shared" si="8"/>
        <v>0</v>
      </c>
      <c r="H89" s="99">
        <f>G89+'11'!H89</f>
        <v>105.46999999999753</v>
      </c>
      <c r="I89" s="575">
        <f>G88+G89</f>
        <v>0</v>
      </c>
      <c r="J89" s="175">
        <f>H89/DAY(B2)</f>
        <v>8.7891666666664605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71944.52</v>
      </c>
      <c r="F90" s="164">
        <v>71956.960000000006</v>
      </c>
      <c r="G90" s="112">
        <f t="shared" si="8"/>
        <v>12.440000000002328</v>
      </c>
      <c r="H90" s="99">
        <f>G90+'11'!H90</f>
        <v>93.430000000007567</v>
      </c>
      <c r="I90" s="575">
        <f>G90</f>
        <v>12.440000000002328</v>
      </c>
      <c r="J90" s="175">
        <f>H90/DAY(B2)</f>
        <v>7.7858333333339642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4121.6499999999996</v>
      </c>
      <c r="F91" s="122">
        <v>4121.6499999999996</v>
      </c>
      <c r="G91" s="112">
        <f t="shared" si="8"/>
        <v>0</v>
      </c>
      <c r="H91" s="99">
        <f>G91+'11'!H91</f>
        <v>62.409999999999854</v>
      </c>
      <c r="I91" s="594"/>
      <c r="J91" s="175">
        <f>H91/DAY(B2)</f>
        <v>5.2008333333333212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5994.97</v>
      </c>
      <c r="F92" s="122">
        <v>6005.7</v>
      </c>
      <c r="G92" s="112">
        <f t="shared" si="8"/>
        <v>10.729999999999563</v>
      </c>
      <c r="H92" s="99">
        <f>G92+'11'!H92</f>
        <v>70.699999999999818</v>
      </c>
      <c r="I92" s="600">
        <f>G91+G92</f>
        <v>10.729999999999563</v>
      </c>
      <c r="J92" s="175">
        <f>H92/DAY(B2)</f>
        <v>5.8916666666666515</v>
      </c>
      <c r="O92" s="71"/>
    </row>
    <row r="93" spans="1:15" ht="32.25" customHeight="1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7356.969999999943</v>
      </c>
      <c r="H94" s="99">
        <f>G94+'11'!H94</f>
        <v>84663.75999999998</v>
      </c>
      <c r="I94" s="118"/>
      <c r="J94" s="175">
        <f>H94/DAY(B2)</f>
        <v>7055.3133333333317</v>
      </c>
      <c r="K94" s="69"/>
      <c r="L94" s="66"/>
      <c r="O94" s="71"/>
    </row>
    <row r="95" spans="1:15" ht="32.25" customHeight="1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0.25860205982635392</v>
      </c>
      <c r="H95" s="99">
        <f>G95+'11'!H95</f>
        <v>3.0993367980214441</v>
      </c>
      <c r="I95" s="167"/>
      <c r="J95" s="175">
        <f>H95/DAY(B2)</f>
        <v>0.25827806650178703</v>
      </c>
      <c r="K95" s="69"/>
      <c r="L95" s="66"/>
      <c r="O95" s="71"/>
    </row>
    <row r="96" spans="1:15" ht="32.25" customHeight="1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8008.2300000000105</v>
      </c>
      <c r="H96" s="99">
        <f>G96+'11'!H96</f>
        <v>101226.03</v>
      </c>
      <c r="I96" s="118"/>
      <c r="J96" s="175">
        <f>H96/DAY(B2)</f>
        <v>8435.5025000000005</v>
      </c>
      <c r="K96" s="69"/>
      <c r="L96" s="66"/>
      <c r="O96" s="71"/>
    </row>
    <row r="97" spans="1:15" ht="32.25" customHeight="1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0.28149425287356361</v>
      </c>
      <c r="H97" s="99">
        <f>G97+'11'!H97</f>
        <v>3.7037166079227837</v>
      </c>
      <c r="I97" s="167"/>
      <c r="J97" s="175">
        <f>H97/DAY(B2)</f>
        <v>0.30864305066023195</v>
      </c>
      <c r="K97" s="69"/>
      <c r="L97" s="66"/>
      <c r="O97" s="71"/>
    </row>
    <row r="98" spans="1:15" ht="32.25" customHeight="1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3034.9000000000233</v>
      </c>
      <c r="H98" s="99">
        <f>G98+'11'!H98</f>
        <v>34795.900000000023</v>
      </c>
      <c r="I98" s="168"/>
      <c r="J98" s="175">
        <f>H98/DAY(B2)</f>
        <v>2899.6583333333351</v>
      </c>
      <c r="K98" s="69"/>
      <c r="L98" s="66"/>
      <c r="O98" s="71"/>
    </row>
    <row r="99" spans="1:15" ht="32.25" customHeight="1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0.10667861787760635</v>
      </c>
      <c r="H99" s="99">
        <f>G99+'11'!H99</f>
        <v>1.2759264783245978</v>
      </c>
      <c r="I99" s="168"/>
      <c r="J99" s="175">
        <f>H99/DAY(B2)</f>
        <v>0.10632720652704981</v>
      </c>
      <c r="O99" s="71"/>
    </row>
    <row r="100" spans="1:15" ht="32.25" customHeight="1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1983.4199999999837</v>
      </c>
      <c r="H100" s="99">
        <f>G100+'11'!H100</f>
        <v>27975.929999999993</v>
      </c>
      <c r="I100" s="118"/>
      <c r="J100" s="175">
        <f>H100/DAY(B2)</f>
        <v>2331.3274999999994</v>
      </c>
      <c r="K100" s="70"/>
      <c r="O100" s="71"/>
    </row>
    <row r="101" spans="1:15" ht="32.25" customHeight="1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6.9718443530527738E-2</v>
      </c>
      <c r="H101" s="99">
        <f>G101+'11'!H101</f>
        <v>1.0258860309785525</v>
      </c>
      <c r="I101" s="168"/>
      <c r="J101" s="175">
        <f>H101/DAY(B2)</f>
        <v>8.5490502581546043E-2</v>
      </c>
      <c r="O101" s="71"/>
    </row>
    <row r="102" spans="1:15" ht="32.25" customHeight="1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2814.8099999999977</v>
      </c>
      <c r="H102" s="99">
        <f>G102+'11'!H102</f>
        <v>27354.170000000013</v>
      </c>
      <c r="I102" s="168"/>
      <c r="J102" s="175">
        <f>H102/DAY(B2)</f>
        <v>2279.5141666666677</v>
      </c>
      <c r="O102" s="71"/>
    </row>
    <row r="103" spans="1:15" ht="32.25" customHeight="1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9.8942317831909654E-2</v>
      </c>
      <c r="H103" s="99">
        <f>G103+'11'!H103</f>
        <v>1.0000445765361028</v>
      </c>
      <c r="I103" s="118"/>
      <c r="J103" s="175">
        <f>H103/DAY(B2)</f>
        <v>8.3337048044675233E-2</v>
      </c>
      <c r="O103" s="71"/>
    </row>
    <row r="104" spans="1:15" ht="32.25" customHeight="1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1709.3999999999942</v>
      </c>
      <c r="H104" s="99">
        <f>G104+'11'!H104</f>
        <v>19705.29</v>
      </c>
      <c r="I104" s="118"/>
      <c r="J104" s="175">
        <f>H104/DAY(B2)</f>
        <v>1642.1075000000001</v>
      </c>
      <c r="O104" s="71"/>
    </row>
    <row r="105" spans="1:15" ht="32.25" customHeight="1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6.0086470526204583E-2</v>
      </c>
      <c r="H105" s="99">
        <f>G105+'11'!H105</f>
        <v>0.72221483882680371</v>
      </c>
      <c r="I105" s="187"/>
      <c r="J105" s="188">
        <f>H105/DAY(B2)</f>
        <v>6.0184569902233642E-2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32.25" customHeight="1">
      <c r="A109" s="924"/>
      <c r="B109" s="924"/>
    </row>
    <row r="110" spans="1:15" ht="32.25" customHeight="1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32.25" customHeight="1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886" t="s">
        <v>252</v>
      </c>
      <c r="B112" s="887"/>
      <c r="C112" s="888"/>
      <c r="D112" s="146" t="s">
        <v>183</v>
      </c>
      <c r="E112" s="95">
        <f>'11'!F112</f>
        <v>1110.5</v>
      </c>
      <c r="F112" s="237">
        <v>1191.0999999999999</v>
      </c>
      <c r="G112" s="112">
        <f t="shared" ref="G112:G123" si="9">F112-E112</f>
        <v>80.599999999999909</v>
      </c>
      <c r="H112" s="99">
        <f>G112+'11'!H112</f>
        <v>948.09999999999991</v>
      </c>
      <c r="I112" s="165"/>
      <c r="J112" s="328">
        <f>H112/DAY(B2)</f>
        <v>79.008333333333326</v>
      </c>
    </row>
    <row r="113" spans="1:18" ht="32.25" customHeight="1">
      <c r="A113" s="886" t="s">
        <v>253</v>
      </c>
      <c r="B113" s="887"/>
      <c r="C113" s="888"/>
      <c r="D113" s="146" t="s">
        <v>183</v>
      </c>
      <c r="E113" s="95">
        <f>'11'!F113</f>
        <v>2317.92</v>
      </c>
      <c r="F113" s="237">
        <v>2531.5</v>
      </c>
      <c r="G113" s="112">
        <f t="shared" si="9"/>
        <v>213.57999999999993</v>
      </c>
      <c r="H113" s="99">
        <f>G113+'11'!H113</f>
        <v>2049.5</v>
      </c>
      <c r="I113" s="165"/>
      <c r="J113" s="328">
        <f>H113/DAY(B2)</f>
        <v>170.79166666666666</v>
      </c>
    </row>
    <row r="114" spans="1:18" ht="32.25" customHeight="1">
      <c r="A114" s="886" t="s">
        <v>254</v>
      </c>
      <c r="B114" s="887"/>
      <c r="C114" s="888"/>
      <c r="D114" s="146" t="s">
        <v>183</v>
      </c>
      <c r="E114" s="95">
        <f>'11'!F114</f>
        <v>3070.3</v>
      </c>
      <c r="F114" s="237">
        <v>3284.96</v>
      </c>
      <c r="G114" s="112">
        <f t="shared" si="9"/>
        <v>214.65999999999985</v>
      </c>
      <c r="H114" s="99">
        <f>G114+'11'!H114</f>
        <v>2620.96</v>
      </c>
      <c r="I114" s="165"/>
      <c r="J114" s="328">
        <f>H114/DAY(B2)</f>
        <v>218.41333333333333</v>
      </c>
    </row>
    <row r="115" spans="1:18" ht="32.25" customHeight="1">
      <c r="A115" s="886" t="s">
        <v>255</v>
      </c>
      <c r="B115" s="887"/>
      <c r="C115" s="888"/>
      <c r="D115" s="146" t="s">
        <v>183</v>
      </c>
      <c r="E115" s="95">
        <f>'11'!F115</f>
        <v>2190.5</v>
      </c>
      <c r="F115" s="237">
        <v>2365.3000000000002</v>
      </c>
      <c r="G115" s="112">
        <f t="shared" si="9"/>
        <v>174.80000000000018</v>
      </c>
      <c r="H115" s="99">
        <f>G115+'11'!H115</f>
        <v>1854.3000000000002</v>
      </c>
      <c r="I115" s="165"/>
      <c r="J115" s="328">
        <f>H115/DAY(B2)</f>
        <v>154.52500000000001</v>
      </c>
    </row>
    <row r="116" spans="1:18" ht="32.25" customHeight="1">
      <c r="A116" s="893" t="s">
        <v>96</v>
      </c>
      <c r="B116" s="894"/>
      <c r="C116" s="895"/>
      <c r="D116" s="146" t="s">
        <v>183</v>
      </c>
      <c r="E116" s="95">
        <f>'11'!F116</f>
        <v>38837.699999999997</v>
      </c>
      <c r="F116" s="237">
        <v>39209.4</v>
      </c>
      <c r="G116" s="112">
        <f t="shared" si="9"/>
        <v>371.70000000000437</v>
      </c>
      <c r="H116" s="99">
        <f>G116+'11'!H116</f>
        <v>4543.4000000000015</v>
      </c>
      <c r="I116" s="165"/>
      <c r="J116" s="328">
        <f>H116/DAY(B2)</f>
        <v>378.61666666666679</v>
      </c>
      <c r="Q116" s="886" t="s">
        <v>311</v>
      </c>
      <c r="R116" s="888"/>
    </row>
    <row r="117" spans="1:18" ht="32.25" customHeight="1">
      <c r="A117" s="893" t="s">
        <v>184</v>
      </c>
      <c r="B117" s="894"/>
      <c r="C117" s="895"/>
      <c r="D117" s="146" t="s">
        <v>183</v>
      </c>
      <c r="E117" s="95">
        <f>'11'!F117</f>
        <v>20984.799999999999</v>
      </c>
      <c r="F117" s="237">
        <v>21256.2</v>
      </c>
      <c r="G117" s="112">
        <f t="shared" si="9"/>
        <v>271.40000000000146</v>
      </c>
      <c r="H117" s="99">
        <f>G117+'11'!H117</f>
        <v>2320.2000000000007</v>
      </c>
      <c r="I117" s="165"/>
      <c r="J117" s="328">
        <f>H117/DAY(B2)</f>
        <v>193.35000000000005</v>
      </c>
      <c r="Q117" s="886" t="s">
        <v>312</v>
      </c>
      <c r="R117" s="888"/>
    </row>
    <row r="118" spans="1:18" ht="32.25" customHeight="1">
      <c r="A118" s="885" t="s">
        <v>97</v>
      </c>
      <c r="B118" s="885"/>
      <c r="C118" s="885"/>
      <c r="D118" s="151" t="s">
        <v>183</v>
      </c>
      <c r="E118" s="95">
        <f>'11'!F118</f>
        <v>15112.74</v>
      </c>
      <c r="F118" s="237">
        <v>15676.27</v>
      </c>
      <c r="G118" s="112">
        <f t="shared" si="9"/>
        <v>563.53000000000065</v>
      </c>
      <c r="H118" s="99">
        <f>G118+'11'!H118</f>
        <v>6613.27</v>
      </c>
      <c r="I118" s="165"/>
      <c r="J118" s="328">
        <f>H118/DAY(B2)</f>
        <v>551.10583333333341</v>
      </c>
      <c r="Q118" s="886" t="s">
        <v>311</v>
      </c>
      <c r="R118" s="888"/>
    </row>
    <row r="119" spans="1:18" ht="32.25" customHeight="1">
      <c r="A119" s="885" t="s">
        <v>98</v>
      </c>
      <c r="B119" s="885"/>
      <c r="C119" s="885"/>
      <c r="D119" s="151" t="s">
        <v>183</v>
      </c>
      <c r="E119" s="95">
        <f>'11'!F119</f>
        <v>10479.209999999999</v>
      </c>
      <c r="F119" s="237">
        <v>10887.4</v>
      </c>
      <c r="G119" s="112">
        <f t="shared" si="9"/>
        <v>408.19000000000051</v>
      </c>
      <c r="H119" s="99">
        <f>G119+'11'!H119</f>
        <v>4984.3999999999996</v>
      </c>
      <c r="I119" s="165"/>
      <c r="J119" s="328">
        <f>H119/DAY(B2)</f>
        <v>415.36666666666662</v>
      </c>
    </row>
    <row r="120" spans="1:18" ht="32.25" customHeight="1">
      <c r="A120" s="885" t="s">
        <v>99</v>
      </c>
      <c r="B120" s="885"/>
      <c r="C120" s="885"/>
      <c r="D120" s="151" t="s">
        <v>183</v>
      </c>
      <c r="E120" s="95">
        <f>'11'!F120</f>
        <v>11707.5</v>
      </c>
      <c r="F120" s="237">
        <v>12112.5</v>
      </c>
      <c r="G120" s="112">
        <f t="shared" si="9"/>
        <v>405</v>
      </c>
      <c r="H120" s="99">
        <f>G120+'11'!H120</f>
        <v>4977.5</v>
      </c>
      <c r="I120" s="165"/>
      <c r="J120" s="328">
        <f>H120/DAY(B2)</f>
        <v>414.79166666666669</v>
      </c>
    </row>
    <row r="121" spans="1:18" ht="32.25" customHeight="1">
      <c r="A121" s="885" t="s">
        <v>100</v>
      </c>
      <c r="B121" s="885"/>
      <c r="C121" s="885"/>
      <c r="D121" s="151" t="s">
        <v>183</v>
      </c>
      <c r="E121" s="95">
        <f>'11'!F121</f>
        <v>16631</v>
      </c>
      <c r="F121" s="237">
        <v>17123</v>
      </c>
      <c r="G121" s="112">
        <f t="shared" si="9"/>
        <v>492</v>
      </c>
      <c r="H121" s="99">
        <f>G121+'11'!H121</f>
        <v>5396</v>
      </c>
      <c r="I121" s="165"/>
      <c r="J121" s="328">
        <f>H121/DAY(B2)</f>
        <v>449.66666666666669</v>
      </c>
    </row>
    <row r="122" spans="1:18" ht="32.25" customHeight="1">
      <c r="A122" s="885" t="s">
        <v>101</v>
      </c>
      <c r="B122" s="885"/>
      <c r="C122" s="885"/>
      <c r="D122" s="151" t="s">
        <v>183</v>
      </c>
      <c r="E122" s="95">
        <f>'11'!F122</f>
        <v>5784.27</v>
      </c>
      <c r="F122" s="237">
        <v>6010.4</v>
      </c>
      <c r="G122" s="112">
        <f t="shared" si="9"/>
        <v>226.1299999999992</v>
      </c>
      <c r="H122" s="99">
        <f>G122+'11'!H122</f>
        <v>2446.3999999999996</v>
      </c>
      <c r="I122" s="165"/>
      <c r="J122" s="328">
        <f>H122/DAY(B2)</f>
        <v>203.86666666666665</v>
      </c>
    </row>
    <row r="123" spans="1:18" ht="32.25" customHeight="1">
      <c r="A123" s="885" t="s">
        <v>102</v>
      </c>
      <c r="B123" s="885"/>
      <c r="C123" s="885"/>
      <c r="D123" s="151" t="s">
        <v>183</v>
      </c>
      <c r="E123" s="95">
        <f>'11'!F123</f>
        <v>4493.9399999999996</v>
      </c>
      <c r="F123" s="237">
        <v>4817.7</v>
      </c>
      <c r="G123" s="112">
        <f t="shared" si="9"/>
        <v>323.76000000000022</v>
      </c>
      <c r="H123" s="99">
        <f>G123+'11'!H123</f>
        <v>3850.7</v>
      </c>
      <c r="I123" s="165"/>
      <c r="J123" s="328">
        <f>H123/DAY(B2)</f>
        <v>320.89166666666665</v>
      </c>
    </row>
    <row r="124" spans="1:18" ht="32.2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868" t="s">
        <v>196</v>
      </c>
      <c r="B125" s="869"/>
      <c r="C125" s="245"/>
      <c r="D125" s="307"/>
      <c r="E125" s="308"/>
      <c r="F125" s="308"/>
      <c r="G125" s="309">
        <f>SUM(G112:G124)</f>
        <v>3745.3500000000063</v>
      </c>
      <c r="H125" s="156"/>
      <c r="I125" s="327" t="s">
        <v>366</v>
      </c>
      <c r="J125" s="327"/>
    </row>
    <row r="126" spans="1:18" ht="32.25" customHeight="1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32.25" customHeight="1">
      <c r="A127" s="873"/>
      <c r="B127" s="873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886" t="s">
        <v>318</v>
      </c>
      <c r="B128" s="887"/>
      <c r="C128" s="888"/>
      <c r="D128" s="151" t="s">
        <v>183</v>
      </c>
      <c r="E128" s="95">
        <f>'11'!F128</f>
        <v>85870.9</v>
      </c>
      <c r="F128" s="165">
        <v>86343.7</v>
      </c>
      <c r="G128" s="112">
        <f t="shared" ref="G128:G134" si="10">F128-E128</f>
        <v>472.80000000000291</v>
      </c>
      <c r="H128" s="99">
        <f>G128+'11'!H128</f>
        <v>4928.6999999999971</v>
      </c>
      <c r="I128" s="165"/>
      <c r="J128" s="328">
        <f>H128/DAY(B2)</f>
        <v>410.72499999999974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54276.95</v>
      </c>
      <c r="F129" s="165">
        <v>54616.6</v>
      </c>
      <c r="G129" s="112">
        <f t="shared" si="10"/>
        <v>339.65000000000146</v>
      </c>
      <c r="H129" s="99">
        <f>G129+'11'!H129</f>
        <v>3544.5999999999985</v>
      </c>
      <c r="I129" s="165"/>
      <c r="J129" s="328">
        <f>H129/DAY(B2)</f>
        <v>295.38333333333321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104496.28</v>
      </c>
      <c r="F130" s="165">
        <v>105246.7</v>
      </c>
      <c r="G130" s="112">
        <f t="shared" si="10"/>
        <v>750.41999999999825</v>
      </c>
      <c r="H130" s="99">
        <f>G130+'11'!H130</f>
        <v>8600.6999999999971</v>
      </c>
      <c r="I130" s="165"/>
      <c r="J130" s="328">
        <f>H130/DAY(B2)</f>
        <v>716.7249999999998</v>
      </c>
      <c r="N130" s="240"/>
      <c r="O130" s="241"/>
    </row>
    <row r="131" spans="1:15" ht="32.25" customHeight="1">
      <c r="A131" s="886" t="s">
        <v>321</v>
      </c>
      <c r="B131" s="887"/>
      <c r="C131" s="888"/>
      <c r="D131" s="151" t="s">
        <v>183</v>
      </c>
      <c r="E131" s="95">
        <f>'11'!F131</f>
        <v>32430</v>
      </c>
      <c r="F131" s="165">
        <v>32659.599999999999</v>
      </c>
      <c r="G131" s="112">
        <f t="shared" si="10"/>
        <v>229.59999999999854</v>
      </c>
      <c r="H131" s="99">
        <f>G131+'11'!H131</f>
        <v>2224.5999999999985</v>
      </c>
      <c r="I131" s="165"/>
      <c r="J131" s="328">
        <f>H131/DAY(B2)</f>
        <v>185.38333333333321</v>
      </c>
      <c r="N131" s="240"/>
      <c r="O131" s="241"/>
    </row>
    <row r="132" spans="1:15" ht="32.25" customHeight="1">
      <c r="A132" s="886" t="s">
        <v>322</v>
      </c>
      <c r="B132" s="887"/>
      <c r="C132" s="888"/>
      <c r="D132" s="151" t="s">
        <v>183</v>
      </c>
      <c r="E132" s="95">
        <f>'11'!F132</f>
        <v>94558</v>
      </c>
      <c r="F132" s="165">
        <v>95068.9</v>
      </c>
      <c r="G132" s="112">
        <f t="shared" si="10"/>
        <v>510.89999999999418</v>
      </c>
      <c r="H132" s="99">
        <f>G132+'11'!H132</f>
        <v>6131.8999999999942</v>
      </c>
      <c r="I132" s="165"/>
      <c r="J132" s="328">
        <f>H132/DAY(B2)</f>
        <v>510.99166666666616</v>
      </c>
    </row>
    <row r="133" spans="1:15" ht="32.25" customHeight="1">
      <c r="A133" s="886" t="s">
        <v>360</v>
      </c>
      <c r="B133" s="887"/>
      <c r="C133" s="888"/>
      <c r="D133" s="151" t="s">
        <v>183</v>
      </c>
      <c r="E133" s="95">
        <f>'11'!F133</f>
        <v>183091</v>
      </c>
      <c r="F133" s="165">
        <v>184120.97</v>
      </c>
      <c r="G133" s="112">
        <f t="shared" si="10"/>
        <v>1029.9700000000012</v>
      </c>
      <c r="H133" s="99">
        <f>G133+'11'!H133</f>
        <v>11674.970000000001</v>
      </c>
      <c r="I133" s="165"/>
      <c r="J133" s="328">
        <f>H133/DAY(B2)</f>
        <v>972.9141666666668</v>
      </c>
    </row>
    <row r="134" spans="1:15" ht="32.25" customHeight="1">
      <c r="A134" s="886" t="s">
        <v>340</v>
      </c>
      <c r="B134" s="887"/>
      <c r="C134" s="888"/>
      <c r="D134" s="151" t="s">
        <v>183</v>
      </c>
      <c r="E134" s="95">
        <f>'11'!F134</f>
        <v>30733</v>
      </c>
      <c r="F134" s="165">
        <v>30973.07</v>
      </c>
      <c r="G134" s="112">
        <f t="shared" si="10"/>
        <v>240.06999999999971</v>
      </c>
      <c r="H134" s="99">
        <f>G134+'11'!H134</f>
        <v>2880.0699999999997</v>
      </c>
      <c r="I134" s="165"/>
      <c r="J134" s="328">
        <f>H134/DAY(B2)</f>
        <v>240.0058333333333</v>
      </c>
    </row>
    <row r="135" spans="1:15" ht="32.25" customHeight="1">
      <c r="A135" s="868" t="s">
        <v>196</v>
      </c>
      <c r="B135" s="869"/>
      <c r="C135" s="331"/>
      <c r="D135" s="151"/>
      <c r="E135" s="95"/>
      <c r="F135" s="165"/>
      <c r="G135" s="112">
        <f>SUM(G128:G134)</f>
        <v>3573.4099999999962</v>
      </c>
      <c r="H135" s="99">
        <f>G135+'10'!H135</f>
        <v>36623.640000000007</v>
      </c>
      <c r="I135" s="327">
        <f>G135-(G35+G49)</f>
        <v>-806.03999999998632</v>
      </c>
      <c r="J135" s="328">
        <f>H135/DAY(B2)</f>
        <v>3051.9700000000007</v>
      </c>
    </row>
    <row r="136" spans="1:15" ht="32.25" customHeight="1">
      <c r="A136" s="872" t="s">
        <v>207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85" t="s">
        <v>185</v>
      </c>
      <c r="B138" s="885"/>
      <c r="C138" s="885"/>
      <c r="D138" s="151" t="s">
        <v>183</v>
      </c>
      <c r="E138" s="95">
        <f>'11'!F138</f>
        <v>880408</v>
      </c>
      <c r="F138" s="147">
        <v>880488</v>
      </c>
      <c r="G138" s="112">
        <f t="shared" ref="G138:G152" si="11">F138-E138</f>
        <v>80</v>
      </c>
      <c r="H138" s="99">
        <f>G138+'11'!H138</f>
        <v>1704</v>
      </c>
      <c r="I138" s="118"/>
      <c r="J138" s="328">
        <f>H138/DAY(B2)</f>
        <v>142</v>
      </c>
    </row>
    <row r="139" spans="1:15" ht="32.25" customHeight="1">
      <c r="A139" s="885" t="s">
        <v>186</v>
      </c>
      <c r="B139" s="885"/>
      <c r="C139" s="885"/>
      <c r="D139" s="151" t="s">
        <v>183</v>
      </c>
      <c r="E139" s="95">
        <f>'11'!F139</f>
        <v>896559</v>
      </c>
      <c r="F139" s="148">
        <v>896745</v>
      </c>
      <c r="G139" s="112">
        <f t="shared" si="11"/>
        <v>186</v>
      </c>
      <c r="H139" s="99">
        <f>G139+'11'!H139</f>
        <v>1879</v>
      </c>
      <c r="I139" s="118"/>
      <c r="J139" s="328">
        <f>H139/DAY(B2)</f>
        <v>156.58333333333334</v>
      </c>
    </row>
    <row r="140" spans="1:15" ht="32.25" customHeight="1">
      <c r="A140" s="885" t="s">
        <v>187</v>
      </c>
      <c r="B140" s="885"/>
      <c r="C140" s="885"/>
      <c r="D140" s="151" t="s">
        <v>183</v>
      </c>
      <c r="E140" s="95">
        <f>'11'!F140</f>
        <v>284.72000000000003</v>
      </c>
      <c r="F140" s="149">
        <v>300.35000000000002</v>
      </c>
      <c r="G140" s="112">
        <f t="shared" si="11"/>
        <v>15.629999999999995</v>
      </c>
      <c r="H140" s="99">
        <f>G140+'11'!H140</f>
        <v>165.35000000000002</v>
      </c>
      <c r="I140" s="118"/>
      <c r="J140" s="328">
        <f>H140/DAY(B2)</f>
        <v>13.779166666666669</v>
      </c>
    </row>
    <row r="141" spans="1:15" ht="32.25" customHeight="1">
      <c r="A141" s="864" t="s">
        <v>188</v>
      </c>
      <c r="B141" s="864"/>
      <c r="C141" s="864"/>
      <c r="D141" s="151" t="s">
        <v>183</v>
      </c>
      <c r="E141" s="95">
        <f>'11'!F141</f>
        <v>74009.100000000006</v>
      </c>
      <c r="F141" s="149">
        <v>74194</v>
      </c>
      <c r="G141" s="112">
        <f t="shared" si="11"/>
        <v>184.89999999999418</v>
      </c>
      <c r="H141" s="99">
        <f>G141+'11'!H141</f>
        <v>2420</v>
      </c>
      <c r="I141" s="118"/>
      <c r="J141" s="328">
        <f>H141/DAY(B2)</f>
        <v>201.66666666666666</v>
      </c>
    </row>
    <row r="142" spans="1:15" ht="32.25" customHeight="1">
      <c r="A142" s="864" t="s">
        <v>189</v>
      </c>
      <c r="B142" s="864"/>
      <c r="C142" s="864"/>
      <c r="D142" s="151" t="s">
        <v>183</v>
      </c>
      <c r="E142" s="95">
        <f>'11'!F142</f>
        <v>28210.58</v>
      </c>
      <c r="F142" s="148">
        <v>28277.09</v>
      </c>
      <c r="G142" s="112">
        <f t="shared" si="11"/>
        <v>66.509999999998399</v>
      </c>
      <c r="H142" s="99">
        <f>G142+'11'!H142</f>
        <v>811.09000000000015</v>
      </c>
      <c r="I142" s="140"/>
      <c r="J142" s="328">
        <f>H142/DAY(B2)</f>
        <v>67.59083333333335</v>
      </c>
    </row>
    <row r="143" spans="1:15" ht="32.25" customHeight="1">
      <c r="A143" s="885" t="s">
        <v>91</v>
      </c>
      <c r="B143" s="885"/>
      <c r="C143" s="885"/>
      <c r="D143" s="151" t="s">
        <v>183</v>
      </c>
      <c r="E143" s="95">
        <f>'11'!F143</f>
        <v>6725.02</v>
      </c>
      <c r="F143" s="149">
        <v>6757.7</v>
      </c>
      <c r="G143" s="112">
        <f t="shared" si="11"/>
        <v>32.679999999999382</v>
      </c>
      <c r="H143" s="99">
        <f>G143+'11'!H143</f>
        <v>340.69999999999982</v>
      </c>
      <c r="I143" s="140"/>
      <c r="J143" s="328">
        <f>H143/DAY(B2)</f>
        <v>28.391666666666652</v>
      </c>
    </row>
    <row r="144" spans="1:15" ht="32.25" customHeight="1">
      <c r="A144" s="864" t="s">
        <v>90</v>
      </c>
      <c r="B144" s="864"/>
      <c r="C144" s="864"/>
      <c r="D144" s="151" t="s">
        <v>183</v>
      </c>
      <c r="E144" s="95">
        <f>'11'!F144</f>
        <v>900053</v>
      </c>
      <c r="F144" s="149">
        <v>900315</v>
      </c>
      <c r="G144" s="112">
        <f t="shared" si="11"/>
        <v>262</v>
      </c>
      <c r="H144" s="99">
        <f>G144+'11'!H144</f>
        <v>3082</v>
      </c>
      <c r="I144" s="140"/>
      <c r="J144" s="328">
        <f>H144/DAY(B2)</f>
        <v>256.83333333333331</v>
      </c>
    </row>
    <row r="145" spans="1:10" ht="32.25" customHeight="1">
      <c r="A145" s="885" t="s">
        <v>190</v>
      </c>
      <c r="B145" s="885"/>
      <c r="C145" s="885"/>
      <c r="D145" s="152" t="s">
        <v>183</v>
      </c>
      <c r="E145" s="95">
        <f>'11'!F145</f>
        <v>5655.27</v>
      </c>
      <c r="F145" s="149">
        <v>5657.85</v>
      </c>
      <c r="G145" s="112">
        <f t="shared" si="11"/>
        <v>2.5799999999999272</v>
      </c>
      <c r="H145" s="99">
        <f>G145+'11'!H145</f>
        <v>29.850000000000364</v>
      </c>
      <c r="I145" s="140"/>
      <c r="J145" s="328">
        <f>H145/DAY(B2)</f>
        <v>2.4875000000000305</v>
      </c>
    </row>
    <row r="146" spans="1:10" ht="32.25" customHeight="1">
      <c r="A146" s="920" t="s">
        <v>191</v>
      </c>
      <c r="B146" s="905"/>
      <c r="C146" s="906"/>
      <c r="D146" s="152" t="s">
        <v>183</v>
      </c>
      <c r="E146" s="95">
        <f>'11'!F146</f>
        <v>776792</v>
      </c>
      <c r="F146" s="148">
        <v>776939</v>
      </c>
      <c r="G146" s="112">
        <f t="shared" si="11"/>
        <v>147</v>
      </c>
      <c r="H146" s="99">
        <f>G146+'11'!H146</f>
        <v>485</v>
      </c>
      <c r="I146" s="140"/>
      <c r="J146" s="328">
        <f>H146/DAY(B2)</f>
        <v>40.416666666666664</v>
      </c>
    </row>
    <row r="147" spans="1:10" ht="32.25" customHeight="1">
      <c r="A147" s="864" t="s">
        <v>192</v>
      </c>
      <c r="B147" s="864"/>
      <c r="C147" s="864"/>
      <c r="D147" s="152" t="s">
        <v>183</v>
      </c>
      <c r="E147" s="95">
        <f>'11'!F147</f>
        <v>667656</v>
      </c>
      <c r="F147" s="148">
        <v>668078.04</v>
      </c>
      <c r="G147" s="112">
        <f t="shared" si="11"/>
        <v>422.04000000003725</v>
      </c>
      <c r="H147" s="99">
        <f>G147+'11'!H147</f>
        <v>4850.0400000000373</v>
      </c>
      <c r="I147" s="140"/>
      <c r="J147" s="328">
        <f>H147/DAY(B2)</f>
        <v>404.17000000000309</v>
      </c>
    </row>
    <row r="148" spans="1:10" ht="32.25" customHeight="1">
      <c r="A148" s="865" t="s">
        <v>193</v>
      </c>
      <c r="B148" s="866"/>
      <c r="C148" s="867"/>
      <c r="D148" s="123" t="s">
        <v>130</v>
      </c>
      <c r="E148" s="95">
        <f>'11'!F148</f>
        <v>723771</v>
      </c>
      <c r="F148" s="404">
        <v>724193.28000000003</v>
      </c>
      <c r="G148" s="112">
        <f t="shared" si="11"/>
        <v>422.28000000002794</v>
      </c>
      <c r="H148" s="99">
        <f>G148+'11'!H148</f>
        <v>4277.2800000000279</v>
      </c>
      <c r="I148" s="124"/>
      <c r="J148" s="328">
        <f>H148/DAY(B2)</f>
        <v>356.44000000000233</v>
      </c>
    </row>
    <row r="149" spans="1:10" ht="32.25" customHeight="1">
      <c r="A149" s="865" t="s">
        <v>336</v>
      </c>
      <c r="B149" s="866"/>
      <c r="C149" s="867"/>
      <c r="D149" s="227" t="s">
        <v>130</v>
      </c>
      <c r="E149" s="95">
        <f>'11'!F149</f>
        <v>89363.199999999997</v>
      </c>
      <c r="F149" s="146">
        <v>89670.43</v>
      </c>
      <c r="G149" s="112">
        <f t="shared" si="11"/>
        <v>307.22999999999593</v>
      </c>
      <c r="H149" s="99">
        <f>G149+'11'!H149</f>
        <v>6282.429999999993</v>
      </c>
      <c r="I149" s="119"/>
      <c r="J149" s="328">
        <f>H149/DAY(B2)</f>
        <v>523.53583333333279</v>
      </c>
    </row>
    <row r="150" spans="1:10" ht="32.25" customHeight="1">
      <c r="A150" s="865" t="s">
        <v>337</v>
      </c>
      <c r="B150" s="866"/>
      <c r="C150" s="867"/>
      <c r="D150" s="117" t="s">
        <v>130</v>
      </c>
      <c r="E150" s="95">
        <f>'11'!F150</f>
        <v>32971.9</v>
      </c>
      <c r="F150" s="233">
        <v>33167</v>
      </c>
      <c r="G150" s="112">
        <f t="shared" si="11"/>
        <v>195.09999999999854</v>
      </c>
      <c r="H150" s="99">
        <f>G150+'11'!H150</f>
        <v>2580</v>
      </c>
      <c r="I150" s="119"/>
      <c r="J150" s="328">
        <f>H150/DAY(B2)</f>
        <v>215</v>
      </c>
    </row>
    <row r="151" spans="1:10" ht="32.25" customHeight="1">
      <c r="A151" s="865" t="s">
        <v>338</v>
      </c>
      <c r="B151" s="866"/>
      <c r="C151" s="867"/>
      <c r="D151" s="117" t="s">
        <v>130</v>
      </c>
      <c r="E151" s="95">
        <f>'11'!F151</f>
        <v>112538</v>
      </c>
      <c r="F151" s="233">
        <v>112805</v>
      </c>
      <c r="G151" s="112">
        <f t="shared" si="11"/>
        <v>267</v>
      </c>
      <c r="H151" s="99">
        <f>G151+'11'!H151</f>
        <v>3577</v>
      </c>
      <c r="I151" s="119"/>
      <c r="J151" s="328">
        <f>H151/DAY(B2)</f>
        <v>298.08333333333331</v>
      </c>
    </row>
    <row r="152" spans="1:10" ht="32.25" customHeight="1">
      <c r="A152" s="865" t="s">
        <v>339</v>
      </c>
      <c r="B152" s="866"/>
      <c r="C152" s="867"/>
      <c r="D152" s="117" t="s">
        <v>130</v>
      </c>
      <c r="E152" s="95">
        <f>'11'!F152</f>
        <v>12747.83</v>
      </c>
      <c r="F152" s="233">
        <v>12880.1</v>
      </c>
      <c r="G152" s="112">
        <f t="shared" si="11"/>
        <v>132.27000000000044</v>
      </c>
      <c r="H152" s="99">
        <f>G152+'11'!H152</f>
        <v>1724.1000000000004</v>
      </c>
      <c r="I152" s="119"/>
      <c r="J152" s="328">
        <f>H152/DAY(B2)</f>
        <v>143.67500000000004</v>
      </c>
    </row>
    <row r="153" spans="1:10" ht="32.25" customHeight="1">
      <c r="A153" s="868" t="s">
        <v>196</v>
      </c>
      <c r="B153" s="869"/>
      <c r="C153" s="365"/>
      <c r="D153" s="358"/>
      <c r="E153" s="360"/>
      <c r="F153" s="361"/>
      <c r="G153" s="362">
        <f>SUM(G138:G152)</f>
        <v>2723.2200000000521</v>
      </c>
      <c r="H153" s="363"/>
      <c r="I153" s="119">
        <f>G153-(G38+G52)</f>
        <v>739.80000000006839</v>
      </c>
      <c r="J153" s="366"/>
    </row>
    <row r="154" spans="1:10" ht="32.25" customHeight="1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32.25" customHeight="1">
      <c r="A155" s="864" t="s">
        <v>345</v>
      </c>
      <c r="B155" s="864"/>
      <c r="C155" s="864"/>
      <c r="D155" s="117" t="s">
        <v>130</v>
      </c>
      <c r="E155" s="95">
        <f>'11'!F155</f>
        <v>99681</v>
      </c>
      <c r="F155" s="374">
        <v>100338</v>
      </c>
      <c r="G155" s="112">
        <f t="shared" ref="G155:G158" si="12">F155-E155</f>
        <v>657</v>
      </c>
      <c r="H155" s="99">
        <f>G155+'11'!H155</f>
        <v>7606</v>
      </c>
      <c r="I155" s="364"/>
      <c r="J155" s="328">
        <f>H155/DAY(B2)</f>
        <v>633.83333333333337</v>
      </c>
    </row>
    <row r="156" spans="1:10" ht="32.25" customHeight="1">
      <c r="A156" s="864" t="s">
        <v>347</v>
      </c>
      <c r="B156" s="864"/>
      <c r="C156" s="864"/>
      <c r="D156" s="117" t="s">
        <v>130</v>
      </c>
      <c r="E156" s="95">
        <f>'11'!F156</f>
        <v>8378</v>
      </c>
      <c r="F156" s="155">
        <v>8437</v>
      </c>
      <c r="G156" s="112">
        <f t="shared" si="12"/>
        <v>59</v>
      </c>
      <c r="H156" s="99">
        <f>G156+'11'!H156</f>
        <v>746</v>
      </c>
      <c r="I156" s="165"/>
      <c r="J156" s="328">
        <f>H156/DAY(B2)</f>
        <v>62.166666666666664</v>
      </c>
    </row>
    <row r="157" spans="1:10" ht="32.25" customHeight="1">
      <c r="A157" s="865" t="s">
        <v>361</v>
      </c>
      <c r="B157" s="866"/>
      <c r="C157" s="867"/>
      <c r="D157" s="117" t="s">
        <v>130</v>
      </c>
      <c r="E157" s="95">
        <f>'11'!F157</f>
        <v>14785.9</v>
      </c>
      <c r="F157" s="155">
        <v>14914.3</v>
      </c>
      <c r="G157" s="112">
        <f t="shared" si="12"/>
        <v>128.39999999999964</v>
      </c>
      <c r="H157" s="99">
        <f>G157+'11'!H157</f>
        <v>1418.2999999999993</v>
      </c>
      <c r="I157" s="165"/>
      <c r="J157" s="328">
        <f>H157/DAY(B2)</f>
        <v>118.19166666666661</v>
      </c>
    </row>
    <row r="158" spans="1:10" ht="32.25" customHeight="1">
      <c r="A158" s="865" t="s">
        <v>362</v>
      </c>
      <c r="B158" s="866"/>
      <c r="C158" s="867"/>
      <c r="D158" s="117" t="s">
        <v>130</v>
      </c>
      <c r="E158" s="95">
        <f>'11'!F158</f>
        <v>126.3</v>
      </c>
      <c r="F158" s="155">
        <v>126.3</v>
      </c>
      <c r="G158" s="112">
        <f t="shared" si="12"/>
        <v>0</v>
      </c>
      <c r="H158" s="99">
        <f>G158+'11'!H158</f>
        <v>46.759999999999991</v>
      </c>
      <c r="I158" s="165"/>
      <c r="J158" s="328">
        <f>H158/DAY(B2)</f>
        <v>3.8966666666666661</v>
      </c>
    </row>
    <row r="159" spans="1:10" ht="32.25" customHeight="1">
      <c r="A159" s="950"/>
      <c r="B159" s="951"/>
      <c r="C159" s="952"/>
      <c r="D159" s="117"/>
      <c r="E159" s="95"/>
      <c r="F159" s="165"/>
      <c r="G159" s="362">
        <f>SUM(G155:G158)</f>
        <v>844.39999999999964</v>
      </c>
      <c r="H159" s="99"/>
      <c r="I159" s="165"/>
      <c r="J159" s="328"/>
    </row>
    <row r="160" spans="1:10" ht="32.25" customHeight="1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475041.72</v>
      </c>
      <c r="F161" s="235">
        <v>475076.24</v>
      </c>
      <c r="G161" s="238">
        <f t="shared" ref="G161:G165" si="13">F161-E161</f>
        <v>34.520000000018626</v>
      </c>
      <c r="H161" s="99">
        <f>G161+'11'!H161</f>
        <v>293.23999999999069</v>
      </c>
      <c r="I161" s="236"/>
      <c r="J161" s="239">
        <f>H161/DAY(B2)</f>
        <v>24.436666666665889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91956.7</v>
      </c>
      <c r="F162" s="235">
        <v>92002.2</v>
      </c>
      <c r="G162" s="238">
        <f t="shared" si="13"/>
        <v>45.5</v>
      </c>
      <c r="H162" s="99">
        <f>G162+'11'!H162</f>
        <v>455.19999999999709</v>
      </c>
      <c r="I162" s="236"/>
      <c r="J162" s="239">
        <f>H162/DAY(B2)</f>
        <v>37.933333333333088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93862.7</v>
      </c>
      <c r="F163" s="235">
        <v>94029</v>
      </c>
      <c r="G163" s="238">
        <f t="shared" si="13"/>
        <v>166.30000000000291</v>
      </c>
      <c r="H163" s="99">
        <f>G163+'11'!H163</f>
        <v>1993</v>
      </c>
      <c r="I163" s="236"/>
      <c r="J163" s="239">
        <f>H163/DAY(B2)</f>
        <v>166.08333333333334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5309.7</v>
      </c>
      <c r="F164" s="235">
        <v>5322.3</v>
      </c>
      <c r="G164" s="238">
        <f t="shared" si="13"/>
        <v>12.600000000000364</v>
      </c>
      <c r="H164" s="99">
        <f>G164+'11'!H164</f>
        <v>140.30000000000018</v>
      </c>
      <c r="I164" s="236"/>
      <c r="J164" s="239">
        <f>H164/DAY(B2)</f>
        <v>11.691666666666682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30777.65</v>
      </c>
      <c r="F165" s="235">
        <v>30792.2</v>
      </c>
      <c r="G165" s="238">
        <f t="shared" si="13"/>
        <v>14.549999999999272</v>
      </c>
      <c r="H165" s="99">
        <f>G165+'11'!H165</f>
        <v>158.20000000000073</v>
      </c>
      <c r="I165" s="236"/>
      <c r="J165" s="239">
        <f>H165/DAY(B2)</f>
        <v>13.183333333333394</v>
      </c>
    </row>
    <row r="166" spans="1:10" ht="32.25" customHeight="1">
      <c r="A166" s="873"/>
      <c r="B166" s="873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873"/>
      <c r="B167" s="873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873"/>
      <c r="B168" s="873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32.25" customHeight="1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79" t="s">
        <v>209</v>
      </c>
      <c r="B173" s="880"/>
      <c r="C173" s="333"/>
      <c r="D173" s="228" t="s">
        <v>142</v>
      </c>
      <c r="E173" s="157">
        <f>'11'!F173</f>
        <v>8265</v>
      </c>
      <c r="F173" s="155">
        <v>8265</v>
      </c>
      <c r="G173" s="155">
        <f>F173-E173</f>
        <v>0</v>
      </c>
      <c r="H173" s="99">
        <f>G173+'11'!H173</f>
        <v>4</v>
      </c>
      <c r="I173" s="155"/>
      <c r="J173" s="178">
        <f>H173/DAY(B2)</f>
        <v>0.33333333333333331</v>
      </c>
    </row>
    <row r="174" spans="1:10" ht="32.25" customHeight="1">
      <c r="A174" s="879" t="s">
        <v>75</v>
      </c>
      <c r="B174" s="880"/>
      <c r="C174" s="333"/>
      <c r="D174" s="228" t="s">
        <v>142</v>
      </c>
      <c r="E174" s="157">
        <f>'11'!F174</f>
        <v>40075</v>
      </c>
      <c r="F174" s="157">
        <v>40075</v>
      </c>
      <c r="G174" s="155">
        <f t="shared" ref="G174:G175" si="14">F174-E174</f>
        <v>0</v>
      </c>
      <c r="H174" s="99">
        <f>G174+'11'!H174</f>
        <v>147</v>
      </c>
      <c r="I174" s="155"/>
      <c r="J174" s="178">
        <f>H174/DAY(B2)</f>
        <v>12.25</v>
      </c>
    </row>
    <row r="175" spans="1:10" ht="32.25" customHeight="1">
      <c r="A175" s="879" t="s">
        <v>76</v>
      </c>
      <c r="B175" s="919"/>
      <c r="C175" s="880"/>
      <c r="D175" s="228" t="s">
        <v>142</v>
      </c>
      <c r="E175" s="157">
        <f>'11'!F175</f>
        <v>23024</v>
      </c>
      <c r="F175" s="155">
        <v>23028</v>
      </c>
      <c r="G175" s="155">
        <f t="shared" si="14"/>
        <v>4</v>
      </c>
      <c r="H175" s="99">
        <f>G175+'11'!H175</f>
        <v>139</v>
      </c>
      <c r="I175" s="155"/>
      <c r="J175" s="178">
        <f>H175/DAY(B2)</f>
        <v>11.583333333333334</v>
      </c>
    </row>
    <row r="176" spans="1:10" ht="32.25" customHeight="1">
      <c r="A176" s="464" t="s">
        <v>196</v>
      </c>
      <c r="B176" s="465"/>
      <c r="C176" s="401"/>
      <c r="D176" s="228" t="s">
        <v>142</v>
      </c>
      <c r="E176" s="95"/>
      <c r="F176" s="155"/>
      <c r="G176" s="155">
        <f>SUM(G173:G175)</f>
        <v>4</v>
      </c>
      <c r="H176" s="99">
        <f>G176+'11'!H176</f>
        <v>290</v>
      </c>
      <c r="I176" s="155"/>
      <c r="J176" s="178">
        <f>H176/DAY(B2)</f>
        <v>24.166666666666668</v>
      </c>
    </row>
    <row r="177" spans="1:10" ht="32.2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79" t="s">
        <v>210</v>
      </c>
      <c r="B178" s="880"/>
      <c r="C178" s="333"/>
      <c r="D178" s="228" t="s">
        <v>142</v>
      </c>
      <c r="E178" s="95">
        <f>'11'!F178</f>
        <v>89757</v>
      </c>
      <c r="F178" s="155">
        <v>89857</v>
      </c>
      <c r="G178" s="155">
        <f>F178-E178</f>
        <v>100</v>
      </c>
      <c r="H178" s="99">
        <f>G178+'11'!H178</f>
        <v>1254</v>
      </c>
      <c r="I178" s="155"/>
      <c r="J178" s="178">
        <f>H178/DAY(B2)</f>
        <v>104.5</v>
      </c>
    </row>
    <row r="179" spans="1:10" ht="32.25" customHeight="1">
      <c r="A179" s="879" t="s">
        <v>211</v>
      </c>
      <c r="B179" s="880"/>
      <c r="C179" s="333"/>
      <c r="D179" s="228" t="s">
        <v>142</v>
      </c>
      <c r="E179" s="95">
        <f>'11'!F179</f>
        <v>35775</v>
      </c>
      <c r="F179" s="155">
        <v>35775</v>
      </c>
      <c r="G179" s="155">
        <f t="shared" ref="G179:G180" si="15">F179-E179</f>
        <v>0</v>
      </c>
      <c r="H179" s="99">
        <f>G179+'11'!H179</f>
        <v>2</v>
      </c>
      <c r="I179" s="155"/>
      <c r="J179" s="178">
        <f>H179/DAY(B2)</f>
        <v>0.16666666666666666</v>
      </c>
    </row>
    <row r="180" spans="1:10" ht="32.25" customHeight="1">
      <c r="A180" s="879" t="s">
        <v>212</v>
      </c>
      <c r="B180" s="880"/>
      <c r="C180" s="333"/>
      <c r="D180" s="228" t="s">
        <v>142</v>
      </c>
      <c r="E180" s="95">
        <f>'11'!F180</f>
        <v>6487</v>
      </c>
      <c r="F180" s="155">
        <v>6500</v>
      </c>
      <c r="G180" s="155">
        <f t="shared" si="15"/>
        <v>13</v>
      </c>
      <c r="H180" s="99">
        <f>G180+'11'!H180</f>
        <v>111</v>
      </c>
      <c r="I180" s="155"/>
      <c r="J180" s="178">
        <f>H180/DAY(B2)</f>
        <v>9.25</v>
      </c>
    </row>
    <row r="181" spans="1:10" ht="32.25" customHeight="1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113</v>
      </c>
      <c r="H181" s="99">
        <f>G181+'11'!H181</f>
        <v>1367</v>
      </c>
      <c r="I181" s="155"/>
      <c r="J181" s="178">
        <f>H181/DAY(B2)</f>
        <v>113.91666666666667</v>
      </c>
    </row>
    <row r="182" spans="1:10" ht="32.25" customHeight="1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79" t="s">
        <v>214</v>
      </c>
      <c r="B183" s="880"/>
      <c r="C183" s="334"/>
      <c r="D183" s="228" t="s">
        <v>142</v>
      </c>
      <c r="E183" s="95">
        <f>'11'!F183</f>
        <v>16732</v>
      </c>
      <c r="F183" s="157">
        <v>16743</v>
      </c>
      <c r="G183" s="157">
        <f>F183-E183</f>
        <v>11</v>
      </c>
      <c r="H183" s="99">
        <f>G183+'11'!H183</f>
        <v>121</v>
      </c>
      <c r="I183" s="155"/>
      <c r="J183" s="178">
        <f>H183/DAY(B2)</f>
        <v>10.083333333333334</v>
      </c>
    </row>
    <row r="184" spans="1:10" ht="32.25" customHeight="1">
      <c r="A184" s="879" t="s">
        <v>215</v>
      </c>
      <c r="B184" s="880"/>
      <c r="C184" s="334"/>
      <c r="D184" s="228" t="s">
        <v>142</v>
      </c>
      <c r="E184" s="95">
        <f>'11'!F184</f>
        <v>11347</v>
      </c>
      <c r="F184" s="157">
        <v>11348</v>
      </c>
      <c r="G184" s="157">
        <f t="shared" ref="G184:G185" si="16">F184-E184</f>
        <v>1</v>
      </c>
      <c r="H184" s="99">
        <f>G184+'11'!H184</f>
        <v>74</v>
      </c>
      <c r="I184" s="155"/>
      <c r="J184" s="178">
        <f>H184/DAY(B2)</f>
        <v>6.166666666666667</v>
      </c>
    </row>
    <row r="185" spans="1:10" ht="32.25" customHeight="1">
      <c r="A185" s="879" t="s">
        <v>216</v>
      </c>
      <c r="B185" s="880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12</v>
      </c>
      <c r="H186" s="99">
        <f>G186+'11'!H186</f>
        <v>195</v>
      </c>
      <c r="I186" s="157"/>
      <c r="J186" s="178">
        <f>H186/DAY(B2)</f>
        <v>16.25</v>
      </c>
    </row>
    <row r="187" spans="1:10" ht="32.25" customHeight="1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55</v>
      </c>
      <c r="H187" s="99">
        <f>G187+'11'!H187</f>
        <v>2188</v>
      </c>
      <c r="I187" s="158"/>
      <c r="J187" s="179">
        <f>H187/DAY(B2)</f>
        <v>182.33333333333334</v>
      </c>
    </row>
    <row r="188" spans="1:10" ht="32.25" customHeight="1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5262</v>
      </c>
      <c r="H188" s="99">
        <f>G188+'11'!H188</f>
        <v>7700</v>
      </c>
      <c r="I188" s="158"/>
      <c r="J188" s="179">
        <f>H188/DAY(B2)</f>
        <v>641.66666666666663</v>
      </c>
    </row>
    <row r="189" spans="1:10" ht="32.25" customHeight="1">
      <c r="A189" s="870" t="s">
        <v>219</v>
      </c>
      <c r="B189" s="871"/>
      <c r="C189" s="333"/>
      <c r="D189" s="230" t="s">
        <v>142</v>
      </c>
      <c r="E189" s="95"/>
      <c r="F189" s="157"/>
      <c r="G189" s="520">
        <f>G181</f>
        <v>113</v>
      </c>
      <c r="H189" s="99">
        <f>G189+'11'!H189</f>
        <v>1367</v>
      </c>
      <c r="I189" s="158"/>
      <c r="J189" s="179">
        <f>H189/DAY(B2)</f>
        <v>113.91666666666667</v>
      </c>
    </row>
    <row r="190" spans="1:10" ht="32.25" customHeight="1">
      <c r="A190" s="877"/>
      <c r="B190" s="878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145" zoomScale="55" zoomScaleSheetLayoutView="55" workbookViewId="0">
      <selection activeCell="F150" sqref="F150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7.75" customHeight="1">
      <c r="A2" s="191" t="s">
        <v>349</v>
      </c>
      <c r="B2" s="262">
        <v>44694</v>
      </c>
      <c r="C2" s="348" t="s">
        <v>67</v>
      </c>
      <c r="D2" s="218">
        <v>0.83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32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158721</v>
      </c>
      <c r="F7" s="95">
        <v>186912.4</v>
      </c>
      <c r="G7" s="112">
        <f>F7-E7</f>
        <v>28191.399999999994</v>
      </c>
      <c r="H7" s="99">
        <f>G7+'12'!H7</f>
        <v>355874.4</v>
      </c>
      <c r="I7" s="113">
        <f>'1'!I7</f>
        <v>12000</v>
      </c>
      <c r="J7" s="175">
        <f>H7/DAY(B2)</f>
        <v>27374.953846153847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253550.9</v>
      </c>
      <c r="F8" s="114">
        <v>282532.40000000002</v>
      </c>
      <c r="G8" s="115">
        <f>F8-E8</f>
        <v>28981.500000000029</v>
      </c>
      <c r="H8" s="99">
        <f>G8+'12'!H8</f>
        <v>363409.67999999993</v>
      </c>
      <c r="I8" s="116"/>
      <c r="J8" s="175">
        <f>H8/DAY(B2)</f>
        <v>27954.590769230763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2138014.7000000002</v>
      </c>
      <c r="F9" s="470">
        <v>2156102.7000000002</v>
      </c>
      <c r="G9" s="112">
        <f>F9-E9</f>
        <v>18088</v>
      </c>
      <c r="H9" s="99">
        <f>G9+'12'!H9</f>
        <v>265067.70000000019</v>
      </c>
      <c r="I9" s="124">
        <f>I7-J7</f>
        <v>-15374.953846153847</v>
      </c>
      <c r="J9" s="175">
        <f>H9/DAY(B2)</f>
        <v>20389.82307692309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686960.71</v>
      </c>
      <c r="F10" s="353">
        <v>696303.19</v>
      </c>
      <c r="G10" s="112">
        <f t="shared" ref="G10:G12" si="0">F10-E10</f>
        <v>9342.4799999999814</v>
      </c>
      <c r="H10" s="99">
        <f>G10+'12'!H10</f>
        <v>80767.189999999944</v>
      </c>
      <c r="I10" s="282"/>
      <c r="J10" s="175">
        <f>H10/DAY(B2)</f>
        <v>6212.8607692307651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70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27430.479999999981</v>
      </c>
      <c r="H13" s="99">
        <f>G13+'12'!H13</f>
        <v>343318.64000000013</v>
      </c>
      <c r="I13" s="120">
        <f>G7-G13</f>
        <v>760.92000000001281</v>
      </c>
      <c r="J13" s="175">
        <f>H13/DAY(B2)</f>
        <v>26409.126153846162</v>
      </c>
      <c r="K13" s="79"/>
      <c r="L13" s="66"/>
      <c r="N13" s="87"/>
      <c r="O13" s="71"/>
    </row>
    <row r="14" spans="1:15" ht="27.75" customHeight="1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f>'12'!F15</f>
        <v>2016774.1</v>
      </c>
      <c r="F15" s="470">
        <v>2017446.6</v>
      </c>
      <c r="G15" s="112">
        <f>(F15-E15)</f>
        <v>672.5</v>
      </c>
      <c r="H15" s="99">
        <f>G15+'12'!H15</f>
        <v>13719.600000000093</v>
      </c>
      <c r="I15" s="113">
        <f>'1'!I15</f>
        <v>800</v>
      </c>
      <c r="J15" s="175">
        <f>H15/DAY(B2)</f>
        <v>1055.3538461538533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-255.35384615385328</v>
      </c>
      <c r="J16" s="176"/>
      <c r="K16" s="79"/>
      <c r="L16" s="66"/>
      <c r="N16" s="87"/>
      <c r="O16" s="71"/>
    </row>
    <row r="17" spans="1:15" ht="27.75" customHeight="1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7" t="s">
        <v>141</v>
      </c>
      <c r="B18" s="908"/>
      <c r="C18" s="909"/>
      <c r="D18" s="151" t="s">
        <v>142</v>
      </c>
      <c r="E18" s="95">
        <f>'12'!F18</f>
        <v>0</v>
      </c>
      <c r="F18" s="122">
        <v>27</v>
      </c>
      <c r="G18" s="119">
        <f>F18*10</f>
        <v>270</v>
      </c>
      <c r="H18" s="99">
        <f>G18+'12'!H18</f>
        <v>2570</v>
      </c>
      <c r="I18" s="113">
        <f>'1'!I18</f>
        <v>65</v>
      </c>
      <c r="J18" s="175">
        <f>H18/DAY(B2)</f>
        <v>197.69230769230768</v>
      </c>
      <c r="K18" s="79"/>
      <c r="L18" s="66"/>
      <c r="N18" s="87"/>
      <c r="O18" s="71"/>
    </row>
    <row r="19" spans="1:15" ht="27.75" customHeight="1">
      <c r="A19" s="907" t="s">
        <v>69</v>
      </c>
      <c r="B19" s="908"/>
      <c r="C19" s="909"/>
      <c r="D19" s="151" t="s">
        <v>142</v>
      </c>
      <c r="E19" s="95">
        <f>'12'!F19</f>
        <v>159109</v>
      </c>
      <c r="F19" s="122">
        <v>159165</v>
      </c>
      <c r="G19" s="112">
        <f t="shared" ref="G19" si="1">F19-E19</f>
        <v>56</v>
      </c>
      <c r="H19" s="99">
        <f>G19+'12'!H19</f>
        <v>711</v>
      </c>
      <c r="I19" s="335"/>
      <c r="J19" s="175">
        <f>H19/DAY(B2)</f>
        <v>54.692307692307693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326</v>
      </c>
      <c r="H20" s="99">
        <f>G20+'12'!H20</f>
        <v>3281</v>
      </c>
      <c r="I20" s="336">
        <f>I18-J20</f>
        <v>-187.38461538461539</v>
      </c>
      <c r="J20" s="175">
        <f>H20/DAY(B2)</f>
        <v>252.38461538461539</v>
      </c>
      <c r="K20" s="79"/>
      <c r="L20" s="66"/>
      <c r="N20" s="87"/>
      <c r="O20" s="71"/>
    </row>
    <row r="21" spans="1:15" ht="27.75" customHeight="1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28981.500000000029</v>
      </c>
      <c r="F27" s="136">
        <v>9</v>
      </c>
      <c r="G27" s="137">
        <f>E27*F27</f>
        <v>260833.50000000026</v>
      </c>
      <c r="H27" s="99">
        <f>G27+'12'!H27</f>
        <v>3270687.1200000006</v>
      </c>
      <c r="I27" s="138"/>
      <c r="J27" s="175">
        <f>H27/DAY(B2)</f>
        <v>251591.31692307696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672.5</v>
      </c>
      <c r="F28" s="136">
        <v>70</v>
      </c>
      <c r="G28" s="137">
        <f>E28*F28</f>
        <v>47075</v>
      </c>
      <c r="H28" s="99">
        <f>G28+'12'!H28</f>
        <v>904678.20000000484</v>
      </c>
      <c r="I28" s="140"/>
      <c r="J28" s="175">
        <f>H28/DAY(B2)</f>
        <v>69590.630769231138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G30+'12'!H30</f>
        <v>106546</v>
      </c>
      <c r="I30" s="140"/>
      <c r="J30" s="175">
        <f>H30/DAY(B2)</f>
        <v>8195.8461538461543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G31+'12'!H31</f>
        <v>205600</v>
      </c>
      <c r="I31" s="140"/>
      <c r="J31" s="175">
        <f>H31/DAY(B2)</f>
        <v>15815.384615384615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337964.50000000023</v>
      </c>
      <c r="H32" s="99">
        <f>G32+'12'!H32</f>
        <v>4487511.320000005</v>
      </c>
      <c r="I32" s="144"/>
      <c r="J32" s="175">
        <f>H32/DAY(B2)</f>
        <v>345193.17846153886</v>
      </c>
      <c r="K32" s="63"/>
      <c r="L32" s="89"/>
      <c r="N32" s="87"/>
      <c r="O32" s="71"/>
    </row>
    <row r="33" spans="1:15" ht="27.7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228139.6</v>
      </c>
      <c r="F35" s="145">
        <v>230350.65</v>
      </c>
      <c r="G35" s="112">
        <f t="shared" ref="G35:G46" si="3">F35-E35</f>
        <v>2211.0499999999884</v>
      </c>
      <c r="H35" s="99">
        <f>G35+'12'!H35</f>
        <v>27465.649999999994</v>
      </c>
      <c r="I35" s="95"/>
      <c r="J35" s="175">
        <f>H35/DAY(B2)</f>
        <v>2112.7423076923073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143552.5</v>
      </c>
      <c r="F36" s="145">
        <v>144637</v>
      </c>
      <c r="G36" s="112">
        <f t="shared" si="3"/>
        <v>1084.5</v>
      </c>
      <c r="H36" s="99">
        <f>G36+'12'!H36</f>
        <v>13058</v>
      </c>
      <c r="I36" s="95"/>
      <c r="J36" s="175">
        <f>H36/DAY(B2)</f>
        <v>1004.4615384615385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202829.97</v>
      </c>
      <c r="F37" s="145">
        <v>204552.4</v>
      </c>
      <c r="G37" s="112">
        <f t="shared" si="3"/>
        <v>1722.429999999993</v>
      </c>
      <c r="H37" s="99">
        <f>G37+'12'!H37</f>
        <v>21427.399999999994</v>
      </c>
      <c r="I37" s="95"/>
      <c r="J37" s="175">
        <f>H37/DAY(B2)</f>
        <v>1648.2615384615381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271427.93</v>
      </c>
      <c r="F38" s="108">
        <v>273475.45</v>
      </c>
      <c r="G38" s="112">
        <f t="shared" si="3"/>
        <v>2047.5200000000186</v>
      </c>
      <c r="H38" s="99">
        <f>G38+'12'!H38</f>
        <v>30023.450000000012</v>
      </c>
      <c r="I38" s="95"/>
      <c r="J38" s="175">
        <f>H38/DAY(B2)</f>
        <v>2309.4961538461548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374783.9</v>
      </c>
      <c r="F39" s="145">
        <v>377799.03</v>
      </c>
      <c r="G39" s="112">
        <f t="shared" si="3"/>
        <v>3015.1300000000047</v>
      </c>
      <c r="H39" s="99">
        <f>G39+'12'!H39</f>
        <v>37811.030000000028</v>
      </c>
      <c r="I39" s="95"/>
      <c r="J39" s="175">
        <f>H39/DAY(B2)</f>
        <v>2908.5407692307713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70163.899999999994</v>
      </c>
      <c r="F40" s="145">
        <v>70321.600000000006</v>
      </c>
      <c r="G40" s="112">
        <f t="shared" si="3"/>
        <v>157.70000000001164</v>
      </c>
      <c r="H40" s="99">
        <f>G40+'12'!H40</f>
        <v>5444.6000000000058</v>
      </c>
      <c r="I40" s="95"/>
      <c r="J40" s="175">
        <f>H40/DAY(B2)</f>
        <v>418.81538461538508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68834.100000000006</v>
      </c>
      <c r="F41" s="145">
        <v>68834.899999999994</v>
      </c>
      <c r="G41" s="112">
        <f t="shared" si="3"/>
        <v>0.79999999998835847</v>
      </c>
      <c r="H41" s="99">
        <f>G41+'12'!H41</f>
        <v>41141.899999999994</v>
      </c>
      <c r="I41" s="95"/>
      <c r="J41" s="175">
        <f>H41/DAY(B2)</f>
        <v>3164.7615384615378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463223.43</v>
      </c>
      <c r="F42" s="145">
        <v>467215.9</v>
      </c>
      <c r="G42" s="112">
        <f t="shared" si="3"/>
        <v>3992.4700000000303</v>
      </c>
      <c r="H42" s="99">
        <f>G42+'12'!H42</f>
        <v>41414.900000000023</v>
      </c>
      <c r="I42" s="95"/>
      <c r="J42" s="175">
        <f>H42/DAY(B2)</f>
        <v>3185.7615384615401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393087.47</v>
      </c>
      <c r="F43" s="145">
        <v>395826.71</v>
      </c>
      <c r="G43" s="112">
        <f t="shared" si="3"/>
        <v>2739.2400000000489</v>
      </c>
      <c r="H43" s="99">
        <f>G43+'12'!H43</f>
        <v>38307.710000000021</v>
      </c>
      <c r="I43" s="95"/>
      <c r="J43" s="175">
        <f>H43/DAY(B2)</f>
        <v>2946.7469230769248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16970.840000000084</v>
      </c>
      <c r="H47" s="99">
        <f>G47+'12'!H47</f>
        <v>256094.64000000007</v>
      </c>
      <c r="I47" s="95"/>
      <c r="J47" s="175">
        <f>H47/DAY(B2)</f>
        <v>19699.587692307698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189010.69</v>
      </c>
      <c r="F49" s="145">
        <v>191105.53</v>
      </c>
      <c r="G49" s="112">
        <f t="shared" ref="G49:G58" si="4">F49-E49</f>
        <v>2094.8399999999965</v>
      </c>
      <c r="H49" s="99">
        <f>G49+'12'!H49</f>
        <v>25935.53</v>
      </c>
      <c r="I49" s="95"/>
      <c r="J49" s="175">
        <f>H49/DAY(B2)</f>
        <v>1995.0407692307692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187987.67</v>
      </c>
      <c r="F50" s="145">
        <v>189569.75</v>
      </c>
      <c r="G50" s="112">
        <f t="shared" si="4"/>
        <v>1582.0799999999872</v>
      </c>
      <c r="H50" s="99">
        <f>G50+'12'!H50</f>
        <v>16962.75</v>
      </c>
      <c r="I50" s="95"/>
      <c r="J50" s="175">
        <f>H50/DAY(B2)</f>
        <v>1304.8269230769231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76</v>
      </c>
      <c r="F51" s="145">
        <v>76</v>
      </c>
      <c r="G51" s="112">
        <f t="shared" si="4"/>
        <v>0</v>
      </c>
      <c r="H51" s="99">
        <f>G51+'12'!H51</f>
        <v>0.31999999999999318</v>
      </c>
      <c r="I51" s="95"/>
      <c r="J51" s="175">
        <f>H51/DAY(B2)</f>
        <v>2.4615384615384091E-2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55737.05</v>
      </c>
      <c r="F54" s="145">
        <v>56210.5</v>
      </c>
      <c r="G54" s="112">
        <f t="shared" si="4"/>
        <v>473.44999999999709</v>
      </c>
      <c r="H54" s="99">
        <f>G54+'12'!H54</f>
        <v>6127.5</v>
      </c>
      <c r="I54" s="95"/>
      <c r="J54" s="175">
        <f>H54/DAY(B2)</f>
        <v>471.34615384615387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167629.9</v>
      </c>
      <c r="F55" s="145">
        <v>171589.07</v>
      </c>
      <c r="G55" s="112">
        <f t="shared" si="4"/>
        <v>3959.1700000000128</v>
      </c>
      <c r="H55" s="99">
        <f>G55+'12'!H55</f>
        <v>26622.070000000007</v>
      </c>
      <c r="I55" s="95"/>
      <c r="J55" s="175">
        <f>H55/DAY(B2)</f>
        <v>2047.8515384615389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107245.6</v>
      </c>
      <c r="F56" s="145">
        <v>107245.6</v>
      </c>
      <c r="G56" s="112">
        <f t="shared" si="4"/>
        <v>0</v>
      </c>
      <c r="H56" s="99">
        <f>G56+'12'!H56</f>
        <v>-0.39999999999417923</v>
      </c>
      <c r="I56" s="95"/>
      <c r="J56" s="175">
        <f>H56/DAY(B2)</f>
        <v>-3.0769230768783018E-2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28035.8</v>
      </c>
      <c r="F58" s="145">
        <v>28169.1</v>
      </c>
      <c r="G58" s="112">
        <f t="shared" si="4"/>
        <v>133.29999999999927</v>
      </c>
      <c r="H58" s="99">
        <f>G58+'12'!H58</f>
        <v>2676.0999999999985</v>
      </c>
      <c r="I58" s="95"/>
      <c r="J58" s="175">
        <f>H58/DAY(B2)</f>
        <v>205.85384615384604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8242.8399999999929</v>
      </c>
      <c r="H59" s="99">
        <f>G59+'12'!H59</f>
        <v>78323.87000000001</v>
      </c>
      <c r="I59" s="95">
        <f>G7-G60</f>
        <v>2977.7199999999175</v>
      </c>
      <c r="J59" s="175">
        <f>H59/DAY(B2)</f>
        <v>6024.9130769230778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25213.680000000077</v>
      </c>
      <c r="H60" s="99">
        <f>G60+'12'!H60</f>
        <v>334418.51000000007</v>
      </c>
      <c r="I60" s="95">
        <f>G13-G60</f>
        <v>2216.7999999999047</v>
      </c>
      <c r="J60" s="175">
        <f>H60/DAY(B2)</f>
        <v>25724.500769230774</v>
      </c>
      <c r="K60" s="79"/>
      <c r="L60" s="66"/>
      <c r="N60" s="87"/>
      <c r="O60" s="71"/>
    </row>
    <row r="61" spans="1:15" s="68" customFormat="1" ht="27.75" customHeight="1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7" t="s">
        <v>198</v>
      </c>
      <c r="B62" s="908"/>
      <c r="C62" s="909"/>
      <c r="D62" s="151" t="s">
        <v>142</v>
      </c>
      <c r="E62" s="95">
        <f>'12'!F62</f>
        <v>285542</v>
      </c>
      <c r="F62" s="122">
        <v>285645</v>
      </c>
      <c r="G62" s="112">
        <f t="shared" ref="G62:G63" si="5">F62-E62</f>
        <v>103</v>
      </c>
      <c r="H62" s="99">
        <f>G62+'12'!H62</f>
        <v>1636</v>
      </c>
      <c r="I62" s="118"/>
      <c r="J62" s="175">
        <f>H62/DAY(B2)</f>
        <v>125.84615384615384</v>
      </c>
      <c r="K62" s="80"/>
      <c r="L62" s="66"/>
      <c r="N62" s="87"/>
      <c r="O62" s="71"/>
    </row>
    <row r="63" spans="1:15" ht="27.75" customHeight="1">
      <c r="A63" s="907" t="s">
        <v>199</v>
      </c>
      <c r="B63" s="908"/>
      <c r="C63" s="909"/>
      <c r="D63" s="151" t="s">
        <v>142</v>
      </c>
      <c r="E63" s="95">
        <f>'12'!F63</f>
        <v>229228</v>
      </c>
      <c r="F63" s="122">
        <v>229365</v>
      </c>
      <c r="G63" s="112">
        <f t="shared" si="5"/>
        <v>137</v>
      </c>
      <c r="H63" s="99">
        <f>G63+'12'!H63</f>
        <v>1886</v>
      </c>
      <c r="I63" s="118"/>
      <c r="J63" s="175">
        <f>H63/DAY(B2)</f>
        <v>145.07692307692307</v>
      </c>
      <c r="K63" s="69"/>
      <c r="L63" s="66"/>
      <c r="N63" s="87"/>
      <c r="O63" s="71"/>
    </row>
    <row r="64" spans="1:15" ht="27.75" customHeight="1">
      <c r="A64" s="916" t="s">
        <v>200</v>
      </c>
      <c r="B64" s="917"/>
      <c r="C64" s="918"/>
      <c r="D64" s="151"/>
      <c r="E64" s="95">
        <f>'12'!F64</f>
        <v>0</v>
      </c>
      <c r="F64" s="122"/>
      <c r="G64" s="112">
        <f>G62+G63</f>
        <v>240</v>
      </c>
      <c r="H64" s="99">
        <f>G64+'12'!H64</f>
        <v>3522</v>
      </c>
      <c r="I64" s="118"/>
      <c r="J64" s="175">
        <f>H64/DAY(B2)</f>
        <v>270.92307692307691</v>
      </c>
      <c r="K64" s="69"/>
      <c r="L64" s="66"/>
      <c r="N64" s="87"/>
      <c r="O64" s="71"/>
    </row>
    <row r="65" spans="1:15" ht="27.75" customHeight="1">
      <c r="A65" s="907" t="s">
        <v>201</v>
      </c>
      <c r="B65" s="908"/>
      <c r="C65" s="909"/>
      <c r="D65" s="151" t="s">
        <v>142</v>
      </c>
      <c r="E65" s="95">
        <f>'12'!F65</f>
        <v>445862</v>
      </c>
      <c r="F65" s="122">
        <v>445943</v>
      </c>
      <c r="G65" s="112">
        <f t="shared" ref="G65:G70" si="6">F65-E65</f>
        <v>81</v>
      </c>
      <c r="H65" s="99">
        <f>G65+'12'!H65</f>
        <v>1351</v>
      </c>
      <c r="I65" s="118"/>
      <c r="J65" s="175">
        <f>H65/DAY(B2)</f>
        <v>103.92307692307692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109844</v>
      </c>
      <c r="F66" s="122">
        <v>109867</v>
      </c>
      <c r="G66" s="112">
        <f t="shared" si="6"/>
        <v>23</v>
      </c>
      <c r="H66" s="99">
        <f>G66+'12'!H66</f>
        <v>286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111829</v>
      </c>
      <c r="F67" s="122">
        <v>111908</v>
      </c>
      <c r="G67" s="112">
        <f t="shared" si="6"/>
        <v>79</v>
      </c>
      <c r="H67" s="99">
        <f>G67+'12'!H67</f>
        <v>1008</v>
      </c>
      <c r="I67" s="118"/>
      <c r="J67" s="175">
        <f>H67/DAY(B2)</f>
        <v>77.538461538461533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162042</v>
      </c>
      <c r="F68" s="122">
        <v>162053</v>
      </c>
      <c r="G68" s="112">
        <f t="shared" si="6"/>
        <v>11</v>
      </c>
      <c r="H68" s="99">
        <f>G68+'12'!H68</f>
        <v>269</v>
      </c>
      <c r="I68" s="118"/>
      <c r="J68" s="175">
        <f>H68/DAY(B2)</f>
        <v>20.692307692307693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16743</v>
      </c>
      <c r="F69" s="122">
        <v>16753</v>
      </c>
      <c r="G69" s="112">
        <f t="shared" si="6"/>
        <v>10</v>
      </c>
      <c r="H69" s="99">
        <f>G69+'12'!H69</f>
        <v>5155</v>
      </c>
      <c r="I69" s="118"/>
      <c r="J69" s="175">
        <f>H69/DAY(B2)</f>
        <v>396.53846153846155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9094</v>
      </c>
      <c r="F70" s="122">
        <v>9101</v>
      </c>
      <c r="G70" s="112">
        <f t="shared" si="6"/>
        <v>7</v>
      </c>
      <c r="H70" s="99">
        <f>G70+'12'!H70</f>
        <v>100</v>
      </c>
      <c r="I70" s="118"/>
      <c r="J70" s="175">
        <f>H70/DAY(B2)</f>
        <v>7.6923076923076925</v>
      </c>
      <c r="K70" s="69"/>
      <c r="L70" s="66"/>
      <c r="N70" s="87"/>
      <c r="O70" s="71"/>
    </row>
    <row r="71" spans="1:15" ht="27.75" customHeight="1">
      <c r="A71" s="916" t="s">
        <v>208</v>
      </c>
      <c r="B71" s="917"/>
      <c r="C71" s="918"/>
      <c r="D71" s="152"/>
      <c r="E71" s="152"/>
      <c r="F71" s="152" t="s">
        <v>371</v>
      </c>
      <c r="G71" s="153">
        <f>SUM(G65:G70)</f>
        <v>211</v>
      </c>
      <c r="H71" s="99">
        <f>G71+'12'!H71</f>
        <v>8169</v>
      </c>
      <c r="I71" s="154"/>
      <c r="J71" s="175">
        <f>H71/DAY(B2)</f>
        <v>628.38461538461536</v>
      </c>
      <c r="K71" s="69"/>
      <c r="L71" s="66"/>
      <c r="N71" s="87"/>
      <c r="O71" s="71"/>
    </row>
    <row r="72" spans="1:15" s="88" customFormat="1" ht="27.75" customHeight="1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907" t="s">
        <v>220</v>
      </c>
      <c r="B74" s="908"/>
      <c r="C74" s="909"/>
      <c r="D74" s="151" t="s">
        <v>139</v>
      </c>
      <c r="E74" s="95">
        <f>'12'!F74</f>
        <v>932524</v>
      </c>
      <c r="F74" s="117">
        <v>932850.34</v>
      </c>
      <c r="G74" s="112">
        <f t="shared" ref="G74:G78" si="7">F74-E74</f>
        <v>326.3399999999674</v>
      </c>
      <c r="H74" s="99">
        <f>G74+'12'!H74</f>
        <v>4073.3399999999674</v>
      </c>
      <c r="I74" s="154"/>
      <c r="J74" s="175">
        <f>H74/DAY(B2)</f>
        <v>313.33384615384364</v>
      </c>
      <c r="K74" s="69"/>
      <c r="L74" s="66"/>
      <c r="N74" s="87"/>
      <c r="O74" s="71"/>
    </row>
    <row r="75" spans="1:15" ht="27.75" customHeight="1">
      <c r="A75" s="907" t="s">
        <v>221</v>
      </c>
      <c r="B75" s="908"/>
      <c r="C75" s="909"/>
      <c r="D75" s="151" t="s">
        <v>139</v>
      </c>
      <c r="E75" s="95">
        <f>'12'!F75</f>
        <v>73587</v>
      </c>
      <c r="F75" s="123">
        <v>73586.8</v>
      </c>
      <c r="G75" s="112">
        <f t="shared" si="7"/>
        <v>-0.19999999999708962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04" t="s">
        <v>222</v>
      </c>
      <c r="B76" s="905"/>
      <c r="C76" s="906"/>
      <c r="D76" s="151" t="s">
        <v>139</v>
      </c>
      <c r="E76" s="95">
        <f>'12'!F76</f>
        <v>181532</v>
      </c>
      <c r="F76" s="123">
        <v>181678</v>
      </c>
      <c r="G76" s="112">
        <f t="shared" si="7"/>
        <v>146</v>
      </c>
      <c r="H76" s="99">
        <f>G76+'12'!H76</f>
        <v>1524</v>
      </c>
      <c r="I76" s="154"/>
      <c r="J76" s="175">
        <f>H76/DAY(B2)</f>
        <v>117.23076923076923</v>
      </c>
      <c r="K76" s="69"/>
      <c r="L76" s="66"/>
      <c r="N76" s="87"/>
      <c r="O76" s="71"/>
    </row>
    <row r="77" spans="1:15" ht="27.75" customHeight="1">
      <c r="A77" s="904" t="s">
        <v>223</v>
      </c>
      <c r="B77" s="905"/>
      <c r="C77" s="906"/>
      <c r="D77" s="151" t="s">
        <v>139</v>
      </c>
      <c r="E77" s="95">
        <f>'12'!F77</f>
        <v>46342</v>
      </c>
      <c r="F77" s="123">
        <v>46412.6</v>
      </c>
      <c r="G77" s="112">
        <f t="shared" si="7"/>
        <v>70.599999999998545</v>
      </c>
      <c r="H77" s="99">
        <f>G77+'12'!H77</f>
        <v>738.59999999999854</v>
      </c>
      <c r="I77" s="154"/>
      <c r="J77" s="175">
        <f>H77/DAY(B2)</f>
        <v>56.815384615384502</v>
      </c>
      <c r="K77" s="69"/>
      <c r="L77" s="66"/>
      <c r="N77" s="87"/>
      <c r="O77" s="71"/>
    </row>
    <row r="78" spans="1:15" ht="27.75" customHeight="1">
      <c r="A78" s="904" t="s">
        <v>224</v>
      </c>
      <c r="B78" s="905"/>
      <c r="C78" s="906"/>
      <c r="D78" s="151" t="s">
        <v>139</v>
      </c>
      <c r="E78" s="95">
        <f>'12'!F78</f>
        <v>9563.4</v>
      </c>
      <c r="F78" s="123">
        <v>9564</v>
      </c>
      <c r="G78" s="112">
        <f t="shared" si="7"/>
        <v>0.6000000000003638</v>
      </c>
      <c r="H78" s="99">
        <f>G78+'12'!H78</f>
        <v>0.6000000000003638</v>
      </c>
      <c r="I78" s="118"/>
      <c r="J78" s="175">
        <f>H78/DAY(B2)</f>
        <v>4.6153846153874141E-2</v>
      </c>
      <c r="K78" s="69"/>
      <c r="L78" s="66"/>
      <c r="N78" s="87"/>
      <c r="O78" s="71"/>
    </row>
    <row r="79" spans="1:15" s="57" customFormat="1" ht="27.75" customHeight="1">
      <c r="A79" s="904" t="s">
        <v>225</v>
      </c>
      <c r="B79" s="905"/>
      <c r="C79" s="906"/>
      <c r="D79" s="151"/>
      <c r="E79" s="95">
        <f>'12'!F79</f>
        <v>0</v>
      </c>
      <c r="F79" s="117"/>
      <c r="G79" s="112">
        <f>G15-SUM(G74:G78)</f>
        <v>129.16000000003078</v>
      </c>
      <c r="H79" s="99">
        <f>G79+'12'!H79</f>
        <v>7383.0600000001268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16" t="s">
        <v>329</v>
      </c>
      <c r="B80" s="917"/>
      <c r="C80" s="918"/>
      <c r="D80" s="151"/>
      <c r="E80" s="117"/>
      <c r="F80" s="117"/>
      <c r="G80" s="112">
        <f>SUM(G74:G79)</f>
        <v>672.5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41969</v>
      </c>
      <c r="F84" s="164">
        <v>41969</v>
      </c>
      <c r="G84" s="112">
        <f t="shared" si="8"/>
        <v>0</v>
      </c>
      <c r="H84" s="99">
        <f>G84+'12'!H84</f>
        <v>177</v>
      </c>
      <c r="I84" s="575"/>
      <c r="J84" s="175">
        <f>H84/DAY(B2)</f>
        <v>13.615384615384615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3937.2</v>
      </c>
      <c r="F85" s="164">
        <v>3953</v>
      </c>
      <c r="G85" s="112">
        <f t="shared" si="8"/>
        <v>15.800000000000182</v>
      </c>
      <c r="H85" s="99">
        <f>G85+'12'!H85</f>
        <v>176</v>
      </c>
      <c r="I85" s="575"/>
      <c r="J85" s="175">
        <f>H85/DAY(B2)</f>
        <v>13.538461538461538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44090.400000000001</v>
      </c>
      <c r="F86" s="164">
        <v>44114.57</v>
      </c>
      <c r="G86" s="112">
        <f t="shared" si="8"/>
        <v>24.169999999998254</v>
      </c>
      <c r="H86" s="99">
        <f>G86+'12'!H86</f>
        <v>175.56999999999971</v>
      </c>
      <c r="I86" s="575"/>
      <c r="J86" s="175">
        <f>H86/DAY(B2)</f>
        <v>13.505384615384592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35329</v>
      </c>
      <c r="F87" s="164">
        <v>35329</v>
      </c>
      <c r="G87" s="112">
        <f t="shared" si="8"/>
        <v>0</v>
      </c>
      <c r="H87" s="99">
        <f>G87+'12'!H87</f>
        <v>0</v>
      </c>
      <c r="I87" s="575">
        <f>G84+G85+G86+G87</f>
        <v>39.969999999998436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24207.32</v>
      </c>
      <c r="F88" s="164">
        <v>24207.32</v>
      </c>
      <c r="G88" s="112">
        <f t="shared" si="8"/>
        <v>0</v>
      </c>
      <c r="H88" s="99">
        <f>G88+'12'!H88</f>
        <v>19.200000000000728</v>
      </c>
      <c r="I88" s="575"/>
      <c r="J88" s="175">
        <f>H88/DAY(B2)</f>
        <v>1.476923076923133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26814.69</v>
      </c>
      <c r="F89" s="164">
        <v>26818.98</v>
      </c>
      <c r="G89" s="112">
        <f t="shared" si="8"/>
        <v>4.2900000000008731</v>
      </c>
      <c r="H89" s="99">
        <f>G89+'12'!H89</f>
        <v>109.7599999999984</v>
      </c>
      <c r="I89" s="575">
        <f>G88+G89</f>
        <v>4.2900000000008731</v>
      </c>
      <c r="J89" s="175">
        <f>H89/DAY(B2)</f>
        <v>8.4430769230768004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71956.960000000006</v>
      </c>
      <c r="F90" s="164">
        <v>71966.399999999994</v>
      </c>
      <c r="G90" s="112">
        <f t="shared" si="8"/>
        <v>9.4399999999877764</v>
      </c>
      <c r="H90" s="99">
        <f>G90+'12'!H90</f>
        <v>102.86999999999534</v>
      </c>
      <c r="I90" s="575">
        <f>G90</f>
        <v>9.4399999999877764</v>
      </c>
      <c r="J90" s="175">
        <f>H90/DAY(B2)</f>
        <v>7.9130769230765647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4121.6499999999996</v>
      </c>
      <c r="F91" s="122">
        <v>4122</v>
      </c>
      <c r="G91" s="112">
        <f t="shared" si="8"/>
        <v>0.3500000000003638</v>
      </c>
      <c r="H91" s="99">
        <f>G91+'12'!H91</f>
        <v>62.760000000000218</v>
      </c>
      <c r="I91" s="594"/>
      <c r="J91" s="175">
        <f>H91/DAY(B2)</f>
        <v>4.8276923076923248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6005.7</v>
      </c>
      <c r="F92" s="122">
        <v>6017</v>
      </c>
      <c r="G92" s="112">
        <f t="shared" si="8"/>
        <v>11.300000000000182</v>
      </c>
      <c r="H92" s="99">
        <f>G92+'12'!H92</f>
        <v>82</v>
      </c>
      <c r="I92" s="600">
        <f>G91+G92</f>
        <v>11.650000000000546</v>
      </c>
      <c r="J92" s="175">
        <f>H92/DAY(B2)</f>
        <v>6.3076923076923075</v>
      </c>
      <c r="O92" s="71"/>
    </row>
    <row r="93" spans="1:15" ht="27.75" customHeight="1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7045.1300000000338</v>
      </c>
      <c r="H94" s="99">
        <f>G94+'12'!H94</f>
        <v>91708.890000000014</v>
      </c>
      <c r="I94" s="118"/>
      <c r="J94" s="175">
        <f>H94/DAY(B2)</f>
        <v>7054.5300000000007</v>
      </c>
      <c r="K94" s="69"/>
      <c r="L94" s="66"/>
      <c r="O94" s="71"/>
    </row>
    <row r="95" spans="1:15" ht="27.75" customHeight="1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0.24990351667529939</v>
      </c>
      <c r="H95" s="99">
        <f>G95+'12'!H95</f>
        <v>3.3492403146967433</v>
      </c>
      <c r="I95" s="167"/>
      <c r="J95" s="175">
        <f>H95/DAY(B2)</f>
        <v>0.25763387036128793</v>
      </c>
      <c r="K95" s="69"/>
      <c r="L95" s="66"/>
      <c r="O95" s="71"/>
    </row>
    <row r="96" spans="1:15" ht="27.75" customHeight="1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7952.4400000000314</v>
      </c>
      <c r="H96" s="99">
        <f>G96+'12'!H96</f>
        <v>109178.47000000003</v>
      </c>
      <c r="I96" s="118"/>
      <c r="J96" s="175">
        <f>H96/DAY(B2)</f>
        <v>8398.3438461538481</v>
      </c>
      <c r="K96" s="69"/>
      <c r="L96" s="66"/>
      <c r="O96" s="71"/>
    </row>
    <row r="97" spans="1:15" ht="27.75" customHeight="1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0.28208744510737432</v>
      </c>
      <c r="H97" s="99">
        <f>G97+'12'!H97</f>
        <v>3.9858040530301579</v>
      </c>
      <c r="I97" s="167"/>
      <c r="J97" s="175">
        <f>H97/DAY(B2)</f>
        <v>0.30660031177155062</v>
      </c>
      <c r="K97" s="69"/>
      <c r="L97" s="66"/>
      <c r="O97" s="71"/>
    </row>
    <row r="98" spans="1:15" ht="27.75" customHeight="1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3015.1300000000047</v>
      </c>
      <c r="H98" s="99">
        <f>G98+'12'!H98</f>
        <v>37811.030000000028</v>
      </c>
      <c r="I98" s="168"/>
      <c r="J98" s="175">
        <f>H98/DAY(B2)</f>
        <v>2908.5407692307713</v>
      </c>
      <c r="K98" s="69"/>
      <c r="L98" s="66"/>
      <c r="O98" s="71"/>
    </row>
    <row r="99" spans="1:15" ht="27.75" customHeight="1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0.10695212015011689</v>
      </c>
      <c r="H99" s="99">
        <f>G99+'12'!H99</f>
        <v>1.3828785984747147</v>
      </c>
      <c r="I99" s="168"/>
      <c r="J99" s="175">
        <f>H99/DAY(B2)</f>
        <v>0.10637527680574729</v>
      </c>
      <c r="O99" s="71"/>
    </row>
    <row r="100" spans="1:15" ht="27.75" customHeight="1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2047.5200000000186</v>
      </c>
      <c r="H100" s="99">
        <f>G100+'12'!H100</f>
        <v>30023.450000000012</v>
      </c>
      <c r="I100" s="118"/>
      <c r="J100" s="175">
        <f>H100/DAY(B2)</f>
        <v>2309.4961538461548</v>
      </c>
      <c r="K100" s="70"/>
      <c r="O100" s="71"/>
    </row>
    <row r="101" spans="1:15" ht="27.75" customHeight="1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7.262924154174745E-2</v>
      </c>
      <c r="H101" s="99">
        <f>G101+'12'!H101</f>
        <v>1.0985152725203</v>
      </c>
      <c r="I101" s="168"/>
      <c r="J101" s="175">
        <f>H101/DAY(B2)</f>
        <v>8.4501174809253843E-2</v>
      </c>
      <c r="O101" s="71"/>
    </row>
    <row r="102" spans="1:15" ht="27.75" customHeight="1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2666.5799999999872</v>
      </c>
      <c r="H102" s="99">
        <f>G102+'12'!H102</f>
        <v>30020.75</v>
      </c>
      <c r="I102" s="168"/>
      <c r="J102" s="175">
        <f>H102/DAY(B2)</f>
        <v>2309.2884615384614</v>
      </c>
      <c r="O102" s="71"/>
    </row>
    <row r="103" spans="1:15" ht="27.75" customHeight="1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9.4588420582162921E-2</v>
      </c>
      <c r="H103" s="99">
        <f>G103+'12'!H103</f>
        <v>1.0946329971182658</v>
      </c>
      <c r="I103" s="118"/>
      <c r="J103" s="175">
        <f>H103/DAY(B2)</f>
        <v>8.4202538239866592E-2</v>
      </c>
      <c r="O103" s="71"/>
    </row>
    <row r="104" spans="1:15" ht="27.75" customHeight="1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1722.429999999993</v>
      </c>
      <c r="H104" s="99">
        <f>G104+'12'!H104</f>
        <v>21427.719999999994</v>
      </c>
      <c r="I104" s="118"/>
      <c r="J104" s="175">
        <f>H104/DAY(B2)</f>
        <v>1648.2861538461534</v>
      </c>
      <c r="O104" s="71"/>
    </row>
    <row r="105" spans="1:15" ht="27.75" customHeight="1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6.1097710649346729E-2</v>
      </c>
      <c r="H105" s="99">
        <f>G105+'12'!H105</f>
        <v>0.78331254947615048</v>
      </c>
      <c r="I105" s="187"/>
      <c r="J105" s="188">
        <f>H105/DAY(B2)</f>
        <v>6.0254811498165424E-2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7.75" customHeight="1">
      <c r="A109" s="924"/>
      <c r="B109" s="924"/>
    </row>
    <row r="110" spans="1:15" ht="27.75" customHeight="1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7.75" customHeight="1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86" t="s">
        <v>252</v>
      </c>
      <c r="B112" s="887"/>
      <c r="C112" s="888"/>
      <c r="D112" s="146" t="s">
        <v>183</v>
      </c>
      <c r="E112" s="95">
        <f>'12'!F112</f>
        <v>1191.0999999999999</v>
      </c>
      <c r="F112" s="237">
        <v>1272</v>
      </c>
      <c r="G112" s="112">
        <f t="shared" ref="G112:G123" si="9">F112-E112</f>
        <v>80.900000000000091</v>
      </c>
      <c r="H112" s="99">
        <f>G112+'12'!H112</f>
        <v>1029</v>
      </c>
      <c r="I112" s="165"/>
      <c r="J112" s="328">
        <f>H112/DAY(B2)</f>
        <v>79.15384615384616</v>
      </c>
    </row>
    <row r="113" spans="1:18" ht="27.75" customHeight="1">
      <c r="A113" s="886" t="s">
        <v>253</v>
      </c>
      <c r="B113" s="887"/>
      <c r="C113" s="888"/>
      <c r="D113" s="146" t="s">
        <v>183</v>
      </c>
      <c r="E113" s="95">
        <f>'12'!F113</f>
        <v>2531.5</v>
      </c>
      <c r="F113" s="237">
        <v>2743</v>
      </c>
      <c r="G113" s="112">
        <f t="shared" si="9"/>
        <v>211.5</v>
      </c>
      <c r="H113" s="99">
        <f>G113+'12'!H113</f>
        <v>2261</v>
      </c>
      <c r="I113" s="165"/>
      <c r="J113" s="328">
        <f>H113/DAY(B2)</f>
        <v>173.92307692307693</v>
      </c>
    </row>
    <row r="114" spans="1:18" ht="27.75" customHeight="1">
      <c r="A114" s="886" t="s">
        <v>254</v>
      </c>
      <c r="B114" s="887"/>
      <c r="C114" s="888"/>
      <c r="D114" s="146" t="s">
        <v>183</v>
      </c>
      <c r="E114" s="95">
        <f>'12'!F114</f>
        <v>3284.96</v>
      </c>
      <c r="F114" s="237">
        <v>3504</v>
      </c>
      <c r="G114" s="112">
        <f t="shared" si="9"/>
        <v>219.03999999999996</v>
      </c>
      <c r="H114" s="99">
        <f>G114+'12'!H114</f>
        <v>2840</v>
      </c>
      <c r="I114" s="165"/>
      <c r="J114" s="328">
        <f>H114/DAY(B2)</f>
        <v>218.46153846153845</v>
      </c>
    </row>
    <row r="115" spans="1:18" ht="27.75" customHeight="1">
      <c r="A115" s="886" t="s">
        <v>255</v>
      </c>
      <c r="B115" s="887"/>
      <c r="C115" s="888"/>
      <c r="D115" s="146" t="s">
        <v>183</v>
      </c>
      <c r="E115" s="95">
        <f>'12'!F115</f>
        <v>2365.3000000000002</v>
      </c>
      <c r="F115" s="237">
        <v>2533.6999999999998</v>
      </c>
      <c r="G115" s="112">
        <f t="shared" si="9"/>
        <v>168.39999999999964</v>
      </c>
      <c r="H115" s="99">
        <f>G115+'12'!H115</f>
        <v>2022.6999999999998</v>
      </c>
      <c r="I115" s="165"/>
      <c r="J115" s="328">
        <f>H115/DAY(B2)</f>
        <v>155.59230769230768</v>
      </c>
    </row>
    <row r="116" spans="1:18" ht="27.75" customHeight="1">
      <c r="A116" s="893" t="s">
        <v>96</v>
      </c>
      <c r="B116" s="894"/>
      <c r="C116" s="895"/>
      <c r="D116" s="146" t="s">
        <v>183</v>
      </c>
      <c r="E116" s="95">
        <f>'12'!F116</f>
        <v>39209.4</v>
      </c>
      <c r="F116" s="237">
        <v>39579.800000000003</v>
      </c>
      <c r="G116" s="112">
        <f t="shared" si="9"/>
        <v>370.40000000000146</v>
      </c>
      <c r="H116" s="99">
        <f>G116+'12'!H116</f>
        <v>4913.8000000000029</v>
      </c>
      <c r="I116" s="165"/>
      <c r="J116" s="328">
        <f>H116/DAY(B2)</f>
        <v>377.98461538461561</v>
      </c>
      <c r="Q116" s="886"/>
      <c r="R116" s="888"/>
    </row>
    <row r="117" spans="1:18" ht="27.75" customHeight="1">
      <c r="A117" s="893" t="s">
        <v>184</v>
      </c>
      <c r="B117" s="894"/>
      <c r="C117" s="895"/>
      <c r="D117" s="146" t="s">
        <v>183</v>
      </c>
      <c r="E117" s="95">
        <f>'12'!F117</f>
        <v>21256.2</v>
      </c>
      <c r="F117" s="237">
        <v>21492</v>
      </c>
      <c r="G117" s="112">
        <f t="shared" si="9"/>
        <v>235.79999999999927</v>
      </c>
      <c r="H117" s="99">
        <f>G117+'12'!H117</f>
        <v>2556</v>
      </c>
      <c r="I117" s="165"/>
      <c r="J117" s="328">
        <f>H117/DAY(B2)</f>
        <v>196.61538461538461</v>
      </c>
      <c r="Q117" s="886"/>
      <c r="R117" s="888"/>
    </row>
    <row r="118" spans="1:18" ht="27.75" customHeight="1">
      <c r="A118" s="885" t="s">
        <v>97</v>
      </c>
      <c r="B118" s="885"/>
      <c r="C118" s="885"/>
      <c r="D118" s="151" t="s">
        <v>183</v>
      </c>
      <c r="E118" s="95">
        <f>'12'!F118</f>
        <v>15676.27</v>
      </c>
      <c r="F118" s="237">
        <v>16249</v>
      </c>
      <c r="G118" s="112">
        <f t="shared" si="9"/>
        <v>572.72999999999956</v>
      </c>
      <c r="H118" s="99">
        <f>G118+'12'!H118</f>
        <v>7186</v>
      </c>
      <c r="I118" s="165"/>
      <c r="J118" s="328">
        <f>H118/DAY(B2)</f>
        <v>552.76923076923072</v>
      </c>
      <c r="Q118" s="886"/>
      <c r="R118" s="888"/>
    </row>
    <row r="119" spans="1:18" ht="27.75" customHeight="1">
      <c r="A119" s="885" t="s">
        <v>98</v>
      </c>
      <c r="B119" s="885"/>
      <c r="C119" s="885"/>
      <c r="D119" s="151" t="s">
        <v>183</v>
      </c>
      <c r="E119" s="95">
        <f>'12'!F119</f>
        <v>10887.4</v>
      </c>
      <c r="F119" s="237">
        <v>11303.5</v>
      </c>
      <c r="G119" s="112">
        <f t="shared" si="9"/>
        <v>416.10000000000036</v>
      </c>
      <c r="H119" s="99">
        <f>G119+'12'!H119</f>
        <v>5400.5</v>
      </c>
      <c r="I119" s="165"/>
      <c r="J119" s="328">
        <f>H119/DAY(B2)</f>
        <v>415.42307692307691</v>
      </c>
    </row>
    <row r="120" spans="1:18" ht="27.75" customHeight="1">
      <c r="A120" s="885" t="s">
        <v>99</v>
      </c>
      <c r="B120" s="885"/>
      <c r="C120" s="885"/>
      <c r="D120" s="151" t="s">
        <v>183</v>
      </c>
      <c r="E120" s="95">
        <f>'12'!F120</f>
        <v>12112.5</v>
      </c>
      <c r="F120" s="237">
        <v>12521.1</v>
      </c>
      <c r="G120" s="112">
        <f t="shared" si="9"/>
        <v>408.60000000000036</v>
      </c>
      <c r="H120" s="99">
        <f>G120+'12'!H120</f>
        <v>5386.1</v>
      </c>
      <c r="I120" s="165"/>
      <c r="J120" s="328">
        <f>H120/DAY(B2)</f>
        <v>414.31538461538463</v>
      </c>
    </row>
    <row r="121" spans="1:18" ht="27.75" customHeight="1">
      <c r="A121" s="885" t="s">
        <v>100</v>
      </c>
      <c r="B121" s="885"/>
      <c r="C121" s="885"/>
      <c r="D121" s="151" t="s">
        <v>183</v>
      </c>
      <c r="E121" s="95">
        <f>'12'!F121</f>
        <v>17123</v>
      </c>
      <c r="F121" s="237">
        <v>17585.8</v>
      </c>
      <c r="G121" s="112">
        <f t="shared" si="9"/>
        <v>462.79999999999927</v>
      </c>
      <c r="H121" s="99">
        <f>G121+'12'!H121</f>
        <v>5858.7999999999993</v>
      </c>
      <c r="I121" s="165"/>
      <c r="J121" s="328">
        <f>H121/DAY(B2)</f>
        <v>450.676923076923</v>
      </c>
    </row>
    <row r="122" spans="1:18" ht="27.75" customHeight="1">
      <c r="A122" s="885" t="s">
        <v>101</v>
      </c>
      <c r="B122" s="885"/>
      <c r="C122" s="885"/>
      <c r="D122" s="151" t="s">
        <v>183</v>
      </c>
      <c r="E122" s="95">
        <f>'12'!F122</f>
        <v>6010.4</v>
      </c>
      <c r="F122" s="237">
        <v>6234.1</v>
      </c>
      <c r="G122" s="112">
        <f t="shared" si="9"/>
        <v>223.70000000000073</v>
      </c>
      <c r="H122" s="99">
        <f>G122+'12'!H122</f>
        <v>2670.1000000000004</v>
      </c>
      <c r="I122" s="165"/>
      <c r="J122" s="328">
        <f>H122/DAY(B2)</f>
        <v>205.39230769230772</v>
      </c>
    </row>
    <row r="123" spans="1:18" ht="27.75" customHeight="1">
      <c r="A123" s="885" t="s">
        <v>102</v>
      </c>
      <c r="B123" s="885"/>
      <c r="C123" s="885"/>
      <c r="D123" s="151" t="s">
        <v>183</v>
      </c>
      <c r="E123" s="95">
        <f>'12'!F123</f>
        <v>4817.7</v>
      </c>
      <c r="F123" s="237">
        <v>5145.5</v>
      </c>
      <c r="G123" s="112">
        <f t="shared" si="9"/>
        <v>327.80000000000018</v>
      </c>
      <c r="H123" s="99">
        <f>G123+'12'!H123</f>
        <v>4178.5</v>
      </c>
      <c r="I123" s="165"/>
      <c r="J123" s="328">
        <f>H123/DAY(B2)</f>
        <v>321.42307692307691</v>
      </c>
    </row>
    <row r="124" spans="1:18" ht="27.7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68" t="s">
        <v>196</v>
      </c>
      <c r="B125" s="869"/>
      <c r="C125" s="245"/>
      <c r="D125" s="307"/>
      <c r="E125" s="308"/>
      <c r="F125" s="308"/>
      <c r="G125" s="309">
        <f>SUM(G112:G124)</f>
        <v>3697.7700000000009</v>
      </c>
      <c r="H125" s="156"/>
      <c r="I125" s="327">
        <f>G125-(G39+G53)</f>
        <v>682.63999999999623</v>
      </c>
      <c r="J125" s="327"/>
    </row>
    <row r="126" spans="1:18" ht="27.75" customHeight="1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7.75" customHeight="1">
      <c r="A127" s="873"/>
      <c r="B127" s="873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886" t="s">
        <v>318</v>
      </c>
      <c r="B128" s="887"/>
      <c r="C128" s="888"/>
      <c r="D128" s="151" t="s">
        <v>183</v>
      </c>
      <c r="E128" s="95">
        <f>'12'!F128</f>
        <v>86343.7</v>
      </c>
      <c r="F128" s="165">
        <v>86841.2</v>
      </c>
      <c r="G128" s="112">
        <f t="shared" ref="G128:G134" si="10">F128-E128</f>
        <v>497.5</v>
      </c>
      <c r="H128" s="99">
        <f>G128+'12'!H128</f>
        <v>5426.1999999999971</v>
      </c>
      <c r="I128" s="165"/>
      <c r="J128" s="328">
        <f>H128/DAY(B2)</f>
        <v>417.39999999999975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54616.6</v>
      </c>
      <c r="F129" s="165">
        <v>54939.6</v>
      </c>
      <c r="G129" s="112">
        <f t="shared" si="10"/>
        <v>323</v>
      </c>
      <c r="H129" s="99">
        <f>G129+'12'!H129</f>
        <v>3867.5999999999985</v>
      </c>
      <c r="I129" s="165"/>
      <c r="J129" s="328">
        <f>H129/DAY(B2)</f>
        <v>297.5076923076922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105246.7</v>
      </c>
      <c r="F130" s="165">
        <v>105989.8</v>
      </c>
      <c r="G130" s="112">
        <f t="shared" si="10"/>
        <v>743.10000000000582</v>
      </c>
      <c r="H130" s="99">
        <f>G130+'12'!H130</f>
        <v>9343.8000000000029</v>
      </c>
      <c r="I130" s="165"/>
      <c r="J130" s="328">
        <f>H130/DAY(B2)</f>
        <v>718.75384615384633</v>
      </c>
      <c r="N130" s="240"/>
      <c r="O130" s="241"/>
    </row>
    <row r="131" spans="1:15" ht="27.75" customHeight="1">
      <c r="A131" s="886" t="s">
        <v>321</v>
      </c>
      <c r="B131" s="887"/>
      <c r="C131" s="888"/>
      <c r="D131" s="151" t="s">
        <v>183</v>
      </c>
      <c r="E131" s="95">
        <f>'12'!F131</f>
        <v>32659.599999999999</v>
      </c>
      <c r="F131" s="165">
        <v>32835.599999999999</v>
      </c>
      <c r="G131" s="112">
        <f t="shared" si="10"/>
        <v>176</v>
      </c>
      <c r="H131" s="99">
        <f>G131+'12'!H131</f>
        <v>2400.5999999999985</v>
      </c>
      <c r="I131" s="165"/>
      <c r="J131" s="328">
        <f>H131/DAY(B2)</f>
        <v>184.66153846153836</v>
      </c>
      <c r="N131" s="240"/>
      <c r="O131" s="241"/>
    </row>
    <row r="132" spans="1:15" ht="27.75" customHeight="1">
      <c r="A132" s="886" t="s">
        <v>322</v>
      </c>
      <c r="B132" s="887"/>
      <c r="C132" s="888"/>
      <c r="D132" s="151" t="s">
        <v>183</v>
      </c>
      <c r="E132" s="95">
        <f>'12'!F132</f>
        <v>95068.9</v>
      </c>
      <c r="F132" s="165">
        <v>95577.4</v>
      </c>
      <c r="G132" s="112">
        <f t="shared" si="10"/>
        <v>508.5</v>
      </c>
      <c r="H132" s="99">
        <f>G132+'12'!H132</f>
        <v>6640.3999999999942</v>
      </c>
      <c r="I132" s="165"/>
      <c r="J132" s="328">
        <f>H132/DAY(B2)</f>
        <v>510.79999999999956</v>
      </c>
    </row>
    <row r="133" spans="1:15" ht="27.75" customHeight="1">
      <c r="A133" s="886" t="s">
        <v>360</v>
      </c>
      <c r="B133" s="887"/>
      <c r="C133" s="888"/>
      <c r="D133" s="151" t="s">
        <v>183</v>
      </c>
      <c r="E133" s="95">
        <f>'12'!F133</f>
        <v>184120.97</v>
      </c>
      <c r="F133" s="165">
        <v>185143.8</v>
      </c>
      <c r="G133" s="112">
        <f t="shared" si="10"/>
        <v>1022.8299999999872</v>
      </c>
      <c r="H133" s="99">
        <f>G133+'12'!H133</f>
        <v>12697.799999999988</v>
      </c>
      <c r="I133" s="165"/>
      <c r="J133" s="328">
        <f>H133/DAY(B2)</f>
        <v>976.7538461538453</v>
      </c>
    </row>
    <row r="134" spans="1:15" ht="27.75" customHeight="1">
      <c r="A134" s="886" t="s">
        <v>340</v>
      </c>
      <c r="B134" s="887"/>
      <c r="C134" s="888"/>
      <c r="D134" s="151" t="s">
        <v>183</v>
      </c>
      <c r="E134" s="95">
        <f>'12'!F134</f>
        <v>30973.07</v>
      </c>
      <c r="F134" s="165">
        <v>31210.89</v>
      </c>
      <c r="G134" s="112">
        <f t="shared" si="10"/>
        <v>237.81999999999971</v>
      </c>
      <c r="H134" s="99">
        <f>G134+'12'!H134</f>
        <v>3117.8899999999994</v>
      </c>
      <c r="I134" s="165"/>
      <c r="J134" s="328">
        <f>H134/DAY(B2)</f>
        <v>239.83769230769227</v>
      </c>
    </row>
    <row r="135" spans="1:15" ht="27.75" customHeight="1">
      <c r="A135" s="868" t="s">
        <v>196</v>
      </c>
      <c r="B135" s="869"/>
      <c r="C135" s="331"/>
      <c r="D135" s="151"/>
      <c r="E135" s="95"/>
      <c r="F135" s="165"/>
      <c r="G135" s="112">
        <f>SUM(G128:G134)</f>
        <v>3508.7499999999927</v>
      </c>
      <c r="H135" s="99">
        <f>G135+'12'!H135</f>
        <v>40132.39</v>
      </c>
      <c r="I135" s="327">
        <f>G135-(G35+G49)</f>
        <v>-797.13999999999214</v>
      </c>
      <c r="J135" s="328">
        <f>H135/DAY(B2)</f>
        <v>3087.1069230769231</v>
      </c>
    </row>
    <row r="136" spans="1:15" ht="27.75" customHeight="1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85" t="s">
        <v>185</v>
      </c>
      <c r="B138" s="885"/>
      <c r="C138" s="885"/>
      <c r="D138" s="151" t="s">
        <v>183</v>
      </c>
      <c r="E138" s="95">
        <f>'12'!F138</f>
        <v>880488</v>
      </c>
      <c r="F138" s="147">
        <v>880603</v>
      </c>
      <c r="G138" s="112">
        <f t="shared" ref="G138:G152" si="11">F138-E138</f>
        <v>115</v>
      </c>
      <c r="H138" s="99">
        <f>G138+'12'!H138</f>
        <v>1819</v>
      </c>
      <c r="I138" s="118"/>
      <c r="J138" s="328">
        <f>H138/DAY(B2)</f>
        <v>139.92307692307693</v>
      </c>
    </row>
    <row r="139" spans="1:15" ht="27.75" customHeight="1">
      <c r="A139" s="885" t="s">
        <v>186</v>
      </c>
      <c r="B139" s="885"/>
      <c r="C139" s="885"/>
      <c r="D139" s="151" t="s">
        <v>183</v>
      </c>
      <c r="E139" s="95">
        <f>'12'!F139</f>
        <v>896745</v>
      </c>
      <c r="F139" s="148">
        <v>896843</v>
      </c>
      <c r="G139" s="112">
        <f t="shared" si="11"/>
        <v>98</v>
      </c>
      <c r="H139" s="99">
        <f>G139+'12'!H139</f>
        <v>1977</v>
      </c>
      <c r="I139" s="118"/>
      <c r="J139" s="328">
        <f>H139/DAY(B2)</f>
        <v>152.07692307692307</v>
      </c>
    </row>
    <row r="140" spans="1:15" ht="27.75" customHeight="1">
      <c r="A140" s="885" t="s">
        <v>187</v>
      </c>
      <c r="B140" s="885"/>
      <c r="C140" s="885"/>
      <c r="D140" s="151" t="s">
        <v>183</v>
      </c>
      <c r="E140" s="95">
        <f>'12'!F140</f>
        <v>300.35000000000002</v>
      </c>
      <c r="F140" s="149">
        <v>316</v>
      </c>
      <c r="G140" s="112">
        <f t="shared" si="11"/>
        <v>15.649999999999977</v>
      </c>
      <c r="H140" s="99">
        <f>G140+'12'!H140</f>
        <v>181</v>
      </c>
      <c r="I140" s="118"/>
      <c r="J140" s="328">
        <f>H140/DAY(B2)</f>
        <v>13.923076923076923</v>
      </c>
    </row>
    <row r="141" spans="1:15" ht="27.75" customHeight="1">
      <c r="A141" s="864" t="s">
        <v>188</v>
      </c>
      <c r="B141" s="864"/>
      <c r="C141" s="864"/>
      <c r="D141" s="151" t="s">
        <v>183</v>
      </c>
      <c r="E141" s="95">
        <f>'12'!F141</f>
        <v>74194</v>
      </c>
      <c r="F141" s="149">
        <v>74385.399999999994</v>
      </c>
      <c r="G141" s="112">
        <f t="shared" si="11"/>
        <v>191.39999999999418</v>
      </c>
      <c r="H141" s="99">
        <f>G141+'12'!H141</f>
        <v>2611.3999999999942</v>
      </c>
      <c r="I141" s="118"/>
      <c r="J141" s="328">
        <f>H141/DAY(B2)</f>
        <v>200.87692307692262</v>
      </c>
    </row>
    <row r="142" spans="1:15" ht="27.75" customHeight="1">
      <c r="A142" s="864" t="s">
        <v>189</v>
      </c>
      <c r="B142" s="864"/>
      <c r="C142" s="864"/>
      <c r="D142" s="151" t="s">
        <v>183</v>
      </c>
      <c r="E142" s="95">
        <f>'12'!F142</f>
        <v>28277.09</v>
      </c>
      <c r="F142" s="148">
        <v>28341.5</v>
      </c>
      <c r="G142" s="112">
        <f t="shared" si="11"/>
        <v>64.409999999999854</v>
      </c>
      <c r="H142" s="99">
        <f>G142+'12'!H142</f>
        <v>875.5</v>
      </c>
      <c r="I142" s="140"/>
      <c r="J142" s="328">
        <f>H142/DAY(B2)</f>
        <v>67.34615384615384</v>
      </c>
    </row>
    <row r="143" spans="1:15" ht="27.75" customHeight="1">
      <c r="A143" s="885" t="s">
        <v>91</v>
      </c>
      <c r="B143" s="885"/>
      <c r="C143" s="885"/>
      <c r="D143" s="151" t="s">
        <v>183</v>
      </c>
      <c r="E143" s="95">
        <f>'12'!F143</f>
        <v>6757.7</v>
      </c>
      <c r="F143" s="149">
        <v>6778.4</v>
      </c>
      <c r="G143" s="112">
        <f t="shared" si="11"/>
        <v>20.699999999999818</v>
      </c>
      <c r="H143" s="99">
        <f>G143+'12'!H143</f>
        <v>361.39999999999964</v>
      </c>
      <c r="I143" s="140"/>
      <c r="J143" s="328">
        <f>H143/DAY(B2)</f>
        <v>27.799999999999972</v>
      </c>
    </row>
    <row r="144" spans="1:15" ht="27.75" customHeight="1">
      <c r="A144" s="864" t="s">
        <v>90</v>
      </c>
      <c r="B144" s="864"/>
      <c r="C144" s="864"/>
      <c r="D144" s="151" t="s">
        <v>183</v>
      </c>
      <c r="E144" s="95">
        <f>'12'!F144</f>
        <v>900315</v>
      </c>
      <c r="F144" s="149">
        <v>900592</v>
      </c>
      <c r="G144" s="112">
        <f t="shared" si="11"/>
        <v>277</v>
      </c>
      <c r="H144" s="99">
        <f>G144+'12'!H144</f>
        <v>3359</v>
      </c>
      <c r="I144" s="140"/>
      <c r="J144" s="328">
        <f>H144/DAY(B2)</f>
        <v>258.38461538461536</v>
      </c>
    </row>
    <row r="145" spans="1:10" ht="27.75" customHeight="1">
      <c r="A145" s="885" t="s">
        <v>190</v>
      </c>
      <c r="B145" s="885"/>
      <c r="C145" s="885"/>
      <c r="D145" s="152" t="s">
        <v>183</v>
      </c>
      <c r="E145" s="95">
        <f>'12'!F145</f>
        <v>5657.85</v>
      </c>
      <c r="F145" s="149">
        <v>5659.25</v>
      </c>
      <c r="G145" s="112">
        <f t="shared" si="11"/>
        <v>1.3999999999996362</v>
      </c>
      <c r="H145" s="99">
        <f>G145+'12'!H145</f>
        <v>31.25</v>
      </c>
      <c r="I145" s="140"/>
      <c r="J145" s="328">
        <f>H145/DAY(B2)</f>
        <v>2.4038461538461537</v>
      </c>
    </row>
    <row r="146" spans="1:10" ht="27.75" customHeight="1">
      <c r="A146" s="920" t="s">
        <v>191</v>
      </c>
      <c r="B146" s="905"/>
      <c r="C146" s="906"/>
      <c r="D146" s="152" t="s">
        <v>183</v>
      </c>
      <c r="E146" s="95">
        <f>'12'!F146</f>
        <v>776939</v>
      </c>
      <c r="F146" s="148">
        <v>777013</v>
      </c>
      <c r="G146" s="112">
        <f t="shared" si="11"/>
        <v>74</v>
      </c>
      <c r="H146" s="99">
        <f>G146+'12'!H146</f>
        <v>559</v>
      </c>
      <c r="I146" s="140"/>
      <c r="J146" s="328">
        <f>H146/DAY(B2)</f>
        <v>43</v>
      </c>
    </row>
    <row r="147" spans="1:10" ht="27.75" customHeight="1">
      <c r="A147" s="864" t="s">
        <v>192</v>
      </c>
      <c r="B147" s="864"/>
      <c r="C147" s="864"/>
      <c r="D147" s="152" t="s">
        <v>183</v>
      </c>
      <c r="E147" s="95">
        <f>'12'!F147</f>
        <v>668078.04</v>
      </c>
      <c r="F147" s="148">
        <v>668520.84</v>
      </c>
      <c r="G147" s="112">
        <f t="shared" si="11"/>
        <v>442.79999999993015</v>
      </c>
      <c r="H147" s="99">
        <f>G147+'12'!H147</f>
        <v>5292.8399999999674</v>
      </c>
      <c r="I147" s="140"/>
      <c r="J147" s="328">
        <f>H147/DAY(B2)</f>
        <v>407.14153846153596</v>
      </c>
    </row>
    <row r="148" spans="1:10" ht="27.75" customHeight="1">
      <c r="A148" s="865" t="s">
        <v>193</v>
      </c>
      <c r="B148" s="866"/>
      <c r="C148" s="867"/>
      <c r="D148" s="123" t="s">
        <v>130</v>
      </c>
      <c r="E148" s="95">
        <f>'12'!F148</f>
        <v>724193.28000000003</v>
      </c>
      <c r="F148" s="150">
        <v>724525.36</v>
      </c>
      <c r="G148" s="112">
        <f t="shared" si="11"/>
        <v>332.07999999995809</v>
      </c>
      <c r="H148" s="99">
        <f>G148+'12'!H148</f>
        <v>4609.359999999986</v>
      </c>
      <c r="I148" s="124"/>
      <c r="J148" s="328">
        <f>H148/DAY(B2)</f>
        <v>354.56615384615276</v>
      </c>
    </row>
    <row r="149" spans="1:10" ht="27.75" customHeight="1">
      <c r="A149" s="865" t="s">
        <v>336</v>
      </c>
      <c r="B149" s="866"/>
      <c r="C149" s="867"/>
      <c r="D149" s="227" t="s">
        <v>130</v>
      </c>
      <c r="E149" s="95">
        <f>'12'!F149</f>
        <v>89670.43</v>
      </c>
      <c r="F149" s="146">
        <v>90126</v>
      </c>
      <c r="G149" s="112">
        <f t="shared" si="11"/>
        <v>455.57000000000698</v>
      </c>
      <c r="H149" s="99">
        <f>G149+'12'!H149</f>
        <v>6738</v>
      </c>
      <c r="I149" s="119"/>
      <c r="J149" s="328">
        <f>H149/DAY(B2)</f>
        <v>518.30769230769226</v>
      </c>
    </row>
    <row r="150" spans="1:10" ht="27.75" customHeight="1">
      <c r="A150" s="865" t="s">
        <v>337</v>
      </c>
      <c r="B150" s="866"/>
      <c r="C150" s="867"/>
      <c r="D150" s="117" t="s">
        <v>130</v>
      </c>
      <c r="E150" s="95">
        <f>'12'!F150</f>
        <v>33167</v>
      </c>
      <c r="F150" s="233">
        <v>33369</v>
      </c>
      <c r="G150" s="112">
        <f t="shared" si="11"/>
        <v>202</v>
      </c>
      <c r="H150" s="99">
        <f>G150+'12'!H150</f>
        <v>2782</v>
      </c>
      <c r="I150" s="119"/>
      <c r="J150" s="328">
        <f>H150/DAY(B2)</f>
        <v>214</v>
      </c>
    </row>
    <row r="151" spans="1:10" ht="27.75" customHeight="1">
      <c r="A151" s="865" t="s">
        <v>338</v>
      </c>
      <c r="B151" s="866"/>
      <c r="C151" s="867"/>
      <c r="D151" s="117" t="s">
        <v>130</v>
      </c>
      <c r="E151" s="95">
        <f>'12'!F151</f>
        <v>112805</v>
      </c>
      <c r="F151" s="233">
        <v>113076</v>
      </c>
      <c r="G151" s="112">
        <f t="shared" si="11"/>
        <v>271</v>
      </c>
      <c r="H151" s="99">
        <f>G151+'12'!H151</f>
        <v>3848</v>
      </c>
      <c r="I151" s="119"/>
      <c r="J151" s="328">
        <f>H151/DAY(B2)</f>
        <v>296</v>
      </c>
    </row>
    <row r="152" spans="1:10" ht="27.75" customHeight="1">
      <c r="A152" s="865" t="s">
        <v>339</v>
      </c>
      <c r="B152" s="866"/>
      <c r="C152" s="867"/>
      <c r="D152" s="117" t="s">
        <v>130</v>
      </c>
      <c r="E152" s="95">
        <f>'12'!F152</f>
        <v>12880.1</v>
      </c>
      <c r="F152" s="233">
        <v>12997.7</v>
      </c>
      <c r="G152" s="112">
        <f t="shared" si="11"/>
        <v>117.60000000000036</v>
      </c>
      <c r="H152" s="99">
        <f>G152+'12'!H152</f>
        <v>1841.7000000000007</v>
      </c>
      <c r="I152" s="119"/>
      <c r="J152" s="328">
        <f>H152/DAY(B2)</f>
        <v>141.66923076923084</v>
      </c>
    </row>
    <row r="153" spans="1:10" ht="27.75" customHeight="1">
      <c r="A153" s="868" t="s">
        <v>196</v>
      </c>
      <c r="B153" s="869"/>
      <c r="C153" s="365"/>
      <c r="D153" s="358"/>
      <c r="E153" s="360"/>
      <c r="F153" s="361"/>
      <c r="G153" s="362">
        <f>SUM(G138:G152)</f>
        <v>2678.6099999998892</v>
      </c>
      <c r="H153" s="363"/>
      <c r="I153" s="119">
        <f>G153-(G38+G52)</f>
        <v>631.08999999987054</v>
      </c>
      <c r="J153" s="366"/>
    </row>
    <row r="154" spans="1:10" ht="27.75" customHeight="1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 customHeight="1">
      <c r="A155" s="864" t="s">
        <v>345</v>
      </c>
      <c r="B155" s="864"/>
      <c r="C155" s="864"/>
      <c r="D155" s="117" t="s">
        <v>130</v>
      </c>
      <c r="E155" s="374">
        <f>'12'!F155</f>
        <v>100338</v>
      </c>
      <c r="F155" s="374">
        <v>100876.9</v>
      </c>
      <c r="G155" s="112">
        <f t="shared" ref="G155:G158" si="12">F155-E155</f>
        <v>538.89999999999418</v>
      </c>
      <c r="H155" s="99">
        <f>G155+'12'!H155</f>
        <v>8144.8999999999942</v>
      </c>
      <c r="I155" s="364"/>
      <c r="J155" s="328">
        <f>H155/DAY(B2)</f>
        <v>626.53076923076878</v>
      </c>
    </row>
    <row r="156" spans="1:10" ht="27.75" customHeight="1">
      <c r="A156" s="864" t="s">
        <v>347</v>
      </c>
      <c r="B156" s="864"/>
      <c r="C156" s="864"/>
      <c r="D156" s="117" t="s">
        <v>130</v>
      </c>
      <c r="E156" s="374">
        <f>'12'!F156</f>
        <v>8437</v>
      </c>
      <c r="F156" s="155">
        <v>8497.5</v>
      </c>
      <c r="G156" s="112">
        <f t="shared" si="12"/>
        <v>60.5</v>
      </c>
      <c r="H156" s="99">
        <f>G156+'12'!H156</f>
        <v>806.5</v>
      </c>
      <c r="I156" s="165"/>
      <c r="J156" s="328">
        <f>H156/DAY(B2)</f>
        <v>62.03846153846154</v>
      </c>
    </row>
    <row r="157" spans="1:10" ht="27.75" customHeight="1">
      <c r="A157" s="865" t="s">
        <v>361</v>
      </c>
      <c r="B157" s="866"/>
      <c r="C157" s="867"/>
      <c r="D157" s="117" t="s">
        <v>130</v>
      </c>
      <c r="E157" s="374">
        <f>'12'!F157</f>
        <v>14914.3</v>
      </c>
      <c r="F157" s="155">
        <v>15053.9</v>
      </c>
      <c r="G157" s="112">
        <f t="shared" si="12"/>
        <v>139.60000000000036</v>
      </c>
      <c r="H157" s="99">
        <f>G157+'12'!H157</f>
        <v>1557.8999999999996</v>
      </c>
      <c r="I157" s="165"/>
      <c r="J157" s="328">
        <f>H157/DAY(B2)</f>
        <v>119.83846153846152</v>
      </c>
    </row>
    <row r="158" spans="1:10" ht="27.75" customHeight="1">
      <c r="A158" s="865" t="s">
        <v>362</v>
      </c>
      <c r="B158" s="866"/>
      <c r="C158" s="867"/>
      <c r="D158" s="117" t="s">
        <v>130</v>
      </c>
      <c r="E158" s="374">
        <f>'12'!F158</f>
        <v>126.3</v>
      </c>
      <c r="F158" s="155">
        <v>129.80000000000001</v>
      </c>
      <c r="G158" s="112">
        <f t="shared" si="12"/>
        <v>3.5000000000000142</v>
      </c>
      <c r="H158" s="99">
        <f>G158+'12'!H158</f>
        <v>50.260000000000005</v>
      </c>
      <c r="I158" s="165"/>
      <c r="J158" s="328">
        <f>H158/DAY(B2)</f>
        <v>3.8661538461538467</v>
      </c>
    </row>
    <row r="159" spans="1:10" ht="27.75" customHeight="1">
      <c r="A159" s="950"/>
      <c r="B159" s="951"/>
      <c r="C159" s="952"/>
      <c r="D159" s="117"/>
      <c r="E159" s="95"/>
      <c r="F159" s="165"/>
      <c r="G159" s="362">
        <f>SUM(G155:G158)</f>
        <v>742.49999999999454</v>
      </c>
      <c r="H159" s="99"/>
      <c r="I159" s="165"/>
      <c r="J159" s="328"/>
    </row>
    <row r="160" spans="1:10" ht="27.75" customHeight="1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475076.24</v>
      </c>
      <c r="F161" s="235">
        <v>475110</v>
      </c>
      <c r="G161" s="238">
        <f t="shared" ref="G161:G165" si="13">F161-E161</f>
        <v>33.760000000009313</v>
      </c>
      <c r="H161" s="99">
        <f>G161+'12'!H161</f>
        <v>327</v>
      </c>
      <c r="I161" s="236"/>
      <c r="J161" s="239">
        <f>H161/DAY(B2)</f>
        <v>25.153846153846153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92002.2</v>
      </c>
      <c r="F162" s="235">
        <v>92043</v>
      </c>
      <c r="G162" s="238">
        <f t="shared" si="13"/>
        <v>40.80000000000291</v>
      </c>
      <c r="H162" s="99">
        <f>G162+'12'!H162</f>
        <v>496</v>
      </c>
      <c r="I162" s="236"/>
      <c r="J162" s="239">
        <f>H162/DAY(B2)</f>
        <v>38.153846153846153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94029</v>
      </c>
      <c r="F163" s="235">
        <v>94201.1</v>
      </c>
      <c r="G163" s="238">
        <f t="shared" si="13"/>
        <v>172.10000000000582</v>
      </c>
      <c r="H163" s="99">
        <f>G163+'12'!H163</f>
        <v>2165.1000000000058</v>
      </c>
      <c r="I163" s="236"/>
      <c r="J163" s="239">
        <f>H163/DAY(B2)</f>
        <v>166.54615384615428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5322.3</v>
      </c>
      <c r="F164" s="235">
        <v>5333.3</v>
      </c>
      <c r="G164" s="238">
        <f t="shared" si="13"/>
        <v>11</v>
      </c>
      <c r="H164" s="99">
        <f>G164+'12'!H164</f>
        <v>151.30000000000018</v>
      </c>
      <c r="I164" s="236"/>
      <c r="J164" s="239">
        <f>H164/DAY(B2)</f>
        <v>11.638461538461552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30792.2</v>
      </c>
      <c r="F165" s="235">
        <v>30808.09</v>
      </c>
      <c r="G165" s="238">
        <f t="shared" si="13"/>
        <v>15.889999999999418</v>
      </c>
      <c r="H165" s="99">
        <f>G165+'12'!H165</f>
        <v>174.09000000000015</v>
      </c>
      <c r="I165" s="236"/>
      <c r="J165" s="239">
        <f>H165/DAY(B2)</f>
        <v>13.391538461538472</v>
      </c>
    </row>
    <row r="166" spans="1:10" ht="27.75" customHeight="1">
      <c r="A166" s="873"/>
      <c r="B166" s="873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873"/>
      <c r="B167" s="873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873"/>
      <c r="B168" s="873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7.75" customHeight="1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79" t="s">
        <v>209</v>
      </c>
      <c r="B173" s="880"/>
      <c r="C173" s="333"/>
      <c r="D173" s="228" t="s">
        <v>142</v>
      </c>
      <c r="E173" s="95">
        <f>'12'!F173</f>
        <v>8265</v>
      </c>
      <c r="F173" s="155">
        <v>8265</v>
      </c>
      <c r="G173" s="155">
        <f>F173-E173</f>
        <v>0</v>
      </c>
      <c r="H173" s="99">
        <f>G173+'12'!H173</f>
        <v>4</v>
      </c>
      <c r="I173" s="155"/>
      <c r="J173" s="178">
        <f>H173/DAY(B2)</f>
        <v>0.30769230769230771</v>
      </c>
    </row>
    <row r="174" spans="1:10" ht="27.75" customHeight="1">
      <c r="A174" s="879" t="s">
        <v>75</v>
      </c>
      <c r="B174" s="880"/>
      <c r="C174" s="333"/>
      <c r="D174" s="228" t="s">
        <v>142</v>
      </c>
      <c r="E174" s="95">
        <f>'12'!F174</f>
        <v>40075</v>
      </c>
      <c r="F174" s="157">
        <v>40081</v>
      </c>
      <c r="G174" s="155">
        <f t="shared" ref="G174:G175" si="14">F174-E174</f>
        <v>6</v>
      </c>
      <c r="H174" s="99">
        <f>G174+'12'!H174</f>
        <v>153</v>
      </c>
      <c r="I174" s="155"/>
      <c r="J174" s="178">
        <f>H174/DAY(B2)</f>
        <v>11.76923076923077</v>
      </c>
    </row>
    <row r="175" spans="1:10" ht="27.75" customHeight="1">
      <c r="A175" s="879" t="s">
        <v>76</v>
      </c>
      <c r="B175" s="919"/>
      <c r="C175" s="880"/>
      <c r="D175" s="228" t="s">
        <v>142</v>
      </c>
      <c r="E175" s="95">
        <f>'12'!F175</f>
        <v>23028</v>
      </c>
      <c r="F175" s="155">
        <v>23037</v>
      </c>
      <c r="G175" s="155">
        <f t="shared" si="14"/>
        <v>9</v>
      </c>
      <c r="H175" s="99">
        <f>G175+'12'!H175</f>
        <v>148</v>
      </c>
      <c r="I175" s="155"/>
      <c r="J175" s="178">
        <f>H175/DAY(B2)</f>
        <v>11.384615384615385</v>
      </c>
    </row>
    <row r="176" spans="1:10" ht="27.75" customHeight="1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15</v>
      </c>
      <c r="H176" s="99">
        <f>G176+'12'!H176</f>
        <v>305</v>
      </c>
      <c r="I176" s="155"/>
      <c r="J176" s="178">
        <f>H176/DAY(B2)</f>
        <v>23.46153846153846</v>
      </c>
    </row>
    <row r="177" spans="1:15" ht="27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79" t="s">
        <v>210</v>
      </c>
      <c r="B178" s="880"/>
      <c r="C178" s="333"/>
      <c r="D178" s="228" t="s">
        <v>142</v>
      </c>
      <c r="E178" s="95">
        <f>'12'!F178</f>
        <v>89857</v>
      </c>
      <c r="F178" s="155">
        <v>89964</v>
      </c>
      <c r="G178" s="155">
        <f>F178-E178</f>
        <v>107</v>
      </c>
      <c r="H178" s="99">
        <f>G178+'12'!H178</f>
        <v>1361</v>
      </c>
      <c r="I178" s="155"/>
      <c r="J178" s="178">
        <f>H178/DAY(B2)</f>
        <v>104.69230769230769</v>
      </c>
    </row>
    <row r="179" spans="1:15" ht="27.75" customHeight="1">
      <c r="A179" s="879" t="s">
        <v>211</v>
      </c>
      <c r="B179" s="880"/>
      <c r="C179" s="333"/>
      <c r="D179" s="228" t="s">
        <v>142</v>
      </c>
      <c r="E179" s="95">
        <f>'12'!F179</f>
        <v>35775</v>
      </c>
      <c r="F179" s="155">
        <v>35775</v>
      </c>
      <c r="G179" s="155">
        <f t="shared" ref="G179:G180" si="15">F179-E179</f>
        <v>0</v>
      </c>
      <c r="H179" s="99">
        <f>G179+'12'!H179</f>
        <v>2</v>
      </c>
      <c r="I179" s="155"/>
      <c r="J179" s="178">
        <f>H179/DAY(B2)</f>
        <v>0.15384615384615385</v>
      </c>
    </row>
    <row r="180" spans="1:15" ht="27.75" customHeight="1">
      <c r="A180" s="879" t="s">
        <v>212</v>
      </c>
      <c r="B180" s="880"/>
      <c r="C180" s="333"/>
      <c r="D180" s="228" t="s">
        <v>142</v>
      </c>
      <c r="E180" s="95">
        <f>'12'!F180</f>
        <v>6500</v>
      </c>
      <c r="F180" s="155">
        <v>6503</v>
      </c>
      <c r="G180" s="155">
        <f t="shared" si="15"/>
        <v>3</v>
      </c>
      <c r="H180" s="99">
        <f>G180+'12'!H180</f>
        <v>114</v>
      </c>
      <c r="I180" s="155"/>
      <c r="J180" s="178">
        <f>H180/DAY(B2)</f>
        <v>8.7692307692307701</v>
      </c>
    </row>
    <row r="181" spans="1:15" ht="27.75" customHeight="1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110</v>
      </c>
      <c r="H181" s="99">
        <f>G181+'12'!H181</f>
        <v>1477</v>
      </c>
      <c r="I181" s="155"/>
      <c r="J181" s="178">
        <f>H181/DAY(B2)</f>
        <v>113.61538461538461</v>
      </c>
    </row>
    <row r="182" spans="1:15" ht="27.75" customHeight="1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79" t="s">
        <v>214</v>
      </c>
      <c r="B183" s="880"/>
      <c r="C183" s="334"/>
      <c r="D183" s="228" t="s">
        <v>142</v>
      </c>
      <c r="E183" s="95">
        <f>'12'!F183</f>
        <v>16743</v>
      </c>
      <c r="F183" s="157">
        <v>16753</v>
      </c>
      <c r="G183" s="157">
        <f>F183-E183</f>
        <v>10</v>
      </c>
      <c r="H183" s="99">
        <f>G183+'12'!H183</f>
        <v>131</v>
      </c>
      <c r="I183" s="155"/>
      <c r="J183" s="178">
        <f>H183/DAY(B2)</f>
        <v>10.076923076923077</v>
      </c>
    </row>
    <row r="184" spans="1:15" ht="27.75" customHeight="1">
      <c r="A184" s="879" t="s">
        <v>215</v>
      </c>
      <c r="B184" s="880"/>
      <c r="C184" s="334"/>
      <c r="D184" s="228" t="s">
        <v>142</v>
      </c>
      <c r="E184" s="95">
        <f>'12'!F184</f>
        <v>11348</v>
      </c>
      <c r="F184" s="157">
        <v>11357</v>
      </c>
      <c r="G184" s="157">
        <f t="shared" ref="G184:G185" si="16">F184-E184</f>
        <v>9</v>
      </c>
      <c r="H184" s="99">
        <f>G184+'12'!H184</f>
        <v>83</v>
      </c>
      <c r="I184" s="155"/>
      <c r="J184" s="178">
        <f>H184/DAY(B2)</f>
        <v>6.384615384615385</v>
      </c>
      <c r="O184" s="65" t="s">
        <v>363</v>
      </c>
    </row>
    <row r="185" spans="1:15" ht="27.75" customHeight="1">
      <c r="A185" s="879" t="s">
        <v>216</v>
      </c>
      <c r="B185" s="880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G186+'12'!H186</f>
        <v>214</v>
      </c>
      <c r="I186" s="157"/>
      <c r="J186" s="178">
        <f>H186/DAY(B2)</f>
        <v>16.46153846153846</v>
      </c>
    </row>
    <row r="187" spans="1:15" ht="27.75" customHeight="1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159</v>
      </c>
      <c r="H187" s="99">
        <f>G187+'12'!H187</f>
        <v>2347</v>
      </c>
      <c r="I187" s="158"/>
      <c r="J187" s="179">
        <f>H187/DAY(B2)</f>
        <v>180.53846153846155</v>
      </c>
    </row>
    <row r="188" spans="1:15" ht="27.75" customHeight="1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200</v>
      </c>
      <c r="H188" s="99">
        <f>G188+'12'!H188</f>
        <v>7900</v>
      </c>
      <c r="I188" s="158"/>
      <c r="J188" s="179">
        <f>H188/DAY(B2)</f>
        <v>607.69230769230774</v>
      </c>
    </row>
    <row r="189" spans="1:15" ht="27.75" customHeight="1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110</v>
      </c>
      <c r="H189" s="99">
        <f>G189+'12'!H189</f>
        <v>1477</v>
      </c>
      <c r="I189" s="158"/>
      <c r="J189" s="179">
        <f>H189/DAY(B2)</f>
        <v>113.61538461538461</v>
      </c>
    </row>
    <row r="190" spans="1:15" ht="27.75" customHeight="1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118" zoomScale="55" zoomScaleSheetLayoutView="55" workbookViewId="0">
      <selection activeCell="E15" sqref="E15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7.75" customHeight="1">
      <c r="A2" s="191" t="s">
        <v>355</v>
      </c>
      <c r="B2" s="262">
        <v>44695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186912.4</v>
      </c>
      <c r="F7" s="95">
        <v>214173</v>
      </c>
      <c r="G7" s="112">
        <f>F7-E7</f>
        <v>27260.600000000006</v>
      </c>
      <c r="H7" s="99">
        <f>G7+'13'!H7</f>
        <v>383135</v>
      </c>
      <c r="I7" s="113">
        <f>'1'!I7</f>
        <v>12000</v>
      </c>
      <c r="J7" s="175">
        <f>H7/DAY(B2)</f>
        <v>27366.785714285714</v>
      </c>
      <c r="K7" s="172">
        <v>1375467</v>
      </c>
      <c r="L7" s="66"/>
      <c r="N7" s="87">
        <f>G8-G7</f>
        <v>543.9999999999709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282532.40000000002</v>
      </c>
      <c r="F8" s="114">
        <v>310337</v>
      </c>
      <c r="G8" s="115">
        <f>F8-E8</f>
        <v>27804.599999999977</v>
      </c>
      <c r="H8" s="99">
        <f>G8+'13'!H8</f>
        <v>391214.27999999991</v>
      </c>
      <c r="I8" s="116"/>
      <c r="J8" s="175">
        <f>H8/DAY(B2)</f>
        <v>27943.877142857138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2156102.7000000002</v>
      </c>
      <c r="F9" s="470">
        <v>2174110</v>
      </c>
      <c r="G9" s="112">
        <f>F9-E9</f>
        <v>18007.299999999814</v>
      </c>
      <c r="H9" s="99">
        <f>G9+'13'!H9</f>
        <v>283075</v>
      </c>
      <c r="I9" s="124">
        <f>I7-J7</f>
        <v>-15366.785714285714</v>
      </c>
      <c r="J9" s="175">
        <f>H9/DAY(B2)</f>
        <v>20219.642857142859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696303.19</v>
      </c>
      <c r="F10" s="353">
        <v>704134</v>
      </c>
      <c r="G10" s="112">
        <f t="shared" ref="G10:G12" si="0">F10-E10</f>
        <v>7830.8100000000559</v>
      </c>
      <c r="H10" s="99">
        <f>G10+'13'!H10</f>
        <v>88598</v>
      </c>
      <c r="I10" s="282"/>
      <c r="J10" s="175">
        <f>H10/DAY(B2)</f>
        <v>6328.4285714285716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25838.10999999987</v>
      </c>
      <c r="H13" s="99">
        <f>G13+'13'!H13</f>
        <v>369156.75</v>
      </c>
      <c r="I13" s="120">
        <f>G7-G13</f>
        <v>1422.4900000001362</v>
      </c>
      <c r="J13" s="175">
        <f>H13/DAY(B2)</f>
        <v>26368.339285714286</v>
      </c>
      <c r="K13" s="79"/>
      <c r="L13" s="66"/>
      <c r="N13" s="87"/>
      <c r="O13" s="71"/>
    </row>
    <row r="14" spans="1:15" ht="27.75" customHeight="1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f>'13'!F15</f>
        <v>2017446.6</v>
      </c>
      <c r="F15" s="470">
        <v>2018439</v>
      </c>
      <c r="G15" s="112">
        <f>(F15-E15)</f>
        <v>992.39999999990687</v>
      </c>
      <c r="H15" s="99">
        <f>G15+'13'!H15</f>
        <v>14712</v>
      </c>
      <c r="I15" s="113">
        <f>'1'!I15</f>
        <v>800</v>
      </c>
      <c r="J15" s="175">
        <f>H15/DAY(B2)</f>
        <v>1050.8571428571429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-250.85714285714289</v>
      </c>
      <c r="J16" s="176"/>
      <c r="K16" s="79"/>
      <c r="L16" s="66"/>
      <c r="N16" s="87"/>
      <c r="O16" s="71"/>
    </row>
    <row r="17" spans="1:15" ht="27.75" customHeight="1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7" t="s">
        <v>141</v>
      </c>
      <c r="B18" s="908"/>
      <c r="C18" s="909"/>
      <c r="D18" s="151" t="s">
        <v>142</v>
      </c>
      <c r="E18" s="95">
        <f>'13'!F18</f>
        <v>27</v>
      </c>
      <c r="F18" s="122">
        <v>43</v>
      </c>
      <c r="G18" s="119">
        <f>F18*10</f>
        <v>430</v>
      </c>
      <c r="H18" s="99">
        <f>G18+'13'!H18</f>
        <v>3000</v>
      </c>
      <c r="I18" s="113">
        <f>'1'!I18</f>
        <v>65</v>
      </c>
      <c r="J18" s="175">
        <f>H18/DAY(B2)</f>
        <v>214.28571428571428</v>
      </c>
      <c r="K18" s="79"/>
      <c r="L18" s="66"/>
      <c r="N18" s="87"/>
      <c r="O18" s="71"/>
    </row>
    <row r="19" spans="1:15" ht="27.75" customHeight="1">
      <c r="A19" s="907" t="s">
        <v>69</v>
      </c>
      <c r="B19" s="908"/>
      <c r="C19" s="909"/>
      <c r="D19" s="151" t="s">
        <v>142</v>
      </c>
      <c r="E19" s="95">
        <f>'13'!F19</f>
        <v>159165</v>
      </c>
      <c r="F19" s="122">
        <v>159219</v>
      </c>
      <c r="G19" s="112">
        <f t="shared" ref="G19" si="1">F19-E19</f>
        <v>54</v>
      </c>
      <c r="H19" s="99">
        <f>G19+'13'!H19</f>
        <v>765</v>
      </c>
      <c r="I19" s="335"/>
      <c r="J19" s="175">
        <f>H19/DAY(B2)</f>
        <v>54.642857142857146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484</v>
      </c>
      <c r="H20" s="99">
        <f>G20+'13'!H20</f>
        <v>3765</v>
      </c>
      <c r="I20" s="336">
        <f>I18-J20</f>
        <v>-203.92857142857144</v>
      </c>
      <c r="J20" s="175">
        <f>H20/DAY(B2)</f>
        <v>268.92857142857144</v>
      </c>
      <c r="K20" s="79"/>
      <c r="L20" s="66"/>
      <c r="N20" s="87"/>
      <c r="O20" s="71"/>
    </row>
    <row r="21" spans="1:15" ht="27.75" customHeight="1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27804.599999999977</v>
      </c>
      <c r="F27" s="136">
        <v>9</v>
      </c>
      <c r="G27" s="137">
        <f>E27*F27</f>
        <v>250241.39999999979</v>
      </c>
      <c r="H27" s="99">
        <f>G27+'13'!H27</f>
        <v>3520928.5200000005</v>
      </c>
      <c r="I27" s="138"/>
      <c r="J27" s="175">
        <f>H27/DAY(B2)</f>
        <v>251494.89428571431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992.39999999990687</v>
      </c>
      <c r="F28" s="136">
        <v>70</v>
      </c>
      <c r="G28" s="137">
        <f>E28*F28</f>
        <v>69467.999999993481</v>
      </c>
      <c r="H28" s="99">
        <f>G28+'13'!H28</f>
        <v>974146.19999999832</v>
      </c>
      <c r="I28" s="140"/>
      <c r="J28" s="175">
        <f>H28/DAY(B2)</f>
        <v>69581.871428571307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G30+'13'!H30</f>
        <v>114700</v>
      </c>
      <c r="I30" s="140"/>
      <c r="J30" s="175">
        <f>H30/DAY(B2)</f>
        <v>8192.8571428571431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430</v>
      </c>
      <c r="F31" s="136">
        <v>80</v>
      </c>
      <c r="G31" s="137">
        <f>E31*F31</f>
        <v>34400</v>
      </c>
      <c r="H31" s="99">
        <f>G31+'13'!H31</f>
        <v>240000</v>
      </c>
      <c r="I31" s="140"/>
      <c r="J31" s="175">
        <f>H31/DAY(B2)</f>
        <v>17142.857142857141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362263.39999999327</v>
      </c>
      <c r="H32" s="99">
        <f>G32+'13'!H32</f>
        <v>4849774.7199999979</v>
      </c>
      <c r="I32" s="144"/>
      <c r="J32" s="175">
        <f>H32/DAY(B2)</f>
        <v>346412.47999999986</v>
      </c>
      <c r="K32" s="63"/>
      <c r="L32" s="89"/>
      <c r="N32" s="87"/>
      <c r="O32" s="71"/>
    </row>
    <row r="33" spans="1:15" ht="27.7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230350.65</v>
      </c>
      <c r="F35" s="145">
        <v>232422</v>
      </c>
      <c r="G35" s="112">
        <f t="shared" ref="G35:G46" si="3">F35-E35</f>
        <v>2071.3500000000058</v>
      </c>
      <c r="H35" s="99">
        <f>G35+'13'!H35</f>
        <v>29537</v>
      </c>
      <c r="I35" s="95"/>
      <c r="J35" s="175">
        <f>H35/DAY(B2)</f>
        <v>2109.7857142857142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144637</v>
      </c>
      <c r="F36" s="145">
        <v>145462</v>
      </c>
      <c r="G36" s="112">
        <f t="shared" si="3"/>
        <v>825</v>
      </c>
      <c r="H36" s="99">
        <f>G36+'13'!H36</f>
        <v>13883</v>
      </c>
      <c r="I36" s="95"/>
      <c r="J36" s="175">
        <f>H36/DAY(B2)</f>
        <v>991.64285714285711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204552.4</v>
      </c>
      <c r="F37" s="145">
        <v>206304</v>
      </c>
      <c r="G37" s="112">
        <f t="shared" si="3"/>
        <v>1751.6000000000058</v>
      </c>
      <c r="H37" s="99">
        <f>G37+'13'!H37</f>
        <v>23179</v>
      </c>
      <c r="I37" s="95"/>
      <c r="J37" s="175">
        <f>H37/DAY(B2)</f>
        <v>1655.6428571428571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273475.45</v>
      </c>
      <c r="F38" s="108">
        <v>275777</v>
      </c>
      <c r="G38" s="112">
        <f t="shared" si="3"/>
        <v>2301.5499999999884</v>
      </c>
      <c r="H38" s="99">
        <f>G38+'13'!H38</f>
        <v>32325</v>
      </c>
      <c r="I38" s="95"/>
      <c r="J38" s="175">
        <f>H38/DAY(B2)</f>
        <v>2308.9285714285716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377799.03</v>
      </c>
      <c r="F39" s="145">
        <v>380496</v>
      </c>
      <c r="G39" s="112">
        <f t="shared" si="3"/>
        <v>2696.9699999999721</v>
      </c>
      <c r="H39" s="99">
        <f>G39+'13'!H39</f>
        <v>40508</v>
      </c>
      <c r="I39" s="95"/>
      <c r="J39" s="175">
        <f>H39/DAY(B2)</f>
        <v>2893.4285714285716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70321.600000000006</v>
      </c>
      <c r="F40" s="145">
        <v>70454</v>
      </c>
      <c r="G40" s="112">
        <f t="shared" si="3"/>
        <v>132.39999999999418</v>
      </c>
      <c r="H40" s="99">
        <f>G40+'13'!H40</f>
        <v>5577</v>
      </c>
      <c r="I40" s="95"/>
      <c r="J40" s="175">
        <f>H40/DAY(B2)</f>
        <v>398.35714285714283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68834.899999999994</v>
      </c>
      <c r="F41" s="145">
        <v>68834.899999999994</v>
      </c>
      <c r="G41" s="112">
        <f t="shared" si="3"/>
        <v>0</v>
      </c>
      <c r="H41" s="99">
        <f>G41+'13'!H41</f>
        <v>41141.899999999994</v>
      </c>
      <c r="I41" s="95"/>
      <c r="J41" s="175">
        <f>H41/DAY(B2)</f>
        <v>2938.7071428571426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467215.9</v>
      </c>
      <c r="F42" s="145">
        <v>470839</v>
      </c>
      <c r="G42" s="112">
        <f t="shared" si="3"/>
        <v>3623.0999999999767</v>
      </c>
      <c r="H42" s="99">
        <f>G42+'13'!H42</f>
        <v>45038</v>
      </c>
      <c r="I42" s="95"/>
      <c r="J42" s="175">
        <f>H42/DAY(B2)</f>
        <v>3217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395826.71</v>
      </c>
      <c r="F43" s="145">
        <v>398571</v>
      </c>
      <c r="G43" s="112">
        <f t="shared" si="3"/>
        <v>2744.289999999979</v>
      </c>
      <c r="H43" s="99">
        <f>G43+'13'!H43</f>
        <v>41052</v>
      </c>
      <c r="I43" s="95"/>
      <c r="J43" s="175">
        <f>H43/DAY(B2)</f>
        <v>2932.2857142857142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16146.259999999922</v>
      </c>
      <c r="H47" s="99">
        <f>G47+'13'!H47</f>
        <v>272240.90000000002</v>
      </c>
      <c r="I47" s="95"/>
      <c r="J47" s="175">
        <f>H47/DAY(B2)</f>
        <v>19445.778571428575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191105.53</v>
      </c>
      <c r="F49" s="145">
        <v>192995</v>
      </c>
      <c r="G49" s="112">
        <f t="shared" ref="G49:G58" si="4">F49-E49</f>
        <v>1889.4700000000012</v>
      </c>
      <c r="H49" s="99">
        <f>G49+'13'!H49</f>
        <v>27825</v>
      </c>
      <c r="I49" s="95"/>
      <c r="J49" s="175">
        <f>H49/DAY(B2)</f>
        <v>1987.5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189569.75</v>
      </c>
      <c r="F50" s="145">
        <v>190903</v>
      </c>
      <c r="G50" s="112">
        <f t="shared" si="4"/>
        <v>1333.25</v>
      </c>
      <c r="H50" s="99">
        <f>G50+'13'!H50</f>
        <v>18296</v>
      </c>
      <c r="I50" s="95"/>
      <c r="J50" s="175">
        <f>H50/DAY(B2)</f>
        <v>1306.8571428571429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76</v>
      </c>
      <c r="F51" s="145">
        <v>76</v>
      </c>
      <c r="G51" s="112">
        <f t="shared" si="4"/>
        <v>0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56210.5</v>
      </c>
      <c r="F54" s="145">
        <v>56678</v>
      </c>
      <c r="G54" s="112">
        <f t="shared" si="4"/>
        <v>467.5</v>
      </c>
      <c r="H54" s="99">
        <f>G54+'13'!H54</f>
        <v>6595</v>
      </c>
      <c r="I54" s="95"/>
      <c r="J54" s="175">
        <f>H54/DAY(B2)</f>
        <v>471.07142857142856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171589.07</v>
      </c>
      <c r="F55" s="145">
        <v>175151</v>
      </c>
      <c r="G55" s="112">
        <f t="shared" si="4"/>
        <v>3561.929999999993</v>
      </c>
      <c r="H55" s="99">
        <f>G55+'13'!H55</f>
        <v>30184</v>
      </c>
      <c r="I55" s="95"/>
      <c r="J55" s="175">
        <f>H55/DAY(B2)</f>
        <v>2156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107245.6</v>
      </c>
      <c r="F56" s="145">
        <v>107245.6</v>
      </c>
      <c r="G56" s="112">
        <f t="shared" si="4"/>
        <v>0</v>
      </c>
      <c r="H56" s="99">
        <f>G56+'13'!H56</f>
        <v>-0.39999999999417923</v>
      </c>
      <c r="I56" s="95"/>
      <c r="J56" s="175">
        <f>H56/DAY(B2)</f>
        <v>-2.8571428571012802E-2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28169.1</v>
      </c>
      <c r="F58" s="145">
        <v>28417</v>
      </c>
      <c r="G58" s="112">
        <f t="shared" si="4"/>
        <v>247.90000000000146</v>
      </c>
      <c r="H58" s="99">
        <f>G58+'13'!H58</f>
        <v>2924</v>
      </c>
      <c r="I58" s="95"/>
      <c r="J58" s="175">
        <f>H58/DAY(B2)</f>
        <v>208.85714285714286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7500.0499999999956</v>
      </c>
      <c r="H59" s="99">
        <f>G59+'13'!H59</f>
        <v>85823.920000000013</v>
      </c>
      <c r="I59" s="95">
        <f>G7-G60</f>
        <v>3614.2900000000882</v>
      </c>
      <c r="J59" s="175">
        <f>H59/DAY(B2)</f>
        <v>6130.2800000000007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23646.309999999918</v>
      </c>
      <c r="H60" s="99">
        <f>G60+'13'!H60</f>
        <v>358064.82</v>
      </c>
      <c r="I60" s="95">
        <f>G13-G60</f>
        <v>2191.799999999952</v>
      </c>
      <c r="J60" s="175">
        <f>H60/DAY(B2)</f>
        <v>25576.058571428573</v>
      </c>
      <c r="K60" s="79"/>
      <c r="L60" s="66"/>
      <c r="N60" s="87"/>
      <c r="O60" s="71"/>
    </row>
    <row r="61" spans="1:15" s="68" customFormat="1" ht="27.75" customHeight="1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7" t="s">
        <v>198</v>
      </c>
      <c r="B62" s="908"/>
      <c r="C62" s="909"/>
      <c r="D62" s="151" t="s">
        <v>142</v>
      </c>
      <c r="E62" s="95">
        <f>'13'!F62</f>
        <v>285645</v>
      </c>
      <c r="F62" s="122">
        <v>285825</v>
      </c>
      <c r="G62" s="112">
        <f t="shared" ref="G62:G63" si="5">F62-E62</f>
        <v>180</v>
      </c>
      <c r="H62" s="99">
        <f>G62+'13'!H62</f>
        <v>1816</v>
      </c>
      <c r="I62" s="118"/>
      <c r="J62" s="175">
        <f>H62/DAY(B2)</f>
        <v>129.71428571428572</v>
      </c>
      <c r="K62" s="80"/>
      <c r="L62" s="66"/>
      <c r="N62" s="87"/>
      <c r="O62" s="71"/>
    </row>
    <row r="63" spans="1:15" ht="27.75" customHeight="1">
      <c r="A63" s="907" t="s">
        <v>199</v>
      </c>
      <c r="B63" s="908"/>
      <c r="C63" s="909"/>
      <c r="D63" s="151" t="s">
        <v>142</v>
      </c>
      <c r="E63" s="95">
        <f>'13'!F63</f>
        <v>229365</v>
      </c>
      <c r="F63" s="122">
        <v>229437</v>
      </c>
      <c r="G63" s="112">
        <f t="shared" si="5"/>
        <v>72</v>
      </c>
      <c r="H63" s="99">
        <f>G63+'13'!H63</f>
        <v>1958</v>
      </c>
      <c r="I63" s="118"/>
      <c r="J63" s="175">
        <f>H63/DAY(B2)</f>
        <v>139.85714285714286</v>
      </c>
      <c r="K63" s="69"/>
      <c r="L63" s="66"/>
      <c r="N63" s="87"/>
      <c r="O63" s="71"/>
    </row>
    <row r="64" spans="1:15" ht="27.75" customHeight="1">
      <c r="A64" s="916" t="s">
        <v>200</v>
      </c>
      <c r="B64" s="917"/>
      <c r="C64" s="918"/>
      <c r="D64" s="151"/>
      <c r="E64" s="95">
        <f>'13'!F64</f>
        <v>0</v>
      </c>
      <c r="F64" s="122"/>
      <c r="G64" s="112">
        <f>G62+G63</f>
        <v>252</v>
      </c>
      <c r="H64" s="99">
        <f>G64+'13'!H64</f>
        <v>3774</v>
      </c>
      <c r="I64" s="118"/>
      <c r="J64" s="175">
        <f>H64/DAY(B2)</f>
        <v>269.57142857142856</v>
      </c>
      <c r="K64" s="69"/>
      <c r="L64" s="66"/>
      <c r="N64" s="87"/>
      <c r="O64" s="71"/>
    </row>
    <row r="65" spans="1:15" ht="27.75" customHeight="1">
      <c r="A65" s="907" t="s">
        <v>201</v>
      </c>
      <c r="B65" s="908"/>
      <c r="C65" s="909"/>
      <c r="D65" s="151" t="s">
        <v>142</v>
      </c>
      <c r="E65" s="95">
        <f>'13'!F65</f>
        <v>445943</v>
      </c>
      <c r="F65" s="122">
        <v>446053</v>
      </c>
      <c r="G65" s="112">
        <f t="shared" ref="G65:G70" si="6">F65-E65</f>
        <v>110</v>
      </c>
      <c r="H65" s="99">
        <f>G65+'13'!H65</f>
        <v>1461</v>
      </c>
      <c r="I65" s="118"/>
      <c r="J65" s="175">
        <f>H65/DAY(B2)</f>
        <v>104.35714285714286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109867</v>
      </c>
      <c r="F66" s="122">
        <v>109894</v>
      </c>
      <c r="G66" s="112">
        <f t="shared" si="6"/>
        <v>27</v>
      </c>
      <c r="H66" s="99">
        <f>G66+'13'!H66</f>
        <v>313</v>
      </c>
      <c r="I66" s="118"/>
      <c r="J66" s="175">
        <f>H66/DAY(B2)</f>
        <v>22.357142857142858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111908</v>
      </c>
      <c r="F67" s="122">
        <v>111988</v>
      </c>
      <c r="G67" s="112">
        <f t="shared" si="6"/>
        <v>80</v>
      </c>
      <c r="H67" s="99">
        <f>G67+'13'!H67</f>
        <v>1088</v>
      </c>
      <c r="I67" s="118"/>
      <c r="J67" s="175">
        <f>H67/DAY(B2)</f>
        <v>77.714285714285708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162053</v>
      </c>
      <c r="F68" s="122">
        <v>162077</v>
      </c>
      <c r="G68" s="112">
        <f t="shared" si="6"/>
        <v>24</v>
      </c>
      <c r="H68" s="99">
        <f>G68+'13'!H68</f>
        <v>293</v>
      </c>
      <c r="I68" s="118"/>
      <c r="J68" s="175">
        <f>H68/DAY(B2)</f>
        <v>20.928571428571427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16753</v>
      </c>
      <c r="F69" s="122">
        <v>16769</v>
      </c>
      <c r="G69" s="112">
        <f t="shared" si="6"/>
        <v>16</v>
      </c>
      <c r="H69" s="99">
        <f>G69+'13'!H69</f>
        <v>5171</v>
      </c>
      <c r="I69" s="118"/>
      <c r="J69" s="175">
        <f>H69/DAY(B2)</f>
        <v>369.35714285714283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9101</v>
      </c>
      <c r="F70" s="122">
        <v>9106</v>
      </c>
      <c r="G70" s="112">
        <f t="shared" si="6"/>
        <v>5</v>
      </c>
      <c r="H70" s="99">
        <f>G70+'13'!H70</f>
        <v>105</v>
      </c>
      <c r="I70" s="118"/>
      <c r="J70" s="175">
        <f>H70/DAY(B2)</f>
        <v>7.5</v>
      </c>
      <c r="K70" s="69"/>
      <c r="L70" s="66"/>
      <c r="N70" s="87"/>
      <c r="O70" s="71"/>
    </row>
    <row r="71" spans="1:15" ht="27.75" customHeight="1">
      <c r="A71" s="916" t="s">
        <v>208</v>
      </c>
      <c r="B71" s="917"/>
      <c r="C71" s="918"/>
      <c r="D71" s="152"/>
      <c r="E71" s="152"/>
      <c r="F71" s="152"/>
      <c r="G71" s="153">
        <f>SUM(G65:G70)</f>
        <v>262</v>
      </c>
      <c r="H71" s="99">
        <f>G71+'13'!H71</f>
        <v>8431</v>
      </c>
      <c r="I71" s="154"/>
      <c r="J71" s="175">
        <f>H71/DAY(B2)</f>
        <v>602.21428571428567</v>
      </c>
      <c r="K71" s="69"/>
      <c r="L71" s="66"/>
      <c r="N71" s="87"/>
      <c r="O71" s="71"/>
    </row>
    <row r="72" spans="1:15" s="88" customFormat="1" ht="27.75" customHeight="1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907" t="s">
        <v>220</v>
      </c>
      <c r="B74" s="908"/>
      <c r="C74" s="909"/>
      <c r="D74" s="151" t="s">
        <v>139</v>
      </c>
      <c r="E74" s="95">
        <f>'13'!F74</f>
        <v>932850.34</v>
      </c>
      <c r="F74" s="232">
        <v>933164</v>
      </c>
      <c r="G74" s="112">
        <f t="shared" ref="G74:G78" si="7">F74-E74</f>
        <v>313.6600000000326</v>
      </c>
      <c r="H74" s="99">
        <f>G74+'13'!H74</f>
        <v>4387</v>
      </c>
      <c r="I74" s="154"/>
      <c r="J74" s="175">
        <f>H74/DAY(B2)</f>
        <v>313.35714285714283</v>
      </c>
      <c r="K74" s="69"/>
      <c r="L74" s="66"/>
      <c r="N74" s="87"/>
      <c r="O74" s="71"/>
    </row>
    <row r="75" spans="1:15" ht="27.75" customHeight="1">
      <c r="A75" s="907" t="s">
        <v>221</v>
      </c>
      <c r="B75" s="908"/>
      <c r="C75" s="909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04" t="s">
        <v>222</v>
      </c>
      <c r="B76" s="905"/>
      <c r="C76" s="906"/>
      <c r="D76" s="151" t="s">
        <v>139</v>
      </c>
      <c r="E76" s="95">
        <f>'13'!F76</f>
        <v>181678</v>
      </c>
      <c r="F76" s="123">
        <v>181780</v>
      </c>
      <c r="G76" s="112">
        <f t="shared" si="7"/>
        <v>102</v>
      </c>
      <c r="H76" s="99">
        <f>G76+'13'!H76</f>
        <v>1626</v>
      </c>
      <c r="I76" s="154"/>
      <c r="J76" s="175">
        <f>H76/DAY(B2)</f>
        <v>116.14285714285714</v>
      </c>
      <c r="K76" s="69"/>
      <c r="L76" s="66"/>
      <c r="N76" s="87"/>
      <c r="O76" s="71"/>
    </row>
    <row r="77" spans="1:15" ht="27.75" customHeight="1">
      <c r="A77" s="904" t="s">
        <v>223</v>
      </c>
      <c r="B77" s="905"/>
      <c r="C77" s="906"/>
      <c r="D77" s="151" t="s">
        <v>139</v>
      </c>
      <c r="E77" s="95">
        <f>'13'!F77</f>
        <v>46412.6</v>
      </c>
      <c r="F77" s="123">
        <v>46473</v>
      </c>
      <c r="G77" s="112">
        <f t="shared" si="7"/>
        <v>60.400000000001455</v>
      </c>
      <c r="H77" s="99">
        <f>G77+'13'!H77</f>
        <v>799</v>
      </c>
      <c r="I77" s="154"/>
      <c r="J77" s="175">
        <f>H77/DAY(B2)</f>
        <v>57.071428571428569</v>
      </c>
      <c r="K77" s="69"/>
      <c r="L77" s="66"/>
      <c r="N77" s="87"/>
      <c r="O77" s="71"/>
    </row>
    <row r="78" spans="1:15" ht="27.75" customHeight="1">
      <c r="A78" s="904" t="s">
        <v>224</v>
      </c>
      <c r="B78" s="905"/>
      <c r="C78" s="906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0.6000000000003638</v>
      </c>
      <c r="I78" s="118"/>
      <c r="J78" s="175">
        <f>H78/DAY(B2)</f>
        <v>4.2857142857168844E-2</v>
      </c>
      <c r="K78" s="69"/>
      <c r="L78" s="66"/>
      <c r="N78" s="87"/>
      <c r="O78" s="71"/>
    </row>
    <row r="79" spans="1:15" s="57" customFormat="1" ht="27.75" customHeight="1">
      <c r="A79" s="904" t="s">
        <v>225</v>
      </c>
      <c r="B79" s="905"/>
      <c r="C79" s="906"/>
      <c r="D79" s="151"/>
      <c r="E79" s="95">
        <f>'13'!F79</f>
        <v>0</v>
      </c>
      <c r="F79" s="117"/>
      <c r="G79" s="112">
        <f>G15-SUM(G74:G78)</f>
        <v>516.33999999987282</v>
      </c>
      <c r="H79" s="99">
        <f>G79+'13'!H79</f>
        <v>7899.4</v>
      </c>
      <c r="I79" s="118"/>
      <c r="J79" s="175">
        <f>H79/DAY(B2)</f>
        <v>564.24285714285713</v>
      </c>
      <c r="K79" s="59"/>
      <c r="L79" s="58"/>
      <c r="N79" s="87"/>
      <c r="O79" s="71"/>
    </row>
    <row r="80" spans="1:15" s="57" customFormat="1" ht="27.75" customHeight="1">
      <c r="A80" s="916" t="s">
        <v>329</v>
      </c>
      <c r="B80" s="917"/>
      <c r="C80" s="918"/>
      <c r="D80" s="151"/>
      <c r="E80" s="117"/>
      <c r="F80" s="117"/>
      <c r="G80" s="112">
        <f>SUM(G74:G79)</f>
        <v>992.39999999990687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41969</v>
      </c>
      <c r="F84" s="164">
        <v>41969</v>
      </c>
      <c r="G84" s="112">
        <f t="shared" si="8"/>
        <v>0</v>
      </c>
      <c r="H84" s="99">
        <f>G84+'13'!H84</f>
        <v>177</v>
      </c>
      <c r="I84" s="575"/>
      <c r="J84" s="175">
        <f>H84/DAY(B2)</f>
        <v>12.642857142857142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3953</v>
      </c>
      <c r="F85" s="164">
        <v>3970</v>
      </c>
      <c r="G85" s="112">
        <f t="shared" si="8"/>
        <v>17</v>
      </c>
      <c r="H85" s="99">
        <f>G85+'13'!H85</f>
        <v>193</v>
      </c>
      <c r="I85" s="575"/>
      <c r="J85" s="175">
        <f>H85/DAY(B2)</f>
        <v>13.785714285714286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44114.57</v>
      </c>
      <c r="F86" s="164">
        <v>44139</v>
      </c>
      <c r="G86" s="112">
        <f t="shared" si="8"/>
        <v>24.430000000000291</v>
      </c>
      <c r="H86" s="99">
        <f>G86+'13'!H86</f>
        <v>200</v>
      </c>
      <c r="I86" s="575"/>
      <c r="J86" s="175">
        <f>H86/DAY(B2)</f>
        <v>14.285714285714286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35329</v>
      </c>
      <c r="F87" s="164">
        <v>35329</v>
      </c>
      <c r="G87" s="112">
        <f t="shared" si="8"/>
        <v>0</v>
      </c>
      <c r="H87" s="99">
        <f>G87+'13'!H87</f>
        <v>0</v>
      </c>
      <c r="I87" s="575">
        <f>G84+G85+G86+G87</f>
        <v>41.430000000000291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24207.32</v>
      </c>
      <c r="F88" s="164">
        <v>24217</v>
      </c>
      <c r="G88" s="112">
        <f t="shared" si="8"/>
        <v>9.680000000000291</v>
      </c>
      <c r="H88" s="99">
        <f>G88+'13'!H88</f>
        <v>28.880000000001019</v>
      </c>
      <c r="I88" s="575"/>
      <c r="J88" s="175">
        <f>H88/DAY(B2)</f>
        <v>2.0628571428572156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26818.98</v>
      </c>
      <c r="F89" s="164">
        <v>26819</v>
      </c>
      <c r="G89" s="112">
        <f t="shared" si="8"/>
        <v>2.0000000000436557E-2</v>
      </c>
      <c r="H89" s="99">
        <f>G89+'13'!H89</f>
        <v>109.77999999999884</v>
      </c>
      <c r="I89" s="575">
        <f>G88+G89</f>
        <v>9.7000000000007276</v>
      </c>
      <c r="J89" s="175">
        <f>H89/DAY(B2)</f>
        <v>7.8414285714284881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71966.399999999994</v>
      </c>
      <c r="F90" s="164">
        <v>71975</v>
      </c>
      <c r="G90" s="112">
        <f t="shared" si="8"/>
        <v>8.6000000000058208</v>
      </c>
      <c r="H90" s="99">
        <f>G90+'13'!H90</f>
        <v>111.47000000000116</v>
      </c>
      <c r="I90" s="575">
        <f>G90</f>
        <v>8.6000000000058208</v>
      </c>
      <c r="J90" s="175">
        <f>H90/DAY(B2)</f>
        <v>7.9621428571429407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4122</v>
      </c>
      <c r="F91" s="122">
        <v>4122</v>
      </c>
      <c r="G91" s="112">
        <f t="shared" si="8"/>
        <v>0</v>
      </c>
      <c r="H91" s="99">
        <f>G91+'13'!H91</f>
        <v>62.760000000000218</v>
      </c>
      <c r="I91" s="594"/>
      <c r="J91" s="175">
        <f>H91/DAY(B2)</f>
        <v>4.4828571428571582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6017</v>
      </c>
      <c r="F92" s="122">
        <v>6028</v>
      </c>
      <c r="G92" s="112">
        <f t="shared" si="8"/>
        <v>11</v>
      </c>
      <c r="H92" s="99">
        <f>G92+'13'!H92</f>
        <v>93</v>
      </c>
      <c r="I92" s="600">
        <f>G91+G92</f>
        <v>11</v>
      </c>
      <c r="J92" s="175">
        <f>H92/DAY(B2)</f>
        <v>6.6428571428571432</v>
      </c>
      <c r="O92" s="71"/>
    </row>
    <row r="93" spans="1:15" ht="27.75" customHeight="1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6705.109999999986</v>
      </c>
      <c r="H94" s="99">
        <f>G94+'13'!H94</f>
        <v>98414</v>
      </c>
      <c r="I94" s="118"/>
      <c r="J94" s="175">
        <f>H94/DAY(B2)</f>
        <v>7029.5714285714284</v>
      </c>
      <c r="K94" s="69"/>
      <c r="L94" s="66"/>
      <c r="O94" s="71"/>
    </row>
    <row r="95" spans="1:15" ht="27.75" customHeight="1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0.24596340506078312</v>
      </c>
      <c r="H95" s="99">
        <f>G95+'13'!H95</f>
        <v>3.5952037197575266</v>
      </c>
      <c r="I95" s="167"/>
      <c r="J95" s="175">
        <f>H95/DAY(B2)</f>
        <v>0.25680026569696618</v>
      </c>
      <c r="K95" s="69"/>
      <c r="L95" s="66"/>
      <c r="O95" s="71"/>
    </row>
    <row r="96" spans="1:15" ht="27.75" customHeight="1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7185.0299999999697</v>
      </c>
      <c r="H96" s="99">
        <f>G96+'13'!H96</f>
        <v>116363.5</v>
      </c>
      <c r="I96" s="118"/>
      <c r="J96" s="175">
        <f>H96/DAY(B2)</f>
        <v>8311.6785714285706</v>
      </c>
      <c r="K96" s="69"/>
      <c r="L96" s="66"/>
      <c r="O96" s="71"/>
    </row>
    <row r="97" spans="1:15" ht="27.75" customHeight="1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0.26356830003741549</v>
      </c>
      <c r="H97" s="99">
        <f>G97+'13'!H97</f>
        <v>4.2493723530675735</v>
      </c>
      <c r="I97" s="167"/>
      <c r="J97" s="175">
        <f>H97/DAY(B2)</f>
        <v>0.30352659664768383</v>
      </c>
      <c r="K97" s="69"/>
      <c r="L97" s="66"/>
      <c r="O97" s="71"/>
    </row>
    <row r="98" spans="1:15" ht="27.75" customHeight="1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2696.9699999999721</v>
      </c>
      <c r="H98" s="99">
        <f>G98+'13'!H98</f>
        <v>40508</v>
      </c>
      <c r="I98" s="168"/>
      <c r="J98" s="175">
        <f>H98/DAY(B2)</f>
        <v>2893.4285714285716</v>
      </c>
      <c r="K98" s="69"/>
      <c r="L98" s="66"/>
      <c r="O98" s="71"/>
    </row>
    <row r="99" spans="1:15" ht="27.75" customHeight="1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9.8932892159379157E-2</v>
      </c>
      <c r="H99" s="99">
        <f>G99+'13'!H99</f>
        <v>1.4818114906340938</v>
      </c>
      <c r="I99" s="168"/>
      <c r="J99" s="175">
        <f>H99/DAY(B2)</f>
        <v>0.10584367790243528</v>
      </c>
      <c r="O99" s="71"/>
    </row>
    <row r="100" spans="1:15" ht="27.75" customHeight="1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2301.5499999999884</v>
      </c>
      <c r="H100" s="99">
        <f>G100+'13'!H100</f>
        <v>32325</v>
      </c>
      <c r="I100" s="118"/>
      <c r="J100" s="175">
        <f>H100/DAY(B2)</f>
        <v>2308.9285714285716</v>
      </c>
      <c r="K100" s="70"/>
      <c r="O100" s="71"/>
    </row>
    <row r="101" spans="1:15" ht="27.75" customHeight="1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8.4427708854536876E-2</v>
      </c>
      <c r="H101" s="99">
        <f>G101+'13'!H101</f>
        <v>1.1829429813748369</v>
      </c>
      <c r="I101" s="168"/>
      <c r="J101" s="175">
        <f>H101/DAY(B2)</f>
        <v>8.4495927241059782E-2</v>
      </c>
      <c r="O101" s="71"/>
    </row>
    <row r="102" spans="1:15" ht="27.75" customHeight="1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2158.25</v>
      </c>
      <c r="H102" s="99">
        <f>G102+'13'!H102</f>
        <v>32179</v>
      </c>
      <c r="I102" s="168"/>
      <c r="J102" s="175">
        <f>H102/DAY(B2)</f>
        <v>2298.5</v>
      </c>
      <c r="O102" s="71"/>
    </row>
    <row r="103" spans="1:15" ht="27.75" customHeight="1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7.9171038054921733E-2</v>
      </c>
      <c r="H103" s="99">
        <f>G103+'13'!H103</f>
        <v>1.1738040351731875</v>
      </c>
      <c r="I103" s="118"/>
      <c r="J103" s="175">
        <f>H103/DAY(B2)</f>
        <v>8.38431453695134E-2</v>
      </c>
      <c r="O103" s="71"/>
    </row>
    <row r="104" spans="1:15" ht="27.75" customHeight="1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1751.6000000000058</v>
      </c>
      <c r="H104" s="99">
        <f>G104+'13'!H104</f>
        <v>23179.32</v>
      </c>
      <c r="I104" s="118"/>
      <c r="J104" s="175">
        <f>H104/DAY(B2)</f>
        <v>1655.6657142857143</v>
      </c>
      <c r="O104" s="71"/>
    </row>
    <row r="105" spans="1:15" ht="27.75" customHeight="1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6.4253904903047082E-2</v>
      </c>
      <c r="H105" s="99">
        <f>G105+'13'!H105</f>
        <v>0.84756645437919753</v>
      </c>
      <c r="I105" s="187"/>
      <c r="J105" s="188">
        <f>H105/DAY(B2)</f>
        <v>6.0540461027085539E-2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7.75" customHeight="1">
      <c r="A109" s="924"/>
      <c r="B109" s="924"/>
    </row>
    <row r="110" spans="1:15" ht="27.75" customHeight="1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7.75" customHeight="1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886" t="s">
        <v>252</v>
      </c>
      <c r="B112" s="887"/>
      <c r="C112" s="888"/>
      <c r="D112" s="146" t="s">
        <v>183</v>
      </c>
      <c r="E112" s="95">
        <f>'13'!F112</f>
        <v>1272</v>
      </c>
      <c r="F112" s="237">
        <v>1349</v>
      </c>
      <c r="G112" s="112">
        <f t="shared" ref="G112:G123" si="9">F112-E112</f>
        <v>77</v>
      </c>
      <c r="H112" s="99">
        <f>G112+'13'!H112</f>
        <v>1106</v>
      </c>
      <c r="I112" s="165"/>
      <c r="J112" s="328">
        <f>H112/DAY(B2)</f>
        <v>79</v>
      </c>
    </row>
    <row r="113" spans="1:18" ht="27.75" customHeight="1">
      <c r="A113" s="886" t="s">
        <v>253</v>
      </c>
      <c r="B113" s="887"/>
      <c r="C113" s="888"/>
      <c r="D113" s="146" t="s">
        <v>183</v>
      </c>
      <c r="E113" s="95">
        <f>'13'!F113</f>
        <v>2743</v>
      </c>
      <c r="F113" s="237">
        <v>2949</v>
      </c>
      <c r="G113" s="112">
        <f t="shared" si="9"/>
        <v>206</v>
      </c>
      <c r="H113" s="99">
        <f>G113+'13'!H113</f>
        <v>2467</v>
      </c>
      <c r="I113" s="165"/>
      <c r="J113" s="328">
        <f>H113/DAY(B2)</f>
        <v>176.21428571428572</v>
      </c>
    </row>
    <row r="114" spans="1:18" ht="27.75" customHeight="1">
      <c r="A114" s="886" t="s">
        <v>254</v>
      </c>
      <c r="B114" s="887"/>
      <c r="C114" s="888"/>
      <c r="D114" s="146" t="s">
        <v>183</v>
      </c>
      <c r="E114" s="95">
        <f>'13'!F114</f>
        <v>3504</v>
      </c>
      <c r="F114" s="237">
        <v>3721</v>
      </c>
      <c r="G114" s="112">
        <f t="shared" si="9"/>
        <v>217</v>
      </c>
      <c r="H114" s="99">
        <f>G114+'13'!H114</f>
        <v>3057</v>
      </c>
      <c r="I114" s="165"/>
      <c r="J114" s="328">
        <f>H114/DAY(B2)</f>
        <v>218.35714285714286</v>
      </c>
    </row>
    <row r="115" spans="1:18" ht="27.75" customHeight="1">
      <c r="A115" s="886" t="s">
        <v>255</v>
      </c>
      <c r="B115" s="887"/>
      <c r="C115" s="888"/>
      <c r="D115" s="146" t="s">
        <v>183</v>
      </c>
      <c r="E115" s="95">
        <f>'13'!F115</f>
        <v>2533.6999999999998</v>
      </c>
      <c r="F115" s="237">
        <v>2699</v>
      </c>
      <c r="G115" s="112">
        <f t="shared" si="9"/>
        <v>165.30000000000018</v>
      </c>
      <c r="H115" s="99">
        <f>G115+'13'!H115</f>
        <v>2188</v>
      </c>
      <c r="I115" s="165"/>
      <c r="J115" s="328">
        <f>H115/DAY(B2)</f>
        <v>156.28571428571428</v>
      </c>
    </row>
    <row r="116" spans="1:18" ht="27.75" customHeight="1">
      <c r="A116" s="893" t="s">
        <v>96</v>
      </c>
      <c r="B116" s="894"/>
      <c r="C116" s="895"/>
      <c r="D116" s="146" t="s">
        <v>183</v>
      </c>
      <c r="E116" s="95">
        <f>'13'!F116</f>
        <v>39579.800000000003</v>
      </c>
      <c r="F116" s="237">
        <v>39987</v>
      </c>
      <c r="G116" s="112">
        <f t="shared" si="9"/>
        <v>407.19999999999709</v>
      </c>
      <c r="H116" s="99">
        <f>G116+'13'!H116</f>
        <v>5321</v>
      </c>
      <c r="I116" s="165"/>
      <c r="J116" s="328">
        <f>H116/DAY(B2)</f>
        <v>380.07142857142856</v>
      </c>
      <c r="Q116" s="886"/>
      <c r="R116" s="888"/>
    </row>
    <row r="117" spans="1:18" ht="27.75" customHeight="1">
      <c r="A117" s="893" t="s">
        <v>184</v>
      </c>
      <c r="B117" s="894"/>
      <c r="C117" s="895"/>
      <c r="D117" s="146" t="s">
        <v>183</v>
      </c>
      <c r="E117" s="95">
        <f>'13'!F117</f>
        <v>21492</v>
      </c>
      <c r="F117" s="237">
        <v>21672</v>
      </c>
      <c r="G117" s="112">
        <f t="shared" si="9"/>
        <v>180</v>
      </c>
      <c r="H117" s="99">
        <f>G117+'13'!H117</f>
        <v>2736</v>
      </c>
      <c r="I117" s="165"/>
      <c r="J117" s="328">
        <f>H117/DAY(B2)</f>
        <v>195.42857142857142</v>
      </c>
      <c r="Q117" s="886"/>
      <c r="R117" s="888"/>
    </row>
    <row r="118" spans="1:18" ht="27.75" customHeight="1">
      <c r="A118" s="885" t="s">
        <v>97</v>
      </c>
      <c r="B118" s="885"/>
      <c r="C118" s="885"/>
      <c r="D118" s="151" t="s">
        <v>183</v>
      </c>
      <c r="E118" s="95">
        <f>'13'!F118</f>
        <v>16249</v>
      </c>
      <c r="F118" s="237">
        <v>16764</v>
      </c>
      <c r="G118" s="112">
        <f t="shared" si="9"/>
        <v>515</v>
      </c>
      <c r="H118" s="99">
        <f>G118+'13'!H118</f>
        <v>7701</v>
      </c>
      <c r="I118" s="165"/>
      <c r="J118" s="328">
        <f>H118/DAY(B2)</f>
        <v>550.07142857142856</v>
      </c>
      <c r="Q118" s="886"/>
      <c r="R118" s="888"/>
    </row>
    <row r="119" spans="1:18" ht="27.75" customHeight="1">
      <c r="A119" s="885" t="s">
        <v>98</v>
      </c>
      <c r="B119" s="885"/>
      <c r="C119" s="885"/>
      <c r="D119" s="151" t="s">
        <v>183</v>
      </c>
      <c r="E119" s="95">
        <f>'13'!F119</f>
        <v>11303.5</v>
      </c>
      <c r="F119" s="237">
        <v>11677</v>
      </c>
      <c r="G119" s="112">
        <f t="shared" si="9"/>
        <v>373.5</v>
      </c>
      <c r="H119" s="99">
        <f>G119+'13'!H119</f>
        <v>5774</v>
      </c>
      <c r="I119" s="165"/>
      <c r="J119" s="328">
        <f>H119/DAY(B2)</f>
        <v>412.42857142857144</v>
      </c>
    </row>
    <row r="120" spans="1:18" ht="27.75" customHeight="1">
      <c r="A120" s="885" t="s">
        <v>99</v>
      </c>
      <c r="B120" s="885"/>
      <c r="C120" s="885"/>
      <c r="D120" s="151" t="s">
        <v>183</v>
      </c>
      <c r="E120" s="95">
        <f>'13'!F120</f>
        <v>12521.1</v>
      </c>
      <c r="F120" s="237">
        <v>12883</v>
      </c>
      <c r="G120" s="112">
        <f t="shared" si="9"/>
        <v>361.89999999999964</v>
      </c>
      <c r="H120" s="99">
        <f>G120+'13'!H120</f>
        <v>5748</v>
      </c>
      <c r="I120" s="165"/>
      <c r="J120" s="328">
        <f>H120/DAY(B2)</f>
        <v>410.57142857142856</v>
      </c>
    </row>
    <row r="121" spans="1:18" ht="27.75" customHeight="1">
      <c r="A121" s="885" t="s">
        <v>100</v>
      </c>
      <c r="B121" s="885"/>
      <c r="C121" s="885"/>
      <c r="D121" s="151" t="s">
        <v>183</v>
      </c>
      <c r="E121" s="95">
        <f>'13'!F121</f>
        <v>17585.8</v>
      </c>
      <c r="F121" s="237">
        <v>17982</v>
      </c>
      <c r="G121" s="112">
        <f t="shared" si="9"/>
        <v>396.20000000000073</v>
      </c>
      <c r="H121" s="99">
        <f>G121+'13'!H121</f>
        <v>6255</v>
      </c>
      <c r="I121" s="165"/>
      <c r="J121" s="328">
        <f>H121/DAY(B2)</f>
        <v>446.78571428571428</v>
      </c>
    </row>
    <row r="122" spans="1:18" ht="27.75" customHeight="1">
      <c r="A122" s="885" t="s">
        <v>101</v>
      </c>
      <c r="B122" s="885"/>
      <c r="C122" s="885"/>
      <c r="D122" s="151" t="s">
        <v>183</v>
      </c>
      <c r="E122" s="95">
        <f>'13'!F122</f>
        <v>6234.1</v>
      </c>
      <c r="F122" s="237">
        <v>6429</v>
      </c>
      <c r="G122" s="112">
        <f t="shared" si="9"/>
        <v>194.89999999999964</v>
      </c>
      <c r="H122" s="99">
        <f>G122+'13'!H122</f>
        <v>2865</v>
      </c>
      <c r="I122" s="165"/>
      <c r="J122" s="328">
        <f>H122/DAY(B2)</f>
        <v>204.64285714285714</v>
      </c>
    </row>
    <row r="123" spans="1:18" ht="27.75" customHeight="1">
      <c r="A123" s="885" t="s">
        <v>102</v>
      </c>
      <c r="B123" s="885"/>
      <c r="C123" s="885"/>
      <c r="D123" s="151" t="s">
        <v>183</v>
      </c>
      <c r="E123" s="95">
        <f>'13'!F123</f>
        <v>5145.5</v>
      </c>
      <c r="F123" s="237">
        <v>5236</v>
      </c>
      <c r="G123" s="112">
        <f t="shared" si="9"/>
        <v>90.5</v>
      </c>
      <c r="H123" s="99">
        <f>G123+'13'!H123</f>
        <v>4269</v>
      </c>
      <c r="I123" s="165"/>
      <c r="J123" s="328">
        <f>H123/DAY(B2)</f>
        <v>304.92857142857144</v>
      </c>
    </row>
    <row r="124" spans="1:18" ht="27.7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868" t="s">
        <v>196</v>
      </c>
      <c r="B125" s="869"/>
      <c r="C125" s="245"/>
      <c r="D125" s="307"/>
      <c r="E125" s="308"/>
      <c r="F125" s="308"/>
      <c r="G125" s="309">
        <f>SUM(G112:G124)</f>
        <v>3184.4999999999973</v>
      </c>
      <c r="H125" s="156"/>
      <c r="I125" s="327">
        <f>G125-(G39+G53)</f>
        <v>487.53000000002521</v>
      </c>
      <c r="J125" s="327"/>
    </row>
    <row r="126" spans="1:18" ht="27.75" customHeight="1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7.75" customHeight="1">
      <c r="A127" s="873"/>
      <c r="B127" s="873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886" t="s">
        <v>318</v>
      </c>
      <c r="B128" s="887"/>
      <c r="C128" s="888"/>
      <c r="D128" s="151" t="s">
        <v>183</v>
      </c>
      <c r="E128" s="95">
        <f>'13'!F128</f>
        <v>86841.2</v>
      </c>
      <c r="F128" s="165">
        <v>87321</v>
      </c>
      <c r="G128" s="112">
        <f t="shared" ref="G128:G134" si="10">F128-E128</f>
        <v>479.80000000000291</v>
      </c>
      <c r="H128" s="99">
        <f>G128+'13'!H128</f>
        <v>5906</v>
      </c>
      <c r="I128" s="165"/>
      <c r="J128" s="328">
        <f>H128/DAY(B2)</f>
        <v>421.85714285714283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54939.6</v>
      </c>
      <c r="F129" s="165">
        <v>55236</v>
      </c>
      <c r="G129" s="112">
        <f t="shared" si="10"/>
        <v>296.40000000000146</v>
      </c>
      <c r="H129" s="99">
        <f>G129+'13'!H129</f>
        <v>4164</v>
      </c>
      <c r="I129" s="165"/>
      <c r="J129" s="328">
        <f>H129/DAY(B2)</f>
        <v>297.42857142857144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105989.8</v>
      </c>
      <c r="F130" s="165">
        <v>106807</v>
      </c>
      <c r="G130" s="112">
        <f t="shared" si="10"/>
        <v>817.19999999999709</v>
      </c>
      <c r="H130" s="99">
        <f>G130+'13'!H130</f>
        <v>10161</v>
      </c>
      <c r="I130" s="165"/>
      <c r="J130" s="328">
        <f>H130/DAY(B2)</f>
        <v>725.78571428571433</v>
      </c>
      <c r="N130" s="240"/>
      <c r="O130" s="241"/>
    </row>
    <row r="131" spans="1:15" ht="27.75" customHeight="1">
      <c r="A131" s="886" t="s">
        <v>321</v>
      </c>
      <c r="B131" s="887"/>
      <c r="C131" s="888"/>
      <c r="D131" s="151" t="s">
        <v>183</v>
      </c>
      <c r="E131" s="95">
        <f>'13'!F131</f>
        <v>32835.599999999999</v>
      </c>
      <c r="F131" s="165">
        <v>33007</v>
      </c>
      <c r="G131" s="112">
        <f t="shared" si="10"/>
        <v>171.40000000000146</v>
      </c>
      <c r="H131" s="99">
        <f>G131+'13'!H131</f>
        <v>2572</v>
      </c>
      <c r="I131" s="165"/>
      <c r="J131" s="328">
        <f>H131/DAY(B2)</f>
        <v>183.71428571428572</v>
      </c>
      <c r="N131" s="240"/>
      <c r="O131" s="241"/>
    </row>
    <row r="132" spans="1:15" ht="27.75" customHeight="1">
      <c r="A132" s="886" t="s">
        <v>322</v>
      </c>
      <c r="B132" s="887"/>
      <c r="C132" s="888"/>
      <c r="D132" s="151" t="s">
        <v>183</v>
      </c>
      <c r="E132" s="95">
        <f>'13'!F132</f>
        <v>95577.4</v>
      </c>
      <c r="F132" s="165">
        <v>96079</v>
      </c>
      <c r="G132" s="112">
        <f t="shared" si="10"/>
        <v>501.60000000000582</v>
      </c>
      <c r="H132" s="99">
        <f>G132+'13'!H132</f>
        <v>7142</v>
      </c>
      <c r="I132" s="165"/>
      <c r="J132" s="328">
        <f>H132/DAY(B2)</f>
        <v>510.14285714285717</v>
      </c>
    </row>
    <row r="133" spans="1:15" ht="27.75" customHeight="1">
      <c r="A133" s="886" t="s">
        <v>341</v>
      </c>
      <c r="B133" s="887"/>
      <c r="C133" s="888"/>
      <c r="D133" s="151" t="s">
        <v>183</v>
      </c>
      <c r="E133" s="95">
        <f>'13'!F133</f>
        <v>185143.8</v>
      </c>
      <c r="F133" s="165">
        <v>186078</v>
      </c>
      <c r="G133" s="112">
        <f t="shared" si="10"/>
        <v>934.20000000001164</v>
      </c>
      <c r="H133" s="99">
        <f>G133+'13'!H133</f>
        <v>13632</v>
      </c>
      <c r="I133" s="165"/>
      <c r="J133" s="328">
        <f>H133/DAY(B2)</f>
        <v>973.71428571428567</v>
      </c>
    </row>
    <row r="134" spans="1:15" ht="27.75" customHeight="1">
      <c r="A134" s="886" t="s">
        <v>340</v>
      </c>
      <c r="B134" s="887"/>
      <c r="C134" s="888"/>
      <c r="D134" s="151" t="s">
        <v>183</v>
      </c>
      <c r="E134" s="95">
        <f>'13'!F134</f>
        <v>31210.89</v>
      </c>
      <c r="F134" s="165">
        <v>31426</v>
      </c>
      <c r="G134" s="112">
        <f t="shared" si="10"/>
        <v>215.11000000000058</v>
      </c>
      <c r="H134" s="99">
        <f>G134+'13'!H134</f>
        <v>3333</v>
      </c>
      <c r="I134" s="165"/>
      <c r="J134" s="328">
        <f>H134/DAY(B2)</f>
        <v>238.07142857142858</v>
      </c>
    </row>
    <row r="135" spans="1:15" ht="27.75" customHeight="1">
      <c r="A135" s="868" t="s">
        <v>196</v>
      </c>
      <c r="B135" s="869"/>
      <c r="C135" s="331"/>
      <c r="D135" s="151"/>
      <c r="E135" s="95"/>
      <c r="F135" s="165"/>
      <c r="G135" s="112">
        <f>SUM(G128:G134)</f>
        <v>3415.710000000021</v>
      </c>
      <c r="H135" s="119">
        <f>H128+H134</f>
        <v>9239</v>
      </c>
      <c r="I135" s="327">
        <f>G135-(G35+G49)</f>
        <v>-545.10999999998603</v>
      </c>
      <c r="J135" s="328">
        <f>H135/DAY(B2)</f>
        <v>659.92857142857144</v>
      </c>
    </row>
    <row r="136" spans="1:15" ht="27.75" customHeight="1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85" t="s">
        <v>185</v>
      </c>
      <c r="B138" s="885"/>
      <c r="C138" s="885"/>
      <c r="D138" s="151" t="s">
        <v>183</v>
      </c>
      <c r="E138" s="95">
        <f>'13'!F138</f>
        <v>880603</v>
      </c>
      <c r="F138" s="147">
        <v>880778</v>
      </c>
      <c r="G138" s="112">
        <f t="shared" ref="G138:G152" si="11">F138-E138</f>
        <v>175</v>
      </c>
      <c r="H138" s="99">
        <f>G138+'13'!H138</f>
        <v>1994</v>
      </c>
      <c r="I138" s="118"/>
      <c r="J138" s="328">
        <f>H138/DAY(B2)</f>
        <v>142.42857142857142</v>
      </c>
    </row>
    <row r="139" spans="1:15" ht="27.75" customHeight="1">
      <c r="A139" s="885" t="s">
        <v>186</v>
      </c>
      <c r="B139" s="885"/>
      <c r="C139" s="885"/>
      <c r="D139" s="151" t="s">
        <v>183</v>
      </c>
      <c r="E139" s="95">
        <f>'13'!F139</f>
        <v>896843</v>
      </c>
      <c r="F139" s="148">
        <v>896958</v>
      </c>
      <c r="G139" s="112">
        <f t="shared" si="11"/>
        <v>115</v>
      </c>
      <c r="H139" s="99">
        <f>G139+'13'!H139</f>
        <v>2092</v>
      </c>
      <c r="I139" s="118"/>
      <c r="J139" s="328">
        <f>H139/DAY(B2)</f>
        <v>149.42857142857142</v>
      </c>
    </row>
    <row r="140" spans="1:15" ht="27.75" customHeight="1">
      <c r="A140" s="885" t="s">
        <v>187</v>
      </c>
      <c r="B140" s="885"/>
      <c r="C140" s="885"/>
      <c r="D140" s="151" t="s">
        <v>183</v>
      </c>
      <c r="E140" s="95">
        <f>'13'!F140</f>
        <v>316</v>
      </c>
      <c r="F140" s="149">
        <v>330</v>
      </c>
      <c r="G140" s="112">
        <f t="shared" si="11"/>
        <v>14</v>
      </c>
      <c r="H140" s="99">
        <f>G140+'13'!H140</f>
        <v>195</v>
      </c>
      <c r="I140" s="118"/>
      <c r="J140" s="328">
        <f>H140/DAY(B2)</f>
        <v>13.928571428571429</v>
      </c>
    </row>
    <row r="141" spans="1:15" ht="27.75" customHeight="1">
      <c r="A141" s="864" t="s">
        <v>188</v>
      </c>
      <c r="B141" s="864"/>
      <c r="C141" s="864"/>
      <c r="D141" s="151" t="s">
        <v>183</v>
      </c>
      <c r="E141" s="95">
        <f>'13'!F141</f>
        <v>74385.399999999994</v>
      </c>
      <c r="F141" s="149">
        <v>74554</v>
      </c>
      <c r="G141" s="112">
        <f t="shared" si="11"/>
        <v>168.60000000000582</v>
      </c>
      <c r="H141" s="99">
        <f>G141+'13'!H141</f>
        <v>2780</v>
      </c>
      <c r="I141" s="118"/>
      <c r="J141" s="328">
        <f>H141/DAY(B2)</f>
        <v>198.57142857142858</v>
      </c>
    </row>
    <row r="142" spans="1:15" ht="27.75" customHeight="1">
      <c r="A142" s="864" t="s">
        <v>189</v>
      </c>
      <c r="B142" s="864"/>
      <c r="C142" s="864"/>
      <c r="D142" s="151" t="s">
        <v>183</v>
      </c>
      <c r="E142" s="95">
        <f>'13'!F142</f>
        <v>28341.5</v>
      </c>
      <c r="F142" s="148">
        <v>28401</v>
      </c>
      <c r="G142" s="112">
        <f t="shared" si="11"/>
        <v>59.5</v>
      </c>
      <c r="H142" s="99">
        <f>G142+'13'!H142</f>
        <v>935</v>
      </c>
      <c r="I142" s="140"/>
      <c r="J142" s="328">
        <f>H142/DAY(B2)</f>
        <v>66.785714285714292</v>
      </c>
    </row>
    <row r="143" spans="1:15" ht="27.75" customHeight="1">
      <c r="A143" s="885" t="s">
        <v>91</v>
      </c>
      <c r="B143" s="885"/>
      <c r="C143" s="885"/>
      <c r="D143" s="151" t="s">
        <v>183</v>
      </c>
      <c r="E143" s="95">
        <f>'13'!F143</f>
        <v>6778.4</v>
      </c>
      <c r="F143" s="149">
        <v>6809</v>
      </c>
      <c r="G143" s="112">
        <f t="shared" si="11"/>
        <v>30.600000000000364</v>
      </c>
      <c r="H143" s="99">
        <f>G143+'13'!H143</f>
        <v>392</v>
      </c>
      <c r="I143" s="140"/>
      <c r="J143" s="328">
        <f>H143/DAY(B2)</f>
        <v>28</v>
      </c>
    </row>
    <row r="144" spans="1:15" ht="27.75" customHeight="1">
      <c r="A144" s="864" t="s">
        <v>90</v>
      </c>
      <c r="B144" s="864"/>
      <c r="C144" s="864"/>
      <c r="D144" s="151" t="s">
        <v>183</v>
      </c>
      <c r="E144" s="95">
        <f>'13'!F144</f>
        <v>900592</v>
      </c>
      <c r="F144" s="149">
        <v>900858</v>
      </c>
      <c r="G144" s="112">
        <f t="shared" si="11"/>
        <v>266</v>
      </c>
      <c r="H144" s="99">
        <f>G144+'13'!H144</f>
        <v>3625</v>
      </c>
      <c r="I144" s="140"/>
      <c r="J144" s="328">
        <f>H144/DAY(B2)</f>
        <v>258.92857142857144</v>
      </c>
    </row>
    <row r="145" spans="1:10" ht="27.75" customHeight="1">
      <c r="A145" s="885" t="s">
        <v>190</v>
      </c>
      <c r="B145" s="885"/>
      <c r="C145" s="885"/>
      <c r="D145" s="152" t="s">
        <v>183</v>
      </c>
      <c r="E145" s="95">
        <f>'13'!F145</f>
        <v>5659.25</v>
      </c>
      <c r="F145" s="149">
        <v>5659</v>
      </c>
      <c r="G145" s="112">
        <f t="shared" si="11"/>
        <v>-0.25</v>
      </c>
      <c r="H145" s="99">
        <f>G145+'13'!H145</f>
        <v>31</v>
      </c>
      <c r="I145" s="140"/>
      <c r="J145" s="328">
        <f>H145/DAY(B2)</f>
        <v>2.2142857142857144</v>
      </c>
    </row>
    <row r="146" spans="1:10" ht="27.75" customHeight="1">
      <c r="A146" s="920" t="s">
        <v>191</v>
      </c>
      <c r="B146" s="905"/>
      <c r="C146" s="906"/>
      <c r="D146" s="152" t="s">
        <v>183</v>
      </c>
      <c r="E146" s="95">
        <f>'13'!F146</f>
        <v>777013</v>
      </c>
      <c r="F146" s="148">
        <v>777052</v>
      </c>
      <c r="G146" s="112">
        <f t="shared" si="11"/>
        <v>39</v>
      </c>
      <c r="H146" s="99">
        <f>G146+'13'!H146</f>
        <v>598</v>
      </c>
      <c r="I146" s="140"/>
      <c r="J146" s="328">
        <f>H146/DAY(B2)</f>
        <v>42.714285714285715</v>
      </c>
    </row>
    <row r="147" spans="1:10" ht="27.75" customHeight="1">
      <c r="A147" s="864" t="s">
        <v>192</v>
      </c>
      <c r="B147" s="864"/>
      <c r="C147" s="864"/>
      <c r="D147" s="152" t="s">
        <v>183</v>
      </c>
      <c r="E147" s="95">
        <f>'13'!F147</f>
        <v>668520.84</v>
      </c>
      <c r="F147" s="148">
        <v>668940</v>
      </c>
      <c r="G147" s="112">
        <f t="shared" si="11"/>
        <v>419.1600000000326</v>
      </c>
      <c r="H147" s="99">
        <f>G147+'13'!H147</f>
        <v>5712</v>
      </c>
      <c r="I147" s="140"/>
      <c r="J147" s="328">
        <f>H147/DAY(B2)</f>
        <v>408</v>
      </c>
    </row>
    <row r="148" spans="1:10" ht="27.75" customHeight="1">
      <c r="A148" s="865" t="s">
        <v>193</v>
      </c>
      <c r="B148" s="866"/>
      <c r="C148" s="867"/>
      <c r="D148" s="123" t="s">
        <v>130</v>
      </c>
      <c r="E148" s="95">
        <f>'13'!F148</f>
        <v>724525.36</v>
      </c>
      <c r="F148" s="150">
        <v>724799</v>
      </c>
      <c r="G148" s="112">
        <f t="shared" si="11"/>
        <v>273.64000000001397</v>
      </c>
      <c r="H148" s="99">
        <f>G148+'13'!H148</f>
        <v>4883</v>
      </c>
      <c r="I148" s="124"/>
      <c r="J148" s="328">
        <f>H148/DAY(B2)</f>
        <v>348.78571428571428</v>
      </c>
    </row>
    <row r="149" spans="1:10" ht="27.75" customHeight="1">
      <c r="A149" s="865" t="s">
        <v>336</v>
      </c>
      <c r="B149" s="866"/>
      <c r="C149" s="867"/>
      <c r="D149" s="227" t="s">
        <v>130</v>
      </c>
      <c r="E149" s="95">
        <f>'13'!F149</f>
        <v>90126</v>
      </c>
      <c r="F149" s="227">
        <v>90686</v>
      </c>
      <c r="G149" s="112">
        <f t="shared" si="11"/>
        <v>560</v>
      </c>
      <c r="H149" s="99">
        <f>G149+'13'!H149</f>
        <v>7298</v>
      </c>
      <c r="I149" s="119"/>
      <c r="J149" s="328">
        <f>H149/DAY(B2)</f>
        <v>521.28571428571433</v>
      </c>
    </row>
    <row r="150" spans="1:10" ht="27.75" customHeight="1">
      <c r="A150" s="865" t="s">
        <v>337</v>
      </c>
      <c r="B150" s="866"/>
      <c r="C150" s="867"/>
      <c r="D150" s="117" t="s">
        <v>130</v>
      </c>
      <c r="E150" s="95">
        <f>'13'!F150</f>
        <v>33369</v>
      </c>
      <c r="F150" s="233">
        <v>33565</v>
      </c>
      <c r="G150" s="112">
        <f t="shared" si="11"/>
        <v>196</v>
      </c>
      <c r="H150" s="99">
        <f>G150+'13'!H150</f>
        <v>2978</v>
      </c>
      <c r="I150" s="119"/>
      <c r="J150" s="328">
        <f>H150/DAY(B2)</f>
        <v>212.71428571428572</v>
      </c>
    </row>
    <row r="151" spans="1:10" ht="27.75" customHeight="1">
      <c r="A151" s="865" t="s">
        <v>338</v>
      </c>
      <c r="B151" s="866"/>
      <c r="C151" s="867"/>
      <c r="D151" s="117" t="s">
        <v>130</v>
      </c>
      <c r="E151" s="95">
        <f>'13'!F151</f>
        <v>113076</v>
      </c>
      <c r="F151" s="233">
        <v>113353</v>
      </c>
      <c r="G151" s="112">
        <f t="shared" si="11"/>
        <v>277</v>
      </c>
      <c r="H151" s="99">
        <f>G151+'13'!H151</f>
        <v>4125</v>
      </c>
      <c r="I151" s="119"/>
      <c r="J151" s="328">
        <f>H151/DAY(B2)</f>
        <v>294.64285714285717</v>
      </c>
    </row>
    <row r="152" spans="1:10" ht="27.75" customHeight="1">
      <c r="A152" s="865" t="s">
        <v>339</v>
      </c>
      <c r="B152" s="866"/>
      <c r="C152" s="867"/>
      <c r="D152" s="117" t="s">
        <v>130</v>
      </c>
      <c r="E152" s="95">
        <f>'13'!F152</f>
        <v>12997.7</v>
      </c>
      <c r="F152" s="233">
        <v>13133</v>
      </c>
      <c r="G152" s="112">
        <f t="shared" si="11"/>
        <v>135.29999999999927</v>
      </c>
      <c r="H152" s="99">
        <f>G152+'13'!H152</f>
        <v>1977</v>
      </c>
      <c r="I152" s="119"/>
      <c r="J152" s="328">
        <f>H152/DAY(B2)</f>
        <v>141.21428571428572</v>
      </c>
    </row>
    <row r="153" spans="1:10" ht="27.75" customHeight="1">
      <c r="A153" s="868" t="s">
        <v>196</v>
      </c>
      <c r="B153" s="869"/>
      <c r="C153" s="365"/>
      <c r="D153" s="358"/>
      <c r="E153" s="360"/>
      <c r="F153" s="361"/>
      <c r="G153" s="362">
        <f>SUM(G138:G152)</f>
        <v>2728.550000000052</v>
      </c>
      <c r="H153" s="363"/>
      <c r="I153" s="119">
        <f>G153-(G38+G52)</f>
        <v>427.00000000006366</v>
      </c>
      <c r="J153" s="366"/>
    </row>
    <row r="154" spans="1:10" ht="27.75" customHeight="1">
      <c r="A154" s="872"/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 customHeight="1">
      <c r="A155" s="864" t="s">
        <v>345</v>
      </c>
      <c r="B155" s="864"/>
      <c r="C155" s="864"/>
      <c r="D155" s="117" t="s">
        <v>130</v>
      </c>
      <c r="E155" s="374">
        <f>'13'!F155</f>
        <v>100876.9</v>
      </c>
      <c r="F155" s="374">
        <v>101478</v>
      </c>
      <c r="G155" s="112">
        <f t="shared" ref="G155:G158" si="12">F155-E155</f>
        <v>601.10000000000582</v>
      </c>
      <c r="H155" s="99">
        <f>G155+'13'!H155</f>
        <v>8746</v>
      </c>
      <c r="I155" s="364"/>
      <c r="J155" s="328">
        <f>H155/DAY(B2)</f>
        <v>624.71428571428567</v>
      </c>
    </row>
    <row r="156" spans="1:10" ht="27.75" customHeight="1">
      <c r="A156" s="864" t="s">
        <v>347</v>
      </c>
      <c r="B156" s="864"/>
      <c r="C156" s="864"/>
      <c r="D156" s="117" t="s">
        <v>130</v>
      </c>
      <c r="E156" s="374">
        <f>'13'!F156</f>
        <v>8497.5</v>
      </c>
      <c r="F156" s="155">
        <v>8551</v>
      </c>
      <c r="G156" s="112">
        <f t="shared" si="12"/>
        <v>53.5</v>
      </c>
      <c r="H156" s="99">
        <f>G156+'13'!H156</f>
        <v>860</v>
      </c>
      <c r="I156" s="165"/>
      <c r="J156" s="328">
        <f>H156/DAY(B2)</f>
        <v>61.428571428571431</v>
      </c>
    </row>
    <row r="157" spans="1:10" ht="27.75" customHeight="1">
      <c r="A157" s="865" t="s">
        <v>361</v>
      </c>
      <c r="B157" s="866"/>
      <c r="C157" s="867"/>
      <c r="D157" s="117" t="s">
        <v>130</v>
      </c>
      <c r="E157" s="374">
        <f>'13'!F157</f>
        <v>15053.9</v>
      </c>
      <c r="F157" s="155">
        <v>15255</v>
      </c>
      <c r="G157" s="112">
        <f t="shared" si="12"/>
        <v>201.10000000000036</v>
      </c>
      <c r="H157" s="99">
        <f>G157+'13'!H157</f>
        <v>1759</v>
      </c>
      <c r="I157" s="165"/>
      <c r="J157" s="328">
        <f>H157/DAY(B2)</f>
        <v>125.64285714285714</v>
      </c>
    </row>
    <row r="158" spans="1:10" ht="27.75" customHeight="1">
      <c r="A158" s="865" t="s">
        <v>362</v>
      </c>
      <c r="B158" s="866"/>
      <c r="C158" s="867"/>
      <c r="D158" s="117" t="s">
        <v>130</v>
      </c>
      <c r="E158" s="374">
        <f>'13'!F158</f>
        <v>129.80000000000001</v>
      </c>
      <c r="F158" s="155">
        <v>130</v>
      </c>
      <c r="G158" s="112">
        <f t="shared" si="12"/>
        <v>0.19999999999998863</v>
      </c>
      <c r="H158" s="99">
        <f>G158+'13'!H158</f>
        <v>50.459999999999994</v>
      </c>
      <c r="I158" s="165"/>
      <c r="J158" s="328">
        <f>H158/DAY(B2)</f>
        <v>3.6042857142857136</v>
      </c>
    </row>
    <row r="159" spans="1:10" ht="27.75" customHeight="1">
      <c r="A159" s="950"/>
      <c r="B159" s="951"/>
      <c r="C159" s="952"/>
      <c r="D159" s="117"/>
      <c r="E159" s="165"/>
      <c r="F159" s="165"/>
      <c r="G159" s="362">
        <f>SUM(G155:G158)</f>
        <v>855.90000000000623</v>
      </c>
      <c r="H159" s="99"/>
      <c r="I159" s="165"/>
      <c r="J159" s="328"/>
    </row>
    <row r="160" spans="1:10" ht="27.75" customHeight="1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475110</v>
      </c>
      <c r="F161" s="235">
        <v>475144</v>
      </c>
      <c r="G161" s="238">
        <f t="shared" ref="G161:G165" si="13">F161-E161</f>
        <v>34</v>
      </c>
      <c r="H161" s="99">
        <f>G161+'13'!H161</f>
        <v>361</v>
      </c>
      <c r="I161" s="236"/>
      <c r="J161" s="239">
        <f>H161/DAY(B2)</f>
        <v>25.785714285714285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92043</v>
      </c>
      <c r="F162" s="235">
        <v>92068</v>
      </c>
      <c r="G162" s="238">
        <f t="shared" si="13"/>
        <v>25</v>
      </c>
      <c r="H162" s="99">
        <f>G162+'13'!H162</f>
        <v>521</v>
      </c>
      <c r="I162" s="236"/>
      <c r="J162" s="239">
        <f>H162/DAY(B2)</f>
        <v>37.214285714285715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94201.1</v>
      </c>
      <c r="F163" s="235">
        <v>94373</v>
      </c>
      <c r="G163" s="238">
        <f t="shared" si="13"/>
        <v>171.89999999999418</v>
      </c>
      <c r="H163" s="99">
        <f>G163+'13'!H163</f>
        <v>2337</v>
      </c>
      <c r="I163" s="236"/>
      <c r="J163" s="239">
        <f>H163/DAY(B2)</f>
        <v>166.92857142857142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5333.3</v>
      </c>
      <c r="F164" s="235">
        <v>5344</v>
      </c>
      <c r="G164" s="238">
        <f t="shared" si="13"/>
        <v>10.699999999999818</v>
      </c>
      <c r="H164" s="99">
        <f>G164+'13'!H164</f>
        <v>162</v>
      </c>
      <c r="I164" s="236"/>
      <c r="J164" s="239">
        <f>H164/DAY(B2)</f>
        <v>11.571428571428571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30808.09</v>
      </c>
      <c r="F165" s="235">
        <v>30816</v>
      </c>
      <c r="G165" s="238">
        <f t="shared" si="13"/>
        <v>7.9099999999998545</v>
      </c>
      <c r="H165" s="99">
        <f>G165+'13'!H165</f>
        <v>182</v>
      </c>
      <c r="I165" s="236"/>
      <c r="J165" s="239">
        <f>H165/DAY(B2)</f>
        <v>13</v>
      </c>
    </row>
    <row r="166" spans="1:10" ht="27.75" customHeight="1">
      <c r="A166" s="873"/>
      <c r="B166" s="873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873"/>
      <c r="B167" s="873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873"/>
      <c r="B168" s="873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7.75" customHeight="1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79" t="s">
        <v>209</v>
      </c>
      <c r="B173" s="880"/>
      <c r="C173" s="333"/>
      <c r="D173" s="228" t="s">
        <v>142</v>
      </c>
      <c r="E173" s="95">
        <f>'13'!F173</f>
        <v>8265</v>
      </c>
      <c r="F173" s="155">
        <v>8265</v>
      </c>
      <c r="G173" s="155">
        <f>F173-E173</f>
        <v>0</v>
      </c>
      <c r="H173" s="99">
        <f>G173+'13'!H173</f>
        <v>4</v>
      </c>
      <c r="I173" s="155"/>
      <c r="J173" s="178">
        <f>H173/DAY(B2)</f>
        <v>0.2857142857142857</v>
      </c>
    </row>
    <row r="174" spans="1:10" ht="27.75" customHeight="1">
      <c r="A174" s="879" t="s">
        <v>75</v>
      </c>
      <c r="B174" s="880"/>
      <c r="C174" s="333"/>
      <c r="D174" s="228" t="s">
        <v>142</v>
      </c>
      <c r="E174" s="95">
        <f>'13'!F174</f>
        <v>40081</v>
      </c>
      <c r="F174" s="157">
        <v>40092</v>
      </c>
      <c r="G174" s="155">
        <f t="shared" ref="G174:G175" si="14">F174-E174</f>
        <v>11</v>
      </c>
      <c r="H174" s="99">
        <f>G174+'13'!H174</f>
        <v>164</v>
      </c>
      <c r="I174" s="155"/>
      <c r="J174" s="178">
        <f>H174/DAY(B2)</f>
        <v>11.714285714285714</v>
      </c>
    </row>
    <row r="175" spans="1:10" ht="27.75" customHeight="1">
      <c r="A175" s="879" t="s">
        <v>76</v>
      </c>
      <c r="B175" s="919"/>
      <c r="C175" s="880"/>
      <c r="D175" s="228" t="s">
        <v>142</v>
      </c>
      <c r="E175" s="95">
        <f>'13'!F175</f>
        <v>23037</v>
      </c>
      <c r="F175" s="155">
        <v>23048</v>
      </c>
      <c r="G175" s="155">
        <f t="shared" si="14"/>
        <v>11</v>
      </c>
      <c r="H175" s="99">
        <f>G175+'13'!H175</f>
        <v>159</v>
      </c>
      <c r="I175" s="155"/>
      <c r="J175" s="178">
        <f>H175/DAY(B2)</f>
        <v>11.357142857142858</v>
      </c>
    </row>
    <row r="176" spans="1:10" ht="27.75" customHeight="1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22</v>
      </c>
      <c r="H176" s="99">
        <f>G176+'13'!H176</f>
        <v>327</v>
      </c>
      <c r="I176" s="155"/>
      <c r="J176" s="178">
        <f>H176/DAY(B2)</f>
        <v>23.357142857142858</v>
      </c>
    </row>
    <row r="177" spans="1:10" ht="27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79" t="s">
        <v>210</v>
      </c>
      <c r="B178" s="880"/>
      <c r="C178" s="333"/>
      <c r="D178" s="228" t="s">
        <v>142</v>
      </c>
      <c r="E178" s="95">
        <f>'13'!F178</f>
        <v>89964</v>
      </c>
      <c r="F178" s="155">
        <v>90053</v>
      </c>
      <c r="G178" s="155">
        <f>F178-E178</f>
        <v>89</v>
      </c>
      <c r="H178" s="99">
        <f>G178+'13'!H178</f>
        <v>1450</v>
      </c>
      <c r="I178" s="155"/>
      <c r="J178" s="178">
        <f>H178/DAY(B2)</f>
        <v>103.57142857142857</v>
      </c>
    </row>
    <row r="179" spans="1:10" ht="27.75" customHeight="1">
      <c r="A179" s="879" t="s">
        <v>211</v>
      </c>
      <c r="B179" s="880"/>
      <c r="C179" s="333"/>
      <c r="D179" s="228" t="s">
        <v>142</v>
      </c>
      <c r="E179" s="95">
        <f>'13'!F179</f>
        <v>35775</v>
      </c>
      <c r="F179" s="155">
        <v>35775</v>
      </c>
      <c r="G179" s="155">
        <f t="shared" ref="G179:G180" si="15">F179-E179</f>
        <v>0</v>
      </c>
      <c r="H179" s="99">
        <f>G179+'13'!H179</f>
        <v>2</v>
      </c>
      <c r="I179" s="155"/>
      <c r="J179" s="178">
        <f>H179/DAY(B2)</f>
        <v>0.14285714285714285</v>
      </c>
    </row>
    <row r="180" spans="1:10" ht="27.75" customHeight="1">
      <c r="A180" s="879" t="s">
        <v>212</v>
      </c>
      <c r="B180" s="880"/>
      <c r="C180" s="333"/>
      <c r="D180" s="228" t="s">
        <v>142</v>
      </c>
      <c r="E180" s="95">
        <f>'13'!F180</f>
        <v>6503</v>
      </c>
      <c r="F180" s="155">
        <v>6524</v>
      </c>
      <c r="G180" s="155">
        <f t="shared" si="15"/>
        <v>21</v>
      </c>
      <c r="H180" s="99">
        <f>G180+'13'!H180</f>
        <v>135</v>
      </c>
      <c r="I180" s="155"/>
      <c r="J180" s="178">
        <f>H180/DAY(B2)</f>
        <v>9.6428571428571423</v>
      </c>
    </row>
    <row r="181" spans="1:10" ht="27.75" customHeight="1">
      <c r="A181" s="881" t="s">
        <v>108</v>
      </c>
      <c r="B181" s="882"/>
      <c r="C181" s="401"/>
      <c r="D181" s="228" t="s">
        <v>142</v>
      </c>
      <c r="E181" s="95"/>
      <c r="F181" s="155" t="s">
        <v>207</v>
      </c>
      <c r="G181" s="155">
        <f>SUM(G178:G180)</f>
        <v>110</v>
      </c>
      <c r="H181" s="99">
        <f>G181+'13'!H181</f>
        <v>1587</v>
      </c>
      <c r="I181" s="155"/>
      <c r="J181" s="178">
        <f>H181/DAY(B2)</f>
        <v>113.35714285714286</v>
      </c>
    </row>
    <row r="182" spans="1:10" ht="27.75" customHeight="1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79" t="s">
        <v>214</v>
      </c>
      <c r="B183" s="880"/>
      <c r="C183" s="334"/>
      <c r="D183" s="228" t="s">
        <v>142</v>
      </c>
      <c r="E183" s="95">
        <f>'13'!F183</f>
        <v>16753</v>
      </c>
      <c r="F183" s="157">
        <v>16769</v>
      </c>
      <c r="G183" s="157">
        <f>F183-E183</f>
        <v>16</v>
      </c>
      <c r="H183" s="99">
        <f>G183+'13'!H183</f>
        <v>147</v>
      </c>
      <c r="I183" s="155"/>
      <c r="J183" s="178">
        <f>H183/DAY(B2)</f>
        <v>10.5</v>
      </c>
    </row>
    <row r="184" spans="1:10" ht="27.75" customHeight="1">
      <c r="A184" s="879" t="s">
        <v>215</v>
      </c>
      <c r="B184" s="880"/>
      <c r="C184" s="334"/>
      <c r="D184" s="228" t="s">
        <v>142</v>
      </c>
      <c r="E184" s="95">
        <f>'13'!F184</f>
        <v>11357</v>
      </c>
      <c r="F184" s="157">
        <v>11359</v>
      </c>
      <c r="G184" s="157">
        <f t="shared" ref="G184:G185" si="16">F184-E184</f>
        <v>2</v>
      </c>
      <c r="H184" s="99">
        <f>G184+'13'!H184</f>
        <v>85</v>
      </c>
      <c r="I184" s="155"/>
      <c r="J184" s="178">
        <f>H184/DAY(B2)</f>
        <v>6.0714285714285712</v>
      </c>
    </row>
    <row r="185" spans="1:10" ht="27.75" customHeight="1">
      <c r="A185" s="879" t="s">
        <v>216</v>
      </c>
      <c r="B185" s="880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18</v>
      </c>
      <c r="H186" s="99">
        <f>G186+'13'!H186</f>
        <v>232</v>
      </c>
      <c r="I186" s="157"/>
      <c r="J186" s="178">
        <f>H186/DAY(B2)</f>
        <v>16.571428571428573</v>
      </c>
    </row>
    <row r="187" spans="1:10" ht="27.75" customHeight="1">
      <c r="A187" s="870" t="s">
        <v>217</v>
      </c>
      <c r="B187" s="871"/>
      <c r="C187" s="333"/>
      <c r="D187" s="230" t="s">
        <v>142</v>
      </c>
      <c r="E187" s="95"/>
      <c r="F187" s="159"/>
      <c r="G187" s="159">
        <f>G62+G19</f>
        <v>234</v>
      </c>
      <c r="H187" s="99">
        <f>G187+'13'!H187</f>
        <v>2581</v>
      </c>
      <c r="I187" s="158"/>
      <c r="J187" s="179">
        <f>H187/DAY(B2)</f>
        <v>184.35714285714286</v>
      </c>
    </row>
    <row r="188" spans="1:10" ht="27.75" customHeight="1">
      <c r="A188" s="870" t="s">
        <v>218</v>
      </c>
      <c r="B188" s="871"/>
      <c r="C188" s="333"/>
      <c r="D188" s="230" t="s">
        <v>142</v>
      </c>
      <c r="E188" s="95"/>
      <c r="F188" s="159"/>
      <c r="G188" s="159">
        <f>G65+G66+G67+G69+G70</f>
        <v>238</v>
      </c>
      <c r="H188" s="99"/>
      <c r="I188" s="158"/>
      <c r="J188" s="405">
        <f>H188/DAY(B2)</f>
        <v>0</v>
      </c>
    </row>
    <row r="189" spans="1:10" ht="27.75" customHeight="1">
      <c r="A189" s="870" t="s">
        <v>219</v>
      </c>
      <c r="B189" s="871"/>
      <c r="C189" s="333"/>
      <c r="D189" s="230" t="s">
        <v>142</v>
      </c>
      <c r="E189" s="95"/>
      <c r="F189" s="157"/>
      <c r="G189" s="157">
        <f>G181</f>
        <v>110</v>
      </c>
      <c r="H189" s="99">
        <f>G189+'13'!H189</f>
        <v>1587</v>
      </c>
      <c r="I189" s="158"/>
      <c r="J189" s="179">
        <f>H189/DAY(B2)</f>
        <v>113.35714285714286</v>
      </c>
    </row>
    <row r="190" spans="1:10" ht="27.75" customHeight="1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3622047244094491" right="0.15748031496062992" top="0.15748031496062992" bottom="0.16" header="0.19685039370078741" footer="0.19685039370078741"/>
  <pageSetup paperSize="5" scale="2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61" zoomScale="55" zoomScaleSheetLayoutView="55" workbookViewId="0">
      <selection activeCell="F185" sqref="F18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374</v>
      </c>
      <c r="B2" s="262">
        <v>44696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214173</v>
      </c>
      <c r="F7" s="95">
        <v>238701</v>
      </c>
      <c r="G7" s="236">
        <f>F7-E7</f>
        <v>24528</v>
      </c>
      <c r="H7" s="99">
        <f>G7+'14'!H7</f>
        <v>407663</v>
      </c>
      <c r="I7" s="113">
        <f>'1'!I7</f>
        <v>12000</v>
      </c>
      <c r="J7" s="175">
        <f>H7/DAY(B2)</f>
        <v>27177.533333333333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310337</v>
      </c>
      <c r="F8" s="114">
        <v>337535</v>
      </c>
      <c r="G8" s="521">
        <f>F8-E8</f>
        <v>27198</v>
      </c>
      <c r="H8" s="99">
        <f>G8+'14'!H8</f>
        <v>418412.27999999991</v>
      </c>
      <c r="I8" s="116"/>
      <c r="J8" s="175">
        <f>H8/DAY(B2)</f>
        <v>27894.151999999995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2174110</v>
      </c>
      <c r="F9" s="470">
        <v>2193550</v>
      </c>
      <c r="G9" s="112">
        <f>F9-E9</f>
        <v>19440</v>
      </c>
      <c r="H9" s="99">
        <f>G9+'14'!H9</f>
        <v>302515</v>
      </c>
      <c r="I9" s="124">
        <f>I7-J7</f>
        <v>-15177.533333333333</v>
      </c>
      <c r="J9" s="175">
        <f>H9/DAY(B2)</f>
        <v>20167.666666666668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704134</v>
      </c>
      <c r="F10" s="353">
        <v>710726</v>
      </c>
      <c r="G10" s="112">
        <f>F10-E10</f>
        <v>6592</v>
      </c>
      <c r="H10" s="99">
        <f>G10+'14'!H10</f>
        <v>95190</v>
      </c>
      <c r="I10" s="282"/>
      <c r="J10" s="175">
        <f>H10/DAY(B2)</f>
        <v>6346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26032</v>
      </c>
      <c r="H13" s="99">
        <f>G13+'14'!H13</f>
        <v>395188.75</v>
      </c>
      <c r="I13" s="120">
        <f>G7-G13</f>
        <v>-1504</v>
      </c>
      <c r="J13" s="175">
        <f>H13/DAY(B2)</f>
        <v>26345.916666666668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>
        <f>'14'!F15</f>
        <v>2018439</v>
      </c>
      <c r="F15" s="470">
        <v>2019484</v>
      </c>
      <c r="G15" s="112">
        <f>(F15-E15)</f>
        <v>1045</v>
      </c>
      <c r="H15" s="99">
        <f>G15+'14'!H15</f>
        <v>15757</v>
      </c>
      <c r="I15" s="113">
        <f>'1'!I15</f>
        <v>800</v>
      </c>
      <c r="J15" s="175">
        <f>H15/DAY(B2)</f>
        <v>1050.4666666666667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-250.4666666666667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'14'!F18</f>
        <v>43</v>
      </c>
      <c r="F18" s="122">
        <v>24</v>
      </c>
      <c r="G18" s="119">
        <f>F18*10</f>
        <v>240</v>
      </c>
      <c r="H18" s="99">
        <f>G18+'14'!H18</f>
        <v>3240</v>
      </c>
      <c r="I18" s="113">
        <f>'1'!I18</f>
        <v>65</v>
      </c>
      <c r="J18" s="175">
        <f>H18/DAY(B2)</f>
        <v>216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'14'!F19</f>
        <v>159219</v>
      </c>
      <c r="F19" s="122">
        <v>159274</v>
      </c>
      <c r="G19" s="112">
        <f t="shared" ref="G19" si="1">F19-E19</f>
        <v>55</v>
      </c>
      <c r="H19" s="99">
        <f>G19+'14'!H19</f>
        <v>820</v>
      </c>
      <c r="I19" s="335"/>
      <c r="J19" s="175">
        <f>H19/DAY(B2)</f>
        <v>54.666666666666664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G20+'14'!H20</f>
        <v>4060</v>
      </c>
      <c r="I20" s="336">
        <f>I18-J20</f>
        <v>-205.66666666666669</v>
      </c>
      <c r="J20" s="175">
        <f>H20/DAY(B2)</f>
        <v>270.66666666666669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27198</v>
      </c>
      <c r="F27" s="136">
        <v>9</v>
      </c>
      <c r="G27" s="137">
        <f>E27*F27</f>
        <v>244782</v>
      </c>
      <c r="H27" s="99">
        <f>G27+'14'!H27</f>
        <v>3765710.5200000005</v>
      </c>
      <c r="I27" s="138"/>
      <c r="J27" s="175">
        <f>H27/DAY(B2)</f>
        <v>251047.36800000005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1045</v>
      </c>
      <c r="F28" s="136">
        <v>70</v>
      </c>
      <c r="G28" s="137">
        <f>E28*F28</f>
        <v>73150</v>
      </c>
      <c r="H28" s="99">
        <f>G28+'14'!H28</f>
        <v>1047296.1999999983</v>
      </c>
      <c r="I28" s="140"/>
      <c r="J28" s="175">
        <f>H28/DAY(B2)</f>
        <v>69819.746666666557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G30+'14'!H30</f>
        <v>123005</v>
      </c>
      <c r="I30" s="140"/>
      <c r="J30" s="175">
        <f>H30/DAY(B2)</f>
        <v>8200.3333333333339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G31+'14'!H31</f>
        <v>259200</v>
      </c>
      <c r="I31" s="140"/>
      <c r="J31" s="175">
        <f>H31/DAY(B2)</f>
        <v>17280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345437</v>
      </c>
      <c r="H32" s="99">
        <f>G32+'14'!H32</f>
        <v>5195211.7199999979</v>
      </c>
      <c r="I32" s="144"/>
      <c r="J32" s="175">
        <f>H32/DAY(B2)</f>
        <v>346347.44799999986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232422</v>
      </c>
      <c r="F35" s="145">
        <v>234613</v>
      </c>
      <c r="G35" s="112">
        <f t="shared" ref="G35:G46" si="3">F35-E35</f>
        <v>2191</v>
      </c>
      <c r="H35" s="99">
        <f>G35+'14'!H35</f>
        <v>31728</v>
      </c>
      <c r="I35" s="95"/>
      <c r="J35" s="175">
        <f>H35/DAY(B2)</f>
        <v>2115.1999999999998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145462</v>
      </c>
      <c r="F36" s="145">
        <v>146160</v>
      </c>
      <c r="G36" s="112">
        <f t="shared" si="3"/>
        <v>698</v>
      </c>
      <c r="H36" s="99">
        <f>G36+'14'!H36</f>
        <v>14581</v>
      </c>
      <c r="I36" s="95"/>
      <c r="J36" s="175">
        <f>H36/DAY(B2)</f>
        <v>972.06666666666672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206304</v>
      </c>
      <c r="F37" s="145">
        <v>207975</v>
      </c>
      <c r="G37" s="112">
        <f t="shared" si="3"/>
        <v>1671</v>
      </c>
      <c r="H37" s="99">
        <f>G37+'14'!H37</f>
        <v>24850</v>
      </c>
      <c r="I37" s="95"/>
      <c r="J37" s="175">
        <f>H37/DAY(B2)</f>
        <v>1656.6666666666667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275777</v>
      </c>
      <c r="F38" s="108">
        <v>278017</v>
      </c>
      <c r="G38" s="112">
        <f t="shared" si="3"/>
        <v>2240</v>
      </c>
      <c r="H38" s="99">
        <f>G38+'14'!H38</f>
        <v>34565</v>
      </c>
      <c r="I38" s="95"/>
      <c r="J38" s="175">
        <f>H38/DAY(B2)</f>
        <v>2304.3333333333335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380496</v>
      </c>
      <c r="F39" s="145">
        <v>383452</v>
      </c>
      <c r="G39" s="112">
        <f t="shared" si="3"/>
        <v>2956</v>
      </c>
      <c r="H39" s="99">
        <f>G39+'14'!H39</f>
        <v>43464</v>
      </c>
      <c r="I39" s="95"/>
      <c r="J39" s="175">
        <f>H39/DAY(B2)</f>
        <v>2897.6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70454</v>
      </c>
      <c r="F40" s="145">
        <v>70498</v>
      </c>
      <c r="G40" s="112">
        <f t="shared" si="3"/>
        <v>44</v>
      </c>
      <c r="H40" s="99">
        <f>G40+'14'!H40</f>
        <v>5621</v>
      </c>
      <c r="I40" s="95"/>
      <c r="J40" s="175">
        <f>H40/DAY(B2)</f>
        <v>374.73333333333335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68834.899999999994</v>
      </c>
      <c r="F41" s="145">
        <v>68834.899999999994</v>
      </c>
      <c r="G41" s="112">
        <f t="shared" si="3"/>
        <v>0</v>
      </c>
      <c r="H41" s="99">
        <f>G41+'14'!H41</f>
        <v>41141.899999999994</v>
      </c>
      <c r="I41" s="95"/>
      <c r="J41" s="175">
        <f>H41/DAY(B2)</f>
        <v>2742.7933333333331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470839</v>
      </c>
      <c r="F42" s="145">
        <v>476383</v>
      </c>
      <c r="G42" s="112">
        <f t="shared" si="3"/>
        <v>5544</v>
      </c>
      <c r="H42" s="99">
        <f>G42+'14'!H42</f>
        <v>50582</v>
      </c>
      <c r="I42" s="95"/>
      <c r="J42" s="175">
        <f>H42/DAY(B2)</f>
        <v>3372.1333333333332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398571</v>
      </c>
      <c r="F43" s="145">
        <v>401605</v>
      </c>
      <c r="G43" s="112">
        <f t="shared" si="3"/>
        <v>3034</v>
      </c>
      <c r="H43" s="99">
        <f>G43+'14'!H43</f>
        <v>44086</v>
      </c>
      <c r="I43" s="95"/>
      <c r="J43" s="175">
        <f>H43/DAY(B2)</f>
        <v>2939.0666666666666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18378</v>
      </c>
      <c r="H47" s="99">
        <f>G47+'14'!H47</f>
        <v>290618.90000000002</v>
      </c>
      <c r="I47" s="95"/>
      <c r="J47" s="175">
        <f>H47/DAY(B2)</f>
        <v>19374.593333333334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192995</v>
      </c>
      <c r="F49" s="145">
        <v>195101</v>
      </c>
      <c r="G49" s="112">
        <f t="shared" ref="G49:G58" si="4">F49-E49</f>
        <v>2106</v>
      </c>
      <c r="H49" s="99">
        <f>G49+'14'!H49</f>
        <v>29931</v>
      </c>
      <c r="I49" s="95"/>
      <c r="J49" s="175">
        <f>H49/DAY(B2)</f>
        <v>1995.4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190903</v>
      </c>
      <c r="F50" s="145">
        <v>191977</v>
      </c>
      <c r="G50" s="112">
        <f t="shared" si="4"/>
        <v>1074</v>
      </c>
      <c r="H50" s="99">
        <f>G50+'14'!H50</f>
        <v>19370</v>
      </c>
      <c r="I50" s="95"/>
      <c r="J50" s="175">
        <f>H50/DAY(B2)</f>
        <v>1291.3333333333333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0.31999999999999318</v>
      </c>
      <c r="I51" s="95"/>
      <c r="J51" s="175">
        <f>H51/DAY(B2)</f>
        <v>2.1333333333332878E-2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9.76</v>
      </c>
      <c r="G52" s="112">
        <f t="shared" si="4"/>
        <v>-0.24000000000000021</v>
      </c>
      <c r="H52" s="99">
        <f>G52+'14'!H52</f>
        <v>-0.24000000000000021</v>
      </c>
      <c r="I52" s="95"/>
      <c r="J52" s="175">
        <f>H52/DAY(B2)</f>
        <v>-1.6000000000000014E-2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56678</v>
      </c>
      <c r="F54" s="145">
        <v>57109</v>
      </c>
      <c r="G54" s="112">
        <f t="shared" si="4"/>
        <v>431</v>
      </c>
      <c r="H54" s="99">
        <f>G54+'14'!H54</f>
        <v>7026</v>
      </c>
      <c r="I54" s="95"/>
      <c r="J54" s="175">
        <f>H54/DAY(B2)</f>
        <v>468.4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175151</v>
      </c>
      <c r="F55" s="145">
        <v>177505</v>
      </c>
      <c r="G55" s="112">
        <f t="shared" si="4"/>
        <v>2354</v>
      </c>
      <c r="H55" s="99">
        <f>G55+'14'!H55</f>
        <v>32538</v>
      </c>
      <c r="I55" s="95"/>
      <c r="J55" s="175">
        <f>H55/DAY(B2)</f>
        <v>2169.1999999999998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107245.6</v>
      </c>
      <c r="F56" s="145">
        <v>107245.6</v>
      </c>
      <c r="G56" s="112">
        <f t="shared" si="4"/>
        <v>0</v>
      </c>
      <c r="H56" s="99">
        <f>G56+'14'!H56</f>
        <v>-0.39999999999417923</v>
      </c>
      <c r="I56" s="95"/>
      <c r="J56" s="175">
        <f>H56/DAY(B2)</f>
        <v>-2.6666666666278614E-2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28417</v>
      </c>
      <c r="F58" s="145">
        <v>28700</v>
      </c>
      <c r="G58" s="112">
        <f t="shared" si="4"/>
        <v>283</v>
      </c>
      <c r="H58" s="99">
        <f>G58+'14'!H58</f>
        <v>3207</v>
      </c>
      <c r="I58" s="95"/>
      <c r="J58" s="175">
        <f>H58/DAY(B2)</f>
        <v>213.8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6247.76</v>
      </c>
      <c r="H59" s="99">
        <f>G59+'14'!H59</f>
        <v>92071.680000000008</v>
      </c>
      <c r="I59" s="95">
        <f>G7-G60</f>
        <v>-97.760000000002037</v>
      </c>
      <c r="J59" s="175">
        <f>H59/DAY(B2)</f>
        <v>6138.1120000000001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24625.760000000002</v>
      </c>
      <c r="H60" s="99">
        <f>G60+'14'!H60</f>
        <v>382690.58</v>
      </c>
      <c r="I60" s="95">
        <f>G13-G60</f>
        <v>1406.239999999998</v>
      </c>
      <c r="J60" s="175">
        <f>H60/DAY(B2)</f>
        <v>25512.705333333335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'14'!F62</f>
        <v>285825</v>
      </c>
      <c r="F62" s="122">
        <v>286000</v>
      </c>
      <c r="G62" s="112">
        <f t="shared" ref="G62:G63" si="5">F62-E62</f>
        <v>175</v>
      </c>
      <c r="H62" s="99">
        <f>G62+'14'!H62</f>
        <v>1991</v>
      </c>
      <c r="I62" s="118"/>
      <c r="J62" s="175">
        <f>H62/DAY(B2)</f>
        <v>132.73333333333332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'14'!F63</f>
        <v>229437</v>
      </c>
      <c r="F63" s="122">
        <v>229516</v>
      </c>
      <c r="G63" s="112">
        <f t="shared" si="5"/>
        <v>79</v>
      </c>
      <c r="H63" s="99">
        <f>G63+'14'!H63</f>
        <v>2037</v>
      </c>
      <c r="I63" s="118"/>
      <c r="J63" s="175">
        <f>H63/DAY(B2)</f>
        <v>135.80000000000001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'14'!F64</f>
        <v>0</v>
      </c>
      <c r="F64" s="122"/>
      <c r="G64" s="112">
        <f>G62+G63</f>
        <v>254</v>
      </c>
      <c r="H64" s="99">
        <f>G64+'14'!H64</f>
        <v>4028</v>
      </c>
      <c r="I64" s="118"/>
      <c r="J64" s="175">
        <f>H64/DAY(B2)</f>
        <v>268.53333333333336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'14'!F65</f>
        <v>446053</v>
      </c>
      <c r="F65" s="122">
        <v>446143</v>
      </c>
      <c r="G65" s="112">
        <f t="shared" ref="G65:G70" si="6">F65-E65</f>
        <v>90</v>
      </c>
      <c r="H65" s="99">
        <f>G65+'14'!H65</f>
        <v>1551</v>
      </c>
      <c r="I65" s="118"/>
      <c r="J65" s="175">
        <f>H65/DAY(B2)</f>
        <v>103.4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109894</v>
      </c>
      <c r="F66" s="122">
        <v>109932</v>
      </c>
      <c r="G66" s="112">
        <f t="shared" si="6"/>
        <v>38</v>
      </c>
      <c r="H66" s="99">
        <f>G66+'14'!H66</f>
        <v>351</v>
      </c>
      <c r="I66" s="118"/>
      <c r="J66" s="175">
        <f>H66/DAY(B2)</f>
        <v>23.4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111988</v>
      </c>
      <c r="F67" s="122">
        <v>112064</v>
      </c>
      <c r="G67" s="112">
        <f t="shared" si="6"/>
        <v>76</v>
      </c>
      <c r="H67" s="99">
        <f>G67+'14'!H67</f>
        <v>1164</v>
      </c>
      <c r="I67" s="118"/>
      <c r="J67" s="175">
        <f>H67/DAY(B2)</f>
        <v>77.599999999999994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162077</v>
      </c>
      <c r="F68" s="122">
        <v>162104</v>
      </c>
      <c r="G68" s="112">
        <f t="shared" si="6"/>
        <v>27</v>
      </c>
      <c r="H68" s="99">
        <f>G68+'14'!H68</f>
        <v>320</v>
      </c>
      <c r="I68" s="118"/>
      <c r="J68" s="175">
        <f>H68/DAY(B2)</f>
        <v>21.333333333333332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16769</v>
      </c>
      <c r="F69" s="122">
        <v>16778</v>
      </c>
      <c r="G69" s="112">
        <f t="shared" si="6"/>
        <v>9</v>
      </c>
      <c r="H69" s="99">
        <f>G69+'14'!H69</f>
        <v>5180</v>
      </c>
      <c r="I69" s="118"/>
      <c r="J69" s="175">
        <f>H69/DAY(B2)</f>
        <v>345.33333333333331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9106</v>
      </c>
      <c r="F70" s="122">
        <v>9111</v>
      </c>
      <c r="G70" s="112">
        <f t="shared" si="6"/>
        <v>5</v>
      </c>
      <c r="H70" s="99">
        <f>G70+'14'!H70</f>
        <v>110</v>
      </c>
      <c r="I70" s="118"/>
      <c r="J70" s="175">
        <f>H70/DAY(B2)</f>
        <v>7.333333333333333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245</v>
      </c>
      <c r="H71" s="99">
        <f>G71+'14'!H71</f>
        <v>8676</v>
      </c>
      <c r="I71" s="154"/>
      <c r="J71" s="175">
        <f>H71/DAY(B2)</f>
        <v>578.4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'14'!F74</f>
        <v>933164</v>
      </c>
      <c r="F74" s="123">
        <v>933505</v>
      </c>
      <c r="G74" s="112">
        <f t="shared" ref="G74:G78" si="7">F74-E74</f>
        <v>341</v>
      </c>
      <c r="H74" s="99">
        <f>G74+'14'!H74</f>
        <v>4728</v>
      </c>
      <c r="I74" s="154"/>
      <c r="J74" s="175">
        <f>H74/DAY(B2)</f>
        <v>315.2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'14'!F76</f>
        <v>181780</v>
      </c>
      <c r="F76" s="123">
        <v>181886</v>
      </c>
      <c r="G76" s="112">
        <f t="shared" si="7"/>
        <v>106</v>
      </c>
      <c r="H76" s="99">
        <f>G76+'14'!H76</f>
        <v>1732</v>
      </c>
      <c r="I76" s="154"/>
      <c r="J76" s="175">
        <f>H76/DAY(B2)</f>
        <v>115.46666666666667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'14'!F77</f>
        <v>46473</v>
      </c>
      <c r="F77" s="123">
        <v>46520</v>
      </c>
      <c r="G77" s="112">
        <f t="shared" si="7"/>
        <v>47</v>
      </c>
      <c r="H77" s="99">
        <f>G77+'14'!H77</f>
        <v>846</v>
      </c>
      <c r="I77" s="154"/>
      <c r="J77" s="175">
        <f>H77/DAY(B2)</f>
        <v>56.4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'14'!F78</f>
        <v>9564</v>
      </c>
      <c r="F78" s="410">
        <v>9564</v>
      </c>
      <c r="G78" s="112">
        <f t="shared" si="7"/>
        <v>0</v>
      </c>
      <c r="H78" s="99">
        <f>G78+'14'!H78</f>
        <v>0.6000000000003638</v>
      </c>
      <c r="I78" s="118"/>
      <c r="J78" s="175">
        <f>H78/DAY(B2)</f>
        <v>4.0000000000024252E-2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'14'!F79</f>
        <v>0</v>
      </c>
      <c r="F79" s="123"/>
      <c r="G79" s="112">
        <f>G15-SUM(G74:G78)</f>
        <v>551</v>
      </c>
      <c r="H79" s="99">
        <f>G79+'14'!H79</f>
        <v>8450.4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>
        <f>SUM(G74:G79)</f>
        <v>1045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41969</v>
      </c>
      <c r="F84" s="164">
        <v>41969</v>
      </c>
      <c r="G84" s="112">
        <f t="shared" si="8"/>
        <v>0</v>
      </c>
      <c r="H84" s="99">
        <f>G84+'14'!H84</f>
        <v>177</v>
      </c>
      <c r="I84" s="575"/>
      <c r="J84" s="175">
        <f>H84/DAY(B2)</f>
        <v>11.8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3970</v>
      </c>
      <c r="F85" s="164">
        <v>3994</v>
      </c>
      <c r="G85" s="112">
        <f t="shared" si="8"/>
        <v>24</v>
      </c>
      <c r="H85" s="99">
        <f>G85+'14'!H85</f>
        <v>217</v>
      </c>
      <c r="I85" s="575"/>
      <c r="J85" s="175">
        <f>H85/DAY(B2)</f>
        <v>14.466666666666667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44139</v>
      </c>
      <c r="F86" s="164">
        <v>44155</v>
      </c>
      <c r="G86" s="112">
        <f t="shared" si="8"/>
        <v>16</v>
      </c>
      <c r="H86" s="99">
        <f>G86+'14'!H86</f>
        <v>216</v>
      </c>
      <c r="I86" s="575"/>
      <c r="J86" s="175">
        <f>H86/DAY(B2)</f>
        <v>14.4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35329</v>
      </c>
      <c r="F87" s="164">
        <v>35329</v>
      </c>
      <c r="G87" s="112">
        <f t="shared" si="8"/>
        <v>0</v>
      </c>
      <c r="H87" s="99">
        <f>G87+'14'!H87</f>
        <v>0</v>
      </c>
      <c r="I87" s="575">
        <f>G84+G85+G86+G87</f>
        <v>40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24217</v>
      </c>
      <c r="F88" s="164">
        <v>24218</v>
      </c>
      <c r="G88" s="112">
        <f t="shared" si="8"/>
        <v>1</v>
      </c>
      <c r="H88" s="99">
        <f>G88+'14'!H88</f>
        <v>29.880000000001019</v>
      </c>
      <c r="I88" s="575"/>
      <c r="J88" s="175">
        <f>H88/DAY(B2)</f>
        <v>1.9920000000000679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26819</v>
      </c>
      <c r="F89" s="164">
        <v>26828</v>
      </c>
      <c r="G89" s="112">
        <f t="shared" si="8"/>
        <v>9</v>
      </c>
      <c r="H89" s="99">
        <f>G89+'14'!H89</f>
        <v>118.77999999999884</v>
      </c>
      <c r="I89" s="575">
        <f>G88+G89</f>
        <v>10</v>
      </c>
      <c r="J89" s="175">
        <f>H89/DAY(B2)</f>
        <v>7.9186666666665895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71975</v>
      </c>
      <c r="F90" s="164">
        <v>71984</v>
      </c>
      <c r="G90" s="112">
        <f t="shared" si="8"/>
        <v>9</v>
      </c>
      <c r="H90" s="99">
        <f>G90+'14'!H90</f>
        <v>120.47000000000116</v>
      </c>
      <c r="I90" s="575">
        <f>G90</f>
        <v>9</v>
      </c>
      <c r="J90" s="175">
        <f>H90/DAY(B2)</f>
        <v>8.0313333333334107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4122</v>
      </c>
      <c r="F91" s="122">
        <v>4122</v>
      </c>
      <c r="G91" s="112">
        <f t="shared" si="8"/>
        <v>0</v>
      </c>
      <c r="H91" s="99">
        <f>G91+'14'!H91</f>
        <v>62.760000000000218</v>
      </c>
      <c r="I91" s="594"/>
      <c r="J91" s="175">
        <f>H91/DAY(B2)</f>
        <v>4.1840000000000144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6028</v>
      </c>
      <c r="F92" s="122">
        <v>6040</v>
      </c>
      <c r="G92" s="112">
        <f t="shared" si="8"/>
        <v>12</v>
      </c>
      <c r="H92" s="99">
        <f>G92+'14'!H92</f>
        <v>105</v>
      </c>
      <c r="I92" s="600">
        <f>G91+G92</f>
        <v>12</v>
      </c>
      <c r="J92" s="175">
        <f>H92/DAY(B2)</f>
        <v>7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7331</v>
      </c>
      <c r="H94" s="99">
        <f>G94+'14'!H94</f>
        <v>105745</v>
      </c>
      <c r="I94" s="118"/>
      <c r="J94" s="175">
        <f>H94/DAY(B2)</f>
        <v>7049.666666666667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0.29888290932811479</v>
      </c>
      <c r="H95" s="99">
        <f>G95+'14'!H95</f>
        <v>3.8940866290856415</v>
      </c>
      <c r="I95" s="167"/>
      <c r="J95" s="175">
        <f>H95/DAY(B2)</f>
        <v>0.2596057752723761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7898</v>
      </c>
      <c r="H96" s="99">
        <f>G96+'14'!H96</f>
        <v>124261.5</v>
      </c>
      <c r="I96" s="118"/>
      <c r="J96" s="175">
        <f>H96/DAY(B2)</f>
        <v>8284.1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0.32199934768427918</v>
      </c>
      <c r="H97" s="99">
        <f>G97+'14'!H97</f>
        <v>4.5713717007518531</v>
      </c>
      <c r="I97" s="167"/>
      <c r="J97" s="175">
        <f>H97/DAY(B2)</f>
        <v>0.30475811338345687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2956</v>
      </c>
      <c r="H98" s="99">
        <f>G98+'14'!H98</f>
        <v>43464</v>
      </c>
      <c r="I98" s="168"/>
      <c r="J98" s="175">
        <f>H98/DAY(B2)</f>
        <v>2897.6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0.120515329419439</v>
      </c>
      <c r="H99" s="99">
        <f>G99+'14'!H99</f>
        <v>1.6023268200535328</v>
      </c>
      <c r="I99" s="168"/>
      <c r="J99" s="175">
        <f>H99/DAY(B2)</f>
        <v>0.10682178800356885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2239.7600000000002</v>
      </c>
      <c r="H100" s="99">
        <f>G100+'14'!H100</f>
        <v>34564.76</v>
      </c>
      <c r="I100" s="118"/>
      <c r="J100" s="175">
        <f>H100/DAY(B2)</f>
        <v>2304.3173333333334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9.1314416177429886E-2</v>
      </c>
      <c r="H101" s="99">
        <f>G101+'14'!H101</f>
        <v>1.2742573975522669</v>
      </c>
      <c r="I101" s="168"/>
      <c r="J101" s="175">
        <f>H101/DAY(B2)</f>
        <v>8.4950493170151117E-2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1772</v>
      </c>
      <c r="H102" s="99">
        <f>G102+'14'!H102</f>
        <v>33951</v>
      </c>
      <c r="I102" s="168"/>
      <c r="J102" s="175">
        <f>H102/DAY(B2)</f>
        <v>2263.4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7.2243966079582514E-2</v>
      </c>
      <c r="H103" s="99">
        <f>G103+'14'!H103</f>
        <v>1.2460480012527702</v>
      </c>
      <c r="I103" s="118"/>
      <c r="J103" s="175">
        <f>H103/DAY(B2)</f>
        <v>8.306986675018467E-2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1671</v>
      </c>
      <c r="H104" s="99">
        <f>G104+'14'!H104</f>
        <v>24850.32</v>
      </c>
      <c r="I104" s="118"/>
      <c r="J104" s="175">
        <f>H104/DAY(B2)</f>
        <v>1656.6879999999999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6.8126223091976523E-2</v>
      </c>
      <c r="H105" s="99">
        <f>G105+'14'!H105</f>
        <v>0.915692677471174</v>
      </c>
      <c r="I105" s="187"/>
      <c r="J105" s="188">
        <f>H105/DAY(B2)</f>
        <v>6.1046178498078266E-2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'14'!F112</f>
        <v>1349</v>
      </c>
      <c r="F112" s="237">
        <v>1416</v>
      </c>
      <c r="G112" s="112">
        <f t="shared" ref="G112:G123" si="9">F112-E112</f>
        <v>67</v>
      </c>
      <c r="H112" s="99">
        <f>G112+'14'!H112</f>
        <v>1173</v>
      </c>
      <c r="I112" s="165"/>
      <c r="J112" s="328">
        <f>H112/DAY(B2)</f>
        <v>78.2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'14'!F113</f>
        <v>2949</v>
      </c>
      <c r="F113" s="237">
        <v>3150</v>
      </c>
      <c r="G113" s="112">
        <f t="shared" si="9"/>
        <v>201</v>
      </c>
      <c r="H113" s="99">
        <f>G113+'14'!H113</f>
        <v>2668</v>
      </c>
      <c r="I113" s="165"/>
      <c r="J113" s="328">
        <f>H113/DAY(B2)</f>
        <v>177.86666666666667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'14'!F114</f>
        <v>3721</v>
      </c>
      <c r="F114" s="237">
        <v>3939</v>
      </c>
      <c r="G114" s="112">
        <f t="shared" si="9"/>
        <v>218</v>
      </c>
      <c r="H114" s="99">
        <f>G114+'14'!H114</f>
        <v>3275</v>
      </c>
      <c r="I114" s="165"/>
      <c r="J114" s="328">
        <f>H114/DAY(B2)</f>
        <v>218.33333333333334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'14'!F115</f>
        <v>2699</v>
      </c>
      <c r="F115" s="237">
        <v>2866</v>
      </c>
      <c r="G115" s="112">
        <f t="shared" si="9"/>
        <v>167</v>
      </c>
      <c r="H115" s="99">
        <f>G115+'14'!H115</f>
        <v>2355</v>
      </c>
      <c r="I115" s="165"/>
      <c r="J115" s="328">
        <f>H115/DAY(B2)</f>
        <v>157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'14'!F116</f>
        <v>39987</v>
      </c>
      <c r="F116" s="417">
        <v>40320</v>
      </c>
      <c r="G116" s="112">
        <f t="shared" si="9"/>
        <v>333</v>
      </c>
      <c r="H116" s="99">
        <f>G116+'14'!H116</f>
        <v>5654</v>
      </c>
      <c r="I116" s="165"/>
      <c r="J116" s="328">
        <f>H116/DAY(B2)</f>
        <v>376.93333333333334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'14'!F117</f>
        <v>21672</v>
      </c>
      <c r="F117" s="237">
        <v>21896</v>
      </c>
      <c r="G117" s="112">
        <f t="shared" si="9"/>
        <v>224</v>
      </c>
      <c r="H117" s="99">
        <f>G117+'14'!H117</f>
        <v>2960</v>
      </c>
      <c r="I117" s="165"/>
      <c r="J117" s="328">
        <f>H117/DAY(B2)</f>
        <v>197.33333333333334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'14'!F118</f>
        <v>16764</v>
      </c>
      <c r="F118" s="237">
        <v>17374</v>
      </c>
      <c r="G118" s="112">
        <f t="shared" si="9"/>
        <v>610</v>
      </c>
      <c r="H118" s="99">
        <f>G118+'14'!H118</f>
        <v>8311</v>
      </c>
      <c r="I118" s="165"/>
      <c r="J118" s="328">
        <f>H118/DAY(B2)</f>
        <v>554.06666666666672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'14'!F119</f>
        <v>11677</v>
      </c>
      <c r="F119" s="237">
        <v>12107</v>
      </c>
      <c r="G119" s="112">
        <f t="shared" si="9"/>
        <v>430</v>
      </c>
      <c r="H119" s="99">
        <f>G119+'14'!H119</f>
        <v>6204</v>
      </c>
      <c r="I119" s="165"/>
      <c r="J119" s="328">
        <f>H119/DAY(B2)</f>
        <v>413.6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'14'!F120</f>
        <v>12883</v>
      </c>
      <c r="F120" s="237">
        <v>13330</v>
      </c>
      <c r="G120" s="112">
        <f t="shared" si="9"/>
        <v>447</v>
      </c>
      <c r="H120" s="99">
        <f>G120+'14'!H120</f>
        <v>6195</v>
      </c>
      <c r="I120" s="165"/>
      <c r="J120" s="328">
        <f>H120/DAY(B2)</f>
        <v>413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'14'!F121</f>
        <v>17982</v>
      </c>
      <c r="F121" s="237">
        <v>18461</v>
      </c>
      <c r="G121" s="112">
        <f t="shared" si="9"/>
        <v>479</v>
      </c>
      <c r="H121" s="99">
        <f>G121+'14'!H121</f>
        <v>6734</v>
      </c>
      <c r="I121" s="165"/>
      <c r="J121" s="328">
        <f>H121/DAY(B2)</f>
        <v>448.93333333333334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'14'!F122</f>
        <v>6429</v>
      </c>
      <c r="F122" s="237">
        <v>6611</v>
      </c>
      <c r="G122" s="112">
        <f t="shared" si="9"/>
        <v>182</v>
      </c>
      <c r="H122" s="99">
        <f>G122+'14'!H122</f>
        <v>3047</v>
      </c>
      <c r="I122" s="165"/>
      <c r="J122" s="328">
        <f>H122/DAY(B2)</f>
        <v>203.13333333333333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'14'!F123</f>
        <v>5236</v>
      </c>
      <c r="F123" s="237">
        <v>5571</v>
      </c>
      <c r="G123" s="112">
        <f t="shared" si="9"/>
        <v>335</v>
      </c>
      <c r="H123" s="99">
        <f>G123+'14'!H123</f>
        <v>4604</v>
      </c>
      <c r="I123" s="165"/>
      <c r="J123" s="328">
        <f>H123/DAY(B2)</f>
        <v>306.93333333333334</v>
      </c>
    </row>
    <row r="124" spans="1:18" ht="29.2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3693</v>
      </c>
      <c r="H125" s="156"/>
      <c r="I125" s="327">
        <f>G125-(G39+G53)</f>
        <v>737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'14'!F128</f>
        <v>87321</v>
      </c>
      <c r="F128" s="165">
        <v>87761</v>
      </c>
      <c r="G128" s="112">
        <f t="shared" ref="G128:G134" si="10">F128-E128</f>
        <v>440</v>
      </c>
      <c r="H128" s="99">
        <f>G128+'14'!H128</f>
        <v>6346</v>
      </c>
      <c r="I128" s="165"/>
      <c r="J128" s="328">
        <f>H128/DAY(B2)</f>
        <v>423.06666666666666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55236</v>
      </c>
      <c r="F129" s="165">
        <v>55570</v>
      </c>
      <c r="G129" s="112">
        <f t="shared" si="10"/>
        <v>334</v>
      </c>
      <c r="H129" s="99">
        <f>G129+'14'!H129</f>
        <v>4498</v>
      </c>
      <c r="I129" s="165"/>
      <c r="J129" s="328">
        <f>H129/DAY(B2)</f>
        <v>299.86666666666667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106807</v>
      </c>
      <c r="F130" s="165">
        <v>107448</v>
      </c>
      <c r="G130" s="112">
        <f t="shared" si="10"/>
        <v>641</v>
      </c>
      <c r="H130" s="99">
        <f>G130+'14'!H130</f>
        <v>10802</v>
      </c>
      <c r="I130" s="165"/>
      <c r="J130" s="328">
        <f>H130/DAY(B2)</f>
        <v>720.13333333333333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'14'!F131</f>
        <v>33007</v>
      </c>
      <c r="F131" s="158">
        <v>33191</v>
      </c>
      <c r="G131" s="112">
        <f t="shared" si="10"/>
        <v>184</v>
      </c>
      <c r="H131" s="99">
        <f>G131+'14'!H131</f>
        <v>2756</v>
      </c>
      <c r="I131" s="165"/>
      <c r="J131" s="328">
        <f>H131/DAY(B2)</f>
        <v>183.73333333333332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'14'!F132</f>
        <v>96079</v>
      </c>
      <c r="F132" s="165">
        <v>96544</v>
      </c>
      <c r="G132" s="112">
        <f t="shared" si="10"/>
        <v>465</v>
      </c>
      <c r="H132" s="99">
        <f>G132+'14'!H132</f>
        <v>7607</v>
      </c>
      <c r="I132" s="165"/>
      <c r="J132" s="328">
        <f>H132/DAY(B2)</f>
        <v>507.13333333333333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'14'!F133</f>
        <v>186078</v>
      </c>
      <c r="F133" s="165">
        <v>187107</v>
      </c>
      <c r="G133" s="112">
        <f t="shared" si="10"/>
        <v>1029</v>
      </c>
      <c r="H133" s="99">
        <f>G133+'14'!H133</f>
        <v>14661</v>
      </c>
      <c r="I133" s="165"/>
      <c r="J133" s="328">
        <f>H133/DAY(B2)</f>
        <v>977.4</v>
      </c>
    </row>
    <row r="134" spans="1:15" s="409" customFormat="1" ht="25.5">
      <c r="A134" s="960" t="s">
        <v>340</v>
      </c>
      <c r="B134" s="961"/>
      <c r="C134" s="962"/>
      <c r="D134" s="233" t="s">
        <v>183</v>
      </c>
      <c r="E134" s="406">
        <f>'14'!F134</f>
        <v>31426</v>
      </c>
      <c r="F134" s="158">
        <v>31667</v>
      </c>
      <c r="G134" s="236">
        <f t="shared" si="10"/>
        <v>241</v>
      </c>
      <c r="H134" s="238">
        <f>G134+'14'!H134</f>
        <v>3574</v>
      </c>
      <c r="I134" s="158"/>
      <c r="J134" s="408">
        <f>H134/DAY(B2)</f>
        <v>238.26666666666668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3334</v>
      </c>
      <c r="H135" s="99">
        <f>G135+'10'!H135</f>
        <v>36384.23000000001</v>
      </c>
      <c r="I135" s="327">
        <f>G135-(G35+G49)</f>
        <v>-963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'14'!F138</f>
        <v>880778</v>
      </c>
      <c r="F138" s="147">
        <v>880923</v>
      </c>
      <c r="G138" s="112">
        <f t="shared" ref="G138:G152" si="11">F138-E138</f>
        <v>145</v>
      </c>
      <c r="H138" s="99">
        <f>G138+'14'!H138</f>
        <v>2139</v>
      </c>
      <c r="I138" s="118"/>
      <c r="J138" s="328">
        <f>H138/DAY(B2)</f>
        <v>142.6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'14'!F139</f>
        <v>896958</v>
      </c>
      <c r="F139" s="148">
        <v>897089</v>
      </c>
      <c r="G139" s="112">
        <f t="shared" si="11"/>
        <v>131</v>
      </c>
      <c r="H139" s="99">
        <f>G139+'14'!H139</f>
        <v>2223</v>
      </c>
      <c r="I139" s="118"/>
      <c r="J139" s="328">
        <f>H139/DAY(B2)</f>
        <v>148.19999999999999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'14'!F140</f>
        <v>330</v>
      </c>
      <c r="F140" s="149">
        <v>344</v>
      </c>
      <c r="G140" s="112">
        <f t="shared" si="11"/>
        <v>14</v>
      </c>
      <c r="H140" s="99">
        <f>G140+'14'!H140</f>
        <v>209</v>
      </c>
      <c r="I140" s="118"/>
      <c r="J140" s="328">
        <f>H140/DAY(B2)</f>
        <v>13.933333333333334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'14'!F141</f>
        <v>74554</v>
      </c>
      <c r="F141" s="149">
        <v>74764</v>
      </c>
      <c r="G141" s="112">
        <f t="shared" si="11"/>
        <v>210</v>
      </c>
      <c r="H141" s="99">
        <f>G141+'14'!H141</f>
        <v>2990</v>
      </c>
      <c r="I141" s="118"/>
      <c r="J141" s="328">
        <f>H141/DAY(B2)</f>
        <v>199.33333333333334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'14'!F142</f>
        <v>28401</v>
      </c>
      <c r="F142" s="148">
        <v>28462</v>
      </c>
      <c r="G142" s="112">
        <f t="shared" si="11"/>
        <v>61</v>
      </c>
      <c r="H142" s="99">
        <f>G142+'14'!H142</f>
        <v>996</v>
      </c>
      <c r="I142" s="140"/>
      <c r="J142" s="328">
        <f>H142/DAY(B2)</f>
        <v>66.400000000000006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'14'!F143</f>
        <v>6809</v>
      </c>
      <c r="F143" s="149">
        <v>6832</v>
      </c>
      <c r="G143" s="112">
        <f t="shared" si="11"/>
        <v>23</v>
      </c>
      <c r="H143" s="99">
        <f>G143+'14'!H143</f>
        <v>415</v>
      </c>
      <c r="I143" s="140"/>
      <c r="J143" s="328">
        <f>H143/DAY(B2)</f>
        <v>27.666666666666668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'14'!F144</f>
        <v>900858</v>
      </c>
      <c r="F144" s="149">
        <v>901112</v>
      </c>
      <c r="G144" s="112">
        <f t="shared" si="11"/>
        <v>254</v>
      </c>
      <c r="H144" s="99">
        <f>G144+'14'!H144</f>
        <v>3879</v>
      </c>
      <c r="I144" s="140"/>
      <c r="J144" s="328">
        <f>H144/DAY(B2)</f>
        <v>258.60000000000002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'14'!F145</f>
        <v>5659</v>
      </c>
      <c r="F145" s="148">
        <v>5659</v>
      </c>
      <c r="G145" s="112">
        <f t="shared" si="11"/>
        <v>0</v>
      </c>
      <c r="H145" s="99">
        <f>G145+'14'!H145</f>
        <v>31</v>
      </c>
      <c r="I145" s="140"/>
      <c r="J145" s="328">
        <f>H145/DAY(B2)</f>
        <v>2.0666666666666669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'14'!F146</f>
        <v>777052</v>
      </c>
      <c r="F146" s="148">
        <v>777090</v>
      </c>
      <c r="G146" s="112">
        <f t="shared" si="11"/>
        <v>38</v>
      </c>
      <c r="H146" s="99">
        <f>G146+'14'!H146</f>
        <v>636</v>
      </c>
      <c r="I146" s="140"/>
      <c r="J146" s="328">
        <f>H146/DAY(B2)</f>
        <v>42.4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'14'!F147</f>
        <v>668940</v>
      </c>
      <c r="F147" s="148">
        <v>669355</v>
      </c>
      <c r="G147" s="112">
        <f t="shared" si="11"/>
        <v>415</v>
      </c>
      <c r="H147" s="99">
        <f>G147+'14'!H147</f>
        <v>6127</v>
      </c>
      <c r="I147" s="140"/>
      <c r="J147" s="328">
        <f>H147/DAY(B2)</f>
        <v>408.46666666666664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'14'!F148</f>
        <v>724799</v>
      </c>
      <c r="F148" s="150">
        <v>725044</v>
      </c>
      <c r="G148" s="112">
        <f t="shared" si="11"/>
        <v>245</v>
      </c>
      <c r="H148" s="99">
        <f>G148+'14'!H148</f>
        <v>5128</v>
      </c>
      <c r="I148" s="124"/>
      <c r="J148" s="328">
        <f>H148/DAY(B2)</f>
        <v>341.86666666666667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'14'!F149</f>
        <v>90686</v>
      </c>
      <c r="F149" s="416">
        <v>91192</v>
      </c>
      <c r="G149" s="112">
        <f t="shared" si="11"/>
        <v>506</v>
      </c>
      <c r="H149" s="99">
        <f>G149+'14'!H149</f>
        <v>7804</v>
      </c>
      <c r="I149" s="119"/>
      <c r="J149" s="328">
        <f>H149/DAY(B2)</f>
        <v>520.26666666666665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'14'!F150</f>
        <v>33565</v>
      </c>
      <c r="F150" s="233">
        <v>33790</v>
      </c>
      <c r="G150" s="112">
        <f t="shared" si="11"/>
        <v>225</v>
      </c>
      <c r="H150" s="99">
        <f>G150+'14'!H150</f>
        <v>3203</v>
      </c>
      <c r="I150" s="119"/>
      <c r="J150" s="328">
        <f>H150/DAY(B2)</f>
        <v>213.53333333333333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'14'!F151</f>
        <v>113353</v>
      </c>
      <c r="F151" s="233">
        <v>113627</v>
      </c>
      <c r="G151" s="112">
        <f t="shared" si="11"/>
        <v>274</v>
      </c>
      <c r="H151" s="99">
        <f>G151+'14'!H151</f>
        <v>4399</v>
      </c>
      <c r="I151" s="119"/>
      <c r="J151" s="328">
        <f>H151/DAY(B2)</f>
        <v>293.26666666666665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'14'!F152</f>
        <v>13133</v>
      </c>
      <c r="F152" s="233">
        <v>13253</v>
      </c>
      <c r="G152" s="112">
        <f t="shared" si="11"/>
        <v>120</v>
      </c>
      <c r="H152" s="99">
        <f>G152+'14'!H152</f>
        <v>2097</v>
      </c>
      <c r="I152" s="119"/>
      <c r="J152" s="328">
        <f>H152/DAY(B2)</f>
        <v>139.80000000000001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2661</v>
      </c>
      <c r="H153" s="363"/>
      <c r="I153" s="119">
        <f>G153-(G38+G52)</f>
        <v>421.23999999999978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'14'!F155</f>
        <v>101478</v>
      </c>
      <c r="F155" s="157">
        <v>102029</v>
      </c>
      <c r="G155" s="112">
        <f t="shared" ref="G155:G158" si="12">F155-E155</f>
        <v>551</v>
      </c>
      <c r="H155" s="99">
        <f>G155+'14'!H155</f>
        <v>9297</v>
      </c>
      <c r="I155" s="364"/>
      <c r="J155" s="328">
        <f>H155/DAY(B2)</f>
        <v>619.79999999999995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'14'!F156</f>
        <v>8551</v>
      </c>
      <c r="F156" s="157">
        <v>8608</v>
      </c>
      <c r="G156" s="112">
        <f t="shared" si="12"/>
        <v>57</v>
      </c>
      <c r="H156" s="99">
        <f>G156+'14'!H156</f>
        <v>917</v>
      </c>
      <c r="I156" s="165"/>
      <c r="J156" s="328">
        <f>H156/DAY(B2)</f>
        <v>61.133333333333333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'14'!F157</f>
        <v>15255</v>
      </c>
      <c r="F157" s="157">
        <v>15434</v>
      </c>
      <c r="G157" s="112">
        <f t="shared" si="12"/>
        <v>179</v>
      </c>
      <c r="H157" s="99">
        <f>G157+'14'!H157</f>
        <v>1938</v>
      </c>
      <c r="I157" s="165"/>
      <c r="J157" s="328">
        <f>H157/DAY(B2)</f>
        <v>129.19999999999999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'14'!F158</f>
        <v>130</v>
      </c>
      <c r="F158" s="157">
        <v>130.83000000000001</v>
      </c>
      <c r="G158" s="112">
        <f t="shared" si="12"/>
        <v>0.83000000000001251</v>
      </c>
      <c r="H158" s="99">
        <f>G158+'14'!H158</f>
        <v>51.290000000000006</v>
      </c>
      <c r="I158" s="165"/>
      <c r="J158" s="328">
        <f>H158/DAY(B2)</f>
        <v>3.4193333333333338</v>
      </c>
    </row>
    <row r="159" spans="1:10" ht="25.5">
      <c r="A159" s="950"/>
      <c r="B159" s="951"/>
      <c r="C159" s="952"/>
      <c r="D159" s="117"/>
      <c r="E159" s="95"/>
      <c r="F159" s="165"/>
      <c r="G159" s="362">
        <f>SUM(G155:G158)</f>
        <v>787.83</v>
      </c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475144</v>
      </c>
      <c r="F161" s="235">
        <v>475177</v>
      </c>
      <c r="G161" s="238">
        <f t="shared" ref="G161:G165" si="13">F161-E161</f>
        <v>33</v>
      </c>
      <c r="H161" s="99">
        <f>G161+'14'!H161</f>
        <v>394</v>
      </c>
      <c r="I161" s="236"/>
      <c r="J161" s="239">
        <f>H161/DAY(B2)</f>
        <v>26.266666666666666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92068</v>
      </c>
      <c r="F162" s="235">
        <v>92090</v>
      </c>
      <c r="G162" s="238">
        <f t="shared" si="13"/>
        <v>22</v>
      </c>
      <c r="H162" s="99">
        <f>G162+'14'!H162</f>
        <v>543</v>
      </c>
      <c r="I162" s="236"/>
      <c r="J162" s="239">
        <f>H162/DAY(B2)</f>
        <v>36.200000000000003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94373</v>
      </c>
      <c r="F163" s="235">
        <v>94546</v>
      </c>
      <c r="G163" s="238">
        <f t="shared" si="13"/>
        <v>173</v>
      </c>
      <c r="H163" s="99">
        <f>G163+'14'!H163</f>
        <v>2510</v>
      </c>
      <c r="I163" s="236"/>
      <c r="J163" s="239">
        <f>H163/DAY(B2)</f>
        <v>167.33333333333334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5344</v>
      </c>
      <c r="F164" s="235">
        <v>5354</v>
      </c>
      <c r="G164" s="238">
        <f t="shared" si="13"/>
        <v>10</v>
      </c>
      <c r="H164" s="99">
        <f>G164+'14'!H164</f>
        <v>172</v>
      </c>
      <c r="I164" s="236"/>
      <c r="J164" s="239">
        <f>H164/DAY(B2)</f>
        <v>11.466666666666667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30816</v>
      </c>
      <c r="F165" s="235">
        <v>30826</v>
      </c>
      <c r="G165" s="238">
        <f t="shared" si="13"/>
        <v>10</v>
      </c>
      <c r="H165" s="99">
        <f>G165+'14'!H165</f>
        <v>192</v>
      </c>
      <c r="I165" s="236"/>
      <c r="J165" s="239">
        <f>H165/DAY(B2)</f>
        <v>12.8</v>
      </c>
    </row>
    <row r="166" spans="1:10" ht="26.25">
      <c r="A166" s="873"/>
      <c r="B166" s="873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1.75" customHeight="1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79" t="s">
        <v>209</v>
      </c>
      <c r="B173" s="880"/>
      <c r="C173" s="333"/>
      <c r="D173" s="228" t="s">
        <v>142</v>
      </c>
      <c r="E173" s="95">
        <f>'14'!F173</f>
        <v>8265</v>
      </c>
      <c r="F173" s="155">
        <v>8265</v>
      </c>
      <c r="G173" s="155">
        <f>F173-E173</f>
        <v>0</v>
      </c>
      <c r="H173" s="99">
        <f>G173+'14'!H173</f>
        <v>4</v>
      </c>
      <c r="I173" s="155"/>
      <c r="J173" s="178">
        <f>H173/DAY(B2)</f>
        <v>0.26666666666666666</v>
      </c>
    </row>
    <row r="174" spans="1:10" ht="21.75" customHeight="1">
      <c r="A174" s="879" t="s">
        <v>75</v>
      </c>
      <c r="B174" s="880"/>
      <c r="C174" s="333"/>
      <c r="D174" s="228" t="s">
        <v>142</v>
      </c>
      <c r="E174" s="95">
        <f>'14'!F174</f>
        <v>40092</v>
      </c>
      <c r="F174" s="157">
        <v>40104</v>
      </c>
      <c r="G174" s="155">
        <f t="shared" ref="G174:G175" si="14">F174-E174</f>
        <v>12</v>
      </c>
      <c r="H174" s="99">
        <f>G174+'14'!H174</f>
        <v>176</v>
      </c>
      <c r="I174" s="155"/>
      <c r="J174" s="178">
        <f>H174/DAY(B2)</f>
        <v>11.733333333333333</v>
      </c>
    </row>
    <row r="175" spans="1:10" ht="21.75" customHeight="1">
      <c r="A175" s="879" t="s">
        <v>76</v>
      </c>
      <c r="B175" s="919"/>
      <c r="C175" s="880"/>
      <c r="D175" s="228" t="s">
        <v>142</v>
      </c>
      <c r="E175" s="95">
        <f>'14'!F175</f>
        <v>23048</v>
      </c>
      <c r="F175" s="155">
        <v>23059</v>
      </c>
      <c r="G175" s="155">
        <f t="shared" si="14"/>
        <v>11</v>
      </c>
      <c r="H175" s="99">
        <f>G175+'14'!H175</f>
        <v>170</v>
      </c>
      <c r="I175" s="155"/>
      <c r="J175" s="178">
        <f>H175/DAY(B2)</f>
        <v>11.333333333333334</v>
      </c>
    </row>
    <row r="176" spans="1:10" ht="21.75" customHeight="1">
      <c r="A176" s="868" t="s">
        <v>196</v>
      </c>
      <c r="B176" s="869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350</v>
      </c>
      <c r="I176" s="155"/>
      <c r="J176" s="178">
        <f>H176/DAY(B2)</f>
        <v>23.333333333333332</v>
      </c>
    </row>
    <row r="177" spans="1:10" ht="21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79" t="s">
        <v>210</v>
      </c>
      <c r="B178" s="880"/>
      <c r="C178" s="333"/>
      <c r="D178" s="228" t="s">
        <v>142</v>
      </c>
      <c r="E178" s="95">
        <f>'14'!F178</f>
        <v>90053</v>
      </c>
      <c r="F178" s="155">
        <v>90175</v>
      </c>
      <c r="G178" s="155">
        <f>F178-E178</f>
        <v>122</v>
      </c>
      <c r="H178" s="99">
        <f>G178+'14'!H178</f>
        <v>1572</v>
      </c>
      <c r="I178" s="155"/>
      <c r="J178" s="178">
        <f>H178/DAY(B2)</f>
        <v>104.8</v>
      </c>
    </row>
    <row r="179" spans="1:10" ht="24" customHeight="1">
      <c r="A179" s="879" t="s">
        <v>211</v>
      </c>
      <c r="B179" s="880"/>
      <c r="C179" s="333"/>
      <c r="D179" s="228" t="s">
        <v>142</v>
      </c>
      <c r="E179" s="95">
        <f>'14'!F179</f>
        <v>35775</v>
      </c>
      <c r="F179" s="155">
        <v>35775</v>
      </c>
      <c r="G179" s="155">
        <f t="shared" ref="G179:G180" si="15">F179-E179</f>
        <v>0</v>
      </c>
      <c r="H179" s="99">
        <f>G179+'14'!H179</f>
        <v>2</v>
      </c>
      <c r="I179" s="155"/>
      <c r="J179" s="178">
        <f>H179/DAY(B2)</f>
        <v>0.13333333333333333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'14'!F180</f>
        <v>6524</v>
      </c>
      <c r="F180" s="155">
        <v>6524</v>
      </c>
      <c r="G180" s="155">
        <f t="shared" si="15"/>
        <v>0</v>
      </c>
      <c r="H180" s="99">
        <f>G180+'14'!H180</f>
        <v>135</v>
      </c>
      <c r="I180" s="155"/>
      <c r="J180" s="178">
        <f>H180/DAY(B2)</f>
        <v>9</v>
      </c>
    </row>
    <row r="181" spans="1:10" ht="25.5">
      <c r="A181" s="881" t="s">
        <v>108</v>
      </c>
      <c r="B181" s="882"/>
      <c r="C181" s="333"/>
      <c r="D181" s="228" t="s">
        <v>142</v>
      </c>
      <c r="E181" s="95"/>
      <c r="F181" s="155"/>
      <c r="G181" s="155">
        <f>SUM(G178:G180)</f>
        <v>122</v>
      </c>
      <c r="H181" s="99">
        <f>G181+'14'!H181</f>
        <v>1709</v>
      </c>
      <c r="I181" s="155"/>
      <c r="J181" s="178">
        <f>H181/DAY(B2)</f>
        <v>113.93333333333334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'14'!F183</f>
        <v>16769</v>
      </c>
      <c r="F183" s="157">
        <v>16778</v>
      </c>
      <c r="G183" s="157">
        <f>F183-E183</f>
        <v>9</v>
      </c>
      <c r="H183" s="99">
        <f>G183+'14'!H183</f>
        <v>156</v>
      </c>
      <c r="I183" s="155"/>
      <c r="J183" s="178">
        <f>H183/DAY(B2)</f>
        <v>10.4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'14'!F184</f>
        <v>11359</v>
      </c>
      <c r="F184" s="157">
        <v>11366</v>
      </c>
      <c r="G184" s="157">
        <f t="shared" ref="G184:G185" si="16">F184-E184</f>
        <v>7</v>
      </c>
      <c r="H184" s="99">
        <f>G184+'14'!H184</f>
        <v>92</v>
      </c>
      <c r="I184" s="155"/>
      <c r="J184" s="178">
        <f>H184/DAY(B2)</f>
        <v>6.1333333333333337</v>
      </c>
    </row>
    <row r="185" spans="1:10" ht="32.25" customHeight="1">
      <c r="A185" s="879" t="s">
        <v>216</v>
      </c>
      <c r="B185" s="880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G186+'14'!H186</f>
        <v>248</v>
      </c>
      <c r="I186" s="157"/>
      <c r="J186" s="178">
        <f>H186/DAY(B2)</f>
        <v>16.533333333333335</v>
      </c>
    </row>
    <row r="187" spans="1:10" ht="25.5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230</v>
      </c>
      <c r="H187" s="99">
        <f>G187+'14'!H187</f>
        <v>2811</v>
      </c>
      <c r="I187" s="158"/>
      <c r="J187" s="179">
        <f>H187/DAY(B2)</f>
        <v>187.4</v>
      </c>
    </row>
    <row r="188" spans="1:10" ht="25.5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218</v>
      </c>
      <c r="H188" s="99">
        <f>G188+'14'!H188</f>
        <v>218</v>
      </c>
      <c r="I188" s="158"/>
      <c r="J188" s="179">
        <f>H188/DAY(B2)</f>
        <v>14.533333333333333</v>
      </c>
    </row>
    <row r="189" spans="1:10" ht="27" customHeight="1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122</v>
      </c>
      <c r="H189" s="99">
        <f>G189+'14'!H189</f>
        <v>1709</v>
      </c>
      <c r="I189" s="158"/>
      <c r="J189" s="179">
        <f>H189/DAY(B2)</f>
        <v>113.93333333333334</v>
      </c>
    </row>
    <row r="190" spans="1:10" ht="27" customHeight="1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03" zoomScale="55" zoomScaleNormal="90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6" s="57" customFormat="1" ht="23.25">
      <c r="A2" s="191" t="s">
        <v>355</v>
      </c>
      <c r="B2" s="262">
        <v>44667</v>
      </c>
      <c r="C2" s="348" t="s">
        <v>67</v>
      </c>
      <c r="D2" s="218">
        <v>1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928" t="s">
        <v>128</v>
      </c>
      <c r="B6" s="929"/>
      <c r="C6" s="930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238701</v>
      </c>
      <c r="F7" s="95">
        <f>E7+27000</f>
        <v>265701</v>
      </c>
      <c r="G7" s="112">
        <f>F7-E7</f>
        <v>27000</v>
      </c>
      <c r="H7" s="99">
        <f>G7+'15'!H7</f>
        <v>434663</v>
      </c>
      <c r="I7" s="113">
        <f>'1'!I7</f>
        <v>12000</v>
      </c>
      <c r="J7" s="175">
        <f>H7/DAY(B2)</f>
        <v>27166.4375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337535</v>
      </c>
      <c r="F8" s="114">
        <f>E8+26500</f>
        <v>364035</v>
      </c>
      <c r="G8" s="115">
        <f>F8-E8</f>
        <v>26500</v>
      </c>
      <c r="H8" s="99">
        <f>G8+'15'!H8</f>
        <v>444912.27999999991</v>
      </c>
      <c r="I8" s="116"/>
      <c r="J8" s="175">
        <f>H8/DAY(B2)</f>
        <v>27807.017499999994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2193550</v>
      </c>
      <c r="F9" s="470">
        <f>E9+16000</f>
        <v>2209550</v>
      </c>
      <c r="G9" s="112">
        <f>F9-E9</f>
        <v>16000</v>
      </c>
      <c r="H9" s="99">
        <f>G9+'15'!H9</f>
        <v>318515</v>
      </c>
      <c r="I9" s="124">
        <f>I7-J7</f>
        <v>-15166.4375</v>
      </c>
      <c r="J9" s="175">
        <f>H9/DAY(B2)</f>
        <v>19907.1875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710726</v>
      </c>
      <c r="F10" s="353">
        <f>E10+8500</f>
        <v>719226</v>
      </c>
      <c r="G10" s="112">
        <f t="shared" ref="G10:G12" si="0">F10-E10</f>
        <v>8500</v>
      </c>
      <c r="H10" s="99">
        <f>G10+'15'!H10</f>
        <v>103690</v>
      </c>
      <c r="I10" s="282"/>
      <c r="J10" s="175">
        <f>H10/DAY(B2)</f>
        <v>6480.625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G13+'15'!H13</f>
        <v>419688.75</v>
      </c>
      <c r="I13" s="120">
        <f>G7-G13</f>
        <v>2500</v>
      </c>
      <c r="J13" s="175">
        <f>H13/DAY(B2)</f>
        <v>26230.546875</v>
      </c>
      <c r="K13" s="79"/>
      <c r="L13" s="66"/>
      <c r="N13" s="87"/>
      <c r="O13" s="71"/>
    </row>
    <row r="14" spans="1:16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1988362</v>
      </c>
      <c r="G15" s="112" t="e">
        <f>(F15-E15)</f>
        <v>#VALUE!</v>
      </c>
      <c r="H15" s="99" t="e">
        <f>G15+'15'!H15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>
        <v>735868</v>
      </c>
      <c r="O15" s="71">
        <v>719798</v>
      </c>
      <c r="P15" s="427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'15'!F18</f>
        <v>24</v>
      </c>
      <c r="F18" s="164">
        <v>31</v>
      </c>
      <c r="G18" s="119">
        <f>F18*10</f>
        <v>310</v>
      </c>
      <c r="H18" s="99">
        <f>G18+'15'!H18</f>
        <v>3550</v>
      </c>
      <c r="I18" s="113">
        <f>'1'!I18</f>
        <v>65</v>
      </c>
      <c r="J18" s="175">
        <f>H18/DAY(B2)</f>
        <v>221.875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'15'!F19</f>
        <v>159274</v>
      </c>
      <c r="F19" s="122">
        <v>157755</v>
      </c>
      <c r="G19" s="112">
        <f t="shared" ref="G19" si="1">F19-E19</f>
        <v>-1519</v>
      </c>
      <c r="H19" s="99">
        <f>G19+'15'!H19</f>
        <v>-699</v>
      </c>
      <c r="I19" s="335"/>
      <c r="J19" s="175">
        <f>H19/DAY(B2)</f>
        <v>-43.6875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-1209</v>
      </c>
      <c r="H20" s="99">
        <f>G20+'15'!H20</f>
        <v>2851</v>
      </c>
      <c r="I20" s="336">
        <f>I18-J20</f>
        <v>-113.1875</v>
      </c>
      <c r="J20" s="175">
        <f>H20/DAY(B2)</f>
        <v>178.1875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G27+'15'!H27</f>
        <v>4004210.5200000005</v>
      </c>
      <c r="I27" s="138"/>
      <c r="J27" s="175">
        <f>H27/DAY(B2)</f>
        <v>250263.15750000003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G28+'15'!H28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-1519</v>
      </c>
      <c r="F30" s="136">
        <v>151</v>
      </c>
      <c r="G30" s="137">
        <f>E30*F30</f>
        <v>-229369</v>
      </c>
      <c r="H30" s="99">
        <f>G30+'15'!H30</f>
        <v>-106364</v>
      </c>
      <c r="I30" s="140"/>
      <c r="J30" s="175">
        <f>H30/DAY(B2)</f>
        <v>-6647.75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G31+'15'!H31</f>
        <v>284000</v>
      </c>
      <c r="I31" s="140"/>
      <c r="J31" s="175">
        <f>H31/DAY(B2)</f>
        <v>17750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G32+'15'!H32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234613</v>
      </c>
      <c r="F35" s="117">
        <v>172784</v>
      </c>
      <c r="G35" s="112">
        <f t="shared" ref="G35:G46" si="3">F35-E35</f>
        <v>-61829</v>
      </c>
      <c r="H35" s="99">
        <f>G35+'15'!H35</f>
        <v>-30101</v>
      </c>
      <c r="I35" s="95"/>
      <c r="J35" s="175">
        <f>H35/DAY(B2)</f>
        <v>-1881.3125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146160</v>
      </c>
      <c r="F36" s="117">
        <v>116195</v>
      </c>
      <c r="G36" s="112">
        <f t="shared" si="3"/>
        <v>-29965</v>
      </c>
      <c r="H36" s="99">
        <f>G36+'15'!H36</f>
        <v>-15384</v>
      </c>
      <c r="I36" s="95"/>
      <c r="J36" s="175">
        <f>H36/DAY(B2)</f>
        <v>-961.5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207975</v>
      </c>
      <c r="F37" s="117">
        <v>158712</v>
      </c>
      <c r="G37" s="112">
        <f t="shared" si="3"/>
        <v>-49263</v>
      </c>
      <c r="H37" s="99">
        <f>G37+'15'!H37</f>
        <v>-24413</v>
      </c>
      <c r="I37" s="95"/>
      <c r="J37" s="175">
        <f>H37/DAY(B2)</f>
        <v>-1525.8125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278017</v>
      </c>
      <c r="F38" s="95">
        <v>210071</v>
      </c>
      <c r="G38" s="112">
        <f t="shared" si="3"/>
        <v>-67946</v>
      </c>
      <c r="H38" s="99">
        <f>G38+'15'!H38</f>
        <v>-33381</v>
      </c>
      <c r="I38" s="95"/>
      <c r="J38" s="175">
        <f>H38/DAY(B2)</f>
        <v>-2086.3125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383452</v>
      </c>
      <c r="F39" s="117">
        <v>296689</v>
      </c>
      <c r="G39" s="112">
        <f t="shared" si="3"/>
        <v>-86763</v>
      </c>
      <c r="H39" s="99">
        <f>G39+'15'!H39</f>
        <v>-43299</v>
      </c>
      <c r="I39" s="95"/>
      <c r="J39" s="175">
        <f>H39/DAY(B2)</f>
        <v>-2706.1875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70498</v>
      </c>
      <c r="F40" s="117">
        <v>56487</v>
      </c>
      <c r="G40" s="112">
        <f t="shared" si="3"/>
        <v>-14011</v>
      </c>
      <c r="H40" s="99">
        <f>G40+'15'!H40</f>
        <v>-8390</v>
      </c>
      <c r="I40" s="95"/>
      <c r="J40" s="175">
        <f>H40/DAY(B2)</f>
        <v>-524.375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68834.899999999994</v>
      </c>
      <c r="F41" s="117">
        <v>62.7</v>
      </c>
      <c r="G41" s="112">
        <f t="shared" si="3"/>
        <v>-68772.2</v>
      </c>
      <c r="H41" s="99">
        <f>G41+'15'!H41</f>
        <v>-27630.300000000003</v>
      </c>
      <c r="I41" s="95"/>
      <c r="J41" s="175">
        <f>H41/DAY(B2)</f>
        <v>-1726.8937500000002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476383</v>
      </c>
      <c r="F42" s="117">
        <v>357354</v>
      </c>
      <c r="G42" s="112">
        <f t="shared" si="3"/>
        <v>-119029</v>
      </c>
      <c r="H42" s="99">
        <f>G42+'15'!H42</f>
        <v>-68447</v>
      </c>
      <c r="I42" s="95"/>
      <c r="J42" s="175">
        <f>H42/DAY(B2)</f>
        <v>-4277.9375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401605</v>
      </c>
      <c r="F43" s="117">
        <v>309671</v>
      </c>
      <c r="G43" s="112">
        <f t="shared" si="3"/>
        <v>-91934</v>
      </c>
      <c r="H43" s="99">
        <f>G43+'15'!H43</f>
        <v>-47848</v>
      </c>
      <c r="I43" s="95"/>
      <c r="J43" s="175">
        <f>H43/DAY(B2)</f>
        <v>-2990.5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-589512.19999999995</v>
      </c>
      <c r="H47" s="99">
        <f>G47+'15'!H47</f>
        <v>-298893.29999999993</v>
      </c>
      <c r="I47" s="95"/>
      <c r="J47" s="175">
        <f>H47/DAY(B2)</f>
        <v>-18680.831249999996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195101</v>
      </c>
      <c r="F49" s="117">
        <v>139739</v>
      </c>
      <c r="G49" s="112">
        <f t="shared" ref="G49:G58" si="4">F49-E49</f>
        <v>-55362</v>
      </c>
      <c r="H49" s="99">
        <f>G49+'15'!H49</f>
        <v>-25431</v>
      </c>
      <c r="I49" s="95"/>
      <c r="J49" s="175">
        <f>H49/DAY(B2)</f>
        <v>-1589.4375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191977</v>
      </c>
      <c r="F50" s="117">
        <v>153541</v>
      </c>
      <c r="G50" s="112">
        <f t="shared" si="4"/>
        <v>-38436</v>
      </c>
      <c r="H50" s="99">
        <f>G50+'15'!H50</f>
        <v>-19066</v>
      </c>
      <c r="I50" s="95"/>
      <c r="J50" s="175">
        <f>H50/DAY(B2)</f>
        <v>-1191.625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0.31999999999999318</v>
      </c>
      <c r="I51" s="95"/>
      <c r="J51" s="175">
        <f>H51/DAY(B2)</f>
        <v>1.9999999999999574E-2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9.76</v>
      </c>
      <c r="F52" s="117">
        <v>9.76</v>
      </c>
      <c r="G52" s="112">
        <f t="shared" si="4"/>
        <v>0</v>
      </c>
      <c r="H52" s="99">
        <f>G52+'15'!H52</f>
        <v>-0.24000000000000021</v>
      </c>
      <c r="I52" s="95"/>
      <c r="J52" s="175">
        <f>H52/DAY(B2)</f>
        <v>-1.5000000000000013E-2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57109</v>
      </c>
      <c r="F54" s="410">
        <v>43486</v>
      </c>
      <c r="G54" s="236">
        <f t="shared" si="4"/>
        <v>-13623</v>
      </c>
      <c r="H54" s="99">
        <f>G54+'15'!H54</f>
        <v>-6597</v>
      </c>
      <c r="I54" s="95"/>
      <c r="J54" s="175">
        <f>H54/DAY(B2)</f>
        <v>-412.3125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177505</v>
      </c>
      <c r="F55" s="410">
        <v>127264</v>
      </c>
      <c r="G55" s="236">
        <f t="shared" si="4"/>
        <v>-50241</v>
      </c>
      <c r="H55" s="99">
        <f>G55+'15'!H55</f>
        <v>-17703</v>
      </c>
      <c r="I55" s="95"/>
      <c r="J55" s="175">
        <f>H55/DAY(B2)</f>
        <v>-1106.4375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107245.6</v>
      </c>
      <c r="F56" s="117">
        <v>100576</v>
      </c>
      <c r="G56" s="112">
        <f t="shared" si="4"/>
        <v>-6669.6000000000058</v>
      </c>
      <c r="H56" s="99">
        <f>G56+'15'!H56</f>
        <v>-6670</v>
      </c>
      <c r="I56" s="95"/>
      <c r="J56" s="175">
        <f>H56/DAY(B2)</f>
        <v>-416.875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28700</v>
      </c>
      <c r="F58" s="117">
        <v>22248</v>
      </c>
      <c r="G58" s="112">
        <f t="shared" si="4"/>
        <v>-6452</v>
      </c>
      <c r="H58" s="99">
        <f>G58+'15'!H58</f>
        <v>-3245</v>
      </c>
      <c r="I58" s="95"/>
      <c r="J58" s="175">
        <f>H58/DAY(B2)</f>
        <v>-202.8125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-170783.6</v>
      </c>
      <c r="H59" s="99">
        <f>G59+'15'!H59</f>
        <v>-78711.92</v>
      </c>
      <c r="I59" s="95">
        <f>G7-G60</f>
        <v>787295.79999999993</v>
      </c>
      <c r="J59" s="175">
        <f>H59/DAY(B2)</f>
        <v>-4919.4949999999999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-760295.79999999993</v>
      </c>
      <c r="H60" s="99">
        <f>G60+'15'!H60</f>
        <v>-377605.21999999991</v>
      </c>
      <c r="I60" s="95">
        <f>G13-G60</f>
        <v>784795.79999999993</v>
      </c>
      <c r="J60" s="175">
        <f>H60/DAY(B2)</f>
        <v>-23600.326249999995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'15'!F62</f>
        <v>286000</v>
      </c>
      <c r="F62" s="122">
        <v>281532</v>
      </c>
      <c r="G62" s="112">
        <f t="shared" ref="G62:G63" si="5">F62-E62</f>
        <v>-4468</v>
      </c>
      <c r="H62" s="99">
        <f>G62+'15'!H62</f>
        <v>-2477</v>
      </c>
      <c r="I62" s="118"/>
      <c r="J62" s="175">
        <f>H62/DAY(B2)</f>
        <v>-154.8125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'15'!F63</f>
        <v>229516</v>
      </c>
      <c r="F63" s="122">
        <v>225495</v>
      </c>
      <c r="G63" s="112">
        <f t="shared" si="5"/>
        <v>-4021</v>
      </c>
      <c r="H63" s="99">
        <f>G63+'15'!H63</f>
        <v>-1984</v>
      </c>
      <c r="I63" s="118"/>
      <c r="J63" s="175">
        <f>H63/DAY(B2)</f>
        <v>-124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v>0</v>
      </c>
      <c r="F64" s="122"/>
      <c r="G64" s="112">
        <f>G62+G63</f>
        <v>-8489</v>
      </c>
      <c r="H64" s="99">
        <f>G64+'15'!H64</f>
        <v>-4461</v>
      </c>
      <c r="I64" s="118"/>
      <c r="J64" s="175">
        <f>H64/DAY(B2)</f>
        <v>-278.8125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'15'!F65</f>
        <v>446143</v>
      </c>
      <c r="F65" s="404">
        <v>442960</v>
      </c>
      <c r="G65" s="112">
        <f t="shared" ref="G65:G70" si="6">F65-E65</f>
        <v>-3183</v>
      </c>
      <c r="H65" s="99">
        <f>G65+'15'!H65</f>
        <v>-1632</v>
      </c>
      <c r="I65" s="118"/>
      <c r="J65" s="175">
        <f>H65/DAY(B2)</f>
        <v>-102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109932</v>
      </c>
      <c r="F66" s="122">
        <v>109350</v>
      </c>
      <c r="G66" s="112">
        <f t="shared" si="6"/>
        <v>-582</v>
      </c>
      <c r="H66" s="99">
        <f>G66+'15'!H66</f>
        <v>-231</v>
      </c>
      <c r="I66" s="118"/>
      <c r="J66" s="175">
        <f>H66/DAY(B2)</f>
        <v>-14.4375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112064</v>
      </c>
      <c r="F67" s="122">
        <v>109786</v>
      </c>
      <c r="G67" s="112">
        <f t="shared" si="6"/>
        <v>-2278</v>
      </c>
      <c r="H67" s="99">
        <f>G67+'15'!H67</f>
        <v>-1114</v>
      </c>
      <c r="I67" s="118"/>
      <c r="J67" s="175">
        <f>H67/DAY(B2)</f>
        <v>-69.625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162104</v>
      </c>
      <c r="F68" s="122">
        <v>161150</v>
      </c>
      <c r="G68" s="112">
        <f t="shared" si="6"/>
        <v>-954</v>
      </c>
      <c r="H68" s="99">
        <f>G68+'15'!H68</f>
        <v>-634</v>
      </c>
      <c r="I68" s="118"/>
      <c r="J68" s="175">
        <f>H68/DAY(B2)</f>
        <v>-39.625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'15'!F69</f>
        <v>16778</v>
      </c>
      <c r="F69" s="122">
        <v>11426</v>
      </c>
      <c r="G69" s="112">
        <f t="shared" si="6"/>
        <v>-5352</v>
      </c>
      <c r="H69" s="99">
        <f>G69+'15'!H69</f>
        <v>-172</v>
      </c>
      <c r="I69" s="118"/>
      <c r="J69" s="175">
        <f>H69/DAY(B2)</f>
        <v>-10.75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9111</v>
      </c>
      <c r="F70" s="122">
        <v>8868</v>
      </c>
      <c r="G70" s="112">
        <f t="shared" si="6"/>
        <v>-243</v>
      </c>
      <c r="H70" s="99">
        <f>G70+'15'!H70</f>
        <v>-133</v>
      </c>
      <c r="I70" s="118"/>
      <c r="J70" s="175">
        <f>H70/DAY(B2)</f>
        <v>-8.3125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-12592</v>
      </c>
      <c r="H71" s="99">
        <f>G71+'15'!H71</f>
        <v>-3916</v>
      </c>
      <c r="I71" s="154"/>
      <c r="J71" s="175">
        <f>H71/DAY(B2)</f>
        <v>-244.75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'15'!F74</f>
        <v>933505</v>
      </c>
      <c r="F74" s="117">
        <v>924281</v>
      </c>
      <c r="G74" s="112">
        <f t="shared" ref="G74:G78" si="7">F74-E74</f>
        <v>-9224</v>
      </c>
      <c r="H74" s="99">
        <f>G74+'15'!H74</f>
        <v>-4496</v>
      </c>
      <c r="I74" s="154"/>
      <c r="J74" s="175">
        <f>H74/DAY(B2)</f>
        <v>-281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'15'!F76</f>
        <v>181886</v>
      </c>
      <c r="F76" s="123">
        <v>178467</v>
      </c>
      <c r="G76" s="112">
        <f t="shared" si="7"/>
        <v>-3419</v>
      </c>
      <c r="H76" s="99">
        <f>G76+'15'!H76</f>
        <v>-1687</v>
      </c>
      <c r="I76" s="154"/>
      <c r="J76" s="175">
        <f>H76/DAY(B2)</f>
        <v>-105.4375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'15'!F77</f>
        <v>46520</v>
      </c>
      <c r="F77" s="123">
        <v>44960</v>
      </c>
      <c r="G77" s="112">
        <f t="shared" si="7"/>
        <v>-1560</v>
      </c>
      <c r="H77" s="99">
        <f>G77+'15'!H77</f>
        <v>-714</v>
      </c>
      <c r="I77" s="154"/>
      <c r="J77" s="175">
        <f>H77/DAY(B2)</f>
        <v>-44.625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0.6000000000003638</v>
      </c>
      <c r="I78" s="118"/>
      <c r="J78" s="175">
        <f>H78/DAY(B2)</f>
        <v>3.7500000000022737E-2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'15'!F79</f>
        <v>0</v>
      </c>
      <c r="F79" s="123"/>
      <c r="G79" s="112" t="e">
        <f>G15-SUM(G74:G78)</f>
        <v>#VALUE!</v>
      </c>
      <c r="H79" s="99" t="e">
        <f>G79+'15'!H79</f>
        <v>#VALUE!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 t="e">
        <f>G80+'15'!H80</f>
        <v>#VALUE!</v>
      </c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41969</v>
      </c>
      <c r="F84" s="164">
        <v>41675</v>
      </c>
      <c r="G84" s="112">
        <f t="shared" si="8"/>
        <v>-294</v>
      </c>
      <c r="H84" s="99">
        <f>G84+'15'!H84</f>
        <v>-117</v>
      </c>
      <c r="I84" s="575"/>
      <c r="J84" s="175">
        <f>H84/DAY(B2)</f>
        <v>-7.3125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3994</v>
      </c>
      <c r="F85" s="164">
        <v>3485</v>
      </c>
      <c r="G85" s="112">
        <f t="shared" si="8"/>
        <v>-509</v>
      </c>
      <c r="H85" s="99">
        <f>G85+'15'!H85</f>
        <v>-292</v>
      </c>
      <c r="I85" s="575"/>
      <c r="J85" s="175">
        <f>H85/DAY(B2)</f>
        <v>-18.25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44155</v>
      </c>
      <c r="F86" s="164">
        <v>43820</v>
      </c>
      <c r="G86" s="112">
        <f t="shared" si="8"/>
        <v>-335</v>
      </c>
      <c r="H86" s="99">
        <f>G86+'15'!H86</f>
        <v>-119</v>
      </c>
      <c r="I86" s="575"/>
      <c r="J86" s="175">
        <f>H86/DAY(B2)</f>
        <v>-7.4375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35329</v>
      </c>
      <c r="F87" s="164">
        <v>35276</v>
      </c>
      <c r="G87" s="112">
        <f t="shared" si="8"/>
        <v>-53</v>
      </c>
      <c r="H87" s="99">
        <f>G87+'15'!H87</f>
        <v>-53</v>
      </c>
      <c r="I87" s="575">
        <f>G84+G85+G86+G87</f>
        <v>-1191</v>
      </c>
      <c r="J87" s="175">
        <f>H87/DAY(B2)</f>
        <v>-3.3125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24218</v>
      </c>
      <c r="F88" s="164">
        <v>24146</v>
      </c>
      <c r="G88" s="112">
        <f t="shared" si="8"/>
        <v>-72</v>
      </c>
      <c r="H88" s="99">
        <f>G88+'15'!H88</f>
        <v>-42.119999999998981</v>
      </c>
      <c r="I88" s="575"/>
      <c r="J88" s="175">
        <f>H88/DAY(B2)</f>
        <v>-2.6324999999999363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26828</v>
      </c>
      <c r="F89" s="164">
        <v>26603</v>
      </c>
      <c r="G89" s="112">
        <f t="shared" si="8"/>
        <v>-225</v>
      </c>
      <c r="H89" s="99">
        <f>G89+'15'!H89</f>
        <v>-106.22000000000116</v>
      </c>
      <c r="I89" s="575">
        <f>G88+G89</f>
        <v>-297</v>
      </c>
      <c r="J89" s="175">
        <f>H89/DAY(B2)</f>
        <v>-6.6387500000000728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71984</v>
      </c>
      <c r="F90" s="164">
        <v>71729</v>
      </c>
      <c r="G90" s="112">
        <f t="shared" si="8"/>
        <v>-255</v>
      </c>
      <c r="H90" s="99">
        <f>G90+'15'!H90</f>
        <v>-134.52999999999884</v>
      </c>
      <c r="I90" s="575">
        <f>G90</f>
        <v>-255</v>
      </c>
      <c r="J90" s="175">
        <f>H90/DAY(B2)</f>
        <v>-8.4081249999999272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4122</v>
      </c>
      <c r="F91" s="122">
        <v>3910</v>
      </c>
      <c r="G91" s="112">
        <f t="shared" si="8"/>
        <v>-212</v>
      </c>
      <c r="H91" s="99">
        <f>G91+'15'!H91</f>
        <v>-149.23999999999978</v>
      </c>
      <c r="I91" s="594"/>
      <c r="J91" s="175">
        <f>H91/DAY(B2)</f>
        <v>-9.3274999999999864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6040</v>
      </c>
      <c r="F92" s="122">
        <v>5920</v>
      </c>
      <c r="G92" s="112">
        <f t="shared" si="8"/>
        <v>-120</v>
      </c>
      <c r="H92" s="99">
        <f>G92+'15'!H92</f>
        <v>-15</v>
      </c>
      <c r="I92" s="600">
        <f>G91+G92</f>
        <v>-332</v>
      </c>
      <c r="J92" s="175">
        <f>H92/DAY(B2)</f>
        <v>-0.9375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-209125</v>
      </c>
      <c r="H94" s="99">
        <f>G94+'15'!H94</f>
        <v>-103380</v>
      </c>
      <c r="I94" s="118"/>
      <c r="J94" s="175">
        <f>H94/DAY(B2)</f>
        <v>-6461.25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51"/>
      <c r="G95" s="166">
        <f>G94/G7</f>
        <v>-7.7453703703703702</v>
      </c>
      <c r="H95" s="99">
        <f>G95+'15'!H95</f>
        <v>-3.8512837412847287</v>
      </c>
      <c r="I95" s="167"/>
      <c r="J95" s="175">
        <f>H95/DAY(B2)</f>
        <v>-0.24070523383029555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-244711.80000000002</v>
      </c>
      <c r="H96" s="99">
        <f>G96+'15'!H96</f>
        <v>-120450.30000000002</v>
      </c>
      <c r="I96" s="118"/>
      <c r="J96" s="175">
        <f>H96/DAY(B2)</f>
        <v>-7528.1437500000011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-9.0634000000000015</v>
      </c>
      <c r="H97" s="99">
        <f>G97+'15'!H97</f>
        <v>-4.4920282992481484</v>
      </c>
      <c r="I97" s="167"/>
      <c r="J97" s="175">
        <f>H97/DAY(B2)</f>
        <v>-0.28075176870300927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-86763</v>
      </c>
      <c r="H98" s="99">
        <f>G98+'15'!H98</f>
        <v>-43299</v>
      </c>
      <c r="I98" s="168"/>
      <c r="J98" s="175">
        <f>H98/DAY(B2)</f>
        <v>-2706.1875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-3.2134444444444443</v>
      </c>
      <c r="H99" s="99">
        <f>G99+'15'!H99</f>
        <v>-1.6111176243909116</v>
      </c>
      <c r="I99" s="168"/>
      <c r="J99" s="175">
        <f>H99/DAY(B2)</f>
        <v>-0.10069485152443197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-67946</v>
      </c>
      <c r="H100" s="99">
        <f>G100+'15'!H100</f>
        <v>-33381.24</v>
      </c>
      <c r="I100" s="118"/>
      <c r="J100" s="175">
        <f>H100/DAY(B2)</f>
        <v>-2086.3274999999999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-2.5165185185185184</v>
      </c>
      <c r="H101" s="99">
        <f>G101+'15'!H101</f>
        <v>-1.2422611209662515</v>
      </c>
      <c r="I101" s="168"/>
      <c r="J101" s="175">
        <f>H101/DAY(B2)</f>
        <v>-7.764132006039072E-2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-68401</v>
      </c>
      <c r="H102" s="99">
        <f>G102+'15'!H102</f>
        <v>-34450</v>
      </c>
      <c r="I102" s="168"/>
      <c r="J102" s="175">
        <f>H102/DAY(B2)</f>
        <v>-2153.125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-2.5333703703703705</v>
      </c>
      <c r="H103" s="99">
        <f>G103+'15'!H103</f>
        <v>-1.2873223691176003</v>
      </c>
      <c r="I103" s="118"/>
      <c r="J103" s="175">
        <f>H103/DAY(B2)</f>
        <v>-8.0457648069850021E-2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-49263</v>
      </c>
      <c r="H104" s="99">
        <f>G104+'15'!H104</f>
        <v>-24412.68</v>
      </c>
      <c r="I104" s="118"/>
      <c r="J104" s="175">
        <f>H104/DAY(B2)</f>
        <v>-1525.7925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-1.8245555555555555</v>
      </c>
      <c r="H105" s="99">
        <f>G105+'15'!H105</f>
        <v>-0.90886287808438149</v>
      </c>
      <c r="I105" s="187"/>
      <c r="J105" s="188">
        <f>H105/DAY(B2)</f>
        <v>-5.6803929880273843E-2</v>
      </c>
      <c r="O105" s="71"/>
    </row>
    <row r="106" spans="1:15" ht="25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5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'15'!F112</f>
        <v>1416</v>
      </c>
      <c r="F112" s="237">
        <v>63435</v>
      </c>
      <c r="G112" s="112">
        <f t="shared" ref="G112:G123" si="9">F112-E112</f>
        <v>62019</v>
      </c>
      <c r="H112" s="99">
        <f>G112+'15'!H112</f>
        <v>63192</v>
      </c>
      <c r="I112" s="165"/>
      <c r="J112" s="328">
        <f>H112/DAY(B2)</f>
        <v>3949.5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'15'!F113</f>
        <v>3150</v>
      </c>
      <c r="F113" s="237">
        <v>82122</v>
      </c>
      <c r="G113" s="112">
        <f t="shared" si="9"/>
        <v>78972</v>
      </c>
      <c r="H113" s="99">
        <f>G113+'15'!H113</f>
        <v>81640</v>
      </c>
      <c r="I113" s="165"/>
      <c r="J113" s="328">
        <f>H113/DAY(B2)</f>
        <v>5102.5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'15'!F114</f>
        <v>3939</v>
      </c>
      <c r="F114" s="417">
        <v>54609</v>
      </c>
      <c r="G114" s="112">
        <f t="shared" si="9"/>
        <v>50670</v>
      </c>
      <c r="H114" s="99">
        <f>G114+'15'!H114</f>
        <v>53945</v>
      </c>
      <c r="I114" s="165"/>
      <c r="J114" s="328">
        <f>H114/DAY(B2)</f>
        <v>3371.5625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'15'!F115</f>
        <v>2866</v>
      </c>
      <c r="F115" s="417">
        <v>10211</v>
      </c>
      <c r="G115" s="236">
        <f t="shared" si="9"/>
        <v>7345</v>
      </c>
      <c r="H115" s="99">
        <f>G115+'15'!H115</f>
        <v>9700</v>
      </c>
      <c r="I115" s="165"/>
      <c r="J115" s="328">
        <f>H115/DAY(B2)</f>
        <v>606.25</v>
      </c>
      <c r="N115" s="471" t="s">
        <v>364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'15'!F116</f>
        <v>40320</v>
      </c>
      <c r="F116" s="237">
        <v>29628</v>
      </c>
      <c r="G116" s="112">
        <f t="shared" si="9"/>
        <v>-10692</v>
      </c>
      <c r="H116" s="99">
        <f>G116+'15'!H116</f>
        <v>-5038</v>
      </c>
      <c r="I116" s="165"/>
      <c r="J116" s="328">
        <f>H116/DAY(B2)</f>
        <v>-314.875</v>
      </c>
      <c r="Q116" s="886" t="s">
        <v>311</v>
      </c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'15'!F117</f>
        <v>21896</v>
      </c>
      <c r="F117" s="237">
        <v>16685</v>
      </c>
      <c r="G117" s="112">
        <f t="shared" si="9"/>
        <v>-5211</v>
      </c>
      <c r="H117" s="99">
        <f>G117+'15'!H117</f>
        <v>-2251</v>
      </c>
      <c r="I117" s="165"/>
      <c r="J117" s="328">
        <f>H117/DAY(B2)</f>
        <v>-140.6875</v>
      </c>
      <c r="Q117" s="886" t="s">
        <v>312</v>
      </c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'15'!F118</f>
        <v>17374</v>
      </c>
      <c r="F118" s="237">
        <v>1548</v>
      </c>
      <c r="G118" s="112">
        <f t="shared" si="9"/>
        <v>-15826</v>
      </c>
      <c r="H118" s="99">
        <f>G118+'15'!H118</f>
        <v>-7515</v>
      </c>
      <c r="I118" s="165"/>
      <c r="J118" s="328">
        <f>H118/DAY(B2)</f>
        <v>-469.6875</v>
      </c>
      <c r="Q118" s="886" t="s">
        <v>311</v>
      </c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'15'!F119</f>
        <v>12107</v>
      </c>
      <c r="F119" s="614">
        <v>290068</v>
      </c>
      <c r="G119" s="112">
        <f t="shared" si="9"/>
        <v>277961</v>
      </c>
      <c r="H119" s="99">
        <f>G119+'15'!H119</f>
        <v>284165</v>
      </c>
      <c r="I119" s="165"/>
      <c r="J119" s="328">
        <f>H119/DAY(B2)</f>
        <v>17760.3125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'15'!F120</f>
        <v>13330</v>
      </c>
      <c r="F120" s="237">
        <v>1241</v>
      </c>
      <c r="G120" s="112">
        <f t="shared" si="9"/>
        <v>-12089</v>
      </c>
      <c r="H120" s="99">
        <f>G120+'15'!H120</f>
        <v>-5894</v>
      </c>
      <c r="I120" s="165"/>
      <c r="J120" s="328">
        <f>H120/DAY(B2)</f>
        <v>-368.375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'15'!F121</f>
        <v>18461</v>
      </c>
      <c r="F121" s="237">
        <v>2442</v>
      </c>
      <c r="G121" s="112">
        <f t="shared" si="9"/>
        <v>-16019</v>
      </c>
      <c r="H121" s="99">
        <f>G121+'15'!H121</f>
        <v>-9285</v>
      </c>
      <c r="I121" s="165"/>
      <c r="J121" s="328">
        <f>H121/DAY(B2)</f>
        <v>-580.3125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'15'!F122</f>
        <v>6611</v>
      </c>
      <c r="F122" s="237">
        <v>614</v>
      </c>
      <c r="G122" s="112">
        <f t="shared" si="9"/>
        <v>-5997</v>
      </c>
      <c r="H122" s="99">
        <f>G122+'15'!H122</f>
        <v>-2950</v>
      </c>
      <c r="I122" s="165"/>
      <c r="J122" s="328">
        <f>H122/DAY(B2)</f>
        <v>-184.375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'15'!F123</f>
        <v>5571</v>
      </c>
      <c r="F123" s="237">
        <v>173541</v>
      </c>
      <c r="G123" s="112">
        <f t="shared" si="9"/>
        <v>167970</v>
      </c>
      <c r="H123" s="99">
        <f>G123+'15'!H123</f>
        <v>172574</v>
      </c>
      <c r="I123" s="165"/>
      <c r="J123" s="328">
        <f>H123/DAY(B2)</f>
        <v>10785.875</v>
      </c>
    </row>
    <row r="124" spans="1:18" ht="29.25" customHeight="1">
      <c r="A124" s="890"/>
      <c r="B124" s="891"/>
      <c r="C124" s="892"/>
      <c r="D124" s="165"/>
      <c r="E124" s="165"/>
      <c r="F124" s="155"/>
      <c r="G124" s="327"/>
      <c r="H124" s="156"/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579103</v>
      </c>
      <c r="H125" s="156"/>
      <c r="I125" s="327">
        <f>G125-(G39+G53)</f>
        <v>665866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'15'!F128</f>
        <v>87761</v>
      </c>
      <c r="F128" s="155">
        <v>75770</v>
      </c>
      <c r="G128" s="112">
        <f t="shared" ref="G128:G134" si="10">F128-E128</f>
        <v>-11991</v>
      </c>
      <c r="H128" s="99">
        <f>G128+'15'!H128</f>
        <v>-5645</v>
      </c>
      <c r="I128" s="165"/>
      <c r="J128" s="328">
        <f>H128/DAY(B2)</f>
        <v>-352.8125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55570</v>
      </c>
      <c r="F129" s="155">
        <v>46966</v>
      </c>
      <c r="G129" s="112">
        <f t="shared" si="10"/>
        <v>-8604</v>
      </c>
      <c r="H129" s="99">
        <f>G129+'15'!H129</f>
        <v>-4106</v>
      </c>
      <c r="I129" s="165"/>
      <c r="J129" s="328">
        <f>H129/DAY(B2)</f>
        <v>-256.625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107448</v>
      </c>
      <c r="F130" s="157">
        <v>86720</v>
      </c>
      <c r="G130" s="112">
        <f t="shared" si="10"/>
        <v>-20728</v>
      </c>
      <c r="H130" s="99">
        <f>G130+'15'!H130</f>
        <v>-9926</v>
      </c>
      <c r="I130" s="165"/>
      <c r="J130" s="328">
        <f>H130/DAY(B2)</f>
        <v>-620.375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'15'!F131</f>
        <v>33191</v>
      </c>
      <c r="F131" s="155">
        <v>27570</v>
      </c>
      <c r="G131" s="112">
        <f t="shared" si="10"/>
        <v>-5621</v>
      </c>
      <c r="H131" s="99">
        <f>G131+'15'!H131</f>
        <v>-2865</v>
      </c>
      <c r="I131" s="165"/>
      <c r="J131" s="328">
        <f>H131/DAY(B2)</f>
        <v>-179.0625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'15'!F132</f>
        <v>96544</v>
      </c>
      <c r="F132" s="155">
        <v>82622</v>
      </c>
      <c r="G132" s="112">
        <f t="shared" si="10"/>
        <v>-13922</v>
      </c>
      <c r="H132" s="99">
        <f>G132+'15'!H132</f>
        <v>-6315</v>
      </c>
      <c r="I132" s="165"/>
      <c r="J132" s="328">
        <f>H132/DAY(B2)</f>
        <v>-394.6875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'15'!F133</f>
        <v>187107</v>
      </c>
      <c r="F133" s="155">
        <v>159820</v>
      </c>
      <c r="G133" s="112">
        <f t="shared" si="10"/>
        <v>-27287</v>
      </c>
      <c r="H133" s="99">
        <f>G133+'15'!H133</f>
        <v>-12626</v>
      </c>
      <c r="I133" s="165"/>
      <c r="J133" s="328">
        <f>H133/DAY(B2)</f>
        <v>-789.125</v>
      </c>
    </row>
    <row r="134" spans="1:15" s="409" customFormat="1" ht="25.5">
      <c r="A134" s="960" t="s">
        <v>340</v>
      </c>
      <c r="B134" s="961"/>
      <c r="C134" s="962"/>
      <c r="D134" s="233" t="s">
        <v>183</v>
      </c>
      <c r="E134" s="406">
        <f>'15'!F134</f>
        <v>31667</v>
      </c>
      <c r="F134" s="157">
        <v>24658</v>
      </c>
      <c r="G134" s="236">
        <f t="shared" si="10"/>
        <v>-7009</v>
      </c>
      <c r="H134" s="238">
        <f>G134+'15'!H134</f>
        <v>-3435</v>
      </c>
      <c r="I134" s="158"/>
      <c r="J134" s="408">
        <f>H134/DAY(B2)</f>
        <v>-214.6875</v>
      </c>
    </row>
    <row r="135" spans="1:15" ht="25.5">
      <c r="A135" s="868" t="s">
        <v>196</v>
      </c>
      <c r="B135" s="869"/>
      <c r="C135" s="331"/>
      <c r="D135" s="151"/>
      <c r="E135" s="95"/>
      <c r="F135" s="155"/>
      <c r="G135" s="112">
        <f>SUM(G128:G134)</f>
        <v>-95162</v>
      </c>
      <c r="H135" s="99">
        <f>G135+'10'!H135</f>
        <v>-62111.76999999999</v>
      </c>
      <c r="I135" s="327">
        <f>G135-(G35+G49)</f>
        <v>22029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5.5">
      <c r="A138" s="965" t="s">
        <v>185</v>
      </c>
      <c r="B138" s="965"/>
      <c r="C138" s="965"/>
      <c r="D138" s="233" t="s">
        <v>183</v>
      </c>
      <c r="E138" s="406">
        <f>'15'!F138</f>
        <v>880923</v>
      </c>
      <c r="F138" s="148">
        <v>876608</v>
      </c>
      <c r="G138" s="236">
        <f t="shared" ref="G138:G152" si="11">F138-E138</f>
        <v>-4315</v>
      </c>
      <c r="H138" s="238">
        <f>G138+'15'!H138</f>
        <v>-2176</v>
      </c>
      <c r="I138" s="407"/>
      <c r="J138" s="408">
        <f>H138/DAY(B2)</f>
        <v>-136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'15'!F139</f>
        <v>897089</v>
      </c>
      <c r="F139" s="148">
        <v>892746</v>
      </c>
      <c r="G139" s="112">
        <f t="shared" si="11"/>
        <v>-4343</v>
      </c>
      <c r="H139" s="99">
        <f>G139+'15'!H139</f>
        <v>-2120</v>
      </c>
      <c r="I139" s="118"/>
      <c r="J139" s="328">
        <f>H139/DAY(B2)</f>
        <v>-132.5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'15'!F140</f>
        <v>344</v>
      </c>
      <c r="F140" s="149">
        <v>89020</v>
      </c>
      <c r="G140" s="112">
        <f t="shared" si="11"/>
        <v>88676</v>
      </c>
      <c r="H140" s="99">
        <f>G140+'15'!H140</f>
        <v>88885</v>
      </c>
      <c r="I140" s="118"/>
      <c r="J140" s="328">
        <f>H140/DAY(B2)</f>
        <v>5555.3125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'15'!F141</f>
        <v>74764</v>
      </c>
      <c r="F141" s="149">
        <v>68939</v>
      </c>
      <c r="G141" s="112">
        <f t="shared" si="11"/>
        <v>-5825</v>
      </c>
      <c r="H141" s="99">
        <f>G141+'15'!H141</f>
        <v>-2835</v>
      </c>
      <c r="I141" s="118"/>
      <c r="J141" s="328">
        <f>H141/DAY(B2)</f>
        <v>-177.1875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'15'!F142</f>
        <v>28462</v>
      </c>
      <c r="F142" s="148">
        <v>26566</v>
      </c>
      <c r="G142" s="112">
        <f t="shared" si="11"/>
        <v>-1896</v>
      </c>
      <c r="H142" s="99">
        <f>G142+'15'!H142</f>
        <v>-900</v>
      </c>
      <c r="I142" s="140"/>
      <c r="J142" s="328">
        <f>H142/DAY(B2)</f>
        <v>-56.25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'15'!F143</f>
        <v>6832</v>
      </c>
      <c r="F143" s="149">
        <v>6006</v>
      </c>
      <c r="G143" s="112">
        <f t="shared" si="11"/>
        <v>-826</v>
      </c>
      <c r="H143" s="99">
        <f>G143+'15'!H143</f>
        <v>-411</v>
      </c>
      <c r="I143" s="140"/>
      <c r="J143" s="328">
        <f>H143/DAY(B2)</f>
        <v>-25.6875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'15'!F144</f>
        <v>901112</v>
      </c>
      <c r="F144" s="149">
        <v>893890</v>
      </c>
      <c r="G144" s="112">
        <f t="shared" si="11"/>
        <v>-7222</v>
      </c>
      <c r="H144" s="99">
        <f>G144+'15'!H144</f>
        <v>-3343</v>
      </c>
      <c r="I144" s="140"/>
      <c r="J144" s="328">
        <f>H144/DAY(B2)</f>
        <v>-208.9375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'15'!F145</f>
        <v>5659</v>
      </c>
      <c r="F145" s="148">
        <v>5590</v>
      </c>
      <c r="G145" s="112">
        <f t="shared" si="11"/>
        <v>-69</v>
      </c>
      <c r="H145" s="99">
        <f>G145+'15'!H145</f>
        <v>-38</v>
      </c>
      <c r="I145" s="140"/>
      <c r="J145" s="328">
        <f>H145/DAY(B2)</f>
        <v>-2.375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'15'!F146</f>
        <v>777090</v>
      </c>
      <c r="F146" s="148">
        <v>772359</v>
      </c>
      <c r="G146" s="112">
        <f t="shared" si="11"/>
        <v>-4731</v>
      </c>
      <c r="H146" s="99">
        <f>G146+'15'!H146</f>
        <v>-4095</v>
      </c>
      <c r="I146" s="140"/>
      <c r="J146" s="328">
        <f>H146/DAY(B2)</f>
        <v>-255.9375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'15'!F147</f>
        <v>669355</v>
      </c>
      <c r="F147" s="148">
        <v>657197</v>
      </c>
      <c r="G147" s="112">
        <f t="shared" si="11"/>
        <v>-12158</v>
      </c>
      <c r="H147" s="99">
        <f>G147+'15'!H147</f>
        <v>-6031</v>
      </c>
      <c r="I147" s="140"/>
      <c r="J147" s="328">
        <f>H147/DAY(B2)</f>
        <v>-376.9375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'15'!F148</f>
        <v>725044</v>
      </c>
      <c r="F148" s="164">
        <v>714628</v>
      </c>
      <c r="G148" s="112">
        <f t="shared" si="11"/>
        <v>-10416</v>
      </c>
      <c r="H148" s="99">
        <f>G148+'15'!H148</f>
        <v>-5288</v>
      </c>
      <c r="I148" s="124"/>
      <c r="J148" s="328">
        <f>H148/DAY(B2)</f>
        <v>-330.5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'15'!F149</f>
        <v>91192</v>
      </c>
      <c r="F149" s="233">
        <v>74161</v>
      </c>
      <c r="G149" s="112">
        <f t="shared" si="11"/>
        <v>-17031</v>
      </c>
      <c r="H149" s="99">
        <f>G149+'15'!H149</f>
        <v>-9227</v>
      </c>
      <c r="I149" s="119"/>
      <c r="J149" s="328">
        <f>H149/DAY(B2)</f>
        <v>-576.6875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'15'!F150</f>
        <v>33790</v>
      </c>
      <c r="F150" s="233">
        <v>27593</v>
      </c>
      <c r="G150" s="112">
        <f t="shared" si="11"/>
        <v>-6197</v>
      </c>
      <c r="H150" s="99">
        <f>G150+'15'!H150</f>
        <v>-2994</v>
      </c>
      <c r="I150" s="119"/>
      <c r="J150" s="328">
        <f>H150/DAY(B2)</f>
        <v>-187.125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'15'!F151</f>
        <v>113627</v>
      </c>
      <c r="F151" s="233">
        <v>105145</v>
      </c>
      <c r="G151" s="112">
        <f t="shared" si="11"/>
        <v>-8482</v>
      </c>
      <c r="H151" s="99">
        <f>G151+'15'!H151</f>
        <v>-4083</v>
      </c>
      <c r="I151" s="119"/>
      <c r="J151" s="328">
        <f>H151/DAY(B2)</f>
        <v>-255.1875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'15'!F152</f>
        <v>13253</v>
      </c>
      <c r="F152" s="233">
        <v>10049</v>
      </c>
      <c r="G152" s="112">
        <f t="shared" si="11"/>
        <v>-3204</v>
      </c>
      <c r="H152" s="99">
        <f>G152+'15'!H152</f>
        <v>-1107</v>
      </c>
      <c r="I152" s="119"/>
      <c r="J152" s="328">
        <f>H152/DAY(B2)</f>
        <v>-69.1875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1961</v>
      </c>
      <c r="H153" s="363"/>
      <c r="I153" s="119">
        <f>G153-(G38+G52)</f>
        <v>69907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406">
        <f>'15'!F155</f>
        <v>102029</v>
      </c>
      <c r="F155" s="422">
        <v>83267</v>
      </c>
      <c r="G155" s="236">
        <f>F155-E155</f>
        <v>-18762</v>
      </c>
      <c r="H155" s="99">
        <f>G155+'15'!H155</f>
        <v>-9465</v>
      </c>
      <c r="I155" s="364"/>
      <c r="J155" s="328">
        <f>H155/DAY(B2)</f>
        <v>-591.5625</v>
      </c>
    </row>
    <row r="156" spans="1:10" ht="25.5">
      <c r="A156" s="864" t="s">
        <v>347</v>
      </c>
      <c r="B156" s="864"/>
      <c r="C156" s="864"/>
      <c r="D156" s="117" t="s">
        <v>130</v>
      </c>
      <c r="E156" s="406">
        <f>'15'!F156</f>
        <v>8608</v>
      </c>
      <c r="F156" s="157">
        <v>6926</v>
      </c>
      <c r="G156" s="236">
        <f t="shared" ref="G156:G158" si="12">F156-E156</f>
        <v>-1682</v>
      </c>
      <c r="H156" s="99">
        <f>G156+'15'!H156</f>
        <v>-765</v>
      </c>
      <c r="I156" s="165"/>
      <c r="J156" s="328">
        <f>H156/DAY(B2)</f>
        <v>-47.8125</v>
      </c>
    </row>
    <row r="157" spans="1:10" ht="25.5">
      <c r="A157" s="865" t="s">
        <v>361</v>
      </c>
      <c r="B157" s="866"/>
      <c r="C157" s="867"/>
      <c r="D157" s="117" t="s">
        <v>130</v>
      </c>
      <c r="E157" s="406">
        <f>'15'!F157</f>
        <v>15434</v>
      </c>
      <c r="F157" s="157">
        <v>11966</v>
      </c>
      <c r="G157" s="236">
        <f t="shared" si="12"/>
        <v>-3468</v>
      </c>
      <c r="H157" s="99">
        <f>G157+'15'!H157</f>
        <v>-1530</v>
      </c>
      <c r="I157" s="165"/>
      <c r="J157" s="328">
        <f>H157/DAY(B2)</f>
        <v>-95.625</v>
      </c>
    </row>
    <row r="158" spans="1:10" ht="25.5">
      <c r="A158" s="865" t="s">
        <v>362</v>
      </c>
      <c r="B158" s="866"/>
      <c r="C158" s="867"/>
      <c r="D158" s="117" t="s">
        <v>130</v>
      </c>
      <c r="E158" s="406">
        <f>'15'!F158</f>
        <v>130.83000000000001</v>
      </c>
      <c r="F158" s="157">
        <v>95.45</v>
      </c>
      <c r="G158" s="236">
        <f t="shared" si="12"/>
        <v>-35.38000000000001</v>
      </c>
      <c r="H158" s="99">
        <f>G158+'15'!H158</f>
        <v>15.909999999999997</v>
      </c>
      <c r="I158" s="165"/>
      <c r="J158" s="328">
        <f>H158/DAY(B2)</f>
        <v>0.99437499999999979</v>
      </c>
    </row>
    <row r="159" spans="1:10" ht="25.5">
      <c r="A159" s="950"/>
      <c r="B159" s="951"/>
      <c r="C159" s="952"/>
      <c r="D159" s="117"/>
      <c r="E159" s="95"/>
      <c r="F159" s="155"/>
      <c r="G159" s="362">
        <f>SUM(G155:G158)</f>
        <v>-23947.38</v>
      </c>
      <c r="H159" s="99">
        <f>G159+'15'!H159</f>
        <v>-23947.38</v>
      </c>
      <c r="I159" s="165"/>
      <c r="J159" s="328">
        <f>H159/DAY(B2)</f>
        <v>-1496.7112500000001</v>
      </c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475177</v>
      </c>
      <c r="F161" s="235">
        <v>474115</v>
      </c>
      <c r="G161" s="238">
        <f t="shared" ref="G161:G165" si="13">F161-E161</f>
        <v>-1062</v>
      </c>
      <c r="H161" s="99">
        <f>G161+'15'!H161</f>
        <v>-668</v>
      </c>
      <c r="I161" s="236"/>
      <c r="J161" s="239">
        <f>H161/DAY(B2)</f>
        <v>-41.75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92090</v>
      </c>
      <c r="F162" s="235">
        <v>91047</v>
      </c>
      <c r="G162" s="238">
        <f t="shared" si="13"/>
        <v>-1043</v>
      </c>
      <c r="H162" s="99">
        <f>G162+'15'!H162</f>
        <v>-500</v>
      </c>
      <c r="I162" s="236"/>
      <c r="J162" s="239">
        <f>H162/DAY(B2)</f>
        <v>-31.25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94546</v>
      </c>
      <c r="F163" s="235">
        <v>89815</v>
      </c>
      <c r="G163" s="238">
        <f t="shared" si="13"/>
        <v>-4731</v>
      </c>
      <c r="H163" s="99">
        <f>G163+'15'!H163</f>
        <v>-2221</v>
      </c>
      <c r="I163" s="236"/>
      <c r="J163" s="239">
        <f>H163/DAY(B2)</f>
        <v>-138.8125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5354</v>
      </c>
      <c r="F164" s="235">
        <v>5022</v>
      </c>
      <c r="G164" s="238">
        <f t="shared" si="13"/>
        <v>-332</v>
      </c>
      <c r="H164" s="99">
        <f>G164+'15'!H164</f>
        <v>-160</v>
      </c>
      <c r="I164" s="236"/>
      <c r="J164" s="239">
        <f>H164/DAY(B2)</f>
        <v>-10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30826</v>
      </c>
      <c r="F165" s="235">
        <v>30479</v>
      </c>
      <c r="G165" s="238">
        <f t="shared" si="13"/>
        <v>-347</v>
      </c>
      <c r="H165" s="99">
        <f>G165+'15'!H165</f>
        <v>-155</v>
      </c>
      <c r="I165" s="236"/>
      <c r="J165" s="239">
        <f>H165/DAY(B2)</f>
        <v>-9.6875</v>
      </c>
    </row>
    <row r="166" spans="1:10" ht="26.25">
      <c r="A166" s="873"/>
      <c r="B166" s="873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'15'!F173</f>
        <v>8265</v>
      </c>
      <c r="F173" s="155">
        <v>8277</v>
      </c>
      <c r="G173" s="155">
        <f>F173-E173</f>
        <v>12</v>
      </c>
      <c r="H173" s="99">
        <f>G173+'15'!H173</f>
        <v>16</v>
      </c>
      <c r="I173" s="155"/>
      <c r="J173" s="178">
        <f>H173/DAY(B2)</f>
        <v>1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'15'!F174</f>
        <v>40104</v>
      </c>
      <c r="F174" s="157">
        <v>39702</v>
      </c>
      <c r="G174" s="155">
        <f t="shared" ref="G174:G175" si="14">F174-E174</f>
        <v>-402</v>
      </c>
      <c r="H174" s="99">
        <f>G174+'15'!H174</f>
        <v>-226</v>
      </c>
      <c r="I174" s="155"/>
      <c r="J174" s="178">
        <f>H174/DAY(B2)</f>
        <v>-14.125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'15'!F175</f>
        <v>23059</v>
      </c>
      <c r="F175" s="155">
        <v>22716</v>
      </c>
      <c r="G175" s="155">
        <f t="shared" si="14"/>
        <v>-343</v>
      </c>
      <c r="H175" s="99">
        <f>G175+'15'!H175</f>
        <v>-173</v>
      </c>
      <c r="I175" s="155"/>
      <c r="J175" s="178">
        <f>H175/DAY(B2)</f>
        <v>-10.8125</v>
      </c>
    </row>
    <row r="176" spans="1:10" ht="25.5">
      <c r="A176" s="868" t="s">
        <v>196</v>
      </c>
      <c r="B176" s="869"/>
      <c r="C176" s="333"/>
      <c r="D176" s="228" t="s">
        <v>142</v>
      </c>
      <c r="E176" s="95">
        <f>'15'!F176</f>
        <v>0</v>
      </c>
      <c r="F176" s="155"/>
      <c r="G176" s="155">
        <f>SUM(G173:G175)</f>
        <v>-733</v>
      </c>
      <c r="H176" s="99">
        <f>G176+'15'!H176</f>
        <v>-383</v>
      </c>
      <c r="I176" s="155"/>
      <c r="J176" s="178">
        <f>H176/DAY(B2)</f>
        <v>-23.9375</v>
      </c>
    </row>
    <row r="177" spans="1:11" ht="25.5">
      <c r="A177" s="879" t="s">
        <v>77</v>
      </c>
      <c r="B177" s="880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79" t="s">
        <v>210</v>
      </c>
      <c r="B178" s="880"/>
      <c r="C178" s="333"/>
      <c r="D178" s="228" t="s">
        <v>142</v>
      </c>
      <c r="E178" s="95">
        <f>'15'!F178</f>
        <v>90175</v>
      </c>
      <c r="F178" s="155">
        <v>87170</v>
      </c>
      <c r="G178" s="155">
        <f>F178-E178</f>
        <v>-3005</v>
      </c>
      <c r="H178" s="99">
        <f>G178+'15'!H178</f>
        <v>-1433</v>
      </c>
      <c r="I178" s="155"/>
      <c r="J178" s="178">
        <f>H178/DAY(B2)</f>
        <v>-89.5625</v>
      </c>
    </row>
    <row r="179" spans="1:11" ht="25.5">
      <c r="A179" s="879" t="s">
        <v>211</v>
      </c>
      <c r="B179" s="880"/>
      <c r="C179" s="333"/>
      <c r="D179" s="228" t="s">
        <v>142</v>
      </c>
      <c r="E179" s="95">
        <f>'15'!F179</f>
        <v>35775</v>
      </c>
      <c r="F179" s="155">
        <v>35710</v>
      </c>
      <c r="G179" s="155">
        <f t="shared" ref="G179:G180" si="15">F179-E179</f>
        <v>-65</v>
      </c>
      <c r="H179" s="99">
        <f>G179+'15'!H179</f>
        <v>-63</v>
      </c>
      <c r="I179" s="155"/>
      <c r="J179" s="178">
        <f>H179/DAY(B2)</f>
        <v>-3.9375</v>
      </c>
    </row>
    <row r="180" spans="1:11" ht="25.5">
      <c r="A180" s="879" t="s">
        <v>212</v>
      </c>
      <c r="B180" s="880"/>
      <c r="C180" s="333"/>
      <c r="D180" s="228" t="s">
        <v>142</v>
      </c>
      <c r="E180" s="95">
        <f>'15'!F180</f>
        <v>6524</v>
      </c>
      <c r="F180" s="155">
        <v>6267</v>
      </c>
      <c r="G180" s="155">
        <f t="shared" si="15"/>
        <v>-257</v>
      </c>
      <c r="H180" s="99">
        <f>G180+'15'!H180</f>
        <v>-122</v>
      </c>
      <c r="I180" s="155"/>
      <c r="J180" s="178">
        <f>H180/DAY(B2)</f>
        <v>-7.625</v>
      </c>
    </row>
    <row r="181" spans="1:11" ht="25.5">
      <c r="A181" s="881" t="s">
        <v>108</v>
      </c>
      <c r="B181" s="882"/>
      <c r="C181" s="333"/>
      <c r="D181" s="228" t="s">
        <v>142</v>
      </c>
      <c r="E181" s="95">
        <f>'15'!F181</f>
        <v>0</v>
      </c>
      <c r="F181" s="155"/>
      <c r="G181" s="155">
        <f>SUM(G178:G180)</f>
        <v>-3327</v>
      </c>
      <c r="H181" s="99">
        <f>G181+'15'!H181</f>
        <v>-1618</v>
      </c>
      <c r="I181" s="155"/>
      <c r="J181" s="178">
        <f>H181/DAY(B2)</f>
        <v>-101.125</v>
      </c>
    </row>
    <row r="182" spans="1:11" ht="25.5">
      <c r="A182" s="879" t="s">
        <v>213</v>
      </c>
      <c r="B182" s="880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79" t="s">
        <v>214</v>
      </c>
      <c r="B183" s="880"/>
      <c r="C183" s="334"/>
      <c r="D183" s="228" t="s">
        <v>142</v>
      </c>
      <c r="E183" s="95">
        <f>'15'!F183</f>
        <v>16778</v>
      </c>
      <c r="F183" s="157">
        <v>16414</v>
      </c>
      <c r="G183" s="157">
        <f>F183-E183</f>
        <v>-364</v>
      </c>
      <c r="H183" s="99">
        <f>G183+'15'!H183</f>
        <v>-208</v>
      </c>
      <c r="I183" s="155"/>
      <c r="J183" s="178">
        <f>H183/DAY(B2)</f>
        <v>-13</v>
      </c>
    </row>
    <row r="184" spans="1:11" ht="25.5">
      <c r="A184" s="879" t="s">
        <v>215</v>
      </c>
      <c r="B184" s="880"/>
      <c r="C184" s="334"/>
      <c r="D184" s="228" t="s">
        <v>142</v>
      </c>
      <c r="E184" s="95">
        <f>'15'!F184</f>
        <v>11366</v>
      </c>
      <c r="F184" s="157">
        <v>11164</v>
      </c>
      <c r="G184" s="157">
        <f t="shared" ref="G184:G185" si="16">F184-E184</f>
        <v>-202</v>
      </c>
      <c r="H184" s="99">
        <f>G184+'15'!H184</f>
        <v>-110</v>
      </c>
      <c r="I184" s="155"/>
      <c r="J184" s="178">
        <f>H184/DAY(B2)</f>
        <v>-6.875</v>
      </c>
    </row>
    <row r="185" spans="1:11" ht="32.25" customHeight="1">
      <c r="A185" s="879" t="s">
        <v>216</v>
      </c>
      <c r="B185" s="880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868" t="s">
        <v>196</v>
      </c>
      <c r="B186" s="869"/>
      <c r="C186" s="334"/>
      <c r="D186" s="228" t="s">
        <v>142</v>
      </c>
      <c r="E186" s="95">
        <f>'15'!F186</f>
        <v>0</v>
      </c>
      <c r="F186" s="157"/>
      <c r="G186" s="157">
        <f>SUM(G183:G185)</f>
        <v>-566</v>
      </c>
      <c r="H186" s="99">
        <f>G186+'15'!H186</f>
        <v>-318</v>
      </c>
      <c r="I186" s="157"/>
      <c r="J186" s="178">
        <f>H186/DAY(B2)</f>
        <v>-19.875</v>
      </c>
    </row>
    <row r="187" spans="1:11" ht="25.5">
      <c r="A187" s="870" t="s">
        <v>217</v>
      </c>
      <c r="B187" s="871"/>
      <c r="C187" s="333"/>
      <c r="D187" s="230" t="s">
        <v>142</v>
      </c>
      <c r="E187" s="95">
        <f>'15'!F187</f>
        <v>0</v>
      </c>
      <c r="F187" s="159"/>
      <c r="G187" s="378">
        <f>G62+G19</f>
        <v>-5987</v>
      </c>
      <c r="H187" s="99">
        <f>G187+'15'!H187</f>
        <v>-3176</v>
      </c>
      <c r="I187" s="158"/>
      <c r="J187" s="179">
        <f>H187/DAY(B2)</f>
        <v>-198.5</v>
      </c>
    </row>
    <row r="188" spans="1:11" ht="25.5">
      <c r="A188" s="870" t="s">
        <v>218</v>
      </c>
      <c r="B188" s="871"/>
      <c r="C188" s="333"/>
      <c r="D188" s="230" t="s">
        <v>142</v>
      </c>
      <c r="E188" s="95">
        <f>'15'!F188</f>
        <v>0</v>
      </c>
      <c r="F188" s="159"/>
      <c r="G188" s="378">
        <f>G65+G66+G67+G69+G70</f>
        <v>-11638</v>
      </c>
      <c r="H188" s="99">
        <f>G188+'15'!H188</f>
        <v>-11420</v>
      </c>
      <c r="I188" s="158"/>
      <c r="J188" s="179">
        <f>H188/DAY(B2)</f>
        <v>-713.75</v>
      </c>
    </row>
    <row r="189" spans="1:11" ht="23.25" customHeight="1">
      <c r="A189" s="870" t="s">
        <v>219</v>
      </c>
      <c r="B189" s="871"/>
      <c r="C189" s="333"/>
      <c r="D189" s="230" t="s">
        <v>142</v>
      </c>
      <c r="E189" s="95">
        <f>'15'!F189</f>
        <v>0</v>
      </c>
      <c r="F189" s="157"/>
      <c r="G189" s="377">
        <f>G181</f>
        <v>-3327</v>
      </c>
      <c r="H189" s="99">
        <f>G189+'15'!H189</f>
        <v>-1618</v>
      </c>
      <c r="I189" s="158"/>
      <c r="J189" s="179">
        <f>H189/DAY(B2)</f>
        <v>-101.125</v>
      </c>
    </row>
    <row r="190" spans="1:11" ht="23.25" customHeight="1">
      <c r="A190" s="963"/>
      <c r="B190" s="964"/>
      <c r="C190" s="428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4">
        <v>0</v>
      </c>
      <c r="G192" s="160" t="s">
        <v>367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43" zoomScale="55" zoomScaleSheetLayoutView="55" zoomScalePageLayoutView="60" workbookViewId="0">
      <selection activeCell="E15" sqref="E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7.75" customHeight="1">
      <c r="A2" s="191" t="s">
        <v>355</v>
      </c>
      <c r="B2" s="262">
        <v>44668</v>
      </c>
      <c r="C2" s="348" t="s">
        <v>67</v>
      </c>
      <c r="D2" s="218">
        <v>0.91</v>
      </c>
      <c r="E2" s="100"/>
      <c r="F2" s="100"/>
      <c r="G2" s="47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934" t="s">
        <v>119</v>
      </c>
      <c r="F3" s="935"/>
      <c r="G3" s="473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8" t="s">
        <v>128</v>
      </c>
      <c r="B6" s="929"/>
      <c r="C6" s="930"/>
      <c r="D6" s="110"/>
      <c r="E6" s="110"/>
      <c r="F6" s="110"/>
      <c r="G6" s="475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265701</v>
      </c>
      <c r="F7" s="95">
        <f>E7+27000</f>
        <v>292701</v>
      </c>
      <c r="G7" s="476">
        <f>F7-E7</f>
        <v>27000</v>
      </c>
      <c r="H7" s="99">
        <f>G7+'16'!H7</f>
        <v>461663</v>
      </c>
      <c r="I7" s="113">
        <f>'1'!I7</f>
        <v>12000</v>
      </c>
      <c r="J7" s="175">
        <f>H7/DAY(B2)</f>
        <v>27156.647058823528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364035</v>
      </c>
      <c r="F8" s="114">
        <f>E8+26500</f>
        <v>390535</v>
      </c>
      <c r="G8" s="477">
        <f>F8-E8</f>
        <v>26500</v>
      </c>
      <c r="H8" s="99">
        <f>G8+'16'!H8</f>
        <v>471412.27999999991</v>
      </c>
      <c r="I8" s="116"/>
      <c r="J8" s="175">
        <f>H8/DAY(B2)</f>
        <v>27730.134117647052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500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2209550</v>
      </c>
      <c r="F9" s="470">
        <f>E9+16000</f>
        <v>2225550</v>
      </c>
      <c r="G9" s="476">
        <f>F9-E9</f>
        <v>16000</v>
      </c>
      <c r="H9" s="99">
        <f>G9+'16'!H9</f>
        <v>334515</v>
      </c>
      <c r="I9" s="124">
        <f>I7-J7</f>
        <v>-15156.647058823528</v>
      </c>
      <c r="J9" s="175">
        <f>H9/DAY(B2)</f>
        <v>19677.352941176472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719226</v>
      </c>
      <c r="F10" s="353">
        <f>E10+8500</f>
        <v>727726</v>
      </c>
      <c r="G10" s="476">
        <f t="shared" ref="G10:G12" si="0">F10-E10</f>
        <v>8500</v>
      </c>
      <c r="H10" s="99">
        <f>G10+'16'!H10</f>
        <v>112190</v>
      </c>
      <c r="I10" s="282"/>
      <c r="J10" s="175">
        <f>H10/DAY(B2)</f>
        <v>6599.411764705882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6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6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8">
        <f>G9+G10+G11+G12</f>
        <v>24500</v>
      </c>
      <c r="H13" s="99">
        <f>G13+'16'!H13</f>
        <v>444188.75</v>
      </c>
      <c r="I13" s="120">
        <f>G7-G13</f>
        <v>2500</v>
      </c>
      <c r="J13" s="175">
        <f>H13/DAY(B2)</f>
        <v>26128.75</v>
      </c>
      <c r="K13" s="79"/>
      <c r="L13" s="66"/>
      <c r="N13" s="87"/>
      <c r="O13" s="71"/>
    </row>
    <row r="14" spans="1:15" ht="27.75" customHeight="1">
      <c r="A14" s="931" t="s">
        <v>137</v>
      </c>
      <c r="B14" s="932"/>
      <c r="C14" s="933"/>
      <c r="D14" s="111"/>
      <c r="E14" s="111"/>
      <c r="F14" s="111"/>
      <c r="G14" s="479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1989443</v>
      </c>
      <c r="G15" s="476" t="e">
        <f>(F15-E15)</f>
        <v>#VALUE!</v>
      </c>
      <c r="H15" s="99" t="e">
        <f>G15+'16'!H15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6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7.75" customHeight="1">
      <c r="A17" s="931" t="s">
        <v>140</v>
      </c>
      <c r="B17" s="932"/>
      <c r="C17" s="933"/>
      <c r="D17" s="111"/>
      <c r="E17" s="111"/>
      <c r="F17" s="111"/>
      <c r="G17" s="479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7" t="s">
        <v>141</v>
      </c>
      <c r="B18" s="908"/>
      <c r="C18" s="909"/>
      <c r="D18" s="151" t="s">
        <v>142</v>
      </c>
      <c r="E18" s="95">
        <f>'16'!F18</f>
        <v>31</v>
      </c>
      <c r="F18" s="122">
        <v>22</v>
      </c>
      <c r="G18" s="478">
        <f>F18*10</f>
        <v>220</v>
      </c>
      <c r="H18" s="99">
        <f>G18+'16'!H18</f>
        <v>3770</v>
      </c>
      <c r="I18" s="113">
        <f>'1'!I18</f>
        <v>65</v>
      </c>
      <c r="J18" s="175">
        <f>H18/DAY(B2)</f>
        <v>221.76470588235293</v>
      </c>
      <c r="K18" s="79"/>
      <c r="L18" s="66"/>
      <c r="N18" s="87"/>
      <c r="O18" s="71"/>
    </row>
    <row r="19" spans="1:15" ht="27.75" customHeight="1">
      <c r="A19" s="907" t="s">
        <v>69</v>
      </c>
      <c r="B19" s="908"/>
      <c r="C19" s="909"/>
      <c r="D19" s="151" t="s">
        <v>142</v>
      </c>
      <c r="E19" s="95">
        <f>'16'!F19</f>
        <v>157755</v>
      </c>
      <c r="F19" s="122">
        <v>157805</v>
      </c>
      <c r="G19" s="476">
        <f t="shared" ref="G19" si="1">F19-E19</f>
        <v>50</v>
      </c>
      <c r="H19" s="99">
        <f>G19+'16'!H19</f>
        <v>-649</v>
      </c>
      <c r="I19" s="335"/>
      <c r="J19" s="175">
        <f>H19/DAY(B2)</f>
        <v>-38.176470588235297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80">
        <f>G18+G19</f>
        <v>270</v>
      </c>
      <c r="H20" s="99">
        <f>G20+'16'!H20</f>
        <v>3121</v>
      </c>
      <c r="I20" s="336">
        <f>I18-J20</f>
        <v>-118.58823529411765</v>
      </c>
      <c r="J20" s="175">
        <f>H20/DAY(B2)</f>
        <v>183.58823529411765</v>
      </c>
      <c r="K20" s="79"/>
      <c r="L20" s="66"/>
      <c r="N20" s="87"/>
      <c r="O20" s="71"/>
    </row>
    <row r="21" spans="1:15" ht="27.75" customHeight="1">
      <c r="A21" s="931" t="s">
        <v>144</v>
      </c>
      <c r="B21" s="932"/>
      <c r="C21" s="933"/>
      <c r="D21" s="111"/>
      <c r="E21" s="111"/>
      <c r="F21" s="111"/>
      <c r="G21" s="479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8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8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8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6" t="s">
        <v>149</v>
      </c>
      <c r="B25" s="937"/>
      <c r="C25" s="938"/>
      <c r="D25" s="110"/>
      <c r="E25" s="110"/>
      <c r="F25" s="110"/>
      <c r="G25" s="481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2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483">
        <f>E27*F27</f>
        <v>238500</v>
      </c>
      <c r="H27" s="99">
        <f>G27+'16'!H27</f>
        <v>4242710.5200000005</v>
      </c>
      <c r="I27" s="138"/>
      <c r="J27" s="175">
        <f>H27/DAY(B2)</f>
        <v>249571.20705882355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483" t="e">
        <f>E28*F28</f>
        <v>#VALUE!</v>
      </c>
      <c r="H28" s="99" t="e">
        <f>G28+'16'!H28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3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483">
        <f>E30*F30</f>
        <v>7550</v>
      </c>
      <c r="H30" s="99">
        <f>G30+'16'!H30</f>
        <v>-98814</v>
      </c>
      <c r="I30" s="140"/>
      <c r="J30" s="175">
        <f>H30/DAY(B2)</f>
        <v>-5812.588235294118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483">
        <f>E31*F31</f>
        <v>17600</v>
      </c>
      <c r="H31" s="99">
        <f>G31+'16'!H31</f>
        <v>301600</v>
      </c>
      <c r="I31" s="140"/>
      <c r="J31" s="175">
        <f>H31/DAY(B2)</f>
        <v>17741.176470588234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4" t="e">
        <f>G27+G28+G29+G30+G31</f>
        <v>#VALUE!</v>
      </c>
      <c r="H32" s="99" t="e">
        <f>G32+'16'!H32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7.75" customHeight="1">
      <c r="A33" s="939" t="s">
        <v>331</v>
      </c>
      <c r="B33" s="940"/>
      <c r="C33" s="940"/>
      <c r="D33" s="337"/>
      <c r="E33" s="337"/>
      <c r="F33" s="337"/>
      <c r="G33" s="485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6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172784</v>
      </c>
      <c r="F35" s="145">
        <v>174945</v>
      </c>
      <c r="G35" s="476">
        <f t="shared" ref="G35:G46" si="3">F35-E35</f>
        <v>2161</v>
      </c>
      <c r="H35" s="99">
        <f>G35+'16'!H35</f>
        <v>-27940</v>
      </c>
      <c r="I35" s="95"/>
      <c r="J35" s="175">
        <f>H35/DAY(B2)</f>
        <v>-1643.5294117647059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116195</v>
      </c>
      <c r="F36" s="145">
        <v>117262</v>
      </c>
      <c r="G36" s="476">
        <f t="shared" si="3"/>
        <v>1067</v>
      </c>
      <c r="H36" s="99">
        <f>G36+'16'!H36</f>
        <v>-14317</v>
      </c>
      <c r="I36" s="95"/>
      <c r="J36" s="175">
        <f>H36/DAY(B2)</f>
        <v>-842.17647058823525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158712</v>
      </c>
      <c r="F37" s="145">
        <v>160314</v>
      </c>
      <c r="G37" s="476">
        <f t="shared" si="3"/>
        <v>1602</v>
      </c>
      <c r="H37" s="99">
        <f>G37+'16'!H37</f>
        <v>-22811</v>
      </c>
      <c r="I37" s="95"/>
      <c r="J37" s="175">
        <f>H37/DAY(B2)</f>
        <v>-1341.8235294117646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210071</v>
      </c>
      <c r="F38" s="108">
        <v>212440</v>
      </c>
      <c r="G38" s="476">
        <f t="shared" si="3"/>
        <v>2369</v>
      </c>
      <c r="H38" s="99">
        <f>G38+'16'!H38</f>
        <v>-31012</v>
      </c>
      <c r="I38" s="95"/>
      <c r="J38" s="175">
        <f>H38/DAY(B2)</f>
        <v>-1824.2352941176471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296689</v>
      </c>
      <c r="F39" s="145">
        <v>300040</v>
      </c>
      <c r="G39" s="476">
        <f t="shared" si="3"/>
        <v>3351</v>
      </c>
      <c r="H39" s="99">
        <f>G39+'16'!H39</f>
        <v>-39948</v>
      </c>
      <c r="I39" s="95"/>
      <c r="J39" s="175">
        <f>H39/DAY(B2)</f>
        <v>-2349.8823529411766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56487</v>
      </c>
      <c r="F40" s="424">
        <v>56863</v>
      </c>
      <c r="G40" s="476">
        <f t="shared" si="3"/>
        <v>376</v>
      </c>
      <c r="H40" s="99">
        <f>G40+'16'!H40</f>
        <v>-8014</v>
      </c>
      <c r="I40" s="95"/>
      <c r="J40" s="175">
        <f>H40/DAY(B2)</f>
        <v>-471.41176470588238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62.7</v>
      </c>
      <c r="F41" s="145">
        <v>63</v>
      </c>
      <c r="G41" s="476">
        <f t="shared" si="3"/>
        <v>0.29999999999999716</v>
      </c>
      <c r="H41" s="99">
        <f>G41+'16'!H41</f>
        <v>-27630.000000000004</v>
      </c>
      <c r="I41" s="95"/>
      <c r="J41" s="175">
        <f>H41/DAY(B2)</f>
        <v>-1625.294117647059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357354</v>
      </c>
      <c r="F42" s="145">
        <v>362899</v>
      </c>
      <c r="G42" s="476">
        <f t="shared" si="3"/>
        <v>5545</v>
      </c>
      <c r="H42" s="99">
        <f>G42+'16'!H42</f>
        <v>-62902</v>
      </c>
      <c r="I42" s="95"/>
      <c r="J42" s="175">
        <f>H42/DAY(B2)</f>
        <v>-3700.1176470588234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309671</v>
      </c>
      <c r="F43" s="145">
        <v>312969</v>
      </c>
      <c r="G43" s="476">
        <f t="shared" si="3"/>
        <v>3298</v>
      </c>
      <c r="H43" s="99">
        <f>G43+'16'!H43</f>
        <v>-44550</v>
      </c>
      <c r="I43" s="95"/>
      <c r="J43" s="175">
        <f>H43/DAY(B2)</f>
        <v>-2620.5882352941176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6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6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6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8">
        <f>G35+G36+G37+G38+G39+G40+G41+G42+G43+G44+G45+G46</f>
        <v>19769.3</v>
      </c>
      <c r="H47" s="99">
        <f>G47+'16'!H47</f>
        <v>-279123.99999999994</v>
      </c>
      <c r="I47" s="95"/>
      <c r="J47" s="175">
        <f>H47/DAY(B2)</f>
        <v>-16419.058823529409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6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139739</v>
      </c>
      <c r="F49" s="145">
        <v>141544</v>
      </c>
      <c r="G49" s="476">
        <f t="shared" ref="G49:G58" si="4">F49-E49</f>
        <v>1805</v>
      </c>
      <c r="H49" s="99">
        <f>G49+'16'!H49</f>
        <v>-23626</v>
      </c>
      <c r="I49" s="95"/>
      <c r="J49" s="175">
        <f>H49/DAY(B2)</f>
        <v>-1389.7647058823529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153541</v>
      </c>
      <c r="F50" s="145">
        <v>154969</v>
      </c>
      <c r="G50" s="476">
        <f t="shared" si="4"/>
        <v>1428</v>
      </c>
      <c r="H50" s="99">
        <f>G50+'16'!H50</f>
        <v>-17638</v>
      </c>
      <c r="I50" s="95"/>
      <c r="J50" s="175">
        <f>H50/DAY(B2)</f>
        <v>-1037.5294117647059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6">
        <f t="shared" si="4"/>
        <v>0</v>
      </c>
      <c r="H51" s="99">
        <f>G51+'16'!H51</f>
        <v>0.31999999999999318</v>
      </c>
      <c r="I51" s="95"/>
      <c r="J51" s="175">
        <f>H51/DAY(B2)</f>
        <v>1.8823529411764305E-2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9.76</v>
      </c>
      <c r="F52" s="145">
        <v>9.76</v>
      </c>
      <c r="G52" s="476">
        <f t="shared" si="4"/>
        <v>0</v>
      </c>
      <c r="H52" s="99">
        <f>G52+'16'!H52</f>
        <v>-0.24000000000000021</v>
      </c>
      <c r="I52" s="95"/>
      <c r="J52" s="175">
        <f>H52/DAY(B2)</f>
        <v>-1.4117647058823542E-2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6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43486</v>
      </c>
      <c r="F54" s="145">
        <v>43956</v>
      </c>
      <c r="G54" s="476">
        <f t="shared" si="4"/>
        <v>470</v>
      </c>
      <c r="H54" s="99">
        <f>G54+'16'!H54</f>
        <v>-6127</v>
      </c>
      <c r="I54" s="95"/>
      <c r="J54" s="175">
        <f>H54/DAY(B2)</f>
        <v>-360.41176470588238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127264</v>
      </c>
      <c r="F55" s="145">
        <v>129592</v>
      </c>
      <c r="G55" s="476">
        <f t="shared" si="4"/>
        <v>2328</v>
      </c>
      <c r="H55" s="99">
        <f>G55+'16'!H55</f>
        <v>-15375</v>
      </c>
      <c r="I55" s="95"/>
      <c r="J55" s="175">
        <f>H55/DAY(B2)</f>
        <v>-904.41176470588232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100576</v>
      </c>
      <c r="F56" s="145">
        <v>100576</v>
      </c>
      <c r="G56" s="476">
        <f t="shared" si="4"/>
        <v>0</v>
      </c>
      <c r="H56" s="99">
        <f>G56+'16'!H56</f>
        <v>-6670</v>
      </c>
      <c r="I56" s="95"/>
      <c r="J56" s="175">
        <f>H56/DAY(B2)</f>
        <v>-392.35294117647061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476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22248</v>
      </c>
      <c r="F58" s="424">
        <v>22487</v>
      </c>
      <c r="G58" s="476">
        <f t="shared" si="4"/>
        <v>239</v>
      </c>
      <c r="H58" s="99">
        <f>G58+'16'!H58</f>
        <v>-3006</v>
      </c>
      <c r="I58" s="95"/>
      <c r="J58" s="175">
        <f>H58/DAY(B2)</f>
        <v>-176.8235294117647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8">
        <f>G49+G50+G51+G52+G53+G54+G55+G56+G57+G58</f>
        <v>6270</v>
      </c>
      <c r="H59" s="99">
        <f>G59+'16'!H59</f>
        <v>-72441.919999999998</v>
      </c>
      <c r="I59" s="95">
        <f>G7-G60</f>
        <v>960.70000000000073</v>
      </c>
      <c r="J59" s="175">
        <f>H59/DAY(B2)</f>
        <v>-4261.2894117647056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8">
        <f>G47+G59</f>
        <v>26039.3</v>
      </c>
      <c r="H60" s="99">
        <f>G60+'16'!H60</f>
        <v>-351565.91999999993</v>
      </c>
      <c r="I60" s="95">
        <f>G13-G60</f>
        <v>-1539.2999999999993</v>
      </c>
      <c r="J60" s="175">
        <f>H60/DAY(B2)</f>
        <v>-20680.348235294114</v>
      </c>
      <c r="K60" s="79"/>
      <c r="L60" s="66"/>
      <c r="N60" s="87"/>
      <c r="O60" s="71"/>
    </row>
    <row r="61" spans="1:15" s="68" customFormat="1" ht="27.75" customHeight="1">
      <c r="A61" s="941" t="s">
        <v>332</v>
      </c>
      <c r="B61" s="942"/>
      <c r="C61" s="943"/>
      <c r="D61" s="339"/>
      <c r="E61" s="339"/>
      <c r="F61" s="339"/>
      <c r="G61" s="487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7" t="s">
        <v>198</v>
      </c>
      <c r="B62" s="908"/>
      <c r="C62" s="909"/>
      <c r="D62" s="151" t="s">
        <v>142</v>
      </c>
      <c r="E62" s="95">
        <f>'16'!F62</f>
        <v>281532</v>
      </c>
      <c r="F62" s="122">
        <v>281706</v>
      </c>
      <c r="G62" s="476">
        <f t="shared" ref="G62:G63" si="5">F62-E62</f>
        <v>174</v>
      </c>
      <c r="H62" s="99">
        <f>G62+'16'!H62</f>
        <v>-2303</v>
      </c>
      <c r="I62" s="118"/>
      <c r="J62" s="175">
        <f>H62/DAY(B2)</f>
        <v>-135.47058823529412</v>
      </c>
      <c r="K62" s="80"/>
      <c r="L62" s="66"/>
      <c r="N62" s="87"/>
      <c r="O62" s="71"/>
    </row>
    <row r="63" spans="1:15" ht="27.75" customHeight="1">
      <c r="A63" s="907" t="s">
        <v>199</v>
      </c>
      <c r="B63" s="908"/>
      <c r="C63" s="909"/>
      <c r="D63" s="151" t="s">
        <v>142</v>
      </c>
      <c r="E63" s="95">
        <f>'16'!F63</f>
        <v>225495</v>
      </c>
      <c r="F63" s="122">
        <v>225645</v>
      </c>
      <c r="G63" s="476">
        <f t="shared" si="5"/>
        <v>150</v>
      </c>
      <c r="H63" s="99">
        <f>G63+'16'!H63</f>
        <v>-1834</v>
      </c>
      <c r="I63" s="118"/>
      <c r="J63" s="175">
        <f>H63/DAY(B2)</f>
        <v>-107.88235294117646</v>
      </c>
      <c r="K63" s="69"/>
      <c r="L63" s="66"/>
      <c r="N63" s="87"/>
      <c r="O63" s="71"/>
    </row>
    <row r="64" spans="1:15" ht="27.75" customHeight="1">
      <c r="A64" s="916" t="s">
        <v>200</v>
      </c>
      <c r="B64" s="917"/>
      <c r="C64" s="918"/>
      <c r="D64" s="151"/>
      <c r="E64" s="95">
        <f>'16'!F64</f>
        <v>0</v>
      </c>
      <c r="F64" s="122"/>
      <c r="G64" s="476">
        <f>G62+G63</f>
        <v>324</v>
      </c>
      <c r="H64" s="99">
        <f>G64+'16'!H64</f>
        <v>-4137</v>
      </c>
      <c r="I64" s="118"/>
      <c r="J64" s="175">
        <f>H64/DAY(B2)</f>
        <v>-243.35294117647058</v>
      </c>
      <c r="K64" s="69"/>
      <c r="L64" s="66"/>
      <c r="N64" s="87"/>
      <c r="O64" s="71"/>
    </row>
    <row r="65" spans="1:15" ht="27.75" customHeight="1">
      <c r="A65" s="907" t="s">
        <v>201</v>
      </c>
      <c r="B65" s="908"/>
      <c r="C65" s="909"/>
      <c r="D65" s="151" t="s">
        <v>142</v>
      </c>
      <c r="E65" s="95">
        <f>'16'!F65</f>
        <v>442960</v>
      </c>
      <c r="F65" s="122">
        <v>443059</v>
      </c>
      <c r="G65" s="476">
        <f t="shared" ref="G65:G70" si="6">F65-E65</f>
        <v>99</v>
      </c>
      <c r="H65" s="99">
        <f>G65+'16'!H65</f>
        <v>-1533</v>
      </c>
      <c r="I65" s="118"/>
      <c r="J65" s="175">
        <f>H65/DAY(B2)</f>
        <v>-90.17647058823529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109350</v>
      </c>
      <c r="F66" s="122">
        <v>109374</v>
      </c>
      <c r="G66" s="476">
        <f t="shared" si="6"/>
        <v>24</v>
      </c>
      <c r="H66" s="99">
        <f>G66+'16'!H66</f>
        <v>-207</v>
      </c>
      <c r="I66" s="118"/>
      <c r="J66" s="175">
        <f>H66/DAY(B2)</f>
        <v>-12.176470588235293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109786</v>
      </c>
      <c r="F67" s="122">
        <v>109872</v>
      </c>
      <c r="G67" s="476">
        <f t="shared" si="6"/>
        <v>86</v>
      </c>
      <c r="H67" s="99">
        <f>G67+'16'!H67</f>
        <v>-1028</v>
      </c>
      <c r="I67" s="118"/>
      <c r="J67" s="175">
        <f>H67/DAY(B2)</f>
        <v>-60.470588235294116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161150</v>
      </c>
      <c r="F68" s="122">
        <v>161172</v>
      </c>
      <c r="G68" s="476">
        <f t="shared" si="6"/>
        <v>22</v>
      </c>
      <c r="H68" s="99">
        <f>G68+'16'!H68</f>
        <v>-612</v>
      </c>
      <c r="I68" s="118"/>
      <c r="J68" s="175">
        <f>H68/DAY(B2)</f>
        <v>-36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11426</v>
      </c>
      <c r="F69" s="122">
        <v>11435</v>
      </c>
      <c r="G69" s="476">
        <f t="shared" si="6"/>
        <v>9</v>
      </c>
      <c r="H69" s="99">
        <f>G69+'16'!H69</f>
        <v>-163</v>
      </c>
      <c r="I69" s="118"/>
      <c r="J69" s="175">
        <f>H69/DAY(B2)</f>
        <v>-9.5882352941176467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8868</v>
      </c>
      <c r="F70" s="122">
        <v>8879</v>
      </c>
      <c r="G70" s="476">
        <f t="shared" si="6"/>
        <v>11</v>
      </c>
      <c r="H70" s="99">
        <f>G70+'16'!H70</f>
        <v>-122</v>
      </c>
      <c r="I70" s="118"/>
      <c r="J70" s="175">
        <f>H70/DAY(B2)</f>
        <v>-7.1764705882352944</v>
      </c>
      <c r="K70" s="69"/>
      <c r="L70" s="66"/>
      <c r="N70" s="87"/>
      <c r="O70" s="71"/>
    </row>
    <row r="71" spans="1:15" ht="27.75" customHeight="1">
      <c r="A71" s="916" t="s">
        <v>208</v>
      </c>
      <c r="B71" s="917"/>
      <c r="C71" s="918"/>
      <c r="D71" s="152"/>
      <c r="E71" s="152"/>
      <c r="F71" s="152"/>
      <c r="G71" s="488">
        <f>SUM(G65:G70)</f>
        <v>251</v>
      </c>
      <c r="H71" s="99">
        <f>G71+'16'!H71</f>
        <v>-3665</v>
      </c>
      <c r="I71" s="154"/>
      <c r="J71" s="175">
        <f>H71/DAY(B2)</f>
        <v>-215.58823529411765</v>
      </c>
      <c r="K71" s="69"/>
      <c r="L71" s="66"/>
      <c r="N71" s="87"/>
      <c r="O71" s="71"/>
    </row>
    <row r="72" spans="1:15" s="88" customFormat="1" ht="27.75" customHeight="1">
      <c r="A72" s="903"/>
      <c r="B72" s="888"/>
      <c r="C72" s="347"/>
      <c r="D72" s="180"/>
      <c r="E72" s="180" t="s">
        <v>207</v>
      </c>
      <c r="F72" s="180"/>
      <c r="G72" s="489"/>
      <c r="H72" s="181"/>
      <c r="I72" s="180"/>
      <c r="J72" s="182"/>
      <c r="N72" s="87"/>
      <c r="O72" s="71"/>
    </row>
    <row r="73" spans="1:15" ht="27.75" customHeight="1">
      <c r="A73" s="913" t="s">
        <v>333</v>
      </c>
      <c r="B73" s="914"/>
      <c r="C73" s="915"/>
      <c r="D73" s="339"/>
      <c r="E73" s="339"/>
      <c r="F73" s="339"/>
      <c r="G73" s="487"/>
      <c r="H73" s="342"/>
      <c r="I73" s="342"/>
      <c r="J73" s="343"/>
      <c r="K73" s="69"/>
      <c r="L73" s="66"/>
      <c r="N73" s="87"/>
      <c r="O73" s="71"/>
    </row>
    <row r="74" spans="1:15" ht="27.75" customHeight="1">
      <c r="A74" s="907" t="s">
        <v>220</v>
      </c>
      <c r="B74" s="908"/>
      <c r="C74" s="909"/>
      <c r="D74" s="151" t="s">
        <v>139</v>
      </c>
      <c r="E74" s="95">
        <f>'16'!F74</f>
        <v>924281</v>
      </c>
      <c r="F74" s="117">
        <v>924627</v>
      </c>
      <c r="G74" s="476">
        <f t="shared" ref="G74:G78" si="7">F74-E74</f>
        <v>346</v>
      </c>
      <c r="H74" s="99">
        <f>G74+'16'!H74</f>
        <v>-4150</v>
      </c>
      <c r="I74" s="154"/>
      <c r="J74" s="175">
        <f>H74/DAY(B2)</f>
        <v>-244.11764705882354</v>
      </c>
      <c r="K74" s="69"/>
      <c r="L74" s="66"/>
      <c r="N74" s="87"/>
      <c r="O74" s="71"/>
    </row>
    <row r="75" spans="1:15" ht="27.75" customHeight="1">
      <c r="A75" s="907" t="s">
        <v>221</v>
      </c>
      <c r="B75" s="908"/>
      <c r="C75" s="909"/>
      <c r="D75" s="151" t="s">
        <v>139</v>
      </c>
      <c r="E75" s="95">
        <f>'16'!F75</f>
        <v>73586.8</v>
      </c>
      <c r="F75" s="123">
        <v>73586.8</v>
      </c>
      <c r="G75" s="476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04" t="s">
        <v>222</v>
      </c>
      <c r="B76" s="905"/>
      <c r="C76" s="906"/>
      <c r="D76" s="151" t="s">
        <v>139</v>
      </c>
      <c r="E76" s="95">
        <f>'16'!F76</f>
        <v>178467</v>
      </c>
      <c r="F76" s="123">
        <v>178586</v>
      </c>
      <c r="G76" s="476">
        <f t="shared" si="7"/>
        <v>119</v>
      </c>
      <c r="H76" s="99">
        <f>G76+'16'!H76</f>
        <v>-1568</v>
      </c>
      <c r="I76" s="154"/>
      <c r="J76" s="175">
        <f>H76/DAY(B2)</f>
        <v>-92.235294117647058</v>
      </c>
      <c r="K76" s="69"/>
      <c r="L76" s="66"/>
      <c r="N76" s="87"/>
      <c r="O76" s="71"/>
    </row>
    <row r="77" spans="1:15" ht="27.75" customHeight="1">
      <c r="A77" s="904" t="s">
        <v>223</v>
      </c>
      <c r="B77" s="905"/>
      <c r="C77" s="906"/>
      <c r="D77" s="151" t="s">
        <v>139</v>
      </c>
      <c r="E77" s="95">
        <f>'16'!F77</f>
        <v>44960</v>
      </c>
      <c r="F77" s="123">
        <v>45019</v>
      </c>
      <c r="G77" s="476">
        <f t="shared" si="7"/>
        <v>59</v>
      </c>
      <c r="H77" s="99">
        <f>G77+'16'!H77</f>
        <v>-655</v>
      </c>
      <c r="I77" s="154"/>
      <c r="J77" s="175">
        <f>H77/DAY(B2)</f>
        <v>-38.529411764705884</v>
      </c>
      <c r="K77" s="69"/>
      <c r="L77" s="66"/>
      <c r="N77" s="87"/>
      <c r="O77" s="71"/>
    </row>
    <row r="78" spans="1:15" ht="27.75" customHeight="1">
      <c r="A78" s="904" t="s">
        <v>224</v>
      </c>
      <c r="B78" s="905"/>
      <c r="C78" s="906"/>
      <c r="D78" s="151" t="s">
        <v>139</v>
      </c>
      <c r="E78" s="95">
        <f>'16'!F78</f>
        <v>9564</v>
      </c>
      <c r="F78" s="123">
        <v>9564</v>
      </c>
      <c r="G78" s="476">
        <f t="shared" si="7"/>
        <v>0</v>
      </c>
      <c r="H78" s="99">
        <f>G78+'16'!H78</f>
        <v>0.6000000000003638</v>
      </c>
      <c r="I78" s="118"/>
      <c r="J78" s="175">
        <f>H78/DAY(B2)</f>
        <v>3.5294117647080223E-2</v>
      </c>
      <c r="K78" s="69"/>
      <c r="L78" s="66"/>
      <c r="N78" s="87"/>
      <c r="O78" s="71"/>
    </row>
    <row r="79" spans="1:15" s="57" customFormat="1" ht="27.75" customHeight="1">
      <c r="A79" s="904" t="s">
        <v>225</v>
      </c>
      <c r="B79" s="905"/>
      <c r="C79" s="906"/>
      <c r="D79" s="151"/>
      <c r="E79" s="95">
        <f>'16'!F79</f>
        <v>0</v>
      </c>
      <c r="F79" s="123"/>
      <c r="G79" s="476" t="e">
        <f>G15-SUM(G74:G78)</f>
        <v>#VALUE!</v>
      </c>
      <c r="H79" s="99" t="e">
        <f>G79+'16'!H79</f>
        <v>#VALUE!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16" t="s">
        <v>329</v>
      </c>
      <c r="B80" s="917"/>
      <c r="C80" s="918"/>
      <c r="D80" s="151"/>
      <c r="E80" s="117"/>
      <c r="F80" s="117"/>
      <c r="G80" s="476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21" t="s">
        <v>226</v>
      </c>
      <c r="B81" s="922"/>
      <c r="C81" s="923"/>
      <c r="D81" s="110"/>
      <c r="E81" s="110"/>
      <c r="F81" s="110"/>
      <c r="G81" s="490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6">
        <f t="shared" ref="G82:G92" si="8">F82-E82</f>
        <v>0</v>
      </c>
      <c r="H82" s="99">
        <f>G82+'16'!H82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6">
        <f t="shared" si="8"/>
        <v>0</v>
      </c>
      <c r="H83" s="99">
        <f>G83+'16'!H83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41675</v>
      </c>
      <c r="F84" s="164">
        <v>41675</v>
      </c>
      <c r="G84" s="476">
        <f t="shared" si="8"/>
        <v>0</v>
      </c>
      <c r="H84" s="99">
        <f>G84+'16'!H84</f>
        <v>-117</v>
      </c>
      <c r="I84" s="575"/>
      <c r="J84" s="175">
        <f>H84/DAY(B2)</f>
        <v>-6.882352941176471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3485</v>
      </c>
      <c r="F85" s="164">
        <v>3509</v>
      </c>
      <c r="G85" s="476">
        <f t="shared" si="8"/>
        <v>24</v>
      </c>
      <c r="H85" s="99">
        <f>G85+'16'!H85</f>
        <v>-268</v>
      </c>
      <c r="I85" s="575"/>
      <c r="J85" s="175">
        <f>H85/DAY(B2)</f>
        <v>-15.764705882352942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43820</v>
      </c>
      <c r="F86" s="164">
        <v>43836.47</v>
      </c>
      <c r="G86" s="476">
        <f t="shared" si="8"/>
        <v>16.470000000001164</v>
      </c>
      <c r="H86" s="99">
        <f>G86+'16'!H86</f>
        <v>-102.52999999999884</v>
      </c>
      <c r="I86" s="575"/>
      <c r="J86" s="175">
        <f>H86/DAY(B2)</f>
        <v>-6.031176470588167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35276</v>
      </c>
      <c r="F87" s="164">
        <v>35276</v>
      </c>
      <c r="G87" s="476">
        <f t="shared" si="8"/>
        <v>0</v>
      </c>
      <c r="H87" s="99">
        <f>G87+'16'!H87</f>
        <v>-53</v>
      </c>
      <c r="I87" s="575">
        <f>G84+G85+G86+G87</f>
        <v>40.470000000001164</v>
      </c>
      <c r="J87" s="175">
        <f>H87/DAY(B2)</f>
        <v>-3.1176470588235294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24146</v>
      </c>
      <c r="F88" s="164">
        <v>24156.38</v>
      </c>
      <c r="G88" s="476">
        <f t="shared" si="8"/>
        <v>10.380000000001019</v>
      </c>
      <c r="H88" s="99">
        <f>G88+'16'!H88</f>
        <v>-31.739999999997963</v>
      </c>
      <c r="I88" s="575"/>
      <c r="J88" s="175">
        <f>H88/DAY(B2)</f>
        <v>-1.867058823529292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26603</v>
      </c>
      <c r="F89" s="164">
        <v>26604</v>
      </c>
      <c r="G89" s="476">
        <f t="shared" si="8"/>
        <v>1</v>
      </c>
      <c r="H89" s="99">
        <f>G89+'16'!H89</f>
        <v>-105.22000000000116</v>
      </c>
      <c r="I89" s="575">
        <f>G88+G89</f>
        <v>11.380000000001019</v>
      </c>
      <c r="J89" s="175">
        <f>H89/DAY(B2)</f>
        <v>-6.1894117647059508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71729</v>
      </c>
      <c r="F90" s="164">
        <v>71739</v>
      </c>
      <c r="G90" s="476">
        <f t="shared" si="8"/>
        <v>10</v>
      </c>
      <c r="H90" s="99">
        <f>G90+'16'!H90</f>
        <v>-124.52999999999884</v>
      </c>
      <c r="I90" s="575">
        <f>G90</f>
        <v>10</v>
      </c>
      <c r="J90" s="175">
        <f>H90/DAY(B2)</f>
        <v>-7.3252941176469903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3910</v>
      </c>
      <c r="F91" s="122">
        <v>3910</v>
      </c>
      <c r="G91" s="476">
        <f t="shared" si="8"/>
        <v>0</v>
      </c>
      <c r="H91" s="99">
        <f>G91+'16'!H91</f>
        <v>-149.23999999999978</v>
      </c>
      <c r="I91" s="594"/>
      <c r="J91" s="175">
        <f>H91/DAY(B2)</f>
        <v>-8.7788235294117527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5920</v>
      </c>
      <c r="F92" s="122">
        <v>5932</v>
      </c>
      <c r="G92" s="476">
        <f t="shared" si="8"/>
        <v>12</v>
      </c>
      <c r="H92" s="99">
        <f>G92+'16'!H92</f>
        <v>-3</v>
      </c>
      <c r="I92" s="600">
        <f>G91+G92</f>
        <v>12</v>
      </c>
      <c r="J92" s="175">
        <f>H92/DAY(B2)</f>
        <v>-0.17647058823529413</v>
      </c>
      <c r="O92" s="71"/>
    </row>
    <row r="93" spans="1:15" ht="27.75" customHeight="1">
      <c r="A93" s="910" t="s">
        <v>239</v>
      </c>
      <c r="B93" s="911"/>
      <c r="C93" s="912"/>
      <c r="D93" s="111"/>
      <c r="E93" s="111"/>
      <c r="F93" s="111"/>
      <c r="G93" s="479"/>
      <c r="H93" s="121"/>
      <c r="I93" s="121"/>
      <c r="J93" s="183"/>
      <c r="K93" s="69"/>
      <c r="L93" s="66"/>
      <c r="O93" s="71"/>
    </row>
    <row r="94" spans="1:15" ht="27.75" customHeight="1">
      <c r="A94" s="907" t="s">
        <v>240</v>
      </c>
      <c r="B94" s="908"/>
      <c r="C94" s="909"/>
      <c r="D94" s="151" t="s">
        <v>130</v>
      </c>
      <c r="E94" s="151"/>
      <c r="F94" s="151"/>
      <c r="G94" s="491">
        <f>G35+G43+G49+G57</f>
        <v>7264</v>
      </c>
      <c r="H94" s="99">
        <f>G94+'16'!H94</f>
        <v>-96116</v>
      </c>
      <c r="I94" s="118"/>
      <c r="J94" s="175">
        <f>H94/DAY(B2)</f>
        <v>-5653.8823529411766</v>
      </c>
      <c r="K94" s="69"/>
      <c r="L94" s="66"/>
      <c r="O94" s="71"/>
    </row>
    <row r="95" spans="1:15" ht="27.75" customHeight="1">
      <c r="A95" s="907" t="s">
        <v>241</v>
      </c>
      <c r="B95" s="908"/>
      <c r="C95" s="909"/>
      <c r="D95" s="151" t="s">
        <v>23</v>
      </c>
      <c r="E95" s="146"/>
      <c r="F95" s="146"/>
      <c r="G95" s="492">
        <f>G94/G7</f>
        <v>0.26903703703703702</v>
      </c>
      <c r="H95" s="99">
        <f>G95+'16'!H95</f>
        <v>-3.5822467042476918</v>
      </c>
      <c r="I95" s="167"/>
      <c r="J95" s="175">
        <f>H95/DAY(B2)</f>
        <v>-0.21072039436751128</v>
      </c>
      <c r="K95" s="69"/>
      <c r="L95" s="66"/>
      <c r="O95" s="71"/>
    </row>
    <row r="96" spans="1:15" ht="27.75" customHeight="1">
      <c r="A96" s="907" t="s">
        <v>242</v>
      </c>
      <c r="B96" s="908"/>
      <c r="C96" s="909"/>
      <c r="D96" s="151" t="s">
        <v>130</v>
      </c>
      <c r="E96" s="95"/>
      <c r="F96" s="95"/>
      <c r="G96" s="491">
        <f>G41+G42+G55+G56</f>
        <v>7873.3</v>
      </c>
      <c r="H96" s="99">
        <f>G96+'16'!H96</f>
        <v>-112577.00000000001</v>
      </c>
      <c r="I96" s="118"/>
      <c r="J96" s="175">
        <f>H96/DAY(B2)</f>
        <v>-6622.176470588236</v>
      </c>
      <c r="K96" s="69"/>
      <c r="L96" s="66"/>
      <c r="O96" s="71"/>
    </row>
    <row r="97" spans="1:15" ht="27.75" customHeight="1">
      <c r="A97" s="907" t="s">
        <v>243</v>
      </c>
      <c r="B97" s="908"/>
      <c r="C97" s="909"/>
      <c r="D97" s="151" t="s">
        <v>23</v>
      </c>
      <c r="E97" s="95"/>
      <c r="F97" s="95"/>
      <c r="G97" s="492">
        <f>G96/G7</f>
        <v>0.2916037037037037</v>
      </c>
      <c r="H97" s="99">
        <f>G97+'16'!H97</f>
        <v>-4.2004245955444448</v>
      </c>
      <c r="I97" s="167"/>
      <c r="J97" s="175">
        <f>H97/DAY(B2)</f>
        <v>-0.2470837997379085</v>
      </c>
      <c r="K97" s="69"/>
      <c r="L97" s="66"/>
      <c r="O97" s="71"/>
    </row>
    <row r="98" spans="1:15" ht="27.75" customHeight="1">
      <c r="A98" s="907" t="s">
        <v>244</v>
      </c>
      <c r="B98" s="908"/>
      <c r="C98" s="909"/>
      <c r="D98" s="151" t="s">
        <v>130</v>
      </c>
      <c r="E98" s="95"/>
      <c r="F98" s="95"/>
      <c r="G98" s="491">
        <f>G39+G53</f>
        <v>3351</v>
      </c>
      <c r="H98" s="99">
        <f>G98+'16'!H98</f>
        <v>-39948</v>
      </c>
      <c r="I98" s="168"/>
      <c r="J98" s="175">
        <f>H98/DAY(B2)</f>
        <v>-2349.8823529411766</v>
      </c>
      <c r="K98" s="69"/>
      <c r="L98" s="66"/>
      <c r="O98" s="71"/>
    </row>
    <row r="99" spans="1:15" ht="27.75" customHeight="1">
      <c r="A99" s="907" t="s">
        <v>245</v>
      </c>
      <c r="B99" s="908"/>
      <c r="C99" s="909"/>
      <c r="D99" s="151" t="s">
        <v>23</v>
      </c>
      <c r="E99" s="95"/>
      <c r="F99" s="95"/>
      <c r="G99" s="492">
        <f>G98/G7</f>
        <v>0.12411111111111112</v>
      </c>
      <c r="H99" s="99">
        <f>G99+'16'!H99</f>
        <v>-1.4870065132798005</v>
      </c>
      <c r="I99" s="168"/>
      <c r="J99" s="175">
        <f>H99/DAY(B2)</f>
        <v>-8.7470971369400033E-2</v>
      </c>
      <c r="O99" s="71"/>
    </row>
    <row r="100" spans="1:15" ht="27.75" customHeight="1">
      <c r="A100" s="907" t="s">
        <v>246</v>
      </c>
      <c r="B100" s="908"/>
      <c r="C100" s="909"/>
      <c r="D100" s="151" t="s">
        <v>180</v>
      </c>
      <c r="E100" s="95"/>
      <c r="F100" s="95"/>
      <c r="G100" s="491">
        <f>G38+G52</f>
        <v>2369</v>
      </c>
      <c r="H100" s="99">
        <f>G100+'16'!H100</f>
        <v>-31012.239999999998</v>
      </c>
      <c r="I100" s="118"/>
      <c r="J100" s="175">
        <f>H100/DAY(B2)</f>
        <v>-1824.2494117647057</v>
      </c>
      <c r="K100" s="70"/>
      <c r="O100" s="71"/>
    </row>
    <row r="101" spans="1:15" ht="27.75" customHeight="1">
      <c r="A101" s="907" t="s">
        <v>247</v>
      </c>
      <c r="B101" s="908"/>
      <c r="C101" s="909"/>
      <c r="D101" s="151" t="s">
        <v>23</v>
      </c>
      <c r="E101" s="95"/>
      <c r="F101" s="95"/>
      <c r="G101" s="492">
        <f>G100/G7</f>
        <v>8.7740740740740744E-2</v>
      </c>
      <c r="H101" s="99">
        <f>G101+'16'!H101</f>
        <v>-1.1545203802255108</v>
      </c>
      <c r="I101" s="168"/>
      <c r="J101" s="175">
        <f>H101/DAY(B2)</f>
        <v>-6.7912963542677104E-2</v>
      </c>
      <c r="O101" s="71"/>
    </row>
    <row r="102" spans="1:15" ht="27.75" customHeight="1">
      <c r="A102" s="907" t="s">
        <v>248</v>
      </c>
      <c r="B102" s="908"/>
      <c r="C102" s="909"/>
      <c r="D102" s="151" t="s">
        <v>180</v>
      </c>
      <c r="E102" s="95"/>
      <c r="F102" s="95"/>
      <c r="G102" s="491">
        <f>G36+G50</f>
        <v>2495</v>
      </c>
      <c r="H102" s="99">
        <f>G102+'16'!H102</f>
        <v>-31955</v>
      </c>
      <c r="I102" s="168"/>
      <c r="J102" s="175">
        <f>H102/DAY(B2)</f>
        <v>-1879.7058823529412</v>
      </c>
      <c r="O102" s="71"/>
    </row>
    <row r="103" spans="1:15" ht="27.75" customHeight="1">
      <c r="A103" s="907" t="s">
        <v>249</v>
      </c>
      <c r="B103" s="908"/>
      <c r="C103" s="909"/>
      <c r="D103" s="151" t="s">
        <v>23</v>
      </c>
      <c r="E103" s="95"/>
      <c r="F103" s="95"/>
      <c r="G103" s="492">
        <f>G102/G7</f>
        <v>9.240740740740741E-2</v>
      </c>
      <c r="H103" s="99">
        <f>G103+'16'!H103</f>
        <v>-1.1949149617101928</v>
      </c>
      <c r="I103" s="118"/>
      <c r="J103" s="175">
        <f>H103/DAY(B2)</f>
        <v>-7.028911539471723E-2</v>
      </c>
      <c r="O103" s="71"/>
    </row>
    <row r="104" spans="1:15" ht="27.75" customHeight="1">
      <c r="A104" s="907" t="s">
        <v>250</v>
      </c>
      <c r="B104" s="908"/>
      <c r="C104" s="909"/>
      <c r="D104" s="151" t="s">
        <v>180</v>
      </c>
      <c r="E104" s="95"/>
      <c r="F104" s="95"/>
      <c r="G104" s="491">
        <f>G37+G51</f>
        <v>1602</v>
      </c>
      <c r="H104" s="99">
        <f>G104+'16'!H104</f>
        <v>-22810.68</v>
      </c>
      <c r="I104" s="118"/>
      <c r="J104" s="175">
        <f>H104/DAY(B2)</f>
        <v>-1341.8047058823529</v>
      </c>
      <c r="O104" s="71"/>
    </row>
    <row r="105" spans="1:15" ht="27.75" customHeight="1" thickBot="1">
      <c r="A105" s="900" t="s">
        <v>251</v>
      </c>
      <c r="B105" s="901"/>
      <c r="C105" s="902"/>
      <c r="D105" s="231" t="s">
        <v>23</v>
      </c>
      <c r="E105" s="185"/>
      <c r="F105" s="185"/>
      <c r="G105" s="493">
        <f>G104/G7</f>
        <v>5.9333333333333335E-2</v>
      </c>
      <c r="H105" s="99">
        <f>G105+'16'!H105</f>
        <v>-0.84952954475104814</v>
      </c>
      <c r="I105" s="187"/>
      <c r="J105" s="188">
        <f>H105/DAY(B2)</f>
        <v>-4.9972326161826362E-2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4"/>
      <c r="H106" s="170"/>
      <c r="I106" s="169"/>
      <c r="J106" s="171"/>
      <c r="O106" s="71"/>
    </row>
    <row r="108" spans="1:15" ht="27.75" customHeight="1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7.75" customHeight="1">
      <c r="A109" s="924"/>
      <c r="B109" s="924"/>
    </row>
    <row r="110" spans="1:15" ht="27.75" customHeight="1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7.75" customHeight="1">
      <c r="A111" s="890"/>
      <c r="B111" s="891"/>
      <c r="C111" s="892"/>
      <c r="D111" s="165"/>
      <c r="E111" s="165"/>
      <c r="F111" s="165"/>
      <c r="G111" s="496"/>
      <c r="H111" s="156"/>
      <c r="I111" s="165"/>
      <c r="J111" s="327"/>
    </row>
    <row r="112" spans="1:15" ht="27.75" customHeight="1">
      <c r="A112" s="886" t="s">
        <v>252</v>
      </c>
      <c r="B112" s="887"/>
      <c r="C112" s="888"/>
      <c r="D112" s="146" t="s">
        <v>183</v>
      </c>
      <c r="E112" s="95">
        <f>'16'!F112</f>
        <v>63435</v>
      </c>
      <c r="F112" s="237">
        <v>63515</v>
      </c>
      <c r="G112" s="476">
        <f t="shared" ref="G112:G123" si="9">F112-E112</f>
        <v>80</v>
      </c>
      <c r="H112" s="99">
        <f>G112+'16'!H112</f>
        <v>63272</v>
      </c>
      <c r="I112" s="165"/>
      <c r="J112" s="328">
        <f>H112/DAY(B2)</f>
        <v>3721.8823529411766</v>
      </c>
    </row>
    <row r="113" spans="1:18" ht="27.75" customHeight="1">
      <c r="A113" s="886" t="s">
        <v>253</v>
      </c>
      <c r="B113" s="887"/>
      <c r="C113" s="888"/>
      <c r="D113" s="146" t="s">
        <v>183</v>
      </c>
      <c r="E113" s="95">
        <f>'16'!F113</f>
        <v>82122</v>
      </c>
      <c r="F113" s="237">
        <v>82650</v>
      </c>
      <c r="G113" s="476">
        <f t="shared" si="9"/>
        <v>528</v>
      </c>
      <c r="H113" s="99">
        <f>G113+'16'!H113</f>
        <v>82168</v>
      </c>
      <c r="I113" s="165"/>
      <c r="J113" s="328">
        <f>H113/DAY(B2)</f>
        <v>4833.411764705882</v>
      </c>
    </row>
    <row r="114" spans="1:18" ht="27.75" customHeight="1">
      <c r="A114" s="886" t="s">
        <v>254</v>
      </c>
      <c r="B114" s="887"/>
      <c r="C114" s="888"/>
      <c r="D114" s="146" t="s">
        <v>183</v>
      </c>
      <c r="E114" s="95">
        <f>'16'!F114</f>
        <v>54609</v>
      </c>
      <c r="F114" s="417">
        <v>55025</v>
      </c>
      <c r="G114" s="476">
        <f t="shared" si="9"/>
        <v>416</v>
      </c>
      <c r="H114" s="99">
        <f>G114+'16'!H114</f>
        <v>54361</v>
      </c>
      <c r="I114" s="165"/>
      <c r="J114" s="328">
        <f>H114/DAY(B2)</f>
        <v>3197.705882352941</v>
      </c>
    </row>
    <row r="115" spans="1:18" ht="27.75" customHeight="1">
      <c r="A115" s="886" t="s">
        <v>255</v>
      </c>
      <c r="B115" s="887"/>
      <c r="C115" s="888"/>
      <c r="D115" s="146" t="s">
        <v>183</v>
      </c>
      <c r="E115" s="95">
        <f>'16'!F115</f>
        <v>10211</v>
      </c>
      <c r="F115" s="237">
        <v>10223</v>
      </c>
      <c r="G115" s="476">
        <f t="shared" si="9"/>
        <v>12</v>
      </c>
      <c r="H115" s="99">
        <f>G115+'16'!H115</f>
        <v>9712</v>
      </c>
      <c r="I115" s="165"/>
      <c r="J115" s="328">
        <f>H115/DAY(B2)</f>
        <v>571.29411764705878</v>
      </c>
    </row>
    <row r="116" spans="1:18" ht="27.75" customHeight="1">
      <c r="A116" s="893" t="s">
        <v>96</v>
      </c>
      <c r="B116" s="894"/>
      <c r="C116" s="895"/>
      <c r="D116" s="146" t="s">
        <v>183</v>
      </c>
      <c r="E116" s="95">
        <f>'16'!F116</f>
        <v>29628</v>
      </c>
      <c r="F116" s="237">
        <v>30067</v>
      </c>
      <c r="G116" s="476">
        <f t="shared" si="9"/>
        <v>439</v>
      </c>
      <c r="H116" s="99">
        <f>G116+'16'!H116</f>
        <v>-4599</v>
      </c>
      <c r="I116" s="165"/>
      <c r="J116" s="328">
        <f>H116/DAY(B2)</f>
        <v>-270.52941176470586</v>
      </c>
      <c r="Q116" s="886"/>
      <c r="R116" s="888"/>
    </row>
    <row r="117" spans="1:18" ht="27.75" customHeight="1">
      <c r="A117" s="893" t="s">
        <v>184</v>
      </c>
      <c r="B117" s="894"/>
      <c r="C117" s="895"/>
      <c r="D117" s="146" t="s">
        <v>183</v>
      </c>
      <c r="E117" s="95">
        <f>'16'!F117</f>
        <v>16685</v>
      </c>
      <c r="F117" s="237">
        <v>16856</v>
      </c>
      <c r="G117" s="476">
        <f t="shared" si="9"/>
        <v>171</v>
      </c>
      <c r="H117" s="99">
        <f>G117+'16'!H117</f>
        <v>-2080</v>
      </c>
      <c r="I117" s="165"/>
      <c r="J117" s="328">
        <f>H117/DAY(B2)</f>
        <v>-122.35294117647059</v>
      </c>
      <c r="Q117" s="886"/>
      <c r="R117" s="888"/>
    </row>
    <row r="118" spans="1:18" ht="27.75" customHeight="1">
      <c r="A118" s="885" t="s">
        <v>97</v>
      </c>
      <c r="B118" s="885"/>
      <c r="C118" s="885"/>
      <c r="D118" s="151" t="s">
        <v>183</v>
      </c>
      <c r="E118" s="95">
        <f>'16'!F118</f>
        <v>1548</v>
      </c>
      <c r="F118" s="237">
        <v>2059</v>
      </c>
      <c r="G118" s="476">
        <f t="shared" si="9"/>
        <v>511</v>
      </c>
      <c r="H118" s="99">
        <f>G118+'16'!H118</f>
        <v>-7004</v>
      </c>
      <c r="I118" s="165"/>
      <c r="J118" s="328">
        <f>H118/DAY(B2)</f>
        <v>-412</v>
      </c>
      <c r="Q118" s="886"/>
      <c r="R118" s="888"/>
    </row>
    <row r="119" spans="1:18" ht="27.75" customHeight="1">
      <c r="A119" s="885" t="s">
        <v>98</v>
      </c>
      <c r="B119" s="885"/>
      <c r="C119" s="885"/>
      <c r="D119" s="151" t="s">
        <v>183</v>
      </c>
      <c r="E119" s="95">
        <f>'16'!F119</f>
        <v>290068</v>
      </c>
      <c r="F119" s="237">
        <v>290527</v>
      </c>
      <c r="G119" s="476">
        <f t="shared" si="9"/>
        <v>459</v>
      </c>
      <c r="H119" s="99">
        <f>G119+'16'!H119</f>
        <v>284624</v>
      </c>
      <c r="I119" s="165"/>
      <c r="J119" s="328">
        <f>H119/DAY(B2)</f>
        <v>16742.588235294119</v>
      </c>
    </row>
    <row r="120" spans="1:18" ht="27.75" customHeight="1">
      <c r="A120" s="885" t="s">
        <v>99</v>
      </c>
      <c r="B120" s="885"/>
      <c r="C120" s="885"/>
      <c r="D120" s="151" t="s">
        <v>183</v>
      </c>
      <c r="E120" s="95">
        <f>'16'!F120</f>
        <v>1241</v>
      </c>
      <c r="F120" s="237">
        <v>1660</v>
      </c>
      <c r="G120" s="476">
        <f t="shared" si="9"/>
        <v>419</v>
      </c>
      <c r="H120" s="99">
        <f>G120+'16'!H120</f>
        <v>-5475</v>
      </c>
      <c r="I120" s="165"/>
      <c r="J120" s="328">
        <f>H120/DAY(B2)</f>
        <v>-322.05882352941177</v>
      </c>
    </row>
    <row r="121" spans="1:18" ht="27.75" customHeight="1">
      <c r="A121" s="885" t="s">
        <v>100</v>
      </c>
      <c r="B121" s="885"/>
      <c r="C121" s="885"/>
      <c r="D121" s="151" t="s">
        <v>183</v>
      </c>
      <c r="E121" s="95">
        <f>'16'!F121</f>
        <v>2442</v>
      </c>
      <c r="F121" s="237">
        <v>3229</v>
      </c>
      <c r="G121" s="476">
        <f t="shared" si="9"/>
        <v>787</v>
      </c>
      <c r="H121" s="99">
        <f>G121+'16'!H121</f>
        <v>-8498</v>
      </c>
      <c r="I121" s="165"/>
      <c r="J121" s="328">
        <f>H121/DAY(B2)</f>
        <v>-499.88235294117646</v>
      </c>
    </row>
    <row r="122" spans="1:18" ht="27.75" customHeight="1">
      <c r="A122" s="885" t="s">
        <v>101</v>
      </c>
      <c r="B122" s="885"/>
      <c r="C122" s="885"/>
      <c r="D122" s="151" t="s">
        <v>183</v>
      </c>
      <c r="E122" s="95">
        <f>'16'!F122</f>
        <v>614</v>
      </c>
      <c r="F122" s="237">
        <v>803</v>
      </c>
      <c r="G122" s="476">
        <f t="shared" si="9"/>
        <v>189</v>
      </c>
      <c r="H122" s="99">
        <f>G122+'16'!H122</f>
        <v>-2761</v>
      </c>
      <c r="I122" s="165"/>
      <c r="J122" s="328">
        <f>H122/DAY(B2)</f>
        <v>-162.41176470588235</v>
      </c>
    </row>
    <row r="123" spans="1:18" ht="27.75" customHeight="1">
      <c r="A123" s="885" t="s">
        <v>102</v>
      </c>
      <c r="B123" s="885"/>
      <c r="C123" s="885"/>
      <c r="D123" s="151" t="s">
        <v>183</v>
      </c>
      <c r="E123" s="95">
        <f>'16'!F123</f>
        <v>173541</v>
      </c>
      <c r="F123" s="237">
        <v>173789</v>
      </c>
      <c r="G123" s="476">
        <f t="shared" si="9"/>
        <v>248</v>
      </c>
      <c r="H123" s="99">
        <f>G123+'16'!H123</f>
        <v>172822</v>
      </c>
      <c r="I123" s="165"/>
      <c r="J123" s="328">
        <f>H123/DAY(B2)</f>
        <v>10166</v>
      </c>
    </row>
    <row r="124" spans="1:18" ht="27.75" customHeight="1">
      <c r="A124" s="890"/>
      <c r="B124" s="891"/>
      <c r="C124" s="892"/>
      <c r="D124" s="165"/>
      <c r="E124" s="95">
        <f>'16'!F124</f>
        <v>0</v>
      </c>
      <c r="F124" s="165"/>
      <c r="G124" s="496"/>
      <c r="H124" s="99">
        <f>G124+'16'!H124</f>
        <v>0</v>
      </c>
      <c r="I124" s="165"/>
      <c r="J124" s="327"/>
    </row>
    <row r="125" spans="1:18" ht="27.75" customHeight="1">
      <c r="A125" s="868" t="s">
        <v>196</v>
      </c>
      <c r="B125" s="869"/>
      <c r="C125" s="245"/>
      <c r="D125" s="307"/>
      <c r="E125" s="308"/>
      <c r="F125" s="308"/>
      <c r="G125" s="497">
        <f>SUM(G112:G124)</f>
        <v>4259</v>
      </c>
      <c r="H125" s="156"/>
      <c r="I125" s="327">
        <f>G125-(G39+G53)</f>
        <v>908</v>
      </c>
      <c r="J125" s="327"/>
    </row>
    <row r="126" spans="1:18" ht="27.75" customHeight="1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7.75" customHeight="1">
      <c r="A127" s="873"/>
      <c r="B127" s="873"/>
      <c r="C127" s="245"/>
      <c r="D127" s="307"/>
      <c r="E127" s="308"/>
      <c r="F127" s="308"/>
      <c r="G127" s="497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886" t="s">
        <v>318</v>
      </c>
      <c r="B128" s="887"/>
      <c r="C128" s="888"/>
      <c r="D128" s="151" t="s">
        <v>183</v>
      </c>
      <c r="E128" s="95">
        <f>'16'!F128</f>
        <v>75770</v>
      </c>
      <c r="F128" s="165">
        <v>76177</v>
      </c>
      <c r="G128" s="476">
        <f t="shared" ref="G128:G133" si="10">F128-E128</f>
        <v>407</v>
      </c>
      <c r="H128" s="99">
        <f>G128+'16'!H128</f>
        <v>-5238</v>
      </c>
      <c r="I128" s="165"/>
      <c r="J128" s="328">
        <f>H128/DAY(B2)</f>
        <v>-308.11764705882354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46966</v>
      </c>
      <c r="F129" s="165">
        <v>47273</v>
      </c>
      <c r="G129" s="476">
        <f t="shared" si="10"/>
        <v>307</v>
      </c>
      <c r="H129" s="99">
        <f>G129+'16'!H129</f>
        <v>-3799</v>
      </c>
      <c r="I129" s="165"/>
      <c r="J129" s="328">
        <f>H129/DAY(B2)</f>
        <v>-223.47058823529412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86720</v>
      </c>
      <c r="F130" s="165">
        <v>87454</v>
      </c>
      <c r="G130" s="476">
        <f t="shared" si="10"/>
        <v>734</v>
      </c>
      <c r="H130" s="99">
        <f>G130+'16'!H130</f>
        <v>-9192</v>
      </c>
      <c r="I130" s="165"/>
      <c r="J130" s="328">
        <f>H130/DAY(B2)</f>
        <v>-540.70588235294122</v>
      </c>
      <c r="N130" s="240"/>
      <c r="O130" s="241"/>
    </row>
    <row r="131" spans="1:15" ht="27.75" customHeight="1">
      <c r="A131" s="886" t="s">
        <v>321</v>
      </c>
      <c r="B131" s="887"/>
      <c r="C131" s="888"/>
      <c r="D131" s="151" t="s">
        <v>183</v>
      </c>
      <c r="E131" s="95">
        <f>'16'!F131</f>
        <v>27570</v>
      </c>
      <c r="F131" s="165">
        <v>27758</v>
      </c>
      <c r="G131" s="476">
        <f t="shared" si="10"/>
        <v>188</v>
      </c>
      <c r="H131" s="99">
        <f>G131+'16'!H131</f>
        <v>-2677</v>
      </c>
      <c r="I131" s="165"/>
      <c r="J131" s="328">
        <f>H131/DAY(B2)</f>
        <v>-157.47058823529412</v>
      </c>
      <c r="N131" s="240"/>
      <c r="O131" s="241"/>
    </row>
    <row r="132" spans="1:15" ht="27.75" customHeight="1">
      <c r="A132" s="886" t="s">
        <v>322</v>
      </c>
      <c r="B132" s="887"/>
      <c r="C132" s="888"/>
      <c r="D132" s="151" t="s">
        <v>183</v>
      </c>
      <c r="E132" s="95">
        <f>'16'!F132</f>
        <v>82622</v>
      </c>
      <c r="F132" s="165">
        <v>83075</v>
      </c>
      <c r="G132" s="476">
        <f t="shared" si="10"/>
        <v>453</v>
      </c>
      <c r="H132" s="99">
        <f>G132+'16'!H132</f>
        <v>-5862</v>
      </c>
      <c r="I132" s="165"/>
      <c r="J132" s="328">
        <f>H132/DAY(B2)</f>
        <v>-344.8235294117647</v>
      </c>
    </row>
    <row r="133" spans="1:15" ht="27.75" customHeight="1">
      <c r="A133" s="886" t="s">
        <v>360</v>
      </c>
      <c r="B133" s="887"/>
      <c r="C133" s="888"/>
      <c r="D133" s="151" t="s">
        <v>183</v>
      </c>
      <c r="E133" s="95">
        <f>'16'!F133</f>
        <v>159820</v>
      </c>
      <c r="F133" s="165">
        <v>160698</v>
      </c>
      <c r="G133" s="476">
        <f t="shared" si="10"/>
        <v>878</v>
      </c>
      <c r="H133" s="99">
        <f>G133+'16'!H133</f>
        <v>-11748</v>
      </c>
      <c r="I133" s="165"/>
      <c r="J133" s="328">
        <f>H133/DAY(B2)</f>
        <v>-691.05882352941171</v>
      </c>
    </row>
    <row r="134" spans="1:15" ht="27.75" customHeight="1">
      <c r="A134" s="886" t="s">
        <v>340</v>
      </c>
      <c r="B134" s="887"/>
      <c r="C134" s="888"/>
      <c r="D134" s="151" t="s">
        <v>183</v>
      </c>
      <c r="E134" s="95">
        <f>'16'!F134</f>
        <v>24658</v>
      </c>
      <c r="F134" s="165">
        <v>24903</v>
      </c>
      <c r="G134" s="476">
        <f>F134-E134</f>
        <v>245</v>
      </c>
      <c r="H134" s="99">
        <f>G134+'16'!H134</f>
        <v>-3190</v>
      </c>
      <c r="I134" s="165"/>
      <c r="J134" s="328">
        <f>H134/DAY(B2)</f>
        <v>-187.64705882352942</v>
      </c>
    </row>
    <row r="135" spans="1:15" ht="27.75" customHeight="1">
      <c r="A135" s="868" t="s">
        <v>196</v>
      </c>
      <c r="B135" s="869"/>
      <c r="C135" s="331"/>
      <c r="D135" s="151"/>
      <c r="E135" s="95"/>
      <c r="F135" s="165"/>
      <c r="G135" s="476">
        <f>SUM(G128:G134)</f>
        <v>3212</v>
      </c>
      <c r="H135" s="99">
        <f>G135+'10'!H135</f>
        <v>36262.23000000001</v>
      </c>
      <c r="I135" s="327">
        <f>G135-(G35+G49)</f>
        <v>-754</v>
      </c>
      <c r="J135" s="328"/>
    </row>
    <row r="136" spans="1:15" ht="27.75" customHeight="1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7.75" customHeight="1">
      <c r="A137" s="245"/>
      <c r="B137" s="246"/>
      <c r="C137" s="246"/>
      <c r="D137" s="165"/>
      <c r="E137" s="165"/>
      <c r="F137" s="165"/>
      <c r="G137" s="496"/>
      <c r="H137" s="156"/>
      <c r="I137" s="165"/>
      <c r="J137" s="327"/>
    </row>
    <row r="138" spans="1:15" ht="27.75" customHeight="1">
      <c r="A138" s="965" t="s">
        <v>185</v>
      </c>
      <c r="B138" s="965"/>
      <c r="C138" s="965"/>
      <c r="D138" s="233" t="s">
        <v>183</v>
      </c>
      <c r="E138" s="406">
        <f>'16'!F138</f>
        <v>876608</v>
      </c>
      <c r="F138" s="148">
        <v>876762</v>
      </c>
      <c r="G138" s="610">
        <f t="shared" ref="G138:G152" si="11">F138-E138</f>
        <v>154</v>
      </c>
      <c r="H138" s="238">
        <f>G138+'16'!H138</f>
        <v>-2022</v>
      </c>
      <c r="I138" s="407"/>
      <c r="J138" s="408">
        <f>H138/DAY(B2)</f>
        <v>-118.94117647058823</v>
      </c>
    </row>
    <row r="139" spans="1:15" ht="27.75" customHeight="1">
      <c r="A139" s="965" t="s">
        <v>186</v>
      </c>
      <c r="B139" s="965"/>
      <c r="C139" s="965"/>
      <c r="D139" s="233" t="s">
        <v>183</v>
      </c>
      <c r="E139" s="406">
        <f>'16'!F139</f>
        <v>892746</v>
      </c>
      <c r="F139" s="148">
        <v>892896</v>
      </c>
      <c r="G139" s="610">
        <f t="shared" si="11"/>
        <v>150</v>
      </c>
      <c r="H139" s="238">
        <f>G139+'16'!H139</f>
        <v>-1970</v>
      </c>
      <c r="I139" s="407"/>
      <c r="J139" s="408">
        <f>H139/DAY(B2)</f>
        <v>-115.88235294117646</v>
      </c>
    </row>
    <row r="140" spans="1:15" ht="27.75" customHeight="1">
      <c r="A140" s="965" t="s">
        <v>187</v>
      </c>
      <c r="B140" s="965"/>
      <c r="C140" s="965"/>
      <c r="D140" s="233" t="s">
        <v>183</v>
      </c>
      <c r="E140" s="406">
        <f>'16'!F140</f>
        <v>89020</v>
      </c>
      <c r="F140" s="148">
        <v>89022</v>
      </c>
      <c r="G140" s="610">
        <f t="shared" si="11"/>
        <v>2</v>
      </c>
      <c r="H140" s="238">
        <f>G140+'16'!H140</f>
        <v>88887</v>
      </c>
      <c r="I140" s="407"/>
      <c r="J140" s="408">
        <f>H140/DAY(B2)</f>
        <v>5228.6470588235297</v>
      </c>
    </row>
    <row r="141" spans="1:15" ht="27.75" customHeight="1">
      <c r="A141" s="966" t="s">
        <v>188</v>
      </c>
      <c r="B141" s="966"/>
      <c r="C141" s="966"/>
      <c r="D141" s="233" t="s">
        <v>183</v>
      </c>
      <c r="E141" s="406">
        <f>'16'!F141</f>
        <v>68939</v>
      </c>
      <c r="F141" s="148">
        <v>69140</v>
      </c>
      <c r="G141" s="610">
        <f t="shared" si="11"/>
        <v>201</v>
      </c>
      <c r="H141" s="238">
        <f>G141+'16'!H141</f>
        <v>-2634</v>
      </c>
      <c r="I141" s="407"/>
      <c r="J141" s="408">
        <f>H141/DAY(B2)</f>
        <v>-154.94117647058823</v>
      </c>
    </row>
    <row r="142" spans="1:15" ht="27.75" customHeight="1">
      <c r="A142" s="966" t="s">
        <v>189</v>
      </c>
      <c r="B142" s="966"/>
      <c r="C142" s="966"/>
      <c r="D142" s="233" t="s">
        <v>183</v>
      </c>
      <c r="E142" s="406">
        <f>'16'!F142</f>
        <v>26566</v>
      </c>
      <c r="F142" s="148">
        <v>26625</v>
      </c>
      <c r="G142" s="610">
        <f t="shared" si="11"/>
        <v>59</v>
      </c>
      <c r="H142" s="238">
        <f>G142+'16'!H142</f>
        <v>-841</v>
      </c>
      <c r="I142" s="538"/>
      <c r="J142" s="408">
        <f>H142/DAY(B2)</f>
        <v>-49.470588235294116</v>
      </c>
    </row>
    <row r="143" spans="1:15" ht="27.75" customHeight="1">
      <c r="A143" s="965" t="s">
        <v>91</v>
      </c>
      <c r="B143" s="965"/>
      <c r="C143" s="965"/>
      <c r="D143" s="233" t="s">
        <v>183</v>
      </c>
      <c r="E143" s="406">
        <f>'16'!F143</f>
        <v>6006</v>
      </c>
      <c r="F143" s="148">
        <v>6034</v>
      </c>
      <c r="G143" s="610">
        <f t="shared" si="11"/>
        <v>28</v>
      </c>
      <c r="H143" s="238">
        <f>G143+'16'!H143</f>
        <v>-383</v>
      </c>
      <c r="I143" s="538"/>
      <c r="J143" s="408">
        <f>H143/DAY(B2)</f>
        <v>-22.529411764705884</v>
      </c>
    </row>
    <row r="144" spans="1:15" ht="27.75" customHeight="1">
      <c r="A144" s="966" t="s">
        <v>90</v>
      </c>
      <c r="B144" s="966"/>
      <c r="C144" s="966"/>
      <c r="D144" s="233" t="s">
        <v>183</v>
      </c>
      <c r="E144" s="406">
        <f>'16'!F144</f>
        <v>893890</v>
      </c>
      <c r="F144" s="148">
        <v>894146</v>
      </c>
      <c r="G144" s="610">
        <f t="shared" si="11"/>
        <v>256</v>
      </c>
      <c r="H144" s="238">
        <f>G144+'16'!H144</f>
        <v>-3087</v>
      </c>
      <c r="I144" s="538"/>
      <c r="J144" s="408">
        <f>H144/DAY(B2)</f>
        <v>-181.58823529411765</v>
      </c>
    </row>
    <row r="145" spans="1:10" ht="27.75" customHeight="1">
      <c r="A145" s="965" t="s">
        <v>190</v>
      </c>
      <c r="B145" s="965"/>
      <c r="C145" s="965"/>
      <c r="D145" s="233" t="s">
        <v>183</v>
      </c>
      <c r="E145" s="406">
        <f>'16'!F145</f>
        <v>5590</v>
      </c>
      <c r="F145" s="148">
        <v>5594</v>
      </c>
      <c r="G145" s="610">
        <f t="shared" si="11"/>
        <v>4</v>
      </c>
      <c r="H145" s="238">
        <f>G145+'16'!H145</f>
        <v>-34</v>
      </c>
      <c r="I145" s="538"/>
      <c r="J145" s="408">
        <f>H145/DAY(B2)</f>
        <v>-2</v>
      </c>
    </row>
    <row r="146" spans="1:10" ht="27.75" customHeight="1">
      <c r="A146" s="970" t="s">
        <v>191</v>
      </c>
      <c r="B146" s="971"/>
      <c r="C146" s="972"/>
      <c r="D146" s="233" t="s">
        <v>183</v>
      </c>
      <c r="E146" s="406">
        <f>'16'!F146</f>
        <v>772359</v>
      </c>
      <c r="F146" s="148">
        <v>772793</v>
      </c>
      <c r="G146" s="610">
        <f t="shared" si="11"/>
        <v>434</v>
      </c>
      <c r="H146" s="238">
        <f>G146+'16'!H146</f>
        <v>-3661</v>
      </c>
      <c r="I146" s="538"/>
      <c r="J146" s="408">
        <f>H146/DAY(B2)</f>
        <v>-215.35294117647058</v>
      </c>
    </row>
    <row r="147" spans="1:10" ht="27.75" customHeight="1">
      <c r="A147" s="966" t="s">
        <v>192</v>
      </c>
      <c r="B147" s="966"/>
      <c r="C147" s="966"/>
      <c r="D147" s="233" t="s">
        <v>183</v>
      </c>
      <c r="E147" s="406">
        <f>'16'!F147</f>
        <v>657197</v>
      </c>
      <c r="F147" s="519">
        <v>657664</v>
      </c>
      <c r="G147" s="610">
        <f t="shared" si="11"/>
        <v>467</v>
      </c>
      <c r="H147" s="238">
        <f>G147+'16'!H147</f>
        <v>-5564</v>
      </c>
      <c r="I147" s="538"/>
      <c r="J147" s="408">
        <f>H147/DAY(B2)</f>
        <v>-327.29411764705884</v>
      </c>
    </row>
    <row r="148" spans="1:10" ht="27.75" customHeight="1">
      <c r="A148" s="967" t="s">
        <v>193</v>
      </c>
      <c r="B148" s="968"/>
      <c r="C148" s="969"/>
      <c r="D148" s="410" t="s">
        <v>130</v>
      </c>
      <c r="E148" s="406">
        <f>'16'!F148</f>
        <v>714628</v>
      </c>
      <c r="F148" s="164">
        <v>714989</v>
      </c>
      <c r="G148" s="610">
        <f t="shared" si="11"/>
        <v>361</v>
      </c>
      <c r="H148" s="238">
        <f>G148+'16'!H148</f>
        <v>-4927</v>
      </c>
      <c r="I148" s="238"/>
      <c r="J148" s="408">
        <f>H148/DAY(B2)</f>
        <v>-289.8235294117647</v>
      </c>
    </row>
    <row r="149" spans="1:10" ht="27.75" customHeight="1">
      <c r="A149" s="967" t="s">
        <v>336</v>
      </c>
      <c r="B149" s="968"/>
      <c r="C149" s="969"/>
      <c r="D149" s="416" t="s">
        <v>130</v>
      </c>
      <c r="E149" s="406">
        <f>'16'!F149</f>
        <v>74161</v>
      </c>
      <c r="F149" s="416">
        <v>74767</v>
      </c>
      <c r="G149" s="610">
        <f t="shared" si="11"/>
        <v>606</v>
      </c>
      <c r="H149" s="238">
        <f>G149+'16'!H149</f>
        <v>-8621</v>
      </c>
      <c r="I149" s="236"/>
      <c r="J149" s="408">
        <f>H149/DAY(B2)</f>
        <v>-507.11764705882354</v>
      </c>
    </row>
    <row r="150" spans="1:10" ht="27.75" customHeight="1">
      <c r="A150" s="967" t="s">
        <v>337</v>
      </c>
      <c r="B150" s="968"/>
      <c r="C150" s="969"/>
      <c r="D150" s="410" t="s">
        <v>130</v>
      </c>
      <c r="E150" s="406">
        <f>'16'!F150</f>
        <v>27593</v>
      </c>
      <c r="F150" s="233">
        <v>27818</v>
      </c>
      <c r="G150" s="610">
        <f t="shared" si="11"/>
        <v>225</v>
      </c>
      <c r="H150" s="238">
        <f>G150+'16'!H150</f>
        <v>-2769</v>
      </c>
      <c r="I150" s="236"/>
      <c r="J150" s="408">
        <f>H150/DAY(B2)</f>
        <v>-162.88235294117646</v>
      </c>
    </row>
    <row r="151" spans="1:10" ht="27.75" customHeight="1">
      <c r="A151" s="967" t="s">
        <v>338</v>
      </c>
      <c r="B151" s="968"/>
      <c r="C151" s="969"/>
      <c r="D151" s="410" t="s">
        <v>130</v>
      </c>
      <c r="E151" s="406">
        <f>'16'!F151</f>
        <v>105145</v>
      </c>
      <c r="F151" s="233">
        <v>105423</v>
      </c>
      <c r="G151" s="610">
        <f t="shared" si="11"/>
        <v>278</v>
      </c>
      <c r="H151" s="238">
        <f>G151+'16'!H151</f>
        <v>-3805</v>
      </c>
      <c r="I151" s="236"/>
      <c r="J151" s="408">
        <f>H151/DAY(B2)</f>
        <v>-223.8235294117647</v>
      </c>
    </row>
    <row r="152" spans="1:10" ht="27.75" customHeight="1">
      <c r="A152" s="967" t="s">
        <v>339</v>
      </c>
      <c r="B152" s="968"/>
      <c r="C152" s="969"/>
      <c r="D152" s="410" t="s">
        <v>130</v>
      </c>
      <c r="E152" s="406">
        <f>'16'!F152</f>
        <v>10049</v>
      </c>
      <c r="F152" s="233">
        <v>10153</v>
      </c>
      <c r="G152" s="610">
        <f t="shared" si="11"/>
        <v>104</v>
      </c>
      <c r="H152" s="238">
        <f>G152+'16'!H152</f>
        <v>-1003</v>
      </c>
      <c r="I152" s="236"/>
      <c r="J152" s="408">
        <f>H152/DAY(B2)</f>
        <v>-59</v>
      </c>
    </row>
    <row r="153" spans="1:10" ht="27.75" customHeight="1">
      <c r="A153" s="974" t="s">
        <v>196</v>
      </c>
      <c r="B153" s="975"/>
      <c r="C153" s="539"/>
      <c r="D153" s="540"/>
      <c r="E153" s="541"/>
      <c r="F153" s="361"/>
      <c r="G153" s="611">
        <f>SUM(G138:G152)</f>
        <v>3329</v>
      </c>
      <c r="H153" s="542"/>
      <c r="I153" s="236">
        <f>G153-(G38+G52)</f>
        <v>960</v>
      </c>
      <c r="J153" s="543"/>
    </row>
    <row r="154" spans="1:10" ht="27.75" customHeight="1">
      <c r="A154" s="973" t="s">
        <v>344</v>
      </c>
      <c r="B154" s="973"/>
      <c r="C154" s="973"/>
      <c r="D154" s="973"/>
      <c r="E154" s="973"/>
      <c r="F154" s="973"/>
      <c r="G154" s="973"/>
      <c r="H154" s="973"/>
      <c r="I154" s="973"/>
      <c r="J154" s="973"/>
    </row>
    <row r="155" spans="1:10" ht="27.75" customHeight="1">
      <c r="A155" s="966" t="s">
        <v>345</v>
      </c>
      <c r="B155" s="966"/>
      <c r="C155" s="966"/>
      <c r="D155" s="410" t="s">
        <v>130</v>
      </c>
      <c r="E155" s="406">
        <f>'16'!F155</f>
        <v>83267</v>
      </c>
      <c r="F155" s="420">
        <v>83930</v>
      </c>
      <c r="G155" s="610">
        <f t="shared" ref="G155:G156" si="12">F155-E155</f>
        <v>663</v>
      </c>
      <c r="H155" s="238">
        <f>G155+'16'!H155</f>
        <v>-8802</v>
      </c>
      <c r="I155" s="544"/>
      <c r="J155" s="408">
        <f>H155/DAY(B2)</f>
        <v>-517.76470588235293</v>
      </c>
    </row>
    <row r="156" spans="1:10" ht="27.75" customHeight="1">
      <c r="A156" s="966" t="s">
        <v>347</v>
      </c>
      <c r="B156" s="966"/>
      <c r="C156" s="966"/>
      <c r="D156" s="410" t="s">
        <v>130</v>
      </c>
      <c r="E156" s="406">
        <f>'16'!F156</f>
        <v>6926</v>
      </c>
      <c r="F156" s="157">
        <v>6979</v>
      </c>
      <c r="G156" s="610">
        <f t="shared" si="12"/>
        <v>53</v>
      </c>
      <c r="H156" s="238">
        <f>G156+'16'!H156</f>
        <v>-712</v>
      </c>
      <c r="I156" s="158"/>
      <c r="J156" s="408">
        <f>H156/DAY(B2)</f>
        <v>-41.882352941176471</v>
      </c>
    </row>
    <row r="157" spans="1:10" ht="27.75" customHeight="1">
      <c r="A157" s="967" t="s">
        <v>361</v>
      </c>
      <c r="B157" s="968"/>
      <c r="C157" s="969"/>
      <c r="D157" s="410" t="s">
        <v>130</v>
      </c>
      <c r="E157" s="406">
        <f>'16'!F157</f>
        <v>11966</v>
      </c>
      <c r="F157" s="157">
        <v>12068</v>
      </c>
      <c r="G157" s="610">
        <f>F157-E157</f>
        <v>102</v>
      </c>
      <c r="H157" s="238">
        <f>G157+'16'!H157</f>
        <v>-1428</v>
      </c>
      <c r="I157" s="158"/>
      <c r="J157" s="408">
        <f>H157/DAY(B2)</f>
        <v>-84</v>
      </c>
    </row>
    <row r="158" spans="1:10" ht="27.75" customHeight="1">
      <c r="A158" s="967" t="s">
        <v>362</v>
      </c>
      <c r="B158" s="968"/>
      <c r="C158" s="969"/>
      <c r="D158" s="410" t="s">
        <v>130</v>
      </c>
      <c r="E158" s="406">
        <f>'16'!F158</f>
        <v>95.45</v>
      </c>
      <c r="F158" s="158">
        <v>95.77</v>
      </c>
      <c r="G158" s="610">
        <f>F158-E158</f>
        <v>0.31999999999999318</v>
      </c>
      <c r="H158" s="238">
        <f>G158+'16'!H158</f>
        <v>16.22999999999999</v>
      </c>
      <c r="I158" s="158"/>
      <c r="J158" s="408">
        <f>H158/DAY(B2)</f>
        <v>0.95470588235294063</v>
      </c>
    </row>
    <row r="159" spans="1:10" ht="27.75" customHeight="1">
      <c r="A159" s="976"/>
      <c r="B159" s="977"/>
      <c r="C159" s="978"/>
      <c r="D159" s="410"/>
      <c r="E159" s="406"/>
      <c r="F159" s="158"/>
      <c r="G159" s="610"/>
      <c r="H159" s="238"/>
      <c r="I159" s="158"/>
      <c r="J159" s="408"/>
    </row>
    <row r="160" spans="1:10" ht="27.75" customHeight="1">
      <c r="A160" s="973" t="s">
        <v>326</v>
      </c>
      <c r="B160" s="973"/>
      <c r="C160" s="973"/>
      <c r="D160" s="973"/>
      <c r="E160" s="973"/>
      <c r="F160" s="973"/>
      <c r="G160" s="973"/>
      <c r="H160" s="973"/>
      <c r="I160" s="973"/>
      <c r="J160" s="973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474115</v>
      </c>
      <c r="F161" s="235">
        <v>474163</v>
      </c>
      <c r="G161" s="499">
        <f t="shared" ref="G161:G165" si="13">F161-E161</f>
        <v>48</v>
      </c>
      <c r="H161" s="238">
        <f>G161+'16'!H161</f>
        <v>-620</v>
      </c>
      <c r="I161" s="236"/>
      <c r="J161" s="239">
        <f>H161/DAY(B2)</f>
        <v>-36.470588235294116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91047</v>
      </c>
      <c r="F162" s="235">
        <v>91063</v>
      </c>
      <c r="G162" s="499">
        <f t="shared" si="13"/>
        <v>16</v>
      </c>
      <c r="H162" s="99">
        <f>G162+'16'!H162</f>
        <v>-484</v>
      </c>
      <c r="I162" s="236"/>
      <c r="J162" s="239">
        <f>H162/DAY(B2)</f>
        <v>-28.470588235294116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89815</v>
      </c>
      <c r="F163" s="235">
        <v>89963</v>
      </c>
      <c r="G163" s="499">
        <f t="shared" si="13"/>
        <v>148</v>
      </c>
      <c r="H163" s="99">
        <f>G163+'16'!H163</f>
        <v>-2073</v>
      </c>
      <c r="I163" s="236"/>
      <c r="J163" s="239">
        <f>H163/DAY(B2)</f>
        <v>-121.94117647058823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5022</v>
      </c>
      <c r="F164" s="235">
        <v>5035</v>
      </c>
      <c r="G164" s="499">
        <f t="shared" si="13"/>
        <v>13</v>
      </c>
      <c r="H164" s="99">
        <f>G164+'16'!H164</f>
        <v>-147</v>
      </c>
      <c r="I164" s="236"/>
      <c r="J164" s="239">
        <f>H164/DAY(B2)</f>
        <v>-8.6470588235294112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30479</v>
      </c>
      <c r="F165" s="235">
        <v>30484</v>
      </c>
      <c r="G165" s="499">
        <f t="shared" si="13"/>
        <v>5</v>
      </c>
      <c r="H165" s="99">
        <f>G165+'16'!H165</f>
        <v>-150</v>
      </c>
      <c r="I165" s="236"/>
      <c r="J165" s="239">
        <f>H165/DAY(B2)</f>
        <v>-8.8235294117647065</v>
      </c>
    </row>
    <row r="166" spans="1:10" ht="27.75" customHeight="1">
      <c r="A166" s="873"/>
      <c r="B166" s="873"/>
      <c r="C166" s="246"/>
      <c r="D166" s="244"/>
      <c r="E166" s="95"/>
      <c r="F166" s="165"/>
      <c r="G166" s="496"/>
      <c r="H166" s="99"/>
      <c r="I166" s="165"/>
      <c r="J166" s="239"/>
    </row>
    <row r="167" spans="1:10" ht="27.75" customHeight="1">
      <c r="A167" s="873"/>
      <c r="B167" s="873"/>
      <c r="C167" s="246"/>
      <c r="D167" s="244"/>
      <c r="E167" s="95"/>
      <c r="F167" s="165"/>
      <c r="G167" s="496"/>
      <c r="H167" s="99"/>
      <c r="I167" s="165"/>
      <c r="J167" s="239"/>
    </row>
    <row r="168" spans="1:10" ht="27.75" customHeight="1">
      <c r="A168" s="873"/>
      <c r="B168" s="873"/>
      <c r="C168" s="246"/>
      <c r="D168" s="244"/>
      <c r="E168" s="95"/>
      <c r="F168" s="165"/>
      <c r="G168" s="496"/>
      <c r="H168" s="99"/>
      <c r="I168" s="165"/>
      <c r="J168" s="239"/>
    </row>
    <row r="171" spans="1:10" ht="27.7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7.75" customHeight="1">
      <c r="A172" s="883"/>
      <c r="B172" s="884"/>
      <c r="C172" s="332"/>
      <c r="D172" s="228"/>
      <c r="E172" s="155"/>
      <c r="F172" s="155"/>
      <c r="G172" s="500"/>
      <c r="H172" s="156"/>
      <c r="I172" s="155"/>
      <c r="J172" s="178"/>
    </row>
    <row r="173" spans="1:10" ht="27.75" customHeight="1">
      <c r="A173" s="879" t="s">
        <v>209</v>
      </c>
      <c r="B173" s="880"/>
      <c r="C173" s="333"/>
      <c r="D173" s="228" t="s">
        <v>142</v>
      </c>
      <c r="E173" s="95">
        <f>'16'!F173</f>
        <v>8277</v>
      </c>
      <c r="F173" s="157">
        <v>8277</v>
      </c>
      <c r="G173" s="500">
        <f>F173-E173</f>
        <v>0</v>
      </c>
      <c r="H173" s="99">
        <f>G173+'16'!H173</f>
        <v>16</v>
      </c>
      <c r="I173" s="155"/>
      <c r="J173" s="178">
        <f>H173/DAY(B2)</f>
        <v>0.94117647058823528</v>
      </c>
    </row>
    <row r="174" spans="1:10" ht="27.75" customHeight="1">
      <c r="A174" s="879" t="s">
        <v>75</v>
      </c>
      <c r="B174" s="880"/>
      <c r="C174" s="333"/>
      <c r="D174" s="228" t="s">
        <v>142</v>
      </c>
      <c r="E174" s="95">
        <f>'16'!F174</f>
        <v>39702</v>
      </c>
      <c r="F174" s="157">
        <v>39718</v>
      </c>
      <c r="G174" s="500">
        <f t="shared" ref="G174:G175" si="14">F174-E174</f>
        <v>16</v>
      </c>
      <c r="H174" s="99">
        <f>G174+'16'!H174</f>
        <v>-210</v>
      </c>
      <c r="I174" s="155"/>
      <c r="J174" s="178">
        <f>H174/DAY(B2)</f>
        <v>-12.352941176470589</v>
      </c>
    </row>
    <row r="175" spans="1:10" ht="27.75" customHeight="1">
      <c r="A175" s="879" t="s">
        <v>76</v>
      </c>
      <c r="B175" s="919"/>
      <c r="C175" s="880"/>
      <c r="D175" s="228" t="s">
        <v>142</v>
      </c>
      <c r="E175" s="95">
        <f>'16'!F175</f>
        <v>22716</v>
      </c>
      <c r="F175" s="155">
        <v>22730</v>
      </c>
      <c r="G175" s="500">
        <f t="shared" si="14"/>
        <v>14</v>
      </c>
      <c r="H175" s="99">
        <f>G175+'16'!H175</f>
        <v>-159</v>
      </c>
      <c r="I175" s="155"/>
      <c r="J175" s="178">
        <f>H175/DAY(B2)</f>
        <v>-9.3529411764705888</v>
      </c>
    </row>
    <row r="176" spans="1:10" ht="27.75" customHeight="1">
      <c r="A176" s="868" t="s">
        <v>196</v>
      </c>
      <c r="B176" s="869"/>
      <c r="C176" s="333"/>
      <c r="D176" s="228" t="s">
        <v>142</v>
      </c>
      <c r="E176" s="95"/>
      <c r="F176" s="155"/>
      <c r="G176" s="500">
        <f>SUM(G173:G175)</f>
        <v>30</v>
      </c>
      <c r="H176" s="99">
        <f>G176+'16'!H176</f>
        <v>-353</v>
      </c>
      <c r="I176" s="155"/>
      <c r="J176" s="178">
        <f>H176/DAY(B2)</f>
        <v>-20.764705882352942</v>
      </c>
    </row>
    <row r="177" spans="1:11" ht="27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500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79" t="s">
        <v>210</v>
      </c>
      <c r="B178" s="880"/>
      <c r="C178" s="333"/>
      <c r="D178" s="228" t="s">
        <v>142</v>
      </c>
      <c r="E178" s="95">
        <f>'16'!F178</f>
        <v>87170</v>
      </c>
      <c r="F178" s="155">
        <v>87277</v>
      </c>
      <c r="G178" s="500">
        <f>F178-E178</f>
        <v>107</v>
      </c>
      <c r="H178" s="99">
        <f>G178+'16'!H178</f>
        <v>-1326</v>
      </c>
      <c r="I178" s="155"/>
      <c r="J178" s="178">
        <f>H178/DAY(B2)</f>
        <v>-78</v>
      </c>
    </row>
    <row r="179" spans="1:11" ht="27.75" customHeight="1">
      <c r="A179" s="879" t="s">
        <v>211</v>
      </c>
      <c r="B179" s="880"/>
      <c r="C179" s="333"/>
      <c r="D179" s="228" t="s">
        <v>142</v>
      </c>
      <c r="E179" s="95">
        <f>'16'!F179</f>
        <v>35710</v>
      </c>
      <c r="F179" s="155">
        <v>35710</v>
      </c>
      <c r="G179" s="500">
        <f t="shared" ref="G179:G180" si="15">F179-E179</f>
        <v>0</v>
      </c>
      <c r="H179" s="99">
        <f>G179+'16'!H179</f>
        <v>-63</v>
      </c>
      <c r="I179" s="155"/>
      <c r="J179" s="178">
        <f>H179/DAY(B2)</f>
        <v>-3.7058823529411766</v>
      </c>
    </row>
    <row r="180" spans="1:11" ht="27.75" customHeight="1">
      <c r="A180" s="879" t="s">
        <v>212</v>
      </c>
      <c r="B180" s="880"/>
      <c r="C180" s="333"/>
      <c r="D180" s="228" t="s">
        <v>142</v>
      </c>
      <c r="E180" s="95">
        <f>'16'!F180</f>
        <v>6267</v>
      </c>
      <c r="F180" s="155">
        <v>6288</v>
      </c>
      <c r="G180" s="500">
        <f t="shared" si="15"/>
        <v>21</v>
      </c>
      <c r="H180" s="99">
        <f>G180+'16'!H180</f>
        <v>-101</v>
      </c>
      <c r="I180" s="155"/>
      <c r="J180" s="178">
        <f>H180/DAY(B2)</f>
        <v>-5.9411764705882355</v>
      </c>
    </row>
    <row r="181" spans="1:11" ht="27.75" customHeight="1">
      <c r="A181" s="881" t="s">
        <v>108</v>
      </c>
      <c r="B181" s="882"/>
      <c r="C181" s="333"/>
      <c r="D181" s="228" t="s">
        <v>142</v>
      </c>
      <c r="E181" s="95"/>
      <c r="F181" s="155"/>
      <c r="G181" s="500">
        <f>SUM(G178:G180)</f>
        <v>128</v>
      </c>
      <c r="H181" s="99">
        <f>G181+'16'!H181</f>
        <v>-1490</v>
      </c>
      <c r="I181" s="155"/>
      <c r="J181" s="178">
        <f>H181/DAY(B2)</f>
        <v>-87.647058823529406</v>
      </c>
    </row>
    <row r="182" spans="1:11" ht="27.75" customHeight="1">
      <c r="A182" s="879" t="s">
        <v>213</v>
      </c>
      <c r="B182" s="880"/>
      <c r="C182" s="333"/>
      <c r="D182" s="228" t="s">
        <v>142</v>
      </c>
      <c r="E182" s="95"/>
      <c r="F182" s="155"/>
      <c r="G182" s="500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79" t="s">
        <v>214</v>
      </c>
      <c r="B183" s="880"/>
      <c r="C183" s="334"/>
      <c r="D183" s="228" t="s">
        <v>142</v>
      </c>
      <c r="E183" s="95">
        <f>'16'!F183</f>
        <v>16414</v>
      </c>
      <c r="F183" s="157">
        <v>16424</v>
      </c>
      <c r="G183" s="501">
        <f>F183-E183</f>
        <v>10</v>
      </c>
      <c r="H183" s="99">
        <f>G183+'16'!H183</f>
        <v>-198</v>
      </c>
      <c r="I183" s="155"/>
      <c r="J183" s="178">
        <f>H183/DAY(B2)</f>
        <v>-11.647058823529411</v>
      </c>
    </row>
    <row r="184" spans="1:11" ht="27.75" customHeight="1">
      <c r="A184" s="879" t="s">
        <v>215</v>
      </c>
      <c r="B184" s="880"/>
      <c r="C184" s="334"/>
      <c r="D184" s="228" t="s">
        <v>142</v>
      </c>
      <c r="E184" s="95">
        <f>'16'!F184</f>
        <v>11164</v>
      </c>
      <c r="F184" s="157">
        <v>11173</v>
      </c>
      <c r="G184" s="501">
        <f t="shared" ref="G184:G185" si="16">F184-E184</f>
        <v>9</v>
      </c>
      <c r="H184" s="99">
        <f>G184+'16'!H184</f>
        <v>-101</v>
      </c>
      <c r="I184" s="155"/>
      <c r="J184" s="178">
        <f>H184/DAY(B2)</f>
        <v>-5.9411764705882355</v>
      </c>
    </row>
    <row r="185" spans="1:11" ht="27.75" customHeight="1">
      <c r="A185" s="879" t="s">
        <v>216</v>
      </c>
      <c r="B185" s="880"/>
      <c r="C185" s="334"/>
      <c r="D185" s="228" t="s">
        <v>142</v>
      </c>
      <c r="E185" s="95">
        <f>'16'!F185</f>
        <v>0</v>
      </c>
      <c r="F185" s="157"/>
      <c r="G185" s="501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868" t="s">
        <v>196</v>
      </c>
      <c r="B186" s="869"/>
      <c r="C186" s="334"/>
      <c r="D186" s="228" t="s">
        <v>142</v>
      </c>
      <c r="E186" s="95"/>
      <c r="F186" s="157"/>
      <c r="G186" s="501">
        <f>SUM(G183:G185)</f>
        <v>19</v>
      </c>
      <c r="H186" s="99">
        <f>G186+'16'!H186</f>
        <v>-299</v>
      </c>
      <c r="I186" s="157"/>
      <c r="J186" s="178">
        <f>H186/DAY(B2)</f>
        <v>-17.588235294117649</v>
      </c>
    </row>
    <row r="187" spans="1:11" ht="27.75" customHeight="1">
      <c r="A187" s="870" t="s">
        <v>217</v>
      </c>
      <c r="B187" s="871"/>
      <c r="C187" s="333"/>
      <c r="D187" s="228" t="s">
        <v>142</v>
      </c>
      <c r="E187" s="95"/>
      <c r="F187" s="159"/>
      <c r="G187" s="502">
        <f>G62+G19</f>
        <v>224</v>
      </c>
      <c r="H187" s="99">
        <f>G187+'16'!H187</f>
        <v>-2952</v>
      </c>
      <c r="I187" s="158"/>
      <c r="J187" s="179">
        <f>H187/DAY(B2)</f>
        <v>-173.64705882352942</v>
      </c>
    </row>
    <row r="188" spans="1:11" ht="27.75" customHeight="1">
      <c r="A188" s="870" t="s">
        <v>218</v>
      </c>
      <c r="B188" s="871"/>
      <c r="C188" s="333"/>
      <c r="D188" s="230" t="s">
        <v>142</v>
      </c>
      <c r="E188" s="95"/>
      <c r="F188" s="159"/>
      <c r="G188" s="502">
        <f>G65+G66+G67+G69+G70</f>
        <v>229</v>
      </c>
      <c r="H188" s="99">
        <f>G188+'16'!H188</f>
        <v>-11191</v>
      </c>
      <c r="I188" s="158"/>
      <c r="J188" s="179">
        <f>H188/DAY(B2)</f>
        <v>-658.29411764705878</v>
      </c>
    </row>
    <row r="189" spans="1:11" ht="27.75" customHeight="1">
      <c r="A189" s="870" t="s">
        <v>219</v>
      </c>
      <c r="B189" s="871"/>
      <c r="C189" s="333"/>
      <c r="D189" s="230" t="s">
        <v>142</v>
      </c>
      <c r="E189" s="95"/>
      <c r="F189" s="157"/>
      <c r="G189" s="502">
        <f>G181</f>
        <v>128</v>
      </c>
      <c r="H189" s="99">
        <f>G189+'16'!H189</f>
        <v>-1490</v>
      </c>
      <c r="I189" s="158"/>
      <c r="J189" s="179">
        <f>H189/DAY(B2)</f>
        <v>-87.647058823529406</v>
      </c>
    </row>
    <row r="190" spans="1:11" ht="27.75" customHeight="1">
      <c r="A190" s="877"/>
      <c r="B190" s="878"/>
      <c r="C190" s="399"/>
      <c r="D190" s="396"/>
      <c r="E190" s="396"/>
      <c r="F190" s="396"/>
      <c r="G190" s="612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6"/>
      <c r="H191" s="238"/>
      <c r="I191" s="99"/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E15" sqref="E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7.75" customHeight="1">
      <c r="A2" s="191" t="s">
        <v>355</v>
      </c>
      <c r="B2" s="262">
        <v>44669</v>
      </c>
      <c r="C2" s="348" t="s">
        <v>67</v>
      </c>
      <c r="D2" s="218">
        <v>0.88</v>
      </c>
      <c r="E2" s="100"/>
      <c r="F2" s="100"/>
      <c r="G2" s="42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934" t="s">
        <v>119</v>
      </c>
      <c r="F3" s="935"/>
      <c r="G3" s="430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30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928" t="s">
        <v>128</v>
      </c>
      <c r="B6" s="929"/>
      <c r="C6" s="930"/>
      <c r="D6" s="110"/>
      <c r="E6" s="110"/>
      <c r="F6" s="110"/>
      <c r="G6" s="432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'17'!F7</f>
        <v>292701</v>
      </c>
      <c r="F7" s="95">
        <f>E7+27000</f>
        <v>319701</v>
      </c>
      <c r="G7" s="433">
        <f>F7-E7</f>
        <v>27000</v>
      </c>
      <c r="H7" s="99">
        <f>G7+'17'!H7</f>
        <v>488663</v>
      </c>
      <c r="I7" s="113">
        <f>'1'!I7</f>
        <v>12000</v>
      </c>
      <c r="J7" s="175">
        <f>H7/DAY(B2)</f>
        <v>27147.944444444445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390535</v>
      </c>
      <c r="F8" s="114">
        <f>E8+26500</f>
        <v>417035</v>
      </c>
      <c r="G8" s="434">
        <f>F8-E8</f>
        <v>26500</v>
      </c>
      <c r="H8" s="99">
        <f>G8+'17'!H8</f>
        <v>497912.27999999991</v>
      </c>
      <c r="I8" s="116"/>
      <c r="J8" s="175">
        <f>H8/DAY(B2)</f>
        <v>27661.793333333328</v>
      </c>
      <c r="K8" s="172">
        <v>1715917</v>
      </c>
      <c r="L8" s="76">
        <v>1728480</v>
      </c>
      <c r="M8" s="87">
        <f>L8-K8</f>
        <v>12563</v>
      </c>
      <c r="N8" s="87">
        <f>G8-64</f>
        <v>26436</v>
      </c>
      <c r="O8" s="71">
        <f>G7-N8</f>
        <v>564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2225550</v>
      </c>
      <c r="F9" s="470">
        <f>E9+16000</f>
        <v>2241550</v>
      </c>
      <c r="G9" s="433">
        <f>F9-E9</f>
        <v>16000</v>
      </c>
      <c r="H9" s="99">
        <f>G9+'17'!H9</f>
        <v>350515</v>
      </c>
      <c r="I9" s="124">
        <f>I7-J7</f>
        <v>-15147.944444444445</v>
      </c>
      <c r="J9" s="175">
        <f>H9/DAY(B2)</f>
        <v>19473.055555555555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727726</v>
      </c>
      <c r="F10" s="353">
        <f>E10+8500</f>
        <v>736226</v>
      </c>
      <c r="G10" s="433">
        <f>F10-E10</f>
        <v>8500</v>
      </c>
      <c r="H10" s="99">
        <f>G10+'17'!H10</f>
        <v>120690</v>
      </c>
      <c r="I10" s="282"/>
      <c r="J10" s="175">
        <f>H10/DAY(B2)</f>
        <v>6705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3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3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5">
        <f>G9+G10+G11+G12</f>
        <v>24500</v>
      </c>
      <c r="H13" s="99">
        <f>G13+'17'!H13</f>
        <v>468688.75</v>
      </c>
      <c r="I13" s="120">
        <f>G7-G13</f>
        <v>2500</v>
      </c>
      <c r="J13" s="175">
        <f>H13/DAY(B2)</f>
        <v>26038.263888888891</v>
      </c>
      <c r="K13" s="79"/>
      <c r="L13" s="66"/>
      <c r="N13" s="87"/>
      <c r="O13" s="71"/>
    </row>
    <row r="14" spans="1:15" ht="27.75" customHeight="1">
      <c r="A14" s="931" t="s">
        <v>137</v>
      </c>
      <c r="B14" s="932"/>
      <c r="C14" s="933"/>
      <c r="D14" s="111"/>
      <c r="E14" s="111"/>
      <c r="F14" s="111"/>
      <c r="G14" s="436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1990535</v>
      </c>
      <c r="G15" s="433" t="e">
        <f>(F15-E15)</f>
        <v>#VALUE!</v>
      </c>
      <c r="H15" s="99" t="e">
        <f>G15+'17'!H15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3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7.75" customHeight="1">
      <c r="A17" s="931" t="s">
        <v>140</v>
      </c>
      <c r="B17" s="932"/>
      <c r="C17" s="933"/>
      <c r="D17" s="111"/>
      <c r="E17" s="111"/>
      <c r="F17" s="111"/>
      <c r="G17" s="436"/>
      <c r="H17" s="111"/>
      <c r="I17" s="111"/>
      <c r="J17" s="174"/>
      <c r="K17" s="79"/>
      <c r="L17" s="66"/>
      <c r="N17" s="87"/>
      <c r="O17" s="71"/>
    </row>
    <row r="18" spans="1:15" ht="27.75" customHeight="1">
      <c r="A18" s="907" t="s">
        <v>141</v>
      </c>
      <c r="B18" s="908"/>
      <c r="C18" s="909"/>
      <c r="D18" s="151" t="s">
        <v>142</v>
      </c>
      <c r="E18" s="95">
        <f>'17'!F18</f>
        <v>22</v>
      </c>
      <c r="F18" s="122">
        <v>20</v>
      </c>
      <c r="G18" s="435">
        <f>F18*10</f>
        <v>200</v>
      </c>
      <c r="H18" s="99">
        <f>G18+'17'!H18</f>
        <v>3970</v>
      </c>
      <c r="I18" s="113">
        <f>'1'!I18</f>
        <v>65</v>
      </c>
      <c r="J18" s="175">
        <f>H18/DAY(B2)</f>
        <v>220.55555555555554</v>
      </c>
      <c r="K18" s="79"/>
      <c r="L18" s="66"/>
      <c r="N18" s="87"/>
      <c r="O18" s="71"/>
    </row>
    <row r="19" spans="1:15" ht="27.75" customHeight="1">
      <c r="A19" s="907" t="s">
        <v>69</v>
      </c>
      <c r="B19" s="908"/>
      <c r="C19" s="909"/>
      <c r="D19" s="151" t="s">
        <v>142</v>
      </c>
      <c r="E19" s="95">
        <f>'17'!F19</f>
        <v>157805</v>
      </c>
      <c r="F19" s="122">
        <v>157860</v>
      </c>
      <c r="G19" s="433">
        <f t="shared" ref="G19" si="1">F19-E19</f>
        <v>55</v>
      </c>
      <c r="H19" s="99">
        <f>G19+'17'!H19</f>
        <v>-594</v>
      </c>
      <c r="I19" s="335"/>
      <c r="J19" s="175">
        <f>H19/DAY(B2)</f>
        <v>-33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7">
        <f>G18+G19</f>
        <v>255</v>
      </c>
      <c r="H20" s="99">
        <f>G20+'17'!H20</f>
        <v>3376</v>
      </c>
      <c r="I20" s="336">
        <f>I18-J20</f>
        <v>-122.55555555555554</v>
      </c>
      <c r="J20" s="175">
        <f>H20/DAY(B2)</f>
        <v>187.55555555555554</v>
      </c>
      <c r="K20" s="79"/>
      <c r="L20" s="66"/>
      <c r="N20" s="87"/>
      <c r="O20" s="71"/>
    </row>
    <row r="21" spans="1:15" ht="27.75" customHeight="1">
      <c r="A21" s="931" t="s">
        <v>144</v>
      </c>
      <c r="B21" s="932"/>
      <c r="C21" s="933"/>
      <c r="D21" s="111"/>
      <c r="E21" s="111"/>
      <c r="F21" s="111"/>
      <c r="G21" s="436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5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2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3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5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936" t="s">
        <v>149</v>
      </c>
      <c r="B25" s="937"/>
      <c r="C25" s="938"/>
      <c r="D25" s="110"/>
      <c r="E25" s="110"/>
      <c r="F25" s="110"/>
      <c r="G25" s="438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9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440">
        <f>E27*F27</f>
        <v>238500</v>
      </c>
      <c r="H27" s="99">
        <f>G27+'17'!H27</f>
        <v>4481210.5200000005</v>
      </c>
      <c r="I27" s="138"/>
      <c r="J27" s="175">
        <f>H27/DAY(B2)</f>
        <v>248956.14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440" t="e">
        <f>E28*F28</f>
        <v>#VALUE!</v>
      </c>
      <c r="H28" s="99" t="e">
        <f>G28+'17'!H28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0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440">
        <f>E30*F30</f>
        <v>8305</v>
      </c>
      <c r="H30" s="99">
        <f>G30+'17'!H30</f>
        <v>-90509</v>
      </c>
      <c r="I30" s="140"/>
      <c r="J30" s="175">
        <f>H30/DAY(B2)</f>
        <v>-5028.2777777777774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440">
        <f>E31*F31</f>
        <v>16000</v>
      </c>
      <c r="H31" s="99">
        <f>G31+'17'!H31</f>
        <v>317600</v>
      </c>
      <c r="I31" s="140"/>
      <c r="J31" s="175">
        <f>H31/DAY(B2)</f>
        <v>17644.444444444445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1" t="e">
        <f>G27+G28+G29+G30+G31</f>
        <v>#VALUE!</v>
      </c>
      <c r="H32" s="99" t="e">
        <f>G32+'17'!H32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7.75" customHeight="1">
      <c r="A33" s="939" t="s">
        <v>331</v>
      </c>
      <c r="B33" s="940"/>
      <c r="C33" s="940"/>
      <c r="D33" s="337"/>
      <c r="E33" s="337"/>
      <c r="F33" s="337"/>
      <c r="G33" s="442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3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'17'!F35</f>
        <v>174945</v>
      </c>
      <c r="F35" s="145">
        <v>177088</v>
      </c>
      <c r="G35" s="433">
        <f t="shared" ref="G35:G46" si="2">F35-E35</f>
        <v>2143</v>
      </c>
      <c r="H35" s="99">
        <f>G35+'17'!H35</f>
        <v>-25797</v>
      </c>
      <c r="I35" s="95"/>
      <c r="J35" s="175">
        <f>H35/DAY(B2)</f>
        <v>-1433.1666666666667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117262</v>
      </c>
      <c r="F36" s="145">
        <v>118282</v>
      </c>
      <c r="G36" s="433">
        <f t="shared" si="2"/>
        <v>1020</v>
      </c>
      <c r="H36" s="99">
        <f>G36+'17'!H36</f>
        <v>-13297</v>
      </c>
      <c r="I36" s="95"/>
      <c r="J36" s="175">
        <f>H36/DAY(B2)</f>
        <v>-738.72222222222217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160314</v>
      </c>
      <c r="F37" s="145">
        <v>162010</v>
      </c>
      <c r="G37" s="433">
        <f t="shared" si="2"/>
        <v>1696</v>
      </c>
      <c r="H37" s="99">
        <f>G37+'17'!H37</f>
        <v>-21115</v>
      </c>
      <c r="I37" s="95"/>
      <c r="J37" s="175">
        <f>H37/DAY(B2)</f>
        <v>-1173.0555555555557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212440</v>
      </c>
      <c r="F38" s="108">
        <v>214735</v>
      </c>
      <c r="G38" s="433">
        <f t="shared" si="2"/>
        <v>2295</v>
      </c>
      <c r="H38" s="99">
        <f>G38+'17'!H38</f>
        <v>-28717</v>
      </c>
      <c r="I38" s="95"/>
      <c r="J38" s="175">
        <f>H38/DAY(B2)</f>
        <v>-1595.3888888888889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300040</v>
      </c>
      <c r="F39" s="145">
        <v>303325</v>
      </c>
      <c r="G39" s="433">
        <f t="shared" si="2"/>
        <v>3285</v>
      </c>
      <c r="H39" s="99">
        <f>G39+'17'!H39</f>
        <v>-36663</v>
      </c>
      <c r="I39" s="95"/>
      <c r="J39" s="175">
        <f>H39/DAY(B2)</f>
        <v>-2036.8333333333333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406">
        <f>'17'!F40</f>
        <v>56863</v>
      </c>
      <c r="F40" s="424">
        <v>57283</v>
      </c>
      <c r="G40" s="522">
        <f t="shared" si="2"/>
        <v>420</v>
      </c>
      <c r="H40" s="99">
        <f>G40+'17'!H40</f>
        <v>-7594</v>
      </c>
      <c r="I40" s="95"/>
      <c r="J40" s="175">
        <f>H40/DAY(B2)</f>
        <v>-421.88888888888891</v>
      </c>
      <c r="K40" s="80"/>
      <c r="L40" s="66"/>
      <c r="N40" s="87">
        <v>7285</v>
      </c>
      <c r="O40" s="71" t="s">
        <v>365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63</v>
      </c>
      <c r="F41" s="145">
        <v>63</v>
      </c>
      <c r="G41" s="433">
        <f t="shared" si="2"/>
        <v>0</v>
      </c>
      <c r="H41" s="99">
        <f>G41+'17'!H41</f>
        <v>-27630.000000000004</v>
      </c>
      <c r="I41" s="95"/>
      <c r="J41" s="175">
        <f>H41/DAY(B2)</f>
        <v>-1535.0000000000002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362899</v>
      </c>
      <c r="F42" s="145">
        <v>368108</v>
      </c>
      <c r="G42" s="433">
        <f t="shared" si="2"/>
        <v>5209</v>
      </c>
      <c r="H42" s="99">
        <f>G42+'17'!H42</f>
        <v>-57693</v>
      </c>
      <c r="I42" s="95"/>
      <c r="J42" s="175">
        <f>H42/DAY(B2)</f>
        <v>-3205.1666666666665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312969</v>
      </c>
      <c r="F43" s="145">
        <v>316272</v>
      </c>
      <c r="G43" s="433">
        <f t="shared" si="2"/>
        <v>3303</v>
      </c>
      <c r="H43" s="99">
        <f>G43+'17'!H43</f>
        <v>-41247</v>
      </c>
      <c r="I43" s="95"/>
      <c r="J43" s="175">
        <f>H43/DAY(B2)</f>
        <v>-2291.5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3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3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3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5">
        <f>G35+G36+G37+G38+G39+G40+G41+G42+G43+G44+G45+G46</f>
        <v>19371</v>
      </c>
      <c r="H47" s="99">
        <f>G47+'17'!H47</f>
        <v>-259752.99999999994</v>
      </c>
      <c r="I47" s="95"/>
      <c r="J47" s="175">
        <f>H47/DAY(B2)</f>
        <v>-14430.722222222219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3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141544</v>
      </c>
      <c r="F49" s="145">
        <v>143327</v>
      </c>
      <c r="G49" s="433">
        <f t="shared" ref="G49:G58" si="3">F49-E49</f>
        <v>1783</v>
      </c>
      <c r="H49" s="99">
        <f>G49+'17'!H49</f>
        <v>-21843</v>
      </c>
      <c r="I49" s="95"/>
      <c r="J49" s="175">
        <f>H49/DAY(B2)</f>
        <v>-1213.5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154969</v>
      </c>
      <c r="F50" s="145">
        <v>156401</v>
      </c>
      <c r="G50" s="433">
        <f t="shared" si="3"/>
        <v>1432</v>
      </c>
      <c r="H50" s="99">
        <f>G50+'17'!H50</f>
        <v>-16206</v>
      </c>
      <c r="I50" s="95"/>
      <c r="J50" s="175">
        <f>H50/DAY(B2)</f>
        <v>-900.33333333333337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3">
        <f t="shared" si="3"/>
        <v>0</v>
      </c>
      <c r="H51" s="99">
        <f>G51+'17'!H51</f>
        <v>0.31999999999999318</v>
      </c>
      <c r="I51" s="95"/>
      <c r="J51" s="175">
        <f>H51/DAY(B2)</f>
        <v>1.77777777777774E-2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9.76</v>
      </c>
      <c r="F52" s="145">
        <v>9.76</v>
      </c>
      <c r="G52" s="433">
        <f t="shared" si="3"/>
        <v>0</v>
      </c>
      <c r="H52" s="99">
        <f>G52+'17'!H52</f>
        <v>-0.24000000000000021</v>
      </c>
      <c r="I52" s="95"/>
      <c r="J52" s="175">
        <f>H52/DAY(B2)</f>
        <v>-1.3333333333333345E-2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3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43956</v>
      </c>
      <c r="F54" s="145">
        <v>44424</v>
      </c>
      <c r="G54" s="433">
        <f t="shared" si="3"/>
        <v>468</v>
      </c>
      <c r="H54" s="99">
        <f>G54+'17'!H54</f>
        <v>-5659</v>
      </c>
      <c r="I54" s="95"/>
      <c r="J54" s="175">
        <f>H54/DAY(B2)</f>
        <v>-314.38888888888891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129592</v>
      </c>
      <c r="F55" s="145">
        <v>129730</v>
      </c>
      <c r="G55" s="433">
        <f t="shared" si="3"/>
        <v>138</v>
      </c>
      <c r="H55" s="99">
        <f>G55+'17'!H55</f>
        <v>-15237</v>
      </c>
      <c r="I55" s="95"/>
      <c r="J55" s="175">
        <f>H55/DAY(B2)</f>
        <v>-846.5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100576</v>
      </c>
      <c r="F56" s="145">
        <v>102471</v>
      </c>
      <c r="G56" s="433">
        <f t="shared" si="3"/>
        <v>1895</v>
      </c>
      <c r="H56" s="99">
        <f>G56+'17'!H56</f>
        <v>-4775</v>
      </c>
      <c r="I56" s="95"/>
      <c r="J56" s="175">
        <f>H56/DAY(B2)</f>
        <v>-265.27777777777777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433">
        <f t="shared" si="3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22487</v>
      </c>
      <c r="F58" s="424">
        <v>22728</v>
      </c>
      <c r="G58" s="433">
        <f t="shared" si="3"/>
        <v>241</v>
      </c>
      <c r="H58" s="99">
        <f>G58+'17'!H58</f>
        <v>-2765</v>
      </c>
      <c r="I58" s="95"/>
      <c r="J58" s="175">
        <f>H58/DAY(B2)</f>
        <v>-153.61111111111111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5">
        <f>G49+G50+G51+G52+G53+G54+G55+G56+G57+G58</f>
        <v>5957</v>
      </c>
      <c r="H59" s="99">
        <f>G59+'17'!H59</f>
        <v>-66484.92</v>
      </c>
      <c r="I59" s="95">
        <f>G7-G60</f>
        <v>1672</v>
      </c>
      <c r="J59" s="175">
        <f>H59/DAY(B2)</f>
        <v>-3693.6066666666666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5">
        <f>G47+G59</f>
        <v>25328</v>
      </c>
      <c r="H60" s="99">
        <f>G60+'17'!H60</f>
        <v>-326237.91999999993</v>
      </c>
      <c r="I60" s="95">
        <f>G13-G60</f>
        <v>-828</v>
      </c>
      <c r="J60" s="175">
        <f>H60/DAY(B2)</f>
        <v>-18124.328888888886</v>
      </c>
      <c r="K60" s="79"/>
      <c r="L60" s="66"/>
      <c r="N60" s="87"/>
      <c r="O60" s="71"/>
    </row>
    <row r="61" spans="1:15" s="68" customFormat="1" ht="27.75" customHeight="1">
      <c r="A61" s="941" t="s">
        <v>332</v>
      </c>
      <c r="B61" s="942"/>
      <c r="C61" s="943"/>
      <c r="D61" s="339"/>
      <c r="E61" s="339"/>
      <c r="F61" s="339"/>
      <c r="G61" s="444"/>
      <c r="H61" s="339"/>
      <c r="I61" s="339"/>
      <c r="J61" s="341"/>
      <c r="K61" s="69"/>
      <c r="L61" s="67"/>
      <c r="N61" s="87"/>
      <c r="O61" s="71"/>
    </row>
    <row r="62" spans="1:15" ht="27.75" customHeight="1">
      <c r="A62" s="907" t="s">
        <v>198</v>
      </c>
      <c r="B62" s="908"/>
      <c r="C62" s="909"/>
      <c r="D62" s="151" t="s">
        <v>142</v>
      </c>
      <c r="E62" s="95">
        <f>'17'!F62</f>
        <v>281706</v>
      </c>
      <c r="F62" s="122">
        <v>281853</v>
      </c>
      <c r="G62" s="433">
        <f t="shared" ref="G62:G63" si="4">F62-E62</f>
        <v>147</v>
      </c>
      <c r="H62" s="99">
        <f>G62+'17'!H62</f>
        <v>-2156</v>
      </c>
      <c r="I62" s="118"/>
      <c r="J62" s="175">
        <f>H62/DAY(B2)</f>
        <v>-119.77777777777777</v>
      </c>
      <c r="K62" s="80"/>
      <c r="L62" s="66"/>
      <c r="N62" s="87"/>
      <c r="O62" s="71"/>
    </row>
    <row r="63" spans="1:15" ht="27.75" customHeight="1">
      <c r="A63" s="907" t="s">
        <v>199</v>
      </c>
      <c r="B63" s="908"/>
      <c r="C63" s="909"/>
      <c r="D63" s="151" t="s">
        <v>142</v>
      </c>
      <c r="E63" s="95">
        <f>'17'!F63</f>
        <v>225645</v>
      </c>
      <c r="F63" s="122">
        <v>225789</v>
      </c>
      <c r="G63" s="433">
        <f t="shared" si="4"/>
        <v>144</v>
      </c>
      <c r="H63" s="99">
        <f>G63+'17'!H63</f>
        <v>-1690</v>
      </c>
      <c r="I63" s="118"/>
      <c r="J63" s="175">
        <f>H63/DAY(B2)</f>
        <v>-93.888888888888886</v>
      </c>
      <c r="K63" s="69"/>
      <c r="L63" s="66"/>
      <c r="N63" s="87"/>
      <c r="O63" s="71"/>
    </row>
    <row r="64" spans="1:15" ht="27.75" customHeight="1">
      <c r="A64" s="916" t="s">
        <v>200</v>
      </c>
      <c r="B64" s="917"/>
      <c r="C64" s="918"/>
      <c r="D64" s="151"/>
      <c r="E64" s="95">
        <f>'17'!F64</f>
        <v>0</v>
      </c>
      <c r="F64" s="122"/>
      <c r="G64" s="433">
        <f>G62+G63</f>
        <v>291</v>
      </c>
      <c r="H64" s="99">
        <f>G64+'17'!H64</f>
        <v>-3846</v>
      </c>
      <c r="I64" s="118"/>
      <c r="J64" s="175">
        <f>H64/DAY(B2)</f>
        <v>-213.66666666666666</v>
      </c>
      <c r="K64" s="69"/>
      <c r="L64" s="66"/>
      <c r="N64" s="87"/>
      <c r="O64" s="71"/>
    </row>
    <row r="65" spans="1:15" ht="27.75" customHeight="1">
      <c r="A65" s="907" t="s">
        <v>201</v>
      </c>
      <c r="B65" s="908"/>
      <c r="C65" s="909"/>
      <c r="D65" s="151" t="s">
        <v>142</v>
      </c>
      <c r="E65" s="95">
        <f>'17'!F65</f>
        <v>443059</v>
      </c>
      <c r="F65" s="122">
        <v>443175</v>
      </c>
      <c r="G65" s="433">
        <f t="shared" ref="G65:G70" si="5">F65-E65</f>
        <v>116</v>
      </c>
      <c r="H65" s="99">
        <f>G65+'17'!H65</f>
        <v>-1417</v>
      </c>
      <c r="I65" s="118"/>
      <c r="J65" s="175">
        <f>H65/DAY(B2)</f>
        <v>-78.722222222222229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109374</v>
      </c>
      <c r="F66" s="122">
        <v>109386</v>
      </c>
      <c r="G66" s="433">
        <f t="shared" si="5"/>
        <v>12</v>
      </c>
      <c r="H66" s="99">
        <f>G66+'17'!H66</f>
        <v>-195</v>
      </c>
      <c r="I66" s="118"/>
      <c r="J66" s="175">
        <f>H66/DAY(B2)</f>
        <v>-10.833333333333334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109872</v>
      </c>
      <c r="F67" s="122">
        <v>109941</v>
      </c>
      <c r="G67" s="433">
        <f t="shared" si="5"/>
        <v>69</v>
      </c>
      <c r="H67" s="99">
        <f>G67+'17'!H67</f>
        <v>-959</v>
      </c>
      <c r="I67" s="118"/>
      <c r="J67" s="175">
        <f>H67/DAY(B2)</f>
        <v>-53.277777777777779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161172</v>
      </c>
      <c r="F68" s="122">
        <v>161188</v>
      </c>
      <c r="G68" s="433">
        <f t="shared" si="5"/>
        <v>16</v>
      </c>
      <c r="H68" s="99">
        <f>G68+'17'!H68</f>
        <v>-596</v>
      </c>
      <c r="I68" s="118"/>
      <c r="J68" s="175">
        <f>H68/DAY(B2)</f>
        <v>-33.111111111111114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11435</v>
      </c>
      <c r="F69" s="122">
        <v>11441</v>
      </c>
      <c r="G69" s="433">
        <f t="shared" si="5"/>
        <v>6</v>
      </c>
      <c r="H69" s="99">
        <f>G69+'17'!H69</f>
        <v>-157</v>
      </c>
      <c r="I69" s="118"/>
      <c r="J69" s="175">
        <f>H69/DAY(B2)</f>
        <v>-8.7222222222222214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8879</v>
      </c>
      <c r="F70" s="122">
        <v>8886</v>
      </c>
      <c r="G70" s="433">
        <f t="shared" si="5"/>
        <v>7</v>
      </c>
      <c r="H70" s="99">
        <f>G70+'17'!H70</f>
        <v>-115</v>
      </c>
      <c r="I70" s="118"/>
      <c r="J70" s="175">
        <f>H70/DAY(B2)</f>
        <v>-6.3888888888888893</v>
      </c>
      <c r="K70" s="69"/>
      <c r="L70" s="66"/>
      <c r="N70" s="87"/>
      <c r="O70" s="71"/>
    </row>
    <row r="71" spans="1:15" ht="27.75" customHeight="1">
      <c r="A71" s="916" t="s">
        <v>208</v>
      </c>
      <c r="B71" s="917"/>
      <c r="C71" s="918"/>
      <c r="D71" s="152"/>
      <c r="E71" s="152"/>
      <c r="F71" s="152"/>
      <c r="G71" s="445">
        <f>SUM(G65:G70)</f>
        <v>226</v>
      </c>
      <c r="H71" s="99">
        <f>G71+'17'!H71</f>
        <v>-3439</v>
      </c>
      <c r="I71" s="154"/>
      <c r="J71" s="175">
        <f>H71/DAY(B2)</f>
        <v>-191.05555555555554</v>
      </c>
      <c r="K71" s="69"/>
      <c r="L71" s="66"/>
      <c r="N71" s="87"/>
      <c r="O71" s="71"/>
    </row>
    <row r="72" spans="1:15" s="88" customFormat="1" ht="27.75" customHeight="1">
      <c r="A72" s="903"/>
      <c r="B72" s="888"/>
      <c r="C72" s="347"/>
      <c r="D72" s="180"/>
      <c r="E72" s="180" t="s">
        <v>207</v>
      </c>
      <c r="F72" s="180"/>
      <c r="G72" s="446"/>
      <c r="H72" s="181"/>
      <c r="I72" s="180"/>
      <c r="J72" s="182"/>
      <c r="N72" s="87"/>
      <c r="O72" s="71"/>
    </row>
    <row r="73" spans="1:15" ht="27.75" customHeight="1">
      <c r="A73" s="913" t="s">
        <v>333</v>
      </c>
      <c r="B73" s="914"/>
      <c r="C73" s="915"/>
      <c r="D73" s="339"/>
      <c r="E73" s="339"/>
      <c r="F73" s="339"/>
      <c r="G73" s="444"/>
      <c r="H73" s="342"/>
      <c r="I73" s="342"/>
      <c r="J73" s="343"/>
      <c r="K73" s="69"/>
      <c r="L73" s="66"/>
      <c r="N73" s="87"/>
      <c r="O73" s="71"/>
    </row>
    <row r="74" spans="1:15" ht="27.75" customHeight="1">
      <c r="A74" s="907" t="s">
        <v>220</v>
      </c>
      <c r="B74" s="908"/>
      <c r="C74" s="909"/>
      <c r="D74" s="151" t="s">
        <v>139</v>
      </c>
      <c r="E74" s="95">
        <f>'17'!F74</f>
        <v>924627</v>
      </c>
      <c r="F74" s="123">
        <v>924941</v>
      </c>
      <c r="G74" s="433">
        <f>F74-E74</f>
        <v>314</v>
      </c>
      <c r="H74" s="99">
        <f>G74+'17'!H74</f>
        <v>-3836</v>
      </c>
      <c r="I74" s="154"/>
      <c r="J74" s="175">
        <f>H74/DAY(B2)</f>
        <v>-213.11111111111111</v>
      </c>
      <c r="K74" s="69"/>
      <c r="L74" s="66"/>
      <c r="N74" s="87"/>
      <c r="O74" s="71"/>
    </row>
    <row r="75" spans="1:15" ht="27.75" customHeight="1">
      <c r="A75" s="907" t="s">
        <v>221</v>
      </c>
      <c r="B75" s="908"/>
      <c r="C75" s="909"/>
      <c r="D75" s="151" t="s">
        <v>139</v>
      </c>
      <c r="E75" s="95">
        <f>'17'!F75</f>
        <v>73586.8</v>
      </c>
      <c r="F75" s="410">
        <v>73586.8</v>
      </c>
      <c r="G75" s="433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04" t="s">
        <v>222</v>
      </c>
      <c r="B76" s="905"/>
      <c r="C76" s="906"/>
      <c r="D76" s="151" t="s">
        <v>139</v>
      </c>
      <c r="E76" s="95">
        <f>'17'!F76</f>
        <v>178586</v>
      </c>
      <c r="F76" s="123">
        <v>178700</v>
      </c>
      <c r="G76" s="433">
        <f>F76-E76</f>
        <v>114</v>
      </c>
      <c r="H76" s="99">
        <f>G76+'17'!H76</f>
        <v>-1454</v>
      </c>
      <c r="I76" s="154"/>
      <c r="J76" s="175">
        <f>H76/DAY(B2)</f>
        <v>-80.777777777777771</v>
      </c>
      <c r="K76" s="69"/>
      <c r="L76" s="66"/>
      <c r="N76" s="87"/>
      <c r="O76" s="71"/>
    </row>
    <row r="77" spans="1:15" ht="27.75" customHeight="1">
      <c r="A77" s="904" t="s">
        <v>223</v>
      </c>
      <c r="B77" s="905"/>
      <c r="C77" s="906"/>
      <c r="D77" s="151" t="s">
        <v>139</v>
      </c>
      <c r="E77" s="95">
        <f>'17'!F77</f>
        <v>45019</v>
      </c>
      <c r="F77" s="123">
        <v>45064</v>
      </c>
      <c r="G77" s="433">
        <f t="shared" si="6"/>
        <v>45</v>
      </c>
      <c r="H77" s="99">
        <f>G77+'17'!H77</f>
        <v>-610</v>
      </c>
      <c r="I77" s="154"/>
      <c r="J77" s="175">
        <f>H77/DAY(B2)</f>
        <v>-33.888888888888886</v>
      </c>
      <c r="K77" s="69"/>
      <c r="L77" s="66"/>
      <c r="N77" s="87"/>
      <c r="O77" s="71"/>
    </row>
    <row r="78" spans="1:15" ht="27.75" customHeight="1">
      <c r="A78" s="904" t="s">
        <v>224</v>
      </c>
      <c r="B78" s="905"/>
      <c r="C78" s="906"/>
      <c r="D78" s="151" t="s">
        <v>139</v>
      </c>
      <c r="E78" s="95">
        <f>'17'!F78</f>
        <v>9564</v>
      </c>
      <c r="F78" s="123">
        <v>9564</v>
      </c>
      <c r="G78" s="433">
        <f t="shared" si="6"/>
        <v>0</v>
      </c>
      <c r="H78" s="99">
        <f>G78+'17'!H78</f>
        <v>0.6000000000003638</v>
      </c>
      <c r="I78" s="118"/>
      <c r="J78" s="175">
        <f>H78/DAY(B2)</f>
        <v>3.3333333333353546E-2</v>
      </c>
      <c r="K78" s="69"/>
      <c r="L78" s="66"/>
      <c r="N78" s="87"/>
      <c r="O78" s="71"/>
    </row>
    <row r="79" spans="1:15" s="57" customFormat="1" ht="27.75" customHeight="1">
      <c r="A79" s="904" t="s">
        <v>225</v>
      </c>
      <c r="B79" s="905"/>
      <c r="C79" s="906"/>
      <c r="D79" s="151"/>
      <c r="E79" s="95">
        <f>'17'!F79</f>
        <v>0</v>
      </c>
      <c r="F79" s="123">
        <v>0</v>
      </c>
      <c r="G79" s="433" t="e">
        <f>G15-SUM(G74:G78)</f>
        <v>#VALUE!</v>
      </c>
      <c r="H79" s="99" t="e">
        <f>G79+'17'!H79</f>
        <v>#VALUE!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916" t="s">
        <v>329</v>
      </c>
      <c r="B80" s="917"/>
      <c r="C80" s="918"/>
      <c r="D80" s="151"/>
      <c r="E80" s="117"/>
      <c r="F80" s="117"/>
      <c r="G80" s="433" t="e">
        <f>SUM(G74:G79)</f>
        <v>#VALUE!</v>
      </c>
      <c r="H80" s="99" t="e">
        <f>G80+'17'!H80</f>
        <v>#VALUE!</v>
      </c>
      <c r="I80" s="118"/>
      <c r="J80" s="175"/>
      <c r="K80" s="59"/>
      <c r="L80" s="58"/>
      <c r="N80" s="87"/>
      <c r="O80" s="71"/>
    </row>
    <row r="81" spans="1:15" ht="27.75" customHeight="1">
      <c r="A81" s="921" t="s">
        <v>226</v>
      </c>
      <c r="B81" s="922"/>
      <c r="C81" s="923"/>
      <c r="D81" s="110"/>
      <c r="E81" s="110"/>
      <c r="F81" s="110"/>
      <c r="G81" s="447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3">
        <f t="shared" ref="G82:G92" si="7">F82-E82</f>
        <v>0</v>
      </c>
      <c r="H82" s="99">
        <f>G82+'17'!H82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3">
        <f t="shared" si="7"/>
        <v>0</v>
      </c>
      <c r="H83" s="99">
        <f>G83+'17'!H83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41675</v>
      </c>
      <c r="F84" s="164">
        <v>41675.26</v>
      </c>
      <c r="G84" s="433">
        <f>F84-E84</f>
        <v>0.26000000000203727</v>
      </c>
      <c r="H84" s="99">
        <f>G84+'17'!H84</f>
        <v>-116.73999999999796</v>
      </c>
      <c r="I84" s="575"/>
      <c r="J84" s="175">
        <f>H84/DAY(B2)</f>
        <v>-6.4855555555554423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3509</v>
      </c>
      <c r="F85" s="164">
        <v>3533</v>
      </c>
      <c r="G85" s="433">
        <f t="shared" si="7"/>
        <v>24</v>
      </c>
      <c r="H85" s="99">
        <f>G85+'17'!H85</f>
        <v>-244</v>
      </c>
      <c r="I85" s="575"/>
      <c r="J85" s="175">
        <f>H85/DAY(B2)</f>
        <v>-13.555555555555555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43836.47</v>
      </c>
      <c r="F86" s="164">
        <v>43836.47</v>
      </c>
      <c r="G86" s="433">
        <f t="shared" si="7"/>
        <v>0</v>
      </c>
      <c r="H86" s="99">
        <f>G86+'17'!H86</f>
        <v>-102.52999999999884</v>
      </c>
      <c r="I86" s="575"/>
      <c r="J86" s="175">
        <f>H86/DAY(B2)</f>
        <v>-5.6961111111110467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35276</v>
      </c>
      <c r="F87" s="164">
        <v>35291</v>
      </c>
      <c r="G87" s="433">
        <f t="shared" si="7"/>
        <v>15</v>
      </c>
      <c r="H87" s="99">
        <f>G87+'17'!H87</f>
        <v>-38</v>
      </c>
      <c r="I87" s="575">
        <f>G84+G85+G86+G87</f>
        <v>39.260000000002037</v>
      </c>
      <c r="J87" s="175">
        <f>H87/DAY(B2)</f>
        <v>-2.1111111111111112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24156.38</v>
      </c>
      <c r="F88" s="164">
        <v>24165</v>
      </c>
      <c r="G88" s="433">
        <f t="shared" si="7"/>
        <v>8.6199999999989814</v>
      </c>
      <c r="H88" s="99">
        <f>G88+'17'!H88</f>
        <v>-23.119999999998981</v>
      </c>
      <c r="I88" s="575"/>
      <c r="J88" s="175">
        <f>H88/DAY(B2)</f>
        <v>-1.2844444444443879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26604</v>
      </c>
      <c r="F89" s="164">
        <v>26609</v>
      </c>
      <c r="G89" s="433">
        <f t="shared" si="7"/>
        <v>5</v>
      </c>
      <c r="H89" s="99">
        <f>G89+'17'!H89</f>
        <v>-100.22000000000116</v>
      </c>
      <c r="I89" s="575">
        <f>G88+G89</f>
        <v>13.619999999998981</v>
      </c>
      <c r="J89" s="175">
        <f>H89/DAY(B2)</f>
        <v>-5.5677777777778426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71739</v>
      </c>
      <c r="F90" s="164">
        <v>71745</v>
      </c>
      <c r="G90" s="433">
        <f t="shared" si="7"/>
        <v>6</v>
      </c>
      <c r="H90" s="99">
        <f>G90+'17'!H90</f>
        <v>-118.52999999999884</v>
      </c>
      <c r="I90" s="575">
        <f>G90</f>
        <v>6</v>
      </c>
      <c r="J90" s="175">
        <f>H90/DAY(B2)</f>
        <v>-6.5849999999999351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3910</v>
      </c>
      <c r="F91" s="404">
        <v>3918</v>
      </c>
      <c r="G91" s="433">
        <f t="shared" si="7"/>
        <v>8</v>
      </c>
      <c r="H91" s="99">
        <f>G91+'17'!H91</f>
        <v>-141.23999999999978</v>
      </c>
      <c r="I91" s="594"/>
      <c r="J91" s="175">
        <f>H91/DAY(B2)</f>
        <v>-7.8466666666666542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5932</v>
      </c>
      <c r="F92" s="404">
        <v>5935</v>
      </c>
      <c r="G92" s="433">
        <f t="shared" si="7"/>
        <v>3</v>
      </c>
      <c r="H92" s="99">
        <f>G92+'17'!H92</f>
        <v>0</v>
      </c>
      <c r="I92" s="600">
        <f>G91+G92</f>
        <v>11</v>
      </c>
      <c r="J92" s="175">
        <f>H92/DAY(B2)</f>
        <v>0</v>
      </c>
      <c r="O92" s="71"/>
    </row>
    <row r="93" spans="1:15" ht="27.75" customHeight="1">
      <c r="A93" s="910" t="s">
        <v>239</v>
      </c>
      <c r="B93" s="911"/>
      <c r="C93" s="912"/>
      <c r="D93" s="111"/>
      <c r="E93" s="111"/>
      <c r="F93" s="111"/>
      <c r="G93" s="436"/>
      <c r="H93" s="121"/>
      <c r="I93" s="121"/>
      <c r="J93" s="183"/>
      <c r="K93" s="69"/>
      <c r="L93" s="66"/>
      <c r="O93" s="71"/>
    </row>
    <row r="94" spans="1:15" ht="27.75" customHeight="1">
      <c r="A94" s="907" t="s">
        <v>240</v>
      </c>
      <c r="B94" s="908"/>
      <c r="C94" s="909"/>
      <c r="D94" s="151" t="s">
        <v>130</v>
      </c>
      <c r="E94" s="151"/>
      <c r="F94" s="151"/>
      <c r="G94" s="448">
        <f>G35+G43+G49+G57</f>
        <v>7229</v>
      </c>
      <c r="H94" s="99">
        <f>G94+'17'!H94</f>
        <v>-88887</v>
      </c>
      <c r="I94" s="118"/>
      <c r="J94" s="175">
        <f>H94/DAY(B2)</f>
        <v>-4938.166666666667</v>
      </c>
      <c r="K94" s="69"/>
      <c r="L94" s="66"/>
      <c r="O94" s="71"/>
    </row>
    <row r="95" spans="1:15" ht="27.75" customHeight="1">
      <c r="A95" s="907" t="s">
        <v>241</v>
      </c>
      <c r="B95" s="908"/>
      <c r="C95" s="909"/>
      <c r="D95" s="151" t="s">
        <v>23</v>
      </c>
      <c r="E95" s="146"/>
      <c r="F95" s="146"/>
      <c r="G95" s="449">
        <f>G94/G7</f>
        <v>0.26774074074074072</v>
      </c>
      <c r="H95" s="99">
        <f>G95+'17'!H95</f>
        <v>-3.3145059635069511</v>
      </c>
      <c r="I95" s="167"/>
      <c r="J95" s="175">
        <f>H95/DAY(B2)</f>
        <v>-0.18413922019483062</v>
      </c>
      <c r="K95" s="69"/>
      <c r="L95" s="66"/>
      <c r="O95" s="71"/>
    </row>
    <row r="96" spans="1:15" ht="27.75" customHeight="1">
      <c r="A96" s="907" t="s">
        <v>242</v>
      </c>
      <c r="B96" s="908"/>
      <c r="C96" s="909"/>
      <c r="D96" s="151" t="s">
        <v>130</v>
      </c>
      <c r="E96" s="95"/>
      <c r="F96" s="95"/>
      <c r="G96" s="448">
        <f>G41+G42+G55+G56</f>
        <v>7242</v>
      </c>
      <c r="H96" s="99">
        <f>G96+'17'!H96</f>
        <v>-105335.00000000001</v>
      </c>
      <c r="I96" s="118"/>
      <c r="J96" s="175">
        <f>H96/DAY(B2)</f>
        <v>-5851.9444444444453</v>
      </c>
      <c r="K96" s="69"/>
      <c r="L96" s="66"/>
      <c r="O96" s="71"/>
    </row>
    <row r="97" spans="1:15" ht="27.75" customHeight="1">
      <c r="A97" s="907" t="s">
        <v>243</v>
      </c>
      <c r="B97" s="908"/>
      <c r="C97" s="909"/>
      <c r="D97" s="151" t="s">
        <v>23</v>
      </c>
      <c r="E97" s="95"/>
      <c r="F97" s="95"/>
      <c r="G97" s="449">
        <f>G96/G7</f>
        <v>0.2682222222222222</v>
      </c>
      <c r="H97" s="99">
        <f>G97+'17'!H97</f>
        <v>-3.9322023733222227</v>
      </c>
      <c r="I97" s="167"/>
      <c r="J97" s="175">
        <f>H97/DAY(B2)</f>
        <v>-0.21845568740679014</v>
      </c>
      <c r="K97" s="69"/>
      <c r="L97" s="66"/>
      <c r="O97" s="71"/>
    </row>
    <row r="98" spans="1:15" ht="27.75" customHeight="1">
      <c r="A98" s="907" t="s">
        <v>244</v>
      </c>
      <c r="B98" s="908"/>
      <c r="C98" s="909"/>
      <c r="D98" s="151" t="s">
        <v>130</v>
      </c>
      <c r="E98" s="95"/>
      <c r="F98" s="95"/>
      <c r="G98" s="448">
        <f>G39+G53</f>
        <v>3285</v>
      </c>
      <c r="H98" s="99">
        <f>G98+'17'!H98</f>
        <v>-36663</v>
      </c>
      <c r="I98" s="168"/>
      <c r="J98" s="175">
        <f>H98/DAY(B2)</f>
        <v>-2036.8333333333333</v>
      </c>
      <c r="K98" s="69"/>
      <c r="L98" s="66"/>
      <c r="O98" s="71"/>
    </row>
    <row r="99" spans="1:15" ht="27.75" customHeight="1">
      <c r="A99" s="907" t="s">
        <v>245</v>
      </c>
      <c r="B99" s="908"/>
      <c r="C99" s="909"/>
      <c r="D99" s="151" t="s">
        <v>23</v>
      </c>
      <c r="E99" s="95"/>
      <c r="F99" s="95"/>
      <c r="G99" s="449">
        <f>G98/G7</f>
        <v>0.12166666666666667</v>
      </c>
      <c r="H99" s="99">
        <f>G99+'17'!H99</f>
        <v>-1.3653398466131339</v>
      </c>
      <c r="I99" s="168"/>
      <c r="J99" s="175">
        <f>H99/DAY(B2)</f>
        <v>-7.5852213700729657E-2</v>
      </c>
      <c r="O99" s="71"/>
    </row>
    <row r="100" spans="1:15" ht="27.75" customHeight="1">
      <c r="A100" s="907" t="s">
        <v>246</v>
      </c>
      <c r="B100" s="908"/>
      <c r="C100" s="909"/>
      <c r="D100" s="151" t="s">
        <v>180</v>
      </c>
      <c r="E100" s="95"/>
      <c r="F100" s="95"/>
      <c r="G100" s="448">
        <f>G38+G52</f>
        <v>2295</v>
      </c>
      <c r="H100" s="99">
        <f>G100+'17'!H100</f>
        <v>-28717.239999999998</v>
      </c>
      <c r="I100" s="118"/>
      <c r="J100" s="175">
        <f>H100/DAY(B2)</f>
        <v>-1595.402222222222</v>
      </c>
      <c r="K100" s="70"/>
      <c r="O100" s="71"/>
    </row>
    <row r="101" spans="1:15" ht="27.75" customHeight="1">
      <c r="A101" s="907" t="s">
        <v>247</v>
      </c>
      <c r="B101" s="908"/>
      <c r="C101" s="909"/>
      <c r="D101" s="151" t="s">
        <v>23</v>
      </c>
      <c r="E101" s="95"/>
      <c r="F101" s="95"/>
      <c r="G101" s="449">
        <f>G100/G7</f>
        <v>8.5000000000000006E-2</v>
      </c>
      <c r="H101" s="99">
        <f>G101+'17'!H101</f>
        <v>-1.0695203802255109</v>
      </c>
      <c r="I101" s="168"/>
      <c r="J101" s="175">
        <f>H101/DAY(B2)</f>
        <v>-5.9417798901417268E-2</v>
      </c>
      <c r="O101" s="71"/>
    </row>
    <row r="102" spans="1:15" ht="27.75" customHeight="1">
      <c r="A102" s="907" t="s">
        <v>248</v>
      </c>
      <c r="B102" s="908"/>
      <c r="C102" s="909"/>
      <c r="D102" s="151" t="s">
        <v>180</v>
      </c>
      <c r="E102" s="95"/>
      <c r="F102" s="95"/>
      <c r="G102" s="448">
        <f>G36+G50</f>
        <v>2452</v>
      </c>
      <c r="H102" s="99">
        <f>G102+'17'!H102</f>
        <v>-29503</v>
      </c>
      <c r="I102" s="168"/>
      <c r="J102" s="175">
        <f>H102/DAY(B2)</f>
        <v>-1639.0555555555557</v>
      </c>
      <c r="O102" s="71"/>
    </row>
    <row r="103" spans="1:15" ht="27.75" customHeight="1">
      <c r="A103" s="907" t="s">
        <v>249</v>
      </c>
      <c r="B103" s="908"/>
      <c r="C103" s="909"/>
      <c r="D103" s="151" t="s">
        <v>23</v>
      </c>
      <c r="E103" s="95"/>
      <c r="F103" s="95"/>
      <c r="G103" s="449">
        <f>G102/G7</f>
        <v>9.081481481481482E-2</v>
      </c>
      <c r="H103" s="99">
        <f>G103+'17'!H103</f>
        <v>-1.1041001468953779</v>
      </c>
      <c r="I103" s="118"/>
      <c r="J103" s="175">
        <f>H103/DAY(B2)</f>
        <v>-6.133889704974322E-2</v>
      </c>
      <c r="O103" s="71"/>
    </row>
    <row r="104" spans="1:15" ht="27.75" customHeight="1">
      <c r="A104" s="907" t="s">
        <v>250</v>
      </c>
      <c r="B104" s="908"/>
      <c r="C104" s="909"/>
      <c r="D104" s="151" t="s">
        <v>180</v>
      </c>
      <c r="E104" s="95"/>
      <c r="F104" s="95"/>
      <c r="G104" s="448">
        <f>G37+G51</f>
        <v>1696</v>
      </c>
      <c r="H104" s="99">
        <f>G104+'17'!H104</f>
        <v>-21114.68</v>
      </c>
      <c r="I104" s="118"/>
      <c r="J104" s="175">
        <f>H104/DAY(B2)</f>
        <v>-1173.0377777777778</v>
      </c>
      <c r="O104" s="71"/>
    </row>
    <row r="105" spans="1:15" ht="27.75" customHeight="1" thickBot="1">
      <c r="A105" s="900" t="s">
        <v>251</v>
      </c>
      <c r="B105" s="901"/>
      <c r="C105" s="902"/>
      <c r="D105" s="231" t="s">
        <v>23</v>
      </c>
      <c r="E105" s="185"/>
      <c r="F105" s="185"/>
      <c r="G105" s="450">
        <f>G104/G7</f>
        <v>6.2814814814814809E-2</v>
      </c>
      <c r="H105" s="99">
        <f>G105+'17'!H105</f>
        <v>-0.78671472993623337</v>
      </c>
      <c r="I105" s="187"/>
      <c r="J105" s="188">
        <f>H105/DAY(B2)</f>
        <v>-4.3706373885346296E-2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1"/>
      <c r="H106" s="170"/>
      <c r="I106" s="169"/>
      <c r="J106" s="171"/>
      <c r="O106" s="71"/>
    </row>
    <row r="108" spans="1:15" ht="27.75" customHeight="1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7.75" customHeight="1">
      <c r="A109" s="924"/>
      <c r="B109" s="924"/>
    </row>
    <row r="110" spans="1:15" ht="27.75" customHeight="1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7.75" customHeight="1">
      <c r="A111" s="890"/>
      <c r="B111" s="891"/>
      <c r="C111" s="892"/>
      <c r="D111" s="165"/>
      <c r="E111" s="165"/>
      <c r="F111" s="165"/>
      <c r="G111" s="453"/>
      <c r="H111" s="156"/>
      <c r="I111" s="165"/>
      <c r="J111" s="327"/>
    </row>
    <row r="112" spans="1:15" ht="27.75" customHeight="1">
      <c r="A112" s="886" t="s">
        <v>252</v>
      </c>
      <c r="B112" s="887"/>
      <c r="C112" s="888"/>
      <c r="D112" s="146" t="s">
        <v>183</v>
      </c>
      <c r="E112" s="95">
        <f>'17'!F112</f>
        <v>63515</v>
      </c>
      <c r="F112" s="237">
        <v>63596</v>
      </c>
      <c r="G112" s="433">
        <f t="shared" ref="G112:G123" si="8">F112-E112</f>
        <v>81</v>
      </c>
      <c r="H112" s="99">
        <f>G112+'17'!H112</f>
        <v>63353</v>
      </c>
      <c r="I112" s="165"/>
      <c r="J112" s="328">
        <f>H112/DAY(B2)</f>
        <v>3519.6111111111113</v>
      </c>
    </row>
    <row r="113" spans="1:18" ht="27.75" customHeight="1">
      <c r="A113" s="886" t="s">
        <v>253</v>
      </c>
      <c r="B113" s="887"/>
      <c r="C113" s="888"/>
      <c r="D113" s="146" t="s">
        <v>183</v>
      </c>
      <c r="E113" s="95">
        <f>'17'!F113</f>
        <v>82650</v>
      </c>
      <c r="F113" s="237">
        <v>83177</v>
      </c>
      <c r="G113" s="433">
        <f t="shared" si="8"/>
        <v>527</v>
      </c>
      <c r="H113" s="99">
        <f>G113+'17'!H113</f>
        <v>82695</v>
      </c>
      <c r="I113" s="165"/>
      <c r="J113" s="328">
        <f>H113/DAY(B2)</f>
        <v>4594.166666666667</v>
      </c>
    </row>
    <row r="114" spans="1:18" ht="27.75" customHeight="1">
      <c r="A114" s="886" t="s">
        <v>254</v>
      </c>
      <c r="B114" s="887"/>
      <c r="C114" s="888"/>
      <c r="D114" s="146" t="s">
        <v>183</v>
      </c>
      <c r="E114" s="95">
        <f>'17'!F114</f>
        <v>55025</v>
      </c>
      <c r="F114" s="237">
        <v>55321</v>
      </c>
      <c r="G114" s="433">
        <f t="shared" si="8"/>
        <v>296</v>
      </c>
      <c r="H114" s="99">
        <f>G114+'17'!H114</f>
        <v>54657</v>
      </c>
      <c r="I114" s="165"/>
      <c r="J114" s="328">
        <f>H114/DAY(B2)</f>
        <v>3036.5</v>
      </c>
    </row>
    <row r="115" spans="1:18" ht="27.75" customHeight="1">
      <c r="A115" s="886" t="s">
        <v>255</v>
      </c>
      <c r="B115" s="887"/>
      <c r="C115" s="888"/>
      <c r="D115" s="146" t="s">
        <v>183</v>
      </c>
      <c r="E115" s="95">
        <f>'17'!F115</f>
        <v>10223</v>
      </c>
      <c r="F115" s="237">
        <v>10235</v>
      </c>
      <c r="G115" s="433">
        <f t="shared" si="8"/>
        <v>12</v>
      </c>
      <c r="H115" s="99">
        <f>G115+'17'!H115</f>
        <v>9724</v>
      </c>
      <c r="I115" s="165"/>
      <c r="J115" s="328">
        <f>H115/DAY(B2)</f>
        <v>540.22222222222217</v>
      </c>
    </row>
    <row r="116" spans="1:18" ht="27.75" customHeight="1">
      <c r="A116" s="893" t="s">
        <v>96</v>
      </c>
      <c r="B116" s="894"/>
      <c r="C116" s="895"/>
      <c r="D116" s="146" t="s">
        <v>183</v>
      </c>
      <c r="E116" s="95">
        <f>'17'!F116</f>
        <v>30067</v>
      </c>
      <c r="F116" s="237">
        <v>30483</v>
      </c>
      <c r="G116" s="433">
        <f t="shared" si="8"/>
        <v>416</v>
      </c>
      <c r="H116" s="99">
        <f>G116+'17'!H116</f>
        <v>-4183</v>
      </c>
      <c r="I116" s="165"/>
      <c r="J116" s="328">
        <f>H116/DAY(B2)</f>
        <v>-232.38888888888889</v>
      </c>
      <c r="Q116" s="886" t="s">
        <v>311</v>
      </c>
      <c r="R116" s="888"/>
    </row>
    <row r="117" spans="1:18" ht="27.75" customHeight="1">
      <c r="A117" s="893" t="s">
        <v>184</v>
      </c>
      <c r="B117" s="894"/>
      <c r="C117" s="895"/>
      <c r="D117" s="146" t="s">
        <v>183</v>
      </c>
      <c r="E117" s="95">
        <f>'17'!F117</f>
        <v>16856</v>
      </c>
      <c r="F117" s="237">
        <v>17085</v>
      </c>
      <c r="G117" s="433">
        <f t="shared" si="8"/>
        <v>229</v>
      </c>
      <c r="H117" s="99">
        <f>G117+'17'!H117</f>
        <v>-1851</v>
      </c>
      <c r="I117" s="165"/>
      <c r="J117" s="328">
        <f>H117/DAY(B2)</f>
        <v>-102.83333333333333</v>
      </c>
      <c r="Q117" s="886" t="s">
        <v>312</v>
      </c>
      <c r="R117" s="888"/>
    </row>
    <row r="118" spans="1:18" ht="27.75" customHeight="1">
      <c r="A118" s="885" t="s">
        <v>97</v>
      </c>
      <c r="B118" s="885"/>
      <c r="C118" s="885"/>
      <c r="D118" s="151" t="s">
        <v>183</v>
      </c>
      <c r="E118" s="95">
        <f>'17'!F118</f>
        <v>2059</v>
      </c>
      <c r="F118" s="237">
        <v>2601</v>
      </c>
      <c r="G118" s="433">
        <f t="shared" si="8"/>
        <v>542</v>
      </c>
      <c r="H118" s="99">
        <f>G118+'17'!H118</f>
        <v>-6462</v>
      </c>
      <c r="I118" s="165"/>
      <c r="J118" s="328">
        <f>H118/DAY(B2)</f>
        <v>-359</v>
      </c>
      <c r="Q118" s="886" t="s">
        <v>311</v>
      </c>
      <c r="R118" s="888"/>
    </row>
    <row r="119" spans="1:18" ht="27.75" customHeight="1">
      <c r="A119" s="885" t="s">
        <v>98</v>
      </c>
      <c r="B119" s="885"/>
      <c r="C119" s="885"/>
      <c r="D119" s="151" t="s">
        <v>183</v>
      </c>
      <c r="E119" s="95">
        <v>109</v>
      </c>
      <c r="F119" s="237">
        <v>507</v>
      </c>
      <c r="G119" s="433">
        <f t="shared" si="8"/>
        <v>398</v>
      </c>
      <c r="H119" s="99">
        <f>G119+'17'!H119</f>
        <v>285022</v>
      </c>
      <c r="I119" s="165"/>
      <c r="J119" s="328">
        <f>H119/DAY(B2)</f>
        <v>15834.555555555555</v>
      </c>
    </row>
    <row r="120" spans="1:18" ht="27.75" customHeight="1">
      <c r="A120" s="885" t="s">
        <v>99</v>
      </c>
      <c r="B120" s="885"/>
      <c r="C120" s="885"/>
      <c r="D120" s="151" t="s">
        <v>183</v>
      </c>
      <c r="E120" s="95">
        <f>'17'!F120</f>
        <v>1660</v>
      </c>
      <c r="F120" s="237">
        <v>2075</v>
      </c>
      <c r="G120" s="433">
        <f t="shared" si="8"/>
        <v>415</v>
      </c>
      <c r="H120" s="99">
        <f>G120+'17'!H120</f>
        <v>-5060</v>
      </c>
      <c r="I120" s="165"/>
      <c r="J120" s="328">
        <f>H120/DAY(B2)</f>
        <v>-281.11111111111109</v>
      </c>
    </row>
    <row r="121" spans="1:18" ht="27.75" customHeight="1">
      <c r="A121" s="885" t="s">
        <v>100</v>
      </c>
      <c r="B121" s="885"/>
      <c r="C121" s="885"/>
      <c r="D121" s="151" t="s">
        <v>183</v>
      </c>
      <c r="E121" s="95">
        <f>'17'!F121</f>
        <v>3229</v>
      </c>
      <c r="F121" s="237">
        <v>3992</v>
      </c>
      <c r="G121" s="433">
        <f t="shared" si="8"/>
        <v>763</v>
      </c>
      <c r="H121" s="99">
        <f>G121+'17'!H121</f>
        <v>-7735</v>
      </c>
      <c r="I121" s="165"/>
      <c r="J121" s="328">
        <f>H121/DAY(B2)</f>
        <v>-429.72222222222223</v>
      </c>
    </row>
    <row r="122" spans="1:18" ht="27.75" customHeight="1">
      <c r="A122" s="885" t="s">
        <v>101</v>
      </c>
      <c r="B122" s="885"/>
      <c r="C122" s="885"/>
      <c r="D122" s="151" t="s">
        <v>183</v>
      </c>
      <c r="E122" s="95">
        <f>'17'!F122</f>
        <v>803</v>
      </c>
      <c r="F122" s="237">
        <v>998</v>
      </c>
      <c r="G122" s="433">
        <f t="shared" si="8"/>
        <v>195</v>
      </c>
      <c r="H122" s="99">
        <f>G122+'17'!H122</f>
        <v>-2566</v>
      </c>
      <c r="I122" s="165"/>
      <c r="J122" s="328">
        <f>H122/DAY(B2)</f>
        <v>-142.55555555555554</v>
      </c>
    </row>
    <row r="123" spans="1:18" ht="27.75" customHeight="1">
      <c r="A123" s="885" t="s">
        <v>102</v>
      </c>
      <c r="B123" s="885"/>
      <c r="C123" s="885"/>
      <c r="D123" s="151" t="s">
        <v>183</v>
      </c>
      <c r="E123" s="95">
        <f>'17'!F123</f>
        <v>173789</v>
      </c>
      <c r="F123" s="237">
        <v>174043</v>
      </c>
      <c r="G123" s="433">
        <f t="shared" si="8"/>
        <v>254</v>
      </c>
      <c r="H123" s="99">
        <f>G123+'17'!H123</f>
        <v>173076</v>
      </c>
      <c r="I123" s="165"/>
      <c r="J123" s="328">
        <f>H123/DAY(B2)</f>
        <v>9615.3333333333339</v>
      </c>
    </row>
    <row r="124" spans="1:18" ht="27.75" customHeight="1">
      <c r="A124" s="890"/>
      <c r="B124" s="891"/>
      <c r="C124" s="892"/>
      <c r="D124" s="165"/>
      <c r="E124" s="95">
        <f>'17'!F124</f>
        <v>0</v>
      </c>
      <c r="F124" s="165"/>
      <c r="G124" s="453"/>
      <c r="H124" s="99">
        <f>G124+'17'!H124</f>
        <v>0</v>
      </c>
      <c r="I124" s="165"/>
      <c r="J124" s="327"/>
    </row>
    <row r="125" spans="1:18" ht="27.75" customHeight="1">
      <c r="A125" s="868" t="s">
        <v>196</v>
      </c>
      <c r="B125" s="869"/>
      <c r="C125" s="245"/>
      <c r="D125" s="307"/>
      <c r="E125" s="308"/>
      <c r="F125" s="308"/>
      <c r="G125" s="454">
        <f>SUM(G112:G124)</f>
        <v>4128</v>
      </c>
      <c r="H125" s="156"/>
      <c r="I125" s="327">
        <f>G125-(G39+G53)</f>
        <v>843</v>
      </c>
      <c r="J125" s="327"/>
    </row>
    <row r="126" spans="1:18" ht="27.75" customHeight="1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7.75" customHeight="1">
      <c r="A127" s="873"/>
      <c r="B127" s="873"/>
      <c r="C127" s="245"/>
      <c r="D127" s="307"/>
      <c r="E127" s="308"/>
      <c r="F127" s="308"/>
      <c r="G127" s="454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886" t="s">
        <v>318</v>
      </c>
      <c r="B128" s="887"/>
      <c r="C128" s="888"/>
      <c r="D128" s="151" t="s">
        <v>183</v>
      </c>
      <c r="E128" s="95">
        <f>'17'!F128</f>
        <v>76177</v>
      </c>
      <c r="F128" s="165">
        <v>76589</v>
      </c>
      <c r="G128" s="433">
        <f t="shared" ref="G128:G134" si="9">F128-E128</f>
        <v>412</v>
      </c>
      <c r="H128" s="99">
        <f>G128+'17'!H128</f>
        <v>-4826</v>
      </c>
      <c r="I128" s="165"/>
      <c r="J128" s="328">
        <f>H128/DAY(B2)</f>
        <v>-268.11111111111109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47273</v>
      </c>
      <c r="F129" s="165">
        <v>47584</v>
      </c>
      <c r="G129" s="433">
        <f t="shared" si="9"/>
        <v>311</v>
      </c>
      <c r="H129" s="99">
        <f>G129+'17'!H129</f>
        <v>-3488</v>
      </c>
      <c r="I129" s="165"/>
      <c r="J129" s="328">
        <f>H129/DAY(B2)</f>
        <v>-193.77777777777777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87454</v>
      </c>
      <c r="F130" s="165">
        <v>88169</v>
      </c>
      <c r="G130" s="433">
        <f t="shared" si="9"/>
        <v>715</v>
      </c>
      <c r="H130" s="99">
        <f>G130+'17'!H130</f>
        <v>-8477</v>
      </c>
      <c r="I130" s="165"/>
      <c r="J130" s="328">
        <f>H130/DAY(B2)</f>
        <v>-470.94444444444446</v>
      </c>
      <c r="N130" s="240"/>
      <c r="O130" s="241"/>
    </row>
    <row r="131" spans="1:15" ht="27.75" customHeight="1">
      <c r="A131" s="886" t="s">
        <v>321</v>
      </c>
      <c r="B131" s="887"/>
      <c r="C131" s="888"/>
      <c r="D131" s="151" t="s">
        <v>183</v>
      </c>
      <c r="E131" s="95">
        <f>'17'!F131</f>
        <v>27758</v>
      </c>
      <c r="F131" s="158">
        <v>27958</v>
      </c>
      <c r="G131" s="433">
        <f t="shared" si="9"/>
        <v>200</v>
      </c>
      <c r="H131" s="99">
        <f>G131+'17'!H131</f>
        <v>-2477</v>
      </c>
      <c r="I131" s="165"/>
      <c r="J131" s="328">
        <f>H131/DAY(B2)</f>
        <v>-137.61111111111111</v>
      </c>
      <c r="N131" s="240"/>
      <c r="O131" s="241"/>
    </row>
    <row r="132" spans="1:15" ht="27.75" customHeight="1">
      <c r="A132" s="886" t="s">
        <v>322</v>
      </c>
      <c r="B132" s="887"/>
      <c r="C132" s="888"/>
      <c r="D132" s="151" t="s">
        <v>183</v>
      </c>
      <c r="E132" s="95">
        <f>'17'!F132</f>
        <v>83075</v>
      </c>
      <c r="F132" s="158">
        <v>83503</v>
      </c>
      <c r="G132" s="433">
        <f t="shared" si="9"/>
        <v>428</v>
      </c>
      <c r="H132" s="99">
        <f>G132+'17'!H132</f>
        <v>-5434</v>
      </c>
      <c r="I132" s="165"/>
      <c r="J132" s="328">
        <f>H132/DAY(B2)</f>
        <v>-301.88888888888891</v>
      </c>
    </row>
    <row r="133" spans="1:15" ht="27.75" customHeight="1">
      <c r="A133" s="886" t="s">
        <v>360</v>
      </c>
      <c r="B133" s="887"/>
      <c r="C133" s="888"/>
      <c r="D133" s="151" t="s">
        <v>183</v>
      </c>
      <c r="E133" s="95">
        <f>'17'!F133</f>
        <v>160698</v>
      </c>
      <c r="F133" s="165">
        <v>161586</v>
      </c>
      <c r="G133" s="433">
        <f t="shared" si="9"/>
        <v>888</v>
      </c>
      <c r="H133" s="99">
        <f>G133+'17'!H133</f>
        <v>-10860</v>
      </c>
      <c r="I133" s="165"/>
      <c r="J133" s="328">
        <f>H133/DAY(B2)</f>
        <v>-603.33333333333337</v>
      </c>
    </row>
    <row r="134" spans="1:15" ht="27.75" customHeight="1">
      <c r="A134" s="886" t="s">
        <v>340</v>
      </c>
      <c r="B134" s="887"/>
      <c r="C134" s="888"/>
      <c r="D134" s="151" t="s">
        <v>183</v>
      </c>
      <c r="E134" s="95">
        <f>'17'!F134</f>
        <v>24903</v>
      </c>
      <c r="F134" s="158">
        <v>25142</v>
      </c>
      <c r="G134" s="433">
        <f t="shared" si="9"/>
        <v>239</v>
      </c>
      <c r="H134" s="99">
        <f>G134+'17'!H134</f>
        <v>-2951</v>
      </c>
      <c r="I134" s="165"/>
      <c r="J134" s="328">
        <f>H134/DAY(B2)</f>
        <v>-163.94444444444446</v>
      </c>
    </row>
    <row r="135" spans="1:15" ht="27.75" customHeight="1">
      <c r="A135" s="868" t="s">
        <v>196</v>
      </c>
      <c r="B135" s="869"/>
      <c r="C135" s="331"/>
      <c r="D135" s="151"/>
      <c r="E135" s="95"/>
      <c r="F135" s="165"/>
      <c r="G135" s="433">
        <f>SUM(G128:G134)</f>
        <v>3193</v>
      </c>
      <c r="H135" s="99">
        <f>G135+'10'!H135</f>
        <v>36243.23000000001</v>
      </c>
      <c r="I135" s="327">
        <f>G135-(G35+G49)</f>
        <v>-733</v>
      </c>
      <c r="J135" s="328"/>
    </row>
    <row r="136" spans="1:15" ht="27.75" customHeight="1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7.75" customHeight="1">
      <c r="A137" s="245"/>
      <c r="B137" s="246"/>
      <c r="C137" s="246"/>
      <c r="D137" s="165"/>
      <c r="E137" s="165"/>
      <c r="F137" s="165"/>
      <c r="G137" s="453"/>
      <c r="H137" s="156"/>
      <c r="I137" s="165"/>
      <c r="J137" s="327"/>
    </row>
    <row r="138" spans="1:15" ht="27.75" customHeight="1">
      <c r="A138" s="885" t="s">
        <v>185</v>
      </c>
      <c r="B138" s="885"/>
      <c r="C138" s="885"/>
      <c r="D138" s="151" t="s">
        <v>183</v>
      </c>
      <c r="E138" s="95">
        <f>'17'!F138</f>
        <v>876762</v>
      </c>
      <c r="F138" s="147">
        <v>876921</v>
      </c>
      <c r="G138" s="433">
        <f t="shared" ref="G138:G152" si="10">F138-E138</f>
        <v>159</v>
      </c>
      <c r="H138" s="99">
        <f>G138+'17'!H138</f>
        <v>-1863</v>
      </c>
      <c r="I138" s="118"/>
      <c r="J138" s="328">
        <f>H138/DAY(B2)</f>
        <v>-103.5</v>
      </c>
    </row>
    <row r="139" spans="1:15" ht="27.75" customHeight="1">
      <c r="A139" s="885" t="s">
        <v>186</v>
      </c>
      <c r="B139" s="885"/>
      <c r="C139" s="885"/>
      <c r="D139" s="151" t="s">
        <v>183</v>
      </c>
      <c r="E139" s="95">
        <f>'17'!F139</f>
        <v>892896</v>
      </c>
      <c r="F139" s="148">
        <v>893043</v>
      </c>
      <c r="G139" s="433">
        <f t="shared" si="10"/>
        <v>147</v>
      </c>
      <c r="H139" s="99">
        <f>G139+'17'!H139</f>
        <v>-1823</v>
      </c>
      <c r="I139" s="118"/>
      <c r="J139" s="328">
        <f>H139/DAY(B2)</f>
        <v>-101.27777777777777</v>
      </c>
    </row>
    <row r="140" spans="1:15" ht="27.75" customHeight="1">
      <c r="A140" s="885" t="s">
        <v>187</v>
      </c>
      <c r="B140" s="885"/>
      <c r="C140" s="885"/>
      <c r="D140" s="151" t="s">
        <v>183</v>
      </c>
      <c r="E140" s="95">
        <f>'17'!F140</f>
        <v>89022</v>
      </c>
      <c r="F140" s="149">
        <v>89023</v>
      </c>
      <c r="G140" s="433">
        <f t="shared" si="10"/>
        <v>1</v>
      </c>
      <c r="H140" s="99">
        <f>G140+'17'!H140</f>
        <v>88888</v>
      </c>
      <c r="I140" s="118"/>
      <c r="J140" s="328">
        <f>H140/DAY(B2)</f>
        <v>4938.2222222222226</v>
      </c>
    </row>
    <row r="141" spans="1:15" ht="27.75" customHeight="1">
      <c r="A141" s="864" t="s">
        <v>188</v>
      </c>
      <c r="B141" s="864"/>
      <c r="C141" s="864"/>
      <c r="D141" s="151" t="s">
        <v>183</v>
      </c>
      <c r="E141" s="95">
        <f>'17'!F141</f>
        <v>69140</v>
      </c>
      <c r="F141" s="149">
        <v>69331</v>
      </c>
      <c r="G141" s="433">
        <f t="shared" si="10"/>
        <v>191</v>
      </c>
      <c r="H141" s="99">
        <f>G141+'17'!H141</f>
        <v>-2443</v>
      </c>
      <c r="I141" s="118"/>
      <c r="J141" s="328">
        <f>H141/DAY(B2)</f>
        <v>-135.72222222222223</v>
      </c>
    </row>
    <row r="142" spans="1:15" ht="27.75" customHeight="1">
      <c r="A142" s="864" t="s">
        <v>189</v>
      </c>
      <c r="B142" s="864"/>
      <c r="C142" s="864"/>
      <c r="D142" s="151" t="s">
        <v>183</v>
      </c>
      <c r="E142" s="95">
        <f>'17'!F142</f>
        <v>26625</v>
      </c>
      <c r="F142" s="148">
        <v>26686</v>
      </c>
      <c r="G142" s="433">
        <f t="shared" si="10"/>
        <v>61</v>
      </c>
      <c r="H142" s="99">
        <f>G142+'17'!H142</f>
        <v>-780</v>
      </c>
      <c r="I142" s="140"/>
      <c r="J142" s="328">
        <f>H142/DAY(B2)</f>
        <v>-43.333333333333336</v>
      </c>
    </row>
    <row r="143" spans="1:15" ht="27.75" customHeight="1">
      <c r="A143" s="885" t="s">
        <v>91</v>
      </c>
      <c r="B143" s="885"/>
      <c r="C143" s="885"/>
      <c r="D143" s="151" t="s">
        <v>183</v>
      </c>
      <c r="E143" s="95">
        <f>'17'!F143</f>
        <v>6034</v>
      </c>
      <c r="F143" s="149">
        <v>6059</v>
      </c>
      <c r="G143" s="433">
        <f t="shared" si="10"/>
        <v>25</v>
      </c>
      <c r="H143" s="99">
        <f>G143+'17'!H143</f>
        <v>-358</v>
      </c>
      <c r="I143" s="140"/>
      <c r="J143" s="328">
        <f>H143/DAY(B2)</f>
        <v>-19.888888888888889</v>
      </c>
    </row>
    <row r="144" spans="1:15" ht="27.75" customHeight="1">
      <c r="A144" s="864" t="s">
        <v>90</v>
      </c>
      <c r="B144" s="864"/>
      <c r="C144" s="864"/>
      <c r="D144" s="151" t="s">
        <v>183</v>
      </c>
      <c r="E144" s="95">
        <f>'17'!F144</f>
        <v>894146</v>
      </c>
      <c r="F144" s="148">
        <v>894398</v>
      </c>
      <c r="G144" s="433">
        <f t="shared" si="10"/>
        <v>252</v>
      </c>
      <c r="H144" s="99">
        <f>G144+'17'!H144</f>
        <v>-2835</v>
      </c>
      <c r="I144" s="140"/>
      <c r="J144" s="328">
        <f>H144/DAY(B2)</f>
        <v>-157.5</v>
      </c>
    </row>
    <row r="145" spans="1:10" ht="27.75" customHeight="1">
      <c r="A145" s="885" t="s">
        <v>190</v>
      </c>
      <c r="B145" s="885"/>
      <c r="C145" s="885"/>
      <c r="D145" s="152" t="s">
        <v>183</v>
      </c>
      <c r="E145" s="95">
        <f>'17'!F145</f>
        <v>5594</v>
      </c>
      <c r="F145" s="149">
        <v>5596</v>
      </c>
      <c r="G145" s="433">
        <f t="shared" si="10"/>
        <v>2</v>
      </c>
      <c r="H145" s="99">
        <f>G145+'17'!H145</f>
        <v>-32</v>
      </c>
      <c r="I145" s="140"/>
      <c r="J145" s="328">
        <f>H145/DAY(B2)</f>
        <v>-1.7777777777777777</v>
      </c>
    </row>
    <row r="146" spans="1:10" ht="27.75" customHeight="1">
      <c r="A146" s="920" t="s">
        <v>191</v>
      </c>
      <c r="B146" s="905"/>
      <c r="C146" s="906"/>
      <c r="D146" s="152" t="s">
        <v>183</v>
      </c>
      <c r="E146" s="95">
        <f>'17'!F146</f>
        <v>772793</v>
      </c>
      <c r="F146" s="148">
        <v>773236</v>
      </c>
      <c r="G146" s="433">
        <f t="shared" si="10"/>
        <v>443</v>
      </c>
      <c r="H146" s="99">
        <f>G146+'17'!H146</f>
        <v>-3218</v>
      </c>
      <c r="I146" s="140"/>
      <c r="J146" s="328">
        <f>H146/DAY(B2)</f>
        <v>-178.77777777777777</v>
      </c>
    </row>
    <row r="147" spans="1:10" ht="27.75" customHeight="1">
      <c r="A147" s="864" t="s">
        <v>192</v>
      </c>
      <c r="B147" s="864"/>
      <c r="C147" s="864"/>
      <c r="D147" s="152" t="s">
        <v>183</v>
      </c>
      <c r="E147" s="95">
        <f>'17'!F147</f>
        <v>657664</v>
      </c>
      <c r="F147" s="148">
        <v>658076</v>
      </c>
      <c r="G147" s="433">
        <f t="shared" si="10"/>
        <v>412</v>
      </c>
      <c r="H147" s="99">
        <f>G147+'17'!H147</f>
        <v>-5152</v>
      </c>
      <c r="I147" s="140"/>
      <c r="J147" s="328">
        <f>H147/DAY(B2)</f>
        <v>-286.22222222222223</v>
      </c>
    </row>
    <row r="148" spans="1:10" ht="27.75" customHeight="1">
      <c r="A148" s="865" t="s">
        <v>193</v>
      </c>
      <c r="B148" s="866"/>
      <c r="C148" s="867"/>
      <c r="D148" s="123" t="s">
        <v>130</v>
      </c>
      <c r="E148" s="95">
        <f>'17'!F148</f>
        <v>714989</v>
      </c>
      <c r="F148" s="150">
        <v>715340</v>
      </c>
      <c r="G148" s="433">
        <f t="shared" si="10"/>
        <v>351</v>
      </c>
      <c r="H148" s="99">
        <f>G148+'17'!H148</f>
        <v>-4576</v>
      </c>
      <c r="I148" s="124"/>
      <c r="J148" s="328">
        <f>H148/DAY(B2)</f>
        <v>-254.22222222222223</v>
      </c>
    </row>
    <row r="149" spans="1:10" ht="27.75" customHeight="1">
      <c r="A149" s="865" t="s">
        <v>336</v>
      </c>
      <c r="B149" s="866"/>
      <c r="C149" s="867"/>
      <c r="D149" s="227" t="s">
        <v>130</v>
      </c>
      <c r="E149" s="95">
        <f>'17'!F149</f>
        <v>74767</v>
      </c>
      <c r="F149" s="416">
        <v>75322</v>
      </c>
      <c r="G149" s="433">
        <f t="shared" si="10"/>
        <v>555</v>
      </c>
      <c r="H149" s="99">
        <f>G149+'17'!H149</f>
        <v>-8066</v>
      </c>
      <c r="I149" s="119"/>
      <c r="J149" s="328">
        <f>H149/DAY(B2)</f>
        <v>-448.11111111111109</v>
      </c>
    </row>
    <row r="150" spans="1:10" ht="27.75" customHeight="1">
      <c r="A150" s="865" t="s">
        <v>337</v>
      </c>
      <c r="B150" s="866"/>
      <c r="C150" s="867"/>
      <c r="D150" s="117" t="s">
        <v>130</v>
      </c>
      <c r="E150" s="95">
        <f>'17'!F150</f>
        <v>27818</v>
      </c>
      <c r="F150" s="233">
        <v>28036</v>
      </c>
      <c r="G150" s="433">
        <f t="shared" si="10"/>
        <v>218</v>
      </c>
      <c r="H150" s="99">
        <f>G150+'17'!H150</f>
        <v>-2551</v>
      </c>
      <c r="I150" s="119"/>
      <c r="J150" s="328">
        <f>H150/DAY(B2)</f>
        <v>-141.72222222222223</v>
      </c>
    </row>
    <row r="151" spans="1:10" ht="27.75" customHeight="1">
      <c r="A151" s="865" t="s">
        <v>338</v>
      </c>
      <c r="B151" s="866"/>
      <c r="C151" s="867"/>
      <c r="D151" s="117" t="s">
        <v>130</v>
      </c>
      <c r="E151" s="95">
        <f>'17'!F151</f>
        <v>105423</v>
      </c>
      <c r="F151" s="233">
        <v>105700</v>
      </c>
      <c r="G151" s="433">
        <f t="shared" si="10"/>
        <v>277</v>
      </c>
      <c r="H151" s="99">
        <f>G151+'17'!H151</f>
        <v>-3528</v>
      </c>
      <c r="I151" s="119"/>
      <c r="J151" s="328">
        <f>H151/DAY(B2)</f>
        <v>-196</v>
      </c>
    </row>
    <row r="152" spans="1:10" ht="27.75" customHeight="1">
      <c r="A152" s="865" t="s">
        <v>339</v>
      </c>
      <c r="B152" s="866"/>
      <c r="C152" s="867"/>
      <c r="D152" s="117" t="s">
        <v>130</v>
      </c>
      <c r="E152" s="95">
        <f>'17'!F152</f>
        <v>10153</v>
      </c>
      <c r="F152" s="233">
        <v>10216</v>
      </c>
      <c r="G152" s="433">
        <f t="shared" si="10"/>
        <v>63</v>
      </c>
      <c r="H152" s="99">
        <f>G152+'17'!H152</f>
        <v>-940</v>
      </c>
      <c r="I152" s="119"/>
      <c r="J152" s="328">
        <f>H152/DAY(B2)</f>
        <v>-52.222222222222221</v>
      </c>
    </row>
    <row r="153" spans="1:10" ht="27.75" customHeight="1">
      <c r="A153" s="868" t="s">
        <v>196</v>
      </c>
      <c r="B153" s="869"/>
      <c r="C153" s="365"/>
      <c r="D153" s="358"/>
      <c r="E153" s="360"/>
      <c r="F153" s="361"/>
      <c r="G153" s="455">
        <f>SUM(G138:G152)</f>
        <v>3157</v>
      </c>
      <c r="H153" s="363"/>
      <c r="I153" s="119">
        <f>G153-(G38+G52)</f>
        <v>862</v>
      </c>
      <c r="J153" s="366"/>
    </row>
    <row r="154" spans="1:10" ht="27.75" customHeight="1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 customHeight="1">
      <c r="A155" s="864" t="s">
        <v>345</v>
      </c>
      <c r="B155" s="864"/>
      <c r="C155" s="864"/>
      <c r="D155" s="117" t="s">
        <v>130</v>
      </c>
      <c r="E155" s="95">
        <f>'17'!F155</f>
        <v>83930</v>
      </c>
      <c r="F155" s="389">
        <v>84621</v>
      </c>
      <c r="G155" s="433">
        <f t="shared" ref="G155:G157" si="11">F155-E155</f>
        <v>691</v>
      </c>
      <c r="H155" s="99">
        <f>G155+'17'!H155</f>
        <v>-8111</v>
      </c>
      <c r="I155" s="364"/>
      <c r="J155" s="328">
        <f>H155/DAY(B2)</f>
        <v>-450.61111111111109</v>
      </c>
    </row>
    <row r="156" spans="1:10" ht="27.75" customHeight="1">
      <c r="A156" s="864" t="s">
        <v>347</v>
      </c>
      <c r="B156" s="864"/>
      <c r="C156" s="864"/>
      <c r="D156" s="117" t="s">
        <v>130</v>
      </c>
      <c r="E156" s="95">
        <f>'17'!F156</f>
        <v>6979</v>
      </c>
      <c r="F156" s="155">
        <v>7034</v>
      </c>
      <c r="G156" s="433">
        <f t="shared" si="11"/>
        <v>55</v>
      </c>
      <c r="H156" s="99">
        <f>G156+'17'!H156</f>
        <v>-657</v>
      </c>
      <c r="I156" s="165"/>
      <c r="J156" s="328">
        <f>H156/DAY(B2)</f>
        <v>-36.5</v>
      </c>
    </row>
    <row r="157" spans="1:10" ht="27.75" customHeight="1">
      <c r="A157" s="865" t="s">
        <v>361</v>
      </c>
      <c r="B157" s="866"/>
      <c r="C157" s="867"/>
      <c r="D157" s="117" t="s">
        <v>130</v>
      </c>
      <c r="E157" s="95">
        <f>'17'!F157</f>
        <v>12068</v>
      </c>
      <c r="F157" s="155">
        <v>12164</v>
      </c>
      <c r="G157" s="433">
        <f t="shared" si="11"/>
        <v>96</v>
      </c>
      <c r="H157" s="99">
        <f>G157+'17'!H157</f>
        <v>-1332</v>
      </c>
      <c r="I157" s="165"/>
      <c r="J157" s="328">
        <f>H157/DAY(B2)</f>
        <v>-74</v>
      </c>
    </row>
    <row r="158" spans="1:10" ht="27.75" customHeight="1">
      <c r="A158" s="865" t="s">
        <v>362</v>
      </c>
      <c r="B158" s="866"/>
      <c r="C158" s="867"/>
      <c r="D158" s="117" t="s">
        <v>130</v>
      </c>
      <c r="E158" s="95">
        <f>'17'!F158</f>
        <v>95.77</v>
      </c>
      <c r="F158" s="155">
        <v>96.96</v>
      </c>
      <c r="G158" s="433">
        <f t="shared" ref="G158" si="12">F158-E158</f>
        <v>1.1899999999999977</v>
      </c>
      <c r="H158" s="99">
        <f>G158+'17'!H158</f>
        <v>17.419999999999987</v>
      </c>
      <c r="I158" s="165"/>
      <c r="J158" s="328">
        <f>H158/DAY(B2)</f>
        <v>0.96777777777777707</v>
      </c>
    </row>
    <row r="159" spans="1:10" ht="27.75" customHeight="1">
      <c r="A159" s="950"/>
      <c r="B159" s="951"/>
      <c r="C159" s="952"/>
      <c r="D159" s="117"/>
      <c r="E159" s="95"/>
      <c r="F159" s="165"/>
      <c r="G159" s="433"/>
      <c r="H159" s="99"/>
      <c r="I159" s="165"/>
      <c r="J159" s="328"/>
    </row>
    <row r="160" spans="1:10" ht="27.75" customHeight="1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474163</v>
      </c>
      <c r="F161" s="235">
        <v>474369</v>
      </c>
      <c r="G161" s="456">
        <f t="shared" ref="G161:G165" si="13">F161-E161</f>
        <v>206</v>
      </c>
      <c r="H161" s="99">
        <f>G161+'17'!H161</f>
        <v>-414</v>
      </c>
      <c r="I161" s="236"/>
      <c r="J161" s="239">
        <f>H161/DAY(B2)</f>
        <v>-23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91063</v>
      </c>
      <c r="F162" s="235">
        <v>91099</v>
      </c>
      <c r="G162" s="456">
        <f t="shared" si="13"/>
        <v>36</v>
      </c>
      <c r="H162" s="99">
        <f>G162+'17'!H162</f>
        <v>-448</v>
      </c>
      <c r="I162" s="236"/>
      <c r="J162" s="239">
        <f>H162/DAY(B2)</f>
        <v>-24.888888888888889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89963</v>
      </c>
      <c r="F163" s="235">
        <v>90122</v>
      </c>
      <c r="G163" s="456">
        <f t="shared" si="13"/>
        <v>159</v>
      </c>
      <c r="H163" s="99">
        <f>G163+'17'!H163</f>
        <v>-1914</v>
      </c>
      <c r="I163" s="236"/>
      <c r="J163" s="239">
        <f>H163/DAY(B2)</f>
        <v>-106.33333333333333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5035</v>
      </c>
      <c r="F164" s="235">
        <v>5046</v>
      </c>
      <c r="G164" s="456">
        <f t="shared" si="13"/>
        <v>11</v>
      </c>
      <c r="H164" s="99">
        <f>G164+'17'!H164</f>
        <v>-136</v>
      </c>
      <c r="I164" s="236"/>
      <c r="J164" s="239">
        <f>H164/DAY(B2)</f>
        <v>-7.5555555555555554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30484</v>
      </c>
      <c r="F165" s="235">
        <v>30499</v>
      </c>
      <c r="G165" s="456">
        <f t="shared" si="13"/>
        <v>15</v>
      </c>
      <c r="H165" s="99">
        <f>G165+'17'!H165</f>
        <v>-135</v>
      </c>
      <c r="I165" s="236"/>
      <c r="J165" s="239">
        <f>H165/DAY(B2)</f>
        <v>-7.5</v>
      </c>
    </row>
    <row r="166" spans="1:10" ht="27.75" customHeight="1">
      <c r="A166" s="873"/>
      <c r="B166" s="873"/>
      <c r="C166" s="246"/>
      <c r="D166" s="244" t="s">
        <v>180</v>
      </c>
      <c r="E166" s="95">
        <f>'17'!F166</f>
        <v>0</v>
      </c>
      <c r="F166" s="165"/>
      <c r="G166" s="453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873"/>
      <c r="B167" s="873"/>
      <c r="C167" s="246"/>
      <c r="D167" s="244" t="s">
        <v>180</v>
      </c>
      <c r="E167" s="95">
        <f>'17'!F167</f>
        <v>0</v>
      </c>
      <c r="F167" s="165"/>
      <c r="G167" s="453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873"/>
      <c r="B168" s="873"/>
      <c r="C168" s="246"/>
      <c r="D168" s="244" t="s">
        <v>180</v>
      </c>
      <c r="E168" s="95">
        <f>'17'!F168</f>
        <v>0</v>
      </c>
      <c r="F168" s="165"/>
      <c r="G168" s="453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7.75" customHeight="1">
      <c r="A172" s="883"/>
      <c r="B172" s="884"/>
      <c r="C172" s="332"/>
      <c r="D172" s="228"/>
      <c r="E172" s="155"/>
      <c r="F172" s="155"/>
      <c r="G172" s="457"/>
      <c r="H172" s="156"/>
      <c r="I172" s="155"/>
      <c r="J172" s="178"/>
    </row>
    <row r="173" spans="1:10" ht="27.75" customHeight="1">
      <c r="A173" s="879" t="s">
        <v>209</v>
      </c>
      <c r="B173" s="880"/>
      <c r="C173" s="333"/>
      <c r="D173" s="228" t="s">
        <v>142</v>
      </c>
      <c r="E173" s="95">
        <f>'17'!F173</f>
        <v>8277</v>
      </c>
      <c r="F173" s="155">
        <v>8278</v>
      </c>
      <c r="G173" s="457">
        <f>F173-E173</f>
        <v>1</v>
      </c>
      <c r="H173" s="99">
        <f>G173+'17'!H173</f>
        <v>17</v>
      </c>
      <c r="I173" s="155"/>
      <c r="J173" s="178">
        <f>H173/DAY(B2)</f>
        <v>0.94444444444444442</v>
      </c>
    </row>
    <row r="174" spans="1:10" ht="27.75" customHeight="1">
      <c r="A174" s="879" t="s">
        <v>75</v>
      </c>
      <c r="B174" s="880"/>
      <c r="C174" s="333"/>
      <c r="D174" s="228" t="s">
        <v>142</v>
      </c>
      <c r="E174" s="95">
        <f>'17'!F174</f>
        <v>39718</v>
      </c>
      <c r="F174" s="157">
        <v>39734</v>
      </c>
      <c r="G174" s="457">
        <f t="shared" ref="G174:G175" si="14">F174-E174</f>
        <v>16</v>
      </c>
      <c r="H174" s="99">
        <f>G174+'17'!H174</f>
        <v>-194</v>
      </c>
      <c r="I174" s="155"/>
      <c r="J174" s="178">
        <f>H174/DAY(B2)</f>
        <v>-10.777777777777779</v>
      </c>
    </row>
    <row r="175" spans="1:10" ht="27.75" customHeight="1">
      <c r="A175" s="879" t="s">
        <v>76</v>
      </c>
      <c r="B175" s="919"/>
      <c r="C175" s="880"/>
      <c r="D175" s="228" t="s">
        <v>142</v>
      </c>
      <c r="E175" s="95">
        <f>'17'!F175</f>
        <v>22730</v>
      </c>
      <c r="F175" s="155">
        <v>22744</v>
      </c>
      <c r="G175" s="457">
        <f t="shared" si="14"/>
        <v>14</v>
      </c>
      <c r="H175" s="99">
        <f>G175+'17'!H175</f>
        <v>-145</v>
      </c>
      <c r="I175" s="155"/>
      <c r="J175" s="178">
        <f>H175/DAY(B2)</f>
        <v>-8.0555555555555554</v>
      </c>
    </row>
    <row r="176" spans="1:10" ht="27.75" customHeight="1">
      <c r="A176" s="868" t="s">
        <v>196</v>
      </c>
      <c r="B176" s="869"/>
      <c r="C176" s="401"/>
      <c r="D176" s="228" t="s">
        <v>142</v>
      </c>
      <c r="E176" s="95"/>
      <c r="F176" s="155"/>
      <c r="G176" s="457">
        <f>SUM(G173:G175)</f>
        <v>31</v>
      </c>
      <c r="H176" s="99">
        <f>G176+'17'!H176</f>
        <v>-322</v>
      </c>
      <c r="I176" s="155"/>
      <c r="J176" s="178">
        <f>H176/DAY(B2)</f>
        <v>-17.888888888888889</v>
      </c>
    </row>
    <row r="177" spans="1:11" ht="27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457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79" t="s">
        <v>210</v>
      </c>
      <c r="B178" s="880"/>
      <c r="C178" s="333"/>
      <c r="D178" s="228" t="s">
        <v>142</v>
      </c>
      <c r="E178" s="95">
        <f>'17'!F178</f>
        <v>87277</v>
      </c>
      <c r="F178" s="155">
        <v>87383</v>
      </c>
      <c r="G178" s="457">
        <f>F178-E178</f>
        <v>106</v>
      </c>
      <c r="H178" s="99">
        <f>G178+'17'!H178</f>
        <v>-1220</v>
      </c>
      <c r="I178" s="155"/>
      <c r="J178" s="178">
        <f>H178/DAY(B2)</f>
        <v>-67.777777777777771</v>
      </c>
    </row>
    <row r="179" spans="1:11" ht="27.75" customHeight="1">
      <c r="A179" s="879" t="s">
        <v>211</v>
      </c>
      <c r="B179" s="880"/>
      <c r="C179" s="333"/>
      <c r="D179" s="228" t="s">
        <v>142</v>
      </c>
      <c r="E179" s="95">
        <f>'17'!F179</f>
        <v>35710</v>
      </c>
      <c r="F179" s="155">
        <v>35710</v>
      </c>
      <c r="G179" s="457">
        <f t="shared" ref="G179:G180" si="15">F179-E179</f>
        <v>0</v>
      </c>
      <c r="H179" s="99">
        <f>G179+'17'!H179</f>
        <v>-63</v>
      </c>
      <c r="I179" s="155"/>
      <c r="J179" s="178">
        <f>H179/DAY(B2)</f>
        <v>-3.5</v>
      </c>
    </row>
    <row r="180" spans="1:11" ht="27.75" customHeight="1">
      <c r="A180" s="879" t="s">
        <v>212</v>
      </c>
      <c r="B180" s="880"/>
      <c r="C180" s="333"/>
      <c r="D180" s="228" t="s">
        <v>142</v>
      </c>
      <c r="E180" s="95">
        <f>'17'!F180</f>
        <v>6288</v>
      </c>
      <c r="F180" s="155">
        <v>6291</v>
      </c>
      <c r="G180" s="457">
        <f t="shared" si="15"/>
        <v>3</v>
      </c>
      <c r="H180" s="99">
        <f>G180+'17'!H180</f>
        <v>-98</v>
      </c>
      <c r="I180" s="155"/>
      <c r="J180" s="178">
        <f>H180/DAY(B2)</f>
        <v>-5.4444444444444446</v>
      </c>
    </row>
    <row r="181" spans="1:11" ht="27.75" customHeight="1">
      <c r="A181" s="881" t="s">
        <v>108</v>
      </c>
      <c r="B181" s="882"/>
      <c r="C181" s="401"/>
      <c r="D181" s="228" t="s">
        <v>142</v>
      </c>
      <c r="E181" s="95"/>
      <c r="F181" s="155"/>
      <c r="G181" s="457">
        <f>SUM(G178:G180)</f>
        <v>109</v>
      </c>
      <c r="H181" s="99">
        <f>G181+'17'!H181</f>
        <v>-1381</v>
      </c>
      <c r="I181" s="155"/>
      <c r="J181" s="178">
        <f>H181/DAY(B2)</f>
        <v>-76.722222222222229</v>
      </c>
    </row>
    <row r="182" spans="1:11" ht="27.75" customHeight="1">
      <c r="A182" s="879" t="s">
        <v>213</v>
      </c>
      <c r="B182" s="880"/>
      <c r="C182" s="333"/>
      <c r="D182" s="228" t="s">
        <v>142</v>
      </c>
      <c r="E182" s="95"/>
      <c r="F182" s="155"/>
      <c r="G182" s="457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79" t="s">
        <v>214</v>
      </c>
      <c r="B183" s="880"/>
      <c r="C183" s="334"/>
      <c r="D183" s="228" t="s">
        <v>142</v>
      </c>
      <c r="E183" s="95">
        <f>'17'!F183</f>
        <v>16424</v>
      </c>
      <c r="F183" s="157">
        <v>16432</v>
      </c>
      <c r="G183" s="458">
        <f>F183-E183</f>
        <v>8</v>
      </c>
      <c r="H183" s="99">
        <f>G183+'17'!H183</f>
        <v>-190</v>
      </c>
      <c r="I183" s="155"/>
      <c r="J183" s="178">
        <f>H183/DAY(B2)</f>
        <v>-10.555555555555555</v>
      </c>
    </row>
    <row r="184" spans="1:11" ht="27.75" customHeight="1">
      <c r="A184" s="879" t="s">
        <v>215</v>
      </c>
      <c r="B184" s="880"/>
      <c r="C184" s="334"/>
      <c r="D184" s="228" t="s">
        <v>142</v>
      </c>
      <c r="E184" s="95">
        <f>'17'!F184</f>
        <v>11173</v>
      </c>
      <c r="F184" s="157">
        <v>11179</v>
      </c>
      <c r="G184" s="458">
        <f t="shared" ref="G184:G185" si="16">F184-E184</f>
        <v>6</v>
      </c>
      <c r="H184" s="99">
        <f>G184+'17'!H184</f>
        <v>-95</v>
      </c>
      <c r="I184" s="155"/>
      <c r="J184" s="178">
        <f>H184/DAY(B2)</f>
        <v>-5.2777777777777777</v>
      </c>
    </row>
    <row r="185" spans="1:11" ht="27.75" customHeight="1">
      <c r="A185" s="879" t="s">
        <v>216</v>
      </c>
      <c r="B185" s="880"/>
      <c r="C185" s="334"/>
      <c r="D185" s="228" t="s">
        <v>142</v>
      </c>
      <c r="E185" s="95">
        <f>'17'!F185</f>
        <v>0</v>
      </c>
      <c r="F185" s="157"/>
      <c r="G185" s="458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868" t="s">
        <v>196</v>
      </c>
      <c r="B186" s="869"/>
      <c r="C186" s="400"/>
      <c r="D186" s="228" t="s">
        <v>142</v>
      </c>
      <c r="E186" s="95"/>
      <c r="F186" s="157"/>
      <c r="G186" s="458">
        <f>SUM(G183:G185)</f>
        <v>14</v>
      </c>
      <c r="H186" s="99">
        <f>G186+'17'!H186</f>
        <v>-285</v>
      </c>
      <c r="I186" s="157"/>
      <c r="J186" s="178">
        <f>H186/DAY(B2)</f>
        <v>-15.833333333333334</v>
      </c>
    </row>
    <row r="187" spans="1:11" ht="27.75" customHeight="1">
      <c r="A187" s="870" t="s">
        <v>217</v>
      </c>
      <c r="B187" s="871"/>
      <c r="C187" s="333"/>
      <c r="D187" s="230" t="s">
        <v>142</v>
      </c>
      <c r="E187" s="95"/>
      <c r="F187" s="159"/>
      <c r="G187" s="459">
        <f>G62+G19</f>
        <v>202</v>
      </c>
      <c r="H187" s="99">
        <f>G187+'17'!H187</f>
        <v>-2750</v>
      </c>
      <c r="I187" s="158"/>
      <c r="J187" s="179">
        <f>H187/DAY(B2)</f>
        <v>-152.77777777777777</v>
      </c>
    </row>
    <row r="188" spans="1:11" ht="27.75" customHeight="1">
      <c r="A188" s="870" t="s">
        <v>218</v>
      </c>
      <c r="B188" s="871"/>
      <c r="C188" s="333"/>
      <c r="D188" s="230" t="s">
        <v>142</v>
      </c>
      <c r="E188" s="95"/>
      <c r="F188" s="159"/>
      <c r="G188" s="459">
        <f>G65+G66+G67+G69+G70</f>
        <v>210</v>
      </c>
      <c r="H188" s="99">
        <f>G188+'17'!H188</f>
        <v>-10981</v>
      </c>
      <c r="I188" s="158"/>
      <c r="J188" s="179">
        <f>H188/DAY(B2)</f>
        <v>-610.05555555555554</v>
      </c>
    </row>
    <row r="189" spans="1:11" ht="27.75" customHeight="1">
      <c r="A189" s="870" t="s">
        <v>219</v>
      </c>
      <c r="B189" s="871"/>
      <c r="C189" s="333"/>
      <c r="D189" s="230" t="s">
        <v>142</v>
      </c>
      <c r="E189" s="95"/>
      <c r="F189" s="157"/>
      <c r="G189" s="459">
        <f>G181</f>
        <v>109</v>
      </c>
      <c r="H189" s="99">
        <f>G189+'17'!H189</f>
        <v>-1381</v>
      </c>
      <c r="I189" s="158"/>
      <c r="J189" s="179">
        <f>H189/DAY(B2)</f>
        <v>-76.722222222222229</v>
      </c>
    </row>
    <row r="190" spans="1:11" ht="23.25" customHeight="1">
      <c r="A190" s="245"/>
      <c r="B190" s="246"/>
      <c r="C190" s="246"/>
      <c r="D190" s="165"/>
      <c r="E190" s="165"/>
      <c r="F190" s="155"/>
      <c r="G190" s="453"/>
      <c r="H190" s="238"/>
      <c r="I190" s="99"/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30" zoomScale="55" zoomScaleNormal="40" zoomScaleSheetLayoutView="55" zoomScalePageLayoutView="60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355</v>
      </c>
      <c r="B2" s="262">
        <v>44670</v>
      </c>
      <c r="C2" s="348" t="s">
        <v>67</v>
      </c>
      <c r="D2" s="218">
        <v>1</v>
      </c>
      <c r="E2" s="100"/>
      <c r="F2" s="100"/>
      <c r="G2" s="47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34" t="s">
        <v>119</v>
      </c>
      <c r="F3" s="935"/>
      <c r="G3" s="473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7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475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319701</v>
      </c>
      <c r="F7" s="95">
        <f>E7+27000</f>
        <v>346701</v>
      </c>
      <c r="G7" s="476">
        <f>F7-E7</f>
        <v>27000</v>
      </c>
      <c r="H7" s="99">
        <f>G7+'18 '!H7</f>
        <v>515663</v>
      </c>
      <c r="I7" s="113">
        <f>'1'!I7</f>
        <v>12000</v>
      </c>
      <c r="J7" s="175">
        <f>H7/DAY(B2)</f>
        <v>27140.157894736843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417035</v>
      </c>
      <c r="F8" s="114">
        <f>E8+26500</f>
        <v>443535</v>
      </c>
      <c r="G8" s="477">
        <f>F8-E8</f>
        <v>26500</v>
      </c>
      <c r="H8" s="99">
        <f>G8+'18 '!H8</f>
        <v>524412.27999999991</v>
      </c>
      <c r="I8" s="116"/>
      <c r="J8" s="175">
        <f>H8/DAY(B2)</f>
        <v>27600.646315789469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2241550</v>
      </c>
      <c r="F9" s="470">
        <f>E9+16000</f>
        <v>2257550</v>
      </c>
      <c r="G9" s="476">
        <f>F9-E9</f>
        <v>16000</v>
      </c>
      <c r="H9" s="99">
        <f>G9+'18 '!H9</f>
        <v>366515</v>
      </c>
      <c r="I9" s="124">
        <f>I7-J7</f>
        <v>-15140.157894736843</v>
      </c>
      <c r="J9" s="175">
        <f>H9/DAY(B2)</f>
        <v>19290.263157894737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736226</v>
      </c>
      <c r="F10" s="353">
        <f>E10+8500</f>
        <v>744726</v>
      </c>
      <c r="G10" s="476">
        <f t="shared" ref="G10:G12" si="0">F10-E10</f>
        <v>8500</v>
      </c>
      <c r="H10" s="99">
        <f>G10+'18 '!H10</f>
        <v>129190</v>
      </c>
      <c r="I10" s="282"/>
      <c r="J10" s="175">
        <f>H10/DAY(B2)</f>
        <v>6799.4736842105267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8">
        <f>G9+G10+G11+G12</f>
        <v>24500</v>
      </c>
      <c r="H13" s="99">
        <f>G13+'18 '!H13</f>
        <v>493188.75</v>
      </c>
      <c r="I13" s="120">
        <f>G7-G13</f>
        <v>2500</v>
      </c>
      <c r="J13" s="175">
        <f>H13/DAY(B2)</f>
        <v>25957.302631578947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479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1991625</v>
      </c>
      <c r="G15" s="476" t="e">
        <f>(F15-E15)</f>
        <v>#VALUE!</v>
      </c>
      <c r="H15" s="99" t="e">
        <f>G15+'18 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6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479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'18 '!F18</f>
        <v>20</v>
      </c>
      <c r="F18" s="122">
        <v>22</v>
      </c>
      <c r="G18" s="478">
        <f>F18*10</f>
        <v>220</v>
      </c>
      <c r="H18" s="99">
        <f>G18+'18 '!H18</f>
        <v>4190</v>
      </c>
      <c r="I18" s="113">
        <f>'1'!I18</f>
        <v>65</v>
      </c>
      <c r="J18" s="175">
        <f>H18/DAY(B2)</f>
        <v>220.52631578947367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'18 '!F19</f>
        <v>157860</v>
      </c>
      <c r="F19" s="615">
        <v>157914</v>
      </c>
      <c r="G19" s="476">
        <f t="shared" ref="G19" si="1">F19-E19</f>
        <v>54</v>
      </c>
      <c r="H19" s="99">
        <f>G19+'18 '!H19</f>
        <v>-540</v>
      </c>
      <c r="I19" s="335"/>
      <c r="J19" s="175">
        <f>H19/DAY(B2)</f>
        <v>-28.421052631578949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80">
        <f>G18+G19</f>
        <v>274</v>
      </c>
      <c r="H20" s="99">
        <f>G20+'18 '!H20</f>
        <v>3650</v>
      </c>
      <c r="I20" s="336">
        <f>I18-J20</f>
        <v>-127.10526315789474</v>
      </c>
      <c r="J20" s="175">
        <f>H20/DAY(B2)</f>
        <v>192.10526315789474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479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8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8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481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2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483">
        <f>E27*F27</f>
        <v>238500</v>
      </c>
      <c r="H27" s="99">
        <f>G27+'18 '!H27</f>
        <v>4719710.5200000005</v>
      </c>
      <c r="I27" s="138"/>
      <c r="J27" s="175">
        <f>H27/DAY(B2)</f>
        <v>248405.8168421053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483" t="e">
        <f>E28*F28</f>
        <v>#VALUE!</v>
      </c>
      <c r="H28" s="99" t="e">
        <f>G28+'18 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3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483">
        <f>E30*F30</f>
        <v>8154</v>
      </c>
      <c r="H30" s="99">
        <f>G30+'18 '!H30</f>
        <v>-82355</v>
      </c>
      <c r="I30" s="140"/>
      <c r="J30" s="175">
        <f>H30/DAY(B2)</f>
        <v>-4334.4736842105267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483">
        <f>E31*F31</f>
        <v>17600</v>
      </c>
      <c r="H31" s="99">
        <f>G31+'18 '!H31</f>
        <v>335200</v>
      </c>
      <c r="I31" s="140"/>
      <c r="J31" s="175">
        <f>H31/DAY(B2)</f>
        <v>17642.105263157893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4" t="e">
        <f>G27+G28+G29+G30+G31</f>
        <v>#VALUE!</v>
      </c>
      <c r="H32" s="99" t="e">
        <f>G32+'18 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485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6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177088</v>
      </c>
      <c r="F35" s="145">
        <v>179200</v>
      </c>
      <c r="G35" s="476">
        <f t="shared" ref="G35:G46" si="3">F35-E35</f>
        <v>2112</v>
      </c>
      <c r="H35" s="99">
        <f>G35+'18 '!H35</f>
        <v>-23685</v>
      </c>
      <c r="I35" s="95"/>
      <c r="J35" s="175">
        <f>H35/DAY(B2)</f>
        <v>-1246.578947368421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118282</v>
      </c>
      <c r="F36" s="145">
        <v>119453</v>
      </c>
      <c r="G36" s="476">
        <f t="shared" si="3"/>
        <v>1171</v>
      </c>
      <c r="H36" s="99">
        <f>G36+'18 '!H36</f>
        <v>-12126</v>
      </c>
      <c r="I36" s="95"/>
      <c r="J36" s="175">
        <f>H36/DAY(B2)</f>
        <v>-638.21052631578948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162010</v>
      </c>
      <c r="F37" s="145">
        <v>163733</v>
      </c>
      <c r="G37" s="476">
        <f t="shared" si="3"/>
        <v>1723</v>
      </c>
      <c r="H37" s="99">
        <f>G37+'18 '!H37</f>
        <v>-19392</v>
      </c>
      <c r="I37" s="95"/>
      <c r="J37" s="175">
        <f>H37/DAY(B2)</f>
        <v>-1020.6315789473684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214735</v>
      </c>
      <c r="F38" s="108">
        <v>217030</v>
      </c>
      <c r="G38" s="476">
        <f t="shared" si="3"/>
        <v>2295</v>
      </c>
      <c r="H38" s="99">
        <f>G38+'18 '!H38</f>
        <v>-26422</v>
      </c>
      <c r="I38" s="95"/>
      <c r="J38" s="175">
        <f>H38/DAY(B2)</f>
        <v>-1390.6315789473683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303325</v>
      </c>
      <c r="F39" s="145">
        <v>306554</v>
      </c>
      <c r="G39" s="476">
        <f t="shared" si="3"/>
        <v>3229</v>
      </c>
      <c r="H39" s="99">
        <f>G39+'18 '!H39</f>
        <v>-33434</v>
      </c>
      <c r="I39" s="95"/>
      <c r="J39" s="175">
        <f>H39/DAY(B2)</f>
        <v>-1759.6842105263158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57283</v>
      </c>
      <c r="F40" s="419">
        <v>57801</v>
      </c>
      <c r="G40" s="476">
        <f t="shared" si="3"/>
        <v>518</v>
      </c>
      <c r="H40" s="99">
        <f>G40+'18 '!H40</f>
        <v>-7076</v>
      </c>
      <c r="I40" s="95"/>
      <c r="J40" s="175">
        <f>H40/DAY(B2)</f>
        <v>-372.42105263157896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63</v>
      </c>
      <c r="F41" s="145">
        <v>63</v>
      </c>
      <c r="G41" s="476">
        <f t="shared" si="3"/>
        <v>0</v>
      </c>
      <c r="H41" s="99">
        <f>G41+'18 '!H41</f>
        <v>-27630.000000000004</v>
      </c>
      <c r="I41" s="95"/>
      <c r="J41" s="175">
        <f>H41/DAY(B2)</f>
        <v>-1454.2105263157896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368108</v>
      </c>
      <c r="F42" s="145">
        <v>369407</v>
      </c>
      <c r="G42" s="476">
        <f t="shared" si="3"/>
        <v>1299</v>
      </c>
      <c r="H42" s="99">
        <f>G42+'18 '!H42</f>
        <v>-56394</v>
      </c>
      <c r="I42" s="95"/>
      <c r="J42" s="175">
        <f>H42/DAY(B2)</f>
        <v>-2968.1052631578946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316272</v>
      </c>
      <c r="F43" s="145">
        <v>319582</v>
      </c>
      <c r="G43" s="476">
        <f t="shared" si="3"/>
        <v>3310</v>
      </c>
      <c r="H43" s="99">
        <f>G43+'18 '!H43</f>
        <v>-37937</v>
      </c>
      <c r="I43" s="95"/>
      <c r="J43" s="175">
        <f>H43/DAY(B2)</f>
        <v>-1996.6842105263158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8">
        <f>G35+G36+G37+G38+G39+G40+G41+G42+G43+G44+G45+G46</f>
        <v>15657</v>
      </c>
      <c r="H47" s="99">
        <f>G47+'18 '!H47</f>
        <v>-244095.99999999994</v>
      </c>
      <c r="I47" s="95"/>
      <c r="J47" s="175">
        <f>H47/DAY(B2)</f>
        <v>-12847.15789473684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6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143327</v>
      </c>
      <c r="F49" s="145">
        <v>145102</v>
      </c>
      <c r="G49" s="476">
        <f t="shared" ref="G49:G58" si="4">F49-E49</f>
        <v>1775</v>
      </c>
      <c r="H49" s="99">
        <f>G49+'18 '!H49</f>
        <v>-20068</v>
      </c>
      <c r="I49" s="95"/>
      <c r="J49" s="175">
        <f>H49/DAY(B2)</f>
        <v>-1056.2105263157894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156401</v>
      </c>
      <c r="F50" s="145">
        <v>157659</v>
      </c>
      <c r="G50" s="476">
        <f t="shared" si="4"/>
        <v>1258</v>
      </c>
      <c r="H50" s="99">
        <f>G50+'18 '!H50</f>
        <v>-14948</v>
      </c>
      <c r="I50" s="95"/>
      <c r="J50" s="175">
        <f>H50/DAY(B2)</f>
        <v>-786.73684210526312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76</v>
      </c>
      <c r="G51" s="476">
        <f t="shared" si="4"/>
        <v>0</v>
      </c>
      <c r="H51" s="99">
        <f>G51+'18 '!H51</f>
        <v>0.31999999999999318</v>
      </c>
      <c r="I51" s="95"/>
      <c r="J51" s="175">
        <f>H51/DAY(B2)</f>
        <v>1.6842105263157537E-2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9.76</v>
      </c>
      <c r="F52" s="145">
        <v>9.76</v>
      </c>
      <c r="G52" s="476">
        <f t="shared" si="4"/>
        <v>0</v>
      </c>
      <c r="H52" s="99">
        <f>G52+'18 '!H52</f>
        <v>-0.24000000000000021</v>
      </c>
      <c r="I52" s="95"/>
      <c r="J52" s="175">
        <f>H52/DAY(B2)</f>
        <v>-1.2631578947368433E-2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44424</v>
      </c>
      <c r="F54" s="145">
        <v>44887</v>
      </c>
      <c r="G54" s="476">
        <f t="shared" si="4"/>
        <v>463</v>
      </c>
      <c r="H54" s="99">
        <f>G54+'18 '!H54</f>
        <v>-5196</v>
      </c>
      <c r="I54" s="95"/>
      <c r="J54" s="175">
        <f>H54/DAY(B2)</f>
        <v>-273.4736842105263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129730</v>
      </c>
      <c r="F55" s="145">
        <v>131223</v>
      </c>
      <c r="G55" s="476">
        <f t="shared" si="4"/>
        <v>1493</v>
      </c>
      <c r="H55" s="99">
        <f>G55+'18 '!H55</f>
        <v>-13744</v>
      </c>
      <c r="I55" s="95"/>
      <c r="J55" s="175">
        <f>H55/DAY(B2)</f>
        <v>-723.36842105263156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102471</v>
      </c>
      <c r="F56" s="145">
        <v>105519</v>
      </c>
      <c r="G56" s="476">
        <f t="shared" si="4"/>
        <v>3048</v>
      </c>
      <c r="H56" s="99">
        <f>G56+'18 '!H56</f>
        <v>-1727</v>
      </c>
      <c r="I56" s="95"/>
      <c r="J56" s="175">
        <f>H56/DAY(B2)</f>
        <v>-90.89473684210526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476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22728</v>
      </c>
      <c r="F58" s="145">
        <v>22976</v>
      </c>
      <c r="G58" s="476">
        <f t="shared" si="4"/>
        <v>248</v>
      </c>
      <c r="H58" s="99">
        <f>G58+'18 '!H58</f>
        <v>-2517</v>
      </c>
      <c r="I58" s="95"/>
      <c r="J58" s="175">
        <f>H58/DAY(B2)</f>
        <v>-132.47368421052633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8">
        <f>G49+G50+G51+G52+G53+G54+G55+G56+G57+G58</f>
        <v>8285</v>
      </c>
      <c r="H59" s="99">
        <f>G59+'18 '!H59</f>
        <v>-58199.92</v>
      </c>
      <c r="I59" s="95">
        <f>G7-G60</f>
        <v>3058</v>
      </c>
      <c r="J59" s="175">
        <f>H59/DAY(B2)</f>
        <v>-3063.1536842105261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8">
        <f>G47+G59</f>
        <v>23942</v>
      </c>
      <c r="H60" s="99">
        <f>G60+'18 '!H60</f>
        <v>-302295.91999999993</v>
      </c>
      <c r="I60" s="95">
        <f>G13-G60</f>
        <v>558</v>
      </c>
      <c r="J60" s="175">
        <f>H60/DAY(B2)</f>
        <v>-15910.311578947365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487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'18 '!F62</f>
        <v>281853</v>
      </c>
      <c r="F62" s="122">
        <v>282036</v>
      </c>
      <c r="G62" s="476">
        <f t="shared" ref="G62:G63" si="5">F62-E62</f>
        <v>183</v>
      </c>
      <c r="H62" s="99">
        <f>G62+'18 '!H62</f>
        <v>-1973</v>
      </c>
      <c r="I62" s="118"/>
      <c r="J62" s="175">
        <f>H62/DAY(B2)</f>
        <v>-103.84210526315789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'18 '!F63</f>
        <v>225789</v>
      </c>
      <c r="F63" s="122">
        <v>225943</v>
      </c>
      <c r="G63" s="476">
        <f t="shared" si="5"/>
        <v>154</v>
      </c>
      <c r="H63" s="99">
        <f>G63+'18 '!H63</f>
        <v>-1536</v>
      </c>
      <c r="I63" s="118"/>
      <c r="J63" s="175">
        <f>H63/DAY(B2)</f>
        <v>-80.84210526315789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'18 '!F64</f>
        <v>0</v>
      </c>
      <c r="F64" s="122"/>
      <c r="G64" s="476">
        <f>G62+G63</f>
        <v>337</v>
      </c>
      <c r="H64" s="99">
        <f>G64+'18 '!H64</f>
        <v>-3509</v>
      </c>
      <c r="I64" s="118"/>
      <c r="J64" s="175">
        <f>H64/DAY(B2)</f>
        <v>-184.68421052631578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'18 '!F65</f>
        <v>443175</v>
      </c>
      <c r="F65" s="122">
        <v>443302</v>
      </c>
      <c r="G65" s="476">
        <f t="shared" ref="G65:G70" si="6">F65-E65</f>
        <v>127</v>
      </c>
      <c r="H65" s="99">
        <f>G65+'18 '!H65</f>
        <v>-1290</v>
      </c>
      <c r="I65" s="118"/>
      <c r="J65" s="175">
        <f>H65/DAY(B2)</f>
        <v>-67.89473684210526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109386</v>
      </c>
      <c r="F66" s="122">
        <v>109398</v>
      </c>
      <c r="G66" s="476">
        <f t="shared" si="6"/>
        <v>12</v>
      </c>
      <c r="H66" s="99">
        <f>G66+'18 '!H66</f>
        <v>-183</v>
      </c>
      <c r="I66" s="118"/>
      <c r="J66" s="175">
        <f>H66/DAY(B2)</f>
        <v>-9.6315789473684212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109941</v>
      </c>
      <c r="F67" s="122">
        <v>110004</v>
      </c>
      <c r="G67" s="476">
        <f t="shared" si="6"/>
        <v>63</v>
      </c>
      <c r="H67" s="99">
        <f>G67+'18 '!H67</f>
        <v>-896</v>
      </c>
      <c r="I67" s="118"/>
      <c r="J67" s="175">
        <f>H67/DAY(B2)</f>
        <v>-47.157894736842103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161188</v>
      </c>
      <c r="F68" s="122">
        <v>161205</v>
      </c>
      <c r="G68" s="476">
        <f t="shared" si="6"/>
        <v>17</v>
      </c>
      <c r="H68" s="99">
        <f>G68+'18 '!H68</f>
        <v>-579</v>
      </c>
      <c r="I68" s="118"/>
      <c r="J68" s="175">
        <f>H68/DAY(B2)</f>
        <v>-30.473684210526315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11441</v>
      </c>
      <c r="F69" s="122">
        <v>11450</v>
      </c>
      <c r="G69" s="476">
        <f t="shared" si="6"/>
        <v>9</v>
      </c>
      <c r="H69" s="99">
        <f>G69+'18 '!H69</f>
        <v>-148</v>
      </c>
      <c r="I69" s="118"/>
      <c r="J69" s="175">
        <f>H69/DAY(B2)</f>
        <v>-7.7894736842105265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8886</v>
      </c>
      <c r="F70" s="122">
        <v>8897</v>
      </c>
      <c r="G70" s="476">
        <f t="shared" si="6"/>
        <v>11</v>
      </c>
      <c r="H70" s="99">
        <f>G70+'18 '!H70</f>
        <v>-104</v>
      </c>
      <c r="I70" s="118"/>
      <c r="J70" s="175">
        <f>H70/DAY(B2)</f>
        <v>-5.4736842105263159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95">
        <f>'18 '!F71</f>
        <v>0</v>
      </c>
      <c r="F71" s="152"/>
      <c r="G71" s="488">
        <f>SUM(G65:G70)</f>
        <v>239</v>
      </c>
      <c r="H71" s="99">
        <f>G71+'18 '!H71</f>
        <v>-3200</v>
      </c>
      <c r="I71" s="154"/>
      <c r="J71" s="175">
        <f>H71/DAY(B2)</f>
        <v>-168.42105263157896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489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487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'18 '!F74</f>
        <v>924941</v>
      </c>
      <c r="F74" s="117">
        <v>925272</v>
      </c>
      <c r="G74" s="476">
        <f t="shared" ref="G74:G78" si="7">F74-E74</f>
        <v>331</v>
      </c>
      <c r="H74" s="99">
        <f>G74+'18 '!H74</f>
        <v>-3505</v>
      </c>
      <c r="I74" s="154"/>
      <c r="J74" s="175">
        <f>H74/DAY(B2)</f>
        <v>-184.47368421052633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'18 '!F75</f>
        <v>73586.8</v>
      </c>
      <c r="F75" s="123">
        <v>73586.8</v>
      </c>
      <c r="G75" s="476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'18 '!F76</f>
        <v>178700</v>
      </c>
      <c r="F76" s="123">
        <v>178799</v>
      </c>
      <c r="G76" s="476">
        <f t="shared" si="7"/>
        <v>99</v>
      </c>
      <c r="H76" s="99">
        <f>G76+'18 '!H76</f>
        <v>-1355</v>
      </c>
      <c r="I76" s="154"/>
      <c r="J76" s="175">
        <f>H76/DAY(B2)</f>
        <v>-71.315789473684205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'18 '!F77</f>
        <v>45064</v>
      </c>
      <c r="F77" s="123">
        <v>45111</v>
      </c>
      <c r="G77" s="476">
        <f t="shared" si="7"/>
        <v>47</v>
      </c>
      <c r="H77" s="99">
        <f>G77+'18 '!H77</f>
        <v>-563</v>
      </c>
      <c r="I77" s="154"/>
      <c r="J77" s="175">
        <f>H77/DAY(B2)</f>
        <v>-29.631578947368421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'18 '!F78</f>
        <v>9564</v>
      </c>
      <c r="F78" s="123">
        <v>9564</v>
      </c>
      <c r="G78" s="476">
        <f t="shared" si="7"/>
        <v>0</v>
      </c>
      <c r="H78" s="99">
        <f>G78+'18 '!H78</f>
        <v>0.6000000000003638</v>
      </c>
      <c r="I78" s="118"/>
      <c r="J78" s="175">
        <f>H78/DAY(B2)</f>
        <v>3.1578947368440198E-2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'18 '!F79</f>
        <v>0</v>
      </c>
      <c r="F79" s="123"/>
      <c r="G79" s="476" t="e">
        <f>G15-SUM(G74:G78)</f>
        <v>#VALUE!</v>
      </c>
      <c r="H79" s="99" t="e">
        <f>G79+'18 '!H79</f>
        <v>#VALUE!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476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490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6">
        <f t="shared" ref="G82:G92" si="8">F82-E82</f>
        <v>0</v>
      </c>
      <c r="H82" s="99">
        <f>G82+'18 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6">
        <f t="shared" si="8"/>
        <v>0</v>
      </c>
      <c r="H83" s="99">
        <f>G83+'18 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41675.26</v>
      </c>
      <c r="F84" s="164">
        <v>41675.49</v>
      </c>
      <c r="G84" s="476">
        <f t="shared" si="8"/>
        <v>0.22999999999592546</v>
      </c>
      <c r="H84" s="99">
        <f>G84+'18 '!H84</f>
        <v>-116.51000000000204</v>
      </c>
      <c r="I84" s="575"/>
      <c r="J84" s="175">
        <f>H84/DAY(B2)</f>
        <v>-6.1321052631580022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3533</v>
      </c>
      <c r="F85" s="164">
        <v>3539</v>
      </c>
      <c r="G85" s="476">
        <f t="shared" si="8"/>
        <v>6</v>
      </c>
      <c r="H85" s="99">
        <f>G85+'18 '!H85</f>
        <v>-238</v>
      </c>
      <c r="I85" s="575"/>
      <c r="J85" s="175">
        <f>H85/DAY(B2)</f>
        <v>-12.526315789473685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43836.47</v>
      </c>
      <c r="F86" s="164">
        <v>43848</v>
      </c>
      <c r="G86" s="476">
        <f t="shared" si="8"/>
        <v>11.529999999998836</v>
      </c>
      <c r="H86" s="99">
        <f>G86+'18 '!H86</f>
        <v>-91</v>
      </c>
      <c r="I86" s="575"/>
      <c r="J86" s="175">
        <f>H86/DAY(B2)</f>
        <v>-4.7894736842105265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35291</v>
      </c>
      <c r="F87" s="164">
        <v>35315</v>
      </c>
      <c r="G87" s="476">
        <f t="shared" si="8"/>
        <v>24</v>
      </c>
      <c r="H87" s="99">
        <f>G87+'18 '!H87</f>
        <v>-14</v>
      </c>
      <c r="I87" s="575">
        <f>G84+G85+G86+G87</f>
        <v>41.759999999994761</v>
      </c>
      <c r="J87" s="175">
        <f>H87/DAY(B2)</f>
        <v>-0.73684210526315785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24165</v>
      </c>
      <c r="F88" s="164">
        <v>24175</v>
      </c>
      <c r="G88" s="476">
        <f t="shared" si="8"/>
        <v>10</v>
      </c>
      <c r="H88" s="99">
        <f>G88+'18 '!H88</f>
        <v>-13.119999999998981</v>
      </c>
      <c r="I88" s="575"/>
      <c r="J88" s="175">
        <f>H88/DAY(B2)</f>
        <v>-0.69052631578942003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26609</v>
      </c>
      <c r="F89" s="164">
        <v>26612</v>
      </c>
      <c r="G89" s="476">
        <f t="shared" si="8"/>
        <v>3</v>
      </c>
      <c r="H89" s="99">
        <f>G89+'18 '!H89</f>
        <v>-97.220000000001164</v>
      </c>
      <c r="I89" s="575">
        <f>G88+G89</f>
        <v>13</v>
      </c>
      <c r="J89" s="175">
        <f>H89/DAY(B2)</f>
        <v>-5.1168421052632196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71745</v>
      </c>
      <c r="F90" s="164">
        <v>71754</v>
      </c>
      <c r="G90" s="476">
        <f t="shared" si="8"/>
        <v>9</v>
      </c>
      <c r="H90" s="99">
        <f>G90+'18 '!H90</f>
        <v>-109.52999999999884</v>
      </c>
      <c r="I90" s="575">
        <f>G90</f>
        <v>9</v>
      </c>
      <c r="J90" s="175">
        <f>H90/DAY(B2)</f>
        <v>-5.7647368421052017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3918</v>
      </c>
      <c r="F91" s="122">
        <v>3930.48</v>
      </c>
      <c r="G91" s="476">
        <f t="shared" si="8"/>
        <v>12.480000000000018</v>
      </c>
      <c r="H91" s="99">
        <f>G91+'18 '!H91</f>
        <v>-128.75999999999976</v>
      </c>
      <c r="I91" s="594"/>
      <c r="J91" s="175">
        <f>H91/DAY(B2)</f>
        <v>-6.7768421052631451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5935</v>
      </c>
      <c r="F92" s="122">
        <v>5935</v>
      </c>
      <c r="G92" s="476">
        <f t="shared" si="8"/>
        <v>0</v>
      </c>
      <c r="H92" s="99">
        <f>G92+'18 '!H92</f>
        <v>0</v>
      </c>
      <c r="I92" s="600">
        <f>G91+G92</f>
        <v>12.480000000000018</v>
      </c>
      <c r="J92" s="175">
        <f>H92/DAY(B2)</f>
        <v>0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479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491">
        <f>G35+G43+G49+G57</f>
        <v>7197</v>
      </c>
      <c r="H94" s="99">
        <f>G94+'18 '!H94</f>
        <v>-81690</v>
      </c>
      <c r="I94" s="118"/>
      <c r="J94" s="175">
        <f>H94/DAY(B2)</f>
        <v>-4299.4736842105267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492">
        <f>G94/G7</f>
        <v>0.26655555555555555</v>
      </c>
      <c r="H95" s="99">
        <f>G95+'18 '!H95</f>
        <v>-3.0479504079513955</v>
      </c>
      <c r="I95" s="167"/>
      <c r="J95" s="175">
        <f>H95/DAY(B2)</f>
        <v>-0.16041844252375767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491">
        <f>G41+G42+G55+G56</f>
        <v>5840</v>
      </c>
      <c r="H96" s="99">
        <f>G96+'18 '!H96</f>
        <v>-99495.000000000015</v>
      </c>
      <c r="I96" s="118"/>
      <c r="J96" s="175">
        <f>H96/DAY(B2)</f>
        <v>-5236.5789473684217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492">
        <f>G96/G7</f>
        <v>0.21629629629629629</v>
      </c>
      <c r="H97" s="99">
        <f>G97+'18 '!H97</f>
        <v>-3.7159060770259265</v>
      </c>
      <c r="I97" s="167"/>
      <c r="J97" s="175">
        <f>H97/DAY(B2)</f>
        <v>-0.19557400405399614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491">
        <f>G39+G53</f>
        <v>3229</v>
      </c>
      <c r="H98" s="99">
        <f>G98+'18 '!H98</f>
        <v>-33434</v>
      </c>
      <c r="I98" s="168"/>
      <c r="J98" s="175">
        <f>H98/DAY(B2)</f>
        <v>-1759.6842105263158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492">
        <f>G98/G7</f>
        <v>0.1195925925925926</v>
      </c>
      <c r="H99" s="99">
        <f>G99+'18 '!H99</f>
        <v>-1.2457472540205412</v>
      </c>
      <c r="I99" s="168"/>
      <c r="J99" s="175">
        <f>H99/DAY(B2)</f>
        <v>-6.5565644948449534E-2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491">
        <f>G38+G52</f>
        <v>2295</v>
      </c>
      <c r="H100" s="99">
        <f>G100+'18 '!H100</f>
        <v>-26422.239999999998</v>
      </c>
      <c r="I100" s="118"/>
      <c r="J100" s="175">
        <f>H100/DAY(B2)</f>
        <v>-1390.6442105263156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492">
        <f>G100/G7</f>
        <v>8.5000000000000006E-2</v>
      </c>
      <c r="H101" s="99">
        <f>G101+'18 '!H101</f>
        <v>-0.98452038022551092</v>
      </c>
      <c r="I101" s="168"/>
      <c r="J101" s="175">
        <f>H101/DAY(B2)</f>
        <v>-5.1816862117132156E-2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491">
        <f>G36+G50</f>
        <v>2429</v>
      </c>
      <c r="H102" s="99">
        <f>G102+'18 '!H102</f>
        <v>-27074</v>
      </c>
      <c r="I102" s="168"/>
      <c r="J102" s="175">
        <f>H102/DAY(B2)</f>
        <v>-1424.9473684210527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492">
        <f>G102/G7</f>
        <v>8.9962962962962967E-2</v>
      </c>
      <c r="H103" s="99">
        <f>G103+'18 '!H103</f>
        <v>-1.0141371839324149</v>
      </c>
      <c r="I103" s="118"/>
      <c r="J103" s="175">
        <f>H103/DAY(B2)</f>
        <v>-5.3375641259600787E-2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491">
        <f>G37+G51</f>
        <v>1723</v>
      </c>
      <c r="H104" s="99">
        <f>G104+'18 '!H104</f>
        <v>-19391.68</v>
      </c>
      <c r="I104" s="118"/>
      <c r="J104" s="175">
        <f>H104/DAY(B2)</f>
        <v>-1020.6147368421052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493">
        <f>G104/G7</f>
        <v>6.381481481481481E-2</v>
      </c>
      <c r="H105" s="99">
        <f>G105+'18 '!H105</f>
        <v>-0.7228999151214186</v>
      </c>
      <c r="I105" s="187"/>
      <c r="J105" s="188">
        <f>H105/DAY(B2)</f>
        <v>-3.8047363953758871E-2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4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496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'18 '!F112</f>
        <v>63596</v>
      </c>
      <c r="F112" s="237">
        <v>63677</v>
      </c>
      <c r="G112" s="476">
        <f t="shared" ref="G112:G123" si="9">F112-E112</f>
        <v>81</v>
      </c>
      <c r="H112" s="99">
        <f>G112+'18 '!H112</f>
        <v>63434</v>
      </c>
      <c r="I112" s="165"/>
      <c r="J112" s="328">
        <f>H112/DAY(B2)</f>
        <v>3338.6315789473683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'18 '!F113</f>
        <v>83177</v>
      </c>
      <c r="F113" s="237">
        <v>83686</v>
      </c>
      <c r="G113" s="476">
        <f t="shared" si="9"/>
        <v>509</v>
      </c>
      <c r="H113" s="99">
        <f>G113+'18 '!H113</f>
        <v>83204</v>
      </c>
      <c r="I113" s="165"/>
      <c r="J113" s="328">
        <f>H113/DAY(B2)</f>
        <v>4379.1578947368425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'18 '!F114</f>
        <v>55321</v>
      </c>
      <c r="F114" s="237">
        <v>55582</v>
      </c>
      <c r="G114" s="476">
        <f t="shared" si="9"/>
        <v>261</v>
      </c>
      <c r="H114" s="99">
        <f>G114+'18 '!H114</f>
        <v>54918</v>
      </c>
      <c r="I114" s="165"/>
      <c r="J114" s="328">
        <f>H114/DAY(B2)</f>
        <v>2890.4210526315787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'18 '!F115</f>
        <v>10235</v>
      </c>
      <c r="F115" s="237">
        <v>10254</v>
      </c>
      <c r="G115" s="476">
        <f t="shared" si="9"/>
        <v>19</v>
      </c>
      <c r="H115" s="99">
        <f>G115+'18 '!H115</f>
        <v>9743</v>
      </c>
      <c r="I115" s="165"/>
      <c r="J115" s="328">
        <f>H115/DAY(B2)</f>
        <v>512.78947368421052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'18 '!F116</f>
        <v>30483</v>
      </c>
      <c r="F116" s="237">
        <v>30914</v>
      </c>
      <c r="G116" s="476">
        <f t="shared" si="9"/>
        <v>431</v>
      </c>
      <c r="H116" s="99">
        <f>G116+'18 '!H116</f>
        <v>-3752</v>
      </c>
      <c r="I116" s="165"/>
      <c r="J116" s="328">
        <f>H116/DAY(B2)</f>
        <v>-197.47368421052633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'18 '!F117</f>
        <v>17085</v>
      </c>
      <c r="F117" s="237">
        <v>17250</v>
      </c>
      <c r="G117" s="476">
        <f t="shared" si="9"/>
        <v>165</v>
      </c>
      <c r="H117" s="99">
        <f>G117+'18 '!H117</f>
        <v>-1686</v>
      </c>
      <c r="I117" s="165"/>
      <c r="J117" s="328">
        <f>H117/DAY(B2)</f>
        <v>-88.736842105263165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'18 '!F118</f>
        <v>2601</v>
      </c>
      <c r="F118" s="237">
        <v>3122</v>
      </c>
      <c r="G118" s="476">
        <f t="shared" si="9"/>
        <v>521</v>
      </c>
      <c r="H118" s="99">
        <f>G118+'18 '!H118</f>
        <v>-5941</v>
      </c>
      <c r="I118" s="165"/>
      <c r="J118" s="328">
        <f>H118/DAY(B2)</f>
        <v>-312.68421052631578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'18 '!F119</f>
        <v>507</v>
      </c>
      <c r="F119" s="237">
        <v>940</v>
      </c>
      <c r="G119" s="476">
        <f t="shared" si="9"/>
        <v>433</v>
      </c>
      <c r="H119" s="99">
        <f>G119+'18 '!H119</f>
        <v>285455</v>
      </c>
      <c r="I119" s="165"/>
      <c r="J119" s="328">
        <f>H119/DAY(B2)</f>
        <v>15023.947368421053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'18 '!F120</f>
        <v>2075</v>
      </c>
      <c r="F120" s="237">
        <v>2482</v>
      </c>
      <c r="G120" s="476">
        <f t="shared" si="9"/>
        <v>407</v>
      </c>
      <c r="H120" s="99">
        <f>G120+'18 '!H120</f>
        <v>-4653</v>
      </c>
      <c r="I120" s="165"/>
      <c r="J120" s="328">
        <f>H120/DAY(B2)</f>
        <v>-244.89473684210526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'18 '!F121</f>
        <v>3992</v>
      </c>
      <c r="F121" s="237">
        <v>4808</v>
      </c>
      <c r="G121" s="476">
        <f t="shared" si="9"/>
        <v>816</v>
      </c>
      <c r="H121" s="99">
        <f>G121+'18 '!H121</f>
        <v>-6919</v>
      </c>
      <c r="I121" s="165"/>
      <c r="J121" s="328">
        <f>H121/DAY(B2)</f>
        <v>-364.15789473684208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'18 '!F122</f>
        <v>998</v>
      </c>
      <c r="F122" s="237">
        <v>1209</v>
      </c>
      <c r="G122" s="476">
        <f t="shared" si="9"/>
        <v>211</v>
      </c>
      <c r="H122" s="99">
        <f>G122+'18 '!H122</f>
        <v>-2355</v>
      </c>
      <c r="I122" s="165"/>
      <c r="J122" s="328">
        <f>H122/DAY(B2)</f>
        <v>-123.94736842105263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'18 '!F123</f>
        <v>174043</v>
      </c>
      <c r="F123" s="237">
        <v>174295</v>
      </c>
      <c r="G123" s="476">
        <f t="shared" si="9"/>
        <v>252</v>
      </c>
      <c r="H123" s="99">
        <f>G123+'18 '!H123</f>
        <v>173328</v>
      </c>
      <c r="I123" s="165"/>
      <c r="J123" s="328">
        <f>H123/DAY(B2)</f>
        <v>9122.5263157894733</v>
      </c>
    </row>
    <row r="124" spans="1:18" ht="29.25" customHeight="1">
      <c r="A124" s="890"/>
      <c r="B124" s="891"/>
      <c r="C124" s="892"/>
      <c r="D124" s="165"/>
      <c r="E124" s="95">
        <f>'18 '!F124</f>
        <v>0</v>
      </c>
      <c r="F124" s="165"/>
      <c r="G124" s="496"/>
      <c r="H124" s="156"/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497">
        <f>SUM(G112:G124)</f>
        <v>4106</v>
      </c>
      <c r="H125" s="156"/>
      <c r="I125" s="327">
        <f>G125-(G39+G53)</f>
        <v>877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497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'18 '!F128</f>
        <v>76589</v>
      </c>
      <c r="F128" s="165">
        <v>77041</v>
      </c>
      <c r="G128" s="476">
        <f t="shared" ref="G128:G134" si="10">F128-E128</f>
        <v>452</v>
      </c>
      <c r="H128" s="99">
        <f>G128+'18 '!H128</f>
        <v>-4374</v>
      </c>
      <c r="I128" s="165"/>
      <c r="J128" s="328">
        <f>H128/DAY(B2)</f>
        <v>-230.21052631578948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47584</v>
      </c>
      <c r="F129" s="165">
        <v>47894</v>
      </c>
      <c r="G129" s="476">
        <f t="shared" si="10"/>
        <v>310</v>
      </c>
      <c r="H129" s="99">
        <f>G129+'18 '!H129</f>
        <v>-3178</v>
      </c>
      <c r="I129" s="165"/>
      <c r="J129" s="328">
        <f>H129/DAY(B2)</f>
        <v>-167.26315789473685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88169</v>
      </c>
      <c r="F130" s="158">
        <v>88866</v>
      </c>
      <c r="G130" s="476">
        <f t="shared" si="10"/>
        <v>697</v>
      </c>
      <c r="H130" s="99">
        <f>G130+'18 '!H130</f>
        <v>-7780</v>
      </c>
      <c r="I130" s="165"/>
      <c r="J130" s="328">
        <f>H130/DAY(B2)</f>
        <v>-409.4736842105263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'18 '!F131</f>
        <v>27958</v>
      </c>
      <c r="F131" s="165">
        <v>28123</v>
      </c>
      <c r="G131" s="476">
        <f t="shared" si="10"/>
        <v>165</v>
      </c>
      <c r="H131" s="99">
        <f>G131+'18 '!H131</f>
        <v>-2312</v>
      </c>
      <c r="I131" s="165"/>
      <c r="J131" s="328">
        <f>H131/DAY(B2)</f>
        <v>-121.68421052631579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'18 '!F132</f>
        <v>83503</v>
      </c>
      <c r="F132" s="165">
        <v>83949</v>
      </c>
      <c r="G132" s="476">
        <f t="shared" si="10"/>
        <v>446</v>
      </c>
      <c r="H132" s="99">
        <f>G132+'18 '!H132</f>
        <v>-4988</v>
      </c>
      <c r="I132" s="165"/>
      <c r="J132" s="328">
        <f>H132/DAY(B2)</f>
        <v>-262.5263157894737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'18 '!F133</f>
        <v>161586</v>
      </c>
      <c r="F133" s="165">
        <v>162463</v>
      </c>
      <c r="G133" s="476">
        <f t="shared" si="10"/>
        <v>877</v>
      </c>
      <c r="H133" s="99">
        <f>G133+'18 '!H133</f>
        <v>-9983</v>
      </c>
      <c r="I133" s="165"/>
      <c r="J133" s="328">
        <f>H133/DAY(B2)</f>
        <v>-525.42105263157896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'18 '!F134</f>
        <v>25142</v>
      </c>
      <c r="F134" s="165">
        <v>25383</v>
      </c>
      <c r="G134" s="476">
        <f t="shared" si="10"/>
        <v>241</v>
      </c>
      <c r="H134" s="99">
        <f>G134+'18 '!H134</f>
        <v>-2710</v>
      </c>
      <c r="I134" s="165"/>
      <c r="J134" s="328">
        <f>H134/DAY(B2)</f>
        <v>-142.63157894736841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476">
        <f>SUM(G128:G134)</f>
        <v>3188</v>
      </c>
      <c r="H135" s="99">
        <f>G135+'10'!H135</f>
        <v>36238.23000000001</v>
      </c>
      <c r="I135" s="327">
        <f>G135-(G35+G49)</f>
        <v>-699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496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'18 '!F138</f>
        <v>876921</v>
      </c>
      <c r="F138" s="147">
        <v>877079</v>
      </c>
      <c r="G138" s="476">
        <f t="shared" ref="G138:G152" si="11">F138-E138</f>
        <v>158</v>
      </c>
      <c r="H138" s="99">
        <f>G138+'18 '!H138</f>
        <v>-1705</v>
      </c>
      <c r="I138" s="118"/>
      <c r="J138" s="328">
        <f>H138/DAY(B2)</f>
        <v>-89.736842105263165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'18 '!F139</f>
        <v>893043</v>
      </c>
      <c r="F139" s="148">
        <v>893195</v>
      </c>
      <c r="G139" s="476">
        <f t="shared" si="11"/>
        <v>152</v>
      </c>
      <c r="H139" s="99">
        <f>G139+'18 '!H139</f>
        <v>-1671</v>
      </c>
      <c r="I139" s="118"/>
      <c r="J139" s="328">
        <f>H139/DAY(B2)</f>
        <v>-87.94736842105263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'18 '!F140</f>
        <v>89023</v>
      </c>
      <c r="F140" s="149">
        <v>89024</v>
      </c>
      <c r="G140" s="476">
        <f t="shared" si="11"/>
        <v>1</v>
      </c>
      <c r="H140" s="99">
        <f>G140+'18 '!H140</f>
        <v>88889</v>
      </c>
      <c r="I140" s="118"/>
      <c r="J140" s="328">
        <f>H140/DAY(B2)</f>
        <v>4678.3684210526317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'18 '!F141</f>
        <v>69331</v>
      </c>
      <c r="F141" s="149">
        <v>69532</v>
      </c>
      <c r="G141" s="476">
        <f t="shared" si="11"/>
        <v>201</v>
      </c>
      <c r="H141" s="99">
        <f>G141+'18 '!H141</f>
        <v>-2242</v>
      </c>
      <c r="I141" s="118"/>
      <c r="J141" s="328">
        <f>H141/DAY(B2)</f>
        <v>-118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'18 '!F142</f>
        <v>26686</v>
      </c>
      <c r="F142" s="148">
        <v>26746</v>
      </c>
      <c r="G142" s="476">
        <f t="shared" si="11"/>
        <v>60</v>
      </c>
      <c r="H142" s="99">
        <f>G142+'18 '!H142</f>
        <v>-720</v>
      </c>
      <c r="I142" s="140"/>
      <c r="J142" s="328">
        <f>H142/DAY(B2)</f>
        <v>-37.89473684210526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'18 '!F143</f>
        <v>6059</v>
      </c>
      <c r="F143" s="149">
        <v>6087</v>
      </c>
      <c r="G143" s="476">
        <f t="shared" si="11"/>
        <v>28</v>
      </c>
      <c r="H143" s="99">
        <f>G143+'18 '!H143</f>
        <v>-330</v>
      </c>
      <c r="I143" s="140"/>
      <c r="J143" s="328">
        <f>H143/DAY(B2)</f>
        <v>-17.368421052631579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'18 '!F144</f>
        <v>894398</v>
      </c>
      <c r="F144" s="149">
        <v>894639</v>
      </c>
      <c r="G144" s="476">
        <f t="shared" si="11"/>
        <v>241</v>
      </c>
      <c r="H144" s="99">
        <f>G144+'18 '!H144</f>
        <v>-2594</v>
      </c>
      <c r="I144" s="140"/>
      <c r="J144" s="328">
        <f>H144/DAY(B2)</f>
        <v>-136.52631578947367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'18 '!F145</f>
        <v>5596</v>
      </c>
      <c r="F145" s="149">
        <v>5600</v>
      </c>
      <c r="G145" s="476">
        <f t="shared" si="11"/>
        <v>4</v>
      </c>
      <c r="H145" s="99">
        <f>G145+'18 '!H145</f>
        <v>-28</v>
      </c>
      <c r="I145" s="140"/>
      <c r="J145" s="328">
        <f>H145/DAY(B2)</f>
        <v>-1.4736842105263157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'18 '!F146</f>
        <v>773236</v>
      </c>
      <c r="F146" s="148">
        <v>773696</v>
      </c>
      <c r="G146" s="476">
        <f t="shared" si="11"/>
        <v>460</v>
      </c>
      <c r="H146" s="99">
        <f>G146+'18 '!H146</f>
        <v>-2758</v>
      </c>
      <c r="I146" s="140"/>
      <c r="J146" s="328">
        <f>H146/DAY(B2)</f>
        <v>-145.15789473684211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'18 '!F147</f>
        <v>658076</v>
      </c>
      <c r="F147" s="148">
        <v>658500</v>
      </c>
      <c r="G147" s="476">
        <f t="shared" si="11"/>
        <v>424</v>
      </c>
      <c r="H147" s="99">
        <f>G147+'18 '!H147</f>
        <v>-4728</v>
      </c>
      <c r="I147" s="140"/>
      <c r="J147" s="328">
        <f>H147/DAY(B2)</f>
        <v>-248.84210526315789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'18 '!F148</f>
        <v>715340</v>
      </c>
      <c r="F148" s="150">
        <v>715742</v>
      </c>
      <c r="G148" s="476">
        <f t="shared" si="11"/>
        <v>402</v>
      </c>
      <c r="H148" s="99">
        <f>G148+'18 '!H148</f>
        <v>-4174</v>
      </c>
      <c r="I148" s="124"/>
      <c r="J148" s="328">
        <f>H148/DAY(B2)</f>
        <v>-219.68421052631578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'18 '!F149</f>
        <v>75322</v>
      </c>
      <c r="F149" s="416">
        <v>75944</v>
      </c>
      <c r="G149" s="476">
        <f t="shared" si="11"/>
        <v>622</v>
      </c>
      <c r="H149" s="99">
        <f>G149+'18 '!H149</f>
        <v>-7444</v>
      </c>
      <c r="I149" s="119"/>
      <c r="J149" s="328">
        <f>H149/DAY(B2)</f>
        <v>-391.78947368421052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'18 '!F150</f>
        <v>28036</v>
      </c>
      <c r="F150" s="233">
        <v>28248</v>
      </c>
      <c r="G150" s="476">
        <f t="shared" si="11"/>
        <v>212</v>
      </c>
      <c r="H150" s="99">
        <f>G150+'18 '!H150</f>
        <v>-2339</v>
      </c>
      <c r="I150" s="119"/>
      <c r="J150" s="328">
        <f>H150/DAY(B2)</f>
        <v>-123.10526315789474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'18 '!F151</f>
        <v>105700</v>
      </c>
      <c r="F151" s="233">
        <v>105986</v>
      </c>
      <c r="G151" s="476">
        <f t="shared" si="11"/>
        <v>286</v>
      </c>
      <c r="H151" s="99">
        <f>G151+'18 '!H151</f>
        <v>-3242</v>
      </c>
      <c r="I151" s="119"/>
      <c r="J151" s="328">
        <f>H151/DAY(B2)</f>
        <v>-170.63157894736841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'18 '!F152</f>
        <v>10216</v>
      </c>
      <c r="F152" s="233">
        <v>10275</v>
      </c>
      <c r="G152" s="476">
        <f t="shared" si="11"/>
        <v>59</v>
      </c>
      <c r="H152" s="99">
        <f>G152+'18 '!H152</f>
        <v>-881</v>
      </c>
      <c r="I152" s="119"/>
      <c r="J152" s="328">
        <f>H152/DAY(B2)</f>
        <v>-46.368421052631582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498">
        <f>SUM(G138:G152)</f>
        <v>3310</v>
      </c>
      <c r="H153" s="363"/>
      <c r="I153" s="119">
        <f>G153-(G38+G52)</f>
        <v>1015</v>
      </c>
      <c r="J153" s="366"/>
    </row>
    <row r="154" spans="1:10" ht="27.75">
      <c r="A154" s="872" t="s">
        <v>207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'18 '!F155</f>
        <v>84621</v>
      </c>
      <c r="F155" s="157">
        <v>85283</v>
      </c>
      <c r="G155" s="476">
        <f t="shared" ref="G155:G158" si="12">F155-E155</f>
        <v>662</v>
      </c>
      <c r="H155" s="99">
        <f>G155+'18 '!H155</f>
        <v>-7449</v>
      </c>
      <c r="I155" s="364"/>
      <c r="J155" s="328">
        <f>H155/DAY(B2)</f>
        <v>-392.05263157894734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'18 '!F156</f>
        <v>7034</v>
      </c>
      <c r="F156" s="157">
        <v>7090</v>
      </c>
      <c r="G156" s="476">
        <f t="shared" si="12"/>
        <v>56</v>
      </c>
      <c r="H156" s="99">
        <f>G156+'18 '!H156</f>
        <v>-601</v>
      </c>
      <c r="I156" s="165"/>
      <c r="J156" s="328">
        <f>H156/DAY(B2)</f>
        <v>-31.631578947368421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'18 '!F157</f>
        <v>12164</v>
      </c>
      <c r="F157" s="374">
        <v>12273</v>
      </c>
      <c r="G157" s="476">
        <f t="shared" si="12"/>
        <v>109</v>
      </c>
      <c r="H157" s="99"/>
      <c r="I157" s="165"/>
      <c r="J157" s="328"/>
    </row>
    <row r="158" spans="1:10" ht="25.5">
      <c r="A158" s="865" t="s">
        <v>362</v>
      </c>
      <c r="B158" s="866"/>
      <c r="C158" s="867"/>
      <c r="D158" s="117" t="s">
        <v>130</v>
      </c>
      <c r="E158" s="95">
        <f>'18 '!F158</f>
        <v>96.96</v>
      </c>
      <c r="F158" s="374">
        <v>97.47</v>
      </c>
      <c r="G158" s="476">
        <f t="shared" si="12"/>
        <v>0.51000000000000512</v>
      </c>
      <c r="H158" s="99"/>
      <c r="I158" s="165"/>
      <c r="J158" s="328"/>
    </row>
    <row r="159" spans="1:10" ht="25.5">
      <c r="A159" s="950"/>
      <c r="B159" s="951"/>
      <c r="C159" s="952"/>
      <c r="D159" s="117"/>
      <c r="E159" s="95"/>
      <c r="F159" s="165"/>
      <c r="G159" s="476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474369</v>
      </c>
      <c r="F161" s="235">
        <v>474528</v>
      </c>
      <c r="G161" s="499">
        <f t="shared" ref="G161:G165" si="13">F161-E161</f>
        <v>159</v>
      </c>
      <c r="H161" s="99">
        <f>G161+'18 '!H161</f>
        <v>-255</v>
      </c>
      <c r="I161" s="236"/>
      <c r="J161" s="239">
        <f>H161/DAY(B2)</f>
        <v>-13.421052631578947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91099</v>
      </c>
      <c r="F162" s="235">
        <v>91141</v>
      </c>
      <c r="G162" s="499">
        <f t="shared" si="13"/>
        <v>42</v>
      </c>
      <c r="H162" s="99">
        <f>G162+'18 '!H162</f>
        <v>-406</v>
      </c>
      <c r="I162" s="236"/>
      <c r="J162" s="239">
        <f>H162/DAY(B2)</f>
        <v>-21.368421052631579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90122</v>
      </c>
      <c r="F163" s="235">
        <v>90264</v>
      </c>
      <c r="G163" s="499">
        <f t="shared" si="13"/>
        <v>142</v>
      </c>
      <c r="H163" s="99">
        <f>G163+'18 '!H163</f>
        <v>-1772</v>
      </c>
      <c r="I163" s="236"/>
      <c r="J163" s="239">
        <f>H163/DAY(B2)</f>
        <v>-93.263157894736835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5046</v>
      </c>
      <c r="F164" s="235">
        <v>5056</v>
      </c>
      <c r="G164" s="499">
        <f t="shared" si="13"/>
        <v>10</v>
      </c>
      <c r="H164" s="99">
        <f>G164+'18 '!H164</f>
        <v>-126</v>
      </c>
      <c r="I164" s="236"/>
      <c r="J164" s="239">
        <f>H164/DAY(B2)</f>
        <v>-6.6315789473684212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30499</v>
      </c>
      <c r="F165" s="235">
        <v>30516</v>
      </c>
      <c r="G165" s="499">
        <f t="shared" si="13"/>
        <v>17</v>
      </c>
      <c r="H165" s="99">
        <f>G165+'18 '!H165</f>
        <v>-118</v>
      </c>
      <c r="I165" s="236"/>
      <c r="J165" s="239">
        <f>H165/DAY(B2)</f>
        <v>-6.2105263157894735</v>
      </c>
    </row>
    <row r="166" spans="1:10" ht="26.25">
      <c r="A166" s="873"/>
      <c r="B166" s="873"/>
      <c r="C166" s="246"/>
      <c r="D166" s="244"/>
      <c r="E166" s="95"/>
      <c r="F166" s="165"/>
      <c r="G166" s="496"/>
      <c r="H166" s="99"/>
      <c r="I166" s="165"/>
      <c r="J166" s="239"/>
    </row>
    <row r="167" spans="1:10" ht="26.25">
      <c r="A167" s="873"/>
      <c r="B167" s="873"/>
      <c r="C167" s="246"/>
      <c r="D167" s="244"/>
      <c r="E167" s="95"/>
      <c r="F167" s="165"/>
      <c r="G167" s="496"/>
      <c r="H167" s="99"/>
      <c r="I167" s="165"/>
      <c r="J167" s="239"/>
    </row>
    <row r="168" spans="1:10" ht="26.25">
      <c r="A168" s="873"/>
      <c r="B168" s="873"/>
      <c r="C168" s="246"/>
      <c r="D168" s="244"/>
      <c r="E168" s="95"/>
      <c r="F168" s="165"/>
      <c r="G168" s="496"/>
      <c r="H168" s="99"/>
      <c r="I168" s="165"/>
      <c r="J168" s="239"/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500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'18 '!F173</f>
        <v>8278</v>
      </c>
      <c r="F173" s="157">
        <v>8278</v>
      </c>
      <c r="G173" s="500">
        <f>F173-E173</f>
        <v>0</v>
      </c>
      <c r="H173" s="99">
        <f>G173+'18 '!H173</f>
        <v>17</v>
      </c>
      <c r="I173" s="155"/>
      <c r="J173" s="178">
        <f>H173/DAY(B2)</f>
        <v>0.89473684210526316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'18 '!F174</f>
        <v>39734</v>
      </c>
      <c r="F174" s="157">
        <v>39752</v>
      </c>
      <c r="G174" s="500">
        <f t="shared" ref="G174:G175" si="14">F174-E174</f>
        <v>18</v>
      </c>
      <c r="H174" s="99">
        <f>G174+'18 '!H174</f>
        <v>-176</v>
      </c>
      <c r="I174" s="155"/>
      <c r="J174" s="178">
        <f>H174/DAY(B2)</f>
        <v>-9.2631578947368425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'18 '!F175</f>
        <v>22744</v>
      </c>
      <c r="F175" s="155">
        <v>22758</v>
      </c>
      <c r="G175" s="500">
        <f t="shared" si="14"/>
        <v>14</v>
      </c>
      <c r="H175" s="99">
        <f>G175+'18 '!H175</f>
        <v>-131</v>
      </c>
      <c r="I175" s="155"/>
      <c r="J175" s="178">
        <f>H175/DAY(B2)</f>
        <v>-6.8947368421052628</v>
      </c>
    </row>
    <row r="176" spans="1:10" ht="25.5">
      <c r="A176" s="868" t="s">
        <v>196</v>
      </c>
      <c r="B176" s="869"/>
      <c r="C176" s="401"/>
      <c r="D176" s="228" t="s">
        <v>142</v>
      </c>
      <c r="E176" s="95"/>
      <c r="F176" s="155"/>
      <c r="G176" s="500">
        <f>SUM(G173:G175)</f>
        <v>32</v>
      </c>
      <c r="H176" s="99">
        <f>G176+'18 '!H176</f>
        <v>-290</v>
      </c>
      <c r="I176" s="155"/>
      <c r="J176" s="178">
        <f>H176/DAY(B2)</f>
        <v>-15.263157894736842</v>
      </c>
    </row>
    <row r="177" spans="1:11" ht="25.5">
      <c r="A177" s="879" t="s">
        <v>77</v>
      </c>
      <c r="B177" s="880"/>
      <c r="C177" s="333"/>
      <c r="D177" s="228" t="s">
        <v>142</v>
      </c>
      <c r="E177" s="95"/>
      <c r="F177" s="155"/>
      <c r="G177" s="500"/>
      <c r="H177" s="99">
        <f>G177+'18 '!H177</f>
        <v>0</v>
      </c>
      <c r="I177" s="155"/>
      <c r="J177" s="178">
        <f>H177/DAY(B2)</f>
        <v>0</v>
      </c>
    </row>
    <row r="178" spans="1:11" ht="25.5">
      <c r="A178" s="879" t="s">
        <v>210</v>
      </c>
      <c r="B178" s="880"/>
      <c r="C178" s="333"/>
      <c r="D178" s="228" t="s">
        <v>142</v>
      </c>
      <c r="E178" s="95">
        <f>'18 '!F178</f>
        <v>87383</v>
      </c>
      <c r="F178" s="155">
        <v>87469</v>
      </c>
      <c r="G178" s="500">
        <f>F178-E178</f>
        <v>86</v>
      </c>
      <c r="H178" s="99">
        <f>G178+'18 '!H178</f>
        <v>-1134</v>
      </c>
      <c r="I178" s="155"/>
      <c r="J178" s="178">
        <f>H178/DAY(B2)</f>
        <v>-59.684210526315788</v>
      </c>
    </row>
    <row r="179" spans="1:11" ht="25.5">
      <c r="A179" s="879" t="s">
        <v>211</v>
      </c>
      <c r="B179" s="880"/>
      <c r="C179" s="333"/>
      <c r="D179" s="228" t="s">
        <v>142</v>
      </c>
      <c r="E179" s="95">
        <f>'18 '!F179</f>
        <v>35710</v>
      </c>
      <c r="F179" s="155">
        <v>35710</v>
      </c>
      <c r="G179" s="500">
        <f t="shared" ref="G179:G180" si="15">F179-E179</f>
        <v>0</v>
      </c>
      <c r="H179" s="99">
        <f>G179+'18 '!H179</f>
        <v>-63</v>
      </c>
      <c r="I179" s="155"/>
      <c r="J179" s="178">
        <f>H179/DAY(B2)</f>
        <v>-3.3157894736842106</v>
      </c>
    </row>
    <row r="180" spans="1:11" ht="25.5">
      <c r="A180" s="879" t="s">
        <v>212</v>
      </c>
      <c r="B180" s="880"/>
      <c r="C180" s="333"/>
      <c r="D180" s="228" t="s">
        <v>142</v>
      </c>
      <c r="E180" s="95">
        <f>'18 '!F180</f>
        <v>6291</v>
      </c>
      <c r="F180" s="155">
        <v>6297</v>
      </c>
      <c r="G180" s="500">
        <f t="shared" si="15"/>
        <v>6</v>
      </c>
      <c r="H180" s="99">
        <f>G180+'18 '!H180</f>
        <v>-92</v>
      </c>
      <c r="I180" s="155"/>
      <c r="J180" s="178">
        <f>H180/DAY(B2)</f>
        <v>-4.8421052631578947</v>
      </c>
    </row>
    <row r="181" spans="1:11" ht="25.5">
      <c r="A181" s="881" t="s">
        <v>108</v>
      </c>
      <c r="B181" s="882"/>
      <c r="C181" s="401"/>
      <c r="D181" s="228" t="s">
        <v>142</v>
      </c>
      <c r="E181" s="95"/>
      <c r="F181" s="155"/>
      <c r="G181" s="500">
        <f>SUM(G178:G180)</f>
        <v>92</v>
      </c>
      <c r="H181" s="99">
        <f>G181+'18 '!H181</f>
        <v>-1289</v>
      </c>
      <c r="I181" s="155"/>
      <c r="J181" s="178">
        <f>H181/DAY(B2)</f>
        <v>-67.84210526315789</v>
      </c>
    </row>
    <row r="182" spans="1:11" ht="25.5">
      <c r="A182" s="879" t="s">
        <v>213</v>
      </c>
      <c r="B182" s="880"/>
      <c r="C182" s="333"/>
      <c r="D182" s="228" t="s">
        <v>142</v>
      </c>
      <c r="E182" s="95"/>
      <c r="F182" s="155"/>
      <c r="G182" s="500"/>
      <c r="H182" s="99">
        <f>G182+'18 '!H182</f>
        <v>0</v>
      </c>
      <c r="I182" s="155"/>
      <c r="J182" s="178">
        <f>H182/DAY(B2)</f>
        <v>0</v>
      </c>
    </row>
    <row r="183" spans="1:11" ht="25.5">
      <c r="A183" s="879" t="s">
        <v>214</v>
      </c>
      <c r="B183" s="880"/>
      <c r="C183" s="334"/>
      <c r="D183" s="228" t="s">
        <v>142</v>
      </c>
      <c r="E183" s="95">
        <f>'18 '!F183</f>
        <v>16432</v>
      </c>
      <c r="F183" s="157">
        <v>16443</v>
      </c>
      <c r="G183" s="501">
        <f>F183-E183</f>
        <v>11</v>
      </c>
      <c r="H183" s="99">
        <f>G183+'18 '!H183</f>
        <v>-179</v>
      </c>
      <c r="I183" s="155"/>
      <c r="J183" s="178">
        <f>H183/DAY(B2)</f>
        <v>-9.4210526315789469</v>
      </c>
    </row>
    <row r="184" spans="1:11" ht="25.5">
      <c r="A184" s="879" t="s">
        <v>215</v>
      </c>
      <c r="B184" s="880"/>
      <c r="C184" s="334"/>
      <c r="D184" s="228" t="s">
        <v>142</v>
      </c>
      <c r="E184" s="95">
        <f>'18 '!F184</f>
        <v>11179</v>
      </c>
      <c r="F184" s="157">
        <v>11194</v>
      </c>
      <c r="G184" s="501">
        <f t="shared" ref="G184:G185" si="16">F184-E184</f>
        <v>15</v>
      </c>
      <c r="H184" s="99">
        <f>G184+'18 '!H184</f>
        <v>-80</v>
      </c>
      <c r="I184" s="155"/>
      <c r="J184" s="178">
        <f>H184/DAY(B2)</f>
        <v>-4.2105263157894735</v>
      </c>
    </row>
    <row r="185" spans="1:11" ht="30.75" customHeight="1">
      <c r="A185" s="879" t="s">
        <v>216</v>
      </c>
      <c r="B185" s="880"/>
      <c r="C185" s="334"/>
      <c r="D185" s="228" t="s">
        <v>142</v>
      </c>
      <c r="E185" s="95">
        <f>'18 '!F185</f>
        <v>0</v>
      </c>
      <c r="F185" s="157"/>
      <c r="G185" s="501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868" t="s">
        <v>196</v>
      </c>
      <c r="B186" s="869"/>
      <c r="C186" s="400"/>
      <c r="D186" s="228" t="s">
        <v>142</v>
      </c>
      <c r="E186" s="95"/>
      <c r="F186" s="157"/>
      <c r="G186" s="501">
        <f>SUM(G183:G185)</f>
        <v>26</v>
      </c>
      <c r="H186" s="99">
        <f>G186+'18 '!H186</f>
        <v>-259</v>
      </c>
      <c r="I186" s="157"/>
      <c r="J186" s="178">
        <f>H186/DAY(B2)</f>
        <v>-13.631578947368421</v>
      </c>
    </row>
    <row r="187" spans="1:11" ht="25.5">
      <c r="A187" s="870" t="s">
        <v>217</v>
      </c>
      <c r="B187" s="871"/>
      <c r="C187" s="333"/>
      <c r="D187" s="230" t="s">
        <v>142</v>
      </c>
      <c r="E187" s="95"/>
      <c r="F187" s="159"/>
      <c r="G187" s="502">
        <f>G62+G19</f>
        <v>237</v>
      </c>
      <c r="H187" s="99">
        <f>G187+'18 '!H187</f>
        <v>-2513</v>
      </c>
      <c r="I187" s="158"/>
      <c r="J187" s="179">
        <f>H187/DAY(B2)</f>
        <v>-132.26315789473685</v>
      </c>
    </row>
    <row r="188" spans="1:11" ht="25.5">
      <c r="A188" s="870" t="s">
        <v>218</v>
      </c>
      <c r="B188" s="871"/>
      <c r="C188" s="333"/>
      <c r="D188" s="230" t="s">
        <v>142</v>
      </c>
      <c r="E188" s="95"/>
      <c r="F188" s="159"/>
      <c r="G188" s="502">
        <f>G65+G66+G67+G69+G70</f>
        <v>222</v>
      </c>
      <c r="H188" s="99">
        <f>G188+'18 '!H188</f>
        <v>-10759</v>
      </c>
      <c r="I188" s="158"/>
      <c r="J188" s="179">
        <f>H188/DAY(B2)</f>
        <v>-566.26315789473688</v>
      </c>
    </row>
    <row r="189" spans="1:11" ht="25.5">
      <c r="A189" s="870" t="s">
        <v>219</v>
      </c>
      <c r="B189" s="871"/>
      <c r="C189" s="333"/>
      <c r="D189" s="230" t="s">
        <v>142</v>
      </c>
      <c r="E189" s="95"/>
      <c r="F189" s="157"/>
      <c r="G189" s="502">
        <f>G181</f>
        <v>92</v>
      </c>
      <c r="H189" s="99">
        <f>G189+'30'!H238</f>
        <v>92</v>
      </c>
      <c r="I189" s="158"/>
      <c r="J189" s="179">
        <f>H189/DAY(B2)</f>
        <v>4.8421052631578947</v>
      </c>
    </row>
    <row r="190" spans="1:11" ht="23.25" customHeight="1">
      <c r="A190" s="245"/>
      <c r="B190" s="246"/>
      <c r="C190" s="246"/>
      <c r="D190" s="165"/>
      <c r="E190" s="165"/>
      <c r="F190" s="457"/>
      <c r="G190" s="496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24" zoomScale="55" zoomScaleSheetLayoutView="55" zoomScalePageLayoutView="78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354</v>
      </c>
      <c r="B2" s="262">
        <v>44671</v>
      </c>
      <c r="C2" s="348" t="s">
        <v>67</v>
      </c>
      <c r="D2" s="218">
        <v>0.68310000000000004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'19'!F7</f>
        <v>346701</v>
      </c>
      <c r="F7" s="95">
        <f>E7+27000</f>
        <v>373701</v>
      </c>
      <c r="G7" s="112">
        <f>F7-E7</f>
        <v>27000</v>
      </c>
      <c r="H7" s="99">
        <f>G7+'19'!H7</f>
        <v>542663</v>
      </c>
      <c r="I7" s="113">
        <v>24000</v>
      </c>
      <c r="J7" s="175">
        <f>H7/DAY(B2)</f>
        <v>27133.15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443535</v>
      </c>
      <c r="F8" s="114">
        <f>E8+26500</f>
        <v>470035</v>
      </c>
      <c r="G8" s="115">
        <f>F8-E8</f>
        <v>26500</v>
      </c>
      <c r="H8" s="99">
        <f>G8+'19'!H8</f>
        <v>550912.27999999991</v>
      </c>
      <c r="I8" s="116"/>
      <c r="J8" s="175">
        <f>H8/DAY(B2)</f>
        <v>27545.613999999994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2257550</v>
      </c>
      <c r="F9" s="470">
        <f>E9+16000</f>
        <v>2273550</v>
      </c>
      <c r="G9" s="112">
        <f>F9-E9</f>
        <v>16000</v>
      </c>
      <c r="H9" s="99">
        <f>G9+'19'!H9</f>
        <v>382515</v>
      </c>
      <c r="I9" s="124">
        <f>I7-J7</f>
        <v>-3133.1500000000015</v>
      </c>
      <c r="J9" s="175">
        <f>H9/DAY(B2)</f>
        <v>19125.75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744726</v>
      </c>
      <c r="F10" s="353">
        <f>E10+8500</f>
        <v>753226</v>
      </c>
      <c r="G10" s="112">
        <f t="shared" ref="G10:G12" si="0">F10-E10</f>
        <v>8500</v>
      </c>
      <c r="H10" s="99">
        <f>G10+'19'!H10</f>
        <v>137690</v>
      </c>
      <c r="I10" s="282"/>
      <c r="J10" s="175">
        <f>H10/DAY(B2)</f>
        <v>6884.5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G13+'19'!H13</f>
        <v>517688.75</v>
      </c>
      <c r="I13" s="120">
        <f>G7-G13</f>
        <v>2500</v>
      </c>
      <c r="J13" s="175">
        <f>H13/DAY(B2)</f>
        <v>25884.4375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1992715.7</v>
      </c>
      <c r="G15" s="112" t="e">
        <f>(F15-E15)</f>
        <v>#VALUE!</v>
      </c>
      <c r="H15" s="99" t="e">
        <f>G15+'19'!H15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'19'!F18</f>
        <v>22</v>
      </c>
      <c r="F18" s="122">
        <v>27</v>
      </c>
      <c r="G18" s="119">
        <f>F18*10</f>
        <v>270</v>
      </c>
      <c r="H18" s="99">
        <f>G18+'19'!H18</f>
        <v>4460</v>
      </c>
      <c r="I18" s="113">
        <f>'1'!I18</f>
        <v>65</v>
      </c>
      <c r="J18" s="175">
        <f>H18/DAY(B2)</f>
        <v>223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'19'!F19</f>
        <v>157914</v>
      </c>
      <c r="F19" s="545">
        <v>157951</v>
      </c>
      <c r="G19" s="112">
        <f t="shared" ref="G19" si="1">F19-E19</f>
        <v>37</v>
      </c>
      <c r="H19" s="99">
        <f>G19+'19'!H19</f>
        <v>-503</v>
      </c>
      <c r="I19" s="335"/>
      <c r="J19" s="175">
        <f>H19/DAY(B2)</f>
        <v>-25.15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307</v>
      </c>
      <c r="H20" s="99">
        <f>G20+'19'!H20</f>
        <v>3957</v>
      </c>
      <c r="I20" s="336">
        <f>I18-J20</f>
        <v>-132.85</v>
      </c>
      <c r="J20" s="175">
        <f>H20/DAY(B2)</f>
        <v>197.85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G27+'19'!H27</f>
        <v>4958210.5200000005</v>
      </c>
      <c r="I27" s="138"/>
      <c r="J27" s="175">
        <f>H27/DAY(B2)</f>
        <v>247910.52600000001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G28+'19'!H28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37</v>
      </c>
      <c r="F30" s="136">
        <v>151</v>
      </c>
      <c r="G30" s="137">
        <f>E30*F30</f>
        <v>5587</v>
      </c>
      <c r="H30" s="99">
        <f>G30+'19'!H30</f>
        <v>-76768</v>
      </c>
      <c r="I30" s="140"/>
      <c r="J30" s="175">
        <f>H30/DAY(B2)</f>
        <v>-3838.4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G31+'19'!H31</f>
        <v>356800</v>
      </c>
      <c r="I31" s="140"/>
      <c r="J31" s="175">
        <f>H31/DAY(B2)</f>
        <v>17840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G32+'19'!H32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179200</v>
      </c>
      <c r="F35" s="145">
        <v>181347.61</v>
      </c>
      <c r="G35" s="112">
        <f t="shared" ref="G35:G46" si="3">F35-E35</f>
        <v>2147.609999999986</v>
      </c>
      <c r="H35" s="99">
        <f>G35+'19'!H35</f>
        <v>-21537.390000000014</v>
      </c>
      <c r="I35" s="95"/>
      <c r="J35" s="175">
        <f>H35/DAY(B2)</f>
        <v>-1076.8695000000007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119453</v>
      </c>
      <c r="F36" s="145">
        <v>120365.81</v>
      </c>
      <c r="G36" s="112">
        <f t="shared" si="3"/>
        <v>912.80999999999767</v>
      </c>
      <c r="H36" s="99">
        <f>G36+'19'!H36</f>
        <v>-11213.190000000002</v>
      </c>
      <c r="I36" s="95"/>
      <c r="J36" s="175">
        <f>H36/DAY(B2)</f>
        <v>-560.65950000000009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163733</v>
      </c>
      <c r="F37" s="419">
        <v>165526.17000000001</v>
      </c>
      <c r="G37" s="112">
        <f t="shared" si="3"/>
        <v>1793.1700000000128</v>
      </c>
      <c r="H37" s="99">
        <f>G37+'19'!H37</f>
        <v>-17598.829999999987</v>
      </c>
      <c r="I37" s="95"/>
      <c r="J37" s="175">
        <f>H37/DAY(B2)</f>
        <v>-879.94149999999934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217030</v>
      </c>
      <c r="F38" s="106">
        <v>219298.91</v>
      </c>
      <c r="G38" s="112">
        <f t="shared" si="3"/>
        <v>2268.9100000000035</v>
      </c>
      <c r="H38" s="99">
        <f>G38+'19'!H38</f>
        <v>-24153.089999999997</v>
      </c>
      <c r="I38" s="95"/>
      <c r="J38" s="175">
        <f>H38/DAY(B2)</f>
        <v>-1207.6544999999999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306554</v>
      </c>
      <c r="F39" s="419">
        <v>309830.37</v>
      </c>
      <c r="G39" s="112">
        <f t="shared" si="3"/>
        <v>3276.3699999999953</v>
      </c>
      <c r="H39" s="99">
        <f>G39+'19'!H39</f>
        <v>-30157.630000000005</v>
      </c>
      <c r="I39" s="95"/>
      <c r="J39" s="175">
        <f>H39/DAY(B2)</f>
        <v>-1507.8815000000002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57801</v>
      </c>
      <c r="F40" s="145">
        <v>58143.3</v>
      </c>
      <c r="G40" s="112">
        <f t="shared" si="3"/>
        <v>342.30000000000291</v>
      </c>
      <c r="H40" s="99">
        <f>G40+'19'!H40</f>
        <v>-6733.6999999999971</v>
      </c>
      <c r="I40" s="95"/>
      <c r="J40" s="175">
        <f>H40/DAY(B2)</f>
        <v>-336.68499999999983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63</v>
      </c>
      <c r="F41" s="145">
        <v>63</v>
      </c>
      <c r="G41" s="112">
        <f t="shared" si="3"/>
        <v>0</v>
      </c>
      <c r="H41" s="99">
        <f>G41+'19'!H41</f>
        <v>-27630.000000000004</v>
      </c>
      <c r="I41" s="95"/>
      <c r="J41" s="175">
        <f>H41/DAY(B2)</f>
        <v>-1381.5000000000002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369407</v>
      </c>
      <c r="F42" s="145">
        <v>371742.59</v>
      </c>
      <c r="G42" s="112">
        <f t="shared" si="3"/>
        <v>2335.5900000000256</v>
      </c>
      <c r="H42" s="99">
        <f>G42+'19'!H42</f>
        <v>-54058.409999999974</v>
      </c>
      <c r="I42" s="95"/>
      <c r="J42" s="175">
        <f>H42/DAY(B2)</f>
        <v>-2702.9204999999988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319582</v>
      </c>
      <c r="F43" s="145">
        <v>322925.65000000002</v>
      </c>
      <c r="G43" s="112">
        <f t="shared" si="3"/>
        <v>3343.6500000000233</v>
      </c>
      <c r="H43" s="99">
        <f>G43+'19'!H43</f>
        <v>-34593.349999999977</v>
      </c>
      <c r="I43" s="95"/>
      <c r="J43" s="175">
        <f>H43/DAY(B2)</f>
        <v>-1729.6674999999989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16420.410000000047</v>
      </c>
      <c r="H47" s="99">
        <f>G47+'19'!H47</f>
        <v>-227675.58999999991</v>
      </c>
      <c r="I47" s="95"/>
      <c r="J47" s="175">
        <f>H47/DAY(B2)</f>
        <v>-11383.779499999995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145102</v>
      </c>
      <c r="F49" s="145">
        <v>146974.85</v>
      </c>
      <c r="G49" s="112">
        <f t="shared" ref="G49:G58" si="4">F49-E49</f>
        <v>1872.8500000000058</v>
      </c>
      <c r="H49" s="99">
        <f>G49+'19'!H49</f>
        <v>-18195.149999999994</v>
      </c>
      <c r="I49" s="95"/>
      <c r="J49" s="175">
        <f>H49/DAY(B2)</f>
        <v>-909.75749999999971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157659</v>
      </c>
      <c r="F50" s="145">
        <v>158829.42000000001</v>
      </c>
      <c r="G50" s="112">
        <f t="shared" si="4"/>
        <v>1170.4200000000128</v>
      </c>
      <c r="H50" s="99">
        <f>G50+'19'!H50</f>
        <v>-13777.579999999987</v>
      </c>
      <c r="I50" s="95"/>
      <c r="J50" s="175">
        <f>H50/DAY(B2)</f>
        <v>-688.87899999999934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76</v>
      </c>
      <c r="F51" s="145">
        <v>76</v>
      </c>
      <c r="G51" s="112">
        <f t="shared" si="4"/>
        <v>0</v>
      </c>
      <c r="H51" s="99">
        <f>G51+'19'!H51</f>
        <v>0.31999999999999318</v>
      </c>
      <c r="I51" s="95"/>
      <c r="J51" s="175">
        <f>H51/DAY(B2)</f>
        <v>1.599999999999966E-2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9.76</v>
      </c>
      <c r="F52" s="145">
        <v>9.76</v>
      </c>
      <c r="G52" s="112">
        <f t="shared" si="4"/>
        <v>0</v>
      </c>
      <c r="H52" s="99">
        <f>G52+'19'!H52</f>
        <v>-0.24000000000000021</v>
      </c>
      <c r="I52" s="95"/>
      <c r="J52" s="175">
        <f>H52/DAY(B2)</f>
        <v>-1.2000000000000011E-2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44887</v>
      </c>
      <c r="F54" s="145">
        <v>45358.77</v>
      </c>
      <c r="G54" s="112">
        <f t="shared" si="4"/>
        <v>471.7699999999968</v>
      </c>
      <c r="H54" s="99">
        <f>G54+'19'!H54</f>
        <v>-4724.2300000000032</v>
      </c>
      <c r="I54" s="95"/>
      <c r="J54" s="175">
        <f>H54/DAY(B2)</f>
        <v>-236.21150000000017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131223</v>
      </c>
      <c r="F55" s="145">
        <v>133680.10999999999</v>
      </c>
      <c r="G55" s="112">
        <f t="shared" si="4"/>
        <v>2457.109999999986</v>
      </c>
      <c r="H55" s="99">
        <f>G55+'19'!H55</f>
        <v>-11286.890000000014</v>
      </c>
      <c r="I55" s="95"/>
      <c r="J55" s="175">
        <f>H55/DAY(B2)</f>
        <v>-564.34450000000072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105519</v>
      </c>
      <c r="F56" s="145">
        <v>107245.66</v>
      </c>
      <c r="G56" s="112">
        <f t="shared" si="4"/>
        <v>1726.6600000000035</v>
      </c>
      <c r="H56" s="99">
        <f>G56+'19'!H56</f>
        <v>-0.33999999999650754</v>
      </c>
      <c r="I56" s="95"/>
      <c r="J56" s="175">
        <f>H56/DAY(B2)</f>
        <v>-1.6999999999825377E-2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22976</v>
      </c>
      <c r="F58" s="145">
        <v>23181.5</v>
      </c>
      <c r="G58" s="112">
        <f t="shared" si="4"/>
        <v>205.5</v>
      </c>
      <c r="H58" s="99">
        <f>G58+'19'!H58</f>
        <v>-2311.5</v>
      </c>
      <c r="I58" s="95"/>
      <c r="J58" s="175">
        <f>H58/DAY(B2)</f>
        <v>-115.575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7904.3100000000049</v>
      </c>
      <c r="H59" s="99">
        <f>G59+'19'!H59</f>
        <v>-50295.609999999993</v>
      </c>
      <c r="I59" s="95">
        <f>G7-G60</f>
        <v>2675.2799999999479</v>
      </c>
      <c r="J59" s="175">
        <f>H59/DAY(B2)</f>
        <v>-2514.7804999999998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24324.720000000052</v>
      </c>
      <c r="H60" s="99">
        <f>G60+'19'!H60</f>
        <v>-277971.1999999999</v>
      </c>
      <c r="I60" s="95">
        <f>G13-G60</f>
        <v>175.2799999999479</v>
      </c>
      <c r="J60" s="175">
        <f>H60/DAY(B2)</f>
        <v>-13898.559999999994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'19'!F62</f>
        <v>282036</v>
      </c>
      <c r="F62" s="122">
        <v>282200</v>
      </c>
      <c r="G62" s="112">
        <f t="shared" ref="G62:G63" si="5">F62-E62</f>
        <v>164</v>
      </c>
      <c r="H62" s="99">
        <f>G62+'19'!H62</f>
        <v>-1809</v>
      </c>
      <c r="I62" s="118"/>
      <c r="J62" s="175">
        <f>H62/DAY(B2)</f>
        <v>-90.45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'19'!F63</f>
        <v>225943</v>
      </c>
      <c r="F63" s="122">
        <v>226097</v>
      </c>
      <c r="G63" s="112">
        <f t="shared" si="5"/>
        <v>154</v>
      </c>
      <c r="H63" s="99">
        <f>G63+'19'!H63</f>
        <v>-1382</v>
      </c>
      <c r="I63" s="118"/>
      <c r="J63" s="175">
        <f>H63/DAY(B2)</f>
        <v>-69.099999999999994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'19'!F64</f>
        <v>0</v>
      </c>
      <c r="F64" s="122"/>
      <c r="G64" s="112">
        <f>G62+G63</f>
        <v>318</v>
      </c>
      <c r="H64" s="99">
        <f>G64+'19'!H64</f>
        <v>-3191</v>
      </c>
      <c r="I64" s="118"/>
      <c r="J64" s="175">
        <f>H64/DAY(B2)</f>
        <v>-159.55000000000001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'19'!F65</f>
        <v>443302</v>
      </c>
      <c r="F65" s="122">
        <v>443399</v>
      </c>
      <c r="G65" s="112">
        <f t="shared" ref="G65:G70" si="6">F65-E65</f>
        <v>97</v>
      </c>
      <c r="H65" s="99">
        <f>G65+'19'!H65</f>
        <v>-1193</v>
      </c>
      <c r="I65" s="118"/>
      <c r="J65" s="175">
        <f>H65/DAY(B2)</f>
        <v>-59.65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109398</v>
      </c>
      <c r="F66" s="122">
        <v>109412</v>
      </c>
      <c r="G66" s="112">
        <f t="shared" si="6"/>
        <v>14</v>
      </c>
      <c r="H66" s="99">
        <f>G66+'19'!H66</f>
        <v>-169</v>
      </c>
      <c r="I66" s="118"/>
      <c r="J66" s="175">
        <f>H66/DAY(B2)</f>
        <v>-8.4499999999999993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110004</v>
      </c>
      <c r="F67" s="122">
        <v>110098</v>
      </c>
      <c r="G67" s="112">
        <f t="shared" si="6"/>
        <v>94</v>
      </c>
      <c r="H67" s="99">
        <f>G67+'19'!H67</f>
        <v>-802</v>
      </c>
      <c r="I67" s="118"/>
      <c r="J67" s="175">
        <f>H67/DAY(B2)</f>
        <v>-40.1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161205</v>
      </c>
      <c r="F68" s="122">
        <v>161238</v>
      </c>
      <c r="G68" s="112">
        <f t="shared" si="6"/>
        <v>33</v>
      </c>
      <c r="H68" s="99">
        <f>G68+'19'!H68</f>
        <v>-546</v>
      </c>
      <c r="I68" s="118"/>
      <c r="J68" s="175">
        <f>H68/DAY(B2)</f>
        <v>-27.3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11450</v>
      </c>
      <c r="F69" s="122">
        <v>11456</v>
      </c>
      <c r="G69" s="112">
        <f t="shared" si="6"/>
        <v>6</v>
      </c>
      <c r="H69" s="99">
        <f>G69+'19'!H69</f>
        <v>-142</v>
      </c>
      <c r="I69" s="118"/>
      <c r="J69" s="175">
        <f>H69/DAY(B2)</f>
        <v>-7.1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8897</v>
      </c>
      <c r="F70" s="122">
        <v>8914</v>
      </c>
      <c r="G70" s="112">
        <f t="shared" si="6"/>
        <v>17</v>
      </c>
      <c r="H70" s="99">
        <f>G70+'19'!H70</f>
        <v>-87</v>
      </c>
      <c r="I70" s="118"/>
      <c r="J70" s="175">
        <f>H70/DAY(B2)</f>
        <v>-4.3499999999999996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261</v>
      </c>
      <c r="H71" s="99">
        <f>G71+'19'!H71</f>
        <v>-2939</v>
      </c>
      <c r="I71" s="154"/>
      <c r="J71" s="175">
        <f>H71/DAY(B2)</f>
        <v>-146.94999999999999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'19'!F74</f>
        <v>925272</v>
      </c>
      <c r="F74" s="117">
        <v>925605.12</v>
      </c>
      <c r="G74" s="112">
        <f t="shared" ref="G74:G78" si="7">F74-E74</f>
        <v>333.11999999999534</v>
      </c>
      <c r="H74" s="99">
        <f>G74+'19'!H74</f>
        <v>-3171.8800000000047</v>
      </c>
      <c r="I74" s="154"/>
      <c r="J74" s="175">
        <f>H74/DAY(B2)</f>
        <v>-158.59400000000022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'19'!F76</f>
        <v>178799</v>
      </c>
      <c r="F76" s="123">
        <v>178924.58</v>
      </c>
      <c r="G76" s="112">
        <f t="shared" si="7"/>
        <v>125.57999999998719</v>
      </c>
      <c r="H76" s="99">
        <f>G76+'19'!H76</f>
        <v>-1229.4200000000128</v>
      </c>
      <c r="I76" s="154"/>
      <c r="J76" s="175">
        <f>H76/DAY(B2)</f>
        <v>-61.471000000000643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'19'!F77</f>
        <v>45111</v>
      </c>
      <c r="F77" s="123">
        <v>45161.5</v>
      </c>
      <c r="G77" s="112">
        <f t="shared" si="7"/>
        <v>50.5</v>
      </c>
      <c r="H77" s="99">
        <f>G77+'19'!H77</f>
        <v>-512.5</v>
      </c>
      <c r="I77" s="154"/>
      <c r="J77" s="175">
        <f>H77/DAY(B2)</f>
        <v>-25.625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0.6000000000003638</v>
      </c>
      <c r="I78" s="118"/>
      <c r="J78" s="175">
        <f>H78/DAY(B2)</f>
        <v>3.0000000000018189E-2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'19'!F79</f>
        <v>0</v>
      </c>
      <c r="F79" s="117"/>
      <c r="G79" s="112" t="e">
        <f>G15-SUM(G74:G78)</f>
        <v>#VALUE!</v>
      </c>
      <c r="H79" s="99" t="e">
        <f>G79+'19'!H79</f>
        <v>#VALUE!</v>
      </c>
      <c r="I79" s="118"/>
      <c r="J79" s="175"/>
      <c r="K79" s="59"/>
      <c r="L79" s="58"/>
      <c r="N79" s="87"/>
      <c r="O79" s="71"/>
    </row>
    <row r="80" spans="1:15" s="57" customFormat="1" ht="26.25">
      <c r="A80" s="981" t="s">
        <v>329</v>
      </c>
      <c r="B80" s="982"/>
      <c r="C80" s="983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41675.49</v>
      </c>
      <c r="F84" s="164">
        <v>41675.49</v>
      </c>
      <c r="G84" s="112">
        <f t="shared" si="8"/>
        <v>0</v>
      </c>
      <c r="H84" s="99">
        <f>G84+'19'!H84</f>
        <v>-116.51000000000204</v>
      </c>
      <c r="I84" s="575"/>
      <c r="J84" s="175">
        <f>H84/DAY(B2)</f>
        <v>-5.825500000000102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3539</v>
      </c>
      <c r="F85" s="164">
        <v>3550.21</v>
      </c>
      <c r="G85" s="112">
        <f t="shared" si="8"/>
        <v>11.210000000000036</v>
      </c>
      <c r="H85" s="99">
        <f>G85+'19'!H85</f>
        <v>-226.78999999999996</v>
      </c>
      <c r="I85" s="575"/>
      <c r="J85" s="175">
        <f>H85/DAY(B2)</f>
        <v>-11.339499999999997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43848</v>
      </c>
      <c r="F86" s="164">
        <v>43865.24</v>
      </c>
      <c r="G86" s="112">
        <f t="shared" si="8"/>
        <v>17.239999999997963</v>
      </c>
      <c r="H86" s="99">
        <f>G86+'19'!H86</f>
        <v>-73.760000000002037</v>
      </c>
      <c r="I86" s="575"/>
      <c r="J86" s="175">
        <f>H86/DAY(B2)</f>
        <v>-3.6880000000001019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35315</v>
      </c>
      <c r="F87" s="164">
        <v>35329.06</v>
      </c>
      <c r="G87" s="112">
        <f t="shared" si="8"/>
        <v>14.059999999997672</v>
      </c>
      <c r="H87" s="99">
        <f>G87+'19'!H87</f>
        <v>5.9999999997671694E-2</v>
      </c>
      <c r="I87" s="575">
        <f>G84+G85+G86+G87</f>
        <v>42.509999999995671</v>
      </c>
      <c r="J87" s="175">
        <f>H87/DAY(B2)</f>
        <v>2.9999999998835845E-3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24175</v>
      </c>
      <c r="F88" s="164">
        <v>24175</v>
      </c>
      <c r="G88" s="112">
        <f t="shared" si="8"/>
        <v>0</v>
      </c>
      <c r="H88" s="99">
        <f>G88+'19'!H88</f>
        <v>-13.119999999998981</v>
      </c>
      <c r="I88" s="575"/>
      <c r="J88" s="175">
        <f>H88/DAY(B2)</f>
        <v>-0.65599999999994907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26612</v>
      </c>
      <c r="F89" s="164">
        <v>26621.19</v>
      </c>
      <c r="G89" s="112">
        <f t="shared" si="8"/>
        <v>9.1899999999986903</v>
      </c>
      <c r="H89" s="99">
        <f>G89+'19'!H89</f>
        <v>-88.030000000002474</v>
      </c>
      <c r="I89" s="575">
        <f>G88+G89</f>
        <v>9.1899999999986903</v>
      </c>
      <c r="J89" s="175">
        <f>H89/DAY(B2)</f>
        <v>-4.4015000000001239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71754</v>
      </c>
      <c r="F90" s="164">
        <v>71765.490000000005</v>
      </c>
      <c r="G90" s="112">
        <f t="shared" si="8"/>
        <v>11.490000000005239</v>
      </c>
      <c r="H90" s="99">
        <f>G90+'19'!H90</f>
        <v>-98.039999999993597</v>
      </c>
      <c r="I90" s="575">
        <f>G90</f>
        <v>11.490000000005239</v>
      </c>
      <c r="J90" s="175">
        <f>H90/DAY(B2)</f>
        <v>-4.9019999999996795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3930.48</v>
      </c>
      <c r="F91" s="122">
        <v>3942.69</v>
      </c>
      <c r="G91" s="112">
        <f t="shared" si="8"/>
        <v>12.210000000000036</v>
      </c>
      <c r="H91" s="99">
        <f>G91+'19'!H91</f>
        <v>-116.54999999999973</v>
      </c>
      <c r="I91" s="594"/>
      <c r="J91" s="175">
        <f>H91/DAY(B2)</f>
        <v>-5.8274999999999864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5935</v>
      </c>
      <c r="F92" s="122">
        <v>5934.87</v>
      </c>
      <c r="G92" s="112">
        <f t="shared" si="8"/>
        <v>-0.13000000000010914</v>
      </c>
      <c r="H92" s="99">
        <f>G92+'19'!H92</f>
        <v>-0.13000000000010914</v>
      </c>
      <c r="I92" s="600">
        <f>G91+G92</f>
        <v>12.079999999999927</v>
      </c>
      <c r="J92" s="175">
        <f>H92/DAY(B2)</f>
        <v>-6.5000000000054571E-3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7364.1100000000151</v>
      </c>
      <c r="H94" s="99">
        <f>G94+'19'!H94</f>
        <v>-74325.889999999985</v>
      </c>
      <c r="I94" s="118"/>
      <c r="J94" s="175">
        <f>H94/DAY(B2)</f>
        <v>-3716.2944999999991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0.27274481481481538</v>
      </c>
      <c r="H95" s="99">
        <f>G95+'19'!H95</f>
        <v>-2.77520559313658</v>
      </c>
      <c r="I95" s="167"/>
      <c r="J95" s="175">
        <f>H95/DAY(B2)</f>
        <v>-0.13876027965682899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6519.3600000000151</v>
      </c>
      <c r="H96" s="99">
        <f>G96+'19'!H96</f>
        <v>-92975.64</v>
      </c>
      <c r="I96" s="118"/>
      <c r="J96" s="175">
        <f>H96/DAY(B2)</f>
        <v>-4648.7820000000002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0.24145777777777833</v>
      </c>
      <c r="H97" s="99">
        <f>G97+'19'!H97</f>
        <v>-3.4744482992481482</v>
      </c>
      <c r="I97" s="167"/>
      <c r="J97" s="175">
        <f>H97/DAY(B2)</f>
        <v>-0.17372241496240742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3276.3699999999953</v>
      </c>
      <c r="H98" s="99">
        <f>G98+'19'!H98</f>
        <v>-30157.630000000005</v>
      </c>
      <c r="I98" s="168"/>
      <c r="J98" s="175">
        <f>H98/DAY(B2)</f>
        <v>-1507.8815000000002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0.12134703703703686</v>
      </c>
      <c r="H99" s="99">
        <f>G99+'19'!H99</f>
        <v>-1.1244002169835043</v>
      </c>
      <c r="I99" s="168"/>
      <c r="J99" s="175">
        <f>H99/DAY(B2)</f>
        <v>-5.6220010849175217E-2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2268.9100000000035</v>
      </c>
      <c r="H100" s="99">
        <f>G100+'19'!H100</f>
        <v>-24153.329999999994</v>
      </c>
      <c r="I100" s="118"/>
      <c r="J100" s="175">
        <f>H100/DAY(B2)</f>
        <v>-1207.6664999999998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8.4033703703703833E-2</v>
      </c>
      <c r="H101" s="99">
        <f>G101+'19'!H101</f>
        <v>-0.90048667652180714</v>
      </c>
      <c r="I101" s="168"/>
      <c r="J101" s="175">
        <f>H101/DAY(B2)</f>
        <v>-4.5024333826090356E-2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2083.2300000000105</v>
      </c>
      <c r="H102" s="99">
        <f>G102+'19'!H102</f>
        <v>-24990.76999999999</v>
      </c>
      <c r="I102" s="168"/>
      <c r="J102" s="175">
        <f>H102/DAY(B2)</f>
        <v>-1249.5384999999994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7.7156666666667054E-2</v>
      </c>
      <c r="H103" s="99">
        <f>G103+'19'!H103</f>
        <v>-0.93698051726574783</v>
      </c>
      <c r="I103" s="118"/>
      <c r="J103" s="175">
        <f>H103/DAY(B2)</f>
        <v>-4.6849025863287388E-2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1793.1700000000128</v>
      </c>
      <c r="H104" s="99">
        <f>G104+'19'!H104</f>
        <v>-17598.509999999987</v>
      </c>
      <c r="I104" s="118"/>
      <c r="J104" s="175">
        <f>H104/DAY(B2)</f>
        <v>-879.92549999999937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6.6413703703704183E-2</v>
      </c>
      <c r="H105" s="99">
        <f>G105+'19'!H105</f>
        <v>-0.65648621141771446</v>
      </c>
      <c r="I105" s="187"/>
      <c r="J105" s="188">
        <f>H105/DAY(B2)</f>
        <v>-3.2824310570885723E-2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'19'!F112</f>
        <v>63677</v>
      </c>
      <c r="F112" s="237">
        <v>63757.96</v>
      </c>
      <c r="G112" s="112">
        <f t="shared" ref="G112:G123" si="9">F112-E112</f>
        <v>80.959999999999127</v>
      </c>
      <c r="H112" s="99">
        <f>G112+'19'!H112</f>
        <v>63514.96</v>
      </c>
      <c r="I112" s="165"/>
      <c r="J112" s="328">
        <f>H112/DAY(B2)</f>
        <v>3175.748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'19'!F113</f>
        <v>83686</v>
      </c>
      <c r="F113" s="237">
        <v>84194.39</v>
      </c>
      <c r="G113" s="112">
        <f t="shared" si="9"/>
        <v>508.38999999999942</v>
      </c>
      <c r="H113" s="99">
        <f>G113+'19'!H113</f>
        <v>83712.39</v>
      </c>
      <c r="I113" s="165"/>
      <c r="J113" s="328">
        <f>H113/DAY(B2)</f>
        <v>4185.6194999999998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'19'!F114</f>
        <v>55582</v>
      </c>
      <c r="F114" s="237">
        <v>55845.11</v>
      </c>
      <c r="G114" s="112">
        <f t="shared" si="9"/>
        <v>263.11000000000058</v>
      </c>
      <c r="H114" s="99">
        <f>G114+'19'!H114</f>
        <v>55181.11</v>
      </c>
      <c r="I114" s="165"/>
      <c r="J114" s="328">
        <f>H114/DAY(B2)</f>
        <v>2759.0554999999999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'19'!F115</f>
        <v>10254</v>
      </c>
      <c r="F115" s="237">
        <v>10272.549999999999</v>
      </c>
      <c r="G115" s="112">
        <f t="shared" si="9"/>
        <v>18.549999999999272</v>
      </c>
      <c r="H115" s="99">
        <f>G115+'19'!H115</f>
        <v>9761.5499999999993</v>
      </c>
      <c r="I115" s="165"/>
      <c r="J115" s="328">
        <f>H115/DAY(B2)</f>
        <v>488.07749999999999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'19'!F116</f>
        <v>30914</v>
      </c>
      <c r="F116" s="237">
        <v>31330.27</v>
      </c>
      <c r="G116" s="112">
        <f t="shared" si="9"/>
        <v>416.27000000000044</v>
      </c>
      <c r="H116" s="99">
        <f>G116+'19'!H116</f>
        <v>-3335.7299999999996</v>
      </c>
      <c r="I116" s="165"/>
      <c r="J116" s="328">
        <f>H116/DAY(B2)</f>
        <v>-166.78649999999999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'19'!F117</f>
        <v>17250</v>
      </c>
      <c r="F117" s="237">
        <v>17395.89</v>
      </c>
      <c r="G117" s="112">
        <f t="shared" si="9"/>
        <v>145.88999999999942</v>
      </c>
      <c r="H117" s="99">
        <f>G117+'19'!H117</f>
        <v>-1540.1100000000006</v>
      </c>
      <c r="I117" s="165"/>
      <c r="J117" s="328">
        <f>H117/DAY(B2)</f>
        <v>-77.005500000000026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'19'!F118</f>
        <v>3122</v>
      </c>
      <c r="F118" s="237">
        <v>3656.23</v>
      </c>
      <c r="G118" s="112">
        <f t="shared" si="9"/>
        <v>534.23</v>
      </c>
      <c r="H118" s="99">
        <f>G118+'19'!H118</f>
        <v>-5406.77</v>
      </c>
      <c r="I118" s="165"/>
      <c r="J118" s="328">
        <f>H118/DAY(B2)</f>
        <v>-270.33850000000001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'19'!F119</f>
        <v>940</v>
      </c>
      <c r="F119" s="237">
        <v>1397.43</v>
      </c>
      <c r="G119" s="112">
        <f t="shared" si="9"/>
        <v>457.43000000000006</v>
      </c>
      <c r="H119" s="99">
        <f>G119+'19'!H119</f>
        <v>285912.43</v>
      </c>
      <c r="I119" s="165"/>
      <c r="J119" s="328">
        <f>H119/DAY(B2)</f>
        <v>14295.621499999999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'19'!F120</f>
        <v>2482</v>
      </c>
      <c r="F120" s="237">
        <v>2883.04</v>
      </c>
      <c r="G120" s="112">
        <f t="shared" si="9"/>
        <v>401.03999999999996</v>
      </c>
      <c r="H120" s="99">
        <f>G120+'19'!H120</f>
        <v>-4251.96</v>
      </c>
      <c r="I120" s="165"/>
      <c r="J120" s="328">
        <f>H120/DAY(B2)</f>
        <v>-212.59800000000001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'19'!F121</f>
        <v>4808</v>
      </c>
      <c r="F121" s="237">
        <v>5645.5</v>
      </c>
      <c r="G121" s="112">
        <f t="shared" si="9"/>
        <v>837.5</v>
      </c>
      <c r="H121" s="99">
        <f>G121+'19'!H121</f>
        <v>-6081.5</v>
      </c>
      <c r="I121" s="165"/>
      <c r="J121" s="328">
        <f>H121/DAY(B2)</f>
        <v>-304.07499999999999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'19'!F122</f>
        <v>1209</v>
      </c>
      <c r="F122" s="237">
        <v>1451.31</v>
      </c>
      <c r="G122" s="112">
        <f t="shared" si="9"/>
        <v>242.30999999999995</v>
      </c>
      <c r="H122" s="99">
        <f>G122+'19'!H122</f>
        <v>-2112.69</v>
      </c>
      <c r="I122" s="165"/>
      <c r="J122" s="328">
        <f>H122/DAY(B2)</f>
        <v>-105.6345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'19'!F123</f>
        <v>174295</v>
      </c>
      <c r="F123" s="237">
        <v>174552.17</v>
      </c>
      <c r="G123" s="112">
        <f t="shared" si="9"/>
        <v>257.17000000001281</v>
      </c>
      <c r="H123" s="99">
        <f>G123+'19'!H123</f>
        <v>173585.17</v>
      </c>
      <c r="I123" s="165"/>
      <c r="J123" s="328">
        <f>H123/DAY(B2)</f>
        <v>8679.2584999999999</v>
      </c>
    </row>
    <row r="124" spans="1:18" ht="29.25" customHeight="1">
      <c r="A124" s="890"/>
      <c r="B124" s="891"/>
      <c r="C124" s="892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58" t="s">
        <v>108</v>
      </c>
      <c r="B125" s="958"/>
      <c r="C125" s="245"/>
      <c r="D125" s="307"/>
      <c r="E125" s="308"/>
      <c r="F125" s="308"/>
      <c r="G125" s="309">
        <f>SUM(G112:G124)</f>
        <v>4162.8500000000113</v>
      </c>
      <c r="H125" s="156"/>
      <c r="I125" s="327">
        <f>G125-(G39+G53)</f>
        <v>886.48000000001593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'19'!F128</f>
        <v>77041</v>
      </c>
      <c r="F128" s="165">
        <v>77480.639999999999</v>
      </c>
      <c r="G128" s="112">
        <f t="shared" ref="G128:G134" si="10">F128-E128</f>
        <v>439.63999999999942</v>
      </c>
      <c r="H128" s="99">
        <f>G128+'19'!H128</f>
        <v>-3934.3600000000006</v>
      </c>
      <c r="I128" s="165"/>
      <c r="J128" s="328">
        <f>H128/DAY(B2)</f>
        <v>-196.71800000000002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47894</v>
      </c>
      <c r="F129" s="165">
        <v>48182.19</v>
      </c>
      <c r="G129" s="112">
        <f t="shared" si="10"/>
        <v>288.19000000000233</v>
      </c>
      <c r="H129" s="99">
        <f>G129+'19'!H129</f>
        <v>-2889.8099999999977</v>
      </c>
      <c r="I129" s="165"/>
      <c r="J129" s="328">
        <f>H129/DAY(B2)</f>
        <v>-144.49049999999988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88866</v>
      </c>
      <c r="F130" s="165">
        <v>89575.15</v>
      </c>
      <c r="G130" s="112">
        <f t="shared" si="10"/>
        <v>709.14999999999418</v>
      </c>
      <c r="H130" s="99">
        <f>G130+'19'!H130</f>
        <v>-7070.8500000000058</v>
      </c>
      <c r="I130" s="165"/>
      <c r="J130" s="328">
        <f>H130/DAY(B2)</f>
        <v>-353.5425000000003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'19'!F131</f>
        <v>28123</v>
      </c>
      <c r="F131" s="165">
        <v>28326.42</v>
      </c>
      <c r="G131" s="112">
        <f t="shared" si="10"/>
        <v>203.41999999999825</v>
      </c>
      <c r="H131" s="99">
        <f>G131+'19'!H131</f>
        <v>-2108.5800000000017</v>
      </c>
      <c r="I131" s="165"/>
      <c r="J131" s="328">
        <f>H131/DAY(B2)</f>
        <v>-105.42900000000009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'19'!F132</f>
        <v>83949</v>
      </c>
      <c r="F132" s="165">
        <v>84398.31</v>
      </c>
      <c r="G132" s="112">
        <f t="shared" si="10"/>
        <v>449.30999999999767</v>
      </c>
      <c r="H132" s="99">
        <f>G132+'19'!H132</f>
        <v>-4538.6900000000023</v>
      </c>
      <c r="I132" s="165"/>
      <c r="J132" s="328">
        <f>H132/DAY(B2)</f>
        <v>-226.93450000000013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'19'!F133</f>
        <v>162463</v>
      </c>
      <c r="F133" s="165">
        <v>163436.18</v>
      </c>
      <c r="G133" s="112">
        <f t="shared" si="10"/>
        <v>973.17999999999302</v>
      </c>
      <c r="H133" s="99">
        <f>G133+'19'!H133</f>
        <v>-9009.820000000007</v>
      </c>
      <c r="I133" s="165"/>
      <c r="J133" s="328">
        <f>H133/DAY(B2)</f>
        <v>-450.49100000000033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'19'!F134</f>
        <v>25383</v>
      </c>
      <c r="F134" s="466">
        <v>25623.87</v>
      </c>
      <c r="G134" s="112">
        <f t="shared" si="10"/>
        <v>240.86999999999898</v>
      </c>
      <c r="H134" s="99">
        <f>G134+'19'!H134</f>
        <v>-2469.130000000001</v>
      </c>
      <c r="I134" s="165"/>
      <c r="J134" s="328">
        <f>H134/DAY(B2)</f>
        <v>-123.45650000000005</v>
      </c>
    </row>
    <row r="135" spans="1:15" ht="25.5">
      <c r="A135" s="979" t="s">
        <v>108</v>
      </c>
      <c r="B135" s="980"/>
      <c r="C135" s="882"/>
      <c r="D135" s="151"/>
      <c r="E135" s="95"/>
      <c r="F135" s="165"/>
      <c r="G135" s="112">
        <f>SUM(G128:G134)</f>
        <v>3303.7599999999838</v>
      </c>
      <c r="H135" s="99"/>
      <c r="I135" s="327">
        <f>G135-(G35+G49)</f>
        <v>-716.700000000008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'19'!F138</f>
        <v>877079</v>
      </c>
      <c r="F138" s="147">
        <v>877233</v>
      </c>
      <c r="G138" s="112">
        <f t="shared" ref="G138:G152" si="11">F138-E138</f>
        <v>154</v>
      </c>
      <c r="H138" s="99">
        <f>G138+'19'!H138</f>
        <v>-1551</v>
      </c>
      <c r="I138" s="118"/>
      <c r="J138" s="328">
        <f>H138/DAY(B2)</f>
        <v>-77.55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'19'!F139</f>
        <v>893195</v>
      </c>
      <c r="F139" s="148">
        <v>893322</v>
      </c>
      <c r="G139" s="112">
        <f t="shared" si="11"/>
        <v>127</v>
      </c>
      <c r="H139" s="99">
        <f>G139+'19'!H139</f>
        <v>-1544</v>
      </c>
      <c r="I139" s="118"/>
      <c r="J139" s="328">
        <f>H139/DAY(B2)</f>
        <v>-77.2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'19'!F140</f>
        <v>89024</v>
      </c>
      <c r="F140" s="149">
        <v>89025</v>
      </c>
      <c r="G140" s="112">
        <f>F140-E140</f>
        <v>1</v>
      </c>
      <c r="H140" s="99">
        <f>G140+'19'!H140</f>
        <v>88890</v>
      </c>
      <c r="I140" s="118"/>
      <c r="J140" s="328">
        <f>H140/DAY(B2)</f>
        <v>4444.5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'19'!F141</f>
        <v>69532</v>
      </c>
      <c r="F141" s="149">
        <v>69718.19</v>
      </c>
      <c r="G141" s="112">
        <f t="shared" si="11"/>
        <v>186.19000000000233</v>
      </c>
      <c r="H141" s="99">
        <f>G141+'19'!H141</f>
        <v>-2055.8099999999977</v>
      </c>
      <c r="I141" s="118"/>
      <c r="J141" s="328">
        <f>H141/DAY(B2)</f>
        <v>-102.79049999999988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'19'!F142</f>
        <v>26746</v>
      </c>
      <c r="F142" s="148">
        <v>26806.93</v>
      </c>
      <c r="G142" s="112">
        <f t="shared" si="11"/>
        <v>60.930000000000291</v>
      </c>
      <c r="H142" s="99">
        <f>G142+'19'!H142</f>
        <v>-659.06999999999971</v>
      </c>
      <c r="I142" s="140"/>
      <c r="J142" s="328">
        <f>H142/DAY(B2)</f>
        <v>-32.953499999999984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'19'!F143</f>
        <v>6087</v>
      </c>
      <c r="F143" s="149">
        <v>6118.28</v>
      </c>
      <c r="G143" s="112">
        <f t="shared" si="11"/>
        <v>31.279999999999745</v>
      </c>
      <c r="H143" s="99">
        <f>G143+'19'!H143</f>
        <v>-298.72000000000025</v>
      </c>
      <c r="I143" s="140"/>
      <c r="J143" s="328">
        <f>H143/DAY(B2)</f>
        <v>-14.936000000000012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'19'!F144</f>
        <v>894639</v>
      </c>
      <c r="F144" s="149">
        <v>894868</v>
      </c>
      <c r="G144" s="112">
        <f t="shared" si="11"/>
        <v>229</v>
      </c>
      <c r="H144" s="99">
        <f>G144+'19'!H144</f>
        <v>-2365</v>
      </c>
      <c r="I144" s="140"/>
      <c r="J144" s="328">
        <f>H144/DAY(B2)</f>
        <v>-118.25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'19'!F145</f>
        <v>5600</v>
      </c>
      <c r="F145" s="149">
        <v>5603.8</v>
      </c>
      <c r="G145" s="112">
        <f t="shared" si="11"/>
        <v>3.8000000000001819</v>
      </c>
      <c r="H145" s="99">
        <f>G145+'19'!H145</f>
        <v>-24.199999999999818</v>
      </c>
      <c r="I145" s="140"/>
      <c r="J145" s="328">
        <f>H145/DAY(B2)</f>
        <v>-1.2099999999999909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'19'!F146</f>
        <v>773696</v>
      </c>
      <c r="F146" s="148">
        <v>774241</v>
      </c>
      <c r="G146" s="112">
        <f t="shared" si="11"/>
        <v>545</v>
      </c>
      <c r="H146" s="99">
        <f>G146+'19'!H146</f>
        <v>-2213</v>
      </c>
      <c r="I146" s="140"/>
      <c r="J146" s="328">
        <f>H146/DAY(B2)</f>
        <v>-110.65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'19'!F147</f>
        <v>658500</v>
      </c>
      <c r="F147" s="148">
        <v>658902.28</v>
      </c>
      <c r="G147" s="112">
        <f t="shared" si="11"/>
        <v>402.28000000002794</v>
      </c>
      <c r="H147" s="99">
        <f>G147+'19'!H147</f>
        <v>-4325.7199999999721</v>
      </c>
      <c r="I147" s="140"/>
      <c r="J147" s="328">
        <f>H147/DAY(B2)</f>
        <v>-216.28599999999861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'19'!F148</f>
        <v>715742</v>
      </c>
      <c r="F148" s="150">
        <v>716062.48</v>
      </c>
      <c r="G148" s="112">
        <f t="shared" si="11"/>
        <v>320.47999999998137</v>
      </c>
      <c r="H148" s="99">
        <f>G148+'19'!H148</f>
        <v>-3853.5200000000186</v>
      </c>
      <c r="I148" s="124"/>
      <c r="J148" s="328">
        <f>H148/DAY(B2)</f>
        <v>-192.67600000000093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'19'!F149</f>
        <v>75944</v>
      </c>
      <c r="F149" s="146">
        <v>76575.539999999994</v>
      </c>
      <c r="G149" s="112">
        <f t="shared" si="11"/>
        <v>631.5399999999936</v>
      </c>
      <c r="H149" s="99">
        <f>G149+'19'!H149</f>
        <v>-6812.4600000000064</v>
      </c>
      <c r="I149" s="119"/>
      <c r="J149" s="328">
        <f>H149/DAY(B2)</f>
        <v>-340.62300000000033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'19'!F150</f>
        <v>28248</v>
      </c>
      <c r="F150" s="233">
        <v>28459.07</v>
      </c>
      <c r="G150" s="112">
        <f t="shared" si="11"/>
        <v>211.06999999999971</v>
      </c>
      <c r="H150" s="99">
        <f>G150+'19'!H150</f>
        <v>-2127.9300000000003</v>
      </c>
      <c r="I150" s="119"/>
      <c r="J150" s="328">
        <f>H150/DAY(B2)</f>
        <v>-106.39650000000002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'19'!F151</f>
        <v>105986</v>
      </c>
      <c r="F151" s="233">
        <v>106266</v>
      </c>
      <c r="G151" s="112">
        <f t="shared" si="11"/>
        <v>280</v>
      </c>
      <c r="H151" s="99">
        <f>G151+'19'!H151</f>
        <v>-2962</v>
      </c>
      <c r="I151" s="119"/>
      <c r="J151" s="328">
        <f>H151/DAY(B2)</f>
        <v>-148.1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'19'!F152</f>
        <v>10275</v>
      </c>
      <c r="F152" s="233">
        <v>10333.799999999999</v>
      </c>
      <c r="G152" s="112">
        <f t="shared" si="11"/>
        <v>58.799999999999272</v>
      </c>
      <c r="H152" s="99">
        <f>G152+'19'!H152</f>
        <v>-822.20000000000073</v>
      </c>
      <c r="I152" s="119"/>
      <c r="J152" s="328">
        <f>H152/DAY(B2)</f>
        <v>-41.110000000000035</v>
      </c>
    </row>
    <row r="153" spans="1:10" ht="25.5">
      <c r="A153" s="460" t="s">
        <v>108</v>
      </c>
      <c r="B153" s="365"/>
      <c r="C153" s="365"/>
      <c r="D153" s="117"/>
      <c r="E153" s="95"/>
      <c r="F153" s="233"/>
      <c r="G153" s="112">
        <f>SUM(G138:G152)</f>
        <v>3242.3700000000044</v>
      </c>
      <c r="H153" s="99"/>
      <c r="I153" s="119">
        <f>G153-(G38+G52)</f>
        <v>973.46000000000095</v>
      </c>
      <c r="J153" s="328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'19'!F155</f>
        <v>85283</v>
      </c>
      <c r="F155" s="374">
        <v>86024.47</v>
      </c>
      <c r="G155" s="112">
        <f t="shared" ref="G155:G158" si="12">F155-E155</f>
        <v>741.47000000000116</v>
      </c>
      <c r="H155" s="99">
        <f>G155+'19'!H155</f>
        <v>-6707.5299999999988</v>
      </c>
      <c r="I155" s="364"/>
      <c r="J155" s="328">
        <f>H155/DAY(B2)</f>
        <v>-335.37649999999996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'19'!F156</f>
        <v>7090</v>
      </c>
      <c r="F156" s="155">
        <v>7142.19</v>
      </c>
      <c r="G156" s="112">
        <f t="shared" si="12"/>
        <v>52.1899999999996</v>
      </c>
      <c r="H156" s="99">
        <f>G156+'19'!H156</f>
        <v>-548.8100000000004</v>
      </c>
      <c r="I156" s="165"/>
      <c r="J156" s="328">
        <f>H156/DAY(B2)</f>
        <v>-27.440500000000021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'19'!F157</f>
        <v>12273</v>
      </c>
      <c r="F157" s="155">
        <v>12383.8</v>
      </c>
      <c r="G157" s="112">
        <f t="shared" si="12"/>
        <v>110.79999999999927</v>
      </c>
      <c r="H157" s="99">
        <f>G157+'19'!H157</f>
        <v>110.79999999999927</v>
      </c>
      <c r="I157" s="165"/>
      <c r="J157" s="328">
        <f>H157/DAY(B2)</f>
        <v>5.5399999999999636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'19'!F158</f>
        <v>97.47</v>
      </c>
      <c r="F158" s="155">
        <v>97.86</v>
      </c>
      <c r="G158" s="112">
        <f t="shared" si="12"/>
        <v>0.39000000000000057</v>
      </c>
      <c r="H158" s="99">
        <f>G158+'19'!H158</f>
        <v>0.39000000000000057</v>
      </c>
      <c r="I158" s="165"/>
      <c r="J158" s="328">
        <f>H158/DAY(B2)</f>
        <v>1.9500000000000028E-2</v>
      </c>
    </row>
    <row r="159" spans="1:10" ht="25.5">
      <c r="A159" s="950"/>
      <c r="B159" s="951"/>
      <c r="C159" s="952"/>
      <c r="D159" s="117"/>
      <c r="E159" s="95"/>
      <c r="F159" s="15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474528</v>
      </c>
      <c r="F161" s="235">
        <v>474546.84</v>
      </c>
      <c r="G161" s="238">
        <f t="shared" ref="G161:G166" si="13">F161-E161</f>
        <v>18.840000000025611</v>
      </c>
      <c r="H161" s="99">
        <f>G161+'19'!H161</f>
        <v>-236.15999999997439</v>
      </c>
      <c r="I161" s="236"/>
      <c r="J161" s="239">
        <f>H161/DAY(B2)</f>
        <v>-11.807999999998719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91141</v>
      </c>
      <c r="F162" s="235">
        <v>91186.9</v>
      </c>
      <c r="G162" s="238">
        <f t="shared" si="13"/>
        <v>45.899999999994179</v>
      </c>
      <c r="H162" s="99">
        <f>G162+'19'!H162</f>
        <v>-360.10000000000582</v>
      </c>
      <c r="I162" s="236"/>
      <c r="J162" s="239">
        <f>H162/DAY(B2)</f>
        <v>-18.00500000000029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90264</v>
      </c>
      <c r="F163" s="235">
        <v>90416.1</v>
      </c>
      <c r="G163" s="238">
        <f t="shared" si="13"/>
        <v>152.10000000000582</v>
      </c>
      <c r="H163" s="99">
        <f>G163+'19'!H163</f>
        <v>-1619.8999999999942</v>
      </c>
      <c r="I163" s="236"/>
      <c r="J163" s="239">
        <f>H163/DAY(B2)</f>
        <v>-80.994999999999706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5056</v>
      </c>
      <c r="F164" s="235">
        <v>5068.5</v>
      </c>
      <c r="G164" s="238">
        <f t="shared" si="13"/>
        <v>12.5</v>
      </c>
      <c r="H164" s="99">
        <f>G164+'19'!H164</f>
        <v>-113.5</v>
      </c>
      <c r="I164" s="236"/>
      <c r="J164" s="239">
        <f>H164/DAY(B2)</f>
        <v>-5.6749999999999998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30516</v>
      </c>
      <c r="F165" s="235">
        <v>30528.400000000001</v>
      </c>
      <c r="G165" s="238">
        <f t="shared" si="13"/>
        <v>12.400000000001455</v>
      </c>
      <c r="H165" s="99">
        <f>G165+'19'!H165</f>
        <v>-105.59999999999854</v>
      </c>
      <c r="I165" s="236"/>
      <c r="J165" s="239">
        <f>H165/DAY(B2)</f>
        <v>-5.2799999999999274</v>
      </c>
    </row>
    <row r="166" spans="1:10" ht="26.25">
      <c r="A166" s="873"/>
      <c r="B166" s="873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'19'!F173</f>
        <v>8278</v>
      </c>
      <c r="F173" s="155">
        <v>8351</v>
      </c>
      <c r="G173" s="155">
        <f>F173-E173</f>
        <v>73</v>
      </c>
      <c r="H173" s="99">
        <f>G173+'19'!H173</f>
        <v>90</v>
      </c>
      <c r="I173" s="155"/>
      <c r="J173" s="178">
        <f>H173/DAY(B2)</f>
        <v>4.5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'19'!F174</f>
        <v>39752</v>
      </c>
      <c r="F174" s="157">
        <v>39766</v>
      </c>
      <c r="G174" s="155">
        <f t="shared" ref="G174:G175" si="14">F174-E174</f>
        <v>14</v>
      </c>
      <c r="H174" s="99">
        <f>G174+'19'!H174</f>
        <v>-162</v>
      </c>
      <c r="I174" s="155"/>
      <c r="J174" s="178">
        <f>H174/DAY(B2)</f>
        <v>-8.1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'19'!F175</f>
        <v>22758</v>
      </c>
      <c r="F175" s="155">
        <v>22769</v>
      </c>
      <c r="G175" s="155">
        <f t="shared" si="14"/>
        <v>11</v>
      </c>
      <c r="H175" s="99">
        <f>G175+'19'!H175</f>
        <v>-120</v>
      </c>
      <c r="I175" s="155"/>
      <c r="J175" s="178">
        <f>H175/DAY(B2)</f>
        <v>-6</v>
      </c>
    </row>
    <row r="176" spans="1:10" ht="25.5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98</v>
      </c>
      <c r="H176" s="99">
        <f>G176+'19'!H176</f>
        <v>-192</v>
      </c>
      <c r="I176" s="155"/>
      <c r="J176" s="178">
        <f>H176/DAY(B2)</f>
        <v>-9.6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'19'!F178</f>
        <v>87469</v>
      </c>
      <c r="F178" s="155">
        <v>87576</v>
      </c>
      <c r="G178" s="155">
        <f>F178-E178</f>
        <v>107</v>
      </c>
      <c r="H178" s="99">
        <f>G178+'19'!H178</f>
        <v>-1027</v>
      </c>
      <c r="I178" s="155"/>
      <c r="J178" s="178">
        <f>H178/DAY(B2)</f>
        <v>-51.35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'19'!F179</f>
        <v>35710</v>
      </c>
      <c r="F179" s="155">
        <v>35710</v>
      </c>
      <c r="G179" s="155">
        <f t="shared" ref="G179:G180" si="15">F179-E179</f>
        <v>0</v>
      </c>
      <c r="H179" s="99">
        <f>G179+'19'!H179</f>
        <v>-63</v>
      </c>
      <c r="I179" s="155"/>
      <c r="J179" s="178">
        <f>H179/DAY(B2)</f>
        <v>-3.15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'19'!F180</f>
        <v>6297</v>
      </c>
      <c r="F180" s="155">
        <v>6312</v>
      </c>
      <c r="G180" s="155">
        <f t="shared" si="15"/>
        <v>15</v>
      </c>
      <c r="H180" s="99">
        <f>G180+'19'!H180</f>
        <v>-77</v>
      </c>
      <c r="I180" s="155"/>
      <c r="J180" s="178">
        <f>H180/DAY(B2)</f>
        <v>-3.85</v>
      </c>
    </row>
    <row r="181" spans="1:10" ht="24.75" customHeight="1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122</v>
      </c>
      <c r="H181" s="99">
        <f>G181+'19'!H181</f>
        <v>-1167</v>
      </c>
      <c r="I181" s="155"/>
      <c r="J181" s="178">
        <f>H181/DAY(B2)</f>
        <v>-58.35</v>
      </c>
    </row>
    <row r="182" spans="1:10" ht="24.75" customHeight="1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79" t="s">
        <v>214</v>
      </c>
      <c r="B183" s="880"/>
      <c r="C183" s="334"/>
      <c r="D183" s="228" t="s">
        <v>142</v>
      </c>
      <c r="E183" s="95">
        <f>'19'!F183</f>
        <v>16443</v>
      </c>
      <c r="F183" s="157">
        <v>16450</v>
      </c>
      <c r="G183" s="157">
        <f>F183-E183</f>
        <v>7</v>
      </c>
      <c r="H183" s="99">
        <f>G183+'19'!H183</f>
        <v>-172</v>
      </c>
      <c r="I183" s="155"/>
      <c r="J183" s="178">
        <f>H183/DAY(B2)</f>
        <v>-8.6</v>
      </c>
    </row>
    <row r="184" spans="1:10" ht="24.75" customHeight="1">
      <c r="A184" s="879" t="s">
        <v>215</v>
      </c>
      <c r="B184" s="880"/>
      <c r="C184" s="334"/>
      <c r="D184" s="228" t="s">
        <v>142</v>
      </c>
      <c r="E184" s="95">
        <f>'19'!F184</f>
        <v>11194</v>
      </c>
      <c r="F184" s="157">
        <v>11200</v>
      </c>
      <c r="G184" s="157">
        <f t="shared" ref="G184:G185" si="16">F184-E184</f>
        <v>6</v>
      </c>
      <c r="H184" s="99">
        <f>G184+'19'!H184</f>
        <v>-74</v>
      </c>
      <c r="I184" s="155"/>
      <c r="J184" s="178">
        <f>H184/DAY(B2)</f>
        <v>-3.7</v>
      </c>
    </row>
    <row r="185" spans="1:10" ht="24.75" customHeight="1">
      <c r="A185" s="879" t="s">
        <v>216</v>
      </c>
      <c r="B185" s="880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13</v>
      </c>
      <c r="H186" s="99">
        <f>G186+'19'!H186</f>
        <v>-246</v>
      </c>
      <c r="I186" s="157"/>
      <c r="J186" s="178">
        <f>H186/DAY(B2)</f>
        <v>-12.3</v>
      </c>
    </row>
    <row r="187" spans="1:10" ht="25.5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201</v>
      </c>
      <c r="H187" s="99">
        <f>G187+'19'!H187</f>
        <v>-2312</v>
      </c>
      <c r="I187" s="158"/>
      <c r="J187" s="179">
        <f>H187/DAY(B2)</f>
        <v>-115.6</v>
      </c>
    </row>
    <row r="188" spans="1:10" ht="25.5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228</v>
      </c>
      <c r="H188" s="99">
        <f>G188+'19'!H188</f>
        <v>-10531</v>
      </c>
      <c r="I188" s="158"/>
      <c r="J188" s="179">
        <f>H188/DAY(B2)</f>
        <v>-526.54999999999995</v>
      </c>
    </row>
    <row r="189" spans="1:10" ht="25.5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122</v>
      </c>
      <c r="H189" s="99">
        <f>G189+'19'!H189</f>
        <v>214</v>
      </c>
      <c r="I189" s="158"/>
      <c r="J189" s="179">
        <f>H189/DAY(B2)</f>
        <v>10.7</v>
      </c>
    </row>
    <row r="190" spans="1:10" ht="25.5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354</v>
      </c>
      <c r="B2" s="262">
        <v>44672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373701</v>
      </c>
      <c r="F7" s="95">
        <f>E7+27000</f>
        <v>400701</v>
      </c>
      <c r="G7" s="112">
        <f>F7-E7</f>
        <v>27000</v>
      </c>
      <c r="H7" s="99">
        <f>G7+'20'!H7</f>
        <v>569663</v>
      </c>
      <c r="I7" s="113">
        <f>'1'!I7</f>
        <v>12000</v>
      </c>
      <c r="J7" s="175">
        <f>H7/DAY(B2)</f>
        <v>27126.809523809523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470035</v>
      </c>
      <c r="F8" s="114">
        <f>E8+26500</f>
        <v>496535</v>
      </c>
      <c r="G8" s="115">
        <f>F8-E8</f>
        <v>26500</v>
      </c>
      <c r="H8" s="99">
        <f>G8+'20'!H8</f>
        <v>577412.27999999991</v>
      </c>
      <c r="I8" s="116"/>
      <c r="J8" s="175">
        <f>H8/DAY(B2)</f>
        <v>27495.822857142852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2273550</v>
      </c>
      <c r="F9" s="470">
        <f>E9+16000</f>
        <v>2289550</v>
      </c>
      <c r="G9" s="112">
        <f>F9-E9</f>
        <v>16000</v>
      </c>
      <c r="H9" s="99">
        <f>G9+'20'!H9</f>
        <v>398515</v>
      </c>
      <c r="I9" s="124">
        <f>I7-J7</f>
        <v>-15126.809523809523</v>
      </c>
      <c r="J9" s="175">
        <f>H9/DAY(B2)</f>
        <v>18976.904761904763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753226</v>
      </c>
      <c r="F10" s="353">
        <f>E10+8500</f>
        <v>761726</v>
      </c>
      <c r="G10" s="112">
        <f t="shared" ref="G10:G12" si="0">F10-E10</f>
        <v>8500</v>
      </c>
      <c r="H10" s="99">
        <f>G10+'20'!H10</f>
        <v>146190</v>
      </c>
      <c r="I10" s="282"/>
      <c r="J10" s="175">
        <f>H10/DAY(B2)</f>
        <v>6961.4285714285716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G13+'20'!H13</f>
        <v>542188.75</v>
      </c>
      <c r="I13" s="120">
        <f>G7-G13</f>
        <v>2500</v>
      </c>
      <c r="J13" s="175">
        <f>H13/DAY(B2)</f>
        <v>25818.511904761905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1993852.69</v>
      </c>
      <c r="G15" s="112" t="e">
        <f>(F15-E15)</f>
        <v>#VALUE!</v>
      </c>
      <c r="H15" s="99" t="e">
        <f>G15+'20'!H15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'20'!F18</f>
        <v>27</v>
      </c>
      <c r="F18" s="122">
        <v>23</v>
      </c>
      <c r="G18" s="119">
        <f>F18*10</f>
        <v>230</v>
      </c>
      <c r="H18" s="99">
        <f>G18+'20'!H18</f>
        <v>4690</v>
      </c>
      <c r="I18" s="113">
        <f>'1'!I18</f>
        <v>65</v>
      </c>
      <c r="J18" s="175">
        <f>H18/DAY(B2)</f>
        <v>223.33333333333334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'20'!F19</f>
        <v>157951</v>
      </c>
      <c r="F19" s="122">
        <v>157998</v>
      </c>
      <c r="G19" s="112">
        <f t="shared" ref="G19" si="1">F19-E19</f>
        <v>47</v>
      </c>
      <c r="H19" s="99">
        <f>G19+'20'!H19</f>
        <v>-456</v>
      </c>
      <c r="I19" s="335"/>
      <c r="J19" s="175">
        <f>H19/DAY(B2)</f>
        <v>-21.714285714285715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277</v>
      </c>
      <c r="H20" s="99">
        <f>G20+'20'!H20</f>
        <v>4234</v>
      </c>
      <c r="I20" s="336">
        <f>I18-J20</f>
        <v>-136.61904761904762</v>
      </c>
      <c r="J20" s="175">
        <f>H20/DAY(B2)</f>
        <v>201.61904761904762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G27+'20'!H27</f>
        <v>5196710.5200000005</v>
      </c>
      <c r="I27" s="138"/>
      <c r="J27" s="175">
        <f>H27/DAY(B2)</f>
        <v>247462.40571428573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G28+'20'!H28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151</v>
      </c>
      <c r="G30" s="137">
        <f>E30*F30</f>
        <v>7097</v>
      </c>
      <c r="H30" s="99">
        <f>G30+'20'!H30</f>
        <v>-69671</v>
      </c>
      <c r="I30" s="140"/>
      <c r="J30" s="175">
        <f>H30/DAY(B2)</f>
        <v>-3317.6666666666665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G31+'20'!H31</f>
        <v>375200</v>
      </c>
      <c r="I31" s="140"/>
      <c r="J31" s="175">
        <f>H31/DAY(B2)</f>
        <v>17866.666666666668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G32+'20'!H32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181347.61</v>
      </c>
      <c r="F35" s="145">
        <v>183563.05</v>
      </c>
      <c r="G35" s="112">
        <f t="shared" ref="G35:G46" si="3">F35-E35</f>
        <v>2215.4400000000023</v>
      </c>
      <c r="H35" s="99">
        <f>G35+'20'!H35</f>
        <v>-19321.950000000012</v>
      </c>
      <c r="I35" s="95"/>
      <c r="J35" s="175">
        <f>H35/DAY(B2)</f>
        <v>-920.09285714285772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120365.81</v>
      </c>
      <c r="F36" s="145">
        <v>121684.03</v>
      </c>
      <c r="G36" s="112">
        <f t="shared" si="3"/>
        <v>1318.2200000000012</v>
      </c>
      <c r="H36" s="99">
        <f>G36+'20'!H36</f>
        <v>-9894.9700000000012</v>
      </c>
      <c r="I36" s="95"/>
      <c r="J36" s="175">
        <f>H36/DAY(B2)</f>
        <v>-471.1890476190477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165526.17000000001</v>
      </c>
      <c r="F37" s="419">
        <v>167278.12</v>
      </c>
      <c r="G37" s="112">
        <f t="shared" si="3"/>
        <v>1751.9499999999825</v>
      </c>
      <c r="H37" s="99">
        <f>G37+'20'!H37</f>
        <v>-15846.880000000005</v>
      </c>
      <c r="I37" s="95"/>
      <c r="J37" s="175">
        <f>H37/DAY(B2)</f>
        <v>-754.61333333333357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219298.91</v>
      </c>
      <c r="F38" s="108">
        <v>221775.69</v>
      </c>
      <c r="G38" s="112">
        <f t="shared" si="3"/>
        <v>2476.7799999999988</v>
      </c>
      <c r="H38" s="99">
        <f>G38+'20'!H38</f>
        <v>-21676.309999999998</v>
      </c>
      <c r="I38" s="95"/>
      <c r="J38" s="175">
        <f>H38/DAY(B2)</f>
        <v>-1032.205238095238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309830.37</v>
      </c>
      <c r="F39" s="419">
        <v>313011.75</v>
      </c>
      <c r="G39" s="112">
        <f t="shared" si="3"/>
        <v>3181.3800000000047</v>
      </c>
      <c r="H39" s="99">
        <f>G39+'20'!H39</f>
        <v>-26976.25</v>
      </c>
      <c r="I39" s="95"/>
      <c r="J39" s="175">
        <f>H39/DAY(B2)</f>
        <v>-1284.5833333333333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58143.3</v>
      </c>
      <c r="F40" s="145">
        <v>58682.86</v>
      </c>
      <c r="G40" s="112">
        <f t="shared" si="3"/>
        <v>539.55999999999767</v>
      </c>
      <c r="H40" s="99">
        <f>G40+'20'!H40</f>
        <v>-6194.1399999999994</v>
      </c>
      <c r="I40" s="95"/>
      <c r="J40" s="175">
        <f>H40/DAY(B2)</f>
        <v>-294.95904761904757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63</v>
      </c>
      <c r="F41" s="145">
        <v>63</v>
      </c>
      <c r="G41" s="112">
        <f t="shared" si="3"/>
        <v>0</v>
      </c>
      <c r="H41" s="99">
        <f>G41+'20'!H41</f>
        <v>-27630.000000000004</v>
      </c>
      <c r="I41" s="95"/>
      <c r="J41" s="175">
        <f>H41/DAY(B2)</f>
        <v>-1315.7142857142858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371742.59</v>
      </c>
      <c r="F42" s="145">
        <v>376863.31</v>
      </c>
      <c r="G42" s="112">
        <f t="shared" si="3"/>
        <v>5120.7199999999721</v>
      </c>
      <c r="H42" s="99">
        <f>G42+'20'!H42</f>
        <v>-48937.69</v>
      </c>
      <c r="I42" s="95"/>
      <c r="J42" s="175">
        <f>H42/DAY(B2)</f>
        <v>-2330.3661904761907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322925.65000000002</v>
      </c>
      <c r="F43" s="145">
        <v>326374.27</v>
      </c>
      <c r="G43" s="112">
        <f t="shared" si="3"/>
        <v>3448.6199999999953</v>
      </c>
      <c r="H43" s="99">
        <f>G43+'20'!H43</f>
        <v>-31144.729999999981</v>
      </c>
      <c r="I43" s="95"/>
      <c r="J43" s="175">
        <f>H43/DAY(B2)</f>
        <v>-1483.0823809523802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20052.669999999955</v>
      </c>
      <c r="H47" s="99">
        <f>G47+'20'!H47</f>
        <v>-207622.91999999995</v>
      </c>
      <c r="I47" s="95"/>
      <c r="J47" s="175">
        <f>H47/DAY(B2)</f>
        <v>-9886.8057142857124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146974.85</v>
      </c>
      <c r="F49" s="145">
        <v>148801.03</v>
      </c>
      <c r="G49" s="112">
        <f t="shared" ref="G49:G58" si="4">F49-E49</f>
        <v>1826.179999999993</v>
      </c>
      <c r="H49" s="99">
        <f>G49+'20'!H49</f>
        <v>-16368.970000000001</v>
      </c>
      <c r="I49" s="95"/>
      <c r="J49" s="175">
        <f>H49/DAY(B2)</f>
        <v>-779.47476190476198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158829.42000000001</v>
      </c>
      <c r="F50" s="145">
        <v>160550.15</v>
      </c>
      <c r="G50" s="112">
        <f t="shared" si="4"/>
        <v>1720.7299999999814</v>
      </c>
      <c r="H50" s="99">
        <f>G50+'20'!H50</f>
        <v>-12056.850000000006</v>
      </c>
      <c r="I50" s="95"/>
      <c r="J50" s="175">
        <f>H50/DAY(B2)</f>
        <v>-574.13571428571458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76</v>
      </c>
      <c r="F51" s="145">
        <v>76</v>
      </c>
      <c r="G51" s="112">
        <f t="shared" si="4"/>
        <v>0</v>
      </c>
      <c r="H51" s="99">
        <f>G51+'20'!H51</f>
        <v>0.31999999999999318</v>
      </c>
      <c r="I51" s="95"/>
      <c r="J51" s="175">
        <f>H51/DAY(B2)</f>
        <v>1.5238095238094914E-2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9.76</v>
      </c>
      <c r="F52" s="145">
        <v>9.76</v>
      </c>
      <c r="G52" s="112">
        <f t="shared" si="4"/>
        <v>0</v>
      </c>
      <c r="H52" s="99">
        <f>G52+'20'!H52</f>
        <v>-0.24000000000000021</v>
      </c>
      <c r="I52" s="95"/>
      <c r="J52" s="175">
        <f>H52/DAY(B2)</f>
        <v>-1.1428571428571439E-2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45358.77</v>
      </c>
      <c r="F54" s="145">
        <v>45831.34</v>
      </c>
      <c r="G54" s="112">
        <f t="shared" si="4"/>
        <v>472.56999999999971</v>
      </c>
      <c r="H54" s="99">
        <f>G54+'20'!H54</f>
        <v>-4251.6600000000035</v>
      </c>
      <c r="I54" s="95"/>
      <c r="J54" s="175">
        <f>H54/DAY(B2)</f>
        <v>-202.46000000000018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133680.10999999999</v>
      </c>
      <c r="F55" s="145">
        <v>136237.81</v>
      </c>
      <c r="G55" s="112">
        <f t="shared" si="4"/>
        <v>2557.7000000000116</v>
      </c>
      <c r="H55" s="99">
        <f>G55+'20'!H55</f>
        <v>-8729.1900000000023</v>
      </c>
      <c r="I55" s="95"/>
      <c r="J55" s="175">
        <f>H55/DAY(B2)</f>
        <v>-415.67571428571438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107245.66</v>
      </c>
      <c r="F56" s="419">
        <v>107245.66</v>
      </c>
      <c r="G56" s="112">
        <f t="shared" si="4"/>
        <v>0</v>
      </c>
      <c r="H56" s="99">
        <f>G56+'20'!H56</f>
        <v>-0.33999999999650754</v>
      </c>
      <c r="I56" s="95"/>
      <c r="J56" s="175">
        <f>H56/DAY(B2)</f>
        <v>-1.6190476190309881E-2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23181.5</v>
      </c>
      <c r="F58" s="145">
        <v>23420.38</v>
      </c>
      <c r="G58" s="112">
        <f t="shared" si="4"/>
        <v>238.88000000000102</v>
      </c>
      <c r="H58" s="99">
        <f>G58+'20'!H58</f>
        <v>-2072.619999999999</v>
      </c>
      <c r="I58" s="95"/>
      <c r="J58" s="175">
        <f>H58/DAY(B2)</f>
        <v>-98.696190476190424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6816.0599999999868</v>
      </c>
      <c r="H59" s="99">
        <f>G59+'20'!H59</f>
        <v>-43479.55</v>
      </c>
      <c r="I59" s="95">
        <f>G7-G60</f>
        <v>131.27000000005864</v>
      </c>
      <c r="J59" s="175">
        <f>H59/DAY(B2)</f>
        <v>-2070.4547619047621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26868.729999999941</v>
      </c>
      <c r="H60" s="99">
        <f>G60+'20'!H60</f>
        <v>-251102.46999999994</v>
      </c>
      <c r="I60" s="95">
        <f>G13-G60</f>
        <v>-2368.7299999999414</v>
      </c>
      <c r="J60" s="175">
        <f>H60/DAY(B2)</f>
        <v>-11957.260476190473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'20'!F62</f>
        <v>282200</v>
      </c>
      <c r="F62" s="122">
        <v>282394</v>
      </c>
      <c r="G62" s="112">
        <f t="shared" ref="G62:G63" si="5">F62-E62</f>
        <v>194</v>
      </c>
      <c r="H62" s="99">
        <f>G62+'20'!H62</f>
        <v>-1615</v>
      </c>
      <c r="I62" s="118"/>
      <c r="J62" s="175">
        <f>H62/DAY(B2)</f>
        <v>-76.904761904761898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'20'!F63</f>
        <v>226097</v>
      </c>
      <c r="F63" s="150">
        <v>226280</v>
      </c>
      <c r="G63" s="112">
        <f t="shared" si="5"/>
        <v>183</v>
      </c>
      <c r="H63" s="99">
        <f>G63+'20'!H63</f>
        <v>-1199</v>
      </c>
      <c r="I63" s="118"/>
      <c r="J63" s="175">
        <f>H63/DAY(B2)</f>
        <v>-57.095238095238095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'20'!F64</f>
        <v>0</v>
      </c>
      <c r="F64" s="122"/>
      <c r="G64" s="112">
        <f>G62+G63</f>
        <v>377</v>
      </c>
      <c r="H64" s="99">
        <f>G64+'20'!H64</f>
        <v>-2814</v>
      </c>
      <c r="I64" s="118"/>
      <c r="J64" s="175">
        <f>H64/DAY(B2)</f>
        <v>-134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'20'!F65</f>
        <v>443399</v>
      </c>
      <c r="F65" s="122">
        <v>443523</v>
      </c>
      <c r="G65" s="112">
        <f t="shared" ref="G65:G70" si="6">F65-E65</f>
        <v>124</v>
      </c>
      <c r="H65" s="99">
        <f>G65+'20'!H65</f>
        <v>-1069</v>
      </c>
      <c r="I65" s="118"/>
      <c r="J65" s="175">
        <f>H65/DAY(B2)</f>
        <v>-50.904761904761905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109412</v>
      </c>
      <c r="F66" s="122">
        <v>109429</v>
      </c>
      <c r="G66" s="112">
        <f t="shared" si="6"/>
        <v>17</v>
      </c>
      <c r="H66" s="99">
        <f>G66+'20'!H66</f>
        <v>-152</v>
      </c>
      <c r="I66" s="118"/>
      <c r="J66" s="175">
        <f>H66/DAY(B2)</f>
        <v>-7.2380952380952381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110098</v>
      </c>
      <c r="F67" s="122">
        <v>110176</v>
      </c>
      <c r="G67" s="112">
        <f t="shared" si="6"/>
        <v>78</v>
      </c>
      <c r="H67" s="99">
        <f>G67+'20'!H67</f>
        <v>-724</v>
      </c>
      <c r="I67" s="118"/>
      <c r="J67" s="175">
        <f>H67/DAY(B2)</f>
        <v>-34.476190476190474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161238</v>
      </c>
      <c r="F68" s="122">
        <v>161333</v>
      </c>
      <c r="G68" s="112">
        <f t="shared" si="6"/>
        <v>95</v>
      </c>
      <c r="H68" s="99">
        <f>G68+'20'!H68</f>
        <v>-451</v>
      </c>
      <c r="I68" s="118"/>
      <c r="J68" s="175">
        <f>H68/DAY(B2)</f>
        <v>-21.476190476190474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11456</v>
      </c>
      <c r="F69" s="122">
        <v>11471</v>
      </c>
      <c r="G69" s="112">
        <f t="shared" si="6"/>
        <v>15</v>
      </c>
      <c r="H69" s="99">
        <f>G69+'20'!H69</f>
        <v>-127</v>
      </c>
      <c r="I69" s="118"/>
      <c r="J69" s="175">
        <f>H69/DAY(B2)</f>
        <v>-6.0476190476190474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8914</v>
      </c>
      <c r="F70" s="122">
        <v>8922</v>
      </c>
      <c r="G70" s="112">
        <f t="shared" si="6"/>
        <v>8</v>
      </c>
      <c r="H70" s="99">
        <f>G70+'20'!H70</f>
        <v>-79</v>
      </c>
      <c r="I70" s="118"/>
      <c r="J70" s="175">
        <f>H70/DAY(B2)</f>
        <v>-3.7619047619047619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337</v>
      </c>
      <c r="H71" s="99">
        <f>G71+'20'!H71</f>
        <v>-2602</v>
      </c>
      <c r="I71" s="154"/>
      <c r="J71" s="175">
        <f>H71/DAY(B2)</f>
        <v>-123.9047619047619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'20'!F74</f>
        <v>925605.12</v>
      </c>
      <c r="F74" s="123">
        <v>925916.48</v>
      </c>
      <c r="G74" s="112">
        <f t="shared" ref="G74:G78" si="7">F74-E74</f>
        <v>311.35999999998603</v>
      </c>
      <c r="H74" s="99">
        <f>G74+'20'!H74</f>
        <v>-2860.5200000000186</v>
      </c>
      <c r="I74" s="154"/>
      <c r="J74" s="175">
        <f>H74/DAY(B2)</f>
        <v>-136.21523809523899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'20'!F76</f>
        <v>178924.58</v>
      </c>
      <c r="F76" s="123">
        <v>179048.82</v>
      </c>
      <c r="G76" s="112">
        <f t="shared" si="7"/>
        <v>124.24000000001979</v>
      </c>
      <c r="H76" s="99">
        <f>G76+'20'!H76</f>
        <v>-1105.179999999993</v>
      </c>
      <c r="I76" s="154"/>
      <c r="J76" s="175">
        <f>H76/DAY(B2)</f>
        <v>-52.627619047618715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'20'!F77</f>
        <v>45161.5</v>
      </c>
      <c r="F77" s="123">
        <v>45203.9</v>
      </c>
      <c r="G77" s="112">
        <f t="shared" si="7"/>
        <v>42.400000000001455</v>
      </c>
      <c r="H77" s="99">
        <f>G77+'20'!H77</f>
        <v>-470.09999999999854</v>
      </c>
      <c r="I77" s="154"/>
      <c r="J77" s="175">
        <f>H77/DAY(B2)</f>
        <v>-22.385714285714215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0.6000000000003638</v>
      </c>
      <c r="I78" s="118"/>
      <c r="J78" s="175">
        <f>H78/DAY(B2)</f>
        <v>2.8571428571445893E-2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'20'!F79</f>
        <v>0</v>
      </c>
      <c r="F79" s="123"/>
      <c r="G79" s="112" t="e">
        <f>G15-SUM(G74:G78)</f>
        <v>#VALUE!</v>
      </c>
      <c r="H79" s="99" t="e">
        <f>G79+'20'!H79</f>
        <v>#VALUE!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41675.49</v>
      </c>
      <c r="F84" s="164">
        <v>41675.4</v>
      </c>
      <c r="G84" s="112">
        <f t="shared" si="8"/>
        <v>-8.999999999650754E-2</v>
      </c>
      <c r="H84" s="99">
        <f>G84+'20'!H84</f>
        <v>-116.59999999999854</v>
      </c>
      <c r="I84" s="575"/>
      <c r="J84" s="175">
        <f>H84/DAY(B2)</f>
        <v>-5.5523809523808829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3550.21</v>
      </c>
      <c r="F85" s="164">
        <v>3574.21</v>
      </c>
      <c r="G85" s="112">
        <f t="shared" si="8"/>
        <v>24</v>
      </c>
      <c r="H85" s="99">
        <f>G85+'20'!H85</f>
        <v>-202.78999999999996</v>
      </c>
      <c r="I85" s="575"/>
      <c r="J85" s="175">
        <f>H85/DAY(B2)</f>
        <v>-9.6566666666666645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43865.24</v>
      </c>
      <c r="F86" s="164">
        <v>43883.17</v>
      </c>
      <c r="G86" s="112">
        <f t="shared" si="8"/>
        <v>17.930000000000291</v>
      </c>
      <c r="H86" s="99">
        <f>G86+'20'!H86</f>
        <v>-55.830000000001746</v>
      </c>
      <c r="I86" s="575"/>
      <c r="J86" s="175">
        <f>H86/DAY(B2)</f>
        <v>-2.6585714285715119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35329.06</v>
      </c>
      <c r="F87" s="164">
        <v>35329.06</v>
      </c>
      <c r="G87" s="112">
        <f t="shared" si="8"/>
        <v>0</v>
      </c>
      <c r="H87" s="99">
        <f>G87+'20'!H87</f>
        <v>5.9999999997671694E-2</v>
      </c>
      <c r="I87" s="575">
        <f>G84+G85+G86+G87</f>
        <v>41.840000000003783</v>
      </c>
      <c r="J87" s="175">
        <f>H87/DAY(B2)</f>
        <v>2.8571428570319853E-3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24175</v>
      </c>
      <c r="F88" s="164">
        <v>24174.69</v>
      </c>
      <c r="G88" s="112">
        <f t="shared" si="8"/>
        <v>-0.31000000000130967</v>
      </c>
      <c r="H88" s="99">
        <f>G88+'20'!H88</f>
        <v>-13.430000000000291</v>
      </c>
      <c r="I88" s="575"/>
      <c r="J88" s="175">
        <f>H88/DAY(B2)</f>
        <v>-0.63952380952382337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26621.19</v>
      </c>
      <c r="F89" s="164">
        <v>26631.119999999999</v>
      </c>
      <c r="G89" s="112">
        <f t="shared" si="8"/>
        <v>9.930000000000291</v>
      </c>
      <c r="H89" s="99">
        <f>G89+'20'!H89</f>
        <v>-78.100000000002183</v>
      </c>
      <c r="I89" s="575">
        <f>G88+G89</f>
        <v>9.6199999999989814</v>
      </c>
      <c r="J89" s="175">
        <f>H89/DAY(B2)</f>
        <v>-3.7190476190477231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71765.490000000005</v>
      </c>
      <c r="F90" s="164">
        <v>71778.009999999995</v>
      </c>
      <c r="G90" s="112">
        <f t="shared" si="8"/>
        <v>12.519999999989523</v>
      </c>
      <c r="H90" s="99">
        <f>G90+'20'!H90</f>
        <v>-85.520000000004075</v>
      </c>
      <c r="I90" s="575">
        <f>G90</f>
        <v>12.519999999989523</v>
      </c>
      <c r="J90" s="175">
        <f>H90/DAY(B2)</f>
        <v>-4.0723809523811463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3942.69</v>
      </c>
      <c r="F91" s="122">
        <v>3954.12</v>
      </c>
      <c r="G91" s="112">
        <f t="shared" si="8"/>
        <v>11.429999999999836</v>
      </c>
      <c r="H91" s="99">
        <f>G91+'20'!H91</f>
        <v>-105.11999999999989</v>
      </c>
      <c r="I91" s="594"/>
      <c r="J91" s="175">
        <f>H91/DAY(B2)</f>
        <v>-5.0057142857142809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5934.87</v>
      </c>
      <c r="F92" s="122">
        <v>5934.87</v>
      </c>
      <c r="G92" s="112">
        <f t="shared" si="8"/>
        <v>0</v>
      </c>
      <c r="H92" s="99">
        <f>G92+'20'!H92</f>
        <v>-0.13000000000010914</v>
      </c>
      <c r="I92" s="600">
        <f>G91+G92</f>
        <v>11.429999999999836</v>
      </c>
      <c r="J92" s="175">
        <f>H92/DAY(B2)</f>
        <v>-6.1904761904813879E-3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7490.2399999999907</v>
      </c>
      <c r="H94" s="99">
        <f>G94+'20'!H94</f>
        <v>-66835.649999999994</v>
      </c>
      <c r="I94" s="118"/>
      <c r="J94" s="175">
        <f>H94/DAY(B2)</f>
        <v>-3182.6499999999996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0.27741629629629594</v>
      </c>
      <c r="H95" s="99">
        <f>G95+'20'!H95</f>
        <v>-2.4977892968402839</v>
      </c>
      <c r="I95" s="167"/>
      <c r="J95" s="175">
        <f>H95/DAY(B2)</f>
        <v>-0.11894234746858495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7678.4199999999837</v>
      </c>
      <c r="H96" s="99">
        <f>G96+'20'!H96</f>
        <v>-85297.220000000016</v>
      </c>
      <c r="I96" s="118"/>
      <c r="J96" s="175">
        <f>H96/DAY(B2)</f>
        <v>-4061.7723809523818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0.28438592592592532</v>
      </c>
      <c r="H97" s="99">
        <f>G97+'20'!H97</f>
        <v>-3.1900623733222231</v>
      </c>
      <c r="I97" s="167"/>
      <c r="J97" s="175">
        <f>H97/DAY(B2)</f>
        <v>-0.15190773206296301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3181.3800000000047</v>
      </c>
      <c r="H98" s="99">
        <f>G98+'20'!H98</f>
        <v>-26976.25</v>
      </c>
      <c r="I98" s="168"/>
      <c r="J98" s="175">
        <f>H98/DAY(B2)</f>
        <v>-1284.5833333333333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0.11782888888888907</v>
      </c>
      <c r="H99" s="99">
        <f>G99+'20'!H99</f>
        <v>-1.0065713280946154</v>
      </c>
      <c r="I99" s="168"/>
      <c r="J99" s="175">
        <f>H99/DAY(B2)</f>
        <v>-4.7931968004505492E-2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2476.7799999999988</v>
      </c>
      <c r="H100" s="99">
        <f>G100+'20'!H100</f>
        <v>-21676.549999999996</v>
      </c>
      <c r="I100" s="118"/>
      <c r="J100" s="175">
        <f>H100/DAY(B2)</f>
        <v>-1032.2166666666665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9.1732592592592546E-2</v>
      </c>
      <c r="H101" s="99">
        <f>G101+'20'!H101</f>
        <v>-0.80875408392921455</v>
      </c>
      <c r="I101" s="168"/>
      <c r="J101" s="175">
        <f>H101/DAY(B2)</f>
        <v>-3.8512099234724505E-2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3038.9499999999825</v>
      </c>
      <c r="H102" s="99">
        <f>G102+'20'!H102</f>
        <v>-21951.820000000007</v>
      </c>
      <c r="I102" s="168"/>
      <c r="J102" s="175">
        <f>H102/DAY(B2)</f>
        <v>-1045.3247619047622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0.11255370370370306</v>
      </c>
      <c r="H103" s="99">
        <f>G103+'20'!H103</f>
        <v>-0.82442681356204472</v>
      </c>
      <c r="I103" s="118"/>
      <c r="J103" s="175">
        <f>H103/DAY(B2)</f>
        <v>-3.9258419693430704E-2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1751.9499999999825</v>
      </c>
      <c r="H104" s="99">
        <f>G104+'20'!H104</f>
        <v>-15846.560000000005</v>
      </c>
      <c r="I104" s="118"/>
      <c r="J104" s="175">
        <f>H104/DAY(B2)</f>
        <v>-754.59809523809542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6.4887037037036396E-2</v>
      </c>
      <c r="H105" s="99">
        <f>G105+'20'!H105</f>
        <v>-0.59159917438067811</v>
      </c>
      <c r="I105" s="187"/>
      <c r="J105" s="188">
        <f>H105/DAY(B2)</f>
        <v>-2.8171389256222767E-2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'20'!F112</f>
        <v>63757.96</v>
      </c>
      <c r="F112" s="237">
        <v>63839.1</v>
      </c>
      <c r="G112" s="112">
        <f t="shared" ref="G112:G123" si="9">F112-E112</f>
        <v>81.139999999999418</v>
      </c>
      <c r="H112" s="99">
        <f>G112+'20'!H112</f>
        <v>63596.1</v>
      </c>
      <c r="I112" s="165"/>
      <c r="J112" s="328">
        <f>H112/DAY(B2)</f>
        <v>3028.3857142857141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'20'!F113</f>
        <v>84194.39</v>
      </c>
      <c r="F113" s="469">
        <v>84692.31</v>
      </c>
      <c r="G113" s="112">
        <f t="shared" si="9"/>
        <v>497.91999999999825</v>
      </c>
      <c r="H113" s="99">
        <f>G113+'20'!H113</f>
        <v>84210.31</v>
      </c>
      <c r="I113" s="165"/>
      <c r="J113" s="328">
        <f>H113/DAY(B2)</f>
        <v>4010.0147619047616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'20'!F114</f>
        <v>55845.11</v>
      </c>
      <c r="F114" s="237">
        <v>56105.16</v>
      </c>
      <c r="G114" s="112">
        <f t="shared" si="9"/>
        <v>260.05000000000291</v>
      </c>
      <c r="H114" s="99">
        <f>G114+'20'!H114</f>
        <v>55441.16</v>
      </c>
      <c r="I114" s="165"/>
      <c r="J114" s="328">
        <f>H114/DAY(B2)</f>
        <v>2640.0552380952381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'20'!F115</f>
        <v>10272.549999999999</v>
      </c>
      <c r="F115" s="237">
        <v>10287.36</v>
      </c>
      <c r="G115" s="112">
        <f t="shared" si="9"/>
        <v>14.81000000000131</v>
      </c>
      <c r="H115" s="99">
        <f>G115+'20'!H115</f>
        <v>9776.36</v>
      </c>
      <c r="I115" s="165"/>
      <c r="J115" s="328">
        <f>H115/DAY(B2)</f>
        <v>465.54095238095243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'20'!F116</f>
        <v>31330.27</v>
      </c>
      <c r="F116" s="237">
        <v>31691.87</v>
      </c>
      <c r="G116" s="112">
        <f t="shared" si="9"/>
        <v>361.59999999999854</v>
      </c>
      <c r="H116" s="99">
        <f>G116+'20'!H116</f>
        <v>-2974.130000000001</v>
      </c>
      <c r="I116" s="165"/>
      <c r="J116" s="328">
        <f>H116/DAY(B2)</f>
        <v>-141.62523809523813</v>
      </c>
      <c r="Q116" s="886" t="s">
        <v>311</v>
      </c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'20'!F117</f>
        <v>17395.89</v>
      </c>
      <c r="F117" s="237">
        <v>17596.240000000002</v>
      </c>
      <c r="G117" s="112">
        <f t="shared" si="9"/>
        <v>200.35000000000218</v>
      </c>
      <c r="H117" s="99">
        <f>G117+'20'!H117</f>
        <v>-1339.7599999999984</v>
      </c>
      <c r="I117" s="165"/>
      <c r="J117" s="328">
        <f>H117/DAY(B2)</f>
        <v>-63.798095238095165</v>
      </c>
      <c r="Q117" s="886" t="s">
        <v>312</v>
      </c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'20'!F118</f>
        <v>3656.23</v>
      </c>
      <c r="F118" s="237">
        <v>4199.13</v>
      </c>
      <c r="G118" s="112">
        <f t="shared" si="9"/>
        <v>542.90000000000009</v>
      </c>
      <c r="H118" s="99">
        <f>G118+'20'!H118</f>
        <v>-4863.8700000000008</v>
      </c>
      <c r="I118" s="165"/>
      <c r="J118" s="328">
        <f>H118/DAY(B2)</f>
        <v>-231.61285714285719</v>
      </c>
      <c r="Q118" s="886" t="s">
        <v>311</v>
      </c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'20'!F119</f>
        <v>1397.43</v>
      </c>
      <c r="F119" s="237">
        <v>1844.44</v>
      </c>
      <c r="G119" s="112">
        <f t="shared" si="9"/>
        <v>447.01</v>
      </c>
      <c r="H119" s="99">
        <f>G119+'20'!H119</f>
        <v>286359.44</v>
      </c>
      <c r="I119" s="165"/>
      <c r="J119" s="328">
        <f>H119/DAY(B2)</f>
        <v>13636.16380952381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'20'!F120</f>
        <v>2883.04</v>
      </c>
      <c r="F120" s="469">
        <v>3279.66</v>
      </c>
      <c r="G120" s="112">
        <f t="shared" si="9"/>
        <v>396.61999999999989</v>
      </c>
      <c r="H120" s="99">
        <f>G120+'20'!H120</f>
        <v>-3855.34</v>
      </c>
      <c r="I120" s="165"/>
      <c r="J120" s="328">
        <f>H120/DAY(B2)</f>
        <v>-183.58761904761906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'20'!F121</f>
        <v>5645.5</v>
      </c>
      <c r="F121" s="237">
        <v>6395.39</v>
      </c>
      <c r="G121" s="112">
        <f t="shared" si="9"/>
        <v>749.89000000000033</v>
      </c>
      <c r="H121" s="99">
        <f>G121+'20'!H121</f>
        <v>-5331.61</v>
      </c>
      <c r="I121" s="165"/>
      <c r="J121" s="328">
        <f>H121/DAY(B2)</f>
        <v>-253.88619047619045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'20'!F122</f>
        <v>1451.31</v>
      </c>
      <c r="F122" s="237">
        <v>1639.02</v>
      </c>
      <c r="G122" s="112">
        <f t="shared" si="9"/>
        <v>187.71000000000004</v>
      </c>
      <c r="H122" s="99">
        <f>G122+'20'!H122</f>
        <v>-1924.98</v>
      </c>
      <c r="I122" s="165"/>
      <c r="J122" s="328">
        <f>H122/DAY(B2)</f>
        <v>-91.665714285714287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'20'!F123</f>
        <v>174552.17</v>
      </c>
      <c r="F123" s="237">
        <v>174799.31</v>
      </c>
      <c r="G123" s="112">
        <f t="shared" si="9"/>
        <v>247.13999999998487</v>
      </c>
      <c r="H123" s="99">
        <f>G123+'20'!H123</f>
        <v>173832.31</v>
      </c>
      <c r="I123" s="165"/>
      <c r="J123" s="328">
        <f>H123/DAY(B2)</f>
        <v>8277.7290476190483</v>
      </c>
    </row>
    <row r="124" spans="1:18" ht="29.25" customHeight="1">
      <c r="A124" s="890"/>
      <c r="B124" s="891"/>
      <c r="C124" s="892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3987.1399999999876</v>
      </c>
      <c r="H125" s="156"/>
      <c r="I125" s="327">
        <f>G125-(G39+G53)</f>
        <v>805.75999999998294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'20'!F128</f>
        <v>77480.639999999999</v>
      </c>
      <c r="F128" s="165">
        <v>77930.05</v>
      </c>
      <c r="G128" s="112">
        <f t="shared" ref="G128:G134" si="10">F128-E128</f>
        <v>449.41000000000349</v>
      </c>
      <c r="H128" s="99">
        <f>G128+'20'!H128</f>
        <v>-3484.9499999999971</v>
      </c>
      <c r="I128" s="165"/>
      <c r="J128" s="328">
        <f>H128/DAY(B2)</f>
        <v>-165.94999999999987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48182.19</v>
      </c>
      <c r="F129" s="165">
        <v>48434.38</v>
      </c>
      <c r="G129" s="112">
        <f t="shared" si="10"/>
        <v>252.18999999999505</v>
      </c>
      <c r="H129" s="99">
        <f>G129+'20'!H129</f>
        <v>-2637.6200000000026</v>
      </c>
      <c r="I129" s="165"/>
      <c r="J129" s="328">
        <f>H129/DAY(B2)</f>
        <v>-125.60095238095251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89575.15</v>
      </c>
      <c r="F130" s="466">
        <v>90323.9</v>
      </c>
      <c r="G130" s="112">
        <f t="shared" si="10"/>
        <v>748.75</v>
      </c>
      <c r="H130" s="99">
        <f>G130+'20'!H130</f>
        <v>-6322.1000000000058</v>
      </c>
      <c r="I130" s="165"/>
      <c r="J130" s="328">
        <f>H130/DAY(B2)</f>
        <v>-301.05238095238121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'20'!F131</f>
        <v>28326.42</v>
      </c>
      <c r="F131" s="165">
        <v>28539.47</v>
      </c>
      <c r="G131" s="112">
        <f t="shared" si="10"/>
        <v>213.05000000000291</v>
      </c>
      <c r="H131" s="99">
        <f>G131+'20'!H131</f>
        <v>-1895.5299999999988</v>
      </c>
      <c r="I131" s="165"/>
      <c r="J131" s="328">
        <f>H131/DAY(B2)</f>
        <v>-90.263333333333279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'20'!F132</f>
        <v>84398.31</v>
      </c>
      <c r="F132" s="165">
        <v>84842.31</v>
      </c>
      <c r="G132" s="112">
        <f t="shared" si="10"/>
        <v>444</v>
      </c>
      <c r="H132" s="99">
        <f>G132+'20'!H132</f>
        <v>-4094.6900000000023</v>
      </c>
      <c r="I132" s="165"/>
      <c r="J132" s="328">
        <f>H132/DAY(B2)</f>
        <v>-194.9852380952382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'20'!F133</f>
        <v>163436.18</v>
      </c>
      <c r="F133" s="165">
        <v>164392.59</v>
      </c>
      <c r="G133" s="112">
        <f t="shared" si="10"/>
        <v>956.41000000000349</v>
      </c>
      <c r="H133" s="99">
        <f>G133+'20'!H133</f>
        <v>-8053.4100000000035</v>
      </c>
      <c r="I133" s="165"/>
      <c r="J133" s="328">
        <f>H133/DAY(B2)</f>
        <v>-383.49571428571443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'20'!F134</f>
        <v>25623.87</v>
      </c>
      <c r="F134" s="165">
        <v>25862.23</v>
      </c>
      <c r="G134" s="112">
        <f t="shared" si="10"/>
        <v>238.36000000000058</v>
      </c>
      <c r="H134" s="99">
        <f>G134+'20'!H134</f>
        <v>-2230.7700000000004</v>
      </c>
      <c r="I134" s="165"/>
      <c r="J134" s="328">
        <f>H134/DAY(B2)</f>
        <v>-106.22714285714288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3302.1700000000055</v>
      </c>
      <c r="H135" s="99">
        <f>G135+'10'!H135</f>
        <v>36352.400000000016</v>
      </c>
      <c r="I135" s="327">
        <f>G135-(G35+G49)</f>
        <v>-739.44999999998981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'20'!F138</f>
        <v>877233</v>
      </c>
      <c r="F138" s="147">
        <v>877372</v>
      </c>
      <c r="G138" s="112">
        <f t="shared" ref="G138:G152" si="11">F138-E138</f>
        <v>139</v>
      </c>
      <c r="H138" s="99">
        <f>G138+'20'!H138</f>
        <v>-1412</v>
      </c>
      <c r="I138" s="118"/>
      <c r="J138" s="328">
        <f>H138/DAY(B2)</f>
        <v>-67.238095238095241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'20'!F139</f>
        <v>893322</v>
      </c>
      <c r="F139" s="148">
        <v>893513</v>
      </c>
      <c r="G139" s="112">
        <f t="shared" si="11"/>
        <v>191</v>
      </c>
      <c r="H139" s="99">
        <f>G139+'20'!H139</f>
        <v>-1353</v>
      </c>
      <c r="I139" s="118"/>
      <c r="J139" s="328">
        <f>H139/DAY(B2)</f>
        <v>-64.428571428571431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'20'!F140</f>
        <v>89025</v>
      </c>
      <c r="F140" s="149">
        <v>89028.9</v>
      </c>
      <c r="G140" s="112">
        <f t="shared" si="11"/>
        <v>3.8999999999941792</v>
      </c>
      <c r="H140" s="99">
        <f>G140+'20'!H140</f>
        <v>88893.9</v>
      </c>
      <c r="I140" s="118"/>
      <c r="J140" s="328">
        <f>H140/DAY(B2)</f>
        <v>4233.0428571428565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'20'!F141</f>
        <v>69718.19</v>
      </c>
      <c r="F141" s="149">
        <v>69920.38</v>
      </c>
      <c r="G141" s="112">
        <f t="shared" si="11"/>
        <v>202.19000000000233</v>
      </c>
      <c r="H141" s="99">
        <f>G141+'20'!H141</f>
        <v>-1853.6199999999953</v>
      </c>
      <c r="I141" s="118"/>
      <c r="J141" s="328">
        <f>H141/DAY(B2)</f>
        <v>-88.267619047618822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'20'!F142</f>
        <v>26806.93</v>
      </c>
      <c r="F142" s="148">
        <v>26864.31</v>
      </c>
      <c r="G142" s="112">
        <f t="shared" si="11"/>
        <v>57.380000000001019</v>
      </c>
      <c r="H142" s="99">
        <f>G142+'20'!H142</f>
        <v>-601.68999999999869</v>
      </c>
      <c r="I142" s="140"/>
      <c r="J142" s="328">
        <f>H142/DAY(B2)</f>
        <v>-28.651904761904699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'20'!F143</f>
        <v>6118.28</v>
      </c>
      <c r="F143" s="149">
        <v>6151.29</v>
      </c>
      <c r="G143" s="112">
        <f t="shared" si="11"/>
        <v>33.010000000000218</v>
      </c>
      <c r="H143" s="99">
        <f>G143+'20'!H143</f>
        <v>-265.71000000000004</v>
      </c>
      <c r="I143" s="140"/>
      <c r="J143" s="328">
        <f>H143/DAY(B2)</f>
        <v>-12.652857142857144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'20'!F144</f>
        <v>894868</v>
      </c>
      <c r="F144" s="147">
        <v>895100</v>
      </c>
      <c r="G144" s="112">
        <f t="shared" si="11"/>
        <v>232</v>
      </c>
      <c r="H144" s="99">
        <f>G144+'20'!H144</f>
        <v>-2133</v>
      </c>
      <c r="I144" s="140"/>
      <c r="J144" s="328">
        <f>H144/DAY(B2)</f>
        <v>-101.57142857142857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'20'!F145</f>
        <v>5603.8</v>
      </c>
      <c r="F145" s="147">
        <v>5606.6</v>
      </c>
      <c r="G145" s="112">
        <f t="shared" si="11"/>
        <v>2.8000000000001819</v>
      </c>
      <c r="H145" s="99">
        <f>G145+'20'!H145</f>
        <v>-21.399999999999636</v>
      </c>
      <c r="I145" s="140"/>
      <c r="J145" s="328">
        <f>H145/DAY(B2)</f>
        <v>-1.0190476190476017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'20'!F146</f>
        <v>774241</v>
      </c>
      <c r="F146" s="148">
        <v>774667</v>
      </c>
      <c r="G146" s="112">
        <f t="shared" si="11"/>
        <v>426</v>
      </c>
      <c r="H146" s="99">
        <f>G146+'20'!H146</f>
        <v>-1787</v>
      </c>
      <c r="I146" s="140"/>
      <c r="J146" s="328">
        <f>H146/DAY(B2)</f>
        <v>-85.095238095238102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'20'!F147</f>
        <v>658902.28</v>
      </c>
      <c r="F147" s="148">
        <v>659367.96</v>
      </c>
      <c r="G147" s="112">
        <f t="shared" si="11"/>
        <v>465.67999999993481</v>
      </c>
      <c r="H147" s="99">
        <f>G147+'20'!H147</f>
        <v>-3860.0400000000373</v>
      </c>
      <c r="I147" s="140"/>
      <c r="J147" s="328">
        <f>H147/DAY(B2)</f>
        <v>-183.81142857143035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'20'!F148</f>
        <v>716062.48</v>
      </c>
      <c r="F148" s="150">
        <v>716493.44</v>
      </c>
      <c r="G148" s="112">
        <f t="shared" si="11"/>
        <v>430.95999999996275</v>
      </c>
      <c r="H148" s="99">
        <f>G148+'20'!H148</f>
        <v>-3422.5600000000559</v>
      </c>
      <c r="I148" s="124"/>
      <c r="J148" s="328">
        <f>H148/DAY(B2)</f>
        <v>-162.97904761905028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'20'!F149</f>
        <v>76575.539999999994</v>
      </c>
      <c r="F149" s="146">
        <v>77328.100000000006</v>
      </c>
      <c r="G149" s="112">
        <f t="shared" si="11"/>
        <v>752.56000000001222</v>
      </c>
      <c r="H149" s="99">
        <f>G149+'20'!H149</f>
        <v>-6059.8999999999942</v>
      </c>
      <c r="I149" s="119"/>
      <c r="J149" s="328">
        <f>H149/DAY(B2)</f>
        <v>-288.56666666666638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'20'!F150</f>
        <v>28459.07</v>
      </c>
      <c r="F150" s="233">
        <v>28671.35</v>
      </c>
      <c r="G150" s="112">
        <f t="shared" si="11"/>
        <v>212.27999999999884</v>
      </c>
      <c r="H150" s="99">
        <f>G150+'20'!H150</f>
        <v>-1915.6500000000015</v>
      </c>
      <c r="I150" s="119"/>
      <c r="J150" s="328">
        <f>H150/DAY(B2)</f>
        <v>-91.221428571428646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'20'!F151</f>
        <v>106266</v>
      </c>
      <c r="F151" s="152">
        <v>106565</v>
      </c>
      <c r="G151" s="112">
        <f t="shared" si="11"/>
        <v>299</v>
      </c>
      <c r="H151" s="99">
        <f>G151+'20'!H151</f>
        <v>-2663</v>
      </c>
      <c r="I151" s="119"/>
      <c r="J151" s="328">
        <f>H151/DAY(B2)</f>
        <v>-126.80952380952381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'20'!F152</f>
        <v>10333.799999999999</v>
      </c>
      <c r="F152" s="233">
        <v>10397.450000000001</v>
      </c>
      <c r="G152" s="112">
        <f t="shared" si="11"/>
        <v>63.650000000001455</v>
      </c>
      <c r="H152" s="99">
        <f>G152+'20'!H152</f>
        <v>-758.54999999999927</v>
      </c>
      <c r="I152" s="119"/>
      <c r="J152" s="328">
        <f>H152/DAY(B2)</f>
        <v>-36.121428571428538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3511.409999999908</v>
      </c>
      <c r="H153" s="363"/>
      <c r="I153" s="119">
        <f>G153-(G38+G52)</f>
        <v>1034.6299999999092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'20'!F155</f>
        <v>86024.47</v>
      </c>
      <c r="F155" s="374">
        <v>86712.02</v>
      </c>
      <c r="G155" s="112">
        <f t="shared" ref="G155:G158" si="12">F155-E155</f>
        <v>687.55000000000291</v>
      </c>
      <c r="H155" s="99">
        <f>G155+'20'!H155</f>
        <v>-6019.9799999999959</v>
      </c>
      <c r="I155" s="364"/>
      <c r="J155" s="328">
        <f>H155/DAY(B2)</f>
        <v>-286.6657142857141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'20'!F156</f>
        <v>7142.19</v>
      </c>
      <c r="F156" s="155">
        <v>7199.26</v>
      </c>
      <c r="G156" s="112">
        <f t="shared" si="12"/>
        <v>57.070000000000618</v>
      </c>
      <c r="H156" s="99">
        <f>G156+'20'!H156</f>
        <v>-491.73999999999978</v>
      </c>
      <c r="I156" s="165"/>
      <c r="J156" s="328">
        <f>H156/DAY(B2)</f>
        <v>-23.416190476190465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'20'!F157</f>
        <v>12383.8</v>
      </c>
      <c r="F157" s="155">
        <v>12480.16</v>
      </c>
      <c r="G157" s="112">
        <f t="shared" si="12"/>
        <v>96.360000000000582</v>
      </c>
      <c r="H157" s="99">
        <f>G157+'20'!H157</f>
        <v>207.15999999999985</v>
      </c>
      <c r="I157" s="165"/>
      <c r="J157" s="328">
        <f>H157/DAY(B2)</f>
        <v>9.8647619047618971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'20'!F158</f>
        <v>97.86</v>
      </c>
      <c r="F158" s="155">
        <v>98</v>
      </c>
      <c r="G158" s="112">
        <f t="shared" si="12"/>
        <v>0.14000000000000057</v>
      </c>
      <c r="H158" s="99">
        <f>G158+'20'!H158</f>
        <v>0.53000000000000114</v>
      </c>
      <c r="I158" s="165"/>
      <c r="J158" s="328">
        <f>H158/DAY(B2)</f>
        <v>2.5238095238095292E-2</v>
      </c>
    </row>
    <row r="159" spans="1:10" ht="25.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474546.84</v>
      </c>
      <c r="F161" s="235">
        <v>474570</v>
      </c>
      <c r="G161" s="238">
        <f t="shared" ref="G161:G165" si="13">F161-E161</f>
        <v>23.159999999974389</v>
      </c>
      <c r="H161" s="99">
        <f>G161+'20'!H161</f>
        <v>-213</v>
      </c>
      <c r="I161" s="236"/>
      <c r="J161" s="239">
        <f>H161/DAY(B2)</f>
        <v>-10.142857142857142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91186.9</v>
      </c>
      <c r="F162" s="235">
        <v>91228.4</v>
      </c>
      <c r="G162" s="238">
        <f t="shared" si="13"/>
        <v>41.5</v>
      </c>
      <c r="H162" s="99">
        <f>G162+'20'!H162</f>
        <v>-318.60000000000582</v>
      </c>
      <c r="I162" s="236"/>
      <c r="J162" s="239">
        <f>H162/DAY(B2)</f>
        <v>-15.171428571428848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90416.1</v>
      </c>
      <c r="F163" s="503">
        <v>90578.7</v>
      </c>
      <c r="G163" s="238">
        <f t="shared" si="13"/>
        <v>162.59999999999127</v>
      </c>
      <c r="H163" s="99">
        <f>G163+'20'!H163</f>
        <v>-1457.3000000000029</v>
      </c>
      <c r="I163" s="236"/>
      <c r="J163" s="239">
        <f>H163/DAY(B2)</f>
        <v>-69.395238095238227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5068.5</v>
      </c>
      <c r="F164" s="503">
        <v>5078.6000000000004</v>
      </c>
      <c r="G164" s="238">
        <f t="shared" si="13"/>
        <v>10.100000000000364</v>
      </c>
      <c r="H164" s="99">
        <f>G164+'20'!H164</f>
        <v>-103.39999999999964</v>
      </c>
      <c r="I164" s="236"/>
      <c r="J164" s="239">
        <f>H164/DAY(B2)</f>
        <v>-4.9238095238095063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30528.400000000001</v>
      </c>
      <c r="F165" s="235">
        <v>30539.68</v>
      </c>
      <c r="G165" s="238">
        <f t="shared" si="13"/>
        <v>11.279999999998836</v>
      </c>
      <c r="H165" s="99">
        <f>G165+'20'!H165</f>
        <v>-94.319999999999709</v>
      </c>
      <c r="I165" s="236"/>
      <c r="J165" s="239">
        <f>H165/DAY(B2)</f>
        <v>-4.4914285714285578</v>
      </c>
    </row>
    <row r="166" spans="1:10" ht="26.25">
      <c r="A166" s="873"/>
      <c r="B166" s="873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'20'!F173</f>
        <v>8351</v>
      </c>
      <c r="F173" s="155">
        <v>8351</v>
      </c>
      <c r="G173" s="155">
        <f>F173-E173</f>
        <v>0</v>
      </c>
      <c r="H173" s="99">
        <f>G173+'20'!H173</f>
        <v>90</v>
      </c>
      <c r="I173" s="155"/>
      <c r="J173" s="178">
        <f>H173/DAY(B2)</f>
        <v>4.2857142857142856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'20'!F174</f>
        <v>39766</v>
      </c>
      <c r="F174" s="157">
        <v>39782</v>
      </c>
      <c r="G174" s="155">
        <f t="shared" ref="G174:G175" si="14">F174-E174</f>
        <v>16</v>
      </c>
      <c r="H174" s="99">
        <f>G174+'20'!H174</f>
        <v>-146</v>
      </c>
      <c r="I174" s="155"/>
      <c r="J174" s="178">
        <f>H174/DAY(B2)</f>
        <v>-6.9523809523809526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'20'!F175</f>
        <v>22769</v>
      </c>
      <c r="F175" s="155">
        <v>22782</v>
      </c>
      <c r="G175" s="155">
        <f t="shared" si="14"/>
        <v>13</v>
      </c>
      <c r="H175" s="99">
        <f>G175+'20'!H175</f>
        <v>-107</v>
      </c>
      <c r="I175" s="155"/>
      <c r="J175" s="178">
        <f>H175/DAY(B2)</f>
        <v>-5.0952380952380949</v>
      </c>
    </row>
    <row r="176" spans="1:10" ht="25.5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29</v>
      </c>
      <c r="H176" s="99">
        <f>G176+'20'!H176</f>
        <v>-163</v>
      </c>
      <c r="I176" s="155"/>
      <c r="J176" s="178">
        <f>H176/DAY(B2)</f>
        <v>-7.7619047619047619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'20'!F178</f>
        <v>87576</v>
      </c>
      <c r="F178" s="155">
        <v>87683</v>
      </c>
      <c r="G178" s="155">
        <f>F178-E178</f>
        <v>107</v>
      </c>
      <c r="H178" s="99">
        <f>G178+'20'!H178</f>
        <v>-920</v>
      </c>
      <c r="I178" s="155"/>
      <c r="J178" s="178">
        <f>H178/DAY(B2)</f>
        <v>-43.80952380952381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'20'!F179</f>
        <v>35710</v>
      </c>
      <c r="F179" s="155">
        <v>35727</v>
      </c>
      <c r="G179" s="155">
        <f t="shared" ref="G179:G180" si="15">F179-E179</f>
        <v>17</v>
      </c>
      <c r="H179" s="99">
        <f>G179+'20'!H179</f>
        <v>-46</v>
      </c>
      <c r="I179" s="155"/>
      <c r="J179" s="178">
        <f>H179/DAY(B2)</f>
        <v>-2.1904761904761907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'20'!F180</f>
        <v>6312</v>
      </c>
      <c r="F180" s="155">
        <v>6315</v>
      </c>
      <c r="G180" s="155">
        <f t="shared" si="15"/>
        <v>3</v>
      </c>
      <c r="H180" s="99">
        <f>G180+'20'!H180</f>
        <v>-74</v>
      </c>
      <c r="I180" s="155"/>
      <c r="J180" s="178">
        <f>H180/DAY(B2)</f>
        <v>-3.5238095238095237</v>
      </c>
    </row>
    <row r="181" spans="1:10" ht="25.5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127</v>
      </c>
      <c r="H181" s="99">
        <f>G181+'20'!H181</f>
        <v>-1040</v>
      </c>
      <c r="I181" s="155"/>
      <c r="J181" s="178">
        <f>H181/DAY(B2)</f>
        <v>-49.523809523809526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'20'!F183</f>
        <v>16450</v>
      </c>
      <c r="F183" s="157">
        <v>16468</v>
      </c>
      <c r="G183" s="157">
        <f>F183-E183</f>
        <v>18</v>
      </c>
      <c r="H183" s="99">
        <f>G183+'20'!H183</f>
        <v>-154</v>
      </c>
      <c r="I183" s="155"/>
      <c r="J183" s="178">
        <f>H183/DAY(B2)</f>
        <v>-7.333333333333333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'20'!F184</f>
        <v>11200</v>
      </c>
      <c r="F184" s="157">
        <v>11209</v>
      </c>
      <c r="G184" s="157">
        <f t="shared" ref="G184:G185" si="16">F184-E184</f>
        <v>9</v>
      </c>
      <c r="H184" s="99">
        <f>G184+'20'!H184</f>
        <v>-65</v>
      </c>
      <c r="I184" s="155"/>
      <c r="J184" s="178">
        <f>H184/DAY(B2)</f>
        <v>-3.0952380952380953</v>
      </c>
    </row>
    <row r="185" spans="1:10" ht="32.25" customHeight="1">
      <c r="A185" s="879" t="s">
        <v>216</v>
      </c>
      <c r="B185" s="880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27</v>
      </c>
      <c r="H186" s="99">
        <f>G186+'20'!H186</f>
        <v>-219</v>
      </c>
      <c r="I186" s="157"/>
      <c r="J186" s="178">
        <f>H186/DAY(B2)</f>
        <v>-10.428571428571429</v>
      </c>
    </row>
    <row r="187" spans="1:10" ht="25.5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241</v>
      </c>
      <c r="H187" s="99">
        <f>G187+'20'!H187</f>
        <v>-2071</v>
      </c>
      <c r="I187" s="158"/>
      <c r="J187" s="179">
        <f>H187/DAY(B2)</f>
        <v>-98.61904761904762</v>
      </c>
    </row>
    <row r="188" spans="1:10" ht="25.5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242</v>
      </c>
      <c r="H188" s="99">
        <f>G188+'20'!H188</f>
        <v>-10289</v>
      </c>
      <c r="I188" s="158"/>
      <c r="J188" s="179">
        <f>H188/DAY(B2)</f>
        <v>-489.95238095238096</v>
      </c>
    </row>
    <row r="189" spans="1:10" ht="21" customHeight="1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127</v>
      </c>
      <c r="H189" s="99">
        <f>G189+'20'!H189</f>
        <v>341</v>
      </c>
      <c r="I189" s="158"/>
      <c r="J189" s="179">
        <f>H189/DAY(B2)</f>
        <v>16.238095238095237</v>
      </c>
    </row>
    <row r="190" spans="1:10" ht="25.5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25" zoomScale="50" zoomScaleNormal="71" zoomScaleSheetLayoutView="50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354</v>
      </c>
      <c r="B2" s="262">
        <v>44673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'21'!F7</f>
        <v>400701</v>
      </c>
      <c r="F7" s="95">
        <f>E7+27000</f>
        <v>427701</v>
      </c>
      <c r="G7" s="112">
        <f>F7-E7</f>
        <v>27000</v>
      </c>
      <c r="H7" s="99">
        <f>G7+'21'!H7</f>
        <v>596663</v>
      </c>
      <c r="I7" s="113">
        <f>'1'!I7</f>
        <v>12000</v>
      </c>
      <c r="J7" s="175">
        <f>H7/DAY(B2)</f>
        <v>27121.045454545456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496535</v>
      </c>
      <c r="F8" s="114">
        <f>E8+26500</f>
        <v>523035</v>
      </c>
      <c r="G8" s="115">
        <f>F8-E8</f>
        <v>26500</v>
      </c>
      <c r="H8" s="99">
        <f>G8+'21'!H8</f>
        <v>603912.27999999991</v>
      </c>
      <c r="I8" s="116"/>
      <c r="J8" s="175">
        <f>H8/DAY(B2)</f>
        <v>27450.558181818178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2289550</v>
      </c>
      <c r="F9" s="470">
        <f>E9+16000</f>
        <v>2305550</v>
      </c>
      <c r="G9" s="112">
        <f>F9-E9</f>
        <v>16000</v>
      </c>
      <c r="H9" s="99">
        <f>G9+'21'!H9</f>
        <v>414515</v>
      </c>
      <c r="I9" s="124">
        <f>I7-J7</f>
        <v>-15121.045454545456</v>
      </c>
      <c r="J9" s="175">
        <f>H9/DAY(B2)</f>
        <v>18841.590909090908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761726</v>
      </c>
      <c r="F10" s="353">
        <f>E10+8500</f>
        <v>770226</v>
      </c>
      <c r="G10" s="112">
        <f t="shared" ref="G10:G12" si="0">F10-E10</f>
        <v>8500</v>
      </c>
      <c r="H10" s="99">
        <f>G10+'21'!H10</f>
        <v>154690</v>
      </c>
      <c r="I10" s="282"/>
      <c r="J10" s="175">
        <f>H10/DAY(B2)</f>
        <v>7031.363636363636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G13+'21'!H13</f>
        <v>566688.75</v>
      </c>
      <c r="I13" s="120">
        <f>G7-G13</f>
        <v>2500</v>
      </c>
      <c r="J13" s="175">
        <f>H13/DAY(B2)</f>
        <v>25758.579545454544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1994931.58</v>
      </c>
      <c r="G15" s="112" t="e">
        <f>(F15-E15)</f>
        <v>#VALUE!</v>
      </c>
      <c r="H15" s="99" t="e">
        <f>G15+'21'!H15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'21'!F18</f>
        <v>23</v>
      </c>
      <c r="F18" s="122">
        <v>24</v>
      </c>
      <c r="G18" s="119">
        <f>F18*10</f>
        <v>240</v>
      </c>
      <c r="H18" s="99">
        <f>G18+'21'!H18</f>
        <v>4930</v>
      </c>
      <c r="I18" s="113">
        <f>'1'!I18</f>
        <v>65</v>
      </c>
      <c r="J18" s="175">
        <f>H18/DAY(B2)</f>
        <v>224.09090909090909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'21'!F19</f>
        <v>157998</v>
      </c>
      <c r="F19" s="122">
        <v>158054</v>
      </c>
      <c r="G19" s="112">
        <f t="shared" ref="G19" si="1">F19-E19</f>
        <v>56</v>
      </c>
      <c r="H19" s="99">
        <f>G19+'21'!H19</f>
        <v>-400</v>
      </c>
      <c r="I19" s="335"/>
      <c r="J19" s="175">
        <f>H19/DAY(B2)</f>
        <v>-18.181818181818183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296</v>
      </c>
      <c r="H20" s="99">
        <f>G20+'21'!H20</f>
        <v>4530</v>
      </c>
      <c r="I20" s="336">
        <f>I18-J20</f>
        <v>-140.90909090909091</v>
      </c>
      <c r="J20" s="175">
        <f>H20/DAY(B2)</f>
        <v>205.90909090909091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G27+'21'!H27</f>
        <v>5435210.5200000005</v>
      </c>
      <c r="I27" s="138"/>
      <c r="J27" s="175">
        <f>H27/DAY(B2)</f>
        <v>247055.02363636365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G28+'21'!H28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G30+'21'!H30</f>
        <v>-61215</v>
      </c>
      <c r="I30" s="140"/>
      <c r="J30" s="175">
        <f>H30/DAY(B2)</f>
        <v>-2782.5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G31+'21'!H31</f>
        <v>394400</v>
      </c>
      <c r="I31" s="140"/>
      <c r="J31" s="175">
        <f>H31/DAY(B2)</f>
        <v>17927.272727272728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G32+'21'!H32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183563.05</v>
      </c>
      <c r="F35" s="419">
        <v>185709.25</v>
      </c>
      <c r="G35" s="112">
        <f t="shared" ref="G35:G46" si="3">F35-E35</f>
        <v>2146.2000000000116</v>
      </c>
      <c r="H35" s="99">
        <f>G35+'21'!H35</f>
        <v>-17175.75</v>
      </c>
      <c r="I35" s="95"/>
      <c r="J35" s="175">
        <f>H35/DAY(B2)</f>
        <v>-780.71590909090912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121684.03</v>
      </c>
      <c r="F36" s="145">
        <v>122692.98</v>
      </c>
      <c r="G36" s="112">
        <f t="shared" si="3"/>
        <v>1008.9499999999971</v>
      </c>
      <c r="H36" s="99">
        <f>G36+'21'!H36</f>
        <v>-8886.0200000000041</v>
      </c>
      <c r="I36" s="95"/>
      <c r="J36" s="175">
        <f>H36/DAY(B2)</f>
        <v>-403.9100000000002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167278.12</v>
      </c>
      <c r="F37" s="419">
        <v>169051.45</v>
      </c>
      <c r="G37" s="112">
        <f t="shared" si="3"/>
        <v>1773.3300000000163</v>
      </c>
      <c r="H37" s="99">
        <f>G37+'21'!H37</f>
        <v>-14073.549999999988</v>
      </c>
      <c r="I37" s="95"/>
      <c r="J37" s="175">
        <f>H37/DAY(B2)</f>
        <v>-639.70681818181765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221775.69</v>
      </c>
      <c r="F38" s="108">
        <v>224099.29</v>
      </c>
      <c r="G38" s="112">
        <f t="shared" si="3"/>
        <v>2323.6000000000058</v>
      </c>
      <c r="H38" s="99">
        <f>G38+'21'!H38</f>
        <v>-19352.709999999992</v>
      </c>
      <c r="I38" s="95"/>
      <c r="J38" s="175">
        <f>H38/DAY(B2)</f>
        <v>-879.66863636363598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313011.75</v>
      </c>
      <c r="F39" s="419">
        <v>316166.93</v>
      </c>
      <c r="G39" s="112">
        <f t="shared" si="3"/>
        <v>3155.179999999993</v>
      </c>
      <c r="H39" s="99">
        <f>G39+'21'!H39</f>
        <v>-23821.070000000007</v>
      </c>
      <c r="I39" s="95"/>
      <c r="J39" s="175">
        <f>H39/DAY(B2)</f>
        <v>-1082.7759090909094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58682.86</v>
      </c>
      <c r="F40" s="145">
        <v>59306.23</v>
      </c>
      <c r="G40" s="112">
        <f t="shared" si="3"/>
        <v>623.37000000000262</v>
      </c>
      <c r="H40" s="99">
        <f>G40+'21'!H40</f>
        <v>-5570.7699999999968</v>
      </c>
      <c r="I40" s="95"/>
      <c r="J40" s="175">
        <f>H40/DAY(B2)</f>
        <v>-253.21681818181804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63</v>
      </c>
      <c r="F41" s="145">
        <v>63</v>
      </c>
      <c r="G41" s="112">
        <f t="shared" si="3"/>
        <v>0</v>
      </c>
      <c r="H41" s="99">
        <f>G41+'21'!H41</f>
        <v>-27630.000000000004</v>
      </c>
      <c r="I41" s="95"/>
      <c r="J41" s="175">
        <f>H41/DAY(B2)</f>
        <v>-1255.909090909091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376863.31</v>
      </c>
      <c r="F42" s="145">
        <v>382700.35</v>
      </c>
      <c r="G42" s="112">
        <f t="shared" si="3"/>
        <v>5837.039999999979</v>
      </c>
      <c r="H42" s="99">
        <f>G42+'21'!H42</f>
        <v>-43100.650000000023</v>
      </c>
      <c r="I42" s="95"/>
      <c r="J42" s="175">
        <f>H42/DAY(B2)</f>
        <v>-1959.1204545454557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326374.27</v>
      </c>
      <c r="F43" s="145">
        <v>329845.89</v>
      </c>
      <c r="G43" s="112">
        <f t="shared" si="3"/>
        <v>3471.6199999999953</v>
      </c>
      <c r="H43" s="99">
        <f>G43+'21'!H43</f>
        <v>-27673.109999999986</v>
      </c>
      <c r="I43" s="95"/>
      <c r="J43" s="175">
        <f>H43/DAY(B2)</f>
        <v>-1257.8686363636357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20339.29</v>
      </c>
      <c r="H47" s="99">
        <f>G47+'21'!H47</f>
        <v>-187283.62999999995</v>
      </c>
      <c r="I47" s="95"/>
      <c r="J47" s="175">
        <f>H47/DAY(B2)</f>
        <v>-8512.8922727272711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148801.03</v>
      </c>
      <c r="F49" s="145">
        <v>150579.29</v>
      </c>
      <c r="G49" s="112">
        <f t="shared" ref="G49:G58" si="4">F49-E49</f>
        <v>1778.2600000000093</v>
      </c>
      <c r="H49" s="99">
        <f>G49+'21'!H49</f>
        <v>-14590.709999999992</v>
      </c>
      <c r="I49" s="95"/>
      <c r="J49" s="175">
        <f>H49/DAY(B2)</f>
        <v>-663.21409090909049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160550.15</v>
      </c>
      <c r="F50" s="145">
        <v>161747.26999999999</v>
      </c>
      <c r="G50" s="112">
        <f t="shared" si="4"/>
        <v>1197.1199999999953</v>
      </c>
      <c r="H50" s="99">
        <f>G50+'21'!H50</f>
        <v>-10859.73000000001</v>
      </c>
      <c r="I50" s="95"/>
      <c r="J50" s="175">
        <f>H50/DAY(B2)</f>
        <v>-493.62409090909136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76</v>
      </c>
      <c r="G51" s="112">
        <f t="shared" si="4"/>
        <v>0</v>
      </c>
      <c r="H51" s="99">
        <f>G51+'21'!H51</f>
        <v>0.31999999999999318</v>
      </c>
      <c r="I51" s="95"/>
      <c r="J51" s="175">
        <f>H51/DAY(B2)</f>
        <v>1.4545454545454235E-2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9.76</v>
      </c>
      <c r="F52" s="145">
        <v>9.76</v>
      </c>
      <c r="G52" s="112">
        <f t="shared" si="4"/>
        <v>0</v>
      </c>
      <c r="H52" s="99">
        <f>G52+'21'!H52</f>
        <v>-0.24000000000000021</v>
      </c>
      <c r="I52" s="95"/>
      <c r="J52" s="175">
        <f>H52/DAY(B2)</f>
        <v>-1.0909090909090919E-2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45831.34</v>
      </c>
      <c r="F54" s="145">
        <v>46301.95</v>
      </c>
      <c r="G54" s="112">
        <f t="shared" si="4"/>
        <v>470.61000000000058</v>
      </c>
      <c r="H54" s="99">
        <f>G54+'21'!H54</f>
        <v>-3781.0500000000029</v>
      </c>
      <c r="I54" s="95"/>
      <c r="J54" s="175">
        <f>H54/DAY(B2)</f>
        <v>-171.86590909090921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136237.81</v>
      </c>
      <c r="F55" s="419">
        <v>138906.9</v>
      </c>
      <c r="G55" s="112">
        <f t="shared" si="4"/>
        <v>2669.0899999999965</v>
      </c>
      <c r="H55" s="99">
        <f>G55+'21'!H55</f>
        <v>-6060.1000000000058</v>
      </c>
      <c r="I55" s="95"/>
      <c r="J55" s="175">
        <f>H55/DAY(B2)</f>
        <v>-275.45909090909117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107245.66</v>
      </c>
      <c r="F56" s="419">
        <v>107245.66</v>
      </c>
      <c r="G56" s="112">
        <f>F56-E56</f>
        <v>0</v>
      </c>
      <c r="H56" s="99">
        <f>G56+'21'!H56</f>
        <v>-0.33999999999650754</v>
      </c>
      <c r="I56" s="95"/>
      <c r="J56" s="175">
        <f>H56/DAY(B2)</f>
        <v>-1.5454545454386707E-2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23420.38</v>
      </c>
      <c r="F58" s="145">
        <v>23638.36</v>
      </c>
      <c r="G58" s="112">
        <f t="shared" si="4"/>
        <v>217.97999999999956</v>
      </c>
      <c r="H58" s="99">
        <f>G58+'21'!H58</f>
        <v>-1854.6399999999994</v>
      </c>
      <c r="I58" s="95"/>
      <c r="J58" s="175">
        <f>H58/DAY(B2)</f>
        <v>-84.301818181818149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6333.0600000000013</v>
      </c>
      <c r="H59" s="99">
        <f>G59+'21'!H59</f>
        <v>-37146.490000000005</v>
      </c>
      <c r="I59" s="95">
        <f>G7-G60</f>
        <v>327.64999999999782</v>
      </c>
      <c r="J59" s="175">
        <f>H59/DAY(B2)</f>
        <v>-1688.4768181818183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26672.350000000002</v>
      </c>
      <c r="H60" s="99">
        <f>G60+'21'!H60</f>
        <v>-224430.11999999994</v>
      </c>
      <c r="I60" s="95">
        <f>G13-G60</f>
        <v>-2172.3500000000022</v>
      </c>
      <c r="J60" s="175">
        <f>H60/DAY(B2)</f>
        <v>-10201.369090909087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'21'!F62</f>
        <v>282394</v>
      </c>
      <c r="F62" s="122">
        <v>282564</v>
      </c>
      <c r="G62" s="112">
        <f t="shared" ref="G62:G63" si="5">F62-E62</f>
        <v>170</v>
      </c>
      <c r="H62" s="99">
        <f>G62+'21'!H62</f>
        <v>-1445</v>
      </c>
      <c r="I62" s="118"/>
      <c r="J62" s="175">
        <f>H62/DAY(B2)</f>
        <v>-65.681818181818187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'21'!F63</f>
        <v>226280</v>
      </c>
      <c r="F63" s="122">
        <v>226420</v>
      </c>
      <c r="G63" s="112">
        <f t="shared" si="5"/>
        <v>140</v>
      </c>
      <c r="H63" s="99">
        <f>G63+'21'!H63</f>
        <v>-1059</v>
      </c>
      <c r="I63" s="118"/>
      <c r="J63" s="175">
        <f>H63/DAY(B2)</f>
        <v>-48.136363636363633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'21'!F64</f>
        <v>0</v>
      </c>
      <c r="F64" s="122"/>
      <c r="G64" s="112">
        <f>G62+G63</f>
        <v>310</v>
      </c>
      <c r="H64" s="99">
        <f>G64+'21'!H64</f>
        <v>-2504</v>
      </c>
      <c r="I64" s="118"/>
      <c r="J64" s="175">
        <f>H64/DAY(B2)</f>
        <v>-113.81818181818181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'21'!F65</f>
        <v>443523</v>
      </c>
      <c r="F65" s="122">
        <v>443639</v>
      </c>
      <c r="G65" s="112">
        <f t="shared" ref="G65:G70" si="6">F65-E65</f>
        <v>116</v>
      </c>
      <c r="H65" s="99">
        <f>G65+'21'!H65</f>
        <v>-953</v>
      </c>
      <c r="I65" s="118"/>
      <c r="J65" s="175">
        <f>H65/DAY(B2)</f>
        <v>-43.31818181818182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109429</v>
      </c>
      <c r="F66" s="122">
        <v>109442</v>
      </c>
      <c r="G66" s="112">
        <f t="shared" si="6"/>
        <v>13</v>
      </c>
      <c r="H66" s="99">
        <f>G66+'21'!H66</f>
        <v>-139</v>
      </c>
      <c r="I66" s="118"/>
      <c r="J66" s="175">
        <f>H66/DAY(B2)</f>
        <v>-6.3181818181818183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110176</v>
      </c>
      <c r="F67" s="122">
        <v>110258</v>
      </c>
      <c r="G67" s="112">
        <f t="shared" si="6"/>
        <v>82</v>
      </c>
      <c r="H67" s="99">
        <f>G67+'21'!H67</f>
        <v>-642</v>
      </c>
      <c r="I67" s="118"/>
      <c r="J67" s="175">
        <f>H67/DAY(B2)</f>
        <v>-29.181818181818183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161333</v>
      </c>
      <c r="F68" s="122">
        <v>161391</v>
      </c>
      <c r="G68" s="112">
        <f t="shared" si="6"/>
        <v>58</v>
      </c>
      <c r="H68" s="99">
        <f>G68+'21'!H68</f>
        <v>-393</v>
      </c>
      <c r="I68" s="118"/>
      <c r="J68" s="175">
        <f>H68/DAY(B2)</f>
        <v>-17.863636363636363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11471</v>
      </c>
      <c r="F69" s="122">
        <v>11483</v>
      </c>
      <c r="G69" s="112">
        <f t="shared" si="6"/>
        <v>12</v>
      </c>
      <c r="H69" s="99">
        <f>G69+'21'!H69</f>
        <v>-115</v>
      </c>
      <c r="I69" s="118"/>
      <c r="J69" s="175">
        <f>H69/DAY(B2)</f>
        <v>-5.2272727272727275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8922</v>
      </c>
      <c r="F70" s="122">
        <v>8928</v>
      </c>
      <c r="G70" s="112">
        <f t="shared" si="6"/>
        <v>6</v>
      </c>
      <c r="H70" s="99">
        <f>G70+'21'!H70</f>
        <v>-73</v>
      </c>
      <c r="I70" s="118"/>
      <c r="J70" s="175">
        <f>H70/DAY(B2)</f>
        <v>-3.3181818181818183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287</v>
      </c>
      <c r="H71" s="99">
        <f>G71+'21'!H71</f>
        <v>-2315</v>
      </c>
      <c r="I71" s="154"/>
      <c r="J71" s="175">
        <f>H71/DAY(B2)</f>
        <v>-105.22727272727273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'21'!F74</f>
        <v>925916.48</v>
      </c>
      <c r="F74" s="123">
        <v>926237.98</v>
      </c>
      <c r="G74" s="112">
        <f t="shared" ref="G74:G78" si="7">F74-E74</f>
        <v>321.5</v>
      </c>
      <c r="H74" s="99">
        <f>G74+'21'!H74</f>
        <v>-2539.0200000000186</v>
      </c>
      <c r="I74" s="154"/>
      <c r="J74" s="175">
        <f>H74/DAY(B2)</f>
        <v>-115.41000000000085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'21'!F76</f>
        <v>179048.82</v>
      </c>
      <c r="F76" s="123">
        <v>179163.69</v>
      </c>
      <c r="G76" s="112">
        <f t="shared" si="7"/>
        <v>114.86999999999534</v>
      </c>
      <c r="H76" s="99">
        <f>G76+'21'!H76</f>
        <v>-990.30999999999767</v>
      </c>
      <c r="I76" s="154"/>
      <c r="J76" s="175">
        <f>H76/DAY(B2)</f>
        <v>-45.014090909090804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'21'!F77</f>
        <v>45203.9</v>
      </c>
      <c r="F77" s="123">
        <v>45258.3</v>
      </c>
      <c r="G77" s="112">
        <f t="shared" si="7"/>
        <v>54.400000000001455</v>
      </c>
      <c r="H77" s="99">
        <f>G77+'21'!H77</f>
        <v>-415.69999999999709</v>
      </c>
      <c r="I77" s="154"/>
      <c r="J77" s="175">
        <f>H77/DAY(B2)</f>
        <v>-18.895454545454413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0.6000000000003638</v>
      </c>
      <c r="I78" s="118"/>
      <c r="J78" s="175">
        <f>H78/DAY(B2)</f>
        <v>2.727272727274381E-2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'21'!F79</f>
        <v>0</v>
      </c>
      <c r="F79" s="123"/>
      <c r="G79" s="112" t="e">
        <f>G15-SUM(G74:G78)</f>
        <v>#VALUE!</v>
      </c>
      <c r="H79" s="99" t="e">
        <f>G79+'21'!H79</f>
        <v>#VALUE!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-116.59999999999854</v>
      </c>
      <c r="I84" s="575"/>
      <c r="J84" s="175">
        <f>H84/DAY(B2)</f>
        <v>-5.2999999999999341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3574.21</v>
      </c>
      <c r="F85" s="164">
        <v>3598.21</v>
      </c>
      <c r="G85" s="112">
        <f t="shared" si="8"/>
        <v>24</v>
      </c>
      <c r="H85" s="99">
        <f>G85+'21'!H85</f>
        <v>-178.78999999999996</v>
      </c>
      <c r="I85" s="575"/>
      <c r="J85" s="175">
        <f>H85/DAY(B2)</f>
        <v>-8.1268181818181802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43883.17</v>
      </c>
      <c r="F86" s="164">
        <v>43900.26</v>
      </c>
      <c r="G86" s="112">
        <f t="shared" si="8"/>
        <v>17.090000000003783</v>
      </c>
      <c r="H86" s="99">
        <f>G86+'21'!H86</f>
        <v>-38.739999999997963</v>
      </c>
      <c r="I86" s="575"/>
      <c r="J86" s="175">
        <f>H86/DAY(B2)</f>
        <v>-1.7609090909089984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35329.06</v>
      </c>
      <c r="F87" s="164">
        <v>35329.06</v>
      </c>
      <c r="G87" s="112">
        <f t="shared" si="8"/>
        <v>0</v>
      </c>
      <c r="H87" s="99">
        <f>G87+'21'!H87</f>
        <v>5.9999999997671694E-2</v>
      </c>
      <c r="I87" s="575">
        <f>G84+G85+G86+G87</f>
        <v>41.090000000003783</v>
      </c>
      <c r="J87" s="175">
        <f>H87/DAY(B2)</f>
        <v>2.727272727166895E-3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24174.69</v>
      </c>
      <c r="F88" s="164">
        <v>24174.69</v>
      </c>
      <c r="G88" s="112">
        <f t="shared" si="8"/>
        <v>0</v>
      </c>
      <c r="H88" s="99">
        <f>G88+'21'!H88</f>
        <v>-13.430000000000291</v>
      </c>
      <c r="I88" s="575"/>
      <c r="J88" s="175">
        <f>H88/DAY(B2)</f>
        <v>-0.61045454545455868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26631.119999999999</v>
      </c>
      <c r="F89" s="164">
        <v>26640.22</v>
      </c>
      <c r="G89" s="112">
        <f t="shared" si="8"/>
        <v>9.1000000000021828</v>
      </c>
      <c r="H89" s="99">
        <f>G89+'21'!H89</f>
        <v>-69</v>
      </c>
      <c r="I89" s="575">
        <f>G88+G89</f>
        <v>9.1000000000021828</v>
      </c>
      <c r="J89" s="175">
        <f>H89/DAY(B2)</f>
        <v>-3.1363636363636362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71778.009999999995</v>
      </c>
      <c r="F90" s="164">
        <v>71788.759999999995</v>
      </c>
      <c r="G90" s="112">
        <f t="shared" si="8"/>
        <v>10.75</v>
      </c>
      <c r="H90" s="99">
        <f>G90+'21'!H90</f>
        <v>-74.770000000004075</v>
      </c>
      <c r="I90" s="575">
        <f>G90</f>
        <v>10.75</v>
      </c>
      <c r="J90" s="175">
        <f>H90/DAY(B2)</f>
        <v>-3.3986363636365486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3954.12</v>
      </c>
      <c r="F91" s="122">
        <v>3966.01</v>
      </c>
      <c r="G91" s="112">
        <f t="shared" si="8"/>
        <v>11.890000000000327</v>
      </c>
      <c r="H91" s="99">
        <f>G91+'21'!H91</f>
        <v>-93.229999999999563</v>
      </c>
      <c r="I91" s="594"/>
      <c r="J91" s="175">
        <f>H91/DAY(B2)</f>
        <v>-4.2377272727272528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5934.87</v>
      </c>
      <c r="F92" s="122">
        <v>5934.87</v>
      </c>
      <c r="G92" s="112">
        <f t="shared" si="8"/>
        <v>0</v>
      </c>
      <c r="H92" s="99">
        <f>G92+'21'!H92</f>
        <v>-0.13000000000010914</v>
      </c>
      <c r="I92" s="600">
        <f>G91+G92</f>
        <v>11.890000000000327</v>
      </c>
      <c r="J92" s="175">
        <f>H92/DAY(B2)</f>
        <v>-5.9090909090958703E-3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7396.0800000000163</v>
      </c>
      <c r="H94" s="99">
        <f>G94+'21'!H94</f>
        <v>-59439.569999999978</v>
      </c>
      <c r="I94" s="118"/>
      <c r="J94" s="175">
        <f>H94/DAY(B2)</f>
        <v>-2701.7986363636355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0.2739288888888895</v>
      </c>
      <c r="H95" s="99">
        <f>G95+'21'!H95</f>
        <v>-2.2238604079513946</v>
      </c>
      <c r="I95" s="167"/>
      <c r="J95" s="175">
        <f>H95/DAY(B2)</f>
        <v>-0.10108456399779066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8506.1299999999756</v>
      </c>
      <c r="H96" s="99">
        <f>G96+'21'!H96</f>
        <v>-76791.09000000004</v>
      </c>
      <c r="I96" s="118"/>
      <c r="J96" s="175">
        <f>H96/DAY(B2)</f>
        <v>-3490.5040909090926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0.31504185185185096</v>
      </c>
      <c r="H97" s="99">
        <f>G97+'21'!H97</f>
        <v>-2.8750205214703719</v>
      </c>
      <c r="I97" s="167"/>
      <c r="J97" s="175">
        <f>H97/DAY(B2)</f>
        <v>-0.13068275097592599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3155.179999999993</v>
      </c>
      <c r="H98" s="99">
        <f>G98+'21'!H98</f>
        <v>-23821.070000000007</v>
      </c>
      <c r="I98" s="168"/>
      <c r="J98" s="175">
        <f>H98/DAY(B2)</f>
        <v>-1082.7759090909094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0.11685851851851826</v>
      </c>
      <c r="H99" s="99">
        <f>G99+'21'!H99</f>
        <v>-0.88971280957609711</v>
      </c>
      <c r="I99" s="168"/>
      <c r="J99" s="175">
        <f>H99/DAY(B2)</f>
        <v>-4.0441491344368051E-2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2323.6000000000058</v>
      </c>
      <c r="H100" s="99">
        <f>G100+'21'!H100</f>
        <v>-19352.94999999999</v>
      </c>
      <c r="I100" s="118"/>
      <c r="J100" s="175">
        <f>H100/DAY(B2)</f>
        <v>-879.67954545454495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8.6059259259259474E-2</v>
      </c>
      <c r="H101" s="99">
        <f>G101+'21'!H101</f>
        <v>-0.72269482466995505</v>
      </c>
      <c r="I101" s="168"/>
      <c r="J101" s="175">
        <f>H101/DAY(B2)</f>
        <v>-3.2849764757725226E-2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2206.0699999999924</v>
      </c>
      <c r="H102" s="99">
        <f>G102+'21'!H102</f>
        <v>-19745.750000000015</v>
      </c>
      <c r="I102" s="168"/>
      <c r="J102" s="175">
        <f>H102/DAY(B2)</f>
        <v>-897.53409090909156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8.1706296296296013E-2</v>
      </c>
      <c r="H103" s="99">
        <f>G103+'21'!H103</f>
        <v>-0.74272051726574873</v>
      </c>
      <c r="I103" s="118"/>
      <c r="J103" s="175">
        <f>H103/DAY(B2)</f>
        <v>-3.376002351207949E-2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1773.3300000000163</v>
      </c>
      <c r="H104" s="99">
        <f>G104+'21'!H104</f>
        <v>-14073.229999999989</v>
      </c>
      <c r="I104" s="118"/>
      <c r="J104" s="175">
        <f>H104/DAY(B2)</f>
        <v>-639.69227272727221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6.5678888888889495E-2</v>
      </c>
      <c r="H105" s="99">
        <f>G105+'21'!H105</f>
        <v>-0.5259202854917886</v>
      </c>
      <c r="I105" s="187"/>
      <c r="J105" s="188">
        <f>H105/DAY(B2)</f>
        <v>-2.3905467522354028E-2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'21'!F112</f>
        <v>63839.1</v>
      </c>
      <c r="F112" s="237">
        <v>63920</v>
      </c>
      <c r="G112" s="112">
        <f t="shared" ref="G112:G123" si="9">F112-E112</f>
        <v>80.900000000001455</v>
      </c>
      <c r="H112" s="99">
        <f>G112+'21'!H112</f>
        <v>63677</v>
      </c>
      <c r="I112" s="165"/>
      <c r="J112" s="328">
        <f>H112/DAY(B2)</f>
        <v>2894.409090909091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'21'!F113</f>
        <v>84692.31</v>
      </c>
      <c r="F113" s="237">
        <v>85177.39</v>
      </c>
      <c r="G113" s="112">
        <f t="shared" si="9"/>
        <v>485.08000000000175</v>
      </c>
      <c r="H113" s="99">
        <f>G113+'21'!H113</f>
        <v>84695.39</v>
      </c>
      <c r="I113" s="165"/>
      <c r="J113" s="328">
        <f>H113/DAY(B2)</f>
        <v>3849.7904545454544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'21'!F114</f>
        <v>56105.16</v>
      </c>
      <c r="F114" s="237">
        <v>56363.11</v>
      </c>
      <c r="G114" s="112">
        <f t="shared" si="9"/>
        <v>257.94999999999709</v>
      </c>
      <c r="H114" s="99">
        <f>G114+'21'!H114</f>
        <v>55699.11</v>
      </c>
      <c r="I114" s="165"/>
      <c r="J114" s="328">
        <f>H114/DAY(B2)</f>
        <v>2531.7777272727271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'21'!F115</f>
        <v>10287.36</v>
      </c>
      <c r="F115" s="237">
        <v>10305.75</v>
      </c>
      <c r="G115" s="112">
        <f t="shared" si="9"/>
        <v>18.389999999999418</v>
      </c>
      <c r="H115" s="99">
        <f>G115+'21'!H115</f>
        <v>9794.75</v>
      </c>
      <c r="I115" s="165"/>
      <c r="J115" s="328">
        <f>H115/DAY(B2)</f>
        <v>445.21590909090907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'21'!F116</f>
        <v>31691.87</v>
      </c>
      <c r="F116" s="237">
        <v>31973.35</v>
      </c>
      <c r="G116" s="112">
        <f t="shared" si="9"/>
        <v>281.47999999999956</v>
      </c>
      <c r="H116" s="99">
        <f>G116+'21'!H116</f>
        <v>-2692.6500000000015</v>
      </c>
      <c r="I116" s="165"/>
      <c r="J116" s="328">
        <f>H116/DAY(B2)</f>
        <v>-122.39318181818189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'21'!F117</f>
        <v>17596.240000000002</v>
      </c>
      <c r="F117" s="237">
        <v>17730.12</v>
      </c>
      <c r="G117" s="112">
        <f t="shared" si="9"/>
        <v>133.87999999999738</v>
      </c>
      <c r="H117" s="99">
        <f>G117+'21'!H117</f>
        <v>-1205.880000000001</v>
      </c>
      <c r="I117" s="165"/>
      <c r="J117" s="328">
        <f>H117/DAY(B2)</f>
        <v>-54.812727272727322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'21'!F118</f>
        <v>4199.13</v>
      </c>
      <c r="F118" s="237">
        <v>4752.82</v>
      </c>
      <c r="G118" s="112">
        <f t="shared" si="9"/>
        <v>553.6899999999996</v>
      </c>
      <c r="H118" s="99">
        <f>G118+'21'!H118</f>
        <v>-4310.1800000000012</v>
      </c>
      <c r="I118" s="165"/>
      <c r="J118" s="328">
        <f>H118/DAY(B2)</f>
        <v>-195.91727272727277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'21'!F119</f>
        <v>1844.44</v>
      </c>
      <c r="F119" s="237">
        <v>2307.12</v>
      </c>
      <c r="G119" s="112">
        <f t="shared" si="9"/>
        <v>462.67999999999984</v>
      </c>
      <c r="H119" s="99">
        <f>G119+'21'!H119</f>
        <v>286822.12</v>
      </c>
      <c r="I119" s="165"/>
      <c r="J119" s="328">
        <f>H119/DAY(B2)</f>
        <v>13037.369090909091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'21'!F120</f>
        <v>3279.66</v>
      </c>
      <c r="F120" s="237">
        <v>3689.43</v>
      </c>
      <c r="G120" s="112">
        <f t="shared" si="9"/>
        <v>409.77</v>
      </c>
      <c r="H120" s="99">
        <f>G120+'21'!H120</f>
        <v>-3445.57</v>
      </c>
      <c r="I120" s="165"/>
      <c r="J120" s="328">
        <f>H120/DAY(B2)</f>
        <v>-156.61681818181819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'21'!F121</f>
        <v>6395.39</v>
      </c>
      <c r="F121" s="237">
        <v>7193.75</v>
      </c>
      <c r="G121" s="112">
        <f t="shared" si="9"/>
        <v>798.35999999999967</v>
      </c>
      <c r="H121" s="99">
        <f>G121+'21'!H121</f>
        <v>-4533.25</v>
      </c>
      <c r="I121" s="165"/>
      <c r="J121" s="328">
        <f>H121/DAY(B2)</f>
        <v>-206.05681818181819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'21'!F122</f>
        <v>1639.02</v>
      </c>
      <c r="F122" s="237">
        <v>1842.33</v>
      </c>
      <c r="G122" s="112">
        <f t="shared" si="9"/>
        <v>203.30999999999995</v>
      </c>
      <c r="H122" s="99">
        <f>G122+'21'!H122</f>
        <v>-1721.67</v>
      </c>
      <c r="I122" s="165"/>
      <c r="J122" s="328">
        <f>H122/DAY(B2)</f>
        <v>-78.25772727272728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'21'!F123</f>
        <v>174799.31</v>
      </c>
      <c r="F123" s="237">
        <v>175043.53</v>
      </c>
      <c r="G123" s="112">
        <f t="shared" si="9"/>
        <v>244.22000000000116</v>
      </c>
      <c r="H123" s="99">
        <f>G123+'21'!H123</f>
        <v>174076.53</v>
      </c>
      <c r="I123" s="165"/>
      <c r="J123" s="328">
        <f>H123/DAY(B2)</f>
        <v>7912.5695454545457</v>
      </c>
    </row>
    <row r="124" spans="1:18" ht="29.25" customHeight="1">
      <c r="A124" s="890"/>
      <c r="B124" s="891"/>
      <c r="C124" s="892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3929.7099999999969</v>
      </c>
      <c r="H125" s="156"/>
      <c r="I125" s="327">
        <f>G125-(G39+G53)</f>
        <v>774.53000000000384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'21'!F128</f>
        <v>77930.05</v>
      </c>
      <c r="F128" s="165">
        <v>78346.539999999994</v>
      </c>
      <c r="G128" s="112">
        <f t="shared" ref="G128:G134" si="10">F128-E128</f>
        <v>416.48999999999069</v>
      </c>
      <c r="H128" s="99">
        <f>G128+'21'!H128</f>
        <v>-3068.4600000000064</v>
      </c>
      <c r="I128" s="165"/>
      <c r="J128" s="328">
        <f>H128/DAY(B2)</f>
        <v>-139.47545454545482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48434.38</v>
      </c>
      <c r="F129" s="165">
        <v>48708.93</v>
      </c>
      <c r="G129" s="112">
        <f t="shared" si="10"/>
        <v>274.55000000000291</v>
      </c>
      <c r="H129" s="99">
        <f>G129+'21'!H129</f>
        <v>-2363.0699999999997</v>
      </c>
      <c r="I129" s="165"/>
      <c r="J129" s="328">
        <f>H129/DAY(B2)</f>
        <v>-107.41227272727271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90323.9</v>
      </c>
      <c r="F130" s="165">
        <v>91028.83</v>
      </c>
      <c r="G130" s="112">
        <f t="shared" si="10"/>
        <v>704.93000000000757</v>
      </c>
      <c r="H130" s="99">
        <f>G130+'21'!H130</f>
        <v>-5617.1699999999983</v>
      </c>
      <c r="I130" s="165"/>
      <c r="J130" s="328">
        <f>H130/DAY(B2)</f>
        <v>-255.32590909090902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'21'!F131</f>
        <v>28539.47</v>
      </c>
      <c r="F131" s="165">
        <v>28754.99</v>
      </c>
      <c r="G131" s="112">
        <f t="shared" si="10"/>
        <v>215.52000000000044</v>
      </c>
      <c r="H131" s="99">
        <f>G131+'21'!H131</f>
        <v>-1680.0099999999984</v>
      </c>
      <c r="I131" s="165"/>
      <c r="J131" s="328">
        <f>H131/DAY(B2)</f>
        <v>-76.364090909090834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'21'!F132</f>
        <v>84842.31</v>
      </c>
      <c r="F132" s="165">
        <v>85287.43</v>
      </c>
      <c r="G132" s="112">
        <f t="shared" si="10"/>
        <v>445.11999999999534</v>
      </c>
      <c r="H132" s="99">
        <f>G132+'21'!H132</f>
        <v>-3649.570000000007</v>
      </c>
      <c r="I132" s="165"/>
      <c r="J132" s="328">
        <f>H132/DAY(B2)</f>
        <v>-165.88954545454578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'21'!F133</f>
        <v>164392.59</v>
      </c>
      <c r="F133" s="165">
        <v>165297.78</v>
      </c>
      <c r="G133" s="112">
        <f t="shared" si="10"/>
        <v>905.19000000000233</v>
      </c>
      <c r="H133" s="99">
        <f>G133+'21'!H133</f>
        <v>-7148.2200000000012</v>
      </c>
      <c r="I133" s="165"/>
      <c r="J133" s="328">
        <f>H133/DAY(B2)</f>
        <v>-324.91909090909098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'21'!F134</f>
        <v>25862.23</v>
      </c>
      <c r="F134" s="165">
        <v>26099.58</v>
      </c>
      <c r="G134" s="112">
        <f t="shared" si="10"/>
        <v>237.35000000000218</v>
      </c>
      <c r="H134" s="99">
        <f>G134+'21'!H134</f>
        <v>-1993.4199999999983</v>
      </c>
      <c r="I134" s="165"/>
      <c r="J134" s="328">
        <f>H134/DAY(B2)</f>
        <v>-90.609999999999914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3199.1500000000015</v>
      </c>
      <c r="H135" s="99">
        <f>G135+'10'!H135</f>
        <v>36249.380000000012</v>
      </c>
      <c r="I135" s="327">
        <f>G135-(G35+G49)</f>
        <v>-725.3100000000195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'21'!F138</f>
        <v>877372</v>
      </c>
      <c r="F138" s="147">
        <v>877509</v>
      </c>
      <c r="G138" s="112">
        <f t="shared" ref="G138:G152" si="11">F138-E138</f>
        <v>137</v>
      </c>
      <c r="H138" s="99">
        <f>G138+'21'!H138</f>
        <v>-1275</v>
      </c>
      <c r="I138" s="118"/>
      <c r="J138" s="328">
        <f>H138/DAY(B2)</f>
        <v>-57.954545454545453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'21'!F139</f>
        <v>893513</v>
      </c>
      <c r="F139" s="148">
        <v>893679</v>
      </c>
      <c r="G139" s="112">
        <f t="shared" si="11"/>
        <v>166</v>
      </c>
      <c r="H139" s="99">
        <f>G139+'21'!H139</f>
        <v>-1187</v>
      </c>
      <c r="I139" s="118"/>
      <c r="J139" s="328">
        <f>H139/DAY(B2)</f>
        <v>-53.954545454545453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'21'!F140</f>
        <v>89028.9</v>
      </c>
      <c r="F140" s="149">
        <v>89030.399999999994</v>
      </c>
      <c r="G140" s="112">
        <f t="shared" si="11"/>
        <v>1.5</v>
      </c>
      <c r="H140" s="99">
        <f>G140+'21'!H140</f>
        <v>88895.4</v>
      </c>
      <c r="I140" s="118"/>
      <c r="J140" s="328">
        <f>H140/DAY(B2)</f>
        <v>4040.7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'21'!F141</f>
        <v>69920.38</v>
      </c>
      <c r="F141" s="149">
        <v>70123.66</v>
      </c>
      <c r="G141" s="112">
        <f t="shared" si="11"/>
        <v>203.27999999999884</v>
      </c>
      <c r="H141" s="99">
        <f>G141+'21'!H141</f>
        <v>-1650.3399999999965</v>
      </c>
      <c r="I141" s="118"/>
      <c r="J141" s="328">
        <f>H141/DAY(B2)</f>
        <v>-75.015454545454389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'21'!F142</f>
        <v>26864.31</v>
      </c>
      <c r="F142" s="148">
        <v>26926.42</v>
      </c>
      <c r="G142" s="112">
        <f t="shared" si="11"/>
        <v>62.109999999996944</v>
      </c>
      <c r="H142" s="99">
        <f>G142+'21'!H142</f>
        <v>-539.58000000000175</v>
      </c>
      <c r="I142" s="140"/>
      <c r="J142" s="328">
        <f>H142/DAY(B2)</f>
        <v>-24.526363636363715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'21'!F143</f>
        <v>6151.29</v>
      </c>
      <c r="F143" s="149">
        <v>6179.16</v>
      </c>
      <c r="G143" s="112">
        <f t="shared" si="11"/>
        <v>27.869999999999891</v>
      </c>
      <c r="H143" s="99">
        <f>G143+'21'!H143</f>
        <v>-237.84000000000015</v>
      </c>
      <c r="I143" s="140"/>
      <c r="J143" s="328">
        <f>H143/DAY(B2)</f>
        <v>-10.810909090909098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'21'!F144</f>
        <v>895100</v>
      </c>
      <c r="F144" s="149">
        <v>895330</v>
      </c>
      <c r="G144" s="112">
        <f t="shared" si="11"/>
        <v>230</v>
      </c>
      <c r="H144" s="99">
        <f>G144+'21'!H144</f>
        <v>-1903</v>
      </c>
      <c r="I144" s="140"/>
      <c r="J144" s="328">
        <f>H144/DAY(B2)</f>
        <v>-86.5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'21'!F145</f>
        <v>5606.6</v>
      </c>
      <c r="F145" s="149">
        <v>5609.04</v>
      </c>
      <c r="G145" s="112">
        <f t="shared" si="11"/>
        <v>2.4399999999995998</v>
      </c>
      <c r="H145" s="99">
        <f>G145+'21'!H145</f>
        <v>-18.960000000000036</v>
      </c>
      <c r="I145" s="140"/>
      <c r="J145" s="328">
        <f>H145/DAY(B2)</f>
        <v>-0.86181818181818348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'21'!F146</f>
        <v>774667</v>
      </c>
      <c r="F146" s="148">
        <v>775150</v>
      </c>
      <c r="G146" s="112">
        <f t="shared" si="11"/>
        <v>483</v>
      </c>
      <c r="H146" s="99">
        <f>G146+'21'!H146</f>
        <v>-1304</v>
      </c>
      <c r="I146" s="140"/>
      <c r="J146" s="328">
        <f>H146/DAY(B2)</f>
        <v>-59.272727272727273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'21'!F147</f>
        <v>659367.96</v>
      </c>
      <c r="F147" s="148">
        <v>659791.16</v>
      </c>
      <c r="G147" s="112">
        <f t="shared" si="11"/>
        <v>423.20000000006985</v>
      </c>
      <c r="H147" s="99">
        <f>G147+'21'!H147</f>
        <v>-3436.8399999999674</v>
      </c>
      <c r="I147" s="140"/>
      <c r="J147" s="328">
        <f>H147/DAY(B2)</f>
        <v>-156.21999999999852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'21'!F148</f>
        <v>716493.44</v>
      </c>
      <c r="F148" s="150">
        <v>716822.48</v>
      </c>
      <c r="G148" s="112">
        <f t="shared" si="11"/>
        <v>329.04000000003725</v>
      </c>
      <c r="H148" s="99">
        <f>G148+'21'!H148</f>
        <v>-3093.5200000000186</v>
      </c>
      <c r="I148" s="124"/>
      <c r="J148" s="328">
        <f>H148/DAY(B2)</f>
        <v>-140.61454545454629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'21'!F149</f>
        <v>77328.100000000006</v>
      </c>
      <c r="F149" s="146">
        <v>78018.91</v>
      </c>
      <c r="G149" s="112">
        <f t="shared" si="11"/>
        <v>690.80999999999767</v>
      </c>
      <c r="H149" s="99">
        <f>G149+'21'!H149</f>
        <v>-5369.0899999999965</v>
      </c>
      <c r="I149" s="119"/>
      <c r="J149" s="328">
        <f>H149/DAY(B2)</f>
        <v>-244.0495454545453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'21'!F150</f>
        <v>28671.35</v>
      </c>
      <c r="F150" s="233">
        <v>28883.62</v>
      </c>
      <c r="G150" s="112">
        <f t="shared" si="11"/>
        <v>212.27000000000044</v>
      </c>
      <c r="H150" s="99">
        <f>G150+'21'!H150</f>
        <v>-1703.380000000001</v>
      </c>
      <c r="I150" s="119"/>
      <c r="J150" s="328">
        <f>H150/DAY(B2)</f>
        <v>-77.426363636363689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'21'!F151</f>
        <v>106565</v>
      </c>
      <c r="F151" s="233">
        <v>106827</v>
      </c>
      <c r="G151" s="112">
        <f t="shared" si="11"/>
        <v>262</v>
      </c>
      <c r="H151" s="99">
        <f>G151+'21'!H151</f>
        <v>-2401</v>
      </c>
      <c r="I151" s="119"/>
      <c r="J151" s="328">
        <f>H151/DAY(B2)</f>
        <v>-109.13636363636364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'21'!F152</f>
        <v>10397.450000000001</v>
      </c>
      <c r="F152" s="233">
        <v>10457.92</v>
      </c>
      <c r="G152" s="112">
        <f t="shared" si="11"/>
        <v>60.469999999999345</v>
      </c>
      <c r="H152" s="99">
        <f>G152+'21'!H152</f>
        <v>-698.07999999999993</v>
      </c>
      <c r="I152" s="119"/>
      <c r="J152" s="328">
        <f>H152/DAY(B2)</f>
        <v>-31.730909090909087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3290.9900000000998</v>
      </c>
      <c r="H153" s="363"/>
      <c r="I153" s="119">
        <f>G153-(G38+G52)</f>
        <v>967.39000000009401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'21'!F155</f>
        <v>86712.02</v>
      </c>
      <c r="F155" s="374">
        <v>87404.25</v>
      </c>
      <c r="G155" s="112">
        <f t="shared" ref="G155:G158" si="12">F155-E155</f>
        <v>692.22999999999593</v>
      </c>
      <c r="H155" s="99">
        <f>G155+'21'!H155</f>
        <v>-5327.75</v>
      </c>
      <c r="I155" s="364"/>
      <c r="J155" s="328">
        <f>H155/DAY(B2)</f>
        <v>-242.17045454545453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'21'!F156</f>
        <v>7199.26</v>
      </c>
      <c r="F156" s="155">
        <v>7252.02</v>
      </c>
      <c r="G156" s="112">
        <f t="shared" si="12"/>
        <v>52.760000000000218</v>
      </c>
      <c r="H156" s="99">
        <f>G156+'21'!H156</f>
        <v>-438.97999999999956</v>
      </c>
      <c r="I156" s="165"/>
      <c r="J156" s="328">
        <f>H156/DAY(B2)</f>
        <v>-19.953636363636345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'21'!F157</f>
        <v>12480.16</v>
      </c>
      <c r="F157" s="155">
        <v>12597.72</v>
      </c>
      <c r="G157" s="112">
        <f t="shared" si="12"/>
        <v>117.55999999999949</v>
      </c>
      <c r="H157" s="99">
        <f>G157+'21'!H157</f>
        <v>324.71999999999935</v>
      </c>
      <c r="I157" s="165"/>
      <c r="J157" s="328">
        <f>H157/DAY(B2)</f>
        <v>14.75999999999997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'21'!F158</f>
        <v>98</v>
      </c>
      <c r="F158" s="155">
        <v>98.41</v>
      </c>
      <c r="G158" s="112">
        <f t="shared" si="12"/>
        <v>0.40999999999999659</v>
      </c>
      <c r="H158" s="99">
        <f>G158+'21'!H158</f>
        <v>0.93999999999999773</v>
      </c>
      <c r="I158" s="165"/>
      <c r="J158" s="328">
        <f>H158/DAY(B2)</f>
        <v>4.2727272727272621E-2</v>
      </c>
    </row>
    <row r="159" spans="1:10" ht="25.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474570</v>
      </c>
      <c r="F161" s="235">
        <v>474593.84</v>
      </c>
      <c r="G161" s="238">
        <f t="shared" ref="G161:G165" si="13">F161-E161</f>
        <v>23.840000000025611</v>
      </c>
      <c r="H161" s="99">
        <f>G161+'21'!H161</f>
        <v>-189.15999999997439</v>
      </c>
      <c r="I161" s="236"/>
      <c r="J161" s="239">
        <f>H161/DAY(B2)</f>
        <v>-8.5981818181806542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91228.4</v>
      </c>
      <c r="F162" s="235">
        <v>91264.7</v>
      </c>
      <c r="G162" s="238">
        <f t="shared" si="13"/>
        <v>36.30000000000291</v>
      </c>
      <c r="H162" s="99">
        <f>G162+'21'!H162</f>
        <v>-282.30000000000291</v>
      </c>
      <c r="I162" s="236"/>
      <c r="J162" s="239">
        <f>H162/DAY(B2)</f>
        <v>-12.831818181818313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90578.7</v>
      </c>
      <c r="F163" s="235">
        <v>90750.2</v>
      </c>
      <c r="G163" s="238">
        <f t="shared" si="13"/>
        <v>171.5</v>
      </c>
      <c r="H163" s="99">
        <f>G163+'21'!H163</f>
        <v>-1285.8000000000029</v>
      </c>
      <c r="I163" s="236"/>
      <c r="J163" s="239">
        <f>H163/DAY(B2)</f>
        <v>-58.44545454545468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5078.6000000000004</v>
      </c>
      <c r="F164" s="235">
        <v>5093.3</v>
      </c>
      <c r="G164" s="238">
        <f t="shared" si="13"/>
        <v>14.699999999999818</v>
      </c>
      <c r="H164" s="99">
        <f>G164+'21'!H164</f>
        <v>-88.699999999999818</v>
      </c>
      <c r="I164" s="236"/>
      <c r="J164" s="239">
        <f>H164/DAY(B2)</f>
        <v>-4.0318181818181733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30539.68</v>
      </c>
      <c r="F165" s="235">
        <v>30550.799999999999</v>
      </c>
      <c r="G165" s="238">
        <f t="shared" si="13"/>
        <v>11.119999999998981</v>
      </c>
      <c r="H165" s="99">
        <f>G165+'21'!H165</f>
        <v>-83.200000000000728</v>
      </c>
      <c r="I165" s="236"/>
      <c r="J165" s="239">
        <f>H165/DAY(B2)</f>
        <v>-3.7818181818182151</v>
      </c>
    </row>
    <row r="166" spans="1:10" ht="21.95" customHeight="1">
      <c r="A166" s="873"/>
      <c r="B166" s="873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873"/>
      <c r="B167" s="873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873"/>
      <c r="B168" s="873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'21'!F173</f>
        <v>8351</v>
      </c>
      <c r="F173" s="155">
        <v>8351</v>
      </c>
      <c r="G173" s="155">
        <f>F173-E173</f>
        <v>0</v>
      </c>
      <c r="H173" s="99">
        <f>G173+'21'!H173</f>
        <v>90</v>
      </c>
      <c r="I173" s="155"/>
      <c r="J173" s="178">
        <f>H173/DAY(B2)</f>
        <v>4.0909090909090908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'21'!F174</f>
        <v>39782</v>
      </c>
      <c r="F174" s="157">
        <v>39798</v>
      </c>
      <c r="G174" s="155">
        <f t="shared" ref="G174:G175" si="14">F174-E174</f>
        <v>16</v>
      </c>
      <c r="H174" s="99">
        <f>G174+'21'!H174</f>
        <v>-130</v>
      </c>
      <c r="I174" s="155"/>
      <c r="J174" s="178">
        <f>H174/DAY(B2)</f>
        <v>-5.9090909090909092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'21'!F175</f>
        <v>22782</v>
      </c>
      <c r="F175" s="155">
        <v>22794</v>
      </c>
      <c r="G175" s="155">
        <f t="shared" si="14"/>
        <v>12</v>
      </c>
      <c r="H175" s="99">
        <f>G175+'21'!H175</f>
        <v>-95</v>
      </c>
      <c r="I175" s="155"/>
      <c r="J175" s="178">
        <f>H175/DAY(B2)</f>
        <v>-4.3181818181818183</v>
      </c>
    </row>
    <row r="176" spans="1:10" ht="25.5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28</v>
      </c>
      <c r="H176" s="99">
        <f>G176+'21'!H176</f>
        <v>-135</v>
      </c>
      <c r="I176" s="155"/>
      <c r="J176" s="178">
        <f>H176/DAY(B2)</f>
        <v>-6.1363636363636367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'21'!F178</f>
        <v>87683</v>
      </c>
      <c r="F178" s="155">
        <v>87768</v>
      </c>
      <c r="G178" s="155">
        <f>F178-E178</f>
        <v>85</v>
      </c>
      <c r="H178" s="99">
        <f>G178+'21'!H178</f>
        <v>-835</v>
      </c>
      <c r="I178" s="155"/>
      <c r="J178" s="178">
        <f>H178/DAY(B2)</f>
        <v>-37.954545454545453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'21'!F179</f>
        <v>35727</v>
      </c>
      <c r="F179" s="155">
        <v>35732</v>
      </c>
      <c r="G179" s="155">
        <f t="shared" ref="G179:G180" si="15">F179-E179</f>
        <v>5</v>
      </c>
      <c r="H179" s="99">
        <f>G179+'21'!H179</f>
        <v>-41</v>
      </c>
      <c r="I179" s="155"/>
      <c r="J179" s="178">
        <f>H179/DAY(B2)</f>
        <v>-1.8636363636363635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'21'!F180</f>
        <v>6315</v>
      </c>
      <c r="F180" s="155">
        <v>6319</v>
      </c>
      <c r="G180" s="374">
        <f t="shared" si="15"/>
        <v>4</v>
      </c>
      <c r="H180" s="99">
        <f>G180+'21'!H180</f>
        <v>-70</v>
      </c>
      <c r="I180" s="155"/>
      <c r="J180" s="178">
        <f>H180/DAY(B2)</f>
        <v>-3.1818181818181817</v>
      </c>
    </row>
    <row r="181" spans="1:10" ht="27.75" customHeight="1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94</v>
      </c>
      <c r="H181" s="99">
        <f>G181+'21'!H181</f>
        <v>-946</v>
      </c>
      <c r="I181" s="155"/>
      <c r="J181" s="178">
        <f>H181/DAY(B2)</f>
        <v>-43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'21'!F183</f>
        <v>16468</v>
      </c>
      <c r="F183" s="157">
        <v>16482</v>
      </c>
      <c r="G183" s="157">
        <f>F183-E183</f>
        <v>14</v>
      </c>
      <c r="H183" s="99">
        <f>G183+'21'!H183</f>
        <v>-140</v>
      </c>
      <c r="I183" s="155"/>
      <c r="J183" s="178">
        <f>H183/DAY(B2)</f>
        <v>-6.3636363636363633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'21'!F184</f>
        <v>11209</v>
      </c>
      <c r="F184" s="157">
        <v>11211</v>
      </c>
      <c r="G184" s="157">
        <f t="shared" ref="G184:G185" si="16">F184-E184</f>
        <v>2</v>
      </c>
      <c r="H184" s="99">
        <f>G184+'21'!H184</f>
        <v>-63</v>
      </c>
      <c r="I184" s="155"/>
      <c r="J184" s="178">
        <f>H184/DAY(B2)</f>
        <v>-2.8636363636363638</v>
      </c>
    </row>
    <row r="185" spans="1:10" ht="25.5">
      <c r="A185" s="879" t="s">
        <v>216</v>
      </c>
      <c r="B185" s="880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16</v>
      </c>
      <c r="H186" s="99">
        <f>G186+'21'!H186</f>
        <v>-203</v>
      </c>
      <c r="I186" s="157"/>
      <c r="J186" s="178">
        <f>H186/DAY(B2)</f>
        <v>-9.2272727272727266</v>
      </c>
    </row>
    <row r="187" spans="1:10" ht="25.5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226</v>
      </c>
      <c r="H187" s="99">
        <f>G187+'21'!H187</f>
        <v>-1845</v>
      </c>
      <c r="I187" s="158"/>
      <c r="J187" s="179">
        <f>H187/DAY(B2)</f>
        <v>-83.86363636363636</v>
      </c>
    </row>
    <row r="188" spans="1:10" ht="25.5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229</v>
      </c>
      <c r="H188" s="99">
        <f>G188+'21'!H188</f>
        <v>-10060</v>
      </c>
      <c r="I188" s="158"/>
      <c r="J188" s="179">
        <f>H188/DAY(B2)</f>
        <v>-457.27272727272725</v>
      </c>
    </row>
    <row r="189" spans="1:10" ht="25.5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94</v>
      </c>
      <c r="H189" s="99">
        <f>G189+'21'!H189</f>
        <v>435</v>
      </c>
      <c r="I189" s="158"/>
      <c r="J189" s="179">
        <f>H189/DAY(B2)</f>
        <v>19.772727272727273</v>
      </c>
    </row>
    <row r="190" spans="1:10" ht="25.5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00" zoomScale="50" zoomScaleNormal="80" zoomScaleSheetLayoutView="50" workbookViewId="0">
      <selection activeCell="E15" sqref="E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30.75" customHeight="1">
      <c r="A2" s="191" t="s">
        <v>354</v>
      </c>
      <c r="B2" s="262">
        <v>44674</v>
      </c>
      <c r="C2" s="348" t="s">
        <v>67</v>
      </c>
      <c r="D2" s="218">
        <v>0.99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29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'22'!F7</f>
        <v>427701</v>
      </c>
      <c r="F7" s="95">
        <f>E7+27000</f>
        <v>454701</v>
      </c>
      <c r="G7" s="112">
        <f>F7-E7</f>
        <v>27000</v>
      </c>
      <c r="H7" s="99">
        <f>G7+'22'!H7</f>
        <v>623663</v>
      </c>
      <c r="I7" s="113">
        <f>'1'!I7</f>
        <v>12000</v>
      </c>
      <c r="J7" s="175">
        <f>H7/DAY(B2)</f>
        <v>27115.782608695652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523035</v>
      </c>
      <c r="F8" s="114">
        <f>E8+26500</f>
        <v>549535</v>
      </c>
      <c r="G8" s="115">
        <f>F8-E8</f>
        <v>26500</v>
      </c>
      <c r="H8" s="99">
        <f>G8+'22'!H8</f>
        <v>630412.27999999991</v>
      </c>
      <c r="I8" s="116"/>
      <c r="J8" s="175">
        <f>H8/DAY(B2)</f>
        <v>27409.229565217389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'22'!F9</f>
        <v>2305550</v>
      </c>
      <c r="F9" s="470">
        <f>E9+16000</f>
        <v>2321550</v>
      </c>
      <c r="G9" s="112">
        <f>F9-E9</f>
        <v>16000</v>
      </c>
      <c r="H9" s="99">
        <f>G9+'22'!H9</f>
        <v>430515</v>
      </c>
      <c r="I9" s="124">
        <f>I7-J7</f>
        <v>-15115.782608695652</v>
      </c>
      <c r="J9" s="175">
        <f>H9/DAY(B2)</f>
        <v>18718.043478260868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'22'!F10</f>
        <v>770226</v>
      </c>
      <c r="F10" s="353">
        <f>E10+8500</f>
        <v>778726</v>
      </c>
      <c r="G10" s="112">
        <f t="shared" ref="G10:G11" si="0">F10-E10</f>
        <v>8500</v>
      </c>
      <c r="H10" s="99">
        <f>G10+'22'!H10</f>
        <v>163190</v>
      </c>
      <c r="I10" s="282"/>
      <c r="J10" s="175">
        <f>H10/DAY(B2)</f>
        <v>7095.217391304348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G13+'22'!H13</f>
        <v>591188.75</v>
      </c>
      <c r="I13" s="120">
        <f>G7-G13</f>
        <v>2500</v>
      </c>
      <c r="J13" s="175">
        <f>H13/DAY(B2)</f>
        <v>25703.858695652172</v>
      </c>
      <c r="K13" s="79"/>
      <c r="L13" s="66"/>
      <c r="N13" s="87"/>
      <c r="O13" s="71"/>
    </row>
    <row r="14" spans="1:15" ht="30.75" customHeight="1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1996049.72</v>
      </c>
      <c r="G15" s="112" t="e">
        <f>(F15-E15)</f>
        <v>#VALUE!</v>
      </c>
      <c r="H15" s="99" t="e">
        <f>G15+'22'!H15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30.75" customHeight="1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07" t="s">
        <v>141</v>
      </c>
      <c r="B18" s="908"/>
      <c r="C18" s="909"/>
      <c r="D18" s="151" t="s">
        <v>142</v>
      </c>
      <c r="E18" s="95">
        <f>'22'!F18</f>
        <v>24</v>
      </c>
      <c r="F18" s="122">
        <v>24</v>
      </c>
      <c r="G18" s="119">
        <f>F18*10</f>
        <v>240</v>
      </c>
      <c r="H18" s="99">
        <f>G18+'22'!H18</f>
        <v>5170</v>
      </c>
      <c r="I18" s="113">
        <f>'1'!I18</f>
        <v>65</v>
      </c>
      <c r="J18" s="175">
        <f>H18/DAY(B2)</f>
        <v>224.78260869565219</v>
      </c>
      <c r="K18" s="79"/>
      <c r="L18" s="66"/>
      <c r="N18" s="87"/>
      <c r="O18" s="71"/>
    </row>
    <row r="19" spans="1:15" ht="30.75" customHeight="1">
      <c r="A19" s="907" t="s">
        <v>69</v>
      </c>
      <c r="B19" s="908"/>
      <c r="C19" s="909"/>
      <c r="D19" s="151" t="s">
        <v>142</v>
      </c>
      <c r="E19" s="95">
        <f>'22'!F19</f>
        <v>158054</v>
      </c>
      <c r="F19" s="122">
        <v>158105</v>
      </c>
      <c r="G19" s="112">
        <f t="shared" ref="G19" si="1">F19-E19</f>
        <v>51</v>
      </c>
      <c r="H19" s="99">
        <f>G19+'22'!H19</f>
        <v>-349</v>
      </c>
      <c r="I19" s="335"/>
      <c r="J19" s="175">
        <f>H19/DAY(B2)</f>
        <v>-15.173913043478262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291</v>
      </c>
      <c r="H20" s="99">
        <f>G20+'22'!H20</f>
        <v>4821</v>
      </c>
      <c r="I20" s="336">
        <f>I18-J20</f>
        <v>-144.60869565217391</v>
      </c>
      <c r="J20" s="175">
        <f>H20/DAY(B2)</f>
        <v>209.60869565217391</v>
      </c>
      <c r="K20" s="79"/>
      <c r="L20" s="66"/>
      <c r="N20" s="87"/>
      <c r="O20" s="71"/>
    </row>
    <row r="21" spans="1:15" ht="30.75" customHeight="1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G27+'22'!H27</f>
        <v>5673710.5200000005</v>
      </c>
      <c r="I27" s="138"/>
      <c r="J27" s="175">
        <f>H27/DAY(B2)</f>
        <v>246683.06608695653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G28+'22'!H28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G30+'22'!H30</f>
        <v>-53514</v>
      </c>
      <c r="I30" s="140"/>
      <c r="J30" s="175">
        <f>H30/DAY(B2)</f>
        <v>-2326.695652173913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G31+'22'!H31</f>
        <v>413600</v>
      </c>
      <c r="I31" s="140"/>
      <c r="J31" s="175">
        <f>H31/DAY(B2)</f>
        <v>17982.608695652172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G32+'22'!H32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30.7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185709.25</v>
      </c>
      <c r="F35" s="145">
        <v>187758.07</v>
      </c>
      <c r="G35" s="112">
        <f t="shared" ref="G35:G46" si="3">F35-E35</f>
        <v>2048.820000000007</v>
      </c>
      <c r="H35" s="99">
        <f>G35+'22'!H35</f>
        <v>-15126.929999999993</v>
      </c>
      <c r="I35" s="95"/>
      <c r="J35" s="175">
        <f>H35/DAY(B2)</f>
        <v>-657.69260869565187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'22'!F36</f>
        <v>122692.98</v>
      </c>
      <c r="F36" s="145">
        <v>123989</v>
      </c>
      <c r="G36" s="112">
        <f t="shared" si="3"/>
        <v>1296.0200000000041</v>
      </c>
      <c r="H36" s="99">
        <f>G36+'22'!H36</f>
        <v>-7590</v>
      </c>
      <c r="I36" s="95"/>
      <c r="J36" s="175">
        <f>H36/DAY(B2)</f>
        <v>-330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'22'!F37</f>
        <v>169051.45</v>
      </c>
      <c r="F37" s="145">
        <v>170913.19</v>
      </c>
      <c r="G37" s="112">
        <f t="shared" si="3"/>
        <v>1861.7399999999907</v>
      </c>
      <c r="H37" s="99">
        <f>G37+'22'!H37</f>
        <v>-12211.809999999998</v>
      </c>
      <c r="I37" s="95"/>
      <c r="J37" s="175">
        <f>H37/DAY(B2)</f>
        <v>-530.94826086956516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'22'!F38</f>
        <v>224099.29</v>
      </c>
      <c r="F38" s="108">
        <v>226515.95</v>
      </c>
      <c r="G38" s="112">
        <f t="shared" si="3"/>
        <v>2416.6600000000035</v>
      </c>
      <c r="H38" s="99">
        <f>G38+'22'!H38</f>
        <v>-16936.049999999988</v>
      </c>
      <c r="I38" s="95"/>
      <c r="J38" s="175">
        <f>H38/DAY(B2)</f>
        <v>-736.34999999999945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'22'!F39</f>
        <v>316166.93</v>
      </c>
      <c r="F39" s="145">
        <v>319323.73</v>
      </c>
      <c r="G39" s="112">
        <f t="shared" si="3"/>
        <v>3156.7999999999884</v>
      </c>
      <c r="H39" s="99">
        <f>G39+'22'!H39</f>
        <v>-20664.270000000019</v>
      </c>
      <c r="I39" s="95"/>
      <c r="J39" s="175">
        <f>H39/DAY(B2)</f>
        <v>-898.4465217391313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'22'!F40</f>
        <v>59306.23</v>
      </c>
      <c r="F40" s="145">
        <v>59903.65</v>
      </c>
      <c r="G40" s="112">
        <f t="shared" si="3"/>
        <v>597.41999999999825</v>
      </c>
      <c r="H40" s="99">
        <f>G40+'22'!H40</f>
        <v>-4973.3499999999985</v>
      </c>
      <c r="I40" s="95"/>
      <c r="J40" s="175">
        <f>H40/DAY(B2)</f>
        <v>-216.23260869565212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63</v>
      </c>
      <c r="F41" s="145">
        <v>1266.51</v>
      </c>
      <c r="G41" s="112">
        <f t="shared" si="3"/>
        <v>1203.51</v>
      </c>
      <c r="H41" s="99">
        <f>G41+'22'!H41</f>
        <v>-26426.490000000005</v>
      </c>
      <c r="I41" s="95"/>
      <c r="J41" s="175">
        <f>H41/DAY(B2)</f>
        <v>-1148.9778260869568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'22'!F42</f>
        <v>382700.35</v>
      </c>
      <c r="F42" s="145">
        <v>388368.33</v>
      </c>
      <c r="G42" s="112">
        <f t="shared" si="3"/>
        <v>5667.9800000000396</v>
      </c>
      <c r="H42" s="99">
        <f>G42+'22'!H42</f>
        <v>-37432.669999999984</v>
      </c>
      <c r="I42" s="95"/>
      <c r="J42" s="175">
        <f>H42/DAY(B2)</f>
        <v>-1627.507391304347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329845.89</v>
      </c>
      <c r="F43" s="145">
        <v>333606.45</v>
      </c>
      <c r="G43" s="112">
        <f t="shared" si="3"/>
        <v>3760.5599999999977</v>
      </c>
      <c r="H43" s="99">
        <f>G43+'22'!H43</f>
        <v>-23912.549999999988</v>
      </c>
      <c r="I43" s="95"/>
      <c r="J43" s="175">
        <f>H43/DAY(B2)</f>
        <v>-1039.6760869565212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22009.510000000031</v>
      </c>
      <c r="H47" s="99">
        <f>G47+'22'!H47</f>
        <v>-165274.11999999991</v>
      </c>
      <c r="I47" s="95"/>
      <c r="J47" s="175">
        <f>H47/DAY(B2)</f>
        <v>-7185.831304347822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'22'!F49</f>
        <v>150579.29</v>
      </c>
      <c r="F49" s="145">
        <v>152453.89000000001</v>
      </c>
      <c r="G49" s="112">
        <f t="shared" ref="G49:G58" si="4">F49-E49</f>
        <v>1874.6000000000058</v>
      </c>
      <c r="H49" s="99">
        <f>G49+'22'!H49</f>
        <v>-12716.109999999986</v>
      </c>
      <c r="I49" s="95"/>
      <c r="J49" s="175">
        <f>H49/DAY(B2)</f>
        <v>-552.87434782608636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'22'!F50</f>
        <v>161747.26999999999</v>
      </c>
      <c r="F50" s="145">
        <v>163150.6</v>
      </c>
      <c r="G50" s="112">
        <f t="shared" si="4"/>
        <v>1403.3300000000163</v>
      </c>
      <c r="H50" s="99">
        <f>G50+'22'!H50</f>
        <v>-9456.3999999999942</v>
      </c>
      <c r="I50" s="95"/>
      <c r="J50" s="175">
        <f>H50/DAY(B2)</f>
        <v>-411.14782608695629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76</v>
      </c>
      <c r="F51" s="145">
        <v>76</v>
      </c>
      <c r="G51" s="112">
        <f t="shared" si="4"/>
        <v>0</v>
      </c>
      <c r="H51" s="99">
        <f>G51+'22'!H51</f>
        <v>0.31999999999999318</v>
      </c>
      <c r="I51" s="95"/>
      <c r="J51" s="175">
        <f>H51/DAY(B2)</f>
        <v>1.3913043478260573E-2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9.76</v>
      </c>
      <c r="F52" s="145">
        <v>9.76</v>
      </c>
      <c r="G52" s="112">
        <f t="shared" si="4"/>
        <v>0</v>
      </c>
      <c r="H52" s="99">
        <f>G52+'22'!H52</f>
        <v>-0.24000000000000021</v>
      </c>
      <c r="I52" s="95"/>
      <c r="J52" s="175">
        <f>H52/DAY(B2)</f>
        <v>-1.0434782608695662E-2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'22'!F54</f>
        <v>46301.95</v>
      </c>
      <c r="F54" s="145">
        <v>46756.79</v>
      </c>
      <c r="G54" s="112">
        <f t="shared" si="4"/>
        <v>454.84000000000378</v>
      </c>
      <c r="H54" s="99">
        <f>G54+'22'!H54</f>
        <v>-3326.2099999999991</v>
      </c>
      <c r="I54" s="95"/>
      <c r="J54" s="175">
        <f>H54/DAY(B2)</f>
        <v>-144.61782608695648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'22'!F55</f>
        <v>138906.9</v>
      </c>
      <c r="F55" s="145">
        <v>141834.63</v>
      </c>
      <c r="G55" s="112">
        <f t="shared" si="4"/>
        <v>2927.7300000000105</v>
      </c>
      <c r="H55" s="99">
        <f>G55+'22'!H55</f>
        <v>-3132.3699999999953</v>
      </c>
      <c r="I55" s="95"/>
      <c r="J55" s="175">
        <f>H55/DAY(B2)</f>
        <v>-136.1899999999998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107245.66</v>
      </c>
      <c r="F56" s="145">
        <v>107245.66</v>
      </c>
      <c r="G56" s="112">
        <f t="shared" si="4"/>
        <v>0</v>
      </c>
      <c r="H56" s="99">
        <f>G56+'22'!H56</f>
        <v>-0.33999999999650754</v>
      </c>
      <c r="I56" s="95"/>
      <c r="J56" s="175">
        <f>H56/DAY(B2)</f>
        <v>-1.4782608695500328E-2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23638.36</v>
      </c>
      <c r="F58" s="145">
        <v>23871.200000000001</v>
      </c>
      <c r="G58" s="112">
        <f t="shared" si="4"/>
        <v>232.84000000000015</v>
      </c>
      <c r="H58" s="99">
        <f>G58+'22'!H58</f>
        <v>-1621.7999999999993</v>
      </c>
      <c r="I58" s="95"/>
      <c r="J58" s="175">
        <f>H58/DAY(B2)</f>
        <v>-70.51304347826084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6893.3400000000365</v>
      </c>
      <c r="H59" s="99">
        <f>G59+'22'!H59</f>
        <v>-30253.149999999969</v>
      </c>
      <c r="I59" s="95">
        <f>G7-G60</f>
        <v>-1902.8500000000677</v>
      </c>
      <c r="J59" s="175">
        <f>H59/DAY(B2)</f>
        <v>-1315.3543478260856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28902.850000000068</v>
      </c>
      <c r="H60" s="99">
        <f>G60+'22'!H60</f>
        <v>-195527.26999999987</v>
      </c>
      <c r="I60" s="95">
        <f>G13-G60</f>
        <v>-4402.8500000000677</v>
      </c>
      <c r="J60" s="175">
        <f>H60/DAY(B2)</f>
        <v>-8501.1856521739082</v>
      </c>
      <c r="K60" s="79"/>
      <c r="L60" s="66"/>
      <c r="N60" s="87"/>
      <c r="O60" s="71"/>
    </row>
    <row r="61" spans="1:15" s="68" customFormat="1" ht="30.75" customHeight="1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907" t="s">
        <v>198</v>
      </c>
      <c r="B62" s="908"/>
      <c r="C62" s="909"/>
      <c r="D62" s="151" t="s">
        <v>142</v>
      </c>
      <c r="E62" s="95">
        <f>'22'!F62</f>
        <v>282564</v>
      </c>
      <c r="F62" s="122">
        <v>282775</v>
      </c>
      <c r="G62" s="112">
        <f t="shared" ref="G62:G63" si="5">F62-E62</f>
        <v>211</v>
      </c>
      <c r="H62" s="99">
        <f>G62+'22'!H62</f>
        <v>-1234</v>
      </c>
      <c r="I62" s="118"/>
      <c r="J62" s="175">
        <f>H62/DAY(B2)</f>
        <v>-53.652173913043477</v>
      </c>
      <c r="K62" s="80"/>
      <c r="L62" s="66"/>
      <c r="N62" s="87"/>
      <c r="O62" s="71"/>
    </row>
    <row r="63" spans="1:15" ht="30.75" customHeight="1">
      <c r="A63" s="907" t="s">
        <v>199</v>
      </c>
      <c r="B63" s="908"/>
      <c r="C63" s="909"/>
      <c r="D63" s="151" t="s">
        <v>142</v>
      </c>
      <c r="E63" s="95">
        <f>'22'!F63</f>
        <v>226420</v>
      </c>
      <c r="F63" s="122">
        <v>226573</v>
      </c>
      <c r="G63" s="112">
        <f t="shared" si="5"/>
        <v>153</v>
      </c>
      <c r="H63" s="99">
        <f>G63+'22'!H63</f>
        <v>-906</v>
      </c>
      <c r="I63" s="118"/>
      <c r="J63" s="175">
        <f>H63/DAY(B2)</f>
        <v>-39.391304347826086</v>
      </c>
      <c r="K63" s="69"/>
      <c r="L63" s="66"/>
      <c r="N63" s="87"/>
      <c r="O63" s="71"/>
    </row>
    <row r="64" spans="1:15" ht="30.75" customHeight="1">
      <c r="A64" s="916" t="s">
        <v>200</v>
      </c>
      <c r="B64" s="917"/>
      <c r="C64" s="918"/>
      <c r="D64" s="151"/>
      <c r="E64" s="95">
        <f>'22'!F64</f>
        <v>0</v>
      </c>
      <c r="F64" s="122"/>
      <c r="G64" s="112">
        <f>G62+G63</f>
        <v>364</v>
      </c>
      <c r="H64" s="99">
        <f>G64+'22'!H64</f>
        <v>-2140</v>
      </c>
      <c r="I64" s="118"/>
      <c r="J64" s="175">
        <f>H64/DAY(B2)</f>
        <v>-93.043478260869563</v>
      </c>
      <c r="K64" s="69"/>
      <c r="L64" s="66"/>
      <c r="N64" s="87"/>
      <c r="O64" s="71"/>
    </row>
    <row r="65" spans="1:15" ht="30.75" customHeight="1">
      <c r="A65" s="907" t="s">
        <v>201</v>
      </c>
      <c r="B65" s="908"/>
      <c r="C65" s="909"/>
      <c r="D65" s="151" t="s">
        <v>142</v>
      </c>
      <c r="E65" s="95">
        <f>'22'!F65</f>
        <v>443639</v>
      </c>
      <c r="F65" s="122">
        <v>443789</v>
      </c>
      <c r="G65" s="112">
        <f t="shared" ref="G65:G70" si="6">F65-E65</f>
        <v>150</v>
      </c>
      <c r="H65" s="99">
        <f>G65+'22'!H65</f>
        <v>-803</v>
      </c>
      <c r="I65" s="118"/>
      <c r="J65" s="175">
        <f>H65/DAY(B2)</f>
        <v>-34.913043478260867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109442</v>
      </c>
      <c r="F66" s="122">
        <v>109459</v>
      </c>
      <c r="G66" s="112">
        <f t="shared" si="6"/>
        <v>17</v>
      </c>
      <c r="H66" s="99">
        <f>G66+'22'!H66</f>
        <v>-122</v>
      </c>
      <c r="I66" s="118"/>
      <c r="J66" s="175">
        <f>H66/DAY(B2)</f>
        <v>-5.3043478260869561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110258</v>
      </c>
      <c r="F67" s="150">
        <v>110347</v>
      </c>
      <c r="G67" s="112">
        <f t="shared" si="6"/>
        <v>89</v>
      </c>
      <c r="H67" s="99">
        <f>G67+'22'!H67</f>
        <v>-553</v>
      </c>
      <c r="I67" s="118"/>
      <c r="J67" s="175">
        <f>H67/DAY(B2)</f>
        <v>-24.043478260869566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161391</v>
      </c>
      <c r="F68" s="122">
        <v>161461</v>
      </c>
      <c r="G68" s="112">
        <f t="shared" si="6"/>
        <v>70</v>
      </c>
      <c r="H68" s="99">
        <f>G68+'22'!H68</f>
        <v>-323</v>
      </c>
      <c r="I68" s="118"/>
      <c r="J68" s="175">
        <f>H68/DAY(B2)</f>
        <v>-14.043478260869565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11483</v>
      </c>
      <c r="F69" s="122">
        <v>11490</v>
      </c>
      <c r="G69" s="112">
        <f t="shared" si="6"/>
        <v>7</v>
      </c>
      <c r="H69" s="99">
        <f>G69+'22'!H69</f>
        <v>-108</v>
      </c>
      <c r="I69" s="118"/>
      <c r="J69" s="175">
        <f>H69/DAY(B2)</f>
        <v>-4.6956521739130439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8928</v>
      </c>
      <c r="F70" s="150">
        <v>8937</v>
      </c>
      <c r="G70" s="112">
        <f t="shared" si="6"/>
        <v>9</v>
      </c>
      <c r="H70" s="99">
        <f>G70+'22'!H70</f>
        <v>-64</v>
      </c>
      <c r="I70" s="118"/>
      <c r="J70" s="175">
        <f>H70/DAY(B2)</f>
        <v>-2.7826086956521738</v>
      </c>
      <c r="K70" s="69"/>
      <c r="L70" s="66"/>
      <c r="N70" s="87"/>
      <c r="O70" s="71"/>
    </row>
    <row r="71" spans="1:15" ht="30.75" customHeight="1">
      <c r="A71" s="916" t="s">
        <v>208</v>
      </c>
      <c r="B71" s="917"/>
      <c r="C71" s="918"/>
      <c r="D71" s="152"/>
      <c r="E71" s="152"/>
      <c r="F71" s="152"/>
      <c r="G71" s="153">
        <f>SUM(G65:G70)</f>
        <v>342</v>
      </c>
      <c r="H71" s="99">
        <f>G71+'22'!H71</f>
        <v>-1973</v>
      </c>
      <c r="I71" s="154"/>
      <c r="J71" s="175">
        <f>H71/DAY(B2)</f>
        <v>-85.782608695652172</v>
      </c>
      <c r="K71" s="69"/>
      <c r="L71" s="66"/>
      <c r="N71" s="87"/>
      <c r="O71" s="71"/>
    </row>
    <row r="72" spans="1:15" s="88" customFormat="1" ht="30.75" customHeight="1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07" t="s">
        <v>220</v>
      </c>
      <c r="B74" s="908"/>
      <c r="C74" s="909"/>
      <c r="D74" s="151" t="s">
        <v>139</v>
      </c>
      <c r="E74" s="95">
        <f>'22'!F74</f>
        <v>926237.98</v>
      </c>
      <c r="F74" s="117">
        <v>926556.34</v>
      </c>
      <c r="G74" s="112">
        <f t="shared" ref="G74:G78" si="7">F74-E74</f>
        <v>318.35999999998603</v>
      </c>
      <c r="H74" s="99">
        <f>G74+'22'!H74</f>
        <v>-2220.6600000000326</v>
      </c>
      <c r="I74" s="154"/>
      <c r="J74" s="175">
        <f>H74/DAY(B2)</f>
        <v>-96.550434782610111</v>
      </c>
      <c r="K74" s="69"/>
      <c r="L74" s="66"/>
      <c r="N74" s="87"/>
      <c r="O74" s="71"/>
    </row>
    <row r="75" spans="1:15" ht="30.75" customHeight="1">
      <c r="A75" s="907" t="s">
        <v>221</v>
      </c>
      <c r="B75" s="908"/>
      <c r="C75" s="909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04" t="s">
        <v>222</v>
      </c>
      <c r="B76" s="905"/>
      <c r="C76" s="906"/>
      <c r="D76" s="151" t="s">
        <v>139</v>
      </c>
      <c r="E76" s="95">
        <f>'22'!F76</f>
        <v>179163.69</v>
      </c>
      <c r="F76" s="123">
        <v>179285.1</v>
      </c>
      <c r="G76" s="112">
        <f t="shared" si="7"/>
        <v>121.41000000000349</v>
      </c>
      <c r="H76" s="99">
        <f>G76+'22'!H76</f>
        <v>-868.89999999999418</v>
      </c>
      <c r="I76" s="154"/>
      <c r="J76" s="175">
        <f>H76/DAY(B2)</f>
        <v>-37.778260869564967</v>
      </c>
      <c r="K76" s="69"/>
      <c r="L76" s="66"/>
      <c r="N76" s="87"/>
      <c r="O76" s="71"/>
    </row>
    <row r="77" spans="1:15" ht="30.75" customHeight="1">
      <c r="A77" s="904" t="s">
        <v>223</v>
      </c>
      <c r="B77" s="905"/>
      <c r="C77" s="906"/>
      <c r="D77" s="151" t="s">
        <v>139</v>
      </c>
      <c r="E77" s="95">
        <f>'22'!F77</f>
        <v>45258.3</v>
      </c>
      <c r="F77" s="123">
        <v>45316</v>
      </c>
      <c r="G77" s="112">
        <f t="shared" si="7"/>
        <v>57.69999999999709</v>
      </c>
      <c r="H77" s="99">
        <f>G77+'22'!H77</f>
        <v>-358</v>
      </c>
      <c r="I77" s="154"/>
      <c r="J77" s="175">
        <f>H77/DAY(B2)</f>
        <v>-15.565217391304348</v>
      </c>
      <c r="K77" s="69"/>
      <c r="L77" s="66"/>
      <c r="N77" s="87"/>
      <c r="O77" s="71"/>
    </row>
    <row r="78" spans="1:15" ht="30.75" customHeight="1">
      <c r="A78" s="904" t="s">
        <v>224</v>
      </c>
      <c r="B78" s="905"/>
      <c r="C78" s="906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0.6000000000003638</v>
      </c>
      <c r="I78" s="118"/>
      <c r="J78" s="175">
        <f>H78/DAY(B2)</f>
        <v>2.6086956521754946E-2</v>
      </c>
      <c r="K78" s="69"/>
      <c r="L78" s="66"/>
      <c r="N78" s="87"/>
      <c r="O78" s="71"/>
    </row>
    <row r="79" spans="1:15" s="57" customFormat="1" ht="30.75" customHeight="1">
      <c r="A79" s="904" t="s">
        <v>225</v>
      </c>
      <c r="B79" s="905"/>
      <c r="C79" s="906"/>
      <c r="D79" s="151"/>
      <c r="E79" s="95">
        <f>'22'!F79</f>
        <v>0</v>
      </c>
      <c r="F79" s="123"/>
      <c r="G79" s="112" t="e">
        <f>G15-SUM(G74:G78)</f>
        <v>#VALUE!</v>
      </c>
      <c r="H79" s="99" t="e">
        <f>G79+'22'!H79</f>
        <v>#VALUE!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7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7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41675.4</v>
      </c>
      <c r="F84" s="164">
        <v>41681.53</v>
      </c>
      <c r="G84" s="112">
        <f t="shared" si="8"/>
        <v>6.1299999999973807</v>
      </c>
      <c r="H84" s="99">
        <f>G84+'22'!H84</f>
        <v>-110.47000000000116</v>
      </c>
      <c r="I84" s="575"/>
      <c r="J84" s="175">
        <f>H84/DAY(B2)</f>
        <v>-4.8030434782609204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3598.21</v>
      </c>
      <c r="F85" s="164">
        <v>3622.21</v>
      </c>
      <c r="G85" s="112">
        <f t="shared" si="8"/>
        <v>24</v>
      </c>
      <c r="H85" s="99">
        <f>G85+'22'!H85</f>
        <v>-154.78999999999996</v>
      </c>
      <c r="I85" s="575"/>
      <c r="J85" s="175">
        <f>H85/DAY(B2)</f>
        <v>-6.7299999999999986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43900.26</v>
      </c>
      <c r="F86" s="164">
        <v>43919.19</v>
      </c>
      <c r="G86" s="112">
        <f t="shared" si="8"/>
        <v>18.930000000000291</v>
      </c>
      <c r="H86" s="99">
        <f>G86+'22'!H86</f>
        <v>-19.809999999997672</v>
      </c>
      <c r="I86" s="575"/>
      <c r="J86" s="175">
        <f>H86/DAY(B2)</f>
        <v>-0.86130434782598575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35329.06</v>
      </c>
      <c r="F87" s="164">
        <v>35329.06</v>
      </c>
      <c r="G87" s="112">
        <f t="shared" si="8"/>
        <v>0</v>
      </c>
      <c r="H87" s="99">
        <f>G87+'22'!H87</f>
        <v>5.9999999997671694E-2</v>
      </c>
      <c r="I87" s="575">
        <f>G84+G85+G86+G87</f>
        <v>49.059999999997672</v>
      </c>
      <c r="J87" s="175">
        <f>H87/DAY(B2)</f>
        <v>2.6086956520726822E-3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24174.69</v>
      </c>
      <c r="F88" s="164">
        <v>24182.32</v>
      </c>
      <c r="G88" s="112">
        <f t="shared" si="8"/>
        <v>7.6300000000010186</v>
      </c>
      <c r="H88" s="99">
        <f>G88+'22'!H88</f>
        <v>-5.7999999999992724</v>
      </c>
      <c r="I88" s="575"/>
      <c r="J88" s="175">
        <f>H88/DAY(B2)</f>
        <v>-0.25217391304344661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26640.22</v>
      </c>
      <c r="F89" s="164">
        <v>26643.7</v>
      </c>
      <c r="G89" s="112">
        <f t="shared" si="8"/>
        <v>3.4799999999995634</v>
      </c>
      <c r="H89" s="99">
        <f>G89+'22'!H89</f>
        <v>-65.520000000000437</v>
      </c>
      <c r="I89" s="575">
        <f>G88+G89</f>
        <v>11.110000000000582</v>
      </c>
      <c r="J89" s="175">
        <f>H89/DAY(B2)</f>
        <v>-2.8486956521739319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71788.759999999995</v>
      </c>
      <c r="F90" s="164">
        <v>71799.94</v>
      </c>
      <c r="G90" s="112">
        <f t="shared" si="8"/>
        <v>11.180000000007567</v>
      </c>
      <c r="H90" s="99">
        <f>G90+'22'!H90</f>
        <v>-63.589999999996508</v>
      </c>
      <c r="I90" s="575">
        <f>G90</f>
        <v>11.180000000007567</v>
      </c>
      <c r="J90" s="175">
        <f>H90/DAY(B2)</f>
        <v>-2.7647826086955005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3966.01</v>
      </c>
      <c r="F91" s="122">
        <v>3977.73</v>
      </c>
      <c r="G91" s="112">
        <f t="shared" si="8"/>
        <v>11.7199999999998</v>
      </c>
      <c r="H91" s="99">
        <f>G91+'22'!H91</f>
        <v>-81.509999999999764</v>
      </c>
      <c r="I91" s="594"/>
      <c r="J91" s="175">
        <f>H91/DAY(B2)</f>
        <v>-3.5439130434782506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5934.87</v>
      </c>
      <c r="F92" s="122">
        <v>5934.87</v>
      </c>
      <c r="G92" s="112">
        <f t="shared" si="8"/>
        <v>0</v>
      </c>
      <c r="H92" s="99">
        <f>G92+'22'!H92</f>
        <v>-0.13000000000010914</v>
      </c>
      <c r="I92" s="600">
        <f>G91+G92</f>
        <v>11.7199999999998</v>
      </c>
      <c r="J92" s="175">
        <f>H92/DAY(B2)</f>
        <v>-5.6521739130482238E-3</v>
      </c>
      <c r="O92" s="71"/>
    </row>
    <row r="93" spans="1:15" ht="30.75" customHeight="1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7683.9800000000105</v>
      </c>
      <c r="H94" s="99">
        <f>G94+'22'!H94</f>
        <v>-51755.589999999967</v>
      </c>
      <c r="I94" s="118"/>
      <c r="J94" s="175">
        <f>H94/DAY(B2)</f>
        <v>-2250.2430434782596</v>
      </c>
      <c r="K94" s="69"/>
      <c r="L94" s="66"/>
      <c r="O94" s="71"/>
    </row>
    <row r="95" spans="1:15" ht="30.75" customHeight="1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0.28459185185185226</v>
      </c>
      <c r="H95" s="99">
        <f>G95+'22'!H95</f>
        <v>-1.9392685560995424</v>
      </c>
      <c r="I95" s="167"/>
      <c r="J95" s="175">
        <f>H95/DAY(B2)</f>
        <v>-8.4316024178240981E-2</v>
      </c>
      <c r="K95" s="69"/>
      <c r="L95" s="66"/>
      <c r="O95" s="71"/>
    </row>
    <row r="96" spans="1:15" ht="30.75" customHeight="1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9799.2200000000503</v>
      </c>
      <c r="H96" s="99">
        <f>G96+'22'!H96</f>
        <v>-66991.87</v>
      </c>
      <c r="I96" s="118"/>
      <c r="J96" s="175">
        <f>H96/DAY(B2)</f>
        <v>-2912.6899999999996</v>
      </c>
      <c r="K96" s="69"/>
      <c r="L96" s="66"/>
      <c r="O96" s="71"/>
    </row>
    <row r="97" spans="1:15" ht="30.75" customHeight="1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0.36293407407407596</v>
      </c>
      <c r="H97" s="99">
        <f>G97+'22'!H97</f>
        <v>-2.5120864473962961</v>
      </c>
      <c r="I97" s="167"/>
      <c r="J97" s="175">
        <f>H97/DAY(B2)</f>
        <v>-0.10922114988679547</v>
      </c>
      <c r="K97" s="69"/>
      <c r="L97" s="66"/>
      <c r="O97" s="71"/>
    </row>
    <row r="98" spans="1:15" ht="30.75" customHeight="1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3156.7999999999884</v>
      </c>
      <c r="H98" s="99">
        <f>G98+'22'!H98</f>
        <v>-20664.270000000019</v>
      </c>
      <c r="I98" s="168"/>
      <c r="J98" s="175">
        <f>H98/DAY(B2)</f>
        <v>-898.4465217391313</v>
      </c>
      <c r="K98" s="69"/>
      <c r="L98" s="66"/>
      <c r="O98" s="71"/>
    </row>
    <row r="99" spans="1:15" ht="30.75" customHeight="1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0.11691851851851809</v>
      </c>
      <c r="H99" s="99">
        <f>G99+'22'!H99</f>
        <v>-0.77279429105757902</v>
      </c>
      <c r="I99" s="168"/>
      <c r="J99" s="175">
        <f>H99/DAY(B2)</f>
        <v>-3.3599751785112132E-2</v>
      </c>
      <c r="O99" s="71"/>
    </row>
    <row r="100" spans="1:15" ht="30.75" customHeight="1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2416.6600000000035</v>
      </c>
      <c r="H100" s="99">
        <f>G100+'22'!H100</f>
        <v>-16936.289999999986</v>
      </c>
      <c r="I100" s="118"/>
      <c r="J100" s="175">
        <f>H100/DAY(B2)</f>
        <v>-736.36043478260808</v>
      </c>
      <c r="K100" s="70"/>
      <c r="O100" s="71"/>
    </row>
    <row r="101" spans="1:15" ht="30.75" customHeight="1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8.9505925925926058E-2</v>
      </c>
      <c r="H101" s="99">
        <f>G101+'22'!H101</f>
        <v>-0.63318889874402895</v>
      </c>
      <c r="I101" s="168"/>
      <c r="J101" s="175">
        <f>H101/DAY(B2)</f>
        <v>-2.7529952119305607E-2</v>
      </c>
      <c r="O101" s="71"/>
    </row>
    <row r="102" spans="1:15" ht="30.75" customHeight="1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2699.3500000000204</v>
      </c>
      <c r="H102" s="99">
        <f>G102+'22'!H102</f>
        <v>-17046.399999999994</v>
      </c>
      <c r="I102" s="168"/>
      <c r="J102" s="175">
        <f>H102/DAY(B2)</f>
        <v>-741.14782608695623</v>
      </c>
      <c r="O102" s="71"/>
    </row>
    <row r="103" spans="1:15" ht="30.75" customHeight="1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9.9975925925926676E-2</v>
      </c>
      <c r="H103" s="99">
        <f>G103+'22'!H103</f>
        <v>-0.64274459133982209</v>
      </c>
      <c r="I103" s="118"/>
      <c r="J103" s="175">
        <f>H103/DAY(B2)</f>
        <v>-2.7945417014774872E-2</v>
      </c>
      <c r="O103" s="71"/>
    </row>
    <row r="104" spans="1:15" ht="30.75" customHeight="1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1861.7399999999907</v>
      </c>
      <c r="H104" s="99">
        <f>G104+'22'!H104</f>
        <v>-12211.489999999998</v>
      </c>
      <c r="I104" s="118"/>
      <c r="J104" s="175">
        <f>H104/DAY(B2)</f>
        <v>-530.93434782608688</v>
      </c>
      <c r="O104" s="71"/>
    </row>
    <row r="105" spans="1:15" ht="30.75" customHeight="1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6.8953333333332992E-2</v>
      </c>
      <c r="H105" s="99">
        <f>G105+'22'!H105</f>
        <v>-0.45696695215845562</v>
      </c>
      <c r="I105" s="187"/>
      <c r="J105" s="188">
        <f>H105/DAY(B2)</f>
        <v>-1.9868128354715461E-2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30.75" customHeight="1">
      <c r="A109" s="924"/>
      <c r="B109" s="924"/>
    </row>
    <row r="110" spans="1:15" ht="30.75" customHeight="1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30.75" customHeight="1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86" t="s">
        <v>252</v>
      </c>
      <c r="B112" s="887"/>
      <c r="C112" s="888"/>
      <c r="D112" s="146" t="s">
        <v>183</v>
      </c>
      <c r="E112" s="95">
        <v>0</v>
      </c>
      <c r="F112" s="237">
        <v>239</v>
      </c>
      <c r="G112" s="112">
        <f t="shared" ref="G112:G123" si="9">F112-E112</f>
        <v>239</v>
      </c>
      <c r="H112" s="99">
        <f>G112+'22'!H112</f>
        <v>63916</v>
      </c>
      <c r="I112" s="165"/>
      <c r="J112" s="328">
        <f>H112/DAY(B2)</f>
        <v>2778.9565217391305</v>
      </c>
    </row>
    <row r="113" spans="1:18" ht="30.75" customHeight="1">
      <c r="A113" s="886" t="s">
        <v>253</v>
      </c>
      <c r="B113" s="887"/>
      <c r="C113" s="888"/>
      <c r="D113" s="146" t="s">
        <v>183</v>
      </c>
      <c r="E113" s="95">
        <v>0</v>
      </c>
      <c r="F113" s="237">
        <v>576</v>
      </c>
      <c r="G113" s="112">
        <f t="shared" si="9"/>
        <v>576</v>
      </c>
      <c r="H113" s="99">
        <f>G113+'22'!H113</f>
        <v>85271.39</v>
      </c>
      <c r="I113" s="165"/>
      <c r="J113" s="328">
        <f>H113/DAY(B2)</f>
        <v>3707.4517391304348</v>
      </c>
    </row>
    <row r="114" spans="1:18" ht="30.75" customHeight="1">
      <c r="A114" s="886" t="s">
        <v>254</v>
      </c>
      <c r="B114" s="887"/>
      <c r="C114" s="888"/>
      <c r="D114" s="146" t="s">
        <v>183</v>
      </c>
      <c r="E114" s="95">
        <v>0</v>
      </c>
      <c r="F114" s="237">
        <v>232</v>
      </c>
      <c r="G114" s="112">
        <f t="shared" si="9"/>
        <v>232</v>
      </c>
      <c r="H114" s="99">
        <f>G114+'22'!H114</f>
        <v>55931.11</v>
      </c>
      <c r="I114" s="165"/>
      <c r="J114" s="328">
        <f>H114/DAY(B2)</f>
        <v>2431.7873913043477</v>
      </c>
    </row>
    <row r="115" spans="1:18" ht="30.75" customHeight="1">
      <c r="A115" s="886" t="s">
        <v>255</v>
      </c>
      <c r="B115" s="887"/>
      <c r="C115" s="888"/>
      <c r="D115" s="146" t="s">
        <v>183</v>
      </c>
      <c r="E115" s="95">
        <v>0</v>
      </c>
      <c r="F115" s="237">
        <v>59</v>
      </c>
      <c r="G115" s="112">
        <f t="shared" si="9"/>
        <v>59</v>
      </c>
      <c r="H115" s="99">
        <f>G115+'22'!H115</f>
        <v>9853.75</v>
      </c>
      <c r="I115" s="165"/>
      <c r="J115" s="328">
        <f>H115/DAY(B2)</f>
        <v>428.42391304347825</v>
      </c>
    </row>
    <row r="116" spans="1:18" ht="30.75" customHeight="1">
      <c r="A116" s="893" t="s">
        <v>96</v>
      </c>
      <c r="B116" s="894"/>
      <c r="C116" s="895"/>
      <c r="D116" s="146" t="s">
        <v>183</v>
      </c>
      <c r="E116" s="95">
        <f>'22'!F116</f>
        <v>31973.35</v>
      </c>
      <c r="F116" s="237">
        <v>32373.59</v>
      </c>
      <c r="G116" s="112">
        <f t="shared" si="9"/>
        <v>400.2400000000016</v>
      </c>
      <c r="H116" s="99">
        <f>G116+'22'!H116</f>
        <v>-2292.41</v>
      </c>
      <c r="I116" s="165"/>
      <c r="J116" s="328">
        <f>H116/DAY(B2)</f>
        <v>-99.669999999999987</v>
      </c>
      <c r="Q116" s="886" t="s">
        <v>311</v>
      </c>
      <c r="R116" s="888"/>
    </row>
    <row r="117" spans="1:18" ht="30.75" customHeight="1">
      <c r="A117" s="893" t="s">
        <v>184</v>
      </c>
      <c r="B117" s="894"/>
      <c r="C117" s="895"/>
      <c r="D117" s="146" t="s">
        <v>183</v>
      </c>
      <c r="E117" s="95">
        <f>'22'!F117</f>
        <v>17730.12</v>
      </c>
      <c r="F117" s="237">
        <v>17820</v>
      </c>
      <c r="G117" s="112">
        <f t="shared" si="9"/>
        <v>89.880000000001019</v>
      </c>
      <c r="H117" s="99">
        <f>G117+'22'!H117</f>
        <v>-1116</v>
      </c>
      <c r="I117" s="165"/>
      <c r="J117" s="328">
        <f>H117/DAY(B2)</f>
        <v>-48.521739130434781</v>
      </c>
      <c r="Q117" s="886" t="s">
        <v>312</v>
      </c>
      <c r="R117" s="888"/>
    </row>
    <row r="118" spans="1:18" ht="30.75" customHeight="1">
      <c r="A118" s="885" t="s">
        <v>97</v>
      </c>
      <c r="B118" s="885"/>
      <c r="C118" s="885"/>
      <c r="D118" s="151" t="s">
        <v>183</v>
      </c>
      <c r="E118" s="95">
        <f>'22'!F118</f>
        <v>4752.82</v>
      </c>
      <c r="F118" s="237">
        <v>5277</v>
      </c>
      <c r="G118" s="112">
        <f t="shared" si="9"/>
        <v>524.18000000000029</v>
      </c>
      <c r="H118" s="99">
        <f>G118+'22'!H118</f>
        <v>-3786.0000000000009</v>
      </c>
      <c r="I118" s="165"/>
      <c r="J118" s="328">
        <f>H118/DAY(B2)</f>
        <v>-164.60869565217396</v>
      </c>
      <c r="Q118" s="886" t="s">
        <v>311</v>
      </c>
      <c r="R118" s="888"/>
    </row>
    <row r="119" spans="1:18" ht="30.75" customHeight="1">
      <c r="A119" s="885" t="s">
        <v>98</v>
      </c>
      <c r="B119" s="885"/>
      <c r="C119" s="885"/>
      <c r="D119" s="151" t="s">
        <v>183</v>
      </c>
      <c r="E119" s="95">
        <f>'22'!F119</f>
        <v>2307.12</v>
      </c>
      <c r="F119" s="237">
        <v>2762.02</v>
      </c>
      <c r="G119" s="112">
        <f t="shared" si="9"/>
        <v>454.90000000000009</v>
      </c>
      <c r="H119" s="99">
        <f>G119+'22'!H119</f>
        <v>287277.02</v>
      </c>
      <c r="I119" s="165"/>
      <c r="J119" s="328">
        <f>H119/DAY(B2)</f>
        <v>12490.305217391306</v>
      </c>
    </row>
    <row r="120" spans="1:18" ht="30.75" customHeight="1">
      <c r="A120" s="885" t="s">
        <v>99</v>
      </c>
      <c r="B120" s="885"/>
      <c r="C120" s="885"/>
      <c r="D120" s="151" t="s">
        <v>183</v>
      </c>
      <c r="E120" s="95">
        <f>'22'!F120</f>
        <v>3689.43</v>
      </c>
      <c r="F120" s="237">
        <v>4107.34</v>
      </c>
      <c r="G120" s="112">
        <f t="shared" si="9"/>
        <v>417.91000000000031</v>
      </c>
      <c r="H120" s="99">
        <f>G120+'22'!H120</f>
        <v>-3027.66</v>
      </c>
      <c r="I120" s="165"/>
      <c r="J120" s="328">
        <f>H120/DAY(B2)</f>
        <v>-131.63739130434783</v>
      </c>
    </row>
    <row r="121" spans="1:18" ht="30.75" customHeight="1">
      <c r="A121" s="885" t="s">
        <v>100</v>
      </c>
      <c r="B121" s="885"/>
      <c r="C121" s="885"/>
      <c r="D121" s="151" t="s">
        <v>183</v>
      </c>
      <c r="E121" s="95">
        <f>'22'!F121</f>
        <v>7193.75</v>
      </c>
      <c r="F121" s="237">
        <v>8006.9</v>
      </c>
      <c r="G121" s="112">
        <f t="shared" si="9"/>
        <v>813.14999999999964</v>
      </c>
      <c r="H121" s="99">
        <f>G121+'22'!H121</f>
        <v>-3720.1000000000004</v>
      </c>
      <c r="I121" s="165"/>
      <c r="J121" s="328">
        <f>H121/DAY(B2)</f>
        <v>-161.74347826086958</v>
      </c>
    </row>
    <row r="122" spans="1:18" ht="30.75" customHeight="1">
      <c r="A122" s="885" t="s">
        <v>101</v>
      </c>
      <c r="B122" s="885"/>
      <c r="C122" s="885"/>
      <c r="D122" s="151" t="s">
        <v>183</v>
      </c>
      <c r="E122" s="95">
        <f>'22'!F122</f>
        <v>1842.33</v>
      </c>
      <c r="F122" s="237">
        <v>2083.5500000000002</v>
      </c>
      <c r="G122" s="112">
        <f t="shared" si="9"/>
        <v>241.22000000000025</v>
      </c>
      <c r="H122" s="99">
        <f>G122+'22'!H122</f>
        <v>-1480.4499999999998</v>
      </c>
      <c r="I122" s="165"/>
      <c r="J122" s="328">
        <f>H122/DAY(B2)</f>
        <v>-64.367391304347819</v>
      </c>
    </row>
    <row r="123" spans="1:18" ht="30.75" customHeight="1">
      <c r="A123" s="885" t="s">
        <v>102</v>
      </c>
      <c r="B123" s="885"/>
      <c r="C123" s="885"/>
      <c r="D123" s="151" t="s">
        <v>183</v>
      </c>
      <c r="E123" s="95">
        <v>0</v>
      </c>
      <c r="F123" s="237">
        <v>284</v>
      </c>
      <c r="G123" s="112">
        <f t="shared" si="9"/>
        <v>284</v>
      </c>
      <c r="H123" s="99">
        <f>G123+'22'!H123</f>
        <v>174360.53</v>
      </c>
      <c r="I123" s="165"/>
      <c r="J123" s="328">
        <f>H123/DAY(B2)</f>
        <v>7580.8926086956517</v>
      </c>
    </row>
    <row r="124" spans="1:18" ht="30.75" customHeight="1">
      <c r="A124" s="890"/>
      <c r="B124" s="891"/>
      <c r="C124" s="892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868" t="s">
        <v>196</v>
      </c>
      <c r="B125" s="869"/>
      <c r="C125" s="245"/>
      <c r="D125" s="307"/>
      <c r="E125" s="308"/>
      <c r="F125" s="308"/>
      <c r="G125" s="309">
        <f>SUM(G112:G124)</f>
        <v>4331.4800000000032</v>
      </c>
      <c r="H125" s="156"/>
      <c r="I125" s="327">
        <f>G125-(G39+G53)</f>
        <v>1174.6800000000148</v>
      </c>
      <c r="J125" s="327"/>
    </row>
    <row r="126" spans="1:18" ht="30.75" customHeight="1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30.75" customHeight="1">
      <c r="A127" s="873"/>
      <c r="B127" s="873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886" t="s">
        <v>318</v>
      </c>
      <c r="B128" s="887"/>
      <c r="C128" s="888"/>
      <c r="D128" s="151" t="s">
        <v>183</v>
      </c>
      <c r="E128" s="95">
        <f>'22'!F128</f>
        <v>78346.539999999994</v>
      </c>
      <c r="F128" s="155">
        <v>78684.149999999994</v>
      </c>
      <c r="G128" s="112">
        <f t="shared" ref="G128:G134" si="10">F128-E128</f>
        <v>337.61000000000058</v>
      </c>
      <c r="H128" s="99">
        <f>G128+'22'!H128</f>
        <v>-2730.8500000000058</v>
      </c>
      <c r="I128" s="165"/>
      <c r="J128" s="328">
        <f>H128/DAY(B2)</f>
        <v>-118.73260869565243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48708.93</v>
      </c>
      <c r="F129" s="155">
        <v>48981.99</v>
      </c>
      <c r="G129" s="112">
        <f t="shared" si="10"/>
        <v>273.05999999999767</v>
      </c>
      <c r="H129" s="99">
        <f>G129+'22'!H129</f>
        <v>-2090.010000000002</v>
      </c>
      <c r="I129" s="165"/>
      <c r="J129" s="328">
        <f>H129/DAY(B2)</f>
        <v>-90.87000000000009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91028.83</v>
      </c>
      <c r="F130" s="155">
        <v>91744.15</v>
      </c>
      <c r="G130" s="112">
        <f t="shared" si="10"/>
        <v>715.31999999999243</v>
      </c>
      <c r="H130" s="99">
        <f>G130+'22'!H130</f>
        <v>-4901.8500000000058</v>
      </c>
      <c r="I130" s="165"/>
      <c r="J130" s="328">
        <f>H130/DAY(B2)</f>
        <v>-213.12391304347852</v>
      </c>
      <c r="N130" s="240"/>
      <c r="O130" s="241"/>
    </row>
    <row r="131" spans="1:15" ht="30.75" customHeight="1">
      <c r="A131" s="886" t="s">
        <v>321</v>
      </c>
      <c r="B131" s="887"/>
      <c r="C131" s="888"/>
      <c r="D131" s="151" t="s">
        <v>183</v>
      </c>
      <c r="E131" s="95">
        <f>'22'!F131</f>
        <v>28754.99</v>
      </c>
      <c r="F131" s="155">
        <v>28942.54</v>
      </c>
      <c r="G131" s="112">
        <f t="shared" si="10"/>
        <v>187.54999999999927</v>
      </c>
      <c r="H131" s="99">
        <f>G131+'22'!H131</f>
        <v>-1492.4599999999991</v>
      </c>
      <c r="I131" s="165"/>
      <c r="J131" s="328">
        <f>H131/DAY(B2)</f>
        <v>-64.889565217391265</v>
      </c>
      <c r="N131" s="240"/>
      <c r="O131" s="241"/>
    </row>
    <row r="132" spans="1:15" ht="30.75" customHeight="1">
      <c r="A132" s="886" t="s">
        <v>322</v>
      </c>
      <c r="B132" s="887"/>
      <c r="C132" s="888"/>
      <c r="D132" s="151" t="s">
        <v>183</v>
      </c>
      <c r="E132" s="95">
        <f>'22'!F132</f>
        <v>85287.43</v>
      </c>
      <c r="F132" s="155">
        <v>85729.86</v>
      </c>
      <c r="G132" s="112">
        <f t="shared" si="10"/>
        <v>442.43000000000757</v>
      </c>
      <c r="H132" s="99">
        <f>G132+'22'!H132</f>
        <v>-3207.1399999999994</v>
      </c>
      <c r="I132" s="165"/>
      <c r="J132" s="328">
        <f>H132/DAY(B2)</f>
        <v>-139.44086956521735</v>
      </c>
    </row>
    <row r="133" spans="1:15" ht="30.75" customHeight="1">
      <c r="A133" s="886" t="s">
        <v>360</v>
      </c>
      <c r="B133" s="887"/>
      <c r="C133" s="888"/>
      <c r="D133" s="151" t="s">
        <v>183</v>
      </c>
      <c r="E133" s="95">
        <f>'22'!F133</f>
        <v>165297.78</v>
      </c>
      <c r="F133" s="155">
        <v>166285.31</v>
      </c>
      <c r="G133" s="112">
        <f t="shared" si="10"/>
        <v>987.52999999999884</v>
      </c>
      <c r="H133" s="99">
        <f>G133+'22'!H133</f>
        <v>-6160.6900000000023</v>
      </c>
      <c r="I133" s="165"/>
      <c r="J133" s="328">
        <f>H133/DAY(B2)</f>
        <v>-267.85608695652184</v>
      </c>
    </row>
    <row r="134" spans="1:15" ht="30.75" customHeight="1">
      <c r="A134" s="886" t="s">
        <v>340</v>
      </c>
      <c r="B134" s="887"/>
      <c r="C134" s="888"/>
      <c r="D134" s="151" t="s">
        <v>183</v>
      </c>
      <c r="E134" s="95">
        <f>'22'!F134</f>
        <v>26099.58</v>
      </c>
      <c r="F134" s="374">
        <v>26332.639999999999</v>
      </c>
      <c r="G134" s="112">
        <f t="shared" si="10"/>
        <v>233.05999999999767</v>
      </c>
      <c r="H134" s="99">
        <f>G134+'22'!H134</f>
        <v>-1760.3600000000006</v>
      </c>
      <c r="I134" s="165"/>
      <c r="J134" s="328">
        <f>H134/DAY(B2)</f>
        <v>-76.53739130434785</v>
      </c>
    </row>
    <row r="135" spans="1:15" ht="30.75" customHeight="1">
      <c r="A135" s="868" t="s">
        <v>196</v>
      </c>
      <c r="B135" s="869"/>
      <c r="C135" s="331"/>
      <c r="D135" s="151"/>
      <c r="E135" s="95"/>
      <c r="F135" s="466"/>
      <c r="G135" s="112">
        <f>SUM(G128:G134)</f>
        <v>3176.559999999994</v>
      </c>
      <c r="H135" s="99">
        <f>G135+'10'!H135</f>
        <v>36226.790000000008</v>
      </c>
      <c r="I135" s="327">
        <f>G135-(G35+G49)</f>
        <v>-746.86000000001877</v>
      </c>
      <c r="J135" s="328"/>
    </row>
    <row r="136" spans="1:15" ht="30.75" customHeight="1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85" t="s">
        <v>185</v>
      </c>
      <c r="B138" s="885"/>
      <c r="C138" s="885"/>
      <c r="D138" s="151" t="s">
        <v>183</v>
      </c>
      <c r="E138" s="95">
        <f>'22'!F138</f>
        <v>877509</v>
      </c>
      <c r="F138" s="147">
        <v>877690</v>
      </c>
      <c r="G138" s="112">
        <f t="shared" ref="G138:G152" si="11">F138-E138</f>
        <v>181</v>
      </c>
      <c r="H138" s="99">
        <f>G138+'22'!H138</f>
        <v>-1094</v>
      </c>
      <c r="I138" s="118"/>
      <c r="J138" s="328">
        <f>H138/DAY(B2)</f>
        <v>-47.565217391304351</v>
      </c>
    </row>
    <row r="139" spans="1:15" ht="30.75" customHeight="1">
      <c r="A139" s="885" t="s">
        <v>186</v>
      </c>
      <c r="B139" s="885"/>
      <c r="C139" s="885"/>
      <c r="D139" s="151" t="s">
        <v>183</v>
      </c>
      <c r="E139" s="95">
        <f>'22'!F139</f>
        <v>893679</v>
      </c>
      <c r="F139" s="148">
        <v>893824</v>
      </c>
      <c r="G139" s="112">
        <f t="shared" si="11"/>
        <v>145</v>
      </c>
      <c r="H139" s="99">
        <f>G139+'22'!H139</f>
        <v>-1042</v>
      </c>
      <c r="I139" s="118"/>
      <c r="J139" s="328">
        <f>H139/DAY(B2)</f>
        <v>-45.304347826086953</v>
      </c>
    </row>
    <row r="140" spans="1:15" ht="30.75" customHeight="1">
      <c r="A140" s="885" t="s">
        <v>187</v>
      </c>
      <c r="B140" s="885"/>
      <c r="C140" s="885"/>
      <c r="D140" s="151" t="s">
        <v>183</v>
      </c>
      <c r="E140" s="95">
        <f>'22'!F140</f>
        <v>89030.399999999994</v>
      </c>
      <c r="F140" s="149">
        <v>89032</v>
      </c>
      <c r="G140" s="112">
        <f t="shared" si="11"/>
        <v>1.6000000000058208</v>
      </c>
      <c r="H140" s="99">
        <f>G140+'22'!H140</f>
        <v>88897</v>
      </c>
      <c r="I140" s="118"/>
      <c r="J140" s="328">
        <f>H140/DAY(B2)</f>
        <v>3865.086956521739</v>
      </c>
    </row>
    <row r="141" spans="1:15" ht="30.75" customHeight="1">
      <c r="A141" s="864" t="s">
        <v>188</v>
      </c>
      <c r="B141" s="864"/>
      <c r="C141" s="864"/>
      <c r="D141" s="151" t="s">
        <v>183</v>
      </c>
      <c r="E141" s="95">
        <f>'22'!F141</f>
        <v>70123.66</v>
      </c>
      <c r="F141" s="149">
        <v>70331.41</v>
      </c>
      <c r="G141" s="112">
        <f t="shared" si="11"/>
        <v>207.75</v>
      </c>
      <c r="H141" s="99">
        <f>G141+'22'!H141</f>
        <v>-1442.5899999999965</v>
      </c>
      <c r="I141" s="118"/>
      <c r="J141" s="328">
        <f>H141/DAY(B2)</f>
        <v>-62.721304347825935</v>
      </c>
    </row>
    <row r="142" spans="1:15" ht="30.75" customHeight="1">
      <c r="A142" s="864" t="s">
        <v>189</v>
      </c>
      <c r="B142" s="864"/>
      <c r="C142" s="864"/>
      <c r="D142" s="151" t="s">
        <v>183</v>
      </c>
      <c r="E142" s="95">
        <f>'22'!F142</f>
        <v>26926.42</v>
      </c>
      <c r="F142" s="148">
        <v>26989.49</v>
      </c>
      <c r="G142" s="112">
        <f t="shared" si="11"/>
        <v>63.070000000003347</v>
      </c>
      <c r="H142" s="99">
        <f>G142+'22'!H142</f>
        <v>-476.5099999999984</v>
      </c>
      <c r="I142" s="140"/>
      <c r="J142" s="328">
        <f>H142/DAY(B2)</f>
        <v>-20.717826086956453</v>
      </c>
    </row>
    <row r="143" spans="1:15" ht="30.75" customHeight="1">
      <c r="A143" s="885" t="s">
        <v>91</v>
      </c>
      <c r="B143" s="885"/>
      <c r="C143" s="885"/>
      <c r="D143" s="151" t="s">
        <v>183</v>
      </c>
      <c r="E143" s="95">
        <f>'22'!F143</f>
        <v>6179.16</v>
      </c>
      <c r="F143" s="149">
        <v>6210.37</v>
      </c>
      <c r="G143" s="112">
        <f t="shared" si="11"/>
        <v>31.210000000000036</v>
      </c>
      <c r="H143" s="99">
        <f>G143+'22'!H143</f>
        <v>-206.63000000000011</v>
      </c>
      <c r="I143" s="140"/>
      <c r="J143" s="328">
        <f>H143/DAY(B2)</f>
        <v>-8.9839130434782657</v>
      </c>
    </row>
    <row r="144" spans="1:15" ht="30.75" customHeight="1">
      <c r="A144" s="864" t="s">
        <v>90</v>
      </c>
      <c r="B144" s="864"/>
      <c r="C144" s="864"/>
      <c r="D144" s="151" t="s">
        <v>183</v>
      </c>
      <c r="E144" s="95">
        <f>'22'!F144</f>
        <v>895330</v>
      </c>
      <c r="F144" s="149">
        <v>895536</v>
      </c>
      <c r="G144" s="112">
        <f t="shared" si="11"/>
        <v>206</v>
      </c>
      <c r="H144" s="99">
        <f>G144+'22'!H144</f>
        <v>-1697</v>
      </c>
      <c r="I144" s="140"/>
      <c r="J144" s="328">
        <f>H144/DAY(B2)</f>
        <v>-73.782608695652172</v>
      </c>
    </row>
    <row r="145" spans="1:10" ht="30.75" customHeight="1">
      <c r="A145" s="885" t="s">
        <v>190</v>
      </c>
      <c r="B145" s="885"/>
      <c r="C145" s="885"/>
      <c r="D145" s="152" t="s">
        <v>183</v>
      </c>
      <c r="E145" s="95">
        <f>'22'!F145</f>
        <v>5609.04</v>
      </c>
      <c r="F145" s="149">
        <v>5611.38</v>
      </c>
      <c r="G145" s="112">
        <f t="shared" si="11"/>
        <v>2.3400000000001455</v>
      </c>
      <c r="H145" s="99">
        <f>G145+'22'!H145</f>
        <v>-16.619999999999891</v>
      </c>
      <c r="I145" s="140"/>
      <c r="J145" s="328">
        <f>H145/DAY(B2)</f>
        <v>-0.72260869565216912</v>
      </c>
    </row>
    <row r="146" spans="1:10" ht="30.75" customHeight="1">
      <c r="A146" s="920" t="s">
        <v>191</v>
      </c>
      <c r="B146" s="905"/>
      <c r="C146" s="906"/>
      <c r="D146" s="152" t="s">
        <v>183</v>
      </c>
      <c r="E146" s="95">
        <f>'22'!F146</f>
        <v>775150</v>
      </c>
      <c r="F146" s="148">
        <v>775651</v>
      </c>
      <c r="G146" s="112">
        <f t="shared" si="11"/>
        <v>501</v>
      </c>
      <c r="H146" s="99">
        <f>G146+'22'!H146</f>
        <v>-803</v>
      </c>
      <c r="I146" s="140"/>
      <c r="J146" s="328">
        <f>H146/DAY(B2)</f>
        <v>-34.913043478260867</v>
      </c>
    </row>
    <row r="147" spans="1:10" ht="30.75" customHeight="1">
      <c r="A147" s="864" t="s">
        <v>192</v>
      </c>
      <c r="B147" s="864"/>
      <c r="C147" s="864"/>
      <c r="D147" s="152" t="s">
        <v>183</v>
      </c>
      <c r="E147" s="95">
        <f>'22'!F147</f>
        <v>659791.16</v>
      </c>
      <c r="F147" s="148">
        <v>660280</v>
      </c>
      <c r="G147" s="112">
        <f t="shared" si="11"/>
        <v>488.8399999999674</v>
      </c>
      <c r="H147" s="99">
        <f>G147+'22'!H147</f>
        <v>-2948</v>
      </c>
      <c r="I147" s="140"/>
      <c r="J147" s="328">
        <f>H147/DAY(B2)</f>
        <v>-128.17391304347825</v>
      </c>
    </row>
    <row r="148" spans="1:10" ht="30.75" customHeight="1">
      <c r="A148" s="865" t="s">
        <v>193</v>
      </c>
      <c r="B148" s="866"/>
      <c r="C148" s="867"/>
      <c r="D148" s="123" t="s">
        <v>130</v>
      </c>
      <c r="E148" s="95">
        <f>'22'!F148</f>
        <v>716822.48</v>
      </c>
      <c r="F148" s="150">
        <v>717265.52</v>
      </c>
      <c r="G148" s="112">
        <f t="shared" si="11"/>
        <v>443.04000000003725</v>
      </c>
      <c r="H148" s="99">
        <f>G148+'22'!H148</f>
        <v>-2650.4799999999814</v>
      </c>
      <c r="I148" s="124"/>
      <c r="J148" s="328">
        <f>H148/DAY(B2)</f>
        <v>-115.23826086956441</v>
      </c>
    </row>
    <row r="149" spans="1:10" ht="30.75" customHeight="1">
      <c r="A149" s="865" t="s">
        <v>336</v>
      </c>
      <c r="B149" s="866"/>
      <c r="C149" s="867"/>
      <c r="D149" s="227" t="s">
        <v>130</v>
      </c>
      <c r="E149" s="95">
        <f>'22'!F149</f>
        <v>78018.91</v>
      </c>
      <c r="F149" s="227">
        <v>78758.75</v>
      </c>
      <c r="G149" s="112">
        <f t="shared" si="11"/>
        <v>739.83999999999651</v>
      </c>
      <c r="H149" s="99">
        <f>G149+'22'!H149</f>
        <v>-4629.25</v>
      </c>
      <c r="I149" s="119"/>
      <c r="J149" s="328">
        <f>H149/DAY(B2)</f>
        <v>-201.27173913043478</v>
      </c>
    </row>
    <row r="150" spans="1:10" ht="30.75" customHeight="1">
      <c r="A150" s="865" t="s">
        <v>337</v>
      </c>
      <c r="B150" s="866"/>
      <c r="C150" s="867"/>
      <c r="D150" s="117" t="s">
        <v>130</v>
      </c>
      <c r="E150" s="95">
        <f>'22'!F150</f>
        <v>28883.62</v>
      </c>
      <c r="F150" s="233">
        <v>29100.42</v>
      </c>
      <c r="G150" s="112">
        <f t="shared" si="11"/>
        <v>216.79999999999927</v>
      </c>
      <c r="H150" s="99">
        <f>G150+'22'!H150</f>
        <v>-1486.5800000000017</v>
      </c>
      <c r="I150" s="119"/>
      <c r="J150" s="328">
        <f>H150/DAY(B2)</f>
        <v>-64.63391304347833</v>
      </c>
    </row>
    <row r="151" spans="1:10" ht="30.75" customHeight="1">
      <c r="A151" s="865" t="s">
        <v>338</v>
      </c>
      <c r="B151" s="866"/>
      <c r="C151" s="867"/>
      <c r="D151" s="117" t="s">
        <v>130</v>
      </c>
      <c r="E151" s="95">
        <f>'22'!F151</f>
        <v>106827</v>
      </c>
      <c r="F151" s="233">
        <v>107123</v>
      </c>
      <c r="G151" s="112">
        <f t="shared" si="11"/>
        <v>296</v>
      </c>
      <c r="H151" s="99">
        <f>G151+'22'!H151</f>
        <v>-2105</v>
      </c>
      <c r="I151" s="119"/>
      <c r="J151" s="328">
        <f>H151/DAY(B2)</f>
        <v>-91.521739130434781</v>
      </c>
    </row>
    <row r="152" spans="1:10" ht="30.75" customHeight="1">
      <c r="A152" s="865" t="s">
        <v>339</v>
      </c>
      <c r="B152" s="866"/>
      <c r="C152" s="867"/>
      <c r="D152" s="117" t="s">
        <v>130</v>
      </c>
      <c r="E152" s="95">
        <f>'22'!F152</f>
        <v>10457.92</v>
      </c>
      <c r="F152" s="233">
        <v>10515.68</v>
      </c>
      <c r="G152" s="112">
        <f t="shared" si="11"/>
        <v>57.760000000000218</v>
      </c>
      <c r="H152" s="99">
        <f>G152+'22'!H152</f>
        <v>-640.31999999999971</v>
      </c>
      <c r="I152" s="119"/>
      <c r="J152" s="328">
        <f>H152/DAY(B2)</f>
        <v>-27.839999999999986</v>
      </c>
    </row>
    <row r="153" spans="1:10" ht="30.75" customHeight="1">
      <c r="A153" s="868" t="s">
        <v>196</v>
      </c>
      <c r="B153" s="869"/>
      <c r="C153" s="365"/>
      <c r="D153" s="358"/>
      <c r="E153" s="360"/>
      <c r="F153" s="361"/>
      <c r="G153" s="362">
        <f>SUM(G138:G152)</f>
        <v>3581.25000000001</v>
      </c>
      <c r="H153" s="363"/>
      <c r="I153" s="119">
        <f>G153-(G38+G52)</f>
        <v>1164.5900000000065</v>
      </c>
      <c r="J153" s="366"/>
    </row>
    <row r="154" spans="1:10" ht="30.75" customHeight="1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30.75" customHeight="1">
      <c r="A155" s="864" t="s">
        <v>345</v>
      </c>
      <c r="B155" s="864"/>
      <c r="C155" s="864"/>
      <c r="D155" s="117" t="s">
        <v>130</v>
      </c>
      <c r="E155" s="95">
        <f>'22'!F155</f>
        <v>87404.25</v>
      </c>
      <c r="F155" s="374">
        <v>88126.03</v>
      </c>
      <c r="G155" s="112">
        <f t="shared" ref="G155:G158" si="12">F155-E155</f>
        <v>721.77999999999884</v>
      </c>
      <c r="H155" s="99">
        <f>G155+'22'!H155</f>
        <v>-4605.9700000000012</v>
      </c>
      <c r="I155" s="364"/>
      <c r="J155" s="161">
        <v>329</v>
      </c>
    </row>
    <row r="156" spans="1:10" ht="30.75" customHeight="1">
      <c r="A156" s="864" t="s">
        <v>347</v>
      </c>
      <c r="B156" s="864"/>
      <c r="C156" s="864"/>
      <c r="D156" s="117" t="s">
        <v>130</v>
      </c>
      <c r="E156" s="95">
        <f>'22'!F156</f>
        <v>7252.02</v>
      </c>
      <c r="F156" s="374">
        <v>7309</v>
      </c>
      <c r="G156" s="112">
        <f t="shared" si="12"/>
        <v>56.979999999999563</v>
      </c>
      <c r="H156" s="99">
        <f>G156+'22'!H156</f>
        <v>-382</v>
      </c>
      <c r="I156" s="165"/>
      <c r="J156" s="328">
        <f>H156/DAY(B2)</f>
        <v>-16.608695652173914</v>
      </c>
    </row>
    <row r="157" spans="1:10" ht="30.75" customHeight="1">
      <c r="A157" s="865" t="s">
        <v>361</v>
      </c>
      <c r="B157" s="866"/>
      <c r="C157" s="867"/>
      <c r="D157" s="117" t="s">
        <v>130</v>
      </c>
      <c r="E157" s="95">
        <f>'22'!F157</f>
        <v>12597.72</v>
      </c>
      <c r="F157" s="95">
        <v>12726.04</v>
      </c>
      <c r="G157" s="112">
        <f t="shared" si="12"/>
        <v>128.32000000000153</v>
      </c>
      <c r="H157" s="99">
        <f>G157+'22'!H157</f>
        <v>453.04000000000087</v>
      </c>
      <c r="I157" s="165"/>
      <c r="J157" s="328">
        <f>H157/DAY(B2)</f>
        <v>19.697391304347864</v>
      </c>
    </row>
    <row r="158" spans="1:10" ht="30.75" customHeight="1">
      <c r="A158" s="865" t="s">
        <v>362</v>
      </c>
      <c r="B158" s="866"/>
      <c r="C158" s="867"/>
      <c r="D158" s="117" t="s">
        <v>130</v>
      </c>
      <c r="E158" s="95">
        <f>'22'!F158</f>
        <v>98.41</v>
      </c>
      <c r="F158" s="95">
        <v>100.19</v>
      </c>
      <c r="G158" s="112">
        <f t="shared" si="12"/>
        <v>1.7800000000000011</v>
      </c>
      <c r="H158" s="99">
        <f>G158+'22'!H158</f>
        <v>2.7199999999999989</v>
      </c>
      <c r="I158" s="165"/>
      <c r="J158" s="328">
        <f>H158/DAY(B2)</f>
        <v>0.11826086956521734</v>
      </c>
    </row>
    <row r="159" spans="1:10" ht="30.75" customHeight="1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474593.84</v>
      </c>
      <c r="F161" s="235">
        <v>474617.32</v>
      </c>
      <c r="G161" s="238">
        <f t="shared" ref="G161:G165" si="13">F161-E161</f>
        <v>23.479999999981374</v>
      </c>
      <c r="H161" s="99">
        <f>G161+'22'!H161</f>
        <v>-165.67999999999302</v>
      </c>
      <c r="I161" s="236"/>
      <c r="J161" s="239">
        <f>H161/DAY(B2)</f>
        <v>-7.2034782608692618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91264.7</v>
      </c>
      <c r="F162" s="235">
        <v>91282.8</v>
      </c>
      <c r="G162" s="238">
        <f t="shared" si="13"/>
        <v>18.100000000005821</v>
      </c>
      <c r="H162" s="99">
        <f>G162+'22'!H162</f>
        <v>-264.19999999999709</v>
      </c>
      <c r="I162" s="236"/>
      <c r="J162" s="239">
        <f>H162/DAY(B2)</f>
        <v>-11.486956521739003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90750.2</v>
      </c>
      <c r="F163" s="235">
        <v>90899.3</v>
      </c>
      <c r="G163" s="238">
        <f t="shared" si="13"/>
        <v>149.10000000000582</v>
      </c>
      <c r="H163" s="99">
        <f>G163+'22'!H163</f>
        <v>-1136.6999999999971</v>
      </c>
      <c r="I163" s="236"/>
      <c r="J163" s="239">
        <f>H163/DAY(B2)</f>
        <v>-49.421739130434659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5093.3</v>
      </c>
      <c r="F164" s="235">
        <v>5103.7</v>
      </c>
      <c r="G164" s="238">
        <f t="shared" si="13"/>
        <v>10.399999999999636</v>
      </c>
      <c r="H164" s="99">
        <f>G164+'22'!H164</f>
        <v>-78.300000000000182</v>
      </c>
      <c r="I164" s="236"/>
      <c r="J164" s="239">
        <f>H164/DAY(B2)</f>
        <v>-3.4043478260869646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30550.799999999999</v>
      </c>
      <c r="F165" s="235">
        <v>30556.58</v>
      </c>
      <c r="G165" s="238">
        <f t="shared" si="13"/>
        <v>5.7800000000024738</v>
      </c>
      <c r="H165" s="99">
        <f>G165+'22'!H165</f>
        <v>-77.419999999998254</v>
      </c>
      <c r="I165" s="236"/>
      <c r="J165" s="239">
        <f>H165/DAY(B2)</f>
        <v>-3.3660869565216633</v>
      </c>
    </row>
    <row r="166" spans="1:10" ht="30.75" customHeight="1">
      <c r="A166" s="873"/>
      <c r="B166" s="873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873"/>
      <c r="B167" s="873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873"/>
      <c r="B168" s="873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30.75" customHeight="1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79" t="s">
        <v>209</v>
      </c>
      <c r="B173" s="880"/>
      <c r="C173" s="333"/>
      <c r="D173" s="228" t="s">
        <v>142</v>
      </c>
      <c r="E173" s="95">
        <v>8229</v>
      </c>
      <c r="F173" s="155">
        <v>8235</v>
      </c>
      <c r="G173" s="155">
        <f>F173-E173</f>
        <v>6</v>
      </c>
      <c r="H173" s="99">
        <f>G173+'22'!H173</f>
        <v>96</v>
      </c>
      <c r="I173" s="155"/>
      <c r="J173" s="178">
        <f>H173/DAY(B2)</f>
        <v>4.1739130434782608</v>
      </c>
    </row>
    <row r="174" spans="1:10" ht="30.75" customHeight="1">
      <c r="A174" s="879" t="s">
        <v>75</v>
      </c>
      <c r="B174" s="880"/>
      <c r="C174" s="333"/>
      <c r="D174" s="228" t="s">
        <v>142</v>
      </c>
      <c r="E174" s="95">
        <f>'22'!F174</f>
        <v>39798</v>
      </c>
      <c r="F174" s="157">
        <v>39811</v>
      </c>
      <c r="G174" s="155">
        <f t="shared" ref="G174:G175" si="14">F174-E174</f>
        <v>13</v>
      </c>
      <c r="H174" s="99">
        <f>G174+'22'!H174</f>
        <v>-117</v>
      </c>
      <c r="I174" s="155"/>
      <c r="J174" s="178">
        <f>H174/DAY(B2)</f>
        <v>-5.0869565217391308</v>
      </c>
    </row>
    <row r="175" spans="1:10" ht="30.75" customHeight="1">
      <c r="A175" s="879" t="s">
        <v>76</v>
      </c>
      <c r="B175" s="919"/>
      <c r="C175" s="880"/>
      <c r="D175" s="228" t="s">
        <v>142</v>
      </c>
      <c r="E175" s="95">
        <f>'22'!F175</f>
        <v>22794</v>
      </c>
      <c r="F175" s="155">
        <v>22807</v>
      </c>
      <c r="G175" s="155">
        <f t="shared" si="14"/>
        <v>13</v>
      </c>
      <c r="H175" s="99">
        <f>G175+'22'!H175</f>
        <v>-82</v>
      </c>
      <c r="I175" s="155"/>
      <c r="J175" s="178">
        <f>H175/DAY(B2)</f>
        <v>-3.5652173913043477</v>
      </c>
    </row>
    <row r="176" spans="1:10" ht="30.75" customHeight="1">
      <c r="A176" s="868" t="s">
        <v>196</v>
      </c>
      <c r="B176" s="869"/>
      <c r="C176" s="401"/>
      <c r="D176" s="228"/>
      <c r="E176" s="95"/>
      <c r="F176" s="155"/>
      <c r="G176" s="155">
        <f>SUM(G173:G175)</f>
        <v>32</v>
      </c>
      <c r="H176" s="99">
        <f>G176+'22'!H176</f>
        <v>-103</v>
      </c>
      <c r="I176" s="155"/>
      <c r="J176" s="178">
        <f>H176/DAY(B2)</f>
        <v>-4.4782608695652177</v>
      </c>
    </row>
    <row r="177" spans="1:10" ht="30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79" t="s">
        <v>210</v>
      </c>
      <c r="B178" s="880"/>
      <c r="C178" s="333"/>
      <c r="D178" s="228" t="s">
        <v>142</v>
      </c>
      <c r="E178" s="95">
        <f>'22'!F178</f>
        <v>87768</v>
      </c>
      <c r="F178" s="155">
        <v>87875</v>
      </c>
      <c r="G178" s="155">
        <f>F178-E178</f>
        <v>107</v>
      </c>
      <c r="H178" s="99">
        <f>G178+'22'!H178</f>
        <v>-728</v>
      </c>
      <c r="I178" s="155"/>
      <c r="J178" s="178">
        <f>H178/DAY(B2)</f>
        <v>-31.652173913043477</v>
      </c>
    </row>
    <row r="179" spans="1:10" ht="30.75" customHeight="1">
      <c r="A179" s="879" t="s">
        <v>211</v>
      </c>
      <c r="B179" s="880"/>
      <c r="C179" s="333"/>
      <c r="D179" s="228" t="s">
        <v>142</v>
      </c>
      <c r="E179" s="95">
        <f>'22'!F179</f>
        <v>35732</v>
      </c>
      <c r="F179" s="155">
        <v>35739</v>
      </c>
      <c r="G179" s="155">
        <f t="shared" ref="G179:G180" si="15">F179-E179</f>
        <v>7</v>
      </c>
      <c r="H179" s="99">
        <f>G179+'22'!H179</f>
        <v>-34</v>
      </c>
      <c r="I179" s="155"/>
      <c r="J179" s="178">
        <f>H179/DAY(B2)</f>
        <v>-1.4782608695652173</v>
      </c>
    </row>
    <row r="180" spans="1:10" ht="30.75" customHeight="1">
      <c r="A180" s="879" t="s">
        <v>212</v>
      </c>
      <c r="B180" s="880"/>
      <c r="C180" s="333"/>
      <c r="D180" s="228" t="s">
        <v>142</v>
      </c>
      <c r="E180" s="95">
        <f>'22'!F180</f>
        <v>6319</v>
      </c>
      <c r="F180" s="155">
        <v>6328</v>
      </c>
      <c r="G180" s="155">
        <f t="shared" si="15"/>
        <v>9</v>
      </c>
      <c r="H180" s="99">
        <f>G180+'22'!H180</f>
        <v>-61</v>
      </c>
      <c r="I180" s="155"/>
      <c r="J180" s="178">
        <f>H180/DAY(B2)</f>
        <v>-2.652173913043478</v>
      </c>
    </row>
    <row r="181" spans="1:10" ht="30.75" customHeight="1">
      <c r="A181" s="881" t="s">
        <v>108</v>
      </c>
      <c r="B181" s="882"/>
      <c r="C181" s="401"/>
      <c r="D181" s="228"/>
      <c r="E181" s="95"/>
      <c r="F181" s="155"/>
      <c r="G181" s="155">
        <f>SUM(G178:G180)</f>
        <v>123</v>
      </c>
      <c r="H181" s="99">
        <f>G181+'22'!H181</f>
        <v>-823</v>
      </c>
      <c r="I181" s="155"/>
      <c r="J181" s="178">
        <f>H181/DAY(B2)</f>
        <v>-35.782608695652172</v>
      </c>
    </row>
    <row r="182" spans="1:10" ht="30.75" customHeight="1">
      <c r="A182" s="879" t="s">
        <v>213</v>
      </c>
      <c r="B182" s="880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79" t="s">
        <v>214</v>
      </c>
      <c r="B183" s="880"/>
      <c r="C183" s="334"/>
      <c r="D183" s="228" t="s">
        <v>142</v>
      </c>
      <c r="E183" s="95">
        <f>'22'!F183</f>
        <v>16482</v>
      </c>
      <c r="F183" s="157">
        <v>16492</v>
      </c>
      <c r="G183" s="157">
        <f>F183-E183</f>
        <v>10</v>
      </c>
      <c r="H183" s="99">
        <f>G183+'22'!H183</f>
        <v>-130</v>
      </c>
      <c r="I183" s="155"/>
      <c r="J183" s="178">
        <f>H183/DAY(B2)</f>
        <v>-5.6521739130434785</v>
      </c>
    </row>
    <row r="184" spans="1:10" ht="30.75" customHeight="1">
      <c r="A184" s="879" t="s">
        <v>215</v>
      </c>
      <c r="B184" s="880"/>
      <c r="C184" s="334"/>
      <c r="D184" s="228" t="s">
        <v>142</v>
      </c>
      <c r="E184" s="95">
        <f>'22'!F184</f>
        <v>11211</v>
      </c>
      <c r="F184" s="157">
        <v>11217</v>
      </c>
      <c r="G184" s="157">
        <f t="shared" ref="G184:G185" si="16">F184-E184</f>
        <v>6</v>
      </c>
      <c r="H184" s="99">
        <f>G184+'22'!H184</f>
        <v>-57</v>
      </c>
      <c r="I184" s="155"/>
      <c r="J184" s="178">
        <f>H184/DAY(B2)</f>
        <v>-2.4782608695652173</v>
      </c>
    </row>
    <row r="185" spans="1:10" ht="30.75" customHeight="1">
      <c r="A185" s="879" t="s">
        <v>216</v>
      </c>
      <c r="B185" s="880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868" t="s">
        <v>196</v>
      </c>
      <c r="B186" s="869"/>
      <c r="C186" s="400"/>
      <c r="D186" s="229"/>
      <c r="E186" s="95"/>
      <c r="F186" s="157"/>
      <c r="G186" s="157">
        <f>SUM(G183:G185)</f>
        <v>16</v>
      </c>
      <c r="H186" s="99">
        <f>G186+'22'!H186</f>
        <v>-187</v>
      </c>
      <c r="I186" s="157"/>
      <c r="J186" s="178">
        <f>H186/DAY(B2)</f>
        <v>-8.1304347826086953</v>
      </c>
    </row>
    <row r="187" spans="1:10" ht="30.75" customHeight="1">
      <c r="A187" s="870" t="s">
        <v>217</v>
      </c>
      <c r="B187" s="871"/>
      <c r="C187" s="333"/>
      <c r="D187" s="230" t="s">
        <v>142</v>
      </c>
      <c r="E187" s="95"/>
      <c r="F187" s="159"/>
      <c r="G187" s="378">
        <f>G62+G19</f>
        <v>262</v>
      </c>
      <c r="H187" s="99">
        <f>G187+'22'!H187</f>
        <v>-1583</v>
      </c>
      <c r="I187" s="158"/>
      <c r="J187" s="179">
        <f>H187/DAY(B2)</f>
        <v>-68.826086956521735</v>
      </c>
    </row>
    <row r="188" spans="1:10" ht="30.75" customHeight="1">
      <c r="A188" s="870" t="s">
        <v>218</v>
      </c>
      <c r="B188" s="871"/>
      <c r="C188" s="333"/>
      <c r="D188" s="230" t="s">
        <v>142</v>
      </c>
      <c r="E188" s="95"/>
      <c r="F188" s="159"/>
      <c r="G188" s="378">
        <f>G65+G66+G67+G69+G70</f>
        <v>272</v>
      </c>
      <c r="H188" s="99">
        <f>G188+'22'!H188</f>
        <v>-9788</v>
      </c>
      <c r="I188" s="158"/>
      <c r="J188" s="179">
        <f>H188/DAY(B2)</f>
        <v>-425.56521739130437</v>
      </c>
    </row>
    <row r="189" spans="1:10" ht="30.75" customHeight="1">
      <c r="A189" s="870" t="s">
        <v>219</v>
      </c>
      <c r="B189" s="871"/>
      <c r="C189" s="333"/>
      <c r="D189" s="230" t="s">
        <v>142</v>
      </c>
      <c r="E189" s="95"/>
      <c r="F189" s="157"/>
      <c r="G189" s="377">
        <f>G181</f>
        <v>123</v>
      </c>
      <c r="H189" s="99">
        <f>G189+'22'!H189</f>
        <v>558</v>
      </c>
      <c r="I189" s="158"/>
      <c r="J189" s="179">
        <f>H189/DAY(B2)</f>
        <v>24.260869565217391</v>
      </c>
    </row>
    <row r="190" spans="1:10" ht="30.75" customHeight="1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12" zoomScale="60" zoomScaleNormal="44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349</v>
      </c>
      <c r="B2" s="262">
        <v>44675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454701</v>
      </c>
      <c r="F7" s="95">
        <f>E7+27000</f>
        <v>481701</v>
      </c>
      <c r="G7" s="112">
        <f>F7-E7</f>
        <v>27000</v>
      </c>
      <c r="H7" s="99">
        <f>G7+'23'!H7</f>
        <v>650663</v>
      </c>
      <c r="I7" s="113">
        <f>'1'!I7</f>
        <v>12000</v>
      </c>
      <c r="J7" s="175">
        <f>H7/DAY(B2)</f>
        <v>27110.958333333332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549535</v>
      </c>
      <c r="F8" s="114">
        <f>E8+26500</f>
        <v>576035</v>
      </c>
      <c r="G8" s="115">
        <f>F8-E8</f>
        <v>26500</v>
      </c>
      <c r="H8" s="99">
        <f>G8+'23'!H8</f>
        <v>656912.27999999991</v>
      </c>
      <c r="I8" s="116"/>
      <c r="J8" s="175">
        <f>H8/DAY(B2)</f>
        <v>27371.344999999998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2321550</v>
      </c>
      <c r="F9" s="470">
        <f>E9+16000</f>
        <v>2337550</v>
      </c>
      <c r="G9" s="112">
        <f>F9-E9</f>
        <v>16000</v>
      </c>
      <c r="H9" s="99">
        <f>G9+'23'!H9</f>
        <v>446515</v>
      </c>
      <c r="I9" s="124">
        <f>I7-J7</f>
        <v>-15110.958333333332</v>
      </c>
      <c r="J9" s="175">
        <f>H9/DAY(B2)</f>
        <v>18604.791666666668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778726</v>
      </c>
      <c r="F10" s="353">
        <f>E10+8500</f>
        <v>787226</v>
      </c>
      <c r="G10" s="112">
        <f t="shared" ref="G10:G12" si="0">F10-E10</f>
        <v>8500</v>
      </c>
      <c r="H10" s="99">
        <f>G10+'23'!H10</f>
        <v>171690</v>
      </c>
      <c r="I10" s="282"/>
      <c r="J10" s="175">
        <f>H10/DAY(B2)</f>
        <v>7153.75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G13+'23'!H13</f>
        <v>615688.75</v>
      </c>
      <c r="I13" s="120">
        <f>G7-G13</f>
        <v>2500</v>
      </c>
      <c r="J13" s="175">
        <f>H13/DAY(B2)</f>
        <v>25653.697916666668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1997148.99</v>
      </c>
      <c r="G15" s="112" t="e">
        <f>(F15-E15)</f>
        <v>#VALUE!</v>
      </c>
      <c r="H15" s="99" t="e">
        <f>G15+'23'!H15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'23'!F18</f>
        <v>24</v>
      </c>
      <c r="F18" s="122">
        <v>26</v>
      </c>
      <c r="G18" s="119">
        <f>F18*10</f>
        <v>260</v>
      </c>
      <c r="H18" s="99">
        <f>G18+'23'!H18</f>
        <v>5430</v>
      </c>
      <c r="I18" s="113">
        <f>'1'!I18</f>
        <v>65</v>
      </c>
      <c r="J18" s="175">
        <f>H18/DAY(B2)</f>
        <v>226.25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'23'!F19</f>
        <v>158105</v>
      </c>
      <c r="F19" s="122">
        <v>158152</v>
      </c>
      <c r="G19" s="112">
        <f t="shared" ref="G19" si="1">F19-E19</f>
        <v>47</v>
      </c>
      <c r="H19" s="99">
        <f>G19+'23'!H19</f>
        <v>-302</v>
      </c>
      <c r="I19" s="335"/>
      <c r="J19" s="175">
        <f>H19/DAY(B2)</f>
        <v>-12.583333333333334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307</v>
      </c>
      <c r="H20" s="99">
        <f>G20+'23'!H20</f>
        <v>5128</v>
      </c>
      <c r="I20" s="336">
        <f>I18-J20</f>
        <v>-148.66666666666666</v>
      </c>
      <c r="J20" s="175">
        <f>H20/DAY(B2)</f>
        <v>213.66666666666666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G27+'23'!H27</f>
        <v>5912210.5200000005</v>
      </c>
      <c r="I27" s="138"/>
      <c r="J27" s="175">
        <f>H27/DAY(B2)</f>
        <v>246342.10500000001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52</v>
      </c>
      <c r="G28" s="137" t="e">
        <f>E28*F28</f>
        <v>#VALUE!</v>
      </c>
      <c r="H28" s="99" t="e">
        <f>G28+'23'!H28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47</v>
      </c>
      <c r="F30" s="136">
        <v>146</v>
      </c>
      <c r="G30" s="137">
        <f>E30*F30</f>
        <v>6862</v>
      </c>
      <c r="H30" s="99">
        <f>G30+'23'!H30</f>
        <v>-46652</v>
      </c>
      <c r="I30" s="140"/>
      <c r="J30" s="175">
        <f>H30/DAY(B2)</f>
        <v>-1943.8333333333333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G31+'23'!H31</f>
        <v>434400</v>
      </c>
      <c r="I31" s="140"/>
      <c r="J31" s="175">
        <f>H31/DAY(B2)</f>
        <v>18100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G32+'23'!H32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187758.07</v>
      </c>
      <c r="F35" s="145">
        <v>189839.07</v>
      </c>
      <c r="G35" s="112">
        <f t="shared" ref="G35:G46" si="3">F35-E35</f>
        <v>2081</v>
      </c>
      <c r="H35" s="99">
        <f>G35+'23'!H35</f>
        <v>-13045.929999999993</v>
      </c>
      <c r="I35" s="95"/>
      <c r="J35" s="175">
        <f>H35/DAY(B2)</f>
        <v>-543.58041666666634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123989</v>
      </c>
      <c r="F36" s="145">
        <v>125261.27</v>
      </c>
      <c r="G36" s="112">
        <f t="shared" si="3"/>
        <v>1272.2700000000041</v>
      </c>
      <c r="H36" s="99">
        <f>G36+'23'!H36</f>
        <v>-6317.7299999999959</v>
      </c>
      <c r="I36" s="95"/>
      <c r="J36" s="175">
        <f>H36/DAY(B2)</f>
        <v>-263.23874999999981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170913.19</v>
      </c>
      <c r="F37" s="145">
        <v>172648.59</v>
      </c>
      <c r="G37" s="112">
        <f t="shared" si="3"/>
        <v>1735.3999999999942</v>
      </c>
      <c r="H37" s="99">
        <f>G37+'23'!H37</f>
        <v>-10476.410000000003</v>
      </c>
      <c r="I37" s="95"/>
      <c r="J37" s="175">
        <f>H37/DAY(B2)</f>
        <v>-436.51708333333346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226515.95</v>
      </c>
      <c r="F38" s="108">
        <v>228876.49</v>
      </c>
      <c r="G38" s="112">
        <f t="shared" si="3"/>
        <v>2360.539999999979</v>
      </c>
      <c r="H38" s="99">
        <f>G38+'23'!H38</f>
        <v>-14575.510000000009</v>
      </c>
      <c r="I38" s="95"/>
      <c r="J38" s="175">
        <f>H38/DAY(B2)</f>
        <v>-607.31291666666709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319323.73</v>
      </c>
      <c r="F39" s="145">
        <v>322502.11</v>
      </c>
      <c r="G39" s="112">
        <f t="shared" si="3"/>
        <v>3178.3800000000047</v>
      </c>
      <c r="H39" s="99">
        <f>G39+'23'!H39</f>
        <v>-17485.890000000014</v>
      </c>
      <c r="I39" s="95"/>
      <c r="J39" s="175">
        <f>H39/DAY(B2)</f>
        <v>-728.57875000000058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59903.65</v>
      </c>
      <c r="F40" s="145">
        <v>60430.35</v>
      </c>
      <c r="G40" s="112">
        <f t="shared" si="3"/>
        <v>526.69999999999709</v>
      </c>
      <c r="H40" s="99">
        <f>G40+'23'!H40</f>
        <v>-4446.6500000000015</v>
      </c>
      <c r="I40" s="95"/>
      <c r="J40" s="175">
        <f>H40/DAY(B2)</f>
        <v>-185.27708333333339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1266.51</v>
      </c>
      <c r="F41" s="145">
        <v>5014.7</v>
      </c>
      <c r="G41" s="112">
        <f t="shared" si="3"/>
        <v>3748.1899999999996</v>
      </c>
      <c r="H41" s="99">
        <f>G41+'23'!H41</f>
        <v>-22678.300000000007</v>
      </c>
      <c r="I41" s="95"/>
      <c r="J41" s="175">
        <f>H41/DAY(B2)</f>
        <v>-944.9291666666669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388368.33</v>
      </c>
      <c r="F42" s="145">
        <v>394159.11</v>
      </c>
      <c r="G42" s="112">
        <f t="shared" si="3"/>
        <v>5790.7799999999697</v>
      </c>
      <c r="H42" s="99">
        <f>G42+'23'!H42</f>
        <v>-31641.890000000014</v>
      </c>
      <c r="I42" s="95"/>
      <c r="J42" s="175">
        <f>H42/DAY(B2)</f>
        <v>-1318.4120833333338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333606.45</v>
      </c>
      <c r="F43" s="145">
        <v>337283.23</v>
      </c>
      <c r="G43" s="112">
        <f t="shared" si="3"/>
        <v>3676.7799999999697</v>
      </c>
      <c r="H43" s="99">
        <f>G43+'23'!H43</f>
        <v>-20235.770000000019</v>
      </c>
      <c r="I43" s="95"/>
      <c r="J43" s="175">
        <f>H43/DAY(B2)</f>
        <v>-843.15708333333407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24370.039999999917</v>
      </c>
      <c r="H47" s="99">
        <f>G47+'23'!H47</f>
        <v>-140904.07999999999</v>
      </c>
      <c r="I47" s="95"/>
      <c r="J47" s="175">
        <f>H47/DAY(B2)</f>
        <v>-5871.0033333333331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152453.89000000001</v>
      </c>
      <c r="F49" s="145">
        <v>154290.95000000001</v>
      </c>
      <c r="G49" s="112">
        <f t="shared" ref="G49:G58" si="4">F49-E49</f>
        <v>1837.0599999999977</v>
      </c>
      <c r="H49" s="99">
        <f>G49+'23'!H49</f>
        <v>-10879.049999999988</v>
      </c>
      <c r="I49" s="95"/>
      <c r="J49" s="175">
        <f>H49/DAY(B2)</f>
        <v>-453.29374999999953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163150.6</v>
      </c>
      <c r="F50" s="145">
        <v>164506.87</v>
      </c>
      <c r="G50" s="112">
        <f t="shared" si="4"/>
        <v>1356.2699999999895</v>
      </c>
      <c r="H50" s="99">
        <f>G50+'23'!H50</f>
        <v>-8100.1300000000047</v>
      </c>
      <c r="I50" s="95"/>
      <c r="J50" s="175">
        <f>H50/DAY(B2)</f>
        <v>-337.50541666666686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76</v>
      </c>
      <c r="F51" s="145">
        <v>76</v>
      </c>
      <c r="G51" s="112">
        <f t="shared" si="4"/>
        <v>0</v>
      </c>
      <c r="H51" s="99">
        <f>G51+'23'!H51</f>
        <v>0.31999999999999318</v>
      </c>
      <c r="I51" s="95"/>
      <c r="J51" s="175">
        <f>H51/DAY(B2)</f>
        <v>1.333333333333305E-2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9.76</v>
      </c>
      <c r="F52" s="145">
        <v>10</v>
      </c>
      <c r="G52" s="112">
        <f t="shared" si="4"/>
        <v>0.24000000000000021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46756.79</v>
      </c>
      <c r="F54" s="145">
        <v>47221.9</v>
      </c>
      <c r="G54" s="112">
        <f t="shared" si="4"/>
        <v>465.11000000000058</v>
      </c>
      <c r="H54" s="99">
        <f>G54+'23'!H54</f>
        <v>-2861.0999999999985</v>
      </c>
      <c r="I54" s="95"/>
      <c r="J54" s="175">
        <f>H54/DAY(B2)</f>
        <v>-119.21249999999993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141834.63</v>
      </c>
      <c r="F55" s="145">
        <v>142509.01</v>
      </c>
      <c r="G55" s="112">
        <f t="shared" si="4"/>
        <v>674.38000000000466</v>
      </c>
      <c r="H55" s="99">
        <f>G55+'23'!H55</f>
        <v>-2457.9899999999907</v>
      </c>
      <c r="I55" s="95"/>
      <c r="J55" s="175">
        <f>H55/DAY(B2)</f>
        <v>-102.41624999999961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107245.66</v>
      </c>
      <c r="F56" s="145">
        <v>107245.66</v>
      </c>
      <c r="G56" s="112">
        <f t="shared" si="4"/>
        <v>0</v>
      </c>
      <c r="H56" s="99">
        <f>G56+'23'!H56</f>
        <v>-0.33999999999650754</v>
      </c>
      <c r="I56" s="95"/>
      <c r="J56" s="175">
        <f>H56/DAY(B2)</f>
        <v>-1.4166666666521147E-2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23871.200000000001</v>
      </c>
      <c r="F58" s="145">
        <v>24111.7</v>
      </c>
      <c r="G58" s="112">
        <f t="shared" si="4"/>
        <v>240.5</v>
      </c>
      <c r="H58" s="99">
        <f>G58+'23'!H58</f>
        <v>-1381.2999999999993</v>
      </c>
      <c r="I58" s="95"/>
      <c r="J58" s="175">
        <f>H58/DAY(B2)</f>
        <v>-57.554166666666639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4573.5599999999922</v>
      </c>
      <c r="H59" s="99">
        <f>G59+'23'!H59</f>
        <v>-25679.589999999975</v>
      </c>
      <c r="I59" s="95">
        <f>G7-G60</f>
        <v>-1943.5999999999112</v>
      </c>
      <c r="J59" s="175">
        <f>H59/DAY(B2)</f>
        <v>-1069.9829166666657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28943.599999999911</v>
      </c>
      <c r="H60" s="99">
        <f>G60+'23'!H60</f>
        <v>-166583.66999999995</v>
      </c>
      <c r="I60" s="95">
        <f>G13-G60</f>
        <v>-4443.5999999999112</v>
      </c>
      <c r="J60" s="175">
        <f>H60/DAY(B2)</f>
        <v>-6940.9862499999981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'23'!F62</f>
        <v>282775</v>
      </c>
      <c r="F62" s="122">
        <v>282971</v>
      </c>
      <c r="G62" s="112">
        <f t="shared" ref="G62:G63" si="5">F62-E62</f>
        <v>196</v>
      </c>
      <c r="H62" s="99">
        <f>G62+'23'!H62</f>
        <v>-1038</v>
      </c>
      <c r="I62" s="118"/>
      <c r="J62" s="175">
        <f>H62/DAY(B2)</f>
        <v>-43.25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'23'!F63</f>
        <v>226573</v>
      </c>
      <c r="F63" s="122">
        <v>226696</v>
      </c>
      <c r="G63" s="112">
        <f t="shared" si="5"/>
        <v>123</v>
      </c>
      <c r="H63" s="99">
        <f>G63+'23'!H63</f>
        <v>-783</v>
      </c>
      <c r="I63" s="118"/>
      <c r="J63" s="175">
        <f>H63/DAY(B2)</f>
        <v>-32.625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'23'!F64</f>
        <v>0</v>
      </c>
      <c r="F64" s="122"/>
      <c r="G64" s="112">
        <f>G62+G63</f>
        <v>319</v>
      </c>
      <c r="H64" s="99">
        <f>G64+'23'!H64</f>
        <v>-1821</v>
      </c>
      <c r="I64" s="118"/>
      <c r="J64" s="175">
        <f>H64/DAY(B2)</f>
        <v>-75.875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'23'!F65</f>
        <v>443789</v>
      </c>
      <c r="F65" s="122">
        <v>443883</v>
      </c>
      <c r="G65" s="112">
        <f t="shared" ref="G65:G70" si="6">F65-E65</f>
        <v>94</v>
      </c>
      <c r="H65" s="99">
        <f>G65+'23'!H65</f>
        <v>-709</v>
      </c>
      <c r="I65" s="118"/>
      <c r="J65" s="175">
        <f>H65/DAY(B2)</f>
        <v>-29.541666666666668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109459</v>
      </c>
      <c r="F66" s="122">
        <v>109479</v>
      </c>
      <c r="G66" s="112">
        <f t="shared" si="6"/>
        <v>20</v>
      </c>
      <c r="H66" s="99">
        <f>G66+'23'!H66</f>
        <v>-102</v>
      </c>
      <c r="I66" s="118"/>
      <c r="J66" s="175">
        <f>H66/DAY(B2)</f>
        <v>-4.25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110347</v>
      </c>
      <c r="F67" s="122">
        <v>110430</v>
      </c>
      <c r="G67" s="112">
        <f t="shared" si="6"/>
        <v>83</v>
      </c>
      <c r="H67" s="99">
        <f>G67+'23'!H67</f>
        <v>-470</v>
      </c>
      <c r="I67" s="118"/>
      <c r="J67" s="175">
        <f>H67/DAY(B2)</f>
        <v>-19.583333333333332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161461</v>
      </c>
      <c r="F68" s="122">
        <v>161516</v>
      </c>
      <c r="G68" s="112">
        <f t="shared" si="6"/>
        <v>55</v>
      </c>
      <c r="H68" s="99">
        <f>G68+'23'!H68</f>
        <v>-268</v>
      </c>
      <c r="I68" s="118"/>
      <c r="J68" s="175">
        <f>H68/DAY(B2)</f>
        <v>-11.166666666666666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11490</v>
      </c>
      <c r="F69" s="122">
        <v>11500</v>
      </c>
      <c r="G69" s="112">
        <f t="shared" si="6"/>
        <v>10</v>
      </c>
      <c r="H69" s="99">
        <f>G69+'23'!H69</f>
        <v>-98</v>
      </c>
      <c r="I69" s="118"/>
      <c r="J69" s="175">
        <f>H69/DAY(B2)</f>
        <v>-4.083333333333333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8937</v>
      </c>
      <c r="F70" s="122">
        <v>8954</v>
      </c>
      <c r="G70" s="112">
        <f t="shared" si="6"/>
        <v>17</v>
      </c>
      <c r="H70" s="99">
        <f>G70+'23'!H70</f>
        <v>-47</v>
      </c>
      <c r="I70" s="118"/>
      <c r="J70" s="175">
        <f>H70/DAY(B2)</f>
        <v>-1.9583333333333333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279</v>
      </c>
      <c r="H71" s="99">
        <f>G71+'23'!H71</f>
        <v>-1694</v>
      </c>
      <c r="I71" s="154"/>
      <c r="J71" s="175">
        <f>H71/DAY(B2)</f>
        <v>-70.583333333333329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'23'!F74</f>
        <v>926556.34</v>
      </c>
      <c r="F74" s="117">
        <v>926848.79</v>
      </c>
      <c r="G74" s="112">
        <f t="shared" ref="G74:G78" si="7">F74-E74</f>
        <v>292.45000000006985</v>
      </c>
      <c r="H74" s="99">
        <f>G74+'23'!H74</f>
        <v>-1928.2099999999627</v>
      </c>
      <c r="I74" s="154"/>
      <c r="J74" s="175">
        <f>H74/DAY(B2)</f>
        <v>-80.342083333331786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'23'!F76</f>
        <v>179285.1</v>
      </c>
      <c r="F76" s="123">
        <v>179428.9</v>
      </c>
      <c r="G76" s="112">
        <f t="shared" si="7"/>
        <v>143.79999999998836</v>
      </c>
      <c r="H76" s="99">
        <f>G76+'23'!H76</f>
        <v>-725.10000000000582</v>
      </c>
      <c r="I76" s="154"/>
      <c r="J76" s="175">
        <f>H76/DAY(B2)</f>
        <v>-30.212500000000244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'23'!F77</f>
        <v>45316</v>
      </c>
      <c r="F77" s="123">
        <v>45366.2</v>
      </c>
      <c r="G77" s="112">
        <f t="shared" si="7"/>
        <v>50.19999999999709</v>
      </c>
      <c r="H77" s="99">
        <f>G77+'23'!H77</f>
        <v>-307.80000000000291</v>
      </c>
      <c r="I77" s="154"/>
      <c r="J77" s="175">
        <f>H77/DAY(B2)</f>
        <v>-12.825000000000122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'23'!F78</f>
        <v>9564</v>
      </c>
      <c r="F78" s="123">
        <v>9563.4</v>
      </c>
      <c r="G78" s="112">
        <f t="shared" si="7"/>
        <v>-0.6000000000003638</v>
      </c>
      <c r="H78" s="99">
        <f>G78+'23'!H78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'23'!F79</f>
        <v>0</v>
      </c>
      <c r="F79" s="117"/>
      <c r="G79" s="112" t="e">
        <f>G15-SUM(G74:G78)</f>
        <v>#VALUE!</v>
      </c>
      <c r="H79" s="99" t="e">
        <f>G79+'23'!H79</f>
        <v>#VALUE!</v>
      </c>
      <c r="I79" s="118"/>
      <c r="J79" s="175" t="e">
        <f>H79/DAY(B2)</f>
        <v>#VALUE!</v>
      </c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41681.53</v>
      </c>
      <c r="F84" s="164">
        <v>41697.269999999997</v>
      </c>
      <c r="G84" s="112">
        <f t="shared" si="8"/>
        <v>15.739999999997963</v>
      </c>
      <c r="H84" s="99">
        <f>G84+'23'!H84</f>
        <v>-94.730000000003201</v>
      </c>
      <c r="I84" s="575"/>
      <c r="J84" s="175">
        <f>H84/DAY(B2)</f>
        <v>-3.9470833333334667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3622.21</v>
      </c>
      <c r="F85" s="164">
        <v>3645.4</v>
      </c>
      <c r="G85" s="112">
        <f t="shared" si="8"/>
        <v>23.190000000000055</v>
      </c>
      <c r="H85" s="99">
        <f>G85+'23'!H85</f>
        <v>-131.59999999999991</v>
      </c>
      <c r="I85" s="575"/>
      <c r="J85" s="175">
        <f>H85/DAY(B2)</f>
        <v>-5.4833333333333298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43919.19</v>
      </c>
      <c r="F86" s="164">
        <v>43924.480000000003</v>
      </c>
      <c r="G86" s="112">
        <f t="shared" si="8"/>
        <v>5.2900000000008731</v>
      </c>
      <c r="H86" s="99">
        <f>G86+'23'!H86</f>
        <v>-14.519999999996799</v>
      </c>
      <c r="I86" s="575"/>
      <c r="J86" s="175">
        <f>H86/DAY(B2)</f>
        <v>-0.60499999999986664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35329.06</v>
      </c>
      <c r="F87" s="164">
        <v>35329.06</v>
      </c>
      <c r="G87" s="112">
        <f t="shared" si="8"/>
        <v>0</v>
      </c>
      <c r="H87" s="99">
        <f>G87+'23'!H87</f>
        <v>5.9999999997671694E-2</v>
      </c>
      <c r="I87" s="575">
        <f>G84+G85+G86+G87</f>
        <v>44.21999999999889</v>
      </c>
      <c r="J87" s="175">
        <f>H87/DAY(B2)</f>
        <v>2.4999999999029874E-3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24182.32</v>
      </c>
      <c r="F88" s="164">
        <v>24187.01</v>
      </c>
      <c r="G88" s="112">
        <f t="shared" si="8"/>
        <v>4.6899999999986903</v>
      </c>
      <c r="H88" s="99">
        <f>G88+'23'!H88</f>
        <v>-1.1100000000005821</v>
      </c>
      <c r="I88" s="575"/>
      <c r="J88" s="175">
        <f>H88/DAY(B2)</f>
        <v>-4.6250000000024251E-2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26643.7</v>
      </c>
      <c r="F89" s="164">
        <v>26651.01</v>
      </c>
      <c r="G89" s="112">
        <f t="shared" si="8"/>
        <v>7.3099999999976717</v>
      </c>
      <c r="H89" s="99">
        <f>G89+'23'!H89</f>
        <v>-58.210000000002765</v>
      </c>
      <c r="I89" s="575">
        <f>G88+G89</f>
        <v>11.999999999996362</v>
      </c>
      <c r="J89" s="175">
        <f>H89/DAY(B2)</f>
        <v>-2.425416666666782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71799.94</v>
      </c>
      <c r="F90" s="164">
        <v>71805.789999999994</v>
      </c>
      <c r="G90" s="112">
        <f t="shared" si="8"/>
        <v>5.8499999999912689</v>
      </c>
      <c r="H90" s="99">
        <f>G90+'23'!H90</f>
        <v>-57.740000000005239</v>
      </c>
      <c r="I90" s="575">
        <f>G90</f>
        <v>5.8499999999912689</v>
      </c>
      <c r="J90" s="175">
        <f>H90/DAY(B2)</f>
        <v>-2.4058333333335518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3977.73</v>
      </c>
      <c r="F91" s="122">
        <v>3988.51</v>
      </c>
      <c r="G91" s="112">
        <f t="shared" si="8"/>
        <v>10.7800000000002</v>
      </c>
      <c r="H91" s="99">
        <f>G91+'23'!H91</f>
        <v>-70.729999999999563</v>
      </c>
      <c r="I91" s="594"/>
      <c r="J91" s="175">
        <f>H91/DAY(B2)</f>
        <v>-2.9470833333333153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5934.87</v>
      </c>
      <c r="F92" s="122">
        <v>5934.87</v>
      </c>
      <c r="G92" s="112">
        <f t="shared" si="8"/>
        <v>0</v>
      </c>
      <c r="H92" s="99">
        <f>G92+'23'!H92</f>
        <v>-0.13000000000010914</v>
      </c>
      <c r="I92" s="600">
        <f>G91+G92</f>
        <v>10.7800000000002</v>
      </c>
      <c r="J92" s="175">
        <f>H92/DAY(B2)</f>
        <v>-5.4166666666712144E-3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7594.8399999999674</v>
      </c>
      <c r="H94" s="99">
        <f>G94+'23'!H94</f>
        <v>-44160.75</v>
      </c>
      <c r="I94" s="118"/>
      <c r="J94" s="175">
        <f>H94/DAY(B2)</f>
        <v>-1840.03125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0.28129037037036914</v>
      </c>
      <c r="H95" s="99">
        <f>G95+'23'!H95</f>
        <v>-1.6579781857291733</v>
      </c>
      <c r="I95" s="167"/>
      <c r="J95" s="175">
        <f>H95/DAY(B2)</f>
        <v>-6.9082424405382217E-2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10213.349999999973</v>
      </c>
      <c r="H96" s="99">
        <f>G96+'23'!H96</f>
        <v>-56778.520000000019</v>
      </c>
      <c r="I96" s="118"/>
      <c r="J96" s="175">
        <f>H96/DAY(B2)</f>
        <v>-2365.7716666666674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0.37827222222222123</v>
      </c>
      <c r="H97" s="99">
        <f>G97+'23'!H97</f>
        <v>-2.133814225174075</v>
      </c>
      <c r="I97" s="167"/>
      <c r="J97" s="175">
        <f>H97/DAY(B2)</f>
        <v>-8.8908926048919798E-2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3178.3800000000047</v>
      </c>
      <c r="H98" s="99">
        <f>G98+'23'!H98</f>
        <v>-17485.890000000014</v>
      </c>
      <c r="I98" s="168"/>
      <c r="J98" s="175">
        <f>H98/DAY(B2)</f>
        <v>-728.57875000000058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0.11771777777777795</v>
      </c>
      <c r="H99" s="99">
        <f>G99+'23'!H99</f>
        <v>-0.6550765132798011</v>
      </c>
      <c r="I99" s="168"/>
      <c r="J99" s="175">
        <f>H99/DAY(B2)</f>
        <v>-2.7294854719991712E-2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2360.7799999999788</v>
      </c>
      <c r="H100" s="99">
        <f>G100+'23'!H100</f>
        <v>-14575.510000000007</v>
      </c>
      <c r="I100" s="118"/>
      <c r="J100" s="175">
        <f>H100/DAY(B2)</f>
        <v>-607.31291666666698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8.7436296296295513E-2</v>
      </c>
      <c r="H101" s="99">
        <f>G101+'23'!H101</f>
        <v>-0.54575260244773349</v>
      </c>
      <c r="I101" s="168"/>
      <c r="J101" s="175">
        <f>H101/DAY(B2)</f>
        <v>-2.2739691768655562E-2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2628.5399999999936</v>
      </c>
      <c r="H102" s="99">
        <f>G102+'23'!H102</f>
        <v>-14417.86</v>
      </c>
      <c r="I102" s="168"/>
      <c r="J102" s="175">
        <f>H102/DAY(B2)</f>
        <v>-600.74416666666673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9.7353333333333097E-2</v>
      </c>
      <c r="H103" s="99">
        <f>G103+'23'!H103</f>
        <v>-0.54539125800648902</v>
      </c>
      <c r="I103" s="118"/>
      <c r="J103" s="175">
        <f>H103/DAY(B2)</f>
        <v>-2.2724635750270377E-2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1735.3999999999942</v>
      </c>
      <c r="H104" s="99">
        <f>G104+'23'!H104</f>
        <v>-10476.090000000004</v>
      </c>
      <c r="I104" s="118"/>
      <c r="J104" s="175">
        <f>H104/DAY(B2)</f>
        <v>-436.50375000000014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6.4274074074073859E-2</v>
      </c>
      <c r="H105" s="99">
        <f>G105+'23'!H105</f>
        <v>-0.39269287808438175</v>
      </c>
      <c r="I105" s="187"/>
      <c r="J105" s="188">
        <f>H105/DAY(B2)</f>
        <v>-1.6362203253515905E-2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'23'!F112</f>
        <v>239</v>
      </c>
      <c r="F112" s="237">
        <f>239+4</f>
        <v>243</v>
      </c>
      <c r="G112" s="112">
        <f t="shared" ref="G112:G123" si="9">F112-E112</f>
        <v>4</v>
      </c>
      <c r="H112" s="99">
        <f>G112+'23'!H112</f>
        <v>63920</v>
      </c>
      <c r="I112" s="165"/>
      <c r="J112" s="328">
        <f>H112/DAY(B2)</f>
        <v>2663.3333333333335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'23'!F113</f>
        <v>576</v>
      </c>
      <c r="F113" s="237">
        <f>576+11.61</f>
        <v>587.61</v>
      </c>
      <c r="G113" s="112">
        <f t="shared" si="9"/>
        <v>11.610000000000014</v>
      </c>
      <c r="H113" s="99">
        <f>G113+'23'!H113</f>
        <v>85283</v>
      </c>
      <c r="I113" s="165"/>
      <c r="J113" s="328">
        <f>H113/DAY(B2)</f>
        <v>3553.4583333333335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'23'!F114</f>
        <v>232</v>
      </c>
      <c r="F114" s="237">
        <f>232+160</f>
        <v>392</v>
      </c>
      <c r="G114" s="112">
        <f t="shared" si="9"/>
        <v>160</v>
      </c>
      <c r="H114" s="99">
        <f>G114+'23'!H114</f>
        <v>56091.11</v>
      </c>
      <c r="I114" s="165"/>
      <c r="J114" s="328">
        <f>H114/DAY(B2)</f>
        <v>2337.1295833333334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'23'!F115</f>
        <v>59</v>
      </c>
      <c r="F115" s="237">
        <f>59+1.37</f>
        <v>60.37</v>
      </c>
      <c r="G115" s="112">
        <f t="shared" si="9"/>
        <v>1.3699999999999974</v>
      </c>
      <c r="H115" s="99">
        <f>G115+'23'!H115</f>
        <v>9855.1200000000008</v>
      </c>
      <c r="I115" s="165"/>
      <c r="J115" s="328">
        <f>H115/DAY(B2)</f>
        <v>410.63000000000005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'23'!F116</f>
        <v>32373.59</v>
      </c>
      <c r="F116" s="417">
        <v>32797</v>
      </c>
      <c r="G116" s="112">
        <f t="shared" si="9"/>
        <v>423.40999999999985</v>
      </c>
      <c r="H116" s="99">
        <f>G116+'23'!H116</f>
        <v>-1869</v>
      </c>
      <c r="I116" s="165"/>
      <c r="J116" s="328">
        <f>H116/DAY(B2)</f>
        <v>-77.875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'23'!F117</f>
        <v>17820</v>
      </c>
      <c r="F117" s="237">
        <v>17950.669999999998</v>
      </c>
      <c r="G117" s="112">
        <f t="shared" si="9"/>
        <v>130.66999999999825</v>
      </c>
      <c r="H117" s="99">
        <f>G117+'23'!H117</f>
        <v>-985.33000000000175</v>
      </c>
      <c r="I117" s="165"/>
      <c r="J117" s="328">
        <f>H117/DAY(B2)</f>
        <v>-41.055416666666737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'23'!F118</f>
        <v>5277</v>
      </c>
      <c r="F118" s="237">
        <v>5806.701</v>
      </c>
      <c r="G118" s="112">
        <f t="shared" si="9"/>
        <v>529.70100000000002</v>
      </c>
      <c r="H118" s="99">
        <f>G118+'23'!H118</f>
        <v>-3256.2990000000009</v>
      </c>
      <c r="I118" s="165"/>
      <c r="J118" s="328">
        <f>H118/DAY(B2)</f>
        <v>-135.67912500000003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'23'!F119</f>
        <v>2762.02</v>
      </c>
      <c r="F119" s="237">
        <v>3210.24</v>
      </c>
      <c r="G119" s="112">
        <f t="shared" si="9"/>
        <v>448.2199999999998</v>
      </c>
      <c r="H119" s="99">
        <f>G119+'23'!H119</f>
        <v>287725.24</v>
      </c>
      <c r="I119" s="165"/>
      <c r="J119" s="328">
        <f>H119/DAY(B2)</f>
        <v>11988.551666666666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'23'!F120</f>
        <v>4107.34</v>
      </c>
      <c r="F120" s="237">
        <v>4531.29</v>
      </c>
      <c r="G120" s="112">
        <f t="shared" si="9"/>
        <v>423.94999999999982</v>
      </c>
      <c r="H120" s="99">
        <f>G120+'23'!H120</f>
        <v>-2603.71</v>
      </c>
      <c r="I120" s="165"/>
      <c r="J120" s="328">
        <f>H120/DAY(B2)</f>
        <v>-108.48791666666666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'23'!F121</f>
        <v>8006.9</v>
      </c>
      <c r="F121" s="237">
        <v>8787.57</v>
      </c>
      <c r="G121" s="112">
        <f t="shared" si="9"/>
        <v>780.67000000000007</v>
      </c>
      <c r="H121" s="99">
        <f>G121+'23'!H121</f>
        <v>-2939.4300000000003</v>
      </c>
      <c r="I121" s="165"/>
      <c r="J121" s="328">
        <f>H121/DAY(B2)</f>
        <v>-122.47625000000001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'23'!F122</f>
        <v>2083.5500000000002</v>
      </c>
      <c r="F122" s="237">
        <v>2283.71</v>
      </c>
      <c r="G122" s="112">
        <f t="shared" si="9"/>
        <v>200.15999999999985</v>
      </c>
      <c r="H122" s="99">
        <f>G122+'23'!H122</f>
        <v>-1280.29</v>
      </c>
      <c r="I122" s="165"/>
      <c r="J122" s="328">
        <f>H122/DAY(B2)</f>
        <v>-53.345416666666665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'23'!F123</f>
        <v>284</v>
      </c>
      <c r="F123" s="237">
        <f>284+5.81</f>
        <v>289.81</v>
      </c>
      <c r="G123" s="112">
        <f t="shared" si="9"/>
        <v>5.8100000000000023</v>
      </c>
      <c r="H123" s="99">
        <f>G123+'23'!H123</f>
        <v>174366.34</v>
      </c>
      <c r="I123" s="165"/>
      <c r="J123" s="328">
        <f>H123/DAY(B2)</f>
        <v>7265.2641666666668</v>
      </c>
    </row>
    <row r="124" spans="1:18" ht="29.25" customHeight="1">
      <c r="A124" s="890"/>
      <c r="B124" s="891"/>
      <c r="C124" s="892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3119.5709999999976</v>
      </c>
      <c r="H125" s="156"/>
      <c r="I125" s="327">
        <f>G125-(G39+G53)</f>
        <v>-58.809000000007018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'23'!F128</f>
        <v>78684.149999999994</v>
      </c>
      <c r="F128" s="165">
        <v>79029.5</v>
      </c>
      <c r="G128" s="112">
        <f t="shared" ref="G128:G134" si="10">F128-E128</f>
        <v>345.35000000000582</v>
      </c>
      <c r="H128" s="99">
        <f>G128+'23'!H128</f>
        <v>-2385.5</v>
      </c>
      <c r="I128" s="165"/>
      <c r="J128" s="328">
        <f>H128/DAY(B2)</f>
        <v>-99.395833333333329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48981.99</v>
      </c>
      <c r="F129" s="165">
        <v>49252.13</v>
      </c>
      <c r="G129" s="112">
        <f t="shared" si="10"/>
        <v>270.13999999999942</v>
      </c>
      <c r="H129" s="99">
        <f>G129+'23'!H129</f>
        <v>-1819.8700000000026</v>
      </c>
      <c r="I129" s="165"/>
      <c r="J129" s="328">
        <f>H129/DAY(B2)</f>
        <v>-75.827916666666781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91744.15</v>
      </c>
      <c r="F130" s="165">
        <v>92453.19</v>
      </c>
      <c r="G130" s="112">
        <f t="shared" si="10"/>
        <v>709.04000000000815</v>
      </c>
      <c r="H130" s="99">
        <f>G130+'23'!H130</f>
        <v>-4192.8099999999977</v>
      </c>
      <c r="I130" s="165"/>
      <c r="J130" s="328">
        <f>H130/DAY(B2)</f>
        <v>-174.70041666666657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'23'!F131</f>
        <v>28942.54</v>
      </c>
      <c r="F131" s="165">
        <v>29175.5</v>
      </c>
      <c r="G131" s="112">
        <f t="shared" si="10"/>
        <v>232.95999999999913</v>
      </c>
      <c r="H131" s="99">
        <f>G131+'23'!H131</f>
        <v>-1259.5</v>
      </c>
      <c r="I131" s="165"/>
      <c r="J131" s="328">
        <f>H131/DAY(B2)</f>
        <v>-52.479166666666664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'23'!F132</f>
        <v>85729.86</v>
      </c>
      <c r="F132" s="165">
        <v>86164.5</v>
      </c>
      <c r="G132" s="112">
        <f t="shared" si="10"/>
        <v>434.63999999999942</v>
      </c>
      <c r="H132" s="99">
        <f>G132+'23'!H132</f>
        <v>-2772.5</v>
      </c>
      <c r="I132" s="165"/>
      <c r="J132" s="328">
        <f>H132/DAY(B2)</f>
        <v>-115.52083333333333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'23'!F133</f>
        <v>166285.31</v>
      </c>
      <c r="F133" s="165">
        <v>167237.96</v>
      </c>
      <c r="G133" s="112">
        <f t="shared" si="10"/>
        <v>952.64999999999418</v>
      </c>
      <c r="H133" s="99">
        <f>G133+'23'!H133</f>
        <v>-5208.0400000000081</v>
      </c>
      <c r="I133" s="165"/>
      <c r="J133" s="328">
        <f>H133/DAY(B2)</f>
        <v>-217.00166666666701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'23'!F134</f>
        <v>26332.639999999999</v>
      </c>
      <c r="F134" s="158">
        <v>26561.293000000001</v>
      </c>
      <c r="G134" s="112">
        <f t="shared" si="10"/>
        <v>228.65300000000207</v>
      </c>
      <c r="H134" s="99">
        <f>G134+'23'!H134</f>
        <v>-1531.7069999999985</v>
      </c>
      <c r="I134" s="165"/>
      <c r="J134" s="328">
        <f>H134/DAY(B2)</f>
        <v>-63.821124999999938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3173.4330000000082</v>
      </c>
      <c r="H135" s="99">
        <f>G135+'23'!H135</f>
        <v>39400.223000000013</v>
      </c>
      <c r="I135" s="327">
        <f>G135-(G35+G49)</f>
        <v>-744.62699999998949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'23'!F138</f>
        <v>877690</v>
      </c>
      <c r="F138" s="147">
        <v>877867</v>
      </c>
      <c r="G138" s="112">
        <f t="shared" ref="G138:G152" si="11">F138-E138</f>
        <v>177</v>
      </c>
      <c r="H138" s="99">
        <f>G138+'23'!H138</f>
        <v>-917</v>
      </c>
      <c r="I138" s="118"/>
      <c r="J138" s="328">
        <f>H138/DAY(B2)</f>
        <v>-38.208333333333336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'23'!F139</f>
        <v>893824</v>
      </c>
      <c r="F139" s="148">
        <v>893967</v>
      </c>
      <c r="G139" s="112">
        <f t="shared" si="11"/>
        <v>143</v>
      </c>
      <c r="H139" s="99">
        <f>G139+'23'!H139</f>
        <v>-899</v>
      </c>
      <c r="I139" s="118"/>
      <c r="J139" s="328">
        <f>H139/DAY(B2)</f>
        <v>-37.458333333333336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'23'!F140</f>
        <v>89032</v>
      </c>
      <c r="F140" s="149">
        <v>89032</v>
      </c>
      <c r="G140" s="112">
        <f t="shared" si="11"/>
        <v>0</v>
      </c>
      <c r="H140" s="99">
        <f>G140+'23'!H140</f>
        <v>88897</v>
      </c>
      <c r="I140" s="118"/>
      <c r="J140" s="328">
        <f>H140/DAY(B2)</f>
        <v>3704.0416666666665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'23'!F141</f>
        <v>70331.41</v>
      </c>
      <c r="F141" s="149">
        <v>70553.64</v>
      </c>
      <c r="G141" s="112">
        <f t="shared" si="11"/>
        <v>222.22999999999593</v>
      </c>
      <c r="H141" s="99">
        <f>G141+'23'!H141</f>
        <v>-1220.3600000000006</v>
      </c>
      <c r="I141" s="118"/>
      <c r="J141" s="328">
        <f>H141/DAY(B2)</f>
        <v>-50.848333333333358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'23'!F142</f>
        <v>26989.49</v>
      </c>
      <c r="F142" s="148">
        <v>27046.31</v>
      </c>
      <c r="G142" s="112">
        <f t="shared" si="11"/>
        <v>56.819999999999709</v>
      </c>
      <c r="H142" s="99">
        <f>G142+'23'!H142</f>
        <v>-419.68999999999869</v>
      </c>
      <c r="I142" s="140"/>
      <c r="J142" s="328">
        <f>H142/DAY(B2)</f>
        <v>-17.487083333333278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'23'!F143</f>
        <v>6210.37</v>
      </c>
      <c r="F143" s="149">
        <v>6240.2</v>
      </c>
      <c r="G143" s="112">
        <f t="shared" si="11"/>
        <v>29.829999999999927</v>
      </c>
      <c r="H143" s="99">
        <f>G143+'23'!H143</f>
        <v>-176.80000000000018</v>
      </c>
      <c r="I143" s="140"/>
      <c r="J143" s="328">
        <f>H143/DAY(B2)</f>
        <v>-7.3666666666666742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'23'!F144</f>
        <v>895536</v>
      </c>
      <c r="F144" s="149">
        <v>895751</v>
      </c>
      <c r="G144" s="112">
        <f t="shared" si="11"/>
        <v>215</v>
      </c>
      <c r="H144" s="99">
        <f>G144+'23'!H144</f>
        <v>-1482</v>
      </c>
      <c r="I144" s="140"/>
      <c r="J144" s="328">
        <f>H144/DAY(B2)</f>
        <v>-61.75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'23'!F145</f>
        <v>5611.38</v>
      </c>
      <c r="F145" s="149">
        <v>5614.87</v>
      </c>
      <c r="G145" s="112">
        <f t="shared" si="11"/>
        <v>3.4899999999997817</v>
      </c>
      <c r="H145" s="99">
        <f>G145+'23'!H145</f>
        <v>-13.130000000000109</v>
      </c>
      <c r="I145" s="140"/>
      <c r="J145" s="328">
        <f>H145/DAY(B2)</f>
        <v>-0.54708333333333792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'23'!F146</f>
        <v>775651</v>
      </c>
      <c r="F146" s="148">
        <v>776034</v>
      </c>
      <c r="G146" s="112">
        <f t="shared" si="11"/>
        <v>383</v>
      </c>
      <c r="H146" s="99">
        <f>G146+'23'!H146</f>
        <v>-420</v>
      </c>
      <c r="I146" s="140"/>
      <c r="J146" s="328">
        <f>H146/DAY(B2)</f>
        <v>-17.5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'23'!F147</f>
        <v>660280</v>
      </c>
      <c r="F147" s="148">
        <v>660748.52</v>
      </c>
      <c r="G147" s="112">
        <f t="shared" si="11"/>
        <v>468.52000000001863</v>
      </c>
      <c r="H147" s="99">
        <f>G147+'23'!H147</f>
        <v>-2479.4799999999814</v>
      </c>
      <c r="I147" s="140"/>
      <c r="J147" s="328">
        <f>H147/DAY(B2)</f>
        <v>-103.31166666666589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'23'!F148</f>
        <v>717265.52</v>
      </c>
      <c r="F148" s="150">
        <v>717743.84</v>
      </c>
      <c r="G148" s="112">
        <f t="shared" si="11"/>
        <v>478.31999999994878</v>
      </c>
      <c r="H148" s="99">
        <f>G148+'23'!H148</f>
        <v>-2172.1600000000326</v>
      </c>
      <c r="I148" s="124"/>
      <c r="J148" s="328">
        <f>H148/DAY(B2)</f>
        <v>-90.506666666668025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'23'!F149</f>
        <v>78758.75</v>
      </c>
      <c r="F149" s="146">
        <v>79477.47</v>
      </c>
      <c r="G149" s="112">
        <f t="shared" si="11"/>
        <v>718.72000000000116</v>
      </c>
      <c r="H149" s="99">
        <f>G149+'23'!H149</f>
        <v>-3910.5299999999988</v>
      </c>
      <c r="I149" s="119"/>
      <c r="J149" s="328">
        <f>H149/DAY(B2)</f>
        <v>-162.93874999999994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'23'!F150</f>
        <v>29100.42</v>
      </c>
      <c r="F150" s="233">
        <v>29311.1</v>
      </c>
      <c r="G150" s="112">
        <f t="shared" si="11"/>
        <v>210.68000000000029</v>
      </c>
      <c r="H150" s="99">
        <f>G150+'23'!H150</f>
        <v>-1275.9000000000015</v>
      </c>
      <c r="I150" s="119"/>
      <c r="J150" s="328">
        <f>H150/DAY(B2)</f>
        <v>-53.162500000000058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'23'!F151</f>
        <v>107123</v>
      </c>
      <c r="F151" s="233">
        <v>107415</v>
      </c>
      <c r="G151" s="112">
        <f t="shared" si="11"/>
        <v>292</v>
      </c>
      <c r="H151" s="99">
        <f>G151+'23'!H151</f>
        <v>-1813</v>
      </c>
      <c r="I151" s="119"/>
      <c r="J151" s="328">
        <f>H151/DAY(B2)</f>
        <v>-75.541666666666671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'23'!F152</f>
        <v>10515.68</v>
      </c>
      <c r="F152" s="233">
        <v>10573.36</v>
      </c>
      <c r="G152" s="112">
        <f t="shared" si="11"/>
        <v>57.680000000000291</v>
      </c>
      <c r="H152" s="99">
        <f>G152+'23'!H152</f>
        <v>-582.63999999999942</v>
      </c>
      <c r="I152" s="119"/>
      <c r="J152" s="328">
        <f>H152/DAY(B2)</f>
        <v>-24.276666666666642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3456.2899999999645</v>
      </c>
      <c r="H153" s="363"/>
      <c r="I153" s="119">
        <f>G153-(G38+G52)</f>
        <v>1095.5099999999857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'23'!F155</f>
        <v>88126.03</v>
      </c>
      <c r="F155" s="420">
        <v>88846</v>
      </c>
      <c r="G155" s="112">
        <f t="shared" ref="G155:G158" si="12">F155-E155</f>
        <v>719.97000000000116</v>
      </c>
      <c r="H155" s="99">
        <f>G155+'23'!H155</f>
        <v>-3886</v>
      </c>
      <c r="I155" s="364"/>
      <c r="J155" s="328">
        <f>H155/DAY(B2)</f>
        <v>-161.91666666666666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'23'!F156</f>
        <v>7309</v>
      </c>
      <c r="F156" s="155">
        <v>7365</v>
      </c>
      <c r="G156" s="112">
        <f t="shared" si="12"/>
        <v>56</v>
      </c>
      <c r="H156" s="99">
        <f>G156+'23'!H156</f>
        <v>-326</v>
      </c>
      <c r="I156" s="165"/>
      <c r="J156" s="328">
        <f>H156/DAY(B2)</f>
        <v>-13.583333333333334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'23'!F157</f>
        <v>12726.04</v>
      </c>
      <c r="F157" s="155">
        <v>12848.32</v>
      </c>
      <c r="G157" s="112">
        <f t="shared" si="12"/>
        <v>122.27999999999884</v>
      </c>
      <c r="H157" s="99">
        <f>G157+'23'!H157</f>
        <v>575.31999999999971</v>
      </c>
      <c r="I157" s="165"/>
      <c r="J157" s="328"/>
    </row>
    <row r="158" spans="1:10" ht="25.5">
      <c r="A158" s="865" t="s">
        <v>362</v>
      </c>
      <c r="B158" s="866"/>
      <c r="C158" s="867"/>
      <c r="D158" s="117" t="s">
        <v>130</v>
      </c>
      <c r="E158" s="95">
        <f>'23'!F158</f>
        <v>100.19</v>
      </c>
      <c r="F158" s="155">
        <v>100.19</v>
      </c>
      <c r="G158" s="112">
        <f t="shared" si="12"/>
        <v>0</v>
      </c>
      <c r="H158" s="99">
        <f>G158+'23'!H158</f>
        <v>2.7199999999999989</v>
      </c>
      <c r="I158" s="165"/>
      <c r="J158" s="328"/>
    </row>
    <row r="159" spans="1:10" ht="25.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474617.32</v>
      </c>
      <c r="F161" s="235">
        <v>474641.64</v>
      </c>
      <c r="G161" s="238">
        <f t="shared" ref="G161:G165" si="13">F161-E161</f>
        <v>24.320000000006985</v>
      </c>
      <c r="H161" s="99">
        <f>G161+'23'!H161</f>
        <v>-141.35999999998603</v>
      </c>
      <c r="I161" s="236"/>
      <c r="J161" s="239">
        <f>H161/DAY(B2)</f>
        <v>-5.8899999999994179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91282.8</v>
      </c>
      <c r="F162" s="235">
        <v>91294.1</v>
      </c>
      <c r="G162" s="238">
        <f t="shared" si="13"/>
        <v>11.30000000000291</v>
      </c>
      <c r="H162" s="99">
        <f>G162+'23'!H162</f>
        <v>-252.89999999999418</v>
      </c>
      <c r="I162" s="236"/>
      <c r="J162" s="239">
        <f>H162/DAY(B2)</f>
        <v>-10.537499999999758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90899.3</v>
      </c>
      <c r="F163" s="235">
        <v>91054.399999999994</v>
      </c>
      <c r="G163" s="238">
        <f t="shared" si="13"/>
        <v>155.09999999999127</v>
      </c>
      <c r="H163" s="99">
        <f>G163+'23'!H163</f>
        <v>-981.60000000000582</v>
      </c>
      <c r="I163" s="236"/>
      <c r="J163" s="239">
        <f>H163/DAY(B2)</f>
        <v>-40.90000000000024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5103.7</v>
      </c>
      <c r="F164" s="235">
        <v>5113.5</v>
      </c>
      <c r="G164" s="238">
        <f t="shared" si="13"/>
        <v>9.8000000000001819</v>
      </c>
      <c r="H164" s="99">
        <f>G164+'23'!H164</f>
        <v>-68.5</v>
      </c>
      <c r="I164" s="236"/>
      <c r="J164" s="239">
        <f>H164/DAY(B2)</f>
        <v>-2.8541666666666665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30556.58</v>
      </c>
      <c r="F165" s="235">
        <v>30560.86</v>
      </c>
      <c r="G165" s="238">
        <f t="shared" si="13"/>
        <v>4.2799999999988358</v>
      </c>
      <c r="H165" s="99">
        <f>G165+'23'!H165</f>
        <v>-73.139999999999418</v>
      </c>
      <c r="I165" s="236"/>
      <c r="J165" s="239">
        <f>H165/DAY(B2)</f>
        <v>-3.0474999999999759</v>
      </c>
    </row>
    <row r="166" spans="1:10" ht="26.25">
      <c r="A166" s="873"/>
      <c r="B166" s="873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1.75" customHeight="1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79" t="s">
        <v>209</v>
      </c>
      <c r="B173" s="880"/>
      <c r="C173" s="333"/>
      <c r="D173" s="228" t="s">
        <v>142</v>
      </c>
      <c r="E173" s="95">
        <f>'23'!F173</f>
        <v>8235</v>
      </c>
      <c r="F173" s="155">
        <v>8235</v>
      </c>
      <c r="G173" s="155">
        <f>F173-E173</f>
        <v>0</v>
      </c>
      <c r="H173" s="99">
        <f>G173+'23'!H173</f>
        <v>96</v>
      </c>
      <c r="I173" s="155"/>
      <c r="J173" s="178">
        <f>H173/DAY(B2)</f>
        <v>4</v>
      </c>
    </row>
    <row r="174" spans="1:10" ht="27" customHeight="1">
      <c r="A174" s="879" t="s">
        <v>75</v>
      </c>
      <c r="B174" s="880"/>
      <c r="C174" s="333"/>
      <c r="D174" s="228" t="s">
        <v>142</v>
      </c>
      <c r="E174" s="95">
        <f>'23'!F174</f>
        <v>39811</v>
      </c>
      <c r="F174" s="157">
        <v>39840</v>
      </c>
      <c r="G174" s="155">
        <f t="shared" ref="G174:G175" si="14">F174-E174</f>
        <v>29</v>
      </c>
      <c r="H174" s="99">
        <f>G174+'23'!H174</f>
        <v>-88</v>
      </c>
      <c r="I174" s="155"/>
      <c r="J174" s="178">
        <f>H174/DAY(B2)</f>
        <v>-3.6666666666666665</v>
      </c>
    </row>
    <row r="175" spans="1:10" ht="27" customHeight="1">
      <c r="A175" s="879" t="s">
        <v>76</v>
      </c>
      <c r="B175" s="919"/>
      <c r="C175" s="880"/>
      <c r="D175" s="228" t="s">
        <v>142</v>
      </c>
      <c r="E175" s="95">
        <f>'23'!F175</f>
        <v>22807</v>
      </c>
      <c r="F175" s="155">
        <v>22819</v>
      </c>
      <c r="G175" s="155">
        <f t="shared" si="14"/>
        <v>12</v>
      </c>
      <c r="H175" s="99">
        <f>G175+'23'!H175</f>
        <v>-70</v>
      </c>
      <c r="I175" s="155"/>
      <c r="J175" s="178">
        <f>H175/DAY(B2)</f>
        <v>-2.9166666666666665</v>
      </c>
    </row>
    <row r="176" spans="1:10" ht="21.75" customHeight="1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41</v>
      </c>
      <c r="H176" s="99">
        <f>G176+'23'!H176</f>
        <v>-62</v>
      </c>
      <c r="I176" s="155"/>
      <c r="J176" s="178">
        <f>H176/DAY(B2)</f>
        <v>-2.5833333333333335</v>
      </c>
    </row>
    <row r="177" spans="1:10" ht="21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'23'!F178</f>
        <v>87875</v>
      </c>
      <c r="F178" s="155">
        <v>87982</v>
      </c>
      <c r="G178" s="155">
        <f>F178-E178</f>
        <v>107</v>
      </c>
      <c r="H178" s="99">
        <f>G178+'23'!H178</f>
        <v>-621</v>
      </c>
      <c r="I178" s="155"/>
      <c r="J178" s="178">
        <f>H178/DAY(B2)</f>
        <v>-25.875</v>
      </c>
    </row>
    <row r="179" spans="1:10" ht="24" customHeight="1">
      <c r="A179" s="879" t="s">
        <v>211</v>
      </c>
      <c r="B179" s="880"/>
      <c r="C179" s="333"/>
      <c r="D179" s="228" t="s">
        <v>142</v>
      </c>
      <c r="E179" s="95">
        <f>'23'!F179</f>
        <v>35739</v>
      </c>
      <c r="F179" s="155">
        <v>35739</v>
      </c>
      <c r="G179" s="155">
        <f t="shared" ref="G179:G180" si="15">F179-E179</f>
        <v>0</v>
      </c>
      <c r="H179" s="99">
        <f>G179+'23'!H179</f>
        <v>-34</v>
      </c>
      <c r="I179" s="155"/>
      <c r="J179" s="178">
        <f>H179/DAY(B2)</f>
        <v>-1.4166666666666667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'23'!F180</f>
        <v>6328</v>
      </c>
      <c r="F180" s="155">
        <v>6331</v>
      </c>
      <c r="G180" s="155">
        <f t="shared" si="15"/>
        <v>3</v>
      </c>
      <c r="H180" s="99">
        <f>G180+'23'!H180</f>
        <v>-58</v>
      </c>
      <c r="I180" s="155"/>
      <c r="J180" s="178">
        <f>H180/DAY(B2)</f>
        <v>-2.4166666666666665</v>
      </c>
    </row>
    <row r="181" spans="1:10" ht="25.5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110</v>
      </c>
      <c r="H181" s="99">
        <f>G181+'23'!H181</f>
        <v>-713</v>
      </c>
      <c r="I181" s="155"/>
      <c r="J181" s="178">
        <f>H181/DAY(B2)</f>
        <v>-29.708333333333332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'23'!F183</f>
        <v>16492</v>
      </c>
      <c r="F183" s="157">
        <v>16504</v>
      </c>
      <c r="G183" s="157">
        <f>F183-E183</f>
        <v>12</v>
      </c>
      <c r="H183" s="99">
        <f>G183+'23'!H183</f>
        <v>-118</v>
      </c>
      <c r="I183" s="155"/>
      <c r="J183" s="178">
        <f>H183/DAY(B2)</f>
        <v>-4.916666666666667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'23'!F184</f>
        <v>11217</v>
      </c>
      <c r="F184" s="157">
        <v>11234</v>
      </c>
      <c r="G184" s="157">
        <f t="shared" ref="G184:G185" si="16">F184-E184</f>
        <v>17</v>
      </c>
      <c r="H184" s="99">
        <f>G184+'23'!H184</f>
        <v>-40</v>
      </c>
      <c r="I184" s="155"/>
      <c r="J184" s="178">
        <f>H184/DAY(B2)</f>
        <v>-1.6666666666666667</v>
      </c>
    </row>
    <row r="185" spans="1:10" ht="26.25" customHeight="1">
      <c r="A185" s="879" t="s">
        <v>216</v>
      </c>
      <c r="B185" s="880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29</v>
      </c>
      <c r="H186" s="99">
        <f>G186+'23'!H186</f>
        <v>-158</v>
      </c>
      <c r="I186" s="157"/>
      <c r="J186" s="178">
        <f>H186/DAY(B2)</f>
        <v>-6.583333333333333</v>
      </c>
    </row>
    <row r="187" spans="1:10" ht="25.5">
      <c r="A187" s="870" t="s">
        <v>217</v>
      </c>
      <c r="B187" s="871"/>
      <c r="C187" s="333"/>
      <c r="D187" s="230" t="s">
        <v>142</v>
      </c>
      <c r="E187" s="95">
        <f>'23'!F187</f>
        <v>0</v>
      </c>
      <c r="F187" s="159"/>
      <c r="G187" s="378">
        <f>G62+G19</f>
        <v>243</v>
      </c>
      <c r="H187" s="99">
        <f>G187+'23'!H187</f>
        <v>-1340</v>
      </c>
      <c r="I187" s="158"/>
      <c r="J187" s="179">
        <f>H187/DAY(B2)</f>
        <v>-55.833333333333336</v>
      </c>
    </row>
    <row r="188" spans="1:10" ht="25.5">
      <c r="A188" s="870" t="s">
        <v>218</v>
      </c>
      <c r="B188" s="871"/>
      <c r="C188" s="333"/>
      <c r="D188" s="230" t="s">
        <v>142</v>
      </c>
      <c r="E188" s="95">
        <f>'23'!F188</f>
        <v>0</v>
      </c>
      <c r="F188" s="159"/>
      <c r="G188" s="378">
        <f>G65+G66+G67+G69+G70</f>
        <v>224</v>
      </c>
      <c r="H188" s="99">
        <f>G188+'23'!H188</f>
        <v>-9564</v>
      </c>
      <c r="I188" s="158"/>
      <c r="J188" s="179">
        <f>H188/DAY(B2)</f>
        <v>-398.5</v>
      </c>
    </row>
    <row r="189" spans="1:10" ht="25.5">
      <c r="A189" s="870" t="s">
        <v>219</v>
      </c>
      <c r="B189" s="871"/>
      <c r="C189" s="333"/>
      <c r="D189" s="230" t="s">
        <v>142</v>
      </c>
      <c r="E189" s="95">
        <f>'23'!F189</f>
        <v>0</v>
      </c>
      <c r="F189" s="157"/>
      <c r="G189" s="377">
        <f>G181</f>
        <v>110</v>
      </c>
      <c r="H189" s="99">
        <f>G189+'23'!H189</f>
        <v>668</v>
      </c>
      <c r="I189" s="158"/>
      <c r="J189" s="179">
        <f>H189/DAY(B2)</f>
        <v>27.833333333333332</v>
      </c>
    </row>
    <row r="190" spans="1:10" ht="25.5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00" zoomScale="55" zoomScaleNormal="49" zoomScaleSheetLayoutView="55" workbookViewId="0">
      <selection activeCell="E15" sqref="E15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355</v>
      </c>
      <c r="B2" s="262">
        <v>44645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481701</v>
      </c>
      <c r="F7" s="95">
        <f>E7+27000</f>
        <v>508701</v>
      </c>
      <c r="G7" s="112">
        <f>F7-E7</f>
        <v>27000</v>
      </c>
      <c r="H7" s="99">
        <f>G7+'24'!H7</f>
        <v>677663</v>
      </c>
      <c r="I7" s="113">
        <f>'1'!I7</f>
        <v>12000</v>
      </c>
      <c r="J7" s="175">
        <f>H7/DAY(B2)</f>
        <v>27106.52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576035</v>
      </c>
      <c r="F8" s="114">
        <f>E8+26500</f>
        <v>602535</v>
      </c>
      <c r="G8" s="115">
        <f>F8-E8</f>
        <v>26500</v>
      </c>
      <c r="H8" s="99">
        <f>G8+'24'!H8</f>
        <v>683412.27999999991</v>
      </c>
      <c r="I8" s="116"/>
      <c r="J8" s="175">
        <f>H8/DAY(B2)</f>
        <v>27336.491199999997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2337550</v>
      </c>
      <c r="F9" s="470">
        <f>E9+16000</f>
        <v>2353550</v>
      </c>
      <c r="G9" s="112">
        <f>F9-E9</f>
        <v>16000</v>
      </c>
      <c r="H9" s="99">
        <f>G9+'24'!H9</f>
        <v>462515</v>
      </c>
      <c r="I9" s="124">
        <f>I7-J7</f>
        <v>-15106.52</v>
      </c>
      <c r="J9" s="175">
        <f>H9/DAY(B2)</f>
        <v>18500.599999999999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787226</v>
      </c>
      <c r="F10" s="353">
        <f>E10+8500</f>
        <v>795726</v>
      </c>
      <c r="G10" s="112">
        <f t="shared" ref="G10:G12" si="0">F10-E10</f>
        <v>8500</v>
      </c>
      <c r="H10" s="99">
        <f>G10+'24'!H10</f>
        <v>180190</v>
      </c>
      <c r="I10" s="282"/>
      <c r="J10" s="175">
        <f>H10/DAY(B2)</f>
        <v>7207.6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G13+'24'!H13</f>
        <v>640188.75</v>
      </c>
      <c r="I13" s="120">
        <f>G7-G13</f>
        <v>2500</v>
      </c>
      <c r="J13" s="175">
        <f>H13/DAY(B2)</f>
        <v>25607.55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1998241</v>
      </c>
      <c r="G15" s="112" t="e">
        <f>(F15-E15)</f>
        <v>#VALUE!</v>
      </c>
      <c r="H15" s="99" t="e">
        <f>G15+'24'!H15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'24'!F18</f>
        <v>26</v>
      </c>
      <c r="F18" s="122">
        <v>33</v>
      </c>
      <c r="G18" s="119">
        <f>F18*10</f>
        <v>330</v>
      </c>
      <c r="H18" s="99">
        <f>G18+'24'!H18</f>
        <v>5760</v>
      </c>
      <c r="I18" s="113">
        <f>'1'!I18</f>
        <v>65</v>
      </c>
      <c r="J18" s="175">
        <f>H18/DAY(B2)</f>
        <v>230.4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'24'!F19</f>
        <v>158152</v>
      </c>
      <c r="F19" s="122">
        <v>158203</v>
      </c>
      <c r="G19" s="112">
        <f t="shared" ref="G19" si="1">F19-E19</f>
        <v>51</v>
      </c>
      <c r="H19" s="99">
        <f>G19+'24'!H19</f>
        <v>-251</v>
      </c>
      <c r="I19" s="335"/>
      <c r="J19" s="175">
        <f>H19/DAY(B2)</f>
        <v>-10.039999999999999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381</v>
      </c>
      <c r="H20" s="99">
        <f>G20+'24'!H20</f>
        <v>5509</v>
      </c>
      <c r="I20" s="336">
        <f>I18-J20</f>
        <v>-155.36000000000001</v>
      </c>
      <c r="J20" s="175">
        <f>H20/DAY(B2)</f>
        <v>220.36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G27+'24'!H27</f>
        <v>6150710.5200000005</v>
      </c>
      <c r="I27" s="138"/>
      <c r="J27" s="175">
        <f>H27/DAY(B2)</f>
        <v>246028.42080000002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52</v>
      </c>
      <c r="G28" s="137" t="e">
        <f>E28*F28</f>
        <v>#VALUE!</v>
      </c>
      <c r="H28" s="99" t="e">
        <f>G28+'24'!H28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G30+'24'!H30</f>
        <v>-39206</v>
      </c>
      <c r="I30" s="140"/>
      <c r="J30" s="175">
        <f>H30/DAY(B2)</f>
        <v>-1568.24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G31+'24'!H31</f>
        <v>460800</v>
      </c>
      <c r="I31" s="140"/>
      <c r="J31" s="175">
        <f>H31/DAY(B2)</f>
        <v>18432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G32+'24'!H32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189839.07</v>
      </c>
      <c r="F35" s="145">
        <v>191970.69</v>
      </c>
      <c r="G35" s="112">
        <f t="shared" ref="G35:G46" si="3">F35-E35</f>
        <v>2131.6199999999953</v>
      </c>
      <c r="H35" s="99">
        <f>G35+'24'!H35</f>
        <v>-10914.309999999998</v>
      </c>
      <c r="I35" s="95"/>
      <c r="J35" s="175">
        <f>H35/DAY(B2)</f>
        <v>-436.5723999999999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125261.27</v>
      </c>
      <c r="F36" s="145">
        <v>126196.4</v>
      </c>
      <c r="G36" s="112">
        <f t="shared" si="3"/>
        <v>935.1299999999901</v>
      </c>
      <c r="H36" s="99">
        <f>G36+'24'!H36</f>
        <v>-5382.6000000000058</v>
      </c>
      <c r="I36" s="95"/>
      <c r="J36" s="175">
        <f>H36/DAY(B2)</f>
        <v>-215.30400000000023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172648.59</v>
      </c>
      <c r="F37" s="145">
        <v>174410.65</v>
      </c>
      <c r="G37" s="112">
        <f t="shared" si="3"/>
        <v>1762.0599999999977</v>
      </c>
      <c r="H37" s="99">
        <f>G37+'24'!H37</f>
        <v>-8714.3500000000058</v>
      </c>
      <c r="I37" s="95"/>
      <c r="J37" s="175">
        <f>H37/DAY(B2)</f>
        <v>-348.57400000000024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228876.49</v>
      </c>
      <c r="F38" s="108">
        <v>231278.95</v>
      </c>
      <c r="G38" s="112">
        <f t="shared" si="3"/>
        <v>2402.460000000021</v>
      </c>
      <c r="H38" s="99">
        <f>G38+'24'!H38</f>
        <v>-12173.049999999988</v>
      </c>
      <c r="I38" s="95"/>
      <c r="J38" s="175">
        <f>H38/DAY(B2)</f>
        <v>-486.92199999999951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322502.11</v>
      </c>
      <c r="F39" s="145">
        <v>325608.39</v>
      </c>
      <c r="G39" s="112">
        <f t="shared" si="3"/>
        <v>3106.2800000000279</v>
      </c>
      <c r="H39" s="99">
        <f>G39+'24'!H39</f>
        <v>-14379.609999999986</v>
      </c>
      <c r="I39" s="95"/>
      <c r="J39" s="175">
        <f>H39/DAY(B2)</f>
        <v>-575.18439999999941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60430.35</v>
      </c>
      <c r="F40" s="145">
        <v>61118.400000000001</v>
      </c>
      <c r="G40" s="112">
        <f t="shared" si="3"/>
        <v>688.05000000000291</v>
      </c>
      <c r="H40" s="99">
        <f>G40+'24'!H40</f>
        <v>-3758.5999999999985</v>
      </c>
      <c r="I40" s="95"/>
      <c r="J40" s="175">
        <f>H40/DAY(B2)</f>
        <v>-150.34399999999994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5014.7</v>
      </c>
      <c r="F41" s="145">
        <v>8476.6</v>
      </c>
      <c r="G41" s="112">
        <f t="shared" si="3"/>
        <v>3461.9000000000005</v>
      </c>
      <c r="H41" s="99">
        <f>G41+'24'!H41</f>
        <v>-19216.400000000005</v>
      </c>
      <c r="I41" s="95"/>
      <c r="J41" s="175">
        <f>H41/DAY(B2)</f>
        <v>-768.65600000000018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394159.11</v>
      </c>
      <c r="F42" s="145">
        <v>399463.27</v>
      </c>
      <c r="G42" s="112">
        <f t="shared" si="3"/>
        <v>5304.1600000000326</v>
      </c>
      <c r="H42" s="99">
        <f>G42+'24'!H42</f>
        <v>-26337.729999999981</v>
      </c>
      <c r="I42" s="95"/>
      <c r="J42" s="175">
        <f>H42/DAY(B2)</f>
        <v>-1053.5091999999993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337283.23</v>
      </c>
      <c r="F43" s="145">
        <v>340758.63</v>
      </c>
      <c r="G43" s="112">
        <f t="shared" si="3"/>
        <v>3475.4000000000233</v>
      </c>
      <c r="H43" s="99">
        <f>G43+'24'!H43</f>
        <v>-16760.369999999995</v>
      </c>
      <c r="I43" s="95"/>
      <c r="J43" s="175">
        <f>H43/DAY(B2)</f>
        <v>-670.41479999999979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23267.060000000092</v>
      </c>
      <c r="H47" s="99">
        <f>G47+'24'!H47</f>
        <v>-117637.0199999999</v>
      </c>
      <c r="I47" s="95"/>
      <c r="J47" s="175">
        <f>H47/DAY(B2)</f>
        <v>-4705.4807999999957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154290.95000000001</v>
      </c>
      <c r="F49" s="145">
        <v>156134.81</v>
      </c>
      <c r="G49" s="112">
        <f t="shared" ref="G49:G58" si="4">F49-E49</f>
        <v>1843.859999999986</v>
      </c>
      <c r="H49" s="99">
        <f>G49+'24'!H49</f>
        <v>-9035.1900000000023</v>
      </c>
      <c r="I49" s="95"/>
      <c r="J49" s="175">
        <f>H49/DAY(B2)</f>
        <v>-361.40760000000012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164506.87</v>
      </c>
      <c r="F50" s="145">
        <v>165595.35</v>
      </c>
      <c r="G50" s="112">
        <f t="shared" si="4"/>
        <v>1088.4800000000105</v>
      </c>
      <c r="H50" s="99">
        <f>G50+'24'!H50</f>
        <v>-7011.6499999999942</v>
      </c>
      <c r="I50" s="95"/>
      <c r="J50" s="175">
        <f>H50/DAY(B2)</f>
        <v>-280.46599999999978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76</v>
      </c>
      <c r="F51" s="145">
        <v>76</v>
      </c>
      <c r="G51" s="112">
        <f t="shared" si="4"/>
        <v>0</v>
      </c>
      <c r="H51" s="99">
        <f>G51+'24'!H51</f>
        <v>0.31999999999999318</v>
      </c>
      <c r="I51" s="95"/>
      <c r="J51" s="175">
        <f>H51/DAY(B2)</f>
        <v>1.2799999999999727E-2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47221.9</v>
      </c>
      <c r="F54" s="145">
        <v>47704.83</v>
      </c>
      <c r="G54" s="112">
        <f t="shared" si="4"/>
        <v>482.93000000000029</v>
      </c>
      <c r="H54" s="99">
        <f>G54+'24'!H54</f>
        <v>-2378.1699999999983</v>
      </c>
      <c r="I54" s="95"/>
      <c r="J54" s="175">
        <f>H54/DAY(B2)</f>
        <v>-95.126799999999932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142509.01</v>
      </c>
      <c r="F55" s="145">
        <v>142509.01</v>
      </c>
      <c r="G55" s="112">
        <f t="shared" si="4"/>
        <v>0</v>
      </c>
      <c r="H55" s="99">
        <f>G55+'24'!H55</f>
        <v>-2457.9899999999907</v>
      </c>
      <c r="I55" s="95"/>
      <c r="J55" s="175">
        <f>H55/DAY(B2)</f>
        <v>-98.319599999999625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107245.66</v>
      </c>
      <c r="F56" s="145">
        <v>107245.66</v>
      </c>
      <c r="G56" s="112">
        <f t="shared" si="4"/>
        <v>0</v>
      </c>
      <c r="H56" s="99">
        <f>G56+'24'!H56</f>
        <v>-0.33999999999650754</v>
      </c>
      <c r="I56" s="95"/>
      <c r="J56" s="175">
        <f>H56/DAY(B2)</f>
        <v>-1.3599999999860302E-2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24111.7</v>
      </c>
      <c r="F58" s="145">
        <v>24349.56</v>
      </c>
      <c r="G58" s="112">
        <f t="shared" si="4"/>
        <v>237.86000000000058</v>
      </c>
      <c r="H58" s="99">
        <f>G58+'24'!H58</f>
        <v>-1143.4399999999987</v>
      </c>
      <c r="I58" s="95"/>
      <c r="J58" s="175">
        <f>H58/DAY(B2)</f>
        <v>-45.737599999999951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3653.1299999999974</v>
      </c>
      <c r="H59" s="99">
        <f>G59+'24'!H59</f>
        <v>-22026.459999999977</v>
      </c>
      <c r="I59" s="95">
        <f>G7-G60</f>
        <v>79.80999999991036</v>
      </c>
      <c r="J59" s="175">
        <f>H59/DAY(B2)</f>
        <v>-881.0583999999991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26920.19000000009</v>
      </c>
      <c r="H60" s="99">
        <f>G60+'24'!H60</f>
        <v>-139663.47999999986</v>
      </c>
      <c r="I60" s="95">
        <f>G13-G60</f>
        <v>-2420.1900000000896</v>
      </c>
      <c r="J60" s="175">
        <f>H60/DAY(B2)</f>
        <v>-5586.5391999999947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'24'!F62</f>
        <v>282971</v>
      </c>
      <c r="F62" s="122">
        <v>283163</v>
      </c>
      <c r="G62" s="112">
        <f t="shared" ref="G62:G63" si="5">F62-E62</f>
        <v>192</v>
      </c>
      <c r="H62" s="99">
        <f>G62+'24'!H62</f>
        <v>-846</v>
      </c>
      <c r="I62" s="118"/>
      <c r="J62" s="175">
        <f>H62/DAY(B2)</f>
        <v>-33.840000000000003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'24'!F63</f>
        <v>226696</v>
      </c>
      <c r="F63" s="122">
        <v>226828</v>
      </c>
      <c r="G63" s="112">
        <f t="shared" si="5"/>
        <v>132</v>
      </c>
      <c r="H63" s="99">
        <f>G63+'24'!H63</f>
        <v>-651</v>
      </c>
      <c r="I63" s="118"/>
      <c r="J63" s="175">
        <f>H63/DAY(B2)</f>
        <v>-26.04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'24'!F64</f>
        <v>0</v>
      </c>
      <c r="F64" s="122"/>
      <c r="G64" s="112">
        <f>G62+G63</f>
        <v>324</v>
      </c>
      <c r="H64" s="99">
        <f>G64+'24'!H64</f>
        <v>-1497</v>
      </c>
      <c r="I64" s="118"/>
      <c r="J64" s="175">
        <f>H64/DAY(B2)</f>
        <v>-59.88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'24'!F65</f>
        <v>443883</v>
      </c>
      <c r="F65" s="122">
        <v>443999</v>
      </c>
      <c r="G65" s="112">
        <f t="shared" ref="G65:G70" si="6">F65-E65</f>
        <v>116</v>
      </c>
      <c r="H65" s="99">
        <f>G65+'24'!H65</f>
        <v>-593</v>
      </c>
      <c r="I65" s="118"/>
      <c r="J65" s="175">
        <f>H65/DAY(B2)</f>
        <v>-23.72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109479</v>
      </c>
      <c r="F66" s="122">
        <v>109494</v>
      </c>
      <c r="G66" s="112">
        <f t="shared" si="6"/>
        <v>15</v>
      </c>
      <c r="H66" s="99">
        <f>G66+'24'!H66</f>
        <v>-87</v>
      </c>
      <c r="I66" s="118"/>
      <c r="J66" s="175">
        <f>H66/DAY(B2)</f>
        <v>-3.48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110430</v>
      </c>
      <c r="F67" s="122">
        <v>110510</v>
      </c>
      <c r="G67" s="112">
        <f t="shared" si="6"/>
        <v>80</v>
      </c>
      <c r="H67" s="99">
        <f>G67+'24'!H67</f>
        <v>-390</v>
      </c>
      <c r="I67" s="118"/>
      <c r="J67" s="175">
        <f>H67/DAY(B2)</f>
        <v>-15.6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161516</v>
      </c>
      <c r="F68" s="122">
        <v>161593</v>
      </c>
      <c r="G68" s="112">
        <v>73</v>
      </c>
      <c r="H68" s="99">
        <f>G68+'24'!H68</f>
        <v>-195</v>
      </c>
      <c r="I68" s="118"/>
      <c r="J68" s="175">
        <f>H68/DAY(B2)</f>
        <v>-7.8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11500</v>
      </c>
      <c r="F69" s="122">
        <v>11525</v>
      </c>
      <c r="G69" s="112">
        <f t="shared" si="6"/>
        <v>25</v>
      </c>
      <c r="H69" s="99">
        <f>G69+'24'!H69</f>
        <v>-73</v>
      </c>
      <c r="I69" s="118"/>
      <c r="J69" s="175">
        <f>H69/DAY(B2)</f>
        <v>-2.92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8954</v>
      </c>
      <c r="F70" s="122">
        <v>8962</v>
      </c>
      <c r="G70" s="112">
        <f t="shared" si="6"/>
        <v>8</v>
      </c>
      <c r="H70" s="99">
        <f>G70+'24'!H70</f>
        <v>-39</v>
      </c>
      <c r="I70" s="118"/>
      <c r="J70" s="175">
        <f>H70/DAY(B2)</f>
        <v>-1.56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317</v>
      </c>
      <c r="H71" s="99">
        <f>G71+'24'!H71</f>
        <v>-1377</v>
      </c>
      <c r="I71" s="154"/>
      <c r="J71" s="175">
        <f>H71/DAY(B2)</f>
        <v>-55.08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'24'!F74</f>
        <v>926848.79</v>
      </c>
      <c r="F74" s="410">
        <v>927176.9</v>
      </c>
      <c r="G74" s="236">
        <f t="shared" ref="G74:G78" si="7">F74-E74</f>
        <v>328.10999999998603</v>
      </c>
      <c r="H74" s="99">
        <f>G74+'24'!H74</f>
        <v>-1600.0999999999767</v>
      </c>
      <c r="I74" s="154"/>
      <c r="J74" s="175">
        <f>H74/DAY(B2)</f>
        <v>-64.003999999999067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'24'!F76</f>
        <v>179428.9</v>
      </c>
      <c r="F76" s="410">
        <v>179537</v>
      </c>
      <c r="G76" s="236">
        <f t="shared" si="7"/>
        <v>108.10000000000582</v>
      </c>
      <c r="H76" s="99">
        <f>G76+'24'!H76</f>
        <v>-617</v>
      </c>
      <c r="I76" s="154"/>
      <c r="J76" s="175">
        <f>H76/DAY(B2)</f>
        <v>-24.68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'24'!F77</f>
        <v>45366.2</v>
      </c>
      <c r="F77" s="410">
        <v>45410</v>
      </c>
      <c r="G77" s="236">
        <f t="shared" si="7"/>
        <v>43.80000000000291</v>
      </c>
      <c r="H77" s="99">
        <f>G77+'24'!H77</f>
        <v>-264</v>
      </c>
      <c r="I77" s="154"/>
      <c r="J77" s="175">
        <f>H77/DAY(B2)</f>
        <v>-10.56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'24'!F78</f>
        <v>9563.4</v>
      </c>
      <c r="F78" s="410">
        <v>9563</v>
      </c>
      <c r="G78" s="236">
        <f t="shared" si="7"/>
        <v>-0.3999999999996362</v>
      </c>
      <c r="H78" s="99">
        <f>G78+'24'!H78</f>
        <v>-0.3999999999996362</v>
      </c>
      <c r="I78" s="118"/>
      <c r="J78" s="175">
        <f>H78/DAY(B2)</f>
        <v>-1.5999999999985449E-2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'24'!F79</f>
        <v>0</v>
      </c>
      <c r="F79" s="117"/>
      <c r="G79" s="112" t="e">
        <f>G15-SUM(G74:G78)</f>
        <v>#VALUE!</v>
      </c>
      <c r="H79" s="99" t="e">
        <f>G79+'24'!H79</f>
        <v>#VALUE!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6">
        <f>'24'!F84</f>
        <v>41697.269999999997</v>
      </c>
      <c r="F84" s="164">
        <v>41714</v>
      </c>
      <c r="G84" s="236">
        <f t="shared" si="8"/>
        <v>16.730000000003201</v>
      </c>
      <c r="H84" s="99">
        <f>G84+'24'!H84</f>
        <v>-78</v>
      </c>
      <c r="I84" s="575"/>
      <c r="J84" s="175">
        <f>H84/DAY(B2)</f>
        <v>-3.12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3645.4</v>
      </c>
      <c r="F85" s="164">
        <v>3669.03</v>
      </c>
      <c r="G85" s="112">
        <f t="shared" si="8"/>
        <v>23.630000000000109</v>
      </c>
      <c r="H85" s="99">
        <f>G85+'24'!H85</f>
        <v>-107.9699999999998</v>
      </c>
      <c r="I85" s="575"/>
      <c r="J85" s="175">
        <f>H85/DAY(B2)</f>
        <v>-4.3187999999999924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43924.480000000003</v>
      </c>
      <c r="F86" s="164">
        <v>43924.480000000003</v>
      </c>
      <c r="G86" s="112">
        <f t="shared" si="8"/>
        <v>0</v>
      </c>
      <c r="H86" s="99">
        <f>G86+'24'!H86</f>
        <v>-14.519999999996799</v>
      </c>
      <c r="I86" s="575"/>
      <c r="J86" s="175">
        <f>H86/DAY(B2)</f>
        <v>-0.58079999999987197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35329.06</v>
      </c>
      <c r="F87" s="164">
        <v>35329</v>
      </c>
      <c r="G87" s="112">
        <f t="shared" si="8"/>
        <v>-5.9999999997671694E-2</v>
      </c>
      <c r="H87" s="99">
        <f>G87+'24'!H87</f>
        <v>0</v>
      </c>
      <c r="I87" s="575">
        <f>G84+G85+G86+G87</f>
        <v>40.300000000005639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24187.01</v>
      </c>
      <c r="F88" s="164">
        <v>24187.01</v>
      </c>
      <c r="G88" s="112">
        <f t="shared" si="8"/>
        <v>0</v>
      </c>
      <c r="H88" s="99">
        <f>G88+'24'!H88</f>
        <v>-1.1100000000005821</v>
      </c>
      <c r="I88" s="575"/>
      <c r="J88" s="175">
        <f>H88/DAY(B2)</f>
        <v>-4.4400000000023282E-2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26651.01</v>
      </c>
      <c r="F89" s="164">
        <v>26661.35</v>
      </c>
      <c r="G89" s="112">
        <f t="shared" si="8"/>
        <v>10.340000000000146</v>
      </c>
      <c r="H89" s="99">
        <f>G89+'24'!H89</f>
        <v>-47.870000000002619</v>
      </c>
      <c r="I89" s="575">
        <f>G88+G89</f>
        <v>10.340000000000146</v>
      </c>
      <c r="J89" s="175">
        <f>H89/DAY(B2)</f>
        <v>-1.9148000000001049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71805.789999999994</v>
      </c>
      <c r="F90" s="164">
        <v>71816.399999999994</v>
      </c>
      <c r="G90" s="112">
        <f t="shared" si="8"/>
        <v>10.610000000000582</v>
      </c>
      <c r="H90" s="99">
        <f>G90+'24'!H90</f>
        <v>-47.130000000004657</v>
      </c>
      <c r="I90" s="575">
        <f>G90</f>
        <v>10.610000000000582</v>
      </c>
      <c r="J90" s="175">
        <f>H90/DAY(B2)</f>
        <v>-1.8852000000001863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3988.51</v>
      </c>
      <c r="F91" s="122">
        <v>4000.56</v>
      </c>
      <c r="G91" s="112">
        <f t="shared" si="8"/>
        <v>12.049999999999727</v>
      </c>
      <c r="H91" s="99">
        <f>G91+'24'!H91</f>
        <v>-58.679999999999836</v>
      </c>
      <c r="I91" s="594"/>
      <c r="J91" s="175">
        <f>H91/DAY(B2)</f>
        <v>-2.3471999999999933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5934.87</v>
      </c>
      <c r="F92" s="122">
        <v>5934.87</v>
      </c>
      <c r="G92" s="112">
        <f t="shared" si="8"/>
        <v>0</v>
      </c>
      <c r="H92" s="99">
        <f>G92+'24'!H92</f>
        <v>-0.13000000000010914</v>
      </c>
      <c r="I92" s="600">
        <f>G91+G92</f>
        <v>12.049999999999727</v>
      </c>
      <c r="J92" s="175">
        <f>H92/DAY(B2)</f>
        <v>-5.2000000000043652E-3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7450.8800000000047</v>
      </c>
      <c r="H94" s="99">
        <f>G94+'24'!H94</f>
        <v>-36709.869999999995</v>
      </c>
      <c r="I94" s="118"/>
      <c r="J94" s="175">
        <f>H94/DAY(B2)</f>
        <v>-1468.3947999999998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0.27595851851851871</v>
      </c>
      <c r="H95" s="99">
        <f>G95+'24'!H95</f>
        <v>-1.3820196672106546</v>
      </c>
      <c r="I95" s="167"/>
      <c r="J95" s="175">
        <f>H95/DAY(B2)</f>
        <v>-5.5280786688426183E-2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8766.0600000000341</v>
      </c>
      <c r="H96" s="99">
        <f>G96+'24'!H96</f>
        <v>-48012.459999999985</v>
      </c>
      <c r="I96" s="118"/>
      <c r="J96" s="175">
        <f>H96/DAY(B2)</f>
        <v>-1920.4983999999995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0.32466888888889017</v>
      </c>
      <c r="H97" s="99">
        <f>G97+'24'!H97</f>
        <v>-1.8091453362851848</v>
      </c>
      <c r="I97" s="167"/>
      <c r="J97" s="175">
        <f>H97/DAY(B2)</f>
        <v>-7.2365813451407399E-2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3106.2800000000279</v>
      </c>
      <c r="H98" s="99">
        <f>G98+'24'!H98</f>
        <v>-14379.609999999986</v>
      </c>
      <c r="I98" s="168"/>
      <c r="J98" s="175">
        <f>H98/DAY(B2)</f>
        <v>-575.18439999999941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0.11504740740740844</v>
      </c>
      <c r="H99" s="99">
        <f>G99+'24'!H99</f>
        <v>-0.54002910587239261</v>
      </c>
      <c r="I99" s="168"/>
      <c r="J99" s="175">
        <f>H99/DAY(B2)</f>
        <v>-2.1601164234895706E-2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2402.460000000021</v>
      </c>
      <c r="H100" s="99">
        <f>G100+'24'!H100</f>
        <v>-12173.049999999987</v>
      </c>
      <c r="I100" s="118"/>
      <c r="J100" s="175">
        <f>H100/DAY(B2)</f>
        <v>-486.92199999999946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8.8980000000000781E-2</v>
      </c>
      <c r="H101" s="99">
        <f>G101+'24'!H101</f>
        <v>-0.45677260244773271</v>
      </c>
      <c r="I101" s="168"/>
      <c r="J101" s="175">
        <f>H101/DAY(B2)</f>
        <v>-1.827090409790931E-2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2023.6100000000006</v>
      </c>
      <c r="H102" s="99">
        <f>G102+'24'!H102</f>
        <v>-12394.25</v>
      </c>
      <c r="I102" s="168"/>
      <c r="J102" s="175">
        <f>H102/DAY(B2)</f>
        <v>-495.77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7.4948518518518539E-2</v>
      </c>
      <c r="H103" s="99">
        <f>G103+'24'!H103</f>
        <v>-0.4704427394879705</v>
      </c>
      <c r="I103" s="118"/>
      <c r="J103" s="175">
        <f>H103/DAY(B2)</f>
        <v>-1.881770957951882E-2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1762.0599999999977</v>
      </c>
      <c r="H104" s="99">
        <f>G104+'24'!H104</f>
        <v>-8714.0300000000061</v>
      </c>
      <c r="I104" s="118"/>
      <c r="J104" s="175">
        <f>H104/DAY(B2)</f>
        <v>-348.56120000000027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6.5261481481481393E-2</v>
      </c>
      <c r="H105" s="99">
        <f>G105+'24'!H105</f>
        <v>-0.32743139660290033</v>
      </c>
      <c r="I105" s="187"/>
      <c r="J105" s="188">
        <f>H105/DAY(B2)</f>
        <v>-1.3097255864116013E-2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'24'!F112</f>
        <v>243</v>
      </c>
      <c r="F112" s="237">
        <f>7+243</f>
        <v>250</v>
      </c>
      <c r="G112" s="112">
        <f t="shared" ref="G112:G123" si="9">F112-E112</f>
        <v>7</v>
      </c>
      <c r="H112" s="99">
        <f>G112+'24'!H112</f>
        <v>63927</v>
      </c>
      <c r="I112" s="165"/>
      <c r="J112" s="328">
        <f>H112/DAY(B2)</f>
        <v>2557.08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'24'!F113</f>
        <v>587.61</v>
      </c>
      <c r="F113" s="237">
        <f>17.53+587.61</f>
        <v>605.14</v>
      </c>
      <c r="G113" s="112">
        <f t="shared" si="9"/>
        <v>17.529999999999973</v>
      </c>
      <c r="H113" s="99">
        <f>G113+'24'!H113</f>
        <v>85300.53</v>
      </c>
      <c r="I113" s="165"/>
      <c r="J113" s="328">
        <f>H113/DAY(B2)</f>
        <v>3412.0212000000001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'24'!F114</f>
        <v>392</v>
      </c>
      <c r="F114" s="237">
        <f>25+392</f>
        <v>417</v>
      </c>
      <c r="G114" s="112">
        <f t="shared" si="9"/>
        <v>25</v>
      </c>
      <c r="H114" s="99">
        <f>G114+'24'!H114</f>
        <v>56116.11</v>
      </c>
      <c r="I114" s="165"/>
      <c r="J114" s="328">
        <f>H114/DAY(B2)</f>
        <v>2244.6444000000001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'24'!F115</f>
        <v>60.37</v>
      </c>
      <c r="F115" s="237">
        <f>1+60.37</f>
        <v>61.37</v>
      </c>
      <c r="G115" s="112">
        <f t="shared" si="9"/>
        <v>1</v>
      </c>
      <c r="H115" s="99">
        <f>G115+'24'!H115</f>
        <v>9856.1200000000008</v>
      </c>
      <c r="I115" s="165"/>
      <c r="J115" s="328">
        <f>H115/DAY(B2)</f>
        <v>394.24480000000005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'24'!F116</f>
        <v>32797</v>
      </c>
      <c r="F116" s="237">
        <v>33145.97</v>
      </c>
      <c r="G116" s="112">
        <f t="shared" si="9"/>
        <v>348.97000000000116</v>
      </c>
      <c r="H116" s="99">
        <f>G116+'24'!H116</f>
        <v>-1520.0299999999988</v>
      </c>
      <c r="I116" s="165"/>
      <c r="J116" s="328">
        <f>H116/DAY(B2)</f>
        <v>-60.801199999999952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'24'!F117</f>
        <v>17950.669999999998</v>
      </c>
      <c r="F117" s="237">
        <v>18193</v>
      </c>
      <c r="G117" s="112">
        <f t="shared" si="9"/>
        <v>242.33000000000175</v>
      </c>
      <c r="H117" s="99">
        <f>G117+'24'!H117</f>
        <v>-743</v>
      </c>
      <c r="I117" s="165"/>
      <c r="J117" s="328">
        <f>H117/DAY(B2)</f>
        <v>-29.72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'24'!F118</f>
        <v>5806.701</v>
      </c>
      <c r="F118" s="237">
        <v>6327.33</v>
      </c>
      <c r="G118" s="112">
        <f t="shared" si="9"/>
        <v>520.62899999999991</v>
      </c>
      <c r="H118" s="99">
        <f>G118+'24'!H118</f>
        <v>-2735.670000000001</v>
      </c>
      <c r="I118" s="165"/>
      <c r="J118" s="328">
        <f>H118/DAY(B2)</f>
        <v>-109.42680000000004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'24'!F119</f>
        <v>3210.24</v>
      </c>
      <c r="F119" s="237">
        <v>3677.5</v>
      </c>
      <c r="G119" s="112">
        <f t="shared" si="9"/>
        <v>467.26000000000022</v>
      </c>
      <c r="H119" s="99">
        <f>G119+'24'!H119</f>
        <v>288192.5</v>
      </c>
      <c r="I119" s="165"/>
      <c r="J119" s="328">
        <f>H119/DAY(B2)</f>
        <v>11527.7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'24'!F120</f>
        <v>4531.29</v>
      </c>
      <c r="F120" s="237">
        <v>4966.8</v>
      </c>
      <c r="G120" s="112">
        <f t="shared" si="9"/>
        <v>435.51000000000022</v>
      </c>
      <c r="H120" s="99">
        <f>G120+'24'!H120</f>
        <v>-2168.1999999999998</v>
      </c>
      <c r="I120" s="165"/>
      <c r="J120" s="328">
        <f>H120/DAY(B2)</f>
        <v>-86.727999999999994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'24'!F121</f>
        <v>8787.57</v>
      </c>
      <c r="F121" s="237">
        <v>9468.27</v>
      </c>
      <c r="G121" s="112">
        <f t="shared" si="9"/>
        <v>680.70000000000073</v>
      </c>
      <c r="H121" s="99">
        <f>G121+'24'!H121</f>
        <v>-2258.7299999999996</v>
      </c>
      <c r="I121" s="165"/>
      <c r="J121" s="328">
        <f>H121/DAY(B2)</f>
        <v>-90.349199999999982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'24'!F122</f>
        <v>2283.71</v>
      </c>
      <c r="F122" s="237">
        <v>2500.9499999999998</v>
      </c>
      <c r="G122" s="112">
        <f t="shared" si="9"/>
        <v>217.23999999999978</v>
      </c>
      <c r="H122" s="99">
        <f>G122+'24'!H122</f>
        <v>-1063.0500000000002</v>
      </c>
      <c r="I122" s="165"/>
      <c r="J122" s="328">
        <f>H122/DAY(B2)</f>
        <v>-42.522000000000006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'24'!F123</f>
        <v>289.81</v>
      </c>
      <c r="F123" s="237">
        <f>8+289.81</f>
        <v>297.81</v>
      </c>
      <c r="G123" s="112">
        <f t="shared" si="9"/>
        <v>8</v>
      </c>
      <c r="H123" s="99">
        <f>G123+'24'!H123</f>
        <v>174374.34</v>
      </c>
      <c r="I123" s="165"/>
      <c r="J123" s="328">
        <f>H123/DAY(B2)</f>
        <v>6974.9736000000003</v>
      </c>
    </row>
    <row r="124" spans="1:18" ht="29.25" customHeight="1">
      <c r="A124" s="890"/>
      <c r="B124" s="891"/>
      <c r="C124" s="892"/>
      <c r="D124" s="165"/>
      <c r="E124" s="165"/>
      <c r="F124" s="165"/>
      <c r="G124" s="327"/>
      <c r="H124" s="156"/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2971.1690000000035</v>
      </c>
      <c r="H125" s="156"/>
      <c r="I125" s="327">
        <f>G125-(G39+G53)</f>
        <v>-135.11100000002443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'24'!F128</f>
        <v>79029.5</v>
      </c>
      <c r="F128" s="155">
        <v>79406.23</v>
      </c>
      <c r="G128" s="112">
        <f t="shared" ref="G128:G134" si="10">F128-E128</f>
        <v>376.72999999999593</v>
      </c>
      <c r="H128" s="99">
        <f>G128+'24'!H128</f>
        <v>-2008.7700000000041</v>
      </c>
      <c r="I128" s="165"/>
      <c r="J128" s="328">
        <f>H128/DAY(B2)</f>
        <v>-80.350800000000163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49252.13</v>
      </c>
      <c r="F129" s="155">
        <v>49552.63</v>
      </c>
      <c r="G129" s="112">
        <f t="shared" si="10"/>
        <v>300.5</v>
      </c>
      <c r="H129" s="99">
        <f>G129+'24'!H129</f>
        <v>-1519.3700000000026</v>
      </c>
      <c r="I129" s="165"/>
      <c r="J129" s="328">
        <f>H129/DAY(B2)</f>
        <v>-60.774800000000106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92453.19</v>
      </c>
      <c r="F130" s="155">
        <v>93184.6</v>
      </c>
      <c r="G130" s="112">
        <f t="shared" si="10"/>
        <v>731.41000000000349</v>
      </c>
      <c r="H130" s="99">
        <f>G130+'24'!H130</f>
        <v>-3461.3999999999942</v>
      </c>
      <c r="I130" s="165"/>
      <c r="J130" s="328">
        <f>H130/DAY(B2)</f>
        <v>-138.45599999999976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'24'!F131</f>
        <v>29175.5</v>
      </c>
      <c r="F131" s="155">
        <v>29401.69</v>
      </c>
      <c r="G131" s="112">
        <f t="shared" si="10"/>
        <v>226.18999999999869</v>
      </c>
      <c r="H131" s="99">
        <f>G131+'24'!H131</f>
        <v>-1033.3100000000013</v>
      </c>
      <c r="I131" s="165"/>
      <c r="J131" s="328">
        <f>H131/DAY(B2)</f>
        <v>-41.33240000000005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'24'!F132</f>
        <v>86164.5</v>
      </c>
      <c r="F132" s="155">
        <v>86614.8</v>
      </c>
      <c r="G132" s="112">
        <f t="shared" si="10"/>
        <v>450.30000000000291</v>
      </c>
      <c r="H132" s="99">
        <f>G132+'24'!H132</f>
        <v>-2322.1999999999971</v>
      </c>
      <c r="I132" s="165"/>
      <c r="J132" s="328">
        <f>H132/DAY(B2)</f>
        <v>-92.887999999999877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'24'!F133</f>
        <v>167237.96</v>
      </c>
      <c r="F133" s="155">
        <v>168158.59</v>
      </c>
      <c r="G133" s="112">
        <f t="shared" si="10"/>
        <v>920.63000000000466</v>
      </c>
      <c r="H133" s="99">
        <f>G133+'24'!H133</f>
        <v>-4287.4100000000035</v>
      </c>
      <c r="I133" s="165"/>
      <c r="J133" s="328">
        <f>H133/DAY(B2)</f>
        <v>-171.49640000000014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'24'!F134</f>
        <v>26561.293000000001</v>
      </c>
      <c r="F134" s="157">
        <v>26797.05</v>
      </c>
      <c r="G134" s="112">
        <f t="shared" si="10"/>
        <v>235.75699999999779</v>
      </c>
      <c r="H134" s="99">
        <f>G134+'24'!H134</f>
        <v>-1295.9500000000007</v>
      </c>
      <c r="I134" s="165"/>
      <c r="J134" s="328">
        <f>H134/DAY(B2)</f>
        <v>-51.838000000000029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3241.5170000000035</v>
      </c>
      <c r="H135" s="99">
        <f>G135+'23'!H135</f>
        <v>39468.307000000015</v>
      </c>
      <c r="I135" s="327">
        <f>G135-(G35+G49)</f>
        <v>-733.96299999997791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'24'!F138</f>
        <v>877867</v>
      </c>
      <c r="F138" s="147">
        <v>878022</v>
      </c>
      <c r="G138" s="112">
        <f t="shared" ref="G138:G152" si="11">F138-E138</f>
        <v>155</v>
      </c>
      <c r="H138" s="99">
        <f>G138+'24'!H138</f>
        <v>-762</v>
      </c>
      <c r="I138" s="118"/>
      <c r="J138" s="328">
        <f>H138/DAY(B2)</f>
        <v>-30.48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'24'!F139</f>
        <v>893967</v>
      </c>
      <c r="F139" s="148">
        <v>894114</v>
      </c>
      <c r="G139" s="112">
        <f t="shared" si="11"/>
        <v>147</v>
      </c>
      <c r="H139" s="99">
        <f>G139+'24'!H139</f>
        <v>-752</v>
      </c>
      <c r="I139" s="118"/>
      <c r="J139" s="328">
        <f>H139/DAY(B2)</f>
        <v>-30.08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'24'!F140</f>
        <v>89032</v>
      </c>
      <c r="F140" s="149">
        <v>89032</v>
      </c>
      <c r="G140" s="112">
        <f t="shared" si="11"/>
        <v>0</v>
      </c>
      <c r="H140" s="99">
        <f>G140+'24'!H140</f>
        <v>88897</v>
      </c>
      <c r="I140" s="118"/>
      <c r="J140" s="328">
        <f>H140/DAY(B2)</f>
        <v>3555.88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'24'!F141</f>
        <v>70553.64</v>
      </c>
      <c r="F141" s="149">
        <v>70751.199999999997</v>
      </c>
      <c r="G141" s="112">
        <f t="shared" si="11"/>
        <v>197.55999999999767</v>
      </c>
      <c r="H141" s="99">
        <f>G141+'24'!H141</f>
        <v>-1022.8000000000029</v>
      </c>
      <c r="I141" s="118"/>
      <c r="J141" s="328">
        <f>H141/DAY(B2)</f>
        <v>-40.91200000000012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'24'!F142</f>
        <v>27046.31</v>
      </c>
      <c r="F142" s="148">
        <v>27115.9</v>
      </c>
      <c r="G142" s="112">
        <f t="shared" si="11"/>
        <v>69.590000000000146</v>
      </c>
      <c r="H142" s="99">
        <f>G142+'24'!H142</f>
        <v>-350.09999999999854</v>
      </c>
      <c r="I142" s="140"/>
      <c r="J142" s="328">
        <f>H142/DAY(B2)</f>
        <v>-14.003999999999941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'24'!F143</f>
        <v>6240.2</v>
      </c>
      <c r="F143" s="149">
        <v>6267.05</v>
      </c>
      <c r="G143" s="112">
        <f t="shared" si="11"/>
        <v>26.850000000000364</v>
      </c>
      <c r="H143" s="99">
        <f>G143+'24'!H143</f>
        <v>-149.94999999999982</v>
      </c>
      <c r="I143" s="140"/>
      <c r="J143" s="328">
        <f>H143/DAY(B2)</f>
        <v>-5.9979999999999931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'24'!F144</f>
        <v>895751</v>
      </c>
      <c r="F144" s="149">
        <v>895965</v>
      </c>
      <c r="G144" s="112">
        <f t="shared" si="11"/>
        <v>214</v>
      </c>
      <c r="H144" s="99">
        <f>G144+'24'!H144</f>
        <v>-1268</v>
      </c>
      <c r="I144" s="140"/>
      <c r="J144" s="328">
        <f>H144/DAY(B2)</f>
        <v>-50.72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'24'!F145</f>
        <v>5614.87</v>
      </c>
      <c r="F145" s="149">
        <v>5618.35</v>
      </c>
      <c r="G145" s="112">
        <f t="shared" si="11"/>
        <v>3.4800000000004729</v>
      </c>
      <c r="H145" s="99">
        <f>G145+'24'!H145</f>
        <v>-9.6499999999996362</v>
      </c>
      <c r="I145" s="140"/>
      <c r="J145" s="328">
        <f>H145/DAY(B2)</f>
        <v>-0.38599999999998547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'24'!F146</f>
        <v>776034</v>
      </c>
      <c r="F146" s="148">
        <v>776354</v>
      </c>
      <c r="G146" s="112">
        <f t="shared" si="11"/>
        <v>320</v>
      </c>
      <c r="H146" s="99">
        <f>G146+'24'!H146</f>
        <v>-100</v>
      </c>
      <c r="I146" s="140"/>
      <c r="J146" s="328">
        <f>H146/DAY(B2)</f>
        <v>-4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'24'!F147</f>
        <v>660748.52</v>
      </c>
      <c r="F147" s="148">
        <v>661147.56000000006</v>
      </c>
      <c r="G147" s="112">
        <f t="shared" si="11"/>
        <v>399.04000000003725</v>
      </c>
      <c r="H147" s="99">
        <f>G147+'24'!H147</f>
        <v>-2080.4399999999441</v>
      </c>
      <c r="I147" s="140"/>
      <c r="J147" s="328">
        <f>H147/DAY(B2)</f>
        <v>-83.217599999997759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'24'!F148</f>
        <v>717743.84</v>
      </c>
      <c r="F148" s="164">
        <v>718009.84</v>
      </c>
      <c r="G148" s="112">
        <f t="shared" si="11"/>
        <v>266</v>
      </c>
      <c r="H148" s="99">
        <f>G148+'24'!H148</f>
        <v>-1906.1600000000326</v>
      </c>
      <c r="I148" s="124"/>
      <c r="J148" s="328">
        <f>H148/DAY(B2)</f>
        <v>-76.246400000001302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'24'!F149</f>
        <v>79477.47</v>
      </c>
      <c r="F149" s="146">
        <v>80200.03</v>
      </c>
      <c r="G149" s="112">
        <f t="shared" si="11"/>
        <v>722.55999999999767</v>
      </c>
      <c r="H149" s="99">
        <f>G149+'24'!H149</f>
        <v>-3187.9700000000012</v>
      </c>
      <c r="I149" s="119"/>
      <c r="J149" s="328">
        <f>H149/DAY(B2)</f>
        <v>-127.51880000000004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'24'!F150</f>
        <v>29311.1</v>
      </c>
      <c r="F150" s="233">
        <v>29527.49</v>
      </c>
      <c r="G150" s="112">
        <f t="shared" si="11"/>
        <v>216.39000000000306</v>
      </c>
      <c r="H150" s="99">
        <f>G150+'24'!H150</f>
        <v>-1059.5099999999984</v>
      </c>
      <c r="I150" s="119"/>
      <c r="J150" s="328">
        <f>H150/DAY(B2)</f>
        <v>-42.380399999999938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'24'!F151</f>
        <v>107415</v>
      </c>
      <c r="F151" s="233">
        <v>107695</v>
      </c>
      <c r="G151" s="112">
        <f t="shared" si="11"/>
        <v>280</v>
      </c>
      <c r="H151" s="99">
        <f>G151+'24'!H151</f>
        <v>-1533</v>
      </c>
      <c r="I151" s="119"/>
      <c r="J151" s="328">
        <f>H151/DAY(B2)</f>
        <v>-61.32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'24'!F152</f>
        <v>10573.36</v>
      </c>
      <c r="F152" s="233">
        <v>10628.6</v>
      </c>
      <c r="G152" s="112">
        <f t="shared" si="11"/>
        <v>55.239999999999782</v>
      </c>
      <c r="H152" s="99">
        <f>G152+'24'!H152</f>
        <v>-527.39999999999964</v>
      </c>
      <c r="I152" s="119"/>
      <c r="J152" s="328">
        <f>H152/DAY(B2)</f>
        <v>-21.095999999999986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3072.7100000000364</v>
      </c>
      <c r="H153" s="363"/>
      <c r="I153" s="119">
        <f>G153-(G38+G52)</f>
        <v>670.25000000001546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'24'!F155</f>
        <v>88846</v>
      </c>
      <c r="F155" s="364">
        <v>89567</v>
      </c>
      <c r="G155" s="112">
        <f t="shared" ref="G155:G158" si="12">F155-E155</f>
        <v>721</v>
      </c>
      <c r="H155" s="99">
        <f>G155+'24'!H155</f>
        <v>-3165</v>
      </c>
      <c r="I155" s="364"/>
      <c r="J155" s="328">
        <f>H155/DAY(B2)</f>
        <v>-126.6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'24'!F156</f>
        <v>7365</v>
      </c>
      <c r="F156" s="155">
        <v>7420</v>
      </c>
      <c r="G156" s="112">
        <f t="shared" si="12"/>
        <v>55</v>
      </c>
      <c r="H156" s="99">
        <f>G156+'24'!H156</f>
        <v>-271</v>
      </c>
      <c r="I156" s="165"/>
      <c r="J156" s="328">
        <f>H156/DAY(B2)</f>
        <v>-10.84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'24'!F157</f>
        <v>12848.32</v>
      </c>
      <c r="F157" s="155">
        <v>12966.55</v>
      </c>
      <c r="G157" s="112">
        <f t="shared" si="12"/>
        <v>118.22999999999956</v>
      </c>
      <c r="H157" s="99">
        <f>G157+'24'!H157</f>
        <v>693.54999999999927</v>
      </c>
      <c r="I157" s="165"/>
      <c r="J157" s="328"/>
    </row>
    <row r="158" spans="1:10" ht="25.5">
      <c r="A158" s="865" t="s">
        <v>362</v>
      </c>
      <c r="B158" s="866"/>
      <c r="C158" s="867"/>
      <c r="D158" s="117" t="s">
        <v>130</v>
      </c>
      <c r="E158" s="95">
        <f>'24'!F158</f>
        <v>100.19</v>
      </c>
      <c r="F158" s="155">
        <v>100.19</v>
      </c>
      <c r="G158" s="112">
        <f t="shared" si="12"/>
        <v>0</v>
      </c>
      <c r="H158" s="99">
        <f>G158+'24'!H158</f>
        <v>2.7199999999999989</v>
      </c>
      <c r="I158" s="165"/>
      <c r="J158" s="328"/>
    </row>
    <row r="159" spans="1:10" ht="25.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474641.64</v>
      </c>
      <c r="F161" s="235">
        <v>474662</v>
      </c>
      <c r="G161" s="238">
        <f t="shared" ref="G161:G165" si="13">F161-E161</f>
        <v>20.35999999998603</v>
      </c>
      <c r="H161" s="99">
        <f>G161+'24'!H161</f>
        <v>-121</v>
      </c>
      <c r="I161" s="236"/>
      <c r="J161" s="239">
        <f>H161/DAY(B2)</f>
        <v>-4.84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91294.1</v>
      </c>
      <c r="F162" s="235">
        <v>91335.9</v>
      </c>
      <c r="G162" s="238">
        <f t="shared" si="13"/>
        <v>41.799999999988358</v>
      </c>
      <c r="H162" s="99">
        <f>G162+'24'!H162</f>
        <v>-211.10000000000582</v>
      </c>
      <c r="I162" s="236"/>
      <c r="J162" s="239">
        <f>H162/DAY(B2)</f>
        <v>-8.4440000000002335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91054.399999999994</v>
      </c>
      <c r="F163" s="235">
        <v>91199</v>
      </c>
      <c r="G163" s="238">
        <f t="shared" si="13"/>
        <v>144.60000000000582</v>
      </c>
      <c r="H163" s="99">
        <f>G163+'24'!H163</f>
        <v>-837</v>
      </c>
      <c r="I163" s="236"/>
      <c r="J163" s="239">
        <f>H163/DAY(B2)</f>
        <v>-33.479999999999997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5113.5</v>
      </c>
      <c r="F164" s="235">
        <v>5125</v>
      </c>
      <c r="G164" s="238">
        <f t="shared" si="13"/>
        <v>11.5</v>
      </c>
      <c r="H164" s="99">
        <f>G164+'24'!H164</f>
        <v>-57</v>
      </c>
      <c r="I164" s="236"/>
      <c r="J164" s="239">
        <f>H164/DAY(B2)</f>
        <v>-2.2799999999999998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30560.86</v>
      </c>
      <c r="F165" s="235">
        <v>30573.200000000001</v>
      </c>
      <c r="G165" s="238">
        <f t="shared" si="13"/>
        <v>12.340000000000146</v>
      </c>
      <c r="H165" s="99">
        <f>G165+'24'!H165</f>
        <v>-60.799999999999272</v>
      </c>
      <c r="I165" s="236"/>
      <c r="J165" s="239">
        <f>H165/DAY(B2)</f>
        <v>-2.4319999999999711</v>
      </c>
    </row>
    <row r="166" spans="1:10" ht="26.25">
      <c r="A166" s="873"/>
      <c r="B166" s="873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1.75" customHeight="1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79" t="s">
        <v>209</v>
      </c>
      <c r="B173" s="880"/>
      <c r="C173" s="333"/>
      <c r="D173" s="228" t="s">
        <v>142</v>
      </c>
      <c r="E173" s="95">
        <f>'24'!F173</f>
        <v>8235</v>
      </c>
      <c r="F173" s="155">
        <v>8238</v>
      </c>
      <c r="G173" s="155">
        <f>F173-E173</f>
        <v>3</v>
      </c>
      <c r="H173" s="99">
        <f>G173+'24'!H173</f>
        <v>99</v>
      </c>
      <c r="I173" s="155"/>
      <c r="J173" s="178">
        <f>H173/DAY(B2)</f>
        <v>3.96</v>
      </c>
    </row>
    <row r="174" spans="1:10" ht="27.75" customHeight="1">
      <c r="A174" s="879" t="s">
        <v>75</v>
      </c>
      <c r="B174" s="880"/>
      <c r="C174" s="333"/>
      <c r="D174" s="228" t="s">
        <v>142</v>
      </c>
      <c r="E174" s="95">
        <f>'24'!F174</f>
        <v>39840</v>
      </c>
      <c r="F174" s="157">
        <v>39855</v>
      </c>
      <c r="G174" s="155">
        <f t="shared" ref="G174:G175" si="14">F174-E174</f>
        <v>15</v>
      </c>
      <c r="H174" s="99">
        <f>G174+'24'!H174</f>
        <v>-73</v>
      </c>
      <c r="I174" s="155"/>
      <c r="J174" s="178">
        <f>H174/DAY(B2)</f>
        <v>-2.92</v>
      </c>
    </row>
    <row r="175" spans="1:10" ht="21.75" customHeight="1">
      <c r="A175" s="879" t="s">
        <v>76</v>
      </c>
      <c r="B175" s="919"/>
      <c r="C175" s="880"/>
      <c r="D175" s="228" t="s">
        <v>142</v>
      </c>
      <c r="E175" s="95">
        <f>'24'!F175</f>
        <v>22819</v>
      </c>
      <c r="F175" s="155">
        <v>22831</v>
      </c>
      <c r="G175" s="155">
        <f t="shared" si="14"/>
        <v>12</v>
      </c>
      <c r="H175" s="99">
        <f>G175+'24'!H175</f>
        <v>-58</v>
      </c>
      <c r="I175" s="155"/>
      <c r="J175" s="178">
        <f>H175/DAY(B2)</f>
        <v>-2.3199999999999998</v>
      </c>
    </row>
    <row r="176" spans="1:10" ht="23.25" customHeight="1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G176+'24'!H176</f>
        <v>-32</v>
      </c>
      <c r="I176" s="155"/>
      <c r="J176" s="178">
        <f>H176/DAY(B2)</f>
        <v>-1.28</v>
      </c>
    </row>
    <row r="177" spans="1:10" ht="21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'24'!F178</f>
        <v>87982</v>
      </c>
      <c r="F178" s="155">
        <v>88090</v>
      </c>
      <c r="G178" s="155">
        <f>F178-E178</f>
        <v>108</v>
      </c>
      <c r="H178" s="99">
        <f>G178+'24'!H178</f>
        <v>-513</v>
      </c>
      <c r="I178" s="155"/>
      <c r="J178" s="178">
        <f>H178/DAY(B2)</f>
        <v>-20.52</v>
      </c>
    </row>
    <row r="179" spans="1:10" ht="24" customHeight="1">
      <c r="A179" s="879" t="s">
        <v>211</v>
      </c>
      <c r="B179" s="880"/>
      <c r="C179" s="333"/>
      <c r="D179" s="228" t="s">
        <v>142</v>
      </c>
      <c r="E179" s="95">
        <f>'24'!F179</f>
        <v>35739</v>
      </c>
      <c r="F179" s="155">
        <v>35765</v>
      </c>
      <c r="G179" s="155">
        <f t="shared" ref="G179:G180" si="15">F179-E179</f>
        <v>26</v>
      </c>
      <c r="H179" s="99">
        <f>G179+'24'!H179</f>
        <v>-8</v>
      </c>
      <c r="I179" s="155"/>
      <c r="J179" s="178">
        <f>H179/DAY(B2)</f>
        <v>-0.32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'24'!F180</f>
        <v>6331</v>
      </c>
      <c r="F180" s="155">
        <v>6335</v>
      </c>
      <c r="G180" s="155">
        <f t="shared" si="15"/>
        <v>4</v>
      </c>
      <c r="H180" s="99">
        <f>G180+'24'!H180</f>
        <v>-54</v>
      </c>
      <c r="I180" s="155"/>
      <c r="J180" s="178">
        <f>H180/DAY(B2)</f>
        <v>-2.16</v>
      </c>
    </row>
    <row r="181" spans="1:10" ht="25.5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138</v>
      </c>
      <c r="H181" s="99">
        <f>G181+'24'!H181</f>
        <v>-575</v>
      </c>
      <c r="I181" s="155"/>
      <c r="J181" s="178">
        <f>H181/DAY(B2)</f>
        <v>-23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'24'!F183</f>
        <v>16504</v>
      </c>
      <c r="F183" s="157">
        <v>16534</v>
      </c>
      <c r="G183" s="157">
        <f>F183-E183</f>
        <v>30</v>
      </c>
      <c r="H183" s="99">
        <f>G183+'24'!H183</f>
        <v>-88</v>
      </c>
      <c r="I183" s="155"/>
      <c r="J183" s="178">
        <f>H183/DAY(B2)</f>
        <v>-3.52</v>
      </c>
    </row>
    <row r="184" spans="1:10" ht="30.75" customHeight="1">
      <c r="A184" s="879" t="s">
        <v>215</v>
      </c>
      <c r="B184" s="880"/>
      <c r="C184" s="334"/>
      <c r="D184" s="228" t="s">
        <v>142</v>
      </c>
      <c r="E184" s="95">
        <f>'24'!F184</f>
        <v>11234</v>
      </c>
      <c r="F184" s="157">
        <v>11238</v>
      </c>
      <c r="G184" s="157">
        <f t="shared" ref="G184:G185" si="16">F184-E184</f>
        <v>4</v>
      </c>
      <c r="H184" s="99">
        <f>G184+'24'!H184</f>
        <v>-36</v>
      </c>
      <c r="I184" s="155"/>
      <c r="J184" s="178">
        <f>H184/DAY(B2)</f>
        <v>-1.44</v>
      </c>
    </row>
    <row r="185" spans="1:10" ht="23.25" customHeight="1">
      <c r="A185" s="879" t="s">
        <v>216</v>
      </c>
      <c r="B185" s="880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400"/>
      <c r="D186" s="228" t="s">
        <v>142</v>
      </c>
      <c r="E186" s="95"/>
      <c r="F186" s="157">
        <v>0</v>
      </c>
      <c r="G186" s="157">
        <f>SUM(G183:G185)</f>
        <v>34</v>
      </c>
      <c r="H186" s="99">
        <f>G186+'24'!H186</f>
        <v>-124</v>
      </c>
      <c r="I186" s="157"/>
      <c r="J186" s="178">
        <f>H186/DAY(B2)</f>
        <v>-4.96</v>
      </c>
    </row>
    <row r="187" spans="1:10" ht="25.5">
      <c r="A187" s="870" t="s">
        <v>217</v>
      </c>
      <c r="B187" s="871"/>
      <c r="C187" s="333"/>
      <c r="D187" s="228" t="s">
        <v>142</v>
      </c>
      <c r="E187" s="95">
        <f>'24'!F187</f>
        <v>0</v>
      </c>
      <c r="F187" s="159"/>
      <c r="G187" s="378">
        <f>G62+G19</f>
        <v>243</v>
      </c>
      <c r="H187" s="99">
        <f>G187+'24'!H187</f>
        <v>-1097</v>
      </c>
      <c r="I187" s="158"/>
      <c r="J187" s="179">
        <f>H187/DAY(B2)</f>
        <v>-43.88</v>
      </c>
    </row>
    <row r="188" spans="1:10" ht="25.5">
      <c r="A188" s="870" t="s">
        <v>218</v>
      </c>
      <c r="B188" s="871"/>
      <c r="C188" s="333"/>
      <c r="D188" s="230" t="s">
        <v>142</v>
      </c>
      <c r="E188" s="95">
        <f>'24'!F188</f>
        <v>0</v>
      </c>
      <c r="F188" s="159"/>
      <c r="G188" s="378">
        <f>G65+G66+G67+G69+G70</f>
        <v>244</v>
      </c>
      <c r="H188" s="99">
        <f>G188+'24'!H188</f>
        <v>-9320</v>
      </c>
      <c r="I188" s="158"/>
      <c r="J188" s="179">
        <f>H188/DAY(B2)</f>
        <v>-372.8</v>
      </c>
    </row>
    <row r="189" spans="1:10" ht="25.5">
      <c r="A189" s="870" t="s">
        <v>219</v>
      </c>
      <c r="B189" s="871"/>
      <c r="C189" s="333"/>
      <c r="D189" s="230" t="s">
        <v>142</v>
      </c>
      <c r="E189" s="95">
        <f>'24'!F189</f>
        <v>0</v>
      </c>
      <c r="F189" s="157"/>
      <c r="G189" s="377">
        <f>G181</f>
        <v>138</v>
      </c>
      <c r="H189" s="99">
        <f>G189+'24'!H189</f>
        <v>806</v>
      </c>
      <c r="I189" s="158"/>
      <c r="J189" s="179">
        <f>H189/DAY(B2)</f>
        <v>32.24</v>
      </c>
    </row>
    <row r="190" spans="1:10" ht="25.5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topLeftCell="A91" zoomScale="60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2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349</v>
      </c>
      <c r="B2" s="262">
        <v>44677</v>
      </c>
      <c r="C2" s="348" t="s">
        <v>67</v>
      </c>
      <c r="D2" s="218">
        <v>1</v>
      </c>
      <c r="E2" s="100"/>
      <c r="F2" s="100"/>
      <c r="G2" s="42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934" t="s">
        <v>119</v>
      </c>
      <c r="F3" s="935"/>
      <c r="G3" s="430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30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432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508701</v>
      </c>
      <c r="F7" s="95">
        <f>E7+27000</f>
        <v>535701</v>
      </c>
      <c r="G7" s="433">
        <f>F7-E7</f>
        <v>27000</v>
      </c>
      <c r="H7" s="99">
        <f>G7+'25'!H7</f>
        <v>704663</v>
      </c>
      <c r="I7" s="113">
        <f>'1'!I7</f>
        <v>12000</v>
      </c>
      <c r="J7" s="175">
        <f>H7/DAY(B2)</f>
        <v>27102.423076923078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602535</v>
      </c>
      <c r="F8" s="114">
        <f>E8+26500</f>
        <v>629035</v>
      </c>
      <c r="G8" s="434">
        <f>F8-E8</f>
        <v>26500</v>
      </c>
      <c r="H8" s="99">
        <f>G8+'25'!H8</f>
        <v>709912.27999999991</v>
      </c>
      <c r="I8" s="116"/>
      <c r="J8" s="175">
        <f>H8/DAY(B2)</f>
        <v>27304.31846153846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2353550</v>
      </c>
      <c r="F9" s="470">
        <f>E9+16000</f>
        <v>2369550</v>
      </c>
      <c r="G9" s="433">
        <f>F9-E9</f>
        <v>16000</v>
      </c>
      <c r="H9" s="99">
        <f>G9+'25'!H9</f>
        <v>478515</v>
      </c>
      <c r="I9" s="124">
        <f>I7-J7</f>
        <v>-15102.423076923078</v>
      </c>
      <c r="J9" s="175">
        <f>H9/DAY(B2)</f>
        <v>18404.423076923078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795726</v>
      </c>
      <c r="F10" s="353">
        <f>E10+8500</f>
        <v>804226</v>
      </c>
      <c r="G10" s="433">
        <f t="shared" ref="G10:G12" si="0">F10-E10</f>
        <v>8500</v>
      </c>
      <c r="H10" s="99">
        <f>G10+'25'!H10</f>
        <v>188690</v>
      </c>
      <c r="I10" s="282"/>
      <c r="J10" s="175">
        <f>H10/DAY(B2)</f>
        <v>7257.3076923076924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3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3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5">
        <f>G9+G10+G11+G12</f>
        <v>24500</v>
      </c>
      <c r="H13" s="99">
        <f>G13+'25'!H13</f>
        <v>664688.75</v>
      </c>
      <c r="I13" s="120">
        <f>G7-G13</f>
        <v>2500</v>
      </c>
      <c r="J13" s="175">
        <f>H13/DAY(B2)</f>
        <v>25564.951923076922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436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1999357</v>
      </c>
      <c r="G15" s="433" t="e">
        <f>(F15-E15)</f>
        <v>#VALUE!</v>
      </c>
      <c r="H15" s="99" t="e">
        <f>G15+'25'!H15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3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436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'25'!F18</f>
        <v>33</v>
      </c>
      <c r="F18" s="164">
        <v>28</v>
      </c>
      <c r="G18" s="435">
        <f>F18*10</f>
        <v>280</v>
      </c>
      <c r="H18" s="99">
        <f>G18+'25'!H18</f>
        <v>6040</v>
      </c>
      <c r="I18" s="113">
        <f>'1'!I18</f>
        <v>65</v>
      </c>
      <c r="J18" s="175">
        <f>H18/DAY(B2)</f>
        <v>232.30769230769232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'25'!F19</f>
        <v>158203</v>
      </c>
      <c r="F19" s="122">
        <v>158251</v>
      </c>
      <c r="G19" s="433">
        <f t="shared" ref="G19" si="1">F19-E19</f>
        <v>48</v>
      </c>
      <c r="H19" s="99">
        <f>G19+'25'!H19</f>
        <v>-203</v>
      </c>
      <c r="I19" s="335"/>
      <c r="J19" s="175">
        <f>H19/DAY(B2)</f>
        <v>-7.8076923076923075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7">
        <f>G18+G19</f>
        <v>328</v>
      </c>
      <c r="H20" s="99">
        <f>G20+'25'!H20</f>
        <v>5837</v>
      </c>
      <c r="I20" s="336">
        <f>I18-J20</f>
        <v>-159.5</v>
      </c>
      <c r="J20" s="175">
        <f>H20/DAY(B2)</f>
        <v>224.5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436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5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5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5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438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9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440">
        <f>E27*F27</f>
        <v>238500</v>
      </c>
      <c r="H27" s="99">
        <f>G27+'25'!H27</f>
        <v>6389210.5200000005</v>
      </c>
      <c r="I27" s="138"/>
      <c r="J27" s="175">
        <f>H27/DAY(B2)</f>
        <v>245738.86615384617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440" t="e">
        <f>E28*F28</f>
        <v>#VALUE!</v>
      </c>
      <c r="H28" s="99" t="e">
        <f>G28+'25'!H28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0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48</v>
      </c>
      <c r="F30" s="136">
        <v>151</v>
      </c>
      <c r="G30" s="440">
        <f>E30*F30</f>
        <v>7248</v>
      </c>
      <c r="H30" s="99">
        <f>G30+'25'!H30</f>
        <v>-31958</v>
      </c>
      <c r="I30" s="140"/>
      <c r="J30" s="175">
        <f>H30/DAY(B2)</f>
        <v>-1229.1538461538462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440">
        <f>E31*F31</f>
        <v>22400</v>
      </c>
      <c r="H31" s="99">
        <f>G31+'25'!H31</f>
        <v>483200</v>
      </c>
      <c r="I31" s="140"/>
      <c r="J31" s="175">
        <f>H31/DAY(B2)</f>
        <v>18584.615384615383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41" t="e">
        <f>G27+G28+G29+G30+G31</f>
        <v>#VALUE!</v>
      </c>
      <c r="H32" s="99" t="e">
        <f>G32+'25'!H32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>
      <c r="A33" s="939" t="s">
        <v>331</v>
      </c>
      <c r="B33" s="940"/>
      <c r="C33" s="940"/>
      <c r="D33" s="337"/>
      <c r="E33" s="337"/>
      <c r="F33" s="337"/>
      <c r="G33" s="442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3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191970.69</v>
      </c>
      <c r="F35" s="145">
        <v>194028.89</v>
      </c>
      <c r="G35" s="433">
        <f t="shared" ref="G35:G46" si="3">F35-E35</f>
        <v>2058.2000000000116</v>
      </c>
      <c r="H35" s="99">
        <f>G35+'25'!H35</f>
        <v>-8856.109999999986</v>
      </c>
      <c r="I35" s="95"/>
      <c r="J35" s="175">
        <f>H35/DAY(B2)</f>
        <v>-340.61961538461486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126196.4</v>
      </c>
      <c r="F36" s="145">
        <v>127293.85</v>
      </c>
      <c r="G36" s="433">
        <f t="shared" si="3"/>
        <v>1097.4500000000116</v>
      </c>
      <c r="H36" s="99">
        <f>G36+'25'!H36</f>
        <v>-4285.1499999999942</v>
      </c>
      <c r="I36" s="95"/>
      <c r="J36" s="175">
        <f>H36/DAY(B2)</f>
        <v>-164.81346153846133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174410.65</v>
      </c>
      <c r="F37" s="145">
        <v>176113.63</v>
      </c>
      <c r="G37" s="433">
        <f t="shared" si="3"/>
        <v>1702.9800000000105</v>
      </c>
      <c r="H37" s="99">
        <f>G37+'25'!H37</f>
        <v>-7011.3699999999953</v>
      </c>
      <c r="I37" s="95"/>
      <c r="J37" s="175">
        <f>H37/DAY(B2)</f>
        <v>-269.66807692307674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231278.95</v>
      </c>
      <c r="F38" s="108">
        <v>233719.05</v>
      </c>
      <c r="G38" s="433">
        <f t="shared" si="3"/>
        <v>2440.0999999999767</v>
      </c>
      <c r="H38" s="99">
        <f>G38+'25'!H38</f>
        <v>-9732.9500000000116</v>
      </c>
      <c r="I38" s="95"/>
      <c r="J38" s="175">
        <f>H38/DAY(B2)</f>
        <v>-374.34423076923122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325608.39</v>
      </c>
      <c r="F39" s="145">
        <v>328480.33</v>
      </c>
      <c r="G39" s="433">
        <f t="shared" si="3"/>
        <v>2871.9400000000023</v>
      </c>
      <c r="H39" s="99">
        <f>G39+'25'!H39</f>
        <v>-11507.669999999984</v>
      </c>
      <c r="I39" s="95"/>
      <c r="J39" s="175">
        <f>H39/DAY(B2)</f>
        <v>-442.60269230769165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61118.400000000001</v>
      </c>
      <c r="F40" s="145">
        <v>61882.5</v>
      </c>
      <c r="G40" s="433">
        <f t="shared" si="3"/>
        <v>764.09999999999854</v>
      </c>
      <c r="H40" s="99">
        <f>G40+'25'!H40</f>
        <v>-2994.5</v>
      </c>
      <c r="I40" s="95"/>
      <c r="J40" s="175">
        <f>H40/DAY(B2)</f>
        <v>-115.17307692307692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8476.6</v>
      </c>
      <c r="F41" s="145">
        <v>11897.9</v>
      </c>
      <c r="G41" s="433">
        <f t="shared" si="3"/>
        <v>3421.2999999999993</v>
      </c>
      <c r="H41" s="99">
        <f>G41+'25'!H41</f>
        <v>-15795.100000000006</v>
      </c>
      <c r="I41" s="95"/>
      <c r="J41" s="175">
        <f>H41/DAY(B2)</f>
        <v>-607.50384615384633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399463.27</v>
      </c>
      <c r="F42" s="145">
        <v>405100.47</v>
      </c>
      <c r="G42" s="433">
        <f t="shared" si="3"/>
        <v>5637.1999999999534</v>
      </c>
      <c r="H42" s="99">
        <f>G42+'25'!H42</f>
        <v>-20700.530000000028</v>
      </c>
      <c r="I42" s="95"/>
      <c r="J42" s="175">
        <f>H42/DAY(B2)</f>
        <v>-796.17423076923183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340758.63</v>
      </c>
      <c r="F43" s="145">
        <v>344069.43</v>
      </c>
      <c r="G43" s="433">
        <f t="shared" si="3"/>
        <v>3310.7999999999884</v>
      </c>
      <c r="H43" s="99">
        <f>G43+'25'!H43</f>
        <v>-13449.570000000007</v>
      </c>
      <c r="I43" s="95"/>
      <c r="J43" s="175">
        <f>H43/DAY(B2)</f>
        <v>-517.29115384615409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3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3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3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5">
        <f>G35+G36+G37+G38+G39+G40+G41+G42+G43+G44+G45+G46</f>
        <v>23304.069999999952</v>
      </c>
      <c r="H47" s="99">
        <f>G47+'25'!H47</f>
        <v>-94332.949999999953</v>
      </c>
      <c r="I47" s="95"/>
      <c r="J47" s="175">
        <f>H47/DAY(B2)</f>
        <v>-3628.1903846153828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3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156134.81</v>
      </c>
      <c r="F49" s="145">
        <v>157897.81</v>
      </c>
      <c r="G49" s="433">
        <f t="shared" ref="G49:G58" si="4">F49-E49</f>
        <v>1763</v>
      </c>
      <c r="H49" s="99">
        <f>G49+'25'!H49</f>
        <v>-7272.1900000000023</v>
      </c>
      <c r="I49" s="95"/>
      <c r="J49" s="175">
        <f>H49/DAY(B2)</f>
        <v>-279.69961538461547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165595.35</v>
      </c>
      <c r="F50" s="145">
        <v>166694.20000000001</v>
      </c>
      <c r="G50" s="433">
        <f t="shared" si="4"/>
        <v>1098.8500000000058</v>
      </c>
      <c r="H50" s="99">
        <f>G50+'25'!H50</f>
        <v>-5912.7999999999884</v>
      </c>
      <c r="I50" s="95"/>
      <c r="J50" s="175">
        <f>H50/DAY(B2)</f>
        <v>-227.41538461538417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76</v>
      </c>
      <c r="F51" s="145">
        <v>76</v>
      </c>
      <c r="G51" s="433">
        <f t="shared" si="4"/>
        <v>0</v>
      </c>
      <c r="H51" s="99">
        <f>G51+'25'!H51</f>
        <v>0.31999999999999318</v>
      </c>
      <c r="I51" s="95"/>
      <c r="J51" s="175">
        <f>H51/DAY(B2)</f>
        <v>1.2307692307692046E-2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3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433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47704.83</v>
      </c>
      <c r="F54" s="424">
        <v>48179.7</v>
      </c>
      <c r="G54" s="433">
        <f t="shared" si="4"/>
        <v>474.86999999999534</v>
      </c>
      <c r="H54" s="99">
        <f>G54+'25'!H54</f>
        <v>-1903.3000000000029</v>
      </c>
      <c r="I54" s="95"/>
      <c r="J54" s="175">
        <f>H54/DAY(B2)</f>
        <v>-73.203846153846271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142509.01</v>
      </c>
      <c r="F55" s="145">
        <v>142509.01</v>
      </c>
      <c r="G55" s="433">
        <f t="shared" si="4"/>
        <v>0</v>
      </c>
      <c r="H55" s="99">
        <f>G55+'25'!H55</f>
        <v>-2457.9899999999907</v>
      </c>
      <c r="I55" s="95"/>
      <c r="J55" s="175">
        <f>H55/DAY(B2)</f>
        <v>-94.538076923076559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107245.66</v>
      </c>
      <c r="F56" s="145">
        <v>107245.66</v>
      </c>
      <c r="G56" s="433">
        <f t="shared" si="4"/>
        <v>0</v>
      </c>
      <c r="H56" s="99">
        <f>G56+'25'!H56</f>
        <v>-0.33999999999650754</v>
      </c>
      <c r="I56" s="95"/>
      <c r="J56" s="175">
        <f>H56/DAY(B2)</f>
        <v>-1.3076923076788751E-2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433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24349.56</v>
      </c>
      <c r="F58" s="145">
        <v>24591.360000000001</v>
      </c>
      <c r="G58" s="433">
        <f t="shared" si="4"/>
        <v>241.79999999999927</v>
      </c>
      <c r="H58" s="99">
        <f>G58+'25'!H58</f>
        <v>-901.63999999999942</v>
      </c>
      <c r="I58" s="95"/>
      <c r="J58" s="175">
        <f>H58/DAY(B2)</f>
        <v>-34.678461538461519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5">
        <f>G49+G50+G51+G52+G53+G54+G55+G56+G57+G58</f>
        <v>3578.5200000000004</v>
      </c>
      <c r="H59" s="99">
        <f>G59+'25'!H59</f>
        <v>-18447.939999999977</v>
      </c>
      <c r="I59" s="95">
        <f>G7-G60</f>
        <v>117.41000000004715</v>
      </c>
      <c r="J59" s="175">
        <f>H59/DAY(B2)</f>
        <v>-709.53615384615296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5">
        <f>G47+G59</f>
        <v>26882.589999999953</v>
      </c>
      <c r="H60" s="99">
        <f>G60+'25'!H60</f>
        <v>-112780.88999999991</v>
      </c>
      <c r="I60" s="95">
        <f>G13-G60</f>
        <v>-2382.5899999999529</v>
      </c>
      <c r="J60" s="175">
        <f>H60/DAY(B2)</f>
        <v>-4337.7265384615348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444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'25'!F62</f>
        <v>283163</v>
      </c>
      <c r="F62" s="122">
        <v>283340</v>
      </c>
      <c r="G62" s="433">
        <f t="shared" ref="G62:G63" si="5">F62-E62</f>
        <v>177</v>
      </c>
      <c r="H62" s="99">
        <f>G62+'25'!H62</f>
        <v>-669</v>
      </c>
      <c r="I62" s="118"/>
      <c r="J62" s="175">
        <f>H62/DAY(B2)</f>
        <v>-25.73076923076923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'25'!F63</f>
        <v>226828</v>
      </c>
      <c r="F63" s="122">
        <v>226951</v>
      </c>
      <c r="G63" s="433">
        <f t="shared" si="5"/>
        <v>123</v>
      </c>
      <c r="H63" s="99">
        <f>G63+'25'!H63</f>
        <v>-528</v>
      </c>
      <c r="I63" s="118"/>
      <c r="J63" s="175">
        <f>H63/DAY(B2)</f>
        <v>-20.307692307692307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'25'!F64</f>
        <v>0</v>
      </c>
      <c r="F64" s="122"/>
      <c r="G64" s="433">
        <f>G62+G63</f>
        <v>300</v>
      </c>
      <c r="H64" s="99">
        <f>G64+'25'!H64</f>
        <v>-1197</v>
      </c>
      <c r="I64" s="118"/>
      <c r="J64" s="175">
        <f>H64/DAY(B2)</f>
        <v>-46.03846153846154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'25'!F65</f>
        <v>443999</v>
      </c>
      <c r="F65" s="122">
        <v>444131</v>
      </c>
      <c r="G65" s="433">
        <f t="shared" ref="G65:G70" si="6">F65-E65</f>
        <v>132</v>
      </c>
      <c r="H65" s="99">
        <f>G65+'25'!H65</f>
        <v>-461</v>
      </c>
      <c r="I65" s="118"/>
      <c r="J65" s="175">
        <f>H65/DAY(B2)</f>
        <v>-17.73076923076923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109494</v>
      </c>
      <c r="F66" s="122">
        <v>109508</v>
      </c>
      <c r="G66" s="433">
        <f t="shared" si="6"/>
        <v>14</v>
      </c>
      <c r="H66" s="99">
        <f>G66+'25'!H66</f>
        <v>-73</v>
      </c>
      <c r="I66" s="118"/>
      <c r="J66" s="175">
        <f>H66/DAY(B2)</f>
        <v>-2.8076923076923075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110510</v>
      </c>
      <c r="F67" s="164">
        <v>110590</v>
      </c>
      <c r="G67" s="433">
        <f t="shared" si="6"/>
        <v>80</v>
      </c>
      <c r="H67" s="99">
        <f>G67+'25'!H67</f>
        <v>-310</v>
      </c>
      <c r="I67" s="118"/>
      <c r="J67" s="175">
        <f>H67/DAY(B2)</f>
        <v>-11.923076923076923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161593</v>
      </c>
      <c r="F68" s="122">
        <v>161646</v>
      </c>
      <c r="G68" s="433">
        <f t="shared" si="6"/>
        <v>53</v>
      </c>
      <c r="H68" s="99">
        <f>G68+'25'!H68</f>
        <v>-142</v>
      </c>
      <c r="I68" s="118"/>
      <c r="J68" s="175">
        <f>H68/DAY(B2)</f>
        <v>-5.4615384615384617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11525</v>
      </c>
      <c r="F69" s="122">
        <v>11553</v>
      </c>
      <c r="G69" s="433">
        <f t="shared" si="6"/>
        <v>28</v>
      </c>
      <c r="H69" s="99">
        <f>G69+'25'!H69</f>
        <v>-45</v>
      </c>
      <c r="I69" s="118"/>
      <c r="J69" s="175">
        <f>H69/DAY(B2)</f>
        <v>-1.7307692307692308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8962</v>
      </c>
      <c r="F70" s="122">
        <v>8969</v>
      </c>
      <c r="G70" s="433">
        <f t="shared" si="6"/>
        <v>7</v>
      </c>
      <c r="H70" s="99">
        <f>G70+'25'!H70</f>
        <v>-32</v>
      </c>
      <c r="I70" s="118"/>
      <c r="J70" s="175">
        <f>H70/DAY(B2)</f>
        <v>-1.2307692307692308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445">
        <f>SUM(G65:G70)</f>
        <v>314</v>
      </c>
      <c r="H71" s="99">
        <f>G71+'25'!H71</f>
        <v>-1063</v>
      </c>
      <c r="I71" s="154"/>
      <c r="J71" s="175">
        <f>H71/DAY(B2)</f>
        <v>-40.884615384615387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446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444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'25'!F74</f>
        <v>927176.9</v>
      </c>
      <c r="F74" s="123">
        <v>927483</v>
      </c>
      <c r="G74" s="433">
        <f t="shared" ref="G74:G78" si="7">F74-E74</f>
        <v>306.09999999997672</v>
      </c>
      <c r="H74" s="99">
        <f>G74+'25'!H74</f>
        <v>-1294</v>
      </c>
      <c r="I74" s="154"/>
      <c r="J74" s="175">
        <f>H74/DAY(B2)</f>
        <v>-49.769230769230766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'25'!F75</f>
        <v>73586.8</v>
      </c>
      <c r="F75" s="123">
        <v>73586.8</v>
      </c>
      <c r="G75" s="433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'25'!F76</f>
        <v>179537</v>
      </c>
      <c r="F76" s="123">
        <v>179659</v>
      </c>
      <c r="G76" s="433">
        <f t="shared" si="7"/>
        <v>122</v>
      </c>
      <c r="H76" s="99">
        <f>G76+'25'!H76</f>
        <v>-495</v>
      </c>
      <c r="I76" s="154"/>
      <c r="J76" s="175">
        <f>H76/DAY(B2)</f>
        <v>-19.03846153846154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'25'!F77</f>
        <v>45410</v>
      </c>
      <c r="F77" s="123">
        <v>45466</v>
      </c>
      <c r="G77" s="433">
        <f t="shared" si="7"/>
        <v>56</v>
      </c>
      <c r="H77" s="99">
        <f>G77+'25'!H77</f>
        <v>-208</v>
      </c>
      <c r="I77" s="154"/>
      <c r="J77" s="175">
        <f>H77/DAY(B2)</f>
        <v>-8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'25'!F78</f>
        <v>9563</v>
      </c>
      <c r="F78" s="123">
        <v>9563.4</v>
      </c>
      <c r="G78" s="433">
        <f t="shared" si="7"/>
        <v>0.3999999999996362</v>
      </c>
      <c r="H78" s="99">
        <f>G78+'25'!H78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'25'!F79</f>
        <v>0</v>
      </c>
      <c r="F79" s="117"/>
      <c r="G79" s="433" t="e">
        <f>G15-SUM(G74:G78)</f>
        <v>#VALUE!</v>
      </c>
      <c r="H79" s="99" t="e">
        <f>G79+'25'!H79</f>
        <v>#VALUE!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433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447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3">
        <f t="shared" ref="G82:G92" si="8">F82-E82</f>
        <v>0</v>
      </c>
      <c r="H82" s="99">
        <f>G82+'25'!H82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3">
        <f t="shared" si="8"/>
        <v>0</v>
      </c>
      <c r="H83" s="99">
        <f>G83+'25'!H83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41714</v>
      </c>
      <c r="F84" s="164">
        <v>41729.300000000003</v>
      </c>
      <c r="G84" s="433">
        <f t="shared" si="8"/>
        <v>15.30000000000291</v>
      </c>
      <c r="H84" s="99">
        <f>G84+'25'!H84</f>
        <v>-62.69999999999709</v>
      </c>
      <c r="I84" s="575"/>
      <c r="J84" s="175">
        <f>H84/DAY(B2)</f>
        <v>-2.4115384615383495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3669.03</v>
      </c>
      <c r="F85" s="164">
        <v>3693.4</v>
      </c>
      <c r="G85" s="433">
        <f t="shared" si="8"/>
        <v>24.369999999999891</v>
      </c>
      <c r="H85" s="99">
        <f>G85+'25'!H85</f>
        <v>-83.599999999999909</v>
      </c>
      <c r="I85" s="575"/>
      <c r="J85" s="175">
        <f>H85/DAY(B2)</f>
        <v>-3.215384615384612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43924.480000000003</v>
      </c>
      <c r="F86" s="164">
        <v>43924.480000000003</v>
      </c>
      <c r="G86" s="433">
        <f t="shared" si="8"/>
        <v>0</v>
      </c>
      <c r="H86" s="99">
        <f>G86+'25'!H86</f>
        <v>-14.519999999996799</v>
      </c>
      <c r="I86" s="575"/>
      <c r="J86" s="175">
        <f>H86/DAY(B2)</f>
        <v>-0.55846153846141533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35329</v>
      </c>
      <c r="F87" s="164">
        <v>35329</v>
      </c>
      <c r="G87" s="433">
        <f t="shared" si="8"/>
        <v>0</v>
      </c>
      <c r="H87" s="99">
        <f>G87+'25'!H87</f>
        <v>0</v>
      </c>
      <c r="I87" s="575">
        <f>G84+G85+G86+G87</f>
        <v>39.670000000002801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24187.01</v>
      </c>
      <c r="F88" s="164">
        <v>24187.01</v>
      </c>
      <c r="G88" s="433">
        <f t="shared" si="8"/>
        <v>0</v>
      </c>
      <c r="H88" s="99">
        <f>G88+'25'!H88</f>
        <v>-1.1100000000005821</v>
      </c>
      <c r="I88" s="575"/>
      <c r="J88" s="175">
        <f>H88/DAY(B2)</f>
        <v>-4.2692307692330081E-2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26661.35</v>
      </c>
      <c r="F89" s="164">
        <v>26671.599999999999</v>
      </c>
      <c r="G89" s="433">
        <f t="shared" si="8"/>
        <v>10.25</v>
      </c>
      <c r="H89" s="99">
        <f>G89+'25'!H89</f>
        <v>-37.620000000002619</v>
      </c>
      <c r="I89" s="575">
        <f>G88+G89</f>
        <v>10.25</v>
      </c>
      <c r="J89" s="175">
        <f>H89/DAY(B2)</f>
        <v>-1.4469230769231776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71816.399999999994</v>
      </c>
      <c r="F90" s="164">
        <v>71825.86</v>
      </c>
      <c r="G90" s="433">
        <f t="shared" si="8"/>
        <v>9.4600000000064028</v>
      </c>
      <c r="H90" s="99">
        <f>G90+'25'!H90</f>
        <v>-37.669999999998254</v>
      </c>
      <c r="I90" s="575">
        <f>G90</f>
        <v>9.4600000000064028</v>
      </c>
      <c r="J90" s="175">
        <f>H90/DAY(B2)</f>
        <v>-1.4488461538460866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4000.56</v>
      </c>
      <c r="F91" s="122">
        <v>4011.55</v>
      </c>
      <c r="G91" s="433">
        <f t="shared" si="8"/>
        <v>10.990000000000236</v>
      </c>
      <c r="H91" s="99">
        <f>G91+'25'!H91</f>
        <v>-47.6899999999996</v>
      </c>
      <c r="I91" s="594"/>
      <c r="J91" s="175">
        <f>H91/DAY(B2)</f>
        <v>-1.8342307692307538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5934.87</v>
      </c>
      <c r="F92" s="122">
        <v>5934.87</v>
      </c>
      <c r="G92" s="433">
        <f t="shared" si="8"/>
        <v>0</v>
      </c>
      <c r="H92" s="99">
        <f>G92+'25'!H92</f>
        <v>-0.13000000000010914</v>
      </c>
      <c r="I92" s="600">
        <f>G91+G92</f>
        <v>10.990000000000236</v>
      </c>
      <c r="J92" s="175">
        <f>H92/DAY(B2)</f>
        <v>-5.0000000000041973E-3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436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448">
        <f>G35+G43+G49+G57</f>
        <v>7132</v>
      </c>
      <c r="H94" s="99">
        <f>G94+'25'!H94</f>
        <v>-29577.869999999995</v>
      </c>
      <c r="I94" s="118"/>
      <c r="J94" s="175">
        <f>H94/DAY(B2)</f>
        <v>-1137.6103846153844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449">
        <f>G94/G7</f>
        <v>0.26414814814814813</v>
      </c>
      <c r="H95" s="99">
        <f>G95+'25'!H95</f>
        <v>-1.1178715190625064</v>
      </c>
      <c r="I95" s="167"/>
      <c r="J95" s="175">
        <f>H95/DAY(B2)</f>
        <v>-4.2995058425481014E-2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448">
        <f>G41+G42+G55+G56</f>
        <v>9058.4999999999527</v>
      </c>
      <c r="H96" s="99">
        <f>G96+'25'!H96</f>
        <v>-38953.960000000036</v>
      </c>
      <c r="I96" s="118"/>
      <c r="J96" s="175">
        <f>H96/DAY(B2)</f>
        <v>-1498.2292307692321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449">
        <f>G96/G7</f>
        <v>0.33549999999999824</v>
      </c>
      <c r="H97" s="99">
        <f>G97+'25'!H97</f>
        <v>-1.4736453362851867</v>
      </c>
      <c r="I97" s="167"/>
      <c r="J97" s="175">
        <f>H97/DAY(B2)</f>
        <v>-5.6678666780199491E-2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448">
        <f>G39+G53</f>
        <v>2871.9400000000023</v>
      </c>
      <c r="H98" s="99">
        <f>G98+'25'!H98</f>
        <v>-11507.669999999984</v>
      </c>
      <c r="I98" s="168"/>
      <c r="J98" s="175">
        <f>H98/DAY(B2)</f>
        <v>-442.60269230769165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449">
        <f>G98/G7</f>
        <v>0.10636814814814824</v>
      </c>
      <c r="H99" s="99">
        <f>G99+'25'!H99</f>
        <v>-0.4336609577242444</v>
      </c>
      <c r="I99" s="168"/>
      <c r="J99" s="175">
        <f>H99/DAY(B2)</f>
        <v>-1.6679267604778631E-2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448">
        <f>G38+G52</f>
        <v>2440.0999999999767</v>
      </c>
      <c r="H100" s="99">
        <f>G100+'25'!H100</f>
        <v>-9732.9500000000098</v>
      </c>
      <c r="I100" s="118"/>
      <c r="J100" s="175">
        <f>H100/DAY(B2)</f>
        <v>-374.34423076923116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449">
        <f>G100/G7</f>
        <v>9.0374074074073218E-2</v>
      </c>
      <c r="H101" s="99">
        <f>G101+'25'!H101</f>
        <v>-0.36639852837365949</v>
      </c>
      <c r="I101" s="168"/>
      <c r="J101" s="175">
        <f>H101/DAY(B2)</f>
        <v>-1.4092251091294595E-2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448">
        <f>G36+G50</f>
        <v>2196.3000000000175</v>
      </c>
      <c r="H102" s="99">
        <f>G102+'25'!H102</f>
        <v>-10197.949999999983</v>
      </c>
      <c r="I102" s="168"/>
      <c r="J102" s="175">
        <f>H102/DAY(B2)</f>
        <v>-392.2288461538455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449">
        <f>G102/G7</f>
        <v>8.1344444444445094E-2</v>
      </c>
      <c r="H103" s="99">
        <f>G103+'25'!H103</f>
        <v>-0.38909829504352539</v>
      </c>
      <c r="I103" s="118"/>
      <c r="J103" s="175">
        <f>H103/DAY(B2)</f>
        <v>-1.4965319040135592E-2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448">
        <f>G37+G51</f>
        <v>1702.9800000000105</v>
      </c>
      <c r="H104" s="99">
        <f>G104+'25'!H104</f>
        <v>-7011.0499999999956</v>
      </c>
      <c r="I104" s="118"/>
      <c r="J104" s="175">
        <f>H104/DAY(B2)</f>
        <v>-269.65576923076907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450">
        <f>G104/G7</f>
        <v>6.3073333333333717E-2</v>
      </c>
      <c r="H105" s="99">
        <f>G105+'25'!H105</f>
        <v>-0.26435806326956662</v>
      </c>
      <c r="I105" s="187"/>
      <c r="J105" s="188">
        <f>H105/DAY(B2)</f>
        <v>-1.0167617818060255E-2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51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453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'25'!F112</f>
        <v>250</v>
      </c>
      <c r="F112" s="237">
        <f>250+9</f>
        <v>259</v>
      </c>
      <c r="G112" s="433">
        <f t="shared" ref="G112:G123" si="9">F112-E112</f>
        <v>9</v>
      </c>
      <c r="H112" s="99">
        <f>G112+'25'!H112</f>
        <v>63936</v>
      </c>
      <c r="I112" s="165"/>
      <c r="J112" s="328">
        <f>H112/DAY(B2)</f>
        <v>2459.0769230769229</v>
      </c>
    </row>
    <row r="113" spans="1:18" ht="25.5">
      <c r="A113" s="886" t="s">
        <v>253</v>
      </c>
      <c r="B113" s="887"/>
      <c r="C113" s="888"/>
      <c r="D113" s="146" t="s">
        <v>183</v>
      </c>
      <c r="E113" s="95">
        <f>'25'!F113</f>
        <v>605.14</v>
      </c>
      <c r="F113" s="237">
        <f>605.14+23</f>
        <v>628.14</v>
      </c>
      <c r="G113" s="433">
        <f t="shared" si="9"/>
        <v>23</v>
      </c>
      <c r="H113" s="99">
        <f>G113+'25'!H113</f>
        <v>85323.53</v>
      </c>
      <c r="I113" s="165"/>
      <c r="J113" s="328">
        <f>H113/DAY(B2)</f>
        <v>3281.6742307692307</v>
      </c>
    </row>
    <row r="114" spans="1:18" ht="25.5">
      <c r="A114" s="886" t="s">
        <v>254</v>
      </c>
      <c r="B114" s="887"/>
      <c r="C114" s="888"/>
      <c r="D114" s="146" t="s">
        <v>183</v>
      </c>
      <c r="E114" s="95">
        <f>'25'!F114</f>
        <v>417</v>
      </c>
      <c r="F114" s="237">
        <f>417+34</f>
        <v>451</v>
      </c>
      <c r="G114" s="433">
        <f t="shared" si="9"/>
        <v>34</v>
      </c>
      <c r="H114" s="99">
        <f>G114+'25'!H114</f>
        <v>56150.11</v>
      </c>
      <c r="I114" s="165"/>
      <c r="J114" s="328">
        <f>H114/DAY(B2)</f>
        <v>2159.6196153846154</v>
      </c>
    </row>
    <row r="115" spans="1:18" ht="25.5">
      <c r="A115" s="886" t="s">
        <v>255</v>
      </c>
      <c r="B115" s="887"/>
      <c r="C115" s="888"/>
      <c r="D115" s="146" t="s">
        <v>183</v>
      </c>
      <c r="E115" s="95">
        <f>'25'!F115</f>
        <v>61.37</v>
      </c>
      <c r="F115" s="237">
        <f>61.37+9.96</f>
        <v>71.33</v>
      </c>
      <c r="G115" s="433">
        <f t="shared" si="9"/>
        <v>9.9600000000000009</v>
      </c>
      <c r="H115" s="99">
        <f>G115+'25'!H115</f>
        <v>9866.08</v>
      </c>
      <c r="I115" s="165"/>
      <c r="J115" s="328">
        <f>H115/DAY(B2)</f>
        <v>379.4646153846154</v>
      </c>
    </row>
    <row r="116" spans="1:18" ht="25.5">
      <c r="A116" s="893" t="s">
        <v>96</v>
      </c>
      <c r="B116" s="894"/>
      <c r="C116" s="895"/>
      <c r="D116" s="146" t="s">
        <v>183</v>
      </c>
      <c r="E116" s="95">
        <f>'25'!F116</f>
        <v>33145.97</v>
      </c>
      <c r="F116" s="237">
        <v>33478.85</v>
      </c>
      <c r="G116" s="433">
        <f t="shared" si="9"/>
        <v>332.87999999999738</v>
      </c>
      <c r="H116" s="99">
        <f>G116+'25'!H116</f>
        <v>-1187.1500000000015</v>
      </c>
      <c r="I116" s="165"/>
      <c r="J116" s="328">
        <f>H116/DAY(B2)</f>
        <v>-45.659615384615442</v>
      </c>
      <c r="Q116" s="886" t="s">
        <v>311</v>
      </c>
      <c r="R116" s="888"/>
    </row>
    <row r="117" spans="1:18" ht="25.5">
      <c r="A117" s="893" t="s">
        <v>184</v>
      </c>
      <c r="B117" s="894"/>
      <c r="C117" s="895"/>
      <c r="D117" s="146" t="s">
        <v>183</v>
      </c>
      <c r="E117" s="406">
        <f>'25'!F117</f>
        <v>18193</v>
      </c>
      <c r="F117" s="417">
        <v>18269</v>
      </c>
      <c r="G117" s="522">
        <f t="shared" si="9"/>
        <v>76</v>
      </c>
      <c r="H117" s="99">
        <f>G117+'25'!H117</f>
        <v>-667</v>
      </c>
      <c r="I117" s="165"/>
      <c r="J117" s="328">
        <f>H117/DAY(B2)</f>
        <v>-25.653846153846153</v>
      </c>
      <c r="Q117" s="886" t="s">
        <v>312</v>
      </c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'25'!F118</f>
        <v>6327.33</v>
      </c>
      <c r="F118" s="237">
        <v>6835.12</v>
      </c>
      <c r="G118" s="433">
        <f t="shared" si="9"/>
        <v>507.78999999999996</v>
      </c>
      <c r="H118" s="99">
        <f>G118+'25'!H118</f>
        <v>-2227.880000000001</v>
      </c>
      <c r="I118" s="165"/>
      <c r="J118" s="328">
        <f>H118/DAY(B2)</f>
        <v>-85.687692307692345</v>
      </c>
      <c r="Q118" s="886" t="s">
        <v>311</v>
      </c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'25'!F119</f>
        <v>3677.5</v>
      </c>
      <c r="F119" s="237">
        <v>4133.26</v>
      </c>
      <c r="G119" s="433">
        <f t="shared" si="9"/>
        <v>455.76000000000022</v>
      </c>
      <c r="H119" s="99">
        <f>G119+'25'!H119</f>
        <v>288648.26</v>
      </c>
      <c r="I119" s="165"/>
      <c r="J119" s="328">
        <f>H119/DAY(B2)</f>
        <v>11101.856153846154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'25'!F120</f>
        <v>4966.8</v>
      </c>
      <c r="F120" s="237">
        <v>5392</v>
      </c>
      <c r="G120" s="433">
        <f t="shared" si="9"/>
        <v>425.19999999999982</v>
      </c>
      <c r="H120" s="99">
        <f>G120+'25'!H120</f>
        <v>-1743</v>
      </c>
      <c r="I120" s="165"/>
      <c r="J120" s="328">
        <f>H120/DAY(B2)</f>
        <v>-67.038461538461533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'25'!F121</f>
        <v>9468.27</v>
      </c>
      <c r="F121" s="237">
        <v>9961.7999999999993</v>
      </c>
      <c r="G121" s="433">
        <f t="shared" si="9"/>
        <v>493.52999999999884</v>
      </c>
      <c r="H121" s="99">
        <f>G121+'25'!H121</f>
        <v>-1765.2000000000007</v>
      </c>
      <c r="I121" s="165"/>
      <c r="J121" s="328">
        <f>H121/DAY(B2)</f>
        <v>-67.892307692307725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'25'!F122</f>
        <v>2500.9499999999998</v>
      </c>
      <c r="F122" s="237">
        <v>2739.1</v>
      </c>
      <c r="G122" s="433">
        <f t="shared" si="9"/>
        <v>238.15000000000009</v>
      </c>
      <c r="H122" s="99">
        <f>G122+'25'!H122</f>
        <v>-824.90000000000009</v>
      </c>
      <c r="I122" s="165"/>
      <c r="J122" s="328">
        <f>H122/DAY(B2)</f>
        <v>-31.726923076923079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'25'!F123</f>
        <v>297.81</v>
      </c>
      <c r="F123" s="237">
        <f>297.81+11.9</f>
        <v>309.70999999999998</v>
      </c>
      <c r="G123" s="433">
        <f t="shared" si="9"/>
        <v>11.899999999999977</v>
      </c>
      <c r="H123" s="99">
        <f>G123+'25'!H123</f>
        <v>174386.24</v>
      </c>
      <c r="I123" s="165"/>
      <c r="J123" s="328">
        <f>H123/DAY(B2)</f>
        <v>6707.1630769230769</v>
      </c>
    </row>
    <row r="124" spans="1:18" ht="25.5">
      <c r="A124" s="890"/>
      <c r="B124" s="891"/>
      <c r="C124" s="892"/>
      <c r="D124" s="165"/>
      <c r="E124" s="95">
        <f>'25'!F124</f>
        <v>0</v>
      </c>
      <c r="F124" s="165"/>
      <c r="G124" s="453"/>
      <c r="H124" s="156"/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454">
        <f>SUM(G112:G124)</f>
        <v>2617.1699999999964</v>
      </c>
      <c r="H125" s="156"/>
      <c r="I125" s="327">
        <f>G125-(G39+G53)</f>
        <v>-254.77000000000589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454"/>
      <c r="H127" s="99">
        <f>G127+'25'!H127</f>
        <v>0</v>
      </c>
      <c r="I127" s="165"/>
      <c r="J127" s="328">
        <f>H127/DAY(B2)</f>
        <v>0</v>
      </c>
    </row>
    <row r="128" spans="1:18" ht="25.5">
      <c r="A128" s="886" t="s">
        <v>318</v>
      </c>
      <c r="B128" s="887"/>
      <c r="C128" s="888"/>
      <c r="D128" s="151" t="s">
        <v>183</v>
      </c>
      <c r="E128" s="95">
        <f>'25'!F128</f>
        <v>79406.23</v>
      </c>
      <c r="F128" s="165">
        <v>79809.899999999994</v>
      </c>
      <c r="G128" s="433">
        <f t="shared" ref="G128:G134" si="10">F128-E128</f>
        <v>403.66999999999825</v>
      </c>
      <c r="H128" s="99">
        <f>G128+'25'!H128</f>
        <v>-1605.1000000000058</v>
      </c>
      <c r="I128" s="165"/>
      <c r="J128" s="328">
        <f>H128/DAY(B2)</f>
        <v>-61.734615384615608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49552.63</v>
      </c>
      <c r="F129" s="165">
        <v>49839.12</v>
      </c>
      <c r="G129" s="433">
        <f t="shared" si="10"/>
        <v>286.49000000000524</v>
      </c>
      <c r="H129" s="99">
        <f>G129+'25'!H129</f>
        <v>-1232.8799999999974</v>
      </c>
      <c r="I129" s="165"/>
      <c r="J129" s="328">
        <f>H129/DAY(B2)</f>
        <v>-47.418461538461436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93184.6</v>
      </c>
      <c r="F130" s="165">
        <v>93849.9</v>
      </c>
      <c r="G130" s="433">
        <f t="shared" si="10"/>
        <v>665.29999999998836</v>
      </c>
      <c r="H130" s="99">
        <f>G130+'25'!H130</f>
        <v>-2796.1000000000058</v>
      </c>
      <c r="I130" s="165"/>
      <c r="J130" s="328">
        <f>H130/DAY(B2)</f>
        <v>-107.54230769230792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'25'!F131</f>
        <v>29401.69</v>
      </c>
      <c r="F131" s="165">
        <v>29611.97</v>
      </c>
      <c r="G131" s="433">
        <f t="shared" si="10"/>
        <v>210.28000000000247</v>
      </c>
      <c r="H131" s="99">
        <f>G131+'25'!H131</f>
        <v>-823.02999999999884</v>
      </c>
      <c r="I131" s="165"/>
      <c r="J131" s="328">
        <f>H131/DAY(B2)</f>
        <v>-31.654999999999955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'25'!F132</f>
        <v>86614.8</v>
      </c>
      <c r="F132" s="165">
        <v>87059.12</v>
      </c>
      <c r="G132" s="433">
        <f t="shared" si="10"/>
        <v>444.31999999999243</v>
      </c>
      <c r="H132" s="99">
        <f>G132+'25'!H132</f>
        <v>-1877.8800000000047</v>
      </c>
      <c r="I132" s="165"/>
      <c r="J132" s="328">
        <f>H132/DAY(B2)</f>
        <v>-72.22615384615402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'25'!F133</f>
        <v>168158.59</v>
      </c>
      <c r="F133" s="165">
        <v>169026.75</v>
      </c>
      <c r="G133" s="433">
        <f t="shared" si="10"/>
        <v>868.16000000000349</v>
      </c>
      <c r="H133" s="99">
        <f>G133+'25'!H133</f>
        <v>-3419.25</v>
      </c>
      <c r="I133" s="165"/>
      <c r="J133" s="328">
        <f>H133/DAY(B2)</f>
        <v>-131.50961538461539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'25'!F134</f>
        <v>26797.05</v>
      </c>
      <c r="F134" s="165">
        <v>27029.96</v>
      </c>
      <c r="G134" s="433">
        <f t="shared" si="10"/>
        <v>232.90999999999985</v>
      </c>
      <c r="H134" s="99">
        <f>G134+'25'!H134</f>
        <v>-1063.0400000000009</v>
      </c>
      <c r="I134" s="165"/>
      <c r="J134" s="328">
        <f>H134/DAY(B2)</f>
        <v>-40.886153846153881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433">
        <f>SUM(G128:G134)</f>
        <v>3111.1299999999901</v>
      </c>
      <c r="H135" s="99">
        <f>G135+'23'!H135</f>
        <v>39337.919999999998</v>
      </c>
      <c r="I135" s="327">
        <f>G135-(G35+G49)</f>
        <v>-710.07000000002154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453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'25'!F138</f>
        <v>878022</v>
      </c>
      <c r="F138" s="147">
        <v>878166</v>
      </c>
      <c r="G138" s="433">
        <f t="shared" ref="G138:G152" si="11">F138-E138</f>
        <v>144</v>
      </c>
      <c r="H138" s="99">
        <f>G138+'25'!H138</f>
        <v>-618</v>
      </c>
      <c r="I138" s="118"/>
      <c r="J138" s="328">
        <f>H138/DAY(B2)</f>
        <v>-23.76923076923077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'25'!F139</f>
        <v>894114</v>
      </c>
      <c r="F139" s="148">
        <v>894258</v>
      </c>
      <c r="G139" s="433">
        <f t="shared" si="11"/>
        <v>144</v>
      </c>
      <c r="H139" s="99">
        <f>G139+'25'!H139</f>
        <v>-608</v>
      </c>
      <c r="I139" s="118"/>
      <c r="J139" s="328">
        <f>H139/DAY(B2)</f>
        <v>-23.384615384615383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'25'!F140</f>
        <v>89032</v>
      </c>
      <c r="F140" s="148">
        <v>89032</v>
      </c>
      <c r="G140" s="433">
        <f t="shared" si="11"/>
        <v>0</v>
      </c>
      <c r="H140" s="99">
        <f>G140+'25'!H140</f>
        <v>88897</v>
      </c>
      <c r="I140" s="118"/>
      <c r="J140" s="328">
        <f>H140/DAY(B2)</f>
        <v>3419.1153846153848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'25'!F141</f>
        <v>70751.199999999997</v>
      </c>
      <c r="F141" s="148">
        <v>70948.2</v>
      </c>
      <c r="G141" s="433">
        <f t="shared" si="11"/>
        <v>197</v>
      </c>
      <c r="H141" s="99">
        <f>G141+'25'!H141</f>
        <v>-825.80000000000291</v>
      </c>
      <c r="I141" s="118"/>
      <c r="J141" s="328">
        <f>H141/DAY(B2)</f>
        <v>-31.761538461538574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'25'!F142</f>
        <v>27115.9</v>
      </c>
      <c r="F142" s="148">
        <v>27184.799999999999</v>
      </c>
      <c r="G142" s="433">
        <f t="shared" si="11"/>
        <v>68.899999999997817</v>
      </c>
      <c r="H142" s="99">
        <f>G142+'25'!H142</f>
        <v>-281.20000000000073</v>
      </c>
      <c r="I142" s="140"/>
      <c r="J142" s="328">
        <f>H142/DAY(B2)</f>
        <v>-10.815384615384643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'25'!F143</f>
        <v>6267.05</v>
      </c>
      <c r="F143" s="148">
        <v>6297.96</v>
      </c>
      <c r="G143" s="433">
        <f t="shared" si="11"/>
        <v>30.909999999999854</v>
      </c>
      <c r="H143" s="99">
        <f>G143+'25'!H143</f>
        <v>-119.03999999999996</v>
      </c>
      <c r="I143" s="140"/>
      <c r="J143" s="328">
        <f>H143/DAY(B2)</f>
        <v>-4.5784615384615375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'25'!F144</f>
        <v>895965</v>
      </c>
      <c r="F144" s="148">
        <v>896230</v>
      </c>
      <c r="G144" s="433">
        <f t="shared" si="11"/>
        <v>265</v>
      </c>
      <c r="H144" s="99">
        <f>G144+'25'!H144</f>
        <v>-1003</v>
      </c>
      <c r="I144" s="140"/>
      <c r="J144" s="328">
        <f>H144/DAY(B2)</f>
        <v>-38.57692307692308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'25'!F145</f>
        <v>5618.35</v>
      </c>
      <c r="F145" s="148">
        <v>5620.59</v>
      </c>
      <c r="G145" s="433">
        <f t="shared" si="11"/>
        <v>2.2399999999997817</v>
      </c>
      <c r="H145" s="99">
        <f>G145+'25'!H145</f>
        <v>-7.4099999999998545</v>
      </c>
      <c r="I145" s="140"/>
      <c r="J145" s="328">
        <f>H145/DAY(B2)</f>
        <v>-0.28499999999999442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'25'!F146</f>
        <v>776354</v>
      </c>
      <c r="F146" s="148">
        <v>776439</v>
      </c>
      <c r="G146" s="433">
        <f t="shared" si="11"/>
        <v>85</v>
      </c>
      <c r="H146" s="99">
        <f>G146+'25'!H146</f>
        <v>-15</v>
      </c>
      <c r="I146" s="140"/>
      <c r="J146" s="328">
        <f>H146/DAY(B2)</f>
        <v>-0.57692307692307687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'25'!F147</f>
        <v>661147.56000000006</v>
      </c>
      <c r="F147" s="148">
        <v>661592</v>
      </c>
      <c r="G147" s="433">
        <f t="shared" si="11"/>
        <v>444.43999999994412</v>
      </c>
      <c r="H147" s="99">
        <f>G147+'25'!H147</f>
        <v>-1636</v>
      </c>
      <c r="I147" s="140"/>
      <c r="J147" s="328">
        <f>H147/DAY(B2)</f>
        <v>-62.92307692307692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'25'!F148</f>
        <v>718009.84</v>
      </c>
      <c r="F148" s="164">
        <v>718340</v>
      </c>
      <c r="G148" s="433">
        <f t="shared" si="11"/>
        <v>330.1600000000326</v>
      </c>
      <c r="H148" s="99">
        <f>G148+'25'!H148</f>
        <v>-1576</v>
      </c>
      <c r="I148" s="124"/>
      <c r="J148" s="328">
        <f>H148/DAY(B2)</f>
        <v>-60.615384615384613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'25'!F149</f>
        <v>80200.03</v>
      </c>
      <c r="F149" s="416">
        <v>80918</v>
      </c>
      <c r="G149" s="433">
        <f t="shared" si="11"/>
        <v>717.97000000000116</v>
      </c>
      <c r="H149" s="99">
        <f>G149+'25'!H149</f>
        <v>-2470</v>
      </c>
      <c r="I149" s="119"/>
      <c r="J149" s="328">
        <f>H149/DAY(B2)</f>
        <v>-95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'25'!F150</f>
        <v>29527.49</v>
      </c>
      <c r="F150" s="233">
        <v>29739.200000000001</v>
      </c>
      <c r="G150" s="433">
        <f t="shared" si="11"/>
        <v>211.70999999999913</v>
      </c>
      <c r="H150" s="99">
        <f>G150+'25'!H150</f>
        <v>-847.79999999999927</v>
      </c>
      <c r="I150" s="119"/>
      <c r="J150" s="328">
        <f>H150/DAY(B2)</f>
        <v>-32.607692307692282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'25'!F151</f>
        <v>107695</v>
      </c>
      <c r="F151" s="233">
        <v>107999</v>
      </c>
      <c r="G151" s="433">
        <f t="shared" si="11"/>
        <v>304</v>
      </c>
      <c r="H151" s="99">
        <f>G151+'25'!H151</f>
        <v>-1229</v>
      </c>
      <c r="I151" s="119"/>
      <c r="J151" s="328">
        <f>H151/DAY(B2)</f>
        <v>-47.269230769230766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'25'!F152</f>
        <v>10628.6</v>
      </c>
      <c r="F152" s="233">
        <v>10683.27</v>
      </c>
      <c r="G152" s="433">
        <f t="shared" si="11"/>
        <v>54.670000000000073</v>
      </c>
      <c r="H152" s="99">
        <f>G152+'25'!H152</f>
        <v>-472.72999999999956</v>
      </c>
      <c r="I152" s="119"/>
      <c r="J152" s="328">
        <f>H152/DAY(B2)</f>
        <v>-18.181923076923059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455">
        <f>SUM(G138:G152)</f>
        <v>2999.9999999999745</v>
      </c>
      <c r="H153" s="363"/>
      <c r="I153" s="119">
        <f>G153-(G38+G52)</f>
        <v>559.89999999999782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'25'!F155</f>
        <v>89567</v>
      </c>
      <c r="F155" s="617">
        <v>90129.87</v>
      </c>
      <c r="G155" s="433">
        <f t="shared" ref="G155:G158" si="12">F155-E155</f>
        <v>562.86999999999534</v>
      </c>
      <c r="H155" s="99">
        <f>G155+'25'!H155</f>
        <v>-2602.1300000000047</v>
      </c>
      <c r="I155" s="364"/>
      <c r="J155" s="328">
        <f>H155/DAY(B2)</f>
        <v>-100.08192307692326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'25'!F156</f>
        <v>7420</v>
      </c>
      <c r="F156" s="157">
        <v>7476.46</v>
      </c>
      <c r="G156" s="433">
        <f t="shared" si="12"/>
        <v>56.460000000000036</v>
      </c>
      <c r="H156" s="99">
        <f>G156+'25'!H156</f>
        <v>-214.53999999999996</v>
      </c>
      <c r="I156" s="165"/>
      <c r="J156" s="328">
        <f>H156/DAY(B2)</f>
        <v>-8.2515384615384608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'25'!F157</f>
        <v>12966.55</v>
      </c>
      <c r="F157" s="155">
        <v>13073.22</v>
      </c>
      <c r="G157" s="433">
        <f t="shared" si="12"/>
        <v>106.67000000000007</v>
      </c>
      <c r="H157" s="99">
        <f>G157+'25'!H157</f>
        <v>800.21999999999935</v>
      </c>
      <c r="I157" s="165"/>
      <c r="J157" s="328">
        <f>H157/DAY(B2)</f>
        <v>30.777692307692284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'25'!F158</f>
        <v>100.19</v>
      </c>
      <c r="F158" s="155">
        <v>100.19</v>
      </c>
      <c r="G158" s="433">
        <f t="shared" si="12"/>
        <v>0</v>
      </c>
      <c r="H158" s="99">
        <f>G158+'25'!H158</f>
        <v>2.7199999999999989</v>
      </c>
      <c r="I158" s="165"/>
      <c r="J158" s="328">
        <f>H158/DAY(B2)</f>
        <v>0.10461538461538457</v>
      </c>
    </row>
    <row r="159" spans="1:10" ht="25.5">
      <c r="A159" s="950"/>
      <c r="B159" s="951"/>
      <c r="C159" s="952"/>
      <c r="D159" s="117"/>
      <c r="E159" s="95"/>
      <c r="F159" s="165"/>
      <c r="G159" s="433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474662</v>
      </c>
      <c r="F161" s="235">
        <v>474687</v>
      </c>
      <c r="G161" s="456">
        <f t="shared" ref="G161:G165" si="13">F161-E161</f>
        <v>25</v>
      </c>
      <c r="H161" s="99">
        <f>G161+'25'!H161</f>
        <v>-96</v>
      </c>
      <c r="I161" s="236"/>
      <c r="J161" s="239">
        <f>H161/DAY(B2)</f>
        <v>-3.6923076923076925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91335.9</v>
      </c>
      <c r="F162" s="235">
        <v>91383</v>
      </c>
      <c r="G162" s="456">
        <f t="shared" si="13"/>
        <v>47.100000000005821</v>
      </c>
      <c r="H162" s="99">
        <f>G162+'25'!H162</f>
        <v>-164</v>
      </c>
      <c r="I162" s="236"/>
      <c r="J162" s="239">
        <f>H162/DAY(B2)</f>
        <v>-6.3076923076923075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91199</v>
      </c>
      <c r="F163" s="235">
        <v>91339.3</v>
      </c>
      <c r="G163" s="456">
        <f t="shared" si="13"/>
        <v>140.30000000000291</v>
      </c>
      <c r="H163" s="99">
        <f>G163+'25'!H163</f>
        <v>-696.69999999999709</v>
      </c>
      <c r="I163" s="236"/>
      <c r="J163" s="239">
        <f>H163/DAY(B2)</f>
        <v>-26.796153846153736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5125</v>
      </c>
      <c r="F164" s="235">
        <v>5135.2</v>
      </c>
      <c r="G164" s="456">
        <f t="shared" si="13"/>
        <v>10.199999999999818</v>
      </c>
      <c r="H164" s="99">
        <f>G164+'25'!H164</f>
        <v>-46.800000000000182</v>
      </c>
      <c r="I164" s="236"/>
      <c r="J164" s="239">
        <f>H164/DAY(B2)</f>
        <v>-1.8000000000000069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30573.200000000001</v>
      </c>
      <c r="F165" s="235">
        <v>30585</v>
      </c>
      <c r="G165" s="456">
        <f t="shared" si="13"/>
        <v>11.799999999999272</v>
      </c>
      <c r="H165" s="99">
        <f>G165+'25'!H165</f>
        <v>-49</v>
      </c>
      <c r="I165" s="236"/>
      <c r="J165" s="239">
        <f>H165/DAY(B2)</f>
        <v>-1.8846153846153846</v>
      </c>
    </row>
    <row r="166" spans="1:10" ht="26.25">
      <c r="A166" s="873"/>
      <c r="B166" s="873"/>
      <c r="C166" s="246"/>
      <c r="D166" s="244" t="s">
        <v>180</v>
      </c>
      <c r="E166" s="95">
        <f>'25'!F166</f>
        <v>0</v>
      </c>
      <c r="F166" s="165"/>
      <c r="G166" s="453"/>
      <c r="H166" s="99">
        <f>G166+'25'!H166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'25'!F167</f>
        <v>0</v>
      </c>
      <c r="F167" s="165"/>
      <c r="G167" s="453"/>
      <c r="H167" s="99">
        <f>G167+'25'!H167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'25'!F168</f>
        <v>0</v>
      </c>
      <c r="F168" s="165"/>
      <c r="G168" s="453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457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'25'!F173</f>
        <v>8238</v>
      </c>
      <c r="F173" s="155">
        <v>8240</v>
      </c>
      <c r="G173" s="457">
        <f>F173-E173</f>
        <v>2</v>
      </c>
      <c r="H173" s="99">
        <f>G173+'25'!H173</f>
        <v>101</v>
      </c>
      <c r="I173" s="155"/>
      <c r="J173" s="178">
        <f>H173/DAY(B2)</f>
        <v>3.8846153846153846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'25'!F174</f>
        <v>39855</v>
      </c>
      <c r="F174" s="157">
        <v>39871</v>
      </c>
      <c r="G174" s="457">
        <f t="shared" ref="G174:G175" si="14">F174-E174</f>
        <v>16</v>
      </c>
      <c r="H174" s="99">
        <f>G174+'25'!H174</f>
        <v>-57</v>
      </c>
      <c r="I174" s="155"/>
      <c r="J174" s="178">
        <f>H174/DAY(B2)</f>
        <v>-2.1923076923076925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'25'!F175</f>
        <v>22831</v>
      </c>
      <c r="F175" s="155">
        <v>22842</v>
      </c>
      <c r="G175" s="457">
        <f t="shared" si="14"/>
        <v>11</v>
      </c>
      <c r="H175" s="99">
        <f>G175+'25'!H175</f>
        <v>-47</v>
      </c>
      <c r="I175" s="155"/>
      <c r="J175" s="178">
        <f>H175/DAY(B2)</f>
        <v>-1.8076923076923077</v>
      </c>
    </row>
    <row r="176" spans="1:10" ht="25.5">
      <c r="A176" s="868" t="s">
        <v>196</v>
      </c>
      <c r="B176" s="869"/>
      <c r="C176" s="401"/>
      <c r="D176" s="228" t="s">
        <v>142</v>
      </c>
      <c r="E176" s="95"/>
      <c r="F176" s="155"/>
      <c r="G176" s="457">
        <f>SUM(G173:G175)</f>
        <v>29</v>
      </c>
      <c r="H176" s="99">
        <f>G176+'25'!H176</f>
        <v>-3</v>
      </c>
      <c r="I176" s="155"/>
      <c r="J176" s="178">
        <f>H176/DAY(B2)</f>
        <v>-0.11538461538461539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457"/>
      <c r="H177" s="99">
        <f>G177+'25'!H177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'25'!F178</f>
        <v>88090</v>
      </c>
      <c r="F178" s="155">
        <v>88220</v>
      </c>
      <c r="G178" s="457">
        <f>F178-E178</f>
        <v>130</v>
      </c>
      <c r="H178" s="99">
        <f>G178+'25'!H178</f>
        <v>-383</v>
      </c>
      <c r="I178" s="155"/>
      <c r="J178" s="178">
        <f>H178/DAY(B2)</f>
        <v>-14.73076923076923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'25'!F179</f>
        <v>35765</v>
      </c>
      <c r="F179" s="155">
        <v>35768</v>
      </c>
      <c r="G179" s="457">
        <f t="shared" ref="G179:G180" si="15">F179-E179</f>
        <v>3</v>
      </c>
      <c r="H179" s="99">
        <f>G179+'25'!H179</f>
        <v>-5</v>
      </c>
      <c r="I179" s="155"/>
      <c r="J179" s="178">
        <f>H179/DAY(B2)</f>
        <v>-0.19230769230769232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'25'!F180</f>
        <v>6335</v>
      </c>
      <c r="F180" s="155">
        <v>6342</v>
      </c>
      <c r="G180" s="457">
        <f t="shared" si="15"/>
        <v>7</v>
      </c>
      <c r="H180" s="99">
        <f>G180+'25'!H180</f>
        <v>-47</v>
      </c>
      <c r="I180" s="155"/>
      <c r="J180" s="178">
        <f>H180/DAY(B2)</f>
        <v>-1.8076923076923077</v>
      </c>
    </row>
    <row r="181" spans="1:10" ht="25.5">
      <c r="A181" s="881" t="s">
        <v>108</v>
      </c>
      <c r="B181" s="882"/>
      <c r="C181" s="401"/>
      <c r="D181" s="228" t="s">
        <v>142</v>
      </c>
      <c r="E181" s="95"/>
      <c r="F181" s="155"/>
      <c r="G181" s="457">
        <f>SUM(G178:G180)</f>
        <v>140</v>
      </c>
      <c r="H181" s="99">
        <f>G181+'25'!H181</f>
        <v>-435</v>
      </c>
      <c r="I181" s="155"/>
      <c r="J181" s="178">
        <f>H181/DAY(B2)</f>
        <v>-16.73076923076923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457"/>
      <c r="H182" s="99">
        <f>G182+'25'!H182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'25'!F183</f>
        <v>16534</v>
      </c>
      <c r="F183" s="157">
        <v>16565</v>
      </c>
      <c r="G183" s="458">
        <f>F183-E183</f>
        <v>31</v>
      </c>
      <c r="H183" s="99">
        <f>G183+'25'!H183</f>
        <v>-57</v>
      </c>
      <c r="I183" s="155"/>
      <c r="J183" s="178">
        <f>H183/DAY(B2)</f>
        <v>-2.1923076923076925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'25'!F184</f>
        <v>11238</v>
      </c>
      <c r="F184" s="157">
        <v>11245</v>
      </c>
      <c r="G184" s="458">
        <f t="shared" ref="G184:G185" si="16">F184-E184</f>
        <v>7</v>
      </c>
      <c r="H184" s="99">
        <f>G184+'25'!H184</f>
        <v>-29</v>
      </c>
      <c r="I184" s="155"/>
      <c r="J184" s="178">
        <f>H184/DAY(B2)</f>
        <v>-1.1153846153846154</v>
      </c>
    </row>
    <row r="185" spans="1:10" ht="25.5">
      <c r="A185" s="879" t="s">
        <v>216</v>
      </c>
      <c r="B185" s="880"/>
      <c r="C185" s="334"/>
      <c r="D185" s="228" t="s">
        <v>142</v>
      </c>
      <c r="E185" s="95">
        <f>'25'!F185</f>
        <v>0</v>
      </c>
      <c r="F185" s="157"/>
      <c r="G185" s="458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400"/>
      <c r="D186" s="228" t="s">
        <v>142</v>
      </c>
      <c r="E186" s="95"/>
      <c r="F186" s="157"/>
      <c r="G186" s="458">
        <f>SUM(G183:G185)</f>
        <v>38</v>
      </c>
      <c r="H186" s="99">
        <f>G186+'25'!H186</f>
        <v>-86</v>
      </c>
      <c r="I186" s="157"/>
      <c r="J186" s="178">
        <f>H186/DAY(B2)</f>
        <v>-3.3076923076923075</v>
      </c>
    </row>
    <row r="187" spans="1:10" ht="25.5">
      <c r="A187" s="870" t="s">
        <v>217</v>
      </c>
      <c r="B187" s="871"/>
      <c r="C187" s="333"/>
      <c r="D187" s="228" t="s">
        <v>142</v>
      </c>
      <c r="E187" s="95">
        <f>'25'!F187</f>
        <v>0</v>
      </c>
      <c r="F187" s="159"/>
      <c r="G187" s="459">
        <f>G62+G19</f>
        <v>225</v>
      </c>
      <c r="H187" s="99">
        <f>G187+'25'!H187</f>
        <v>-872</v>
      </c>
      <c r="I187" s="158"/>
      <c r="J187" s="179">
        <f>H187/DAY(B2)</f>
        <v>-33.53846153846154</v>
      </c>
    </row>
    <row r="188" spans="1:10" ht="25.5">
      <c r="A188" s="870" t="s">
        <v>218</v>
      </c>
      <c r="B188" s="871"/>
      <c r="C188" s="333"/>
      <c r="D188" s="228" t="s">
        <v>142</v>
      </c>
      <c r="E188" s="95">
        <f>'25'!F188</f>
        <v>0</v>
      </c>
      <c r="F188" s="159"/>
      <c r="G188" s="459">
        <f>G65+G66+G67+G69+G70</f>
        <v>261</v>
      </c>
      <c r="H188" s="99">
        <f>G188+'25'!H188</f>
        <v>-9059</v>
      </c>
      <c r="I188" s="158"/>
      <c r="J188" s="179">
        <f>H188/DAY(B2)</f>
        <v>-348.42307692307691</v>
      </c>
    </row>
    <row r="189" spans="1:10" ht="25.5">
      <c r="A189" s="870" t="s">
        <v>219</v>
      </c>
      <c r="B189" s="871"/>
      <c r="C189" s="333"/>
      <c r="D189" s="228" t="s">
        <v>142</v>
      </c>
      <c r="E189" s="95">
        <f>'25'!F189</f>
        <v>0</v>
      </c>
      <c r="F189" s="157"/>
      <c r="G189" s="459">
        <f>G181</f>
        <v>140</v>
      </c>
      <c r="H189" s="99">
        <f>G189+'25'!H189</f>
        <v>946</v>
      </c>
      <c r="I189" s="158"/>
      <c r="J189" s="179">
        <f>H189/DAY(B2)</f>
        <v>36.384615384615387</v>
      </c>
    </row>
    <row r="190" spans="1:10" ht="25.5">
      <c r="A190" s="877"/>
      <c r="B190" s="878"/>
      <c r="C190" s="399"/>
      <c r="D190" s="396"/>
      <c r="E190" s="396" t="s">
        <v>207</v>
      </c>
      <c r="F190" s="396"/>
      <c r="G190" s="61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303</v>
      </c>
      <c r="B2" s="262">
        <v>44678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535701</v>
      </c>
      <c r="F7" s="95">
        <f>E7+27000</f>
        <v>562701</v>
      </c>
      <c r="G7" s="112">
        <f>F7-E7</f>
        <v>27000</v>
      </c>
      <c r="H7" s="99">
        <f>G7+'26'!H7</f>
        <v>731663</v>
      </c>
      <c r="I7" s="113">
        <f>'1'!I7</f>
        <v>12000</v>
      </c>
      <c r="J7" s="175">
        <f>H7/DAY(B2)</f>
        <v>27098.629629629631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629035</v>
      </c>
      <c r="F8" s="114">
        <f>E8+26500</f>
        <v>655535</v>
      </c>
      <c r="G8" s="115">
        <f>F8-E8</f>
        <v>26500</v>
      </c>
      <c r="H8" s="99">
        <f>G8+'26'!H8</f>
        <v>736412.27999999991</v>
      </c>
      <c r="I8" s="116"/>
      <c r="J8" s="175">
        <f>H8/DAY(B2)</f>
        <v>27274.528888888886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2369550</v>
      </c>
      <c r="F9" s="470">
        <f>E9+16000</f>
        <v>2385550</v>
      </c>
      <c r="G9" s="112">
        <f>F9-E9</f>
        <v>16000</v>
      </c>
      <c r="H9" s="99">
        <f>G9+'26'!H9</f>
        <v>494515</v>
      </c>
      <c r="I9" s="124">
        <f>I7-J7</f>
        <v>-15098.629629629631</v>
      </c>
      <c r="J9" s="175">
        <f>H9/DAY(B2)</f>
        <v>18315.370370370369</v>
      </c>
      <c r="K9" s="79">
        <f>K8-100</f>
        <v>1715817</v>
      </c>
      <c r="L9" s="66"/>
      <c r="N9" s="87"/>
      <c r="O9" s="71">
        <f>G8-G7</f>
        <v>-500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804226</v>
      </c>
      <c r="F10" s="353">
        <f>E10+8500</f>
        <v>812726</v>
      </c>
      <c r="G10" s="112">
        <f t="shared" ref="G10:G12" si="0">F10-E10</f>
        <v>8500</v>
      </c>
      <c r="H10" s="99">
        <f>G10+'26'!H10</f>
        <v>197190</v>
      </c>
      <c r="I10" s="282"/>
      <c r="J10" s="175">
        <f>H10/DAY(B2)</f>
        <v>7303.333333333333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G13+'26'!H13</f>
        <v>689188.75</v>
      </c>
      <c r="I13" s="120">
        <f>G7-G13</f>
        <v>2500</v>
      </c>
      <c r="J13" s="175">
        <f>H13/DAY(B2)</f>
        <v>25525.509259259259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2000418</v>
      </c>
      <c r="G15" s="112" t="e">
        <f>(F15-E15)</f>
        <v>#VALUE!</v>
      </c>
      <c r="H15" s="99" t="e">
        <f>G15+'26'!H15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'26'!F18</f>
        <v>28</v>
      </c>
      <c r="F18" s="122">
        <v>23</v>
      </c>
      <c r="G18" s="119">
        <f>F18*10</f>
        <v>230</v>
      </c>
      <c r="H18" s="99">
        <f>G18+'26'!H18</f>
        <v>6270</v>
      </c>
      <c r="I18" s="113">
        <f>'1'!I18</f>
        <v>65</v>
      </c>
      <c r="J18" s="175">
        <f>H18/DAY(B2)</f>
        <v>232.22222222222223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'26'!F19</f>
        <v>158251</v>
      </c>
      <c r="F19" s="122">
        <v>158301</v>
      </c>
      <c r="G19" s="112">
        <f t="shared" ref="G19" si="1">F19-E19</f>
        <v>50</v>
      </c>
      <c r="H19" s="99">
        <f>G19+'26'!H19</f>
        <v>-153</v>
      </c>
      <c r="I19" s="335"/>
      <c r="J19" s="175">
        <f>H19/DAY(B2)</f>
        <v>-5.666666666666667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280</v>
      </c>
      <c r="H20" s="99">
        <f>G20+'26'!H20</f>
        <v>6117</v>
      </c>
      <c r="I20" s="336">
        <f>I18-J20</f>
        <v>-161.55555555555554</v>
      </c>
      <c r="J20" s="175">
        <f>H20/DAY(B2)</f>
        <v>226.55555555555554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G27+'26'!H27</f>
        <v>6627710.5200000005</v>
      </c>
      <c r="I27" s="138"/>
      <c r="J27" s="175">
        <f>H27/DAY(B2)</f>
        <v>245470.76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G28+'26'!H28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151</v>
      </c>
      <c r="G30" s="137">
        <f>E30*F30</f>
        <v>7550</v>
      </c>
      <c r="H30" s="99">
        <f>G30+'26'!H30</f>
        <v>-24408</v>
      </c>
      <c r="I30" s="140"/>
      <c r="J30" s="175">
        <f>H30/DAY(B2)</f>
        <v>-904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G31+'26'!H31</f>
        <v>501600</v>
      </c>
      <c r="I31" s="140"/>
      <c r="J31" s="175">
        <f>H31/DAY(B2)</f>
        <v>18577.777777777777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G32+'26'!H32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194028.89</v>
      </c>
      <c r="F35" s="145">
        <v>196098</v>
      </c>
      <c r="G35" s="112">
        <f t="shared" ref="G35:G46" si="3">F35-E35</f>
        <v>2069.109999999986</v>
      </c>
      <c r="H35" s="99">
        <f>G35+'26'!H35</f>
        <v>-6787</v>
      </c>
      <c r="I35" s="95"/>
      <c r="J35" s="175">
        <f>H35/DAY(B2)</f>
        <v>-251.37037037037038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127293.85</v>
      </c>
      <c r="F36" s="145">
        <v>128352</v>
      </c>
      <c r="G36" s="112">
        <f t="shared" si="3"/>
        <v>1058.1499999999942</v>
      </c>
      <c r="H36" s="99">
        <f>G36+'26'!H36</f>
        <v>-3227</v>
      </c>
      <c r="I36" s="95"/>
      <c r="J36" s="175">
        <f>H36/DAY(B2)</f>
        <v>-119.51851851851852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176113.63</v>
      </c>
      <c r="F37" s="145">
        <v>177865</v>
      </c>
      <c r="G37" s="112">
        <f t="shared" si="3"/>
        <v>1751.3699999999953</v>
      </c>
      <c r="H37" s="99">
        <f>G37+'26'!H37</f>
        <v>-5260</v>
      </c>
      <c r="I37" s="95"/>
      <c r="J37" s="175">
        <f>H37/DAY(B2)</f>
        <v>-194.81481481481481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233719.05</v>
      </c>
      <c r="F38" s="108">
        <v>236179</v>
      </c>
      <c r="G38" s="112">
        <f t="shared" si="3"/>
        <v>2459.9500000000116</v>
      </c>
      <c r="H38" s="99">
        <f>G38+'26'!H38</f>
        <v>-7273</v>
      </c>
      <c r="I38" s="95"/>
      <c r="J38" s="175">
        <f>H38/DAY(B2)</f>
        <v>-269.37037037037038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328480.33</v>
      </c>
      <c r="F39" s="145">
        <v>331340</v>
      </c>
      <c r="G39" s="112">
        <f t="shared" si="3"/>
        <v>2859.6699999999837</v>
      </c>
      <c r="H39" s="99">
        <f>G39+'26'!H39</f>
        <v>-8648</v>
      </c>
      <c r="I39" s="95"/>
      <c r="J39" s="175">
        <f>H39/DAY(B2)</f>
        <v>-320.2962962962963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61882.5</v>
      </c>
      <c r="F40" s="145">
        <v>62655</v>
      </c>
      <c r="G40" s="112">
        <f t="shared" si="3"/>
        <v>772.5</v>
      </c>
      <c r="H40" s="99">
        <f>G40+'26'!H40</f>
        <v>-2222</v>
      </c>
      <c r="I40" s="95"/>
      <c r="J40" s="175">
        <f>H40/DAY(B2)</f>
        <v>-82.296296296296291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11897.9</v>
      </c>
      <c r="F41" s="145">
        <v>15324</v>
      </c>
      <c r="G41" s="112">
        <f t="shared" si="3"/>
        <v>3426.1000000000004</v>
      </c>
      <c r="H41" s="99">
        <f>G41+'26'!H41</f>
        <v>-12369.000000000005</v>
      </c>
      <c r="I41" s="95"/>
      <c r="J41" s="175">
        <f>H41/DAY(B2)</f>
        <v>-458.11111111111131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405100.47</v>
      </c>
      <c r="F42" s="145">
        <v>410808</v>
      </c>
      <c r="G42" s="112">
        <f t="shared" si="3"/>
        <v>5707.5300000000279</v>
      </c>
      <c r="H42" s="99">
        <f>G42+'26'!H42</f>
        <v>-14993</v>
      </c>
      <c r="I42" s="95"/>
      <c r="J42" s="175">
        <f>H42/DAY(B2)</f>
        <v>-555.2962962962963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344069.43</v>
      </c>
      <c r="F43" s="145">
        <v>347365</v>
      </c>
      <c r="G43" s="112">
        <f t="shared" si="3"/>
        <v>3295.570000000007</v>
      </c>
      <c r="H43" s="99">
        <f>G43+'26'!H43</f>
        <v>-10154</v>
      </c>
      <c r="I43" s="95"/>
      <c r="J43" s="175">
        <f>H43/DAY(B2)</f>
        <v>-376.07407407407408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23399.950000000004</v>
      </c>
      <c r="H47" s="99">
        <f>G47+'26'!H47</f>
        <v>-70932.999999999942</v>
      </c>
      <c r="I47" s="95"/>
      <c r="J47" s="175">
        <f>H47/DAY(B2)</f>
        <v>-2627.148148148146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157897.81</v>
      </c>
      <c r="F49" s="145">
        <v>159662</v>
      </c>
      <c r="G49" s="112">
        <f t="shared" ref="G49:G58" si="4">F49-E49</f>
        <v>1764.1900000000023</v>
      </c>
      <c r="H49" s="99">
        <f>G49+'26'!H49</f>
        <v>-5508</v>
      </c>
      <c r="I49" s="95"/>
      <c r="J49" s="175">
        <f>H49/DAY(B2)</f>
        <v>-204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166694.20000000001</v>
      </c>
      <c r="F50" s="145">
        <v>167800</v>
      </c>
      <c r="G50" s="112">
        <f t="shared" si="4"/>
        <v>1105.7999999999884</v>
      </c>
      <c r="H50" s="99">
        <f>G50+'26'!H50</f>
        <v>-4807</v>
      </c>
      <c r="I50" s="95"/>
      <c r="J50" s="175">
        <f>H50/DAY(B2)</f>
        <v>-178.03703703703704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76</v>
      </c>
      <c r="F51" s="145">
        <v>76</v>
      </c>
      <c r="G51" s="112">
        <f t="shared" si="4"/>
        <v>0</v>
      </c>
      <c r="H51" s="99">
        <f>G51+'26'!H51</f>
        <v>0.31999999999999318</v>
      </c>
      <c r="I51" s="95"/>
      <c r="J51" s="175">
        <f>H51/DAY(B2)</f>
        <v>1.18518518518516E-2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48179.7</v>
      </c>
      <c r="F54" s="145">
        <v>48654</v>
      </c>
      <c r="G54" s="112">
        <f t="shared" si="4"/>
        <v>474.30000000000291</v>
      </c>
      <c r="H54" s="99">
        <f>G54+'26'!H54</f>
        <v>-1429</v>
      </c>
      <c r="I54" s="95"/>
      <c r="J54" s="175">
        <f>H54/DAY(B2)</f>
        <v>-52.925925925925924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142509.01</v>
      </c>
      <c r="F55" s="145">
        <v>142509</v>
      </c>
      <c r="G55" s="112">
        <f t="shared" si="4"/>
        <v>-1.0000000009313226E-2</v>
      </c>
      <c r="H55" s="99">
        <f>G55+'26'!H55</f>
        <v>-2458</v>
      </c>
      <c r="I55" s="95"/>
      <c r="J55" s="175">
        <f>H55/DAY(B2)</f>
        <v>-91.037037037037038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107245.66</v>
      </c>
      <c r="F56" s="145">
        <v>107246</v>
      </c>
      <c r="G56" s="112">
        <f t="shared" si="4"/>
        <v>0.33999999999650754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24591.360000000001</v>
      </c>
      <c r="F58" s="145">
        <v>24807</v>
      </c>
      <c r="G58" s="112">
        <f t="shared" si="4"/>
        <v>215.63999999999942</v>
      </c>
      <c r="H58" s="99">
        <f>G58+'26'!H58</f>
        <v>-686</v>
      </c>
      <c r="I58" s="95"/>
      <c r="J58" s="175">
        <f>H58/DAY(B2)</f>
        <v>-25.407407407407408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3560.2599999999802</v>
      </c>
      <c r="H59" s="99">
        <f>G59+'26'!H59</f>
        <v>-14887.679999999997</v>
      </c>
      <c r="I59" s="95">
        <f>G7-G60</f>
        <v>39.790000000015425</v>
      </c>
      <c r="J59" s="175">
        <f>H59/DAY(B2)</f>
        <v>-551.39555555555546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26960.209999999985</v>
      </c>
      <c r="H60" s="99">
        <f>G60+'26'!H60</f>
        <v>-85820.679999999935</v>
      </c>
      <c r="I60" s="95">
        <f>G13-G60</f>
        <v>-2460.2099999999846</v>
      </c>
      <c r="J60" s="175">
        <f>H60/DAY(B2)</f>
        <v>-3178.5437037037013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'26'!F62</f>
        <v>283340</v>
      </c>
      <c r="F62" s="122">
        <v>283502</v>
      </c>
      <c r="G62" s="112">
        <f t="shared" ref="G62:G63" si="5">F62-E62</f>
        <v>162</v>
      </c>
      <c r="H62" s="99">
        <f>G62+'26'!H62</f>
        <v>-507</v>
      </c>
      <c r="I62" s="118"/>
      <c r="J62" s="175">
        <f>H62/DAY(B2)</f>
        <v>-18.777777777777779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'26'!F63</f>
        <v>226951</v>
      </c>
      <c r="F63" s="122">
        <v>227097</v>
      </c>
      <c r="G63" s="112">
        <f t="shared" si="5"/>
        <v>146</v>
      </c>
      <c r="H63" s="99">
        <f>G63+'26'!H63</f>
        <v>-382</v>
      </c>
      <c r="I63" s="118"/>
      <c r="J63" s="175">
        <f>H63/DAY(B2)</f>
        <v>-14.148148148148149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'26'!F64</f>
        <v>0</v>
      </c>
      <c r="F64" s="122"/>
      <c r="G64" s="112">
        <f>G62+G63</f>
        <v>308</v>
      </c>
      <c r="H64" s="99">
        <f>G64+'26'!H64</f>
        <v>-889</v>
      </c>
      <c r="I64" s="118"/>
      <c r="J64" s="175">
        <f>H64/DAY(B2)</f>
        <v>-32.925925925925924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'26'!F65</f>
        <v>444131</v>
      </c>
      <c r="F65" s="122">
        <v>444247</v>
      </c>
      <c r="G65" s="112">
        <f t="shared" ref="G65:G70" si="6">F65-E65</f>
        <v>116</v>
      </c>
      <c r="H65" s="99">
        <f>G65+'26'!H65</f>
        <v>-345</v>
      </c>
      <c r="I65" s="118"/>
      <c r="J65" s="175">
        <f>H65/DAY(B2)</f>
        <v>-12.777777777777779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109508</v>
      </c>
      <c r="F66" s="122">
        <v>109520</v>
      </c>
      <c r="G66" s="112">
        <f t="shared" si="6"/>
        <v>12</v>
      </c>
      <c r="H66" s="99">
        <f>G66+'26'!H66</f>
        <v>-61</v>
      </c>
      <c r="I66" s="118"/>
      <c r="J66" s="175">
        <f>H66/DAY(B2)</f>
        <v>-2.2592592592592591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110590</v>
      </c>
      <c r="F67" s="122">
        <v>110668</v>
      </c>
      <c r="G67" s="112">
        <f t="shared" si="6"/>
        <v>78</v>
      </c>
      <c r="H67" s="99">
        <f>G67+'26'!H67</f>
        <v>-232</v>
      </c>
      <c r="I67" s="118"/>
      <c r="J67" s="175">
        <f>H67/DAY(B2)</f>
        <v>-8.5925925925925934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161646</v>
      </c>
      <c r="F68" s="122">
        <v>161701</v>
      </c>
      <c r="G68" s="112">
        <f t="shared" si="6"/>
        <v>55</v>
      </c>
      <c r="H68" s="99">
        <f>G68+'26'!H68</f>
        <v>-87</v>
      </c>
      <c r="I68" s="118"/>
      <c r="J68" s="175">
        <f>H68/DAY(B2)</f>
        <v>-3.2222222222222223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11553</v>
      </c>
      <c r="F69" s="122">
        <v>11569</v>
      </c>
      <c r="G69" s="112">
        <f t="shared" si="6"/>
        <v>16</v>
      </c>
      <c r="H69" s="99">
        <f>G69+'26'!H69</f>
        <v>-29</v>
      </c>
      <c r="I69" s="118"/>
      <c r="J69" s="175">
        <f>H69/DAY(B2)</f>
        <v>-1.0740740740740742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8969</v>
      </c>
      <c r="F70" s="122">
        <v>8978</v>
      </c>
      <c r="G70" s="112">
        <f t="shared" si="6"/>
        <v>9</v>
      </c>
      <c r="H70" s="99">
        <f>G70+'26'!H70</f>
        <v>-23</v>
      </c>
      <c r="I70" s="118"/>
      <c r="J70" s="175">
        <f>H70/DAY(B2)</f>
        <v>-0.85185185185185186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286</v>
      </c>
      <c r="H71" s="99">
        <f>G71+'26'!H71</f>
        <v>-777</v>
      </c>
      <c r="I71" s="154"/>
      <c r="J71" s="175">
        <f>H71/DAY(B2)</f>
        <v>-28.777777777777779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'26'!F74</f>
        <v>927483</v>
      </c>
      <c r="F74" s="117">
        <v>927800</v>
      </c>
      <c r="G74" s="112">
        <f t="shared" ref="G74:G78" si="7">F74-E74</f>
        <v>317</v>
      </c>
      <c r="H74" s="99">
        <f>G74+'26'!H74</f>
        <v>-977</v>
      </c>
      <c r="I74" s="154"/>
      <c r="J74" s="175">
        <f>H74/DAY(B2)</f>
        <v>-36.185185185185183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'26'!F76</f>
        <v>179659</v>
      </c>
      <c r="F76" s="123">
        <v>179780</v>
      </c>
      <c r="G76" s="112">
        <f t="shared" si="7"/>
        <v>121</v>
      </c>
      <c r="H76" s="99">
        <f>G76+'26'!H76</f>
        <v>-374</v>
      </c>
      <c r="I76" s="154"/>
      <c r="J76" s="175">
        <f>H76/DAY(B2)</f>
        <v>-13.851851851851851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'26'!F77</f>
        <v>45466</v>
      </c>
      <c r="F77" s="123">
        <v>45512</v>
      </c>
      <c r="G77" s="112">
        <f t="shared" si="7"/>
        <v>46</v>
      </c>
      <c r="H77" s="99">
        <f>G77+'26'!H77</f>
        <v>-162</v>
      </c>
      <c r="I77" s="154"/>
      <c r="J77" s="175">
        <f>H77/DAY(B2)</f>
        <v>-6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'26'!F78</f>
        <v>9563.4</v>
      </c>
      <c r="F78" s="123">
        <v>9563</v>
      </c>
      <c r="G78" s="112">
        <f t="shared" si="7"/>
        <v>-0.3999999999996362</v>
      </c>
      <c r="H78" s="99">
        <f>G78+'26'!H78</f>
        <v>-0.3999999999996362</v>
      </c>
      <c r="I78" s="118"/>
      <c r="J78" s="175">
        <f>H78/DAY(B2)</f>
        <v>-1.481481481480134E-2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'26'!F79</f>
        <v>0</v>
      </c>
      <c r="F79" s="123"/>
      <c r="G79" s="112" t="e">
        <f>G15-SUM(G74:G78)</f>
        <v>#VALUE!</v>
      </c>
      <c r="H79" s="99" t="e">
        <f>G79+'26'!H79</f>
        <v>#VALUE!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41729.300000000003</v>
      </c>
      <c r="F84" s="164">
        <v>41744</v>
      </c>
      <c r="G84" s="112">
        <f t="shared" si="8"/>
        <v>14.69999999999709</v>
      </c>
      <c r="H84" s="99">
        <f>G84+'26'!H84</f>
        <v>-48</v>
      </c>
      <c r="I84" s="575"/>
      <c r="J84" s="175">
        <f>H84/DAY(B2)</f>
        <v>-1.7777777777777777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3693.4</v>
      </c>
      <c r="F85" s="164">
        <v>3717</v>
      </c>
      <c r="G85" s="112">
        <f t="shared" si="8"/>
        <v>23.599999999999909</v>
      </c>
      <c r="H85" s="99">
        <f>G85+'26'!H85</f>
        <v>-60</v>
      </c>
      <c r="I85" s="575"/>
      <c r="J85" s="175">
        <f>H85/DAY(B2)</f>
        <v>-2.2222222222222223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43924.480000000003</v>
      </c>
      <c r="F86" s="164">
        <v>43924.480000000003</v>
      </c>
      <c r="G86" s="112">
        <f t="shared" si="8"/>
        <v>0</v>
      </c>
      <c r="H86" s="99">
        <f>G86+'26'!H86</f>
        <v>-14.519999999996799</v>
      </c>
      <c r="I86" s="575"/>
      <c r="J86" s="175">
        <f>H86/DAY(B2)</f>
        <v>-0.53777777777765923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35329</v>
      </c>
      <c r="F87" s="164">
        <v>35329</v>
      </c>
      <c r="G87" s="112">
        <f t="shared" si="8"/>
        <v>0</v>
      </c>
      <c r="H87" s="99">
        <f>G87+'26'!H87</f>
        <v>0</v>
      </c>
      <c r="I87" s="575">
        <f>G84+G85+G86+G87</f>
        <v>38.299999999996999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24187.01</v>
      </c>
      <c r="F88" s="164">
        <v>24187</v>
      </c>
      <c r="G88" s="112">
        <f t="shared" si="8"/>
        <v>-9.9999999983992893E-3</v>
      </c>
      <c r="H88" s="99">
        <f>G88+'26'!H88</f>
        <v>-1.1199999999989814</v>
      </c>
      <c r="I88" s="575"/>
      <c r="J88" s="175">
        <f>H88/DAY(B2)</f>
        <v>-4.1481481481443754E-2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26671.599999999999</v>
      </c>
      <c r="F89" s="164">
        <v>26680.59</v>
      </c>
      <c r="G89" s="112">
        <f t="shared" si="8"/>
        <v>8.9900000000016007</v>
      </c>
      <c r="H89" s="99">
        <f>G89+'26'!H89</f>
        <v>-28.630000000001019</v>
      </c>
      <c r="I89" s="575">
        <f>G88+G89</f>
        <v>8.9800000000032014</v>
      </c>
      <c r="J89" s="175">
        <f>H89/DAY(B2)</f>
        <v>-1.0603703703704082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71825.86</v>
      </c>
      <c r="F90" s="164">
        <v>71835.39</v>
      </c>
      <c r="G90" s="112">
        <f t="shared" si="8"/>
        <v>9.5299999999988358</v>
      </c>
      <c r="H90" s="99">
        <v>23</v>
      </c>
      <c r="I90" s="575">
        <f>G90</f>
        <v>9.5299999999988358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4011.55</v>
      </c>
      <c r="F91" s="122">
        <v>4023.5</v>
      </c>
      <c r="G91" s="112">
        <f t="shared" si="8"/>
        <v>11.949999999999818</v>
      </c>
      <c r="H91" s="99">
        <f>G91+'26'!H91</f>
        <v>-35.739999999999782</v>
      </c>
      <c r="I91" s="594"/>
      <c r="J91" s="175">
        <f>H91/DAY(B2)</f>
        <v>-1.3237037037036956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5934.87</v>
      </c>
      <c r="F92" s="122">
        <v>5934.87</v>
      </c>
      <c r="G92" s="112">
        <f t="shared" si="8"/>
        <v>0</v>
      </c>
      <c r="H92" s="99">
        <f>G92+'26'!H92</f>
        <v>-0.13000000000010914</v>
      </c>
      <c r="I92" s="600">
        <f>G91+G92</f>
        <v>11.949999999999818</v>
      </c>
      <c r="J92" s="175">
        <f>H92/DAY(B2)</f>
        <v>-4.8148148148188571E-3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7128.8699999999953</v>
      </c>
      <c r="H94" s="99">
        <f>G94+'26'!H94</f>
        <v>-22449</v>
      </c>
      <c r="I94" s="118"/>
      <c r="J94" s="175">
        <f>H94/DAY(B2)</f>
        <v>-831.44444444444446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0.26403222222222206</v>
      </c>
      <c r="H95" s="99">
        <f>G95+'26'!H95</f>
        <v>-0.85383929684028437</v>
      </c>
      <c r="I95" s="167"/>
      <c r="J95" s="175">
        <f>H95/DAY(B2)</f>
        <v>-3.1623677660751276E-2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9133.9600000000155</v>
      </c>
      <c r="H96" s="99">
        <f>G96+'26'!H96</f>
        <v>-29820.000000000022</v>
      </c>
      <c r="I96" s="118"/>
      <c r="J96" s="175">
        <f>H96/DAY(B2)</f>
        <v>-1104.4444444444453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0.33829481481481538</v>
      </c>
      <c r="H97" s="99">
        <f>G97+'26'!H97</f>
        <v>-1.1353505214703712</v>
      </c>
      <c r="I97" s="167"/>
      <c r="J97" s="175">
        <f>H97/DAY(B2)</f>
        <v>-4.2050019313717449E-2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2859.6699999999837</v>
      </c>
      <c r="H98" s="99">
        <f>G98+'26'!H98</f>
        <v>-8648</v>
      </c>
      <c r="I98" s="168"/>
      <c r="J98" s="175">
        <f>H98/DAY(B2)</f>
        <v>-320.2962962962963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0.10591370370370309</v>
      </c>
      <c r="H99" s="99">
        <f>G99+'26'!H99</f>
        <v>-0.32774725402054128</v>
      </c>
      <c r="I99" s="168"/>
      <c r="J99" s="175">
        <f>H99/DAY(B2)</f>
        <v>-1.2138787185945974E-2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2459.9500000000116</v>
      </c>
      <c r="H100" s="99">
        <f>G100+'26'!H100</f>
        <v>-7272.9999999999982</v>
      </c>
      <c r="I100" s="118"/>
      <c r="J100" s="175">
        <f>H100/DAY(B2)</f>
        <v>-269.37037037037032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9.1109259259259695E-2</v>
      </c>
      <c r="H101" s="99">
        <f>G101+'26'!H101</f>
        <v>-0.27528926911439977</v>
      </c>
      <c r="I101" s="168"/>
      <c r="J101" s="175">
        <f>H101/DAY(B2)</f>
        <v>-1.019589885608888E-2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2163.9499999999825</v>
      </c>
      <c r="H102" s="99">
        <f>G102+'26'!H102</f>
        <v>-8034</v>
      </c>
      <c r="I102" s="168"/>
      <c r="J102" s="175">
        <f>H102/DAY(B2)</f>
        <v>-297.55555555555554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8.0146296296295647E-2</v>
      </c>
      <c r="H103" s="99">
        <f>G103+'26'!H103</f>
        <v>-0.30895199874722973</v>
      </c>
      <c r="I103" s="118"/>
      <c r="J103" s="175">
        <f>H103/DAY(B2)</f>
        <v>-1.1442666620267768E-2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1751.3699999999953</v>
      </c>
      <c r="H104" s="99">
        <f>G104+'26'!H104</f>
        <v>-5259.68</v>
      </c>
      <c r="I104" s="118"/>
      <c r="J104" s="175">
        <f>H104/DAY(B2)</f>
        <v>-194.80296296296297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6.4865555555555385E-2</v>
      </c>
      <c r="H105" s="99">
        <f>G105+'26'!H105</f>
        <v>-0.19949250771401122</v>
      </c>
      <c r="I105" s="187"/>
      <c r="J105" s="188">
        <f>H105/DAY(B2)</f>
        <v>-7.3886113968152306E-3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f>'26'!F112</f>
        <v>259</v>
      </c>
      <c r="F112" s="237">
        <v>344</v>
      </c>
      <c r="G112" s="112">
        <f t="shared" ref="G112:G123" si="9">F112-E112</f>
        <v>85</v>
      </c>
      <c r="H112" s="99">
        <f>G112+'26'!H112</f>
        <v>64021</v>
      </c>
      <c r="I112" s="165"/>
      <c r="J112" s="328">
        <f>H112/DAY(B2)</f>
        <v>2371.1481481481483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f>'26'!F113</f>
        <v>628.14</v>
      </c>
      <c r="F113" s="237">
        <v>1012</v>
      </c>
      <c r="G113" s="112">
        <f t="shared" si="9"/>
        <v>383.86</v>
      </c>
      <c r="H113" s="99">
        <f>G113+'26'!H113</f>
        <v>85707.39</v>
      </c>
      <c r="I113" s="165"/>
      <c r="J113" s="328">
        <f>H113/DAY(B2)</f>
        <v>3174.3477777777775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f>'26'!F114</f>
        <v>451</v>
      </c>
      <c r="F114" s="237">
        <v>730</v>
      </c>
      <c r="G114" s="112">
        <f t="shared" si="9"/>
        <v>279</v>
      </c>
      <c r="H114" s="99">
        <f>G114+'26'!H114</f>
        <v>56429.11</v>
      </c>
      <c r="I114" s="165"/>
      <c r="J114" s="328">
        <f>H114/DAY(B2)</f>
        <v>2089.9670370370372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f>'26'!F115</f>
        <v>71.33</v>
      </c>
      <c r="F115" s="237">
        <v>101</v>
      </c>
      <c r="G115" s="112">
        <f t="shared" si="9"/>
        <v>29.67</v>
      </c>
      <c r="H115" s="99">
        <f>G115+'26'!H115</f>
        <v>9895.75</v>
      </c>
      <c r="I115" s="165"/>
      <c r="J115" s="328">
        <f>H115/DAY(B2)</f>
        <v>366.50925925925924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'26'!F116</f>
        <v>33478.85</v>
      </c>
      <c r="F116" s="237">
        <v>33807</v>
      </c>
      <c r="G116" s="112">
        <f t="shared" si="9"/>
        <v>328.15000000000146</v>
      </c>
      <c r="H116" s="99">
        <f>G116+'26'!H116</f>
        <v>-859</v>
      </c>
      <c r="I116" s="165"/>
      <c r="J116" s="328">
        <f>H116/DAY(B2)</f>
        <v>-31.814814814814813</v>
      </c>
      <c r="Q116" s="886" t="s">
        <v>311</v>
      </c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'26'!F117</f>
        <v>18269</v>
      </c>
      <c r="F117" s="237">
        <v>18434</v>
      </c>
      <c r="G117" s="112">
        <f t="shared" si="9"/>
        <v>165</v>
      </c>
      <c r="H117" s="99">
        <f>G117+'26'!H117</f>
        <v>-502</v>
      </c>
      <c r="I117" s="165"/>
      <c r="J117" s="328">
        <f>H117/DAY(B2)</f>
        <v>-18.592592592592592</v>
      </c>
      <c r="Q117" s="886" t="s">
        <v>312</v>
      </c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'26'!F118</f>
        <v>6835.12</v>
      </c>
      <c r="F118" s="237">
        <v>7363</v>
      </c>
      <c r="G118" s="112">
        <f t="shared" si="9"/>
        <v>527.88000000000011</v>
      </c>
      <c r="H118" s="99">
        <f>G118+'26'!H118</f>
        <v>-1700.0000000000009</v>
      </c>
      <c r="I118" s="165"/>
      <c r="J118" s="328">
        <f>H118/DAY(B2)</f>
        <v>-62.962962962962997</v>
      </c>
      <c r="Q118" s="886" t="s">
        <v>311</v>
      </c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'26'!F119</f>
        <v>4133.26</v>
      </c>
      <c r="F119" s="237">
        <v>4577</v>
      </c>
      <c r="G119" s="112">
        <f t="shared" si="9"/>
        <v>443.73999999999978</v>
      </c>
      <c r="H119" s="99">
        <f>G119+'26'!H119</f>
        <v>289092</v>
      </c>
      <c r="I119" s="165"/>
      <c r="J119" s="328">
        <f>H119/DAY(B2)</f>
        <v>10707.111111111111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'26'!F120</f>
        <v>5392</v>
      </c>
      <c r="F120" s="237">
        <v>5819</v>
      </c>
      <c r="G120" s="112">
        <f t="shared" si="9"/>
        <v>427</v>
      </c>
      <c r="H120" s="99">
        <f>G120+'26'!H120</f>
        <v>-1316</v>
      </c>
      <c r="I120" s="165"/>
      <c r="J120" s="328">
        <f>H120/DAY(B2)</f>
        <v>-48.74074074074074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'26'!F121</f>
        <v>9961.7999999999993</v>
      </c>
      <c r="F121" s="237">
        <v>10397</v>
      </c>
      <c r="G121" s="112">
        <f t="shared" si="9"/>
        <v>435.20000000000073</v>
      </c>
      <c r="H121" s="99">
        <f>G121+'26'!H121</f>
        <v>-1330</v>
      </c>
      <c r="I121" s="165"/>
      <c r="J121" s="328">
        <f>H121/DAY(B2)</f>
        <v>-49.25925925925926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'26'!F122</f>
        <v>2739.1</v>
      </c>
      <c r="F122" s="237">
        <v>2979</v>
      </c>
      <c r="G122" s="112">
        <f t="shared" si="9"/>
        <v>239.90000000000009</v>
      </c>
      <c r="H122" s="99">
        <f>G122+'26'!H122</f>
        <v>-585</v>
      </c>
      <c r="I122" s="165"/>
      <c r="J122" s="328">
        <f>H122/DAY(B2)</f>
        <v>-21.666666666666668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f>'26'!F123</f>
        <v>309.70999999999998</v>
      </c>
      <c r="F123" s="237">
        <v>512</v>
      </c>
      <c r="G123" s="112">
        <f t="shared" si="9"/>
        <v>202.29000000000002</v>
      </c>
      <c r="H123" s="99">
        <f>G123+'26'!H123</f>
        <v>174588.53</v>
      </c>
      <c r="I123" s="165"/>
      <c r="J123" s="328">
        <f>H123/DAY(B2)</f>
        <v>6466.2418518518516</v>
      </c>
    </row>
    <row r="124" spans="1:18" ht="29.25" customHeight="1">
      <c r="A124" s="890"/>
      <c r="B124" s="891"/>
      <c r="C124" s="892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3546.6900000000019</v>
      </c>
      <c r="H125" s="156"/>
      <c r="I125" s="327">
        <f>G125-(G39+G53)</f>
        <v>687.02000000001817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'26'!F128</f>
        <v>79809.899999999994</v>
      </c>
      <c r="F128" s="155">
        <v>80190</v>
      </c>
      <c r="G128" s="112">
        <f t="shared" ref="G128:G134" si="10">F128-E128</f>
        <v>380.10000000000582</v>
      </c>
      <c r="H128" s="99">
        <f>G128+'26'!H128</f>
        <v>-1225</v>
      </c>
      <c r="I128" s="165"/>
      <c r="J128" s="328">
        <f>H128/DAY(B2)</f>
        <v>-45.370370370370374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49839.12</v>
      </c>
      <c r="F129" s="155">
        <v>50130</v>
      </c>
      <c r="G129" s="112">
        <f t="shared" si="10"/>
        <v>290.87999999999738</v>
      </c>
      <c r="H129" s="99">
        <f>G129+'26'!H129</f>
        <v>-942</v>
      </c>
      <c r="I129" s="165"/>
      <c r="J129" s="328">
        <f>H129/DAY(B2)</f>
        <v>-34.888888888888886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93849.9</v>
      </c>
      <c r="F130" s="155">
        <v>94551</v>
      </c>
      <c r="G130" s="112">
        <f t="shared" si="10"/>
        <v>701.10000000000582</v>
      </c>
      <c r="H130" s="99">
        <f>G130+'26'!H130</f>
        <v>-2095</v>
      </c>
      <c r="I130" s="165"/>
      <c r="J130" s="328">
        <f>H130/DAY(B2)</f>
        <v>-77.592592592592595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'26'!F131</f>
        <v>29611.97</v>
      </c>
      <c r="F131" s="155">
        <v>29825</v>
      </c>
      <c r="G131" s="112">
        <f t="shared" si="10"/>
        <v>213.02999999999884</v>
      </c>
      <c r="H131" s="99">
        <f>G131+'26'!H131</f>
        <v>-610</v>
      </c>
      <c r="I131" s="165"/>
      <c r="J131" s="328">
        <f>H131/DAY(B2)</f>
        <v>-22.592592592592592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'26'!F132</f>
        <v>87059.12</v>
      </c>
      <c r="F132" s="155">
        <v>87499</v>
      </c>
      <c r="G132" s="112">
        <f t="shared" si="10"/>
        <v>439.88000000000466</v>
      </c>
      <c r="H132" s="99">
        <f>G132+'26'!H132</f>
        <v>-1438</v>
      </c>
      <c r="I132" s="165"/>
      <c r="J132" s="328">
        <f>H132/DAY(B2)</f>
        <v>-53.25925925925926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'26'!F133</f>
        <v>169026.75</v>
      </c>
      <c r="F133" s="155">
        <v>169889</v>
      </c>
      <c r="G133" s="112">
        <f t="shared" si="10"/>
        <v>862.25</v>
      </c>
      <c r="H133" s="99">
        <f>G133+'26'!H133</f>
        <v>-2557</v>
      </c>
      <c r="I133" s="165"/>
      <c r="J133" s="328">
        <f>H133/DAY(B2)</f>
        <v>-94.703703703703709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'26'!F134</f>
        <v>27029.96</v>
      </c>
      <c r="F134" s="155">
        <v>27262</v>
      </c>
      <c r="G134" s="112">
        <f t="shared" si="10"/>
        <v>232.04000000000087</v>
      </c>
      <c r="H134" s="99">
        <f>G134+'26'!H134</f>
        <v>-831</v>
      </c>
      <c r="I134" s="165"/>
      <c r="J134" s="328">
        <f>H134/DAY(B2)</f>
        <v>-30.777777777777779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3119.2800000000134</v>
      </c>
      <c r="H135" s="99">
        <f>G135+'23'!H135</f>
        <v>39346.070000000022</v>
      </c>
      <c r="I135" s="327">
        <f>G135-(G35+G49)</f>
        <v>-714.01999999997497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'26'!F138</f>
        <v>878166</v>
      </c>
      <c r="F138" s="147">
        <v>878335</v>
      </c>
      <c r="G138" s="112">
        <f t="shared" ref="G138:G152" si="11">F138-E138</f>
        <v>169</v>
      </c>
      <c r="H138" s="99">
        <f>G138+'26'!H138</f>
        <v>-449</v>
      </c>
      <c r="I138" s="118"/>
      <c r="J138" s="328">
        <f>H138/DAY(B2)</f>
        <v>-16.62962962962963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'26'!F139</f>
        <v>894258</v>
      </c>
      <c r="F139" s="148">
        <v>894414</v>
      </c>
      <c r="G139" s="112">
        <f t="shared" si="11"/>
        <v>156</v>
      </c>
      <c r="H139" s="99">
        <f>G139+'26'!H139</f>
        <v>-452</v>
      </c>
      <c r="I139" s="118"/>
      <c r="J139" s="328">
        <f>H139/DAY(B2)</f>
        <v>-16.74074074074074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'26'!F140</f>
        <v>89032</v>
      </c>
      <c r="F140" s="149">
        <v>89032</v>
      </c>
      <c r="G140" s="112">
        <f t="shared" si="11"/>
        <v>0</v>
      </c>
      <c r="H140" s="99">
        <f>G140+'26'!H140</f>
        <v>88897</v>
      </c>
      <c r="I140" s="118"/>
      <c r="J140" s="328">
        <f>H140/DAY(B2)</f>
        <v>3292.4814814814813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'26'!F141</f>
        <v>70948.2</v>
      </c>
      <c r="F141" s="149">
        <v>71138</v>
      </c>
      <c r="G141" s="112">
        <f t="shared" si="11"/>
        <v>189.80000000000291</v>
      </c>
      <c r="H141" s="99">
        <f>G141+'26'!H141</f>
        <v>-636</v>
      </c>
      <c r="I141" s="118"/>
      <c r="J141" s="328">
        <f>H141/DAY(B2)</f>
        <v>-23.555555555555557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'26'!F142</f>
        <v>27184.799999999999</v>
      </c>
      <c r="F142" s="148">
        <v>27253</v>
      </c>
      <c r="G142" s="112">
        <f t="shared" si="11"/>
        <v>68.200000000000728</v>
      </c>
      <c r="H142" s="99">
        <f>G142+'26'!H142</f>
        <v>-213</v>
      </c>
      <c r="I142" s="140"/>
      <c r="J142" s="328">
        <f>H142/DAY(B2)</f>
        <v>-7.8888888888888893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'26'!F143</f>
        <v>6297.96</v>
      </c>
      <c r="F143" s="149">
        <v>6325</v>
      </c>
      <c r="G143" s="112">
        <f t="shared" si="11"/>
        <v>27.039999999999964</v>
      </c>
      <c r="H143" s="99">
        <f>G143+'26'!H143</f>
        <v>-92</v>
      </c>
      <c r="I143" s="140"/>
      <c r="J143" s="328">
        <f>H143/DAY(B2)</f>
        <v>-3.4074074074074074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'26'!F144</f>
        <v>896230</v>
      </c>
      <c r="F144" s="149">
        <v>896489</v>
      </c>
      <c r="G144" s="112">
        <f t="shared" si="11"/>
        <v>259</v>
      </c>
      <c r="H144" s="99">
        <f>G144+'26'!H144</f>
        <v>-744</v>
      </c>
      <c r="I144" s="140"/>
      <c r="J144" s="328">
        <f>H144/DAY(B2)</f>
        <v>-27.555555555555557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'26'!F145</f>
        <v>5620.59</v>
      </c>
      <c r="F145" s="149">
        <v>5621</v>
      </c>
      <c r="G145" s="112">
        <f t="shared" si="11"/>
        <v>0.40999999999985448</v>
      </c>
      <c r="H145" s="99">
        <f>G145+'26'!H145</f>
        <v>-7</v>
      </c>
      <c r="I145" s="140"/>
      <c r="J145" s="328">
        <f>H145/DAY(B2)</f>
        <v>-0.25925925925925924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'26'!F146</f>
        <v>776439</v>
      </c>
      <c r="F146" s="148">
        <v>776447</v>
      </c>
      <c r="G146" s="112">
        <f t="shared" si="11"/>
        <v>8</v>
      </c>
      <c r="H146" s="99">
        <f>G146+'26'!H146</f>
        <v>-7</v>
      </c>
      <c r="I146" s="140"/>
      <c r="J146" s="328">
        <f>H146/DAY(B2)</f>
        <v>-0.25925925925925924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'26'!F147</f>
        <v>661592</v>
      </c>
      <c r="F147" s="148">
        <v>662004</v>
      </c>
      <c r="G147" s="112">
        <f t="shared" si="11"/>
        <v>412</v>
      </c>
      <c r="H147" s="99">
        <f>G147+'26'!H147</f>
        <v>-1224</v>
      </c>
      <c r="I147" s="140"/>
      <c r="J147" s="328">
        <f>H147/DAY(B2)</f>
        <v>-45.333333333333336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'26'!F148</f>
        <v>718340</v>
      </c>
      <c r="F148" s="150">
        <v>718720</v>
      </c>
      <c r="G148" s="112">
        <f t="shared" si="11"/>
        <v>380</v>
      </c>
      <c r="H148" s="99">
        <f>G148+'26'!H148</f>
        <v>-1196</v>
      </c>
      <c r="I148" s="124"/>
      <c r="J148" s="328">
        <f>H148/DAY(B2)</f>
        <v>-44.296296296296298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'26'!F149</f>
        <v>80918</v>
      </c>
      <c r="F149" s="146">
        <v>81574</v>
      </c>
      <c r="G149" s="112">
        <f t="shared" si="11"/>
        <v>656</v>
      </c>
      <c r="H149" s="99">
        <f>G149+'26'!H149</f>
        <v>-1814</v>
      </c>
      <c r="I149" s="119"/>
      <c r="J149" s="328">
        <f>H149/DAY(B2)</f>
        <v>-67.18518518518519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'26'!F150</f>
        <v>29739.200000000001</v>
      </c>
      <c r="F150" s="233">
        <v>29948</v>
      </c>
      <c r="G150" s="112">
        <f t="shared" si="11"/>
        <v>208.79999999999927</v>
      </c>
      <c r="H150" s="99">
        <f>G150+'26'!H150</f>
        <v>-639</v>
      </c>
      <c r="I150" s="119"/>
      <c r="J150" s="328">
        <f>H150/DAY(B2)</f>
        <v>-23.666666666666668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'26'!F151</f>
        <v>107999</v>
      </c>
      <c r="F151" s="233">
        <v>108300</v>
      </c>
      <c r="G151" s="112">
        <f t="shared" si="11"/>
        <v>301</v>
      </c>
      <c r="H151" s="99">
        <f>G151+'26'!H151</f>
        <v>-928</v>
      </c>
      <c r="I151" s="119"/>
      <c r="J151" s="328">
        <f>H151/DAY(B2)</f>
        <v>-34.370370370370374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'26'!F152</f>
        <v>10683.27</v>
      </c>
      <c r="F152" s="233">
        <v>10802</v>
      </c>
      <c r="G152" s="112">
        <f t="shared" si="11"/>
        <v>118.72999999999956</v>
      </c>
      <c r="H152" s="99">
        <f>G152+'26'!H152</f>
        <v>-354</v>
      </c>
      <c r="I152" s="119"/>
      <c r="J152" s="328">
        <f>H152/DAY(B2)</f>
        <v>-13.111111111111111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2953.9800000000023</v>
      </c>
      <c r="H153" s="363"/>
      <c r="I153" s="119">
        <f>G153-(G38+G52)</f>
        <v>494.02999999999065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'26'!F155</f>
        <v>90129.87</v>
      </c>
      <c r="F155" s="389">
        <v>90736</v>
      </c>
      <c r="G155" s="112">
        <f t="shared" ref="G155:G158" si="12">F155-E155</f>
        <v>606.13000000000466</v>
      </c>
      <c r="H155" s="99">
        <f>G155+'26'!H155</f>
        <v>-1996</v>
      </c>
      <c r="I155" s="364"/>
      <c r="J155" s="328">
        <f>H155/DAY(B2)</f>
        <v>-73.925925925925924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'26'!F156</f>
        <v>7476.46</v>
      </c>
      <c r="F156" s="155">
        <v>7526</v>
      </c>
      <c r="G156" s="112">
        <f t="shared" si="12"/>
        <v>49.539999999999964</v>
      </c>
      <c r="H156" s="99">
        <f>G156+'26'!H156</f>
        <v>-165</v>
      </c>
      <c r="I156" s="165"/>
      <c r="J156" s="328">
        <f>H156/DAY(B2)</f>
        <v>-6.1111111111111107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'26'!F157</f>
        <v>13073.22</v>
      </c>
      <c r="F157" s="155">
        <v>13175</v>
      </c>
      <c r="G157" s="112">
        <f t="shared" si="12"/>
        <v>101.78000000000065</v>
      </c>
      <c r="H157" s="99">
        <f>G157+'26'!H157</f>
        <v>902</v>
      </c>
      <c r="I157" s="165"/>
      <c r="J157" s="328">
        <f>H157/DAY(B2)</f>
        <v>33.407407407407405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'26'!F158</f>
        <v>100.19</v>
      </c>
      <c r="F158" s="155">
        <v>103</v>
      </c>
      <c r="G158" s="112">
        <f t="shared" si="12"/>
        <v>2.8100000000000023</v>
      </c>
      <c r="H158" s="99">
        <f>G158+'26'!H158</f>
        <v>5.5300000000000011</v>
      </c>
      <c r="I158" s="165"/>
      <c r="J158" s="328">
        <f>H158/DAY(B2)</f>
        <v>0.20481481481481487</v>
      </c>
    </row>
    <row r="159" spans="1:10" ht="25.5">
      <c r="A159" s="950"/>
      <c r="B159" s="951"/>
      <c r="C159" s="952"/>
      <c r="D159" s="117"/>
      <c r="E159" s="95"/>
      <c r="F159" s="15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474687</v>
      </c>
      <c r="F161" s="235">
        <v>474711</v>
      </c>
      <c r="G161" s="238">
        <f t="shared" ref="G161:G165" si="13">F161-E161</f>
        <v>24</v>
      </c>
      <c r="H161" s="99">
        <f>G161+'26'!H161</f>
        <v>-72</v>
      </c>
      <c r="I161" s="236"/>
      <c r="J161" s="239">
        <f>H161/DAY(B2)</f>
        <v>-2.6666666666666665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91383</v>
      </c>
      <c r="F162" s="235">
        <v>91427</v>
      </c>
      <c r="G162" s="238">
        <f t="shared" si="13"/>
        <v>44</v>
      </c>
      <c r="H162" s="99">
        <f>G162+'26'!H162</f>
        <v>-120</v>
      </c>
      <c r="I162" s="236"/>
      <c r="J162" s="239">
        <f>H162/DAY(B2)</f>
        <v>-4.4444444444444446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91339.3</v>
      </c>
      <c r="F163" s="235">
        <v>91504</v>
      </c>
      <c r="G163" s="238">
        <f t="shared" si="13"/>
        <v>164.69999999999709</v>
      </c>
      <c r="H163" s="99">
        <f>G163+'26'!H163</f>
        <v>-532</v>
      </c>
      <c r="I163" s="236"/>
      <c r="J163" s="239">
        <f>H163/DAY(B2)</f>
        <v>-19.703703703703702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5135.2</v>
      </c>
      <c r="F164" s="235">
        <v>5146</v>
      </c>
      <c r="G164" s="238">
        <f t="shared" si="13"/>
        <v>10.800000000000182</v>
      </c>
      <c r="H164" s="99">
        <f>G164+'26'!H164</f>
        <v>-36</v>
      </c>
      <c r="I164" s="236"/>
      <c r="J164" s="239">
        <f>H164/DAY(B2)</f>
        <v>-1.3333333333333333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30585</v>
      </c>
      <c r="F165" s="235">
        <v>30597</v>
      </c>
      <c r="G165" s="238">
        <f t="shared" si="13"/>
        <v>12</v>
      </c>
      <c r="H165" s="99">
        <f>G165+'26'!H165</f>
        <v>-37</v>
      </c>
      <c r="I165" s="236"/>
      <c r="J165" s="239">
        <f>H165/DAY(B2)</f>
        <v>-1.3703703703703705</v>
      </c>
    </row>
    <row r="166" spans="1:10" ht="26.25">
      <c r="A166" s="873"/>
      <c r="B166" s="873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'26'!F173</f>
        <v>8240</v>
      </c>
      <c r="F173" s="155">
        <v>8240</v>
      </c>
      <c r="G173" s="155">
        <f>F173-E173</f>
        <v>0</v>
      </c>
      <c r="H173" s="99">
        <f>G173+'26'!H173</f>
        <v>101</v>
      </c>
      <c r="I173" s="155"/>
      <c r="J173" s="178">
        <f>H173/DAY(B2)</f>
        <v>3.7407407407407409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'26'!F174</f>
        <v>39871</v>
      </c>
      <c r="F174" s="157">
        <v>39884</v>
      </c>
      <c r="G174" s="155">
        <f t="shared" ref="G174:G175" si="14">F174-E174</f>
        <v>13</v>
      </c>
      <c r="H174" s="99">
        <f>G174+'26'!H174</f>
        <v>-44</v>
      </c>
      <c r="I174" s="155"/>
      <c r="J174" s="178">
        <f>H174/DAY(B2)</f>
        <v>-1.6296296296296295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'26'!F175</f>
        <v>22842</v>
      </c>
      <c r="F175" s="155">
        <v>22853</v>
      </c>
      <c r="G175" s="155">
        <f t="shared" si="14"/>
        <v>11</v>
      </c>
      <c r="H175" s="99">
        <f>G175+'26'!H175</f>
        <v>-36</v>
      </c>
      <c r="I175" s="155"/>
      <c r="J175" s="178">
        <f>H175/DAY(B2)</f>
        <v>-1.3333333333333333</v>
      </c>
    </row>
    <row r="176" spans="1:10" ht="25.5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24</v>
      </c>
      <c r="H176" s="99">
        <f>G176+'26'!H176</f>
        <v>21</v>
      </c>
      <c r="I176" s="155"/>
      <c r="J176" s="178">
        <f>H176/DAY(B2)</f>
        <v>0.77777777777777779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'26'!F178</f>
        <v>88220</v>
      </c>
      <c r="F178" s="155">
        <v>88327</v>
      </c>
      <c r="G178" s="155">
        <f>F178-E178</f>
        <v>107</v>
      </c>
      <c r="H178" s="99">
        <f>G178+'26'!H178</f>
        <v>-276</v>
      </c>
      <c r="I178" s="155"/>
      <c r="J178" s="178">
        <f>H178/DAY(B2)</f>
        <v>-10.222222222222221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'26'!F179</f>
        <v>35768</v>
      </c>
      <c r="F179" s="155">
        <v>35772</v>
      </c>
      <c r="G179" s="155">
        <f t="shared" ref="G179:G180" si="15">F179-E179</f>
        <v>4</v>
      </c>
      <c r="H179" s="99">
        <f>G179+'26'!H179</f>
        <v>-1</v>
      </c>
      <c r="I179" s="155"/>
      <c r="J179" s="178">
        <f>H179/DAY(B2)</f>
        <v>-3.7037037037037035E-2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'26'!F180</f>
        <v>6342</v>
      </c>
      <c r="F180" s="155">
        <v>6350</v>
      </c>
      <c r="G180" s="155">
        <f t="shared" si="15"/>
        <v>8</v>
      </c>
      <c r="H180" s="99">
        <f>G180+'26'!H180</f>
        <v>-39</v>
      </c>
      <c r="I180" s="155"/>
      <c r="J180" s="178">
        <f>H180/DAY(B2)</f>
        <v>-1.4444444444444444</v>
      </c>
    </row>
    <row r="181" spans="1:10" ht="25.5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119</v>
      </c>
      <c r="H181" s="99">
        <f>G181+'26'!H181</f>
        <v>-316</v>
      </c>
      <c r="I181" s="155"/>
      <c r="J181" s="178">
        <f>H181/DAY(B2)</f>
        <v>-11.703703703703704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'26'!F183</f>
        <v>16565</v>
      </c>
      <c r="F183" s="157">
        <v>16585</v>
      </c>
      <c r="G183" s="157">
        <f>F183-E183</f>
        <v>20</v>
      </c>
      <c r="H183" s="99">
        <f>G183+'26'!H183</f>
        <v>-37</v>
      </c>
      <c r="I183" s="155"/>
      <c r="J183" s="178">
        <f>H183/DAY(B2)</f>
        <v>-1.3703703703703705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'26'!F184</f>
        <v>11245</v>
      </c>
      <c r="F184" s="157">
        <v>11257</v>
      </c>
      <c r="G184" s="157">
        <f t="shared" ref="G184:G185" si="16">F184-E184</f>
        <v>12</v>
      </c>
      <c r="H184" s="99">
        <f>G184+'26'!H184</f>
        <v>-17</v>
      </c>
      <c r="I184" s="155"/>
      <c r="J184" s="178">
        <f>H184/DAY(B2)</f>
        <v>-0.62962962962962965</v>
      </c>
    </row>
    <row r="185" spans="1:10" ht="25.5" customHeight="1">
      <c r="A185" s="879" t="s">
        <v>216</v>
      </c>
      <c r="B185" s="880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32</v>
      </c>
      <c r="H186" s="99">
        <f>G186+'26'!H186</f>
        <v>-54</v>
      </c>
      <c r="I186" s="157"/>
      <c r="J186" s="178">
        <f>H186/DAY(B2)</f>
        <v>-2</v>
      </c>
    </row>
    <row r="187" spans="1:10" ht="25.5">
      <c r="A187" s="870" t="s">
        <v>217</v>
      </c>
      <c r="B187" s="871"/>
      <c r="C187" s="333"/>
      <c r="D187" s="228" t="s">
        <v>142</v>
      </c>
      <c r="E187" s="95">
        <f>'26'!F187</f>
        <v>0</v>
      </c>
      <c r="F187" s="159"/>
      <c r="G187" s="378">
        <f>G62+G19</f>
        <v>212</v>
      </c>
      <c r="H187" s="99">
        <f>G187+'26'!H187</f>
        <v>-660</v>
      </c>
      <c r="I187" s="158"/>
      <c r="J187" s="179">
        <f>H187/DAY(B2)</f>
        <v>-24.444444444444443</v>
      </c>
    </row>
    <row r="188" spans="1:10" ht="25.5">
      <c r="A188" s="870" t="s">
        <v>218</v>
      </c>
      <c r="B188" s="871"/>
      <c r="C188" s="333"/>
      <c r="D188" s="228" t="s">
        <v>142</v>
      </c>
      <c r="E188" s="95">
        <f>'26'!F188</f>
        <v>0</v>
      </c>
      <c r="F188" s="159"/>
      <c r="G188" s="378">
        <f>G65+G66+G67+G69+G70</f>
        <v>231</v>
      </c>
      <c r="H188" s="99">
        <f>G188+'26'!H188</f>
        <v>-8828</v>
      </c>
      <c r="I188" s="158"/>
      <c r="J188" s="179">
        <f>H188/DAY(B2)</f>
        <v>-326.96296296296299</v>
      </c>
    </row>
    <row r="189" spans="1:10" ht="25.5">
      <c r="A189" s="870" t="s">
        <v>219</v>
      </c>
      <c r="B189" s="871"/>
      <c r="C189" s="333"/>
      <c r="D189" s="230" t="s">
        <v>142</v>
      </c>
      <c r="E189" s="95">
        <f>'26'!F189</f>
        <v>0</v>
      </c>
      <c r="F189" s="157"/>
      <c r="G189" s="377">
        <f>G181</f>
        <v>119</v>
      </c>
      <c r="H189" s="99">
        <f>G189+'26'!H189</f>
        <v>1065</v>
      </c>
      <c r="I189" s="158"/>
      <c r="J189" s="179">
        <f>H189/DAY(B2)</f>
        <v>39.444444444444443</v>
      </c>
    </row>
    <row r="190" spans="1:10" ht="25.5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22" zoomScale="55" zoomScaleNormal="80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303</v>
      </c>
      <c r="B2" s="262">
        <v>44679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742889</v>
      </c>
      <c r="F7" s="95">
        <f>E7+27000</f>
        <v>769889</v>
      </c>
      <c r="G7" s="112">
        <f>F7-E7</f>
        <v>27000</v>
      </c>
      <c r="H7" s="99">
        <f>G7+'27'!H7</f>
        <v>758663</v>
      </c>
      <c r="I7" s="113">
        <f>'1'!I7</f>
        <v>12000</v>
      </c>
      <c r="J7" s="175">
        <f>H7/DAY(B2)</f>
        <v>27095.107142857141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829330</v>
      </c>
      <c r="F8" s="114">
        <f>E8+26500</f>
        <v>855830</v>
      </c>
      <c r="G8" s="115">
        <f>F8-E8</f>
        <v>26500</v>
      </c>
      <c r="H8" s="99">
        <f>G8+'27'!H8</f>
        <v>762912.27999999991</v>
      </c>
      <c r="I8" s="116"/>
      <c r="J8" s="175">
        <f>H8/DAY(B2)</f>
        <v>27246.86714285714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26300</v>
      </c>
    </row>
    <row r="9" spans="1:15" ht="26.25">
      <c r="A9" s="199" t="s">
        <v>132</v>
      </c>
      <c r="B9" s="200"/>
      <c r="C9" s="200"/>
      <c r="D9" s="151" t="s">
        <v>130</v>
      </c>
      <c r="E9" s="470">
        <v>1819514</v>
      </c>
      <c r="F9" s="470">
        <f>E9+16000</f>
        <v>1835514</v>
      </c>
      <c r="G9" s="112">
        <f>F9-E9</f>
        <v>16000</v>
      </c>
      <c r="H9" s="99">
        <f>G9+'27'!H9</f>
        <v>510515</v>
      </c>
      <c r="I9" s="124">
        <f>I7-J7</f>
        <v>-15095.107142857141</v>
      </c>
      <c r="J9" s="175">
        <f>H9/DAY(B2)</f>
        <v>18232.678571428572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353">
        <v>601463</v>
      </c>
      <c r="F10" s="353">
        <f>E10+8500</f>
        <v>609963</v>
      </c>
      <c r="G10" s="112">
        <f t="shared" ref="G10:G12" si="0">F10-E10</f>
        <v>8500</v>
      </c>
      <c r="H10" s="99">
        <f>G10+'27'!H10</f>
        <v>205690</v>
      </c>
      <c r="I10" s="282"/>
      <c r="J10" s="175">
        <f>H10/DAY(B2)</f>
        <v>7346.0714285714284</v>
      </c>
      <c r="K10" s="79"/>
      <c r="L10" s="66"/>
      <c r="N10" s="87"/>
      <c r="O10" s="71">
        <f>F7-O8</f>
        <v>743589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700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G13+'27'!H13</f>
        <v>713688.75</v>
      </c>
      <c r="I13" s="120">
        <f>G7-G13</f>
        <v>2500</v>
      </c>
      <c r="J13" s="175">
        <f>H13/DAY(B2)</f>
        <v>25488.883928571428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2001525</v>
      </c>
      <c r="G15" s="112" t="e">
        <f>(F15-E15)</f>
        <v>#VALUE!</v>
      </c>
      <c r="H15" s="99" t="e">
        <f>G15+'27'!H15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>
        <f>G8-200</f>
        <v>26300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6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907" t="s">
        <v>141</v>
      </c>
      <c r="B18" s="908"/>
      <c r="C18" s="909"/>
      <c r="D18" s="151" t="s">
        <v>142</v>
      </c>
      <c r="E18" s="95">
        <f>'27'!F18</f>
        <v>23</v>
      </c>
      <c r="F18" s="122">
        <v>26</v>
      </c>
      <c r="G18" s="119">
        <f>F18*10</f>
        <v>260</v>
      </c>
      <c r="H18" s="99">
        <f>G18+'27'!H18</f>
        <v>6530</v>
      </c>
      <c r="I18" s="113">
        <f>'1'!I18</f>
        <v>65</v>
      </c>
      <c r="J18" s="175">
        <f>H18/DAY(B2)</f>
        <v>233.21428571428572</v>
      </c>
      <c r="K18" s="79"/>
      <c r="L18" s="66"/>
      <c r="N18" s="87"/>
      <c r="O18" s="71"/>
    </row>
    <row r="19" spans="1:16" ht="25.5">
      <c r="A19" s="907" t="s">
        <v>69</v>
      </c>
      <c r="B19" s="908"/>
      <c r="C19" s="909"/>
      <c r="D19" s="151" t="s">
        <v>142</v>
      </c>
      <c r="E19" s="95">
        <f>'27'!F19</f>
        <v>158301</v>
      </c>
      <c r="F19" s="122">
        <v>158354</v>
      </c>
      <c r="G19" s="112">
        <f t="shared" ref="G19" si="1">F19-E19</f>
        <v>53</v>
      </c>
      <c r="H19" s="99">
        <f>G19+'27'!H19</f>
        <v>-100</v>
      </c>
      <c r="I19" s="335"/>
      <c r="J19" s="175">
        <f>H19/DAY(B2)</f>
        <v>-3.5714285714285716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313</v>
      </c>
      <c r="H20" s="99">
        <f>G20+'27'!H20</f>
        <v>6430</v>
      </c>
      <c r="I20" s="336">
        <f>I18-J20</f>
        <v>-164.64285714285714</v>
      </c>
      <c r="J20" s="175">
        <f>H20/DAY(B2)</f>
        <v>229.64285714285714</v>
      </c>
      <c r="K20" s="79"/>
      <c r="L20" s="66"/>
      <c r="N20" s="87"/>
      <c r="O20" s="71"/>
    </row>
    <row r="21" spans="1:16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G27+'27'!H27</f>
        <v>6866210.5200000005</v>
      </c>
      <c r="I27" s="138"/>
      <c r="J27" s="175">
        <f>H27/DAY(B2)</f>
        <v>245221.80428571432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G28+'27'!H28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G30+'27'!H30</f>
        <v>-16405</v>
      </c>
      <c r="I30" s="140"/>
      <c r="J30" s="175">
        <f>H30/DAY(B2)</f>
        <v>-585.89285714285711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G31+'27'!H31</f>
        <v>522400</v>
      </c>
      <c r="I31" s="140"/>
      <c r="J31" s="175">
        <f>H31/DAY(B2)</f>
        <v>18657.142857142859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G32+'27'!H32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196098</v>
      </c>
      <c r="F35" s="145">
        <v>198234</v>
      </c>
      <c r="G35" s="112">
        <f t="shared" ref="G35:G46" si="3">F35-E35</f>
        <v>2136</v>
      </c>
      <c r="H35" s="99">
        <f>G35+'27'!H35</f>
        <v>-4651</v>
      </c>
      <c r="I35" s="95"/>
      <c r="J35" s="175">
        <f>H35/DAY(B2)</f>
        <v>-166.10714285714286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128352</v>
      </c>
      <c r="F36" s="145">
        <v>129238</v>
      </c>
      <c r="G36" s="112">
        <f t="shared" si="3"/>
        <v>886</v>
      </c>
      <c r="H36" s="99">
        <f>G36+'27'!H36</f>
        <v>-2341</v>
      </c>
      <c r="I36" s="95"/>
      <c r="J36" s="175">
        <f>H36/DAY(B2)</f>
        <v>-83.607142857142861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177865</v>
      </c>
      <c r="F37" s="145">
        <v>179593</v>
      </c>
      <c r="G37" s="112">
        <f t="shared" si="3"/>
        <v>1728</v>
      </c>
      <c r="H37" s="99">
        <f>G37+'27'!H37</f>
        <v>-3532</v>
      </c>
      <c r="I37" s="95"/>
      <c r="J37" s="175">
        <f>H37/DAY(B2)</f>
        <v>-126.14285714285714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236179</v>
      </c>
      <c r="F38" s="108">
        <v>238553</v>
      </c>
      <c r="G38" s="112">
        <f t="shared" si="3"/>
        <v>2374</v>
      </c>
      <c r="H38" s="99">
        <f>G38+'27'!H38</f>
        <v>-4899</v>
      </c>
      <c r="I38" s="95"/>
      <c r="J38" s="175">
        <f>H38/DAY(B2)</f>
        <v>-174.96428571428572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331340</v>
      </c>
      <c r="F39" s="145">
        <v>334239</v>
      </c>
      <c r="G39" s="112">
        <f t="shared" si="3"/>
        <v>2899</v>
      </c>
      <c r="H39" s="99">
        <f>G39+'27'!H39</f>
        <v>-5749</v>
      </c>
      <c r="I39" s="95"/>
      <c r="J39" s="175">
        <f>H39/DAY(B2)</f>
        <v>-205.32142857142858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62655</v>
      </c>
      <c r="F40" s="145">
        <v>63415</v>
      </c>
      <c r="G40" s="112">
        <f t="shared" si="3"/>
        <v>760</v>
      </c>
      <c r="H40" s="99">
        <f>G40+'27'!H40</f>
        <v>-1462</v>
      </c>
      <c r="I40" s="95"/>
      <c r="J40" s="175">
        <f>H40/DAY(B2)</f>
        <v>-52.214285714285715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15324</v>
      </c>
      <c r="F41" s="145">
        <v>21333</v>
      </c>
      <c r="G41" s="112">
        <f t="shared" si="3"/>
        <v>6009</v>
      </c>
      <c r="H41" s="99">
        <f>G41+'27'!H41</f>
        <v>-6360.0000000000055</v>
      </c>
      <c r="I41" s="95"/>
      <c r="J41" s="175">
        <f>H41/DAY(B2)</f>
        <v>-227.14285714285734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410808</v>
      </c>
      <c r="F42" s="145">
        <v>414786</v>
      </c>
      <c r="G42" s="112">
        <f t="shared" si="3"/>
        <v>3978</v>
      </c>
      <c r="H42" s="99">
        <f>G42+'27'!H42</f>
        <v>-11015</v>
      </c>
      <c r="I42" s="95"/>
      <c r="J42" s="175">
        <f>H42/DAY(B2)</f>
        <v>-393.39285714285717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347365</v>
      </c>
      <c r="F43" s="145">
        <v>350671</v>
      </c>
      <c r="G43" s="112">
        <f t="shared" si="3"/>
        <v>3306</v>
      </c>
      <c r="H43" s="99">
        <f>G43+'27'!H43</f>
        <v>-6848</v>
      </c>
      <c r="I43" s="95"/>
      <c r="J43" s="175">
        <f>H43/DAY(B2)</f>
        <v>-244.57142857142858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24076</v>
      </c>
      <c r="H47" s="99">
        <f>G47+'27'!H47</f>
        <v>-46856.999999999942</v>
      </c>
      <c r="I47" s="95"/>
      <c r="J47" s="175">
        <f>H47/DAY(B2)</f>
        <v>-1673.4642857142837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159662</v>
      </c>
      <c r="F49" s="145">
        <v>161469</v>
      </c>
      <c r="G49" s="112">
        <f t="shared" ref="G49:G58" si="4">F49-E49</f>
        <v>1807</v>
      </c>
      <c r="H49" s="99">
        <f>G49+'27'!H49</f>
        <v>-3701</v>
      </c>
      <c r="I49" s="95"/>
      <c r="J49" s="175">
        <f>H49/DAY(B2)</f>
        <v>-132.17857142857142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167800</v>
      </c>
      <c r="F50" s="145">
        <v>169179</v>
      </c>
      <c r="G50" s="112">
        <f t="shared" si="4"/>
        <v>1379</v>
      </c>
      <c r="H50" s="99">
        <f>G50+'27'!H50</f>
        <v>-3428</v>
      </c>
      <c r="I50" s="95"/>
      <c r="J50" s="175">
        <f>H50/DAY(B2)</f>
        <v>-122.42857142857143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76</v>
      </c>
      <c r="G51" s="112">
        <f t="shared" si="4"/>
        <v>0</v>
      </c>
      <c r="H51" s="99">
        <f>G51+'27'!H51</f>
        <v>0.31999999999999318</v>
      </c>
      <c r="I51" s="95"/>
      <c r="J51" s="175">
        <f>H51/DAY(B2)</f>
        <v>1.1428571428571186E-2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48654</v>
      </c>
      <c r="F54" s="145">
        <v>49135</v>
      </c>
      <c r="G54" s="112">
        <f t="shared" si="4"/>
        <v>481</v>
      </c>
      <c r="H54" s="99">
        <f>G54+'27'!H54</f>
        <v>-948</v>
      </c>
      <c r="I54" s="95"/>
      <c r="J54" s="175">
        <f>H54/DAY(B2)</f>
        <v>-33.857142857142854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142509</v>
      </c>
      <c r="F55" s="145">
        <v>142509</v>
      </c>
      <c r="G55" s="112">
        <f t="shared" si="4"/>
        <v>0</v>
      </c>
      <c r="H55" s="99">
        <f>G55+'27'!H55</f>
        <v>-2458</v>
      </c>
      <c r="I55" s="95"/>
      <c r="J55" s="175">
        <f>H55/DAY(B2)</f>
        <v>-87.785714285714292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107246</v>
      </c>
      <c r="F56" s="145">
        <v>107246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24807</v>
      </c>
      <c r="F58" s="145">
        <v>25037</v>
      </c>
      <c r="G58" s="112">
        <f t="shared" si="4"/>
        <v>230</v>
      </c>
      <c r="H58" s="99">
        <f>G58+'27'!H58</f>
        <v>-456</v>
      </c>
      <c r="I58" s="95"/>
      <c r="J58" s="175">
        <f>H58/DAY(B2)</f>
        <v>-16.285714285714285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3897</v>
      </c>
      <c r="H59" s="99">
        <f>G59+'27'!H59</f>
        <v>-10990.679999999997</v>
      </c>
      <c r="I59" s="95">
        <f>G7-G60</f>
        <v>-973</v>
      </c>
      <c r="J59" s="175">
        <f>H59/DAY(B2)</f>
        <v>-392.52428571428561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27973</v>
      </c>
      <c r="H60" s="99">
        <f>G60+'27'!H60</f>
        <v>-57847.679999999935</v>
      </c>
      <c r="I60" s="95">
        <f>G13-G60</f>
        <v>-3473</v>
      </c>
      <c r="J60" s="175">
        <f>H60/DAY(B2)</f>
        <v>-2065.9885714285692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'27'!F62</f>
        <v>283502</v>
      </c>
      <c r="F62" s="122">
        <v>283668</v>
      </c>
      <c r="G62" s="112">
        <f t="shared" ref="G62:G63" si="5">F62-E62</f>
        <v>166</v>
      </c>
      <c r="H62" s="99">
        <f>G62+'27'!H62</f>
        <v>-341</v>
      </c>
      <c r="I62" s="118"/>
      <c r="J62" s="175">
        <f>H62/DAY(B2)</f>
        <v>-12.178571428571429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'27'!F63</f>
        <v>227097</v>
      </c>
      <c r="F63" s="122">
        <v>227204</v>
      </c>
      <c r="G63" s="112">
        <f t="shared" si="5"/>
        <v>107</v>
      </c>
      <c r="H63" s="99">
        <f>G63+'27'!H63</f>
        <v>-275</v>
      </c>
      <c r="I63" s="118"/>
      <c r="J63" s="175">
        <f>H63/DAY(B2)</f>
        <v>-9.8214285714285712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'27'!F64</f>
        <v>0</v>
      </c>
      <c r="F64" s="122">
        <v>0</v>
      </c>
      <c r="G64" s="112">
        <f>G62+G63</f>
        <v>273</v>
      </c>
      <c r="H64" s="99">
        <f>G64+'27'!H64</f>
        <v>-616</v>
      </c>
      <c r="I64" s="118"/>
      <c r="J64" s="175">
        <f>H64/DAY(B2)</f>
        <v>-22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'27'!F65</f>
        <v>444247</v>
      </c>
      <c r="F65" s="122">
        <v>444363</v>
      </c>
      <c r="G65" s="112">
        <f t="shared" ref="G65:G70" si="6">F65-E65</f>
        <v>116</v>
      </c>
      <c r="H65" s="99">
        <f>G65+'27'!H65</f>
        <v>-229</v>
      </c>
      <c r="I65" s="118"/>
      <c r="J65" s="175">
        <f>H65/DAY(B2)</f>
        <v>-8.1785714285714288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109520</v>
      </c>
      <c r="F66" s="122">
        <v>109537</v>
      </c>
      <c r="G66" s="112">
        <f t="shared" si="6"/>
        <v>17</v>
      </c>
      <c r="H66" s="99">
        <f>G66+'27'!H66</f>
        <v>-44</v>
      </c>
      <c r="I66" s="118"/>
      <c r="J66" s="175">
        <f>H66/DAY(B2)</f>
        <v>-1.5714285714285714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110668</v>
      </c>
      <c r="F67" s="122">
        <v>110745</v>
      </c>
      <c r="G67" s="112">
        <f t="shared" si="6"/>
        <v>77</v>
      </c>
      <c r="H67" s="99">
        <f>G67+'27'!H67</f>
        <v>-155</v>
      </c>
      <c r="I67" s="118"/>
      <c r="J67" s="175">
        <f>H67/DAY(B2)</f>
        <v>-5.5357142857142856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161701</v>
      </c>
      <c r="F68" s="122">
        <v>161744</v>
      </c>
      <c r="G68" s="112">
        <f t="shared" si="6"/>
        <v>43</v>
      </c>
      <c r="H68" s="99">
        <f>G68+'27'!H68</f>
        <v>-44</v>
      </c>
      <c r="I68" s="118"/>
      <c r="J68" s="175">
        <f>H68/DAY(B2)</f>
        <v>-1.5714285714285714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11569</v>
      </c>
      <c r="F69" s="122">
        <v>11576</v>
      </c>
      <c r="G69" s="112">
        <f t="shared" si="6"/>
        <v>7</v>
      </c>
      <c r="H69" s="99">
        <f>G69+'27'!H69</f>
        <v>-22</v>
      </c>
      <c r="I69" s="118"/>
      <c r="J69" s="175">
        <f>H69/DAY(B2)</f>
        <v>-0.7857142857142857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8978</v>
      </c>
      <c r="F70" s="122">
        <v>8985</v>
      </c>
      <c r="G70" s="112">
        <f t="shared" si="6"/>
        <v>7</v>
      </c>
      <c r="H70" s="99">
        <f>G70+'27'!H70</f>
        <v>-16</v>
      </c>
      <c r="I70" s="118"/>
      <c r="J70" s="175">
        <f>H70/DAY(B2)</f>
        <v>-0.5714285714285714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267</v>
      </c>
      <c r="H71" s="99">
        <f>G71+'27'!H71</f>
        <v>-510</v>
      </c>
      <c r="I71" s="154"/>
      <c r="J71" s="175">
        <f>H71/DAY(B2)</f>
        <v>-18.214285714285715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'27'!F74</f>
        <v>927800</v>
      </c>
      <c r="F74" s="117">
        <v>928129</v>
      </c>
      <c r="G74" s="112">
        <f t="shared" ref="G74:G78" si="7">F74-E74</f>
        <v>329</v>
      </c>
      <c r="H74" s="99">
        <f>G74+'27'!H74</f>
        <v>-648</v>
      </c>
      <c r="I74" s="154"/>
      <c r="J74" s="175">
        <f>H74/DAY(B2)</f>
        <v>-23.142857142857142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'27'!F76</f>
        <v>179780</v>
      </c>
      <c r="F76" s="123">
        <v>179898</v>
      </c>
      <c r="G76" s="112">
        <f t="shared" si="7"/>
        <v>118</v>
      </c>
      <c r="H76" s="99">
        <f>G76+'27'!H76</f>
        <v>-256</v>
      </c>
      <c r="I76" s="154"/>
      <c r="J76" s="175">
        <f>H76/DAY(B2)</f>
        <v>-9.1428571428571423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'27'!F77</f>
        <v>45512</v>
      </c>
      <c r="F77" s="123">
        <v>45565</v>
      </c>
      <c r="G77" s="112">
        <f t="shared" si="7"/>
        <v>53</v>
      </c>
      <c r="H77" s="99">
        <f>G77+'27'!H77</f>
        <v>-109</v>
      </c>
      <c r="I77" s="154"/>
      <c r="J77" s="175">
        <f>H77/DAY(B2)</f>
        <v>-3.8928571428571428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-0.3999999999996362</v>
      </c>
      <c r="I78" s="118"/>
      <c r="J78" s="175">
        <f>H78/DAY(B2)</f>
        <v>-1.4285714285701292E-2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'27'!F79</f>
        <v>0</v>
      </c>
      <c r="F79" s="123"/>
      <c r="G79" s="112" t="e">
        <f>G15-SUM(G74:G78)</f>
        <v>#VALUE!</v>
      </c>
      <c r="H79" s="99" t="e">
        <f>G79+'27'!H79</f>
        <v>#VALUE!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41744</v>
      </c>
      <c r="F84" s="164">
        <v>41768</v>
      </c>
      <c r="G84" s="112">
        <f t="shared" si="8"/>
        <v>24</v>
      </c>
      <c r="H84" s="99">
        <f>G84+'27'!H84</f>
        <v>-24</v>
      </c>
      <c r="I84" s="575"/>
      <c r="J84" s="175">
        <f>H84/DAY(B2)</f>
        <v>-0.8571428571428571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6">
        <f>'27'!F85</f>
        <v>3717</v>
      </c>
      <c r="F85" s="164">
        <v>3734</v>
      </c>
      <c r="G85" s="236">
        <f t="shared" si="8"/>
        <v>17</v>
      </c>
      <c r="H85" s="99">
        <f>G85+'27'!H85</f>
        <v>-43</v>
      </c>
      <c r="I85" s="575"/>
      <c r="J85" s="175">
        <f>H85/DAY(B2)</f>
        <v>-1.5357142857142858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43924.480000000003</v>
      </c>
      <c r="F86" s="164">
        <v>43924</v>
      </c>
      <c r="G86" s="112">
        <f t="shared" si="8"/>
        <v>-0.48000000000320142</v>
      </c>
      <c r="H86" s="99">
        <f>G86+'27'!H86</f>
        <v>-15</v>
      </c>
      <c r="I86" s="575"/>
      <c r="J86" s="175">
        <f>H86/DAY(B2)</f>
        <v>-0.5357142857142857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35329</v>
      </c>
      <c r="F87" s="164">
        <v>35329</v>
      </c>
      <c r="G87" s="112">
        <f t="shared" si="8"/>
        <v>0</v>
      </c>
      <c r="H87" s="99">
        <f>G87+'27'!H87</f>
        <v>0</v>
      </c>
      <c r="I87" s="575">
        <f>G84+G85+G86+G87</f>
        <v>40.519999999996799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24187</v>
      </c>
      <c r="F88" s="164">
        <v>24188.17</v>
      </c>
      <c r="G88" s="112">
        <f t="shared" si="8"/>
        <v>1.1699999999982538</v>
      </c>
      <c r="H88" s="99">
        <f>G88+'27'!H88</f>
        <v>4.9999999999272404E-2</v>
      </c>
      <c r="I88" s="575"/>
      <c r="J88" s="175">
        <f>H88/DAY(B2)</f>
        <v>1.7857142856883002E-3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26680.59</v>
      </c>
      <c r="F89" s="164">
        <v>26690.66</v>
      </c>
      <c r="G89" s="112">
        <f t="shared" si="8"/>
        <v>10.069999999999709</v>
      </c>
      <c r="H89" s="99">
        <f>G89+'27'!H89</f>
        <v>-18.56000000000131</v>
      </c>
      <c r="I89" s="575">
        <f>G88+G89</f>
        <v>11.239999999997963</v>
      </c>
      <c r="J89" s="175">
        <f>H89/DAY(B2)</f>
        <v>-0.66285714285718966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71835.39</v>
      </c>
      <c r="F90" s="164">
        <v>71845.350000000006</v>
      </c>
      <c r="G90" s="112">
        <f t="shared" si="8"/>
        <v>9.9600000000064028</v>
      </c>
      <c r="H90" s="99">
        <f>G90+'27'!H90</f>
        <v>32.960000000006403</v>
      </c>
      <c r="I90" s="575">
        <f>G90</f>
        <v>9.9600000000064028</v>
      </c>
      <c r="J90" s="175">
        <f>H90/DAY(B2)</f>
        <v>1.1771428571430858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4023.5</v>
      </c>
      <c r="F91" s="122">
        <v>4035.44</v>
      </c>
      <c r="G91" s="112">
        <f t="shared" si="8"/>
        <v>11.940000000000055</v>
      </c>
      <c r="H91" s="99">
        <f>G91+'27'!H91</f>
        <v>-23.799999999999727</v>
      </c>
      <c r="I91" s="594"/>
      <c r="J91" s="175">
        <f>H91/DAY(B2)</f>
        <v>-0.84999999999999021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5934.87</v>
      </c>
      <c r="F92" s="122">
        <v>5935.04</v>
      </c>
      <c r="G92" s="112">
        <f t="shared" si="8"/>
        <v>0.17000000000007276</v>
      </c>
      <c r="H92" s="99">
        <f>G92+'27'!H92</f>
        <v>3.999999999996362E-2</v>
      </c>
      <c r="I92" s="600">
        <f>G91+G92</f>
        <v>12.110000000000127</v>
      </c>
      <c r="J92" s="175">
        <f>H92/DAY(B2)</f>
        <v>1.4285714285701293E-3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7249</v>
      </c>
      <c r="H94" s="99">
        <f>G94+'27'!H94</f>
        <v>-15200</v>
      </c>
      <c r="I94" s="118"/>
      <c r="J94" s="175">
        <f>H94/DAY(B2)</f>
        <v>-542.85714285714289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0.26848148148148149</v>
      </c>
      <c r="H95" s="99">
        <f>G95+'27'!H95</f>
        <v>-0.58535781535880282</v>
      </c>
      <c r="I95" s="167"/>
      <c r="J95" s="175">
        <f>H95/DAY(B2)</f>
        <v>-2.0905636262814387E-2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9987</v>
      </c>
      <c r="H96" s="99">
        <f>G96+'27'!H96</f>
        <v>-19833.000000000022</v>
      </c>
      <c r="I96" s="118"/>
      <c r="J96" s="175">
        <f>H96/DAY(B2)</f>
        <v>-708.32142857142935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0.36988888888888888</v>
      </c>
      <c r="H97" s="99">
        <f>G97+'27'!H97</f>
        <v>-0.76546163258148225</v>
      </c>
      <c r="I97" s="167"/>
      <c r="J97" s="175">
        <f>H97/DAY(B2)</f>
        <v>-2.733791544933865E-2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2899</v>
      </c>
      <c r="H98" s="99">
        <f>G98+'27'!H98</f>
        <v>-5749</v>
      </c>
      <c r="I98" s="168"/>
      <c r="J98" s="175">
        <f>H98/DAY(B2)</f>
        <v>-205.32142857142858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0.10737037037037037</v>
      </c>
      <c r="H99" s="99">
        <f>G99+'27'!H99</f>
        <v>-0.22037688365017091</v>
      </c>
      <c r="I99" s="168"/>
      <c r="J99" s="175">
        <f>H99/DAY(B2)</f>
        <v>-7.8706029875061038E-3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2374</v>
      </c>
      <c r="H100" s="99">
        <f>G100+'27'!H100</f>
        <v>-4898.9999999999982</v>
      </c>
      <c r="I100" s="118"/>
      <c r="J100" s="175">
        <f>H100/DAY(B2)</f>
        <v>-174.96428571428564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8.7925925925925921E-2</v>
      </c>
      <c r="H101" s="99">
        <f>G101+'27'!H101</f>
        <v>-0.18736334318847386</v>
      </c>
      <c r="I101" s="168"/>
      <c r="J101" s="175">
        <f>H101/DAY(B2)</f>
        <v>-6.6915479710169239E-3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2265</v>
      </c>
      <c r="H102" s="99">
        <f>G102+'27'!H102</f>
        <v>-5769</v>
      </c>
      <c r="I102" s="168"/>
      <c r="J102" s="175">
        <f>H102/DAY(B2)</f>
        <v>-206.03571428571428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8.3888888888888888E-2</v>
      </c>
      <c r="H103" s="99">
        <f>G103+'27'!H103</f>
        <v>-0.22506310985834083</v>
      </c>
      <c r="I103" s="118"/>
      <c r="J103" s="175">
        <f>H103/DAY(B2)</f>
        <v>-8.0379682092264586E-3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1728</v>
      </c>
      <c r="H104" s="99">
        <f>G104+'27'!H104</f>
        <v>-3531.6800000000003</v>
      </c>
      <c r="I104" s="118"/>
      <c r="J104" s="175">
        <f>H104/DAY(B2)</f>
        <v>-126.13142857142859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6.4000000000000001E-2</v>
      </c>
      <c r="H105" s="99">
        <f>G105+'27'!H105</f>
        <v>-0.13549250771401122</v>
      </c>
      <c r="I105" s="187"/>
      <c r="J105" s="188">
        <f>H105/DAY(B2)</f>
        <v>-4.839018132643258E-3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95">
        <v>0</v>
      </c>
      <c r="F112" s="237">
        <v>82</v>
      </c>
      <c r="G112" s="112">
        <f t="shared" ref="G112:G123" si="9">F112-E112</f>
        <v>82</v>
      </c>
      <c r="H112" s="99">
        <f>G112+'27'!H112</f>
        <v>64103</v>
      </c>
      <c r="I112" s="165"/>
      <c r="J112" s="328">
        <f>H112/DAY(B2)</f>
        <v>2289.3928571428573</v>
      </c>
    </row>
    <row r="113" spans="1:18" ht="29.25" customHeight="1">
      <c r="A113" s="886" t="s">
        <v>253</v>
      </c>
      <c r="B113" s="887"/>
      <c r="C113" s="888"/>
      <c r="D113" s="146" t="s">
        <v>183</v>
      </c>
      <c r="E113" s="95">
        <v>0</v>
      </c>
      <c r="F113" s="237">
        <v>165</v>
      </c>
      <c r="G113" s="112">
        <f t="shared" si="9"/>
        <v>165</v>
      </c>
      <c r="H113" s="99">
        <f>G113+'27'!H113</f>
        <v>85872.39</v>
      </c>
      <c r="I113" s="165"/>
      <c r="J113" s="328">
        <f>H113/DAY(B2)</f>
        <v>3066.8710714285712</v>
      </c>
    </row>
    <row r="114" spans="1:18" ht="29.25" customHeight="1">
      <c r="A114" s="886" t="s">
        <v>254</v>
      </c>
      <c r="B114" s="887"/>
      <c r="C114" s="888"/>
      <c r="D114" s="146" t="s">
        <v>183</v>
      </c>
      <c r="E114" s="95">
        <v>0</v>
      </c>
      <c r="F114" s="237">
        <v>225</v>
      </c>
      <c r="G114" s="112">
        <f t="shared" si="9"/>
        <v>225</v>
      </c>
      <c r="H114" s="99">
        <f>G114+'27'!H114</f>
        <v>56654.11</v>
      </c>
      <c r="I114" s="165"/>
      <c r="J114" s="328">
        <f>H114/DAY(B2)</f>
        <v>2023.3610714285714</v>
      </c>
    </row>
    <row r="115" spans="1:18" ht="29.25" customHeight="1">
      <c r="A115" s="886" t="s">
        <v>255</v>
      </c>
      <c r="B115" s="887"/>
      <c r="C115" s="888"/>
      <c r="D115" s="146" t="s">
        <v>183</v>
      </c>
      <c r="E115" s="95">
        <v>0</v>
      </c>
      <c r="F115" s="237">
        <v>178</v>
      </c>
      <c r="G115" s="112">
        <f t="shared" si="9"/>
        <v>178</v>
      </c>
      <c r="H115" s="99">
        <f>G115+'27'!H115</f>
        <v>10073.75</v>
      </c>
      <c r="I115" s="165"/>
      <c r="J115" s="328">
        <f>H115/DAY(B2)</f>
        <v>359.77678571428572</v>
      </c>
    </row>
    <row r="116" spans="1:18" ht="29.25" customHeight="1">
      <c r="A116" s="893" t="s">
        <v>96</v>
      </c>
      <c r="B116" s="894"/>
      <c r="C116" s="895"/>
      <c r="D116" s="146" t="s">
        <v>183</v>
      </c>
      <c r="E116" s="95">
        <f>'27'!F116</f>
        <v>33807</v>
      </c>
      <c r="F116" s="237">
        <v>34114</v>
      </c>
      <c r="G116" s="112">
        <f t="shared" si="9"/>
        <v>307</v>
      </c>
      <c r="H116" s="99">
        <f>G116+'27'!H116</f>
        <v>-552</v>
      </c>
      <c r="I116" s="165"/>
      <c r="J116" s="328">
        <f>H116/DAY(B2)</f>
        <v>-19.714285714285715</v>
      </c>
      <c r="Q116" s="886"/>
      <c r="R116" s="888"/>
    </row>
    <row r="117" spans="1:18" ht="29.25" customHeight="1">
      <c r="A117" s="893" t="s">
        <v>184</v>
      </c>
      <c r="B117" s="894"/>
      <c r="C117" s="895"/>
      <c r="D117" s="146" t="s">
        <v>183</v>
      </c>
      <c r="E117" s="95">
        <f>'27'!F117</f>
        <v>18434</v>
      </c>
      <c r="F117" s="237">
        <v>18615</v>
      </c>
      <c r="G117" s="112">
        <f t="shared" si="9"/>
        <v>181</v>
      </c>
      <c r="H117" s="99">
        <f>G117+'27'!H117</f>
        <v>-321</v>
      </c>
      <c r="I117" s="165"/>
      <c r="J117" s="328">
        <f>H117/DAY(B2)</f>
        <v>-11.464285714285714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95">
        <f>'27'!F118</f>
        <v>7363</v>
      </c>
      <c r="F118" s="237">
        <v>7934</v>
      </c>
      <c r="G118" s="112">
        <f t="shared" si="9"/>
        <v>571</v>
      </c>
      <c r="H118" s="99">
        <f>G118+'27'!H118</f>
        <v>-1129.0000000000009</v>
      </c>
      <c r="I118" s="165"/>
      <c r="J118" s="328">
        <f>H118/DAY(B2)</f>
        <v>-40.321428571428605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95">
        <f>'27'!F119</f>
        <v>4577</v>
      </c>
      <c r="F119" s="237">
        <v>5007</v>
      </c>
      <c r="G119" s="112">
        <f t="shared" si="9"/>
        <v>430</v>
      </c>
      <c r="H119" s="99">
        <f>G119+'27'!H119</f>
        <v>289522</v>
      </c>
      <c r="I119" s="165"/>
      <c r="J119" s="328">
        <f>H119/DAY(B2)</f>
        <v>10340.071428571429</v>
      </c>
    </row>
    <row r="120" spans="1:18" ht="25.5">
      <c r="A120" s="885" t="s">
        <v>99</v>
      </c>
      <c r="B120" s="885"/>
      <c r="C120" s="885"/>
      <c r="D120" s="151" t="s">
        <v>183</v>
      </c>
      <c r="E120" s="95">
        <f>'27'!F120</f>
        <v>5819</v>
      </c>
      <c r="F120" s="237">
        <v>6245</v>
      </c>
      <c r="G120" s="112">
        <f t="shared" si="9"/>
        <v>426</v>
      </c>
      <c r="H120" s="99">
        <f>G120+'27'!H120</f>
        <v>-890</v>
      </c>
      <c r="I120" s="165"/>
      <c r="J120" s="328">
        <f>H120/DAY(B2)</f>
        <v>-31.785714285714285</v>
      </c>
    </row>
    <row r="121" spans="1:18" ht="25.5">
      <c r="A121" s="885" t="s">
        <v>100</v>
      </c>
      <c r="B121" s="885"/>
      <c r="C121" s="885"/>
      <c r="D121" s="151" t="s">
        <v>183</v>
      </c>
      <c r="E121" s="95">
        <f>'27'!F121</f>
        <v>10397</v>
      </c>
      <c r="F121" s="237">
        <v>10893</v>
      </c>
      <c r="G121" s="112">
        <f t="shared" si="9"/>
        <v>496</v>
      </c>
      <c r="H121" s="99">
        <f>G121+'27'!H121</f>
        <v>-834</v>
      </c>
      <c r="I121" s="165"/>
      <c r="J121" s="328">
        <f>H121/DAY(B2)</f>
        <v>-29.785714285714285</v>
      </c>
    </row>
    <row r="122" spans="1:18" ht="25.5">
      <c r="A122" s="885" t="s">
        <v>101</v>
      </c>
      <c r="B122" s="885"/>
      <c r="C122" s="885"/>
      <c r="D122" s="151" t="s">
        <v>183</v>
      </c>
      <c r="E122" s="95">
        <f>'27'!F122</f>
        <v>2979</v>
      </c>
      <c r="F122" s="237">
        <v>3188</v>
      </c>
      <c r="G122" s="112">
        <f t="shared" si="9"/>
        <v>209</v>
      </c>
      <c r="H122" s="99">
        <f>G122+'27'!H122</f>
        <v>-376</v>
      </c>
      <c r="I122" s="165"/>
      <c r="J122" s="328">
        <f>H122/DAY(B2)</f>
        <v>-13.428571428571429</v>
      </c>
    </row>
    <row r="123" spans="1:18" ht="25.5">
      <c r="A123" s="885" t="s">
        <v>102</v>
      </c>
      <c r="B123" s="885"/>
      <c r="C123" s="885"/>
      <c r="D123" s="151" t="s">
        <v>183</v>
      </c>
      <c r="E123" s="95">
        <v>0</v>
      </c>
      <c r="F123" s="237">
        <v>329</v>
      </c>
      <c r="G123" s="112">
        <f t="shared" si="9"/>
        <v>329</v>
      </c>
      <c r="H123" s="99">
        <f>G123+'27'!H123</f>
        <v>174917.53</v>
      </c>
      <c r="I123" s="165"/>
      <c r="J123" s="328">
        <f>H123/DAY(B2)</f>
        <v>6247.0546428571424</v>
      </c>
    </row>
    <row r="124" spans="1:18" ht="29.25" customHeight="1">
      <c r="A124" s="890"/>
      <c r="B124" s="891"/>
      <c r="C124" s="892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3599</v>
      </c>
      <c r="H125" s="156"/>
      <c r="I125" s="327">
        <f>G125-(G39+G53)</f>
        <v>700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886" t="s">
        <v>318</v>
      </c>
      <c r="B128" s="887"/>
      <c r="C128" s="888"/>
      <c r="D128" s="151" t="s">
        <v>183</v>
      </c>
      <c r="E128" s="95">
        <f>'27'!F128</f>
        <v>80190</v>
      </c>
      <c r="F128" s="165">
        <v>80594</v>
      </c>
      <c r="G128" s="112">
        <f t="shared" ref="G128:G134" si="10">F128-E128</f>
        <v>404</v>
      </c>
      <c r="H128" s="99">
        <f>G128+'27'!H128</f>
        <v>-821</v>
      </c>
      <c r="I128" s="165"/>
      <c r="J128" s="328">
        <f>H128/DAY(B2)</f>
        <v>-29.321428571428573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50130</v>
      </c>
      <c r="F129" s="165">
        <v>50450</v>
      </c>
      <c r="G129" s="112">
        <f t="shared" si="10"/>
        <v>320</v>
      </c>
      <c r="H129" s="99">
        <f>G129+'27'!H129</f>
        <v>-622</v>
      </c>
      <c r="I129" s="165"/>
      <c r="J129" s="328">
        <f>H129/DAY(B2)</f>
        <v>-22.214285714285715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94551</v>
      </c>
      <c r="F130" s="165">
        <v>95252</v>
      </c>
      <c r="G130" s="112">
        <f t="shared" si="10"/>
        <v>701</v>
      </c>
      <c r="H130" s="99">
        <f>G130+'27'!H130</f>
        <v>-1394</v>
      </c>
      <c r="I130" s="165"/>
      <c r="J130" s="328">
        <f>H130/DAY(B2)</f>
        <v>-49.785714285714285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'27'!F131</f>
        <v>29825</v>
      </c>
      <c r="F131" s="165">
        <v>30020</v>
      </c>
      <c r="G131" s="112">
        <f t="shared" si="10"/>
        <v>195</v>
      </c>
      <c r="H131" s="99">
        <f>G131+'27'!H131</f>
        <v>-415</v>
      </c>
      <c r="I131" s="165"/>
      <c r="J131" s="328">
        <f>H131/DAY(B2)</f>
        <v>-14.821428571428571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'27'!F132</f>
        <v>87499</v>
      </c>
      <c r="F132" s="165">
        <v>87941</v>
      </c>
      <c r="G132" s="112">
        <f t="shared" si="10"/>
        <v>442</v>
      </c>
      <c r="H132" s="99">
        <f>G132+'27'!H132</f>
        <v>-996</v>
      </c>
      <c r="I132" s="165"/>
      <c r="J132" s="328">
        <f>H132/DAY(B2)</f>
        <v>-35.571428571428569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'27'!F133</f>
        <v>169889</v>
      </c>
      <c r="F133" s="165">
        <v>170761</v>
      </c>
      <c r="G133" s="112">
        <f t="shared" si="10"/>
        <v>872</v>
      </c>
      <c r="H133" s="99">
        <f>G133+'27'!H133</f>
        <v>-1685</v>
      </c>
      <c r="I133" s="165"/>
      <c r="J133" s="328">
        <f>H133/DAY(B2)</f>
        <v>-60.178571428571431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'27'!F134</f>
        <v>27262</v>
      </c>
      <c r="F134" s="158">
        <v>27508</v>
      </c>
      <c r="G134" s="112">
        <f t="shared" si="10"/>
        <v>246</v>
      </c>
      <c r="H134" s="99">
        <f>G134+'27'!H134</f>
        <v>-585</v>
      </c>
      <c r="I134" s="165"/>
      <c r="J134" s="328">
        <f>H134/DAY(B2)</f>
        <v>-20.892857142857142</v>
      </c>
    </row>
    <row r="135" spans="1:15" ht="25.5">
      <c r="A135" s="868" t="s">
        <v>196</v>
      </c>
      <c r="B135" s="869"/>
      <c r="C135" s="331"/>
      <c r="D135" s="151"/>
      <c r="E135" s="95"/>
      <c r="F135" s="165"/>
      <c r="G135" s="112">
        <f>SUM(G128:G134)</f>
        <v>3180</v>
      </c>
      <c r="H135" s="99">
        <f>G135+'23'!H135</f>
        <v>39406.790000000008</v>
      </c>
      <c r="I135" s="327">
        <f>G135-(G35+G49)</f>
        <v>-763</v>
      </c>
      <c r="J135" s="328">
        <f>H135/DAY(B2)</f>
        <v>1407.3853571428574</v>
      </c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'27'!F138</f>
        <v>878335</v>
      </c>
      <c r="F138" s="147">
        <v>878489</v>
      </c>
      <c r="G138" s="112">
        <f t="shared" ref="G138:G152" si="11">F138-E138</f>
        <v>154</v>
      </c>
      <c r="H138" s="99">
        <f>G138+'27'!H138</f>
        <v>-295</v>
      </c>
      <c r="I138" s="118"/>
      <c r="J138" s="328">
        <f>H138/DAY(B2)</f>
        <v>-10.535714285714286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'27'!F139</f>
        <v>894414</v>
      </c>
      <c r="F139" s="148">
        <v>894511</v>
      </c>
      <c r="G139" s="112">
        <f t="shared" si="11"/>
        <v>97</v>
      </c>
      <c r="H139" s="99">
        <f>G139+'27'!H139</f>
        <v>-355</v>
      </c>
      <c r="I139" s="118"/>
      <c r="J139" s="328">
        <f>H139/DAY(B2)</f>
        <v>-12.678571428571429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v>101</v>
      </c>
      <c r="F140" s="149">
        <v>112</v>
      </c>
      <c r="G140" s="112">
        <f t="shared" si="11"/>
        <v>11</v>
      </c>
      <c r="H140" s="99">
        <f>G140+'27'!H140</f>
        <v>88908</v>
      </c>
      <c r="I140" s="118"/>
      <c r="J140" s="328">
        <f>H140/DAY(B2)</f>
        <v>3175.2857142857142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'27'!F141</f>
        <v>71138</v>
      </c>
      <c r="F141" s="149">
        <v>71339</v>
      </c>
      <c r="G141" s="112">
        <f t="shared" si="11"/>
        <v>201</v>
      </c>
      <c r="H141" s="99">
        <f>G141+'27'!H141</f>
        <v>-435</v>
      </c>
      <c r="I141" s="118"/>
      <c r="J141" s="328">
        <f>H141/DAY(B2)</f>
        <v>-15.535714285714286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'27'!F142</f>
        <v>27253</v>
      </c>
      <c r="F142" s="148">
        <v>27322</v>
      </c>
      <c r="G142" s="112">
        <f t="shared" si="11"/>
        <v>69</v>
      </c>
      <c r="H142" s="99">
        <f>G142+'27'!H142</f>
        <v>-144</v>
      </c>
      <c r="I142" s="140"/>
      <c r="J142" s="328">
        <f>H142/DAY(B2)</f>
        <v>-5.1428571428571432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'27'!F143</f>
        <v>6325</v>
      </c>
      <c r="F143" s="149">
        <v>6356</v>
      </c>
      <c r="G143" s="112">
        <f t="shared" si="11"/>
        <v>31</v>
      </c>
      <c r="H143" s="99">
        <f>G143+'27'!H143</f>
        <v>-61</v>
      </c>
      <c r="I143" s="140"/>
      <c r="J143" s="328">
        <f>H143/DAY(B2)</f>
        <v>-2.1785714285714284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'27'!F144</f>
        <v>896489</v>
      </c>
      <c r="F144" s="149">
        <v>896726</v>
      </c>
      <c r="G144" s="112">
        <f t="shared" si="11"/>
        <v>237</v>
      </c>
      <c r="H144" s="99">
        <f>G144+'27'!H144</f>
        <v>-507</v>
      </c>
      <c r="I144" s="140"/>
      <c r="J144" s="328">
        <f>H144/DAY(B2)</f>
        <v>-18.107142857142858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'27'!F145</f>
        <v>5621</v>
      </c>
      <c r="F145" s="149">
        <v>5623</v>
      </c>
      <c r="G145" s="112">
        <f t="shared" si="11"/>
        <v>2</v>
      </c>
      <c r="H145" s="99">
        <f>G145+'27'!H145</f>
        <v>-5</v>
      </c>
      <c r="I145" s="140"/>
      <c r="J145" s="328">
        <f>H145/DAY(B2)</f>
        <v>-0.17857142857142858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'27'!F146</f>
        <v>776447</v>
      </c>
      <c r="F146" s="148">
        <v>776454</v>
      </c>
      <c r="G146" s="112">
        <f t="shared" si="11"/>
        <v>7</v>
      </c>
      <c r="H146" s="99">
        <f>G146+'27'!H146</f>
        <v>0</v>
      </c>
      <c r="I146" s="140"/>
      <c r="J146" s="328">
        <f>H146/DAY(B2)</f>
        <v>0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'27'!F147</f>
        <v>662004</v>
      </c>
      <c r="F147" s="148">
        <v>662375</v>
      </c>
      <c r="G147" s="112">
        <f t="shared" si="11"/>
        <v>371</v>
      </c>
      <c r="H147" s="99">
        <f>G147+'27'!H147</f>
        <v>-853</v>
      </c>
      <c r="I147" s="140"/>
      <c r="J147" s="328">
        <f>H147/DAY(B2)</f>
        <v>-30.464285714285715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'27'!F148</f>
        <v>718720</v>
      </c>
      <c r="F148" s="150">
        <v>719054</v>
      </c>
      <c r="G148" s="112">
        <f t="shared" si="11"/>
        <v>334</v>
      </c>
      <c r="H148" s="99">
        <f>G148+'27'!H148</f>
        <v>-862</v>
      </c>
      <c r="I148" s="124"/>
      <c r="J148" s="328">
        <f>H148/DAY(B2)</f>
        <v>-30.785714285714285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'27'!F149</f>
        <v>81574</v>
      </c>
      <c r="F149" s="146">
        <v>82180</v>
      </c>
      <c r="G149" s="112">
        <f t="shared" si="11"/>
        <v>606</v>
      </c>
      <c r="H149" s="99">
        <f>G149+'27'!H149</f>
        <v>-1208</v>
      </c>
      <c r="I149" s="119"/>
      <c r="J149" s="328">
        <f>H149/DAY(B2)</f>
        <v>-43.142857142857146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'27'!F150</f>
        <v>29948</v>
      </c>
      <c r="F150" s="233">
        <v>30164</v>
      </c>
      <c r="G150" s="112">
        <f t="shared" si="11"/>
        <v>216</v>
      </c>
      <c r="H150" s="99">
        <f>G150+'27'!H150</f>
        <v>-423</v>
      </c>
      <c r="I150" s="119"/>
      <c r="J150" s="328">
        <f>H150/DAY(B2)</f>
        <v>-15.107142857142858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'27'!F151</f>
        <v>108300</v>
      </c>
      <c r="F151" s="233">
        <v>108560</v>
      </c>
      <c r="G151" s="112">
        <f t="shared" si="11"/>
        <v>260</v>
      </c>
      <c r="H151" s="99">
        <f>G151+'27'!H151</f>
        <v>-668</v>
      </c>
      <c r="I151" s="119"/>
      <c r="J151" s="328">
        <f>H151/DAY(B2)</f>
        <v>-23.857142857142858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'27'!F152</f>
        <v>10802</v>
      </c>
      <c r="F152" s="233">
        <v>10926</v>
      </c>
      <c r="G152" s="112">
        <f t="shared" si="11"/>
        <v>124</v>
      </c>
      <c r="H152" s="99">
        <f>G152+'27'!H152</f>
        <v>-230</v>
      </c>
      <c r="I152" s="119"/>
      <c r="J152" s="328">
        <f>H152/DAY(B2)</f>
        <v>-8.2142857142857135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2720</v>
      </c>
      <c r="H153" s="363"/>
      <c r="I153" s="119">
        <f>G153-(G38+G52)</f>
        <v>346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527">
        <f>'27'!F155</f>
        <v>90736</v>
      </c>
      <c r="F155" s="528">
        <v>91384</v>
      </c>
      <c r="G155" s="112">
        <f t="shared" ref="G155:G158" si="12">F155-E155</f>
        <v>648</v>
      </c>
      <c r="H155" s="99">
        <f>G155+'27'!H155</f>
        <v>-1348</v>
      </c>
      <c r="I155" s="364"/>
      <c r="J155" s="328">
        <f>H155/DAY(B2)</f>
        <v>-48.142857142857146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'27'!F156</f>
        <v>7526</v>
      </c>
      <c r="F156" s="155">
        <v>7580</v>
      </c>
      <c r="G156" s="112">
        <f t="shared" si="12"/>
        <v>54</v>
      </c>
      <c r="H156" s="99">
        <f>G156+'27'!H156</f>
        <v>-111</v>
      </c>
      <c r="I156" s="165"/>
      <c r="J156" s="328">
        <f>H156/DAY(B2)</f>
        <v>-3.9642857142857144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'27'!F157</f>
        <v>13175</v>
      </c>
      <c r="F157" s="157">
        <v>13283</v>
      </c>
      <c r="G157" s="112">
        <f t="shared" si="12"/>
        <v>108</v>
      </c>
      <c r="H157" s="99"/>
      <c r="I157" s="165"/>
      <c r="J157" s="328"/>
    </row>
    <row r="158" spans="1:10" ht="25.5">
      <c r="A158" s="865" t="s">
        <v>362</v>
      </c>
      <c r="B158" s="866"/>
      <c r="C158" s="867"/>
      <c r="D158" s="117" t="s">
        <v>130</v>
      </c>
      <c r="E158" s="95">
        <f>'27'!F158</f>
        <v>103</v>
      </c>
      <c r="F158" s="155">
        <v>104</v>
      </c>
      <c r="G158" s="112">
        <f t="shared" si="12"/>
        <v>1</v>
      </c>
      <c r="H158" s="99"/>
      <c r="I158" s="165"/>
      <c r="J158" s="328"/>
    </row>
    <row r="159" spans="1:10" ht="25.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474711</v>
      </c>
      <c r="F161" s="235">
        <v>474736</v>
      </c>
      <c r="G161" s="238">
        <f t="shared" ref="G161:G165" si="13">F161-E161</f>
        <v>25</v>
      </c>
      <c r="H161" s="99">
        <f>G161+'27'!H161</f>
        <v>-47</v>
      </c>
      <c r="I161" s="236"/>
      <c r="J161" s="239">
        <f>H161/DAY(B2)</f>
        <v>-1.6785714285714286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91427</v>
      </c>
      <c r="F162" s="235">
        <v>91468</v>
      </c>
      <c r="G162" s="238">
        <f t="shared" si="13"/>
        <v>41</v>
      </c>
      <c r="H162" s="99">
        <f>G162+'27'!H162</f>
        <v>-79</v>
      </c>
      <c r="I162" s="236"/>
      <c r="J162" s="239">
        <f>H162/DAY(B2)</f>
        <v>-2.8214285714285716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91504</v>
      </c>
      <c r="F163" s="235">
        <v>91690</v>
      </c>
      <c r="G163" s="238">
        <f t="shared" si="13"/>
        <v>186</v>
      </c>
      <c r="H163" s="99">
        <f>G163+'27'!H163</f>
        <v>-346</v>
      </c>
      <c r="I163" s="236"/>
      <c r="J163" s="239">
        <f>H163/DAY(B2)</f>
        <v>-12.357142857142858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5146</v>
      </c>
      <c r="F164" s="235">
        <v>5159</v>
      </c>
      <c r="G164" s="238">
        <f t="shared" si="13"/>
        <v>13</v>
      </c>
      <c r="H164" s="99">
        <f>G164+'27'!H164</f>
        <v>-23</v>
      </c>
      <c r="I164" s="236"/>
      <c r="J164" s="239">
        <f>H164/DAY(B2)</f>
        <v>-0.8214285714285714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30597</v>
      </c>
      <c r="F165" s="235">
        <v>30610</v>
      </c>
      <c r="G165" s="238">
        <f t="shared" si="13"/>
        <v>13</v>
      </c>
      <c r="H165" s="99">
        <f>G165+'27'!H165</f>
        <v>-24</v>
      </c>
      <c r="I165" s="236"/>
      <c r="J165" s="239">
        <f>H165/DAY(B2)</f>
        <v>-0.8571428571428571</v>
      </c>
    </row>
    <row r="166" spans="1:10" ht="26.25">
      <c r="A166" s="873"/>
      <c r="B166" s="873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'27'!F173</f>
        <v>8240</v>
      </c>
      <c r="F173" s="155">
        <v>8261</v>
      </c>
      <c r="G173" s="155">
        <f>F173-E173</f>
        <v>21</v>
      </c>
      <c r="H173" s="99">
        <f>G173+'27'!H173</f>
        <v>122</v>
      </c>
      <c r="I173" s="155"/>
      <c r="J173" s="178">
        <f>H173/DAY(B2)</f>
        <v>4.3571428571428568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'27'!F174</f>
        <v>39884</v>
      </c>
      <c r="F174" s="157">
        <v>39899</v>
      </c>
      <c r="G174" s="155">
        <f t="shared" ref="G174:G175" si="14">F174-E174</f>
        <v>15</v>
      </c>
      <c r="H174" s="99">
        <f>G174+'27'!H174</f>
        <v>-29</v>
      </c>
      <c r="I174" s="155"/>
      <c r="J174" s="178">
        <f>H174/DAY(B2)</f>
        <v>-1.0357142857142858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'27'!F175</f>
        <v>22853</v>
      </c>
      <c r="F175" s="155">
        <v>22866</v>
      </c>
      <c r="G175" s="155">
        <f t="shared" si="14"/>
        <v>13</v>
      </c>
      <c r="H175" s="99">
        <f>G175+'27'!H175</f>
        <v>-23</v>
      </c>
      <c r="I175" s="155"/>
      <c r="J175" s="178">
        <f>H175/DAY(B2)</f>
        <v>-0.8214285714285714</v>
      </c>
    </row>
    <row r="176" spans="1:10" ht="25.5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49</v>
      </c>
      <c r="H176" s="99">
        <f>G176+'27'!H176</f>
        <v>70</v>
      </c>
      <c r="I176" s="155"/>
      <c r="J176" s="178">
        <f>H176/DAY(B2)</f>
        <v>2.5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'27'!F178</f>
        <v>88327</v>
      </c>
      <c r="F178" s="155">
        <v>88411</v>
      </c>
      <c r="G178" s="155">
        <f>F178-E178</f>
        <v>84</v>
      </c>
      <c r="H178" s="99">
        <f>G178+'27'!H178</f>
        <v>-192</v>
      </c>
      <c r="I178" s="155"/>
      <c r="J178" s="178">
        <f>H178/DAY(B2)</f>
        <v>-6.8571428571428568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'27'!F179</f>
        <v>35772</v>
      </c>
      <c r="F179" s="155">
        <v>35772</v>
      </c>
      <c r="G179" s="155">
        <f t="shared" ref="G179:G180" si="15">F179-E179</f>
        <v>0</v>
      </c>
      <c r="H179" s="99">
        <f>G179+'27'!H179</f>
        <v>-1</v>
      </c>
      <c r="I179" s="155"/>
      <c r="J179" s="178">
        <f>H179/DAY(B2)</f>
        <v>-3.5714285714285712E-2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'27'!F180</f>
        <v>6350</v>
      </c>
      <c r="F180" s="155">
        <v>6363</v>
      </c>
      <c r="G180" s="155">
        <f t="shared" si="15"/>
        <v>13</v>
      </c>
      <c r="H180" s="99">
        <f>G180+'27'!H180</f>
        <v>-26</v>
      </c>
      <c r="I180" s="155"/>
      <c r="J180" s="178">
        <f>H180/DAY(B2)</f>
        <v>-0.9285714285714286</v>
      </c>
    </row>
    <row r="181" spans="1:10" ht="25.5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97</v>
      </c>
      <c r="H181" s="99">
        <f>G181+'27'!H181</f>
        <v>-219</v>
      </c>
      <c r="I181" s="155"/>
      <c r="J181" s="178">
        <f>H181/DAY(B2)</f>
        <v>-7.8214285714285712</v>
      </c>
    </row>
    <row r="182" spans="1:10" ht="25.5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'27'!F183</f>
        <v>16585</v>
      </c>
      <c r="F183" s="157">
        <v>16594</v>
      </c>
      <c r="G183" s="157">
        <f>F183-E183</f>
        <v>9</v>
      </c>
      <c r="H183" s="99">
        <f>G183+'27'!H183</f>
        <v>-28</v>
      </c>
      <c r="I183" s="155"/>
      <c r="J183" s="178">
        <f>H183/DAY(B2)</f>
        <v>-1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'27'!F184</f>
        <v>11257</v>
      </c>
      <c r="F184" s="157">
        <v>11262</v>
      </c>
      <c r="G184" s="157">
        <f t="shared" ref="G184:G185" si="16">F184-E184</f>
        <v>5</v>
      </c>
      <c r="H184" s="99">
        <f>G184+'27'!H184</f>
        <v>-12</v>
      </c>
      <c r="I184" s="155"/>
      <c r="J184" s="178">
        <f>H184/DAY(B2)</f>
        <v>-0.42857142857142855</v>
      </c>
    </row>
    <row r="185" spans="1:10" ht="25.5">
      <c r="A185" s="879" t="s">
        <v>216</v>
      </c>
      <c r="B185" s="880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14</v>
      </c>
      <c r="H186" s="99">
        <f>G186+'27'!H186</f>
        <v>-40</v>
      </c>
      <c r="I186" s="157"/>
      <c r="J186" s="178">
        <f>H186/DAY(B2)</f>
        <v>-1.4285714285714286</v>
      </c>
    </row>
    <row r="187" spans="1:10" ht="25.5">
      <c r="A187" s="870" t="s">
        <v>217</v>
      </c>
      <c r="B187" s="871"/>
      <c r="C187" s="333"/>
      <c r="D187" s="230" t="s">
        <v>142</v>
      </c>
      <c r="E187" s="95">
        <f>'27'!F187</f>
        <v>0</v>
      </c>
      <c r="F187" s="159"/>
      <c r="G187" s="378">
        <f>G62+G19</f>
        <v>219</v>
      </c>
      <c r="H187" s="99">
        <f>G187+'27'!H187</f>
        <v>-441</v>
      </c>
      <c r="I187" s="158"/>
      <c r="J187" s="179">
        <f>H187/DAY(B2)</f>
        <v>-15.75</v>
      </c>
    </row>
    <row r="188" spans="1:10" ht="25.5">
      <c r="A188" s="870" t="s">
        <v>218</v>
      </c>
      <c r="B188" s="871"/>
      <c r="C188" s="333"/>
      <c r="D188" s="230" t="s">
        <v>142</v>
      </c>
      <c r="E188" s="95">
        <f>'27'!F188</f>
        <v>0</v>
      </c>
      <c r="F188" s="159"/>
      <c r="G188" s="378">
        <f>G65+G66+G67+G69+G70</f>
        <v>224</v>
      </c>
      <c r="H188" s="99">
        <f>G188+'27'!H188</f>
        <v>-8604</v>
      </c>
      <c r="I188" s="158"/>
      <c r="J188" s="179">
        <f>H188/DAY(B2)</f>
        <v>-307.28571428571428</v>
      </c>
    </row>
    <row r="189" spans="1:10" ht="25.5">
      <c r="A189" s="870" t="s">
        <v>219</v>
      </c>
      <c r="B189" s="871"/>
      <c r="C189" s="333"/>
      <c r="D189" s="230" t="s">
        <v>142</v>
      </c>
      <c r="E189" s="95">
        <f>'27'!F189</f>
        <v>0</v>
      </c>
      <c r="F189" s="157"/>
      <c r="G189" s="377">
        <f>G181</f>
        <v>97</v>
      </c>
      <c r="H189" s="99">
        <f>G189+'27'!H189</f>
        <v>1162</v>
      </c>
      <c r="I189" s="158"/>
      <c r="J189" s="179">
        <f>H189/DAY(B2)</f>
        <v>41.5</v>
      </c>
    </row>
    <row r="190" spans="1:10" ht="25.5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70" zoomScale="55" zoomScaleNormal="78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359</v>
      </c>
      <c r="B2" s="262">
        <v>44680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769889</v>
      </c>
      <c r="F7" s="95">
        <f>E7+27000</f>
        <v>796889</v>
      </c>
      <c r="G7" s="112">
        <f>F7-E7</f>
        <v>27000</v>
      </c>
      <c r="H7" s="99">
        <f>G7+'28'!H7</f>
        <v>785663</v>
      </c>
      <c r="I7" s="113">
        <f>'1'!I7</f>
        <v>12000</v>
      </c>
      <c r="J7" s="175">
        <f>H7/DAY(B2)</f>
        <v>27091.827586206895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855830</v>
      </c>
      <c r="F8" s="114">
        <f>E8+26500</f>
        <v>882330</v>
      </c>
      <c r="G8" s="115">
        <f>F8-E8</f>
        <v>26500</v>
      </c>
      <c r="H8" s="99">
        <f>G8+'28'!H8</f>
        <v>789412.27999999991</v>
      </c>
      <c r="I8" s="116"/>
      <c r="J8" s="175">
        <f>H8/DAY(B2)</f>
        <v>27221.113103448271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1835514</v>
      </c>
      <c r="F9" s="470">
        <f>E9+16000</f>
        <v>1851514</v>
      </c>
      <c r="G9" s="112">
        <f>F9-E9</f>
        <v>16000</v>
      </c>
      <c r="H9" s="99">
        <f>G9+'28'!H9</f>
        <v>526515</v>
      </c>
      <c r="I9" s="124">
        <f>I7-J7</f>
        <v>-15091.827586206895</v>
      </c>
      <c r="J9" s="175">
        <f>H9/DAY(B2)</f>
        <v>18155.689655172413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609963</v>
      </c>
      <c r="F10" s="353">
        <f>E10+8500</f>
        <v>618463</v>
      </c>
      <c r="G10" s="112">
        <f t="shared" ref="G10:G12" si="0">F10-E10</f>
        <v>8500</v>
      </c>
      <c r="H10" s="99">
        <f>G10+'28'!H10</f>
        <v>214190</v>
      </c>
      <c r="I10" s="282"/>
      <c r="J10" s="175">
        <f>H10/DAY(B2)</f>
        <v>7385.8620689655172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G13+'28'!H13</f>
        <v>738188.75</v>
      </c>
      <c r="I13" s="120">
        <f>G7-G13</f>
        <v>2500</v>
      </c>
      <c r="J13" s="175">
        <f>H13/DAY(B2)</f>
        <v>25454.78448275862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2002621</v>
      </c>
      <c r="G15" s="112" t="e">
        <f>(F15-E15)</f>
        <v>#VALUE!</v>
      </c>
      <c r="H15" s="99" t="e">
        <f>G15+'28'!H15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95">
        <f>'28'!F18</f>
        <v>26</v>
      </c>
      <c r="F18" s="122">
        <v>26</v>
      </c>
      <c r="G18" s="119">
        <f>F18*10</f>
        <v>260</v>
      </c>
      <c r="H18" s="99">
        <f>G18+'28'!H18</f>
        <v>6790</v>
      </c>
      <c r="I18" s="113">
        <f>'1'!I18</f>
        <v>65</v>
      </c>
      <c r="J18" s="175">
        <f>H18/DAY(B2)</f>
        <v>234.13793103448276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95">
        <f>'28'!F19</f>
        <v>158354</v>
      </c>
      <c r="F19" s="122">
        <v>158405</v>
      </c>
      <c r="G19" s="112">
        <f t="shared" ref="G19" si="1">F19-E19</f>
        <v>51</v>
      </c>
      <c r="H19" s="99">
        <f>G19+'28'!H19</f>
        <v>-49</v>
      </c>
      <c r="I19" s="335"/>
      <c r="J19" s="175">
        <f>H19/DAY(B2)</f>
        <v>-1.6896551724137931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311</v>
      </c>
      <c r="H20" s="99">
        <f>G20+'28'!H20</f>
        <v>6741</v>
      </c>
      <c r="I20" s="336">
        <f>I18-J20</f>
        <v>-167.44827586206895</v>
      </c>
      <c r="J20" s="175">
        <f>H20/DAY(B2)</f>
        <v>232.44827586206895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G27+'28'!H27</f>
        <v>7104710.5200000005</v>
      </c>
      <c r="I27" s="138"/>
      <c r="J27" s="175">
        <f>H27/DAY(B2)</f>
        <v>244990.0179310345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G28+'28'!H28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G30+'28'!H30</f>
        <v>-8704</v>
      </c>
      <c r="I30" s="140"/>
      <c r="J30" s="175">
        <f>H30/DAY(B2)</f>
        <v>-300.13793103448273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G31+'28'!H31</f>
        <v>543200</v>
      </c>
      <c r="I31" s="140"/>
      <c r="J31" s="175">
        <f>H31/DAY(B2)</f>
        <v>18731.03448275862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G32+'28'!H32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198234</v>
      </c>
      <c r="F35" s="145">
        <v>200522</v>
      </c>
      <c r="G35" s="112">
        <f t="shared" ref="G35:G46" si="3">F35-E35</f>
        <v>2288</v>
      </c>
      <c r="H35" s="99">
        <f>G35+'28'!H35</f>
        <v>-2363</v>
      </c>
      <c r="I35" s="95"/>
      <c r="J35" s="175">
        <f>H35/DAY(B2)</f>
        <v>-81.482758620689651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129238</v>
      </c>
      <c r="F36" s="145">
        <v>130448</v>
      </c>
      <c r="G36" s="112">
        <f t="shared" si="3"/>
        <v>1210</v>
      </c>
      <c r="H36" s="99">
        <f>G36+'28'!H36</f>
        <v>-1131</v>
      </c>
      <c r="I36" s="95"/>
      <c r="J36" s="175">
        <f>H36/DAY(B2)</f>
        <v>-39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179593</v>
      </c>
      <c r="F37" s="145">
        <v>181319</v>
      </c>
      <c r="G37" s="112">
        <f t="shared" si="3"/>
        <v>1726</v>
      </c>
      <c r="H37" s="99">
        <f>G37+'28'!H37</f>
        <v>-1806</v>
      </c>
      <c r="I37" s="95"/>
      <c r="J37" s="175">
        <f>H37/DAY(B2)</f>
        <v>-62.275862068965516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238553</v>
      </c>
      <c r="F38" s="108">
        <v>240952</v>
      </c>
      <c r="G38" s="112">
        <f t="shared" si="3"/>
        <v>2399</v>
      </c>
      <c r="H38" s="99">
        <f>G38+'28'!H38</f>
        <v>-2500</v>
      </c>
      <c r="I38" s="95"/>
      <c r="J38" s="175">
        <f>H38/DAY(B2)</f>
        <v>-86.206896551724142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334239</v>
      </c>
      <c r="F39" s="145">
        <v>337088</v>
      </c>
      <c r="G39" s="112">
        <f t="shared" si="3"/>
        <v>2849</v>
      </c>
      <c r="H39" s="99">
        <f>G39+'28'!H39</f>
        <v>-2900</v>
      </c>
      <c r="I39" s="95"/>
      <c r="J39" s="175">
        <f>H39/DAY(B2)</f>
        <v>-100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63415</v>
      </c>
      <c r="F40" s="145">
        <v>64163</v>
      </c>
      <c r="G40" s="112">
        <f t="shared" si="3"/>
        <v>748</v>
      </c>
      <c r="H40" s="99">
        <f>G40+'28'!H40</f>
        <v>-714</v>
      </c>
      <c r="I40" s="95"/>
      <c r="J40" s="175">
        <f>H40/DAY(B2)</f>
        <v>-24.620689655172413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21333</v>
      </c>
      <c r="F41" s="145">
        <v>27378</v>
      </c>
      <c r="G41" s="112">
        <f t="shared" si="3"/>
        <v>6045</v>
      </c>
      <c r="H41" s="99">
        <f>G41+'28'!H41</f>
        <v>-315.00000000000546</v>
      </c>
      <c r="I41" s="95"/>
      <c r="J41" s="175">
        <f>H41/DAY(B2)</f>
        <v>-10.86206896551743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414786</v>
      </c>
      <c r="F42" s="145">
        <v>419528</v>
      </c>
      <c r="G42" s="112">
        <f t="shared" si="3"/>
        <v>4742</v>
      </c>
      <c r="H42" s="99">
        <f>G42+'28'!H42</f>
        <v>-6273</v>
      </c>
      <c r="I42" s="95"/>
      <c r="J42" s="175">
        <f>H42/DAY(B2)</f>
        <v>-216.31034482758622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350671</v>
      </c>
      <c r="F43" s="145">
        <v>354111</v>
      </c>
      <c r="G43" s="112">
        <f t="shared" si="3"/>
        <v>3440</v>
      </c>
      <c r="H43" s="99">
        <f>G43+'28'!H43</f>
        <v>-3408</v>
      </c>
      <c r="I43" s="95"/>
      <c r="J43" s="175">
        <f>H43/DAY(B2)</f>
        <v>-117.51724137931035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25447</v>
      </c>
      <c r="H47" s="99">
        <f>G47+'28'!H47</f>
        <v>-21409.999999999942</v>
      </c>
      <c r="I47" s="95"/>
      <c r="J47" s="175">
        <f>H47/DAY(B2)</f>
        <v>-738.27586206896353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161469</v>
      </c>
      <c r="F49" s="145">
        <v>163296</v>
      </c>
      <c r="G49" s="112">
        <f t="shared" ref="G49:G58" si="4">F49-E49</f>
        <v>1827</v>
      </c>
      <c r="H49" s="99">
        <f>G49+'28'!H49</f>
        <v>-1874</v>
      </c>
      <c r="I49" s="95"/>
      <c r="J49" s="175">
        <f>H49/DAY(B2)</f>
        <v>-64.620689655172413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169179</v>
      </c>
      <c r="F50" s="145">
        <v>170825</v>
      </c>
      <c r="G50" s="112">
        <f t="shared" si="4"/>
        <v>1646</v>
      </c>
      <c r="H50" s="99">
        <f>G50+'28'!H50</f>
        <v>-1782</v>
      </c>
      <c r="I50" s="95"/>
      <c r="J50" s="175">
        <f>H50/DAY(B2)</f>
        <v>-61.448275862068968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76</v>
      </c>
      <c r="F51" s="145">
        <v>76</v>
      </c>
      <c r="G51" s="112">
        <f t="shared" si="4"/>
        <v>0</v>
      </c>
      <c r="H51" s="99">
        <f>G51+'28'!H51</f>
        <v>0.31999999999999318</v>
      </c>
      <c r="I51" s="95"/>
      <c r="J51" s="175">
        <f>H51/DAY(B2)</f>
        <v>1.1034482758620455E-2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49135</v>
      </c>
      <c r="F54" s="145">
        <v>49603</v>
      </c>
      <c r="G54" s="112">
        <f t="shared" si="4"/>
        <v>468</v>
      </c>
      <c r="H54" s="99">
        <f>G54+'28'!H54</f>
        <v>-480</v>
      </c>
      <c r="I54" s="95"/>
      <c r="J54" s="175">
        <f>H54/DAY(B2)</f>
        <v>-16.551724137931036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142509</v>
      </c>
      <c r="F55" s="145">
        <v>142509</v>
      </c>
      <c r="G55" s="112">
        <f t="shared" si="4"/>
        <v>0</v>
      </c>
      <c r="H55" s="99">
        <f>G55+'28'!H55</f>
        <v>-2458</v>
      </c>
      <c r="I55" s="95"/>
      <c r="J55" s="175">
        <f>H55/DAY(B2)</f>
        <v>-84.758620689655174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107246</v>
      </c>
      <c r="F56" s="145">
        <v>107246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25037</v>
      </c>
      <c r="F58" s="145">
        <v>25257</v>
      </c>
      <c r="G58" s="112">
        <f t="shared" si="4"/>
        <v>220</v>
      </c>
      <c r="H58" s="99">
        <f>G58+'28'!H58</f>
        <v>-236</v>
      </c>
      <c r="I58" s="95"/>
      <c r="J58" s="175">
        <f>H58/DAY(B2)</f>
        <v>-8.137931034482758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4161</v>
      </c>
      <c r="H59" s="99">
        <f>G59+'28'!H59</f>
        <v>-6829.6799999999967</v>
      </c>
      <c r="I59" s="95">
        <f>G7-G60</f>
        <v>-2608</v>
      </c>
      <c r="J59" s="175">
        <f>H59/DAY(B2)</f>
        <v>-235.50620689655162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29608</v>
      </c>
      <c r="H60" s="99">
        <f>G60+'28'!H60</f>
        <v>-28239.679999999935</v>
      </c>
      <c r="I60" s="95">
        <f>G13-G60</f>
        <v>-5108</v>
      </c>
      <c r="J60" s="175">
        <f>H60/DAY(B2)</f>
        <v>-973.78206896551501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95">
        <f>'28'!F62</f>
        <v>283668</v>
      </c>
      <c r="F62" s="122">
        <v>283837</v>
      </c>
      <c r="G62" s="112">
        <f t="shared" ref="G62:G63" si="5">F62-E62</f>
        <v>169</v>
      </c>
      <c r="H62" s="99">
        <f>G62+'28'!H62</f>
        <v>-172</v>
      </c>
      <c r="I62" s="118"/>
      <c r="J62" s="175">
        <f>H62/DAY(B2)</f>
        <v>-5.931034482758621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95">
        <f>'28'!F63</f>
        <v>227204</v>
      </c>
      <c r="F63" s="122">
        <v>227348</v>
      </c>
      <c r="G63" s="112">
        <f t="shared" si="5"/>
        <v>144</v>
      </c>
      <c r="H63" s="99">
        <f>G63+'28'!H63</f>
        <v>-131</v>
      </c>
      <c r="I63" s="118"/>
      <c r="J63" s="175">
        <f>H63/DAY(B2)</f>
        <v>-4.5172413793103452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95">
        <f>'28'!F64</f>
        <v>0</v>
      </c>
      <c r="F64" s="122"/>
      <c r="G64" s="112">
        <f>G62+G63</f>
        <v>313</v>
      </c>
      <c r="H64" s="99">
        <f>G64+'28'!H64</f>
        <v>-303</v>
      </c>
      <c r="I64" s="118"/>
      <c r="J64" s="175">
        <f>H64/DAY(B2)</f>
        <v>-10.448275862068966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95">
        <f>'28'!F65</f>
        <v>444363</v>
      </c>
      <c r="F65" s="122">
        <v>444475</v>
      </c>
      <c r="G65" s="112">
        <f t="shared" ref="G65:G70" si="6">F65-E65</f>
        <v>112</v>
      </c>
      <c r="H65" s="99">
        <f>G65+'28'!H65</f>
        <v>-117</v>
      </c>
      <c r="I65" s="118"/>
      <c r="J65" s="175">
        <f>H65/DAY(B2)</f>
        <v>-4.0344827586206895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109537</v>
      </c>
      <c r="F66" s="122">
        <v>109555</v>
      </c>
      <c r="G66" s="112">
        <f t="shared" si="6"/>
        <v>18</v>
      </c>
      <c r="H66" s="99">
        <f>G66+'28'!H66</f>
        <v>-26</v>
      </c>
      <c r="I66" s="118"/>
      <c r="J66" s="175">
        <f>H66/DAY(B2)</f>
        <v>-0.89655172413793105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110745</v>
      </c>
      <c r="F67" s="122">
        <v>110821</v>
      </c>
      <c r="G67" s="112">
        <f t="shared" si="6"/>
        <v>76</v>
      </c>
      <c r="H67" s="99">
        <f>G67+'28'!H67</f>
        <v>-79</v>
      </c>
      <c r="I67" s="118"/>
      <c r="J67" s="175">
        <f>H67/DAY(B2)</f>
        <v>-2.7241379310344827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161744</v>
      </c>
      <c r="F68" s="122">
        <v>161759</v>
      </c>
      <c r="G68" s="112">
        <f t="shared" si="6"/>
        <v>15</v>
      </c>
      <c r="H68" s="99">
        <f>G68+'28'!H68</f>
        <v>-29</v>
      </c>
      <c r="I68" s="118"/>
      <c r="J68" s="175">
        <f>H68/DAY(B2)</f>
        <v>-1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11576</v>
      </c>
      <c r="F69" s="122">
        <v>11590</v>
      </c>
      <c r="G69" s="112">
        <f t="shared" si="6"/>
        <v>14</v>
      </c>
      <c r="H69" s="99">
        <f>G69+'28'!H69</f>
        <v>-8</v>
      </c>
      <c r="I69" s="118"/>
      <c r="J69" s="175">
        <f>H69/DAY(B2)</f>
        <v>-0.27586206896551724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8985</v>
      </c>
      <c r="F70" s="122">
        <v>8993</v>
      </c>
      <c r="G70" s="112">
        <f t="shared" si="6"/>
        <v>8</v>
      </c>
      <c r="H70" s="99">
        <f>G70+'28'!H70</f>
        <v>-8</v>
      </c>
      <c r="I70" s="118"/>
      <c r="J70" s="175">
        <f>H70/DAY(B2)</f>
        <v>-0.27586206896551724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95">
        <f>'28'!F71</f>
        <v>0</v>
      </c>
      <c r="F71" s="152"/>
      <c r="G71" s="153">
        <f>SUM(G65:G70)</f>
        <v>243</v>
      </c>
      <c r="H71" s="99">
        <f>G71+'28'!H71</f>
        <v>-267</v>
      </c>
      <c r="I71" s="154"/>
      <c r="J71" s="175">
        <f>H71/DAY(B2)</f>
        <v>-9.2068965517241388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95">
        <f>'28'!F74</f>
        <v>928129</v>
      </c>
      <c r="F74" s="117">
        <v>928446</v>
      </c>
      <c r="G74" s="112">
        <f t="shared" ref="G74:G78" si="7">F74-E74</f>
        <v>317</v>
      </c>
      <c r="H74" s="99">
        <f>G74+'28'!H74</f>
        <v>-331</v>
      </c>
      <c r="I74" s="154"/>
      <c r="J74" s="175">
        <f>H74/DAY(B2)</f>
        <v>-11.413793103448276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95">
        <f>'28'!F76</f>
        <v>179898</v>
      </c>
      <c r="F76" s="123">
        <v>180041</v>
      </c>
      <c r="G76" s="112">
        <f t="shared" si="7"/>
        <v>143</v>
      </c>
      <c r="H76" s="99">
        <f>G76+'28'!H76</f>
        <v>-113</v>
      </c>
      <c r="I76" s="154"/>
      <c r="J76" s="175">
        <f>H76/DAY(B2)</f>
        <v>-3.896551724137931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95">
        <f>'28'!F77</f>
        <v>45565</v>
      </c>
      <c r="F77" s="123">
        <v>45622</v>
      </c>
      <c r="G77" s="112">
        <f t="shared" si="7"/>
        <v>57</v>
      </c>
      <c r="H77" s="99">
        <f>G77+'28'!H77</f>
        <v>-52</v>
      </c>
      <c r="I77" s="154"/>
      <c r="J77" s="175">
        <f>H77/DAY(B2)</f>
        <v>-1.7931034482758621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95">
        <f>'28'!F78</f>
        <v>9563</v>
      </c>
      <c r="F78" s="123">
        <v>9563</v>
      </c>
      <c r="G78" s="112">
        <f t="shared" si="7"/>
        <v>0</v>
      </c>
      <c r="H78" s="99">
        <f>G78+'28'!H78</f>
        <v>-0.3999999999996362</v>
      </c>
      <c r="I78" s="118"/>
      <c r="J78" s="175">
        <f>H78/DAY(B2)</f>
        <v>-1.3793103448263318E-2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95">
        <f>'28'!F79</f>
        <v>0</v>
      </c>
      <c r="F79" s="117"/>
      <c r="G79" s="112" t="e">
        <f>G15-SUM(G74:G78)</f>
        <v>#VALUE!</v>
      </c>
      <c r="H79" s="99" t="e">
        <f>G79+'28'!H79</f>
        <v>#VALUE!</v>
      </c>
      <c r="I79" s="118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41768</v>
      </c>
      <c r="F84" s="164">
        <v>41792</v>
      </c>
      <c r="G84" s="112">
        <f t="shared" si="8"/>
        <v>24</v>
      </c>
      <c r="H84" s="99">
        <f>G84+'28'!H84</f>
        <v>0</v>
      </c>
      <c r="I84" s="57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3734</v>
      </c>
      <c r="F85" s="164">
        <v>3752.58</v>
      </c>
      <c r="G85" s="112">
        <f t="shared" si="8"/>
        <v>18.579999999999927</v>
      </c>
      <c r="H85" s="99">
        <f>G85+'28'!H85</f>
        <v>-24.420000000000073</v>
      </c>
      <c r="I85" s="575"/>
      <c r="J85" s="175">
        <f>H85/DAY(B2)</f>
        <v>-0.84206896551724386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43924</v>
      </c>
      <c r="F86" s="164">
        <v>43924</v>
      </c>
      <c r="G86" s="112">
        <f t="shared" si="8"/>
        <v>0</v>
      </c>
      <c r="H86" s="99">
        <f>G86+'28'!H86</f>
        <v>-15</v>
      </c>
      <c r="I86" s="575"/>
      <c r="J86" s="175">
        <f>H86/DAY(B2)</f>
        <v>-0.51724137931034486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35329</v>
      </c>
      <c r="F87" s="164">
        <v>35329</v>
      </c>
      <c r="G87" s="112">
        <f t="shared" si="8"/>
        <v>0</v>
      </c>
      <c r="H87" s="99">
        <f>G87+'28'!H87</f>
        <v>0</v>
      </c>
      <c r="I87" s="575">
        <f>G84+G85+G86+G87</f>
        <v>42.579999999999927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24188.17</v>
      </c>
      <c r="F88" s="164">
        <v>24188</v>
      </c>
      <c r="G88" s="112">
        <f t="shared" si="8"/>
        <v>-0.16999999999825377</v>
      </c>
      <c r="H88" s="99">
        <f>G88+'28'!H88</f>
        <v>-0.11999999999898137</v>
      </c>
      <c r="I88" s="575"/>
      <c r="J88" s="175">
        <f>H88/DAY(B2)</f>
        <v>-4.1379310344476332E-3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26690.66</v>
      </c>
      <c r="F89" s="164">
        <v>26699</v>
      </c>
      <c r="G89" s="112">
        <f t="shared" si="8"/>
        <v>8.3400000000001455</v>
      </c>
      <c r="H89" s="99">
        <f>G89+'28'!H89</f>
        <v>-10.220000000001164</v>
      </c>
      <c r="I89" s="575">
        <f>G88+G89</f>
        <v>8.1700000000018917</v>
      </c>
      <c r="J89" s="175">
        <f>H89/DAY(B2)</f>
        <v>-0.35241379310348842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71845.350000000006</v>
      </c>
      <c r="F90" s="164">
        <v>71854</v>
      </c>
      <c r="G90" s="112">
        <f t="shared" si="8"/>
        <v>8.6499999999941792</v>
      </c>
      <c r="H90" s="99">
        <f>G90+'28'!H90</f>
        <v>41.610000000000582</v>
      </c>
      <c r="I90" s="575">
        <f>G90</f>
        <v>8.6499999999941792</v>
      </c>
      <c r="J90" s="175">
        <f>H90/DAY(B2)</f>
        <v>1.4348275862069166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4035.44</v>
      </c>
      <c r="F91" s="122">
        <v>4047</v>
      </c>
      <c r="G91" s="112">
        <f t="shared" si="8"/>
        <v>11.559999999999945</v>
      </c>
      <c r="H91" s="99">
        <f>G91+'28'!H91</f>
        <v>-12.239999999999782</v>
      </c>
      <c r="I91" s="594"/>
      <c r="J91" s="175">
        <f>H91/DAY(B2)</f>
        <v>-0.42206896551723383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5935.04</v>
      </c>
      <c r="F92" s="122">
        <v>5935</v>
      </c>
      <c r="G92" s="112">
        <f t="shared" si="8"/>
        <v>-3.999999999996362E-2</v>
      </c>
      <c r="H92" s="99">
        <f>G92+'28'!H92</f>
        <v>0</v>
      </c>
      <c r="I92" s="600">
        <f>G91+G92</f>
        <v>11.519999999999982</v>
      </c>
      <c r="J92" s="175">
        <f>H92/DAY(B2)</f>
        <v>0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7555</v>
      </c>
      <c r="H94" s="99">
        <f>G94+'28'!H94</f>
        <v>-7645</v>
      </c>
      <c r="I94" s="118"/>
      <c r="J94" s="175">
        <f>H94/DAY(B2)</f>
        <v>-263.62068965517244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0.27981481481481479</v>
      </c>
      <c r="H95" s="99">
        <f>G95+'28'!H95</f>
        <v>-0.30554300054398803</v>
      </c>
      <c r="I95" s="167"/>
      <c r="J95" s="175">
        <f>H95/DAY(B2)</f>
        <v>-1.0535965535999588E-2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10787</v>
      </c>
      <c r="H96" s="99">
        <f>G96+'28'!H96</f>
        <v>-9046.0000000000218</v>
      </c>
      <c r="I96" s="118"/>
      <c r="J96" s="175">
        <f>H96/DAY(B2)</f>
        <v>-311.9310344827594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0.3995185185185185</v>
      </c>
      <c r="H97" s="99">
        <f>G97+'28'!H97</f>
        <v>-0.36594311406296376</v>
      </c>
      <c r="I97" s="167"/>
      <c r="J97" s="175">
        <f>H97/DAY(B2)</f>
        <v>-1.2618728071136681E-2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2849</v>
      </c>
      <c r="H98" s="99">
        <f>G98+'28'!H98</f>
        <v>-2900</v>
      </c>
      <c r="I98" s="168"/>
      <c r="J98" s="175">
        <f>H98/DAY(B2)</f>
        <v>-100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0.10551851851851853</v>
      </c>
      <c r="H99" s="99">
        <f>G99+'28'!H99</f>
        <v>-0.11485836513165239</v>
      </c>
      <c r="I99" s="168"/>
      <c r="J99" s="175">
        <f>H99/DAY(B2)</f>
        <v>-3.9606332804018067E-3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2399</v>
      </c>
      <c r="H100" s="99">
        <f>G100+'28'!H100</f>
        <v>-2499.9999999999982</v>
      </c>
      <c r="I100" s="118"/>
      <c r="J100" s="175">
        <f>H100/DAY(B2)</f>
        <v>-86.206896551724071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8.8851851851851849E-2</v>
      </c>
      <c r="H101" s="99">
        <f>G101+'28'!H101</f>
        <v>-9.8511491336622015E-2</v>
      </c>
      <c r="I101" s="168"/>
      <c r="J101" s="175">
        <f>H101/DAY(B2)</f>
        <v>-3.396947977124897E-3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2856</v>
      </c>
      <c r="H102" s="99">
        <f>G102+'28'!H102</f>
        <v>-2913</v>
      </c>
      <c r="I102" s="168"/>
      <c r="J102" s="175">
        <f>H102/DAY(B2)</f>
        <v>-100.44827586206897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0.10577777777777778</v>
      </c>
      <c r="H103" s="99">
        <f>G103+'28'!H103</f>
        <v>-0.11928533208056305</v>
      </c>
      <c r="I103" s="118"/>
      <c r="J103" s="175">
        <f>H103/DAY(B2)</f>
        <v>-4.1132873131228638E-3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1726</v>
      </c>
      <c r="H104" s="99">
        <f>G104+'28'!H104</f>
        <v>-1805.6800000000003</v>
      </c>
      <c r="I104" s="118"/>
      <c r="J104" s="175">
        <f>H104/DAY(B2)</f>
        <v>-62.264827586206906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6.3925925925925928E-2</v>
      </c>
      <c r="H105" s="99">
        <f>G105+'28'!H105</f>
        <v>-7.1566581788085296E-2</v>
      </c>
      <c r="I105" s="187"/>
      <c r="J105" s="188">
        <f>H105/DAY(B2)</f>
        <v>-2.4678131651063896E-3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25.5">
      <c r="A112" s="886" t="s">
        <v>252</v>
      </c>
      <c r="B112" s="887"/>
      <c r="C112" s="888"/>
      <c r="D112" s="146" t="s">
        <v>183</v>
      </c>
      <c r="E112" s="237">
        <f>'28'!F112</f>
        <v>82</v>
      </c>
      <c r="F112" s="237">
        <v>162</v>
      </c>
      <c r="G112" s="112">
        <f t="shared" ref="G112" si="9">F112-E112</f>
        <v>80</v>
      </c>
      <c r="H112" s="99">
        <f>G112+'28'!H112</f>
        <v>64183</v>
      </c>
      <c r="I112" s="165"/>
      <c r="J112" s="328">
        <f>H112/DAY(B2)</f>
        <v>2213.2068965517242</v>
      </c>
    </row>
    <row r="113" spans="1:18" ht="25.5">
      <c r="A113" s="886" t="s">
        <v>253</v>
      </c>
      <c r="B113" s="887"/>
      <c r="C113" s="888"/>
      <c r="D113" s="146" t="s">
        <v>183</v>
      </c>
      <c r="E113" s="237">
        <f>'28'!F113</f>
        <v>165</v>
      </c>
      <c r="F113" s="237">
        <v>322</v>
      </c>
      <c r="G113" s="112">
        <f t="shared" ref="G113:G123" si="10">F113-E113</f>
        <v>157</v>
      </c>
      <c r="H113" s="99">
        <f>G113+'28'!H113</f>
        <v>86029.39</v>
      </c>
      <c r="I113" s="165"/>
      <c r="J113" s="328">
        <f>H113/DAY(B2)</f>
        <v>2966.5306896551724</v>
      </c>
    </row>
    <row r="114" spans="1:18" ht="25.5">
      <c r="A114" s="886" t="s">
        <v>254</v>
      </c>
      <c r="B114" s="887"/>
      <c r="C114" s="888"/>
      <c r="D114" s="146" t="s">
        <v>183</v>
      </c>
      <c r="E114" s="237">
        <f>'28'!F114</f>
        <v>225</v>
      </c>
      <c r="F114" s="237">
        <v>441</v>
      </c>
      <c r="G114" s="112">
        <f t="shared" si="10"/>
        <v>216</v>
      </c>
      <c r="H114" s="99">
        <f>G114+'28'!H114</f>
        <v>56870.11</v>
      </c>
      <c r="I114" s="165"/>
      <c r="J114" s="328">
        <f>H114/DAY(B2)</f>
        <v>1961.038275862069</v>
      </c>
    </row>
    <row r="115" spans="1:18" ht="25.5">
      <c r="A115" s="886" t="s">
        <v>255</v>
      </c>
      <c r="B115" s="887"/>
      <c r="C115" s="888"/>
      <c r="D115" s="146" t="s">
        <v>183</v>
      </c>
      <c r="E115" s="237">
        <f>'28'!F115</f>
        <v>178</v>
      </c>
      <c r="F115" s="237">
        <v>347</v>
      </c>
      <c r="G115" s="112">
        <f t="shared" si="10"/>
        <v>169</v>
      </c>
      <c r="H115" s="99">
        <f>G115+'28'!H115</f>
        <v>10242.75</v>
      </c>
      <c r="I115" s="165"/>
      <c r="J115" s="328">
        <f>H115/DAY(B2)</f>
        <v>353.19827586206895</v>
      </c>
    </row>
    <row r="116" spans="1:18" ht="25.5">
      <c r="A116" s="893" t="s">
        <v>96</v>
      </c>
      <c r="B116" s="894"/>
      <c r="C116" s="895"/>
      <c r="D116" s="146" t="s">
        <v>183</v>
      </c>
      <c r="E116" s="237">
        <f>'28'!F116</f>
        <v>34114</v>
      </c>
      <c r="F116" s="237">
        <v>34414</v>
      </c>
      <c r="G116" s="112">
        <f t="shared" si="10"/>
        <v>300</v>
      </c>
      <c r="H116" s="99">
        <f>G116+'28'!H116</f>
        <v>-252</v>
      </c>
      <c r="I116" s="165"/>
      <c r="J116" s="328">
        <f>H116/DAY(B2)</f>
        <v>-8.6896551724137936</v>
      </c>
      <c r="Q116" s="886" t="s">
        <v>311</v>
      </c>
      <c r="R116" s="888"/>
    </row>
    <row r="117" spans="1:18" ht="25.5">
      <c r="A117" s="893" t="s">
        <v>184</v>
      </c>
      <c r="B117" s="894"/>
      <c r="C117" s="895"/>
      <c r="D117" s="146" t="s">
        <v>183</v>
      </c>
      <c r="E117" s="237">
        <f>'28'!F117</f>
        <v>18615</v>
      </c>
      <c r="F117" s="237">
        <v>18776</v>
      </c>
      <c r="G117" s="112">
        <f t="shared" si="10"/>
        <v>161</v>
      </c>
      <c r="H117" s="99">
        <f>G117+'28'!H117</f>
        <v>-160</v>
      </c>
      <c r="I117" s="165"/>
      <c r="J117" s="328">
        <f>H117/DAY(B2)</f>
        <v>-5.5172413793103452</v>
      </c>
      <c r="Q117" s="886" t="s">
        <v>312</v>
      </c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237">
        <f>'28'!F118</f>
        <v>7934</v>
      </c>
      <c r="F118" s="237">
        <v>8500</v>
      </c>
      <c r="G118" s="112">
        <f t="shared" si="10"/>
        <v>566</v>
      </c>
      <c r="H118" s="99">
        <f>G118+'28'!H118</f>
        <v>-563.00000000000091</v>
      </c>
      <c r="I118" s="165"/>
      <c r="J118" s="328">
        <f>H118/DAY(B2)</f>
        <v>-19.413793103448306</v>
      </c>
      <c r="Q118" s="886" t="s">
        <v>311</v>
      </c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237">
        <f>'28'!F119</f>
        <v>5007</v>
      </c>
      <c r="F119" s="237">
        <v>5441</v>
      </c>
      <c r="G119" s="112">
        <f t="shared" si="10"/>
        <v>434</v>
      </c>
      <c r="H119" s="99">
        <f>G119+'28'!H119</f>
        <v>289956</v>
      </c>
      <c r="I119" s="165"/>
      <c r="J119" s="328">
        <f>H119/DAY(B2)</f>
        <v>9998.4827586206902</v>
      </c>
    </row>
    <row r="120" spans="1:18" ht="25.5">
      <c r="A120" s="885" t="s">
        <v>99</v>
      </c>
      <c r="B120" s="885"/>
      <c r="C120" s="885"/>
      <c r="D120" s="151" t="s">
        <v>183</v>
      </c>
      <c r="E120" s="237">
        <f>'28'!F120</f>
        <v>6245</v>
      </c>
      <c r="F120" s="237">
        <v>6681</v>
      </c>
      <c r="G120" s="112">
        <f t="shared" si="10"/>
        <v>436</v>
      </c>
      <c r="H120" s="99">
        <f>G120+'28'!H120</f>
        <v>-454</v>
      </c>
      <c r="I120" s="165"/>
      <c r="J120" s="328">
        <f>H120/DAY(B2)</f>
        <v>-15.655172413793103</v>
      </c>
    </row>
    <row r="121" spans="1:18" ht="25.5">
      <c r="A121" s="885" t="s">
        <v>100</v>
      </c>
      <c r="B121" s="885"/>
      <c r="C121" s="885"/>
      <c r="D121" s="151" t="s">
        <v>183</v>
      </c>
      <c r="E121" s="237">
        <f>'28'!F121</f>
        <v>10893</v>
      </c>
      <c r="F121" s="237">
        <v>11274</v>
      </c>
      <c r="G121" s="112">
        <f t="shared" si="10"/>
        <v>381</v>
      </c>
      <c r="H121" s="99">
        <f>G121+'28'!H121</f>
        <v>-453</v>
      </c>
      <c r="I121" s="165"/>
      <c r="J121" s="328">
        <f>H121/DAY(B2)</f>
        <v>-15.620689655172415</v>
      </c>
    </row>
    <row r="122" spans="1:18" ht="25.5">
      <c r="A122" s="885" t="s">
        <v>101</v>
      </c>
      <c r="B122" s="885"/>
      <c r="C122" s="885"/>
      <c r="D122" s="151" t="s">
        <v>183</v>
      </c>
      <c r="E122" s="237">
        <f>'28'!F122</f>
        <v>3188</v>
      </c>
      <c r="F122" s="237">
        <v>3374</v>
      </c>
      <c r="G122" s="112">
        <f t="shared" si="10"/>
        <v>186</v>
      </c>
      <c r="H122" s="99">
        <f>G122+'28'!H122</f>
        <v>-190</v>
      </c>
      <c r="I122" s="165"/>
      <c r="J122" s="328">
        <f>H122/DAY(B2)</f>
        <v>-6.5517241379310347</v>
      </c>
    </row>
    <row r="123" spans="1:18" ht="25.5">
      <c r="A123" s="885" t="s">
        <v>102</v>
      </c>
      <c r="B123" s="885"/>
      <c r="C123" s="885"/>
      <c r="D123" s="151" t="s">
        <v>183</v>
      </c>
      <c r="E123" s="237">
        <f>'28'!F123</f>
        <v>329</v>
      </c>
      <c r="F123" s="237">
        <v>644</v>
      </c>
      <c r="G123" s="112">
        <f t="shared" si="10"/>
        <v>315</v>
      </c>
      <c r="H123" s="99">
        <f>G123+'28'!H123</f>
        <v>175232.53</v>
      </c>
      <c r="I123" s="165"/>
      <c r="J123" s="328">
        <f>H123/DAY(B2)</f>
        <v>6042.5010344827588</v>
      </c>
    </row>
    <row r="124" spans="1:18" ht="25.5">
      <c r="A124" s="890"/>
      <c r="B124" s="891"/>
      <c r="C124" s="892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868" t="s">
        <v>196</v>
      </c>
      <c r="B125" s="869"/>
      <c r="C125" s="245"/>
      <c r="D125" s="307"/>
      <c r="E125" s="308"/>
      <c r="F125" s="308"/>
      <c r="G125" s="309">
        <f>SUM(G112:G124)</f>
        <v>3401</v>
      </c>
      <c r="H125" s="156"/>
      <c r="I125" s="327">
        <f>G125-(G39+G53)</f>
        <v>552</v>
      </c>
      <c r="J125" s="327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886" t="s">
        <v>318</v>
      </c>
      <c r="B128" s="887"/>
      <c r="C128" s="888"/>
      <c r="D128" s="151" t="s">
        <v>183</v>
      </c>
      <c r="E128" s="95">
        <f>'28'!F128</f>
        <v>80594</v>
      </c>
      <c r="F128" s="165">
        <v>80987</v>
      </c>
      <c r="G128" s="112">
        <f t="shared" ref="G128:G134" si="11">F128-E128</f>
        <v>393</v>
      </c>
      <c r="H128" s="99">
        <f>G128+'28'!H128</f>
        <v>-428</v>
      </c>
      <c r="I128" s="165"/>
      <c r="J128" s="328">
        <f>H128/DAY(B2)</f>
        <v>-14.758620689655173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50450</v>
      </c>
      <c r="F129" s="165">
        <v>50785</v>
      </c>
      <c r="G129" s="112">
        <f t="shared" si="11"/>
        <v>335</v>
      </c>
      <c r="H129" s="99">
        <f>G129+'28'!H129</f>
        <v>-287</v>
      </c>
      <c r="I129" s="165"/>
      <c r="J129" s="328">
        <f>H129/DAY(B2)</f>
        <v>-9.8965517241379306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95252</v>
      </c>
      <c r="F130" s="618">
        <v>95967</v>
      </c>
      <c r="G130" s="112">
        <f t="shared" si="11"/>
        <v>715</v>
      </c>
      <c r="H130" s="99">
        <f>G130+'28'!H130</f>
        <v>-679</v>
      </c>
      <c r="I130" s="165"/>
      <c r="J130" s="328">
        <f>H130/DAY(B2)</f>
        <v>-23.413793103448278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95">
        <f>'28'!F131</f>
        <v>30020</v>
      </c>
      <c r="F131" s="165">
        <v>30223</v>
      </c>
      <c r="G131" s="112">
        <f t="shared" si="11"/>
        <v>203</v>
      </c>
      <c r="H131" s="99">
        <f>G131+'28'!H131</f>
        <v>-212</v>
      </c>
      <c r="I131" s="165"/>
      <c r="J131" s="328">
        <f>H131/DAY(B2)</f>
        <v>-7.3103448275862073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95">
        <f>'28'!F132</f>
        <v>87941</v>
      </c>
      <c r="F132" s="165">
        <v>88405</v>
      </c>
      <c r="G132" s="112">
        <f t="shared" si="11"/>
        <v>464</v>
      </c>
      <c r="H132" s="99">
        <f>G132+'28'!H132</f>
        <v>-532</v>
      </c>
      <c r="I132" s="165"/>
      <c r="J132" s="328">
        <f>H132/DAY(B2)</f>
        <v>-18.344827586206897</v>
      </c>
    </row>
    <row r="133" spans="1:15" ht="25.5">
      <c r="A133" s="886" t="s">
        <v>360</v>
      </c>
      <c r="B133" s="887"/>
      <c r="C133" s="888"/>
      <c r="D133" s="151" t="s">
        <v>183</v>
      </c>
      <c r="E133" s="95">
        <f>'28'!F133</f>
        <v>170761</v>
      </c>
      <c r="F133" s="165">
        <v>171604</v>
      </c>
      <c r="G133" s="112">
        <f t="shared" si="11"/>
        <v>843</v>
      </c>
      <c r="H133" s="99">
        <f>G133+'28'!H133</f>
        <v>-842</v>
      </c>
      <c r="I133" s="165"/>
      <c r="J133" s="328">
        <f>H133/DAY(B2)</f>
        <v>-29.03448275862069</v>
      </c>
    </row>
    <row r="134" spans="1:15" ht="25.5">
      <c r="A134" s="886" t="s">
        <v>340</v>
      </c>
      <c r="B134" s="887"/>
      <c r="C134" s="888"/>
      <c r="D134" s="151" t="s">
        <v>183</v>
      </c>
      <c r="E134" s="95">
        <f>'28'!F134</f>
        <v>27508</v>
      </c>
      <c r="F134" s="165">
        <v>27766</v>
      </c>
      <c r="G134" s="112">
        <f t="shared" si="11"/>
        <v>258</v>
      </c>
      <c r="H134" s="99">
        <f>G134+'28'!H134</f>
        <v>-327</v>
      </c>
      <c r="I134" s="165"/>
      <c r="J134" s="328">
        <f>H134/DAY(B2)</f>
        <v>-11.275862068965518</v>
      </c>
    </row>
    <row r="135" spans="1:15" ht="25.5">
      <c r="A135" s="868" t="s">
        <v>196</v>
      </c>
      <c r="B135" s="869"/>
      <c r="C135" s="331"/>
      <c r="D135" s="151"/>
      <c r="E135" s="95"/>
      <c r="F135" s="165" t="s">
        <v>367</v>
      </c>
      <c r="G135" s="112">
        <f>SUM(G127:G134)</f>
        <v>3211</v>
      </c>
      <c r="H135" s="99">
        <f>G135+'23'!H135</f>
        <v>39437.790000000008</v>
      </c>
      <c r="I135" s="327">
        <f>G135-(G35+G49)</f>
        <v>-904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85" t="s">
        <v>185</v>
      </c>
      <c r="B138" s="885"/>
      <c r="C138" s="885"/>
      <c r="D138" s="151" t="s">
        <v>183</v>
      </c>
      <c r="E138" s="95">
        <f>'28'!F138</f>
        <v>878489</v>
      </c>
      <c r="F138" s="147">
        <v>878643</v>
      </c>
      <c r="G138" s="112">
        <f t="shared" ref="G138:G151" si="12">F138-E138</f>
        <v>154</v>
      </c>
      <c r="H138" s="99">
        <f>G138+'28'!H138</f>
        <v>-141</v>
      </c>
      <c r="I138" s="118"/>
      <c r="J138" s="328">
        <f>H138/DAY(B2)</f>
        <v>-4.8620689655172411</v>
      </c>
    </row>
    <row r="139" spans="1:15" ht="25.5">
      <c r="A139" s="885" t="s">
        <v>186</v>
      </c>
      <c r="B139" s="885"/>
      <c r="C139" s="885"/>
      <c r="D139" s="151" t="s">
        <v>183</v>
      </c>
      <c r="E139" s="95">
        <f>'28'!F139</f>
        <v>894511</v>
      </c>
      <c r="F139" s="148">
        <v>894731</v>
      </c>
      <c r="G139" s="112">
        <f t="shared" si="12"/>
        <v>220</v>
      </c>
      <c r="H139" s="99">
        <f>G139+'28'!H139</f>
        <v>-135</v>
      </c>
      <c r="I139" s="118"/>
      <c r="J139" s="328">
        <f>H139/DAY(B2)</f>
        <v>-4.6551724137931032</v>
      </c>
    </row>
    <row r="140" spans="1:15" ht="25.5">
      <c r="A140" s="885" t="s">
        <v>187</v>
      </c>
      <c r="B140" s="885"/>
      <c r="C140" s="885"/>
      <c r="D140" s="151" t="s">
        <v>183</v>
      </c>
      <c r="E140" s="95">
        <f>'28'!F140</f>
        <v>112</v>
      </c>
      <c r="F140" s="149">
        <v>124</v>
      </c>
      <c r="G140" s="112">
        <f t="shared" si="12"/>
        <v>12</v>
      </c>
      <c r="H140" s="99">
        <f>G140+'28'!H140</f>
        <v>88920</v>
      </c>
      <c r="I140" s="118"/>
      <c r="J140" s="328">
        <f>H140/DAY(B2)</f>
        <v>3066.2068965517242</v>
      </c>
    </row>
    <row r="141" spans="1:15" ht="25.5">
      <c r="A141" s="864" t="s">
        <v>188</v>
      </c>
      <c r="B141" s="864"/>
      <c r="C141" s="864"/>
      <c r="D141" s="151" t="s">
        <v>183</v>
      </c>
      <c r="E141" s="95">
        <f>'28'!F141</f>
        <v>71339</v>
      </c>
      <c r="F141" s="149">
        <v>71551</v>
      </c>
      <c r="G141" s="112">
        <f t="shared" si="12"/>
        <v>212</v>
      </c>
      <c r="H141" s="99">
        <f>G141+'28'!H141</f>
        <v>-223</v>
      </c>
      <c r="I141" s="118"/>
      <c r="J141" s="328">
        <f>H141/DAY(B2)</f>
        <v>-7.6896551724137927</v>
      </c>
    </row>
    <row r="142" spans="1:15" ht="25.5">
      <c r="A142" s="864" t="s">
        <v>189</v>
      </c>
      <c r="B142" s="864"/>
      <c r="C142" s="864"/>
      <c r="D142" s="151" t="s">
        <v>183</v>
      </c>
      <c r="E142" s="95">
        <f>'28'!F142</f>
        <v>27322</v>
      </c>
      <c r="F142" s="148">
        <v>27392</v>
      </c>
      <c r="G142" s="112">
        <f t="shared" si="12"/>
        <v>70</v>
      </c>
      <c r="H142" s="99">
        <f>G142+'28'!H142</f>
        <v>-74</v>
      </c>
      <c r="I142" s="140"/>
      <c r="J142" s="328">
        <f>H142/DAY(B2)</f>
        <v>-2.5517241379310347</v>
      </c>
    </row>
    <row r="143" spans="1:15" ht="25.5">
      <c r="A143" s="885" t="s">
        <v>91</v>
      </c>
      <c r="B143" s="885"/>
      <c r="C143" s="885"/>
      <c r="D143" s="151" t="s">
        <v>183</v>
      </c>
      <c r="E143" s="95">
        <f>'28'!F143</f>
        <v>6356</v>
      </c>
      <c r="F143" s="149">
        <v>6390</v>
      </c>
      <c r="G143" s="112">
        <f t="shared" si="12"/>
        <v>34</v>
      </c>
      <c r="H143" s="99">
        <f>G143+'28'!H143</f>
        <v>-27</v>
      </c>
      <c r="I143" s="140"/>
      <c r="J143" s="328">
        <f>H143/DAY(B2)</f>
        <v>-0.93103448275862066</v>
      </c>
    </row>
    <row r="144" spans="1:15" ht="25.5">
      <c r="A144" s="864" t="s">
        <v>90</v>
      </c>
      <c r="B144" s="864"/>
      <c r="C144" s="864"/>
      <c r="D144" s="151" t="s">
        <v>183</v>
      </c>
      <c r="E144" s="95">
        <f>'28'!F144</f>
        <v>896726</v>
      </c>
      <c r="F144" s="149">
        <v>896977</v>
      </c>
      <c r="G144" s="112">
        <f t="shared" si="12"/>
        <v>251</v>
      </c>
      <c r="H144" s="99">
        <f>G144+'28'!H144</f>
        <v>-256</v>
      </c>
      <c r="I144" s="140"/>
      <c r="J144" s="328">
        <f>H144/DAY(B2)</f>
        <v>-8.8275862068965516</v>
      </c>
    </row>
    <row r="145" spans="1:10" ht="25.5">
      <c r="A145" s="885" t="s">
        <v>190</v>
      </c>
      <c r="B145" s="885"/>
      <c r="C145" s="885"/>
      <c r="D145" s="152" t="s">
        <v>183</v>
      </c>
      <c r="E145" s="95">
        <f>'28'!F145</f>
        <v>5623</v>
      </c>
      <c r="F145" s="149">
        <v>5626</v>
      </c>
      <c r="G145" s="112">
        <f t="shared" si="12"/>
        <v>3</v>
      </c>
      <c r="H145" s="99">
        <f>G145+'28'!H145</f>
        <v>-2</v>
      </c>
      <c r="I145" s="140"/>
      <c r="J145" s="328">
        <f>H145/DAY(B2)</f>
        <v>-6.8965517241379309E-2</v>
      </c>
    </row>
    <row r="146" spans="1:10" ht="25.5">
      <c r="A146" s="920" t="s">
        <v>191</v>
      </c>
      <c r="B146" s="905"/>
      <c r="C146" s="906"/>
      <c r="D146" s="152" t="s">
        <v>183</v>
      </c>
      <c r="E146" s="95">
        <f>'28'!F146</f>
        <v>776454</v>
      </c>
      <c r="F146" s="148">
        <v>776454</v>
      </c>
      <c r="G146" s="112">
        <f t="shared" si="12"/>
        <v>0</v>
      </c>
      <c r="H146" s="99">
        <f>G146+'28'!H146</f>
        <v>0</v>
      </c>
      <c r="I146" s="140"/>
      <c r="J146" s="328">
        <f>H146/DAY(B2)</f>
        <v>0</v>
      </c>
    </row>
    <row r="147" spans="1:10" ht="25.5">
      <c r="A147" s="864" t="s">
        <v>192</v>
      </c>
      <c r="B147" s="864"/>
      <c r="C147" s="864"/>
      <c r="D147" s="152" t="s">
        <v>183</v>
      </c>
      <c r="E147" s="95">
        <f>'28'!F147</f>
        <v>662375</v>
      </c>
      <c r="F147" s="148">
        <v>662776</v>
      </c>
      <c r="G147" s="112">
        <f t="shared" si="12"/>
        <v>401</v>
      </c>
      <c r="H147" s="99">
        <f>G147+'28'!H147</f>
        <v>-452</v>
      </c>
      <c r="I147" s="140"/>
      <c r="J147" s="328">
        <f>H147/DAY(B2)</f>
        <v>-15.586206896551724</v>
      </c>
    </row>
    <row r="148" spans="1:10" ht="25.5">
      <c r="A148" s="865" t="s">
        <v>193</v>
      </c>
      <c r="B148" s="866"/>
      <c r="C148" s="867"/>
      <c r="D148" s="123" t="s">
        <v>130</v>
      </c>
      <c r="E148" s="95">
        <f>'28'!F148</f>
        <v>719054</v>
      </c>
      <c r="F148" s="150">
        <v>719550</v>
      </c>
      <c r="G148" s="112">
        <f t="shared" si="12"/>
        <v>496</v>
      </c>
      <c r="H148" s="99">
        <f>G148+'28'!H148</f>
        <v>-366</v>
      </c>
      <c r="I148" s="124"/>
      <c r="J148" s="328">
        <f>H148/DAY(B2)</f>
        <v>-12.620689655172415</v>
      </c>
    </row>
    <row r="149" spans="1:10" ht="25.5">
      <c r="A149" s="865" t="s">
        <v>336</v>
      </c>
      <c r="B149" s="866"/>
      <c r="C149" s="867"/>
      <c r="D149" s="227" t="s">
        <v>130</v>
      </c>
      <c r="E149" s="95">
        <f>'28'!F149</f>
        <v>82180</v>
      </c>
      <c r="F149" s="146">
        <v>82762</v>
      </c>
      <c r="G149" s="112">
        <f t="shared" si="12"/>
        <v>582</v>
      </c>
      <c r="H149" s="99">
        <f>G149+'28'!H149</f>
        <v>-626</v>
      </c>
      <c r="I149" s="119"/>
      <c r="J149" s="328">
        <f>H149/DAY(B2)</f>
        <v>-21.586206896551722</v>
      </c>
    </row>
    <row r="150" spans="1:10" ht="25.5">
      <c r="A150" s="865" t="s">
        <v>337</v>
      </c>
      <c r="B150" s="866"/>
      <c r="C150" s="867"/>
      <c r="D150" s="117" t="s">
        <v>130</v>
      </c>
      <c r="E150" s="95">
        <f>'28'!F150</f>
        <v>30164</v>
      </c>
      <c r="F150" s="233">
        <v>30375</v>
      </c>
      <c r="G150" s="112">
        <f t="shared" si="12"/>
        <v>211</v>
      </c>
      <c r="H150" s="99">
        <f>G150+'28'!H150</f>
        <v>-212</v>
      </c>
      <c r="I150" s="119"/>
      <c r="J150" s="328">
        <f>H150/DAY(B2)</f>
        <v>-7.3103448275862073</v>
      </c>
    </row>
    <row r="151" spans="1:10" ht="25.5">
      <c r="A151" s="865" t="s">
        <v>338</v>
      </c>
      <c r="B151" s="866"/>
      <c r="C151" s="867"/>
      <c r="D151" s="117" t="s">
        <v>130</v>
      </c>
      <c r="E151" s="95">
        <f>'28'!F151</f>
        <v>108560</v>
      </c>
      <c r="F151" s="233">
        <v>108877</v>
      </c>
      <c r="G151" s="112">
        <f t="shared" si="12"/>
        <v>317</v>
      </c>
      <c r="H151" s="99">
        <f>G151+'28'!H151</f>
        <v>-351</v>
      </c>
      <c r="I151" s="119"/>
      <c r="J151" s="328">
        <f>H151/DAY(B2)</f>
        <v>-12.103448275862069</v>
      </c>
    </row>
    <row r="152" spans="1:10" ht="25.5">
      <c r="A152" s="865" t="s">
        <v>339</v>
      </c>
      <c r="B152" s="866"/>
      <c r="C152" s="867"/>
      <c r="D152" s="117" t="s">
        <v>130</v>
      </c>
      <c r="E152" s="95">
        <f>'28'!F152</f>
        <v>10926</v>
      </c>
      <c r="F152" s="233">
        <v>11028</v>
      </c>
      <c r="G152" s="112">
        <f>F152-E152</f>
        <v>102</v>
      </c>
      <c r="H152" s="99">
        <f>G152+'28'!H152</f>
        <v>-128</v>
      </c>
      <c r="I152" s="119"/>
      <c r="J152" s="328">
        <f>H152/DAY(B2)</f>
        <v>-4.4137931034482758</v>
      </c>
    </row>
    <row r="153" spans="1:10" ht="25.5">
      <c r="A153" s="868" t="s">
        <v>196</v>
      </c>
      <c r="B153" s="869"/>
      <c r="C153" s="365"/>
      <c r="D153" s="358"/>
      <c r="E153" s="360"/>
      <c r="F153" s="361"/>
      <c r="G153" s="362">
        <f>SUM(G138:G152)</f>
        <v>3065</v>
      </c>
      <c r="H153" s="363"/>
      <c r="I153" s="119">
        <f>G153-(G38+G52)</f>
        <v>666</v>
      </c>
      <c r="J153" s="366"/>
    </row>
    <row r="154" spans="1:10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27.75">
      <c r="A155" s="864" t="s">
        <v>345</v>
      </c>
      <c r="B155" s="864"/>
      <c r="C155" s="864"/>
      <c r="D155" s="117" t="s">
        <v>130</v>
      </c>
      <c r="E155" s="95">
        <f>'28'!F155</f>
        <v>91384</v>
      </c>
      <c r="F155" s="389">
        <v>92062</v>
      </c>
      <c r="G155" s="112">
        <f t="shared" ref="G155:G158" si="13">F155-E155</f>
        <v>678</v>
      </c>
      <c r="H155" s="99">
        <f>G155+'28'!H155</f>
        <v>-670</v>
      </c>
      <c r="I155" s="364"/>
      <c r="J155" s="328">
        <f>H155/DAY(B2)</f>
        <v>-23.103448275862068</v>
      </c>
    </row>
    <row r="156" spans="1:10" ht="25.5">
      <c r="A156" s="864" t="s">
        <v>347</v>
      </c>
      <c r="B156" s="864"/>
      <c r="C156" s="864"/>
      <c r="D156" s="117" t="s">
        <v>130</v>
      </c>
      <c r="E156" s="95">
        <f>'28'!F156</f>
        <v>7580</v>
      </c>
      <c r="F156" s="155">
        <v>7631</v>
      </c>
      <c r="G156" s="112">
        <f t="shared" si="13"/>
        <v>51</v>
      </c>
      <c r="H156" s="99">
        <f>G156+'28'!H156</f>
        <v>-60</v>
      </c>
      <c r="I156" s="165"/>
      <c r="J156" s="328">
        <f>H156/DAY(B2)</f>
        <v>-2.0689655172413794</v>
      </c>
    </row>
    <row r="157" spans="1:10" ht="25.5">
      <c r="A157" s="865" t="s">
        <v>361</v>
      </c>
      <c r="B157" s="866"/>
      <c r="C157" s="867"/>
      <c r="D157" s="117" t="s">
        <v>130</v>
      </c>
      <c r="E157" s="95">
        <f>'28'!F157</f>
        <v>13283</v>
      </c>
      <c r="F157" s="155">
        <v>13380</v>
      </c>
      <c r="G157" s="112">
        <f t="shared" si="13"/>
        <v>97</v>
      </c>
      <c r="H157" s="99">
        <f>G157+'28'!H157</f>
        <v>97</v>
      </c>
      <c r="I157" s="165"/>
      <c r="J157" s="328">
        <f>H157/DAY(B2)</f>
        <v>3.3448275862068964</v>
      </c>
    </row>
    <row r="158" spans="1:10" ht="25.5">
      <c r="A158" s="865" t="s">
        <v>362</v>
      </c>
      <c r="B158" s="866"/>
      <c r="C158" s="867"/>
      <c r="D158" s="117" t="s">
        <v>130</v>
      </c>
      <c r="E158" s="95">
        <f>'28'!F158</f>
        <v>104</v>
      </c>
      <c r="F158" s="155">
        <v>105</v>
      </c>
      <c r="G158" s="112">
        <f t="shared" si="13"/>
        <v>1</v>
      </c>
      <c r="H158" s="99">
        <f>G158+'28'!H158</f>
        <v>1</v>
      </c>
      <c r="I158" s="165"/>
      <c r="J158" s="328">
        <f>H158/DAY(B2)</f>
        <v>3.4482758620689655E-2</v>
      </c>
    </row>
    <row r="159" spans="1:10" ht="25.5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474736</v>
      </c>
      <c r="F161" s="235">
        <v>474760</v>
      </c>
      <c r="G161" s="238">
        <f t="shared" ref="G161:G165" si="14">F161-E161</f>
        <v>24</v>
      </c>
      <c r="H161" s="99">
        <f>G161+'28'!H161</f>
        <v>-23</v>
      </c>
      <c r="I161" s="236"/>
      <c r="J161" s="239">
        <f>H161/DAY(B2)</f>
        <v>-0.7931034482758621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91468</v>
      </c>
      <c r="F162" s="235">
        <v>91509</v>
      </c>
      <c r="G162" s="238">
        <f t="shared" si="14"/>
        <v>41</v>
      </c>
      <c r="H162" s="99">
        <f>G162+'28'!H162</f>
        <v>-38</v>
      </c>
      <c r="I162" s="236"/>
      <c r="J162" s="239">
        <f>H162/DAY(B2)</f>
        <v>-1.3103448275862069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91690</v>
      </c>
      <c r="F163" s="235">
        <v>91868</v>
      </c>
      <c r="G163" s="238">
        <f t="shared" si="14"/>
        <v>178</v>
      </c>
      <c r="H163" s="99">
        <f>G163+'28'!H163</f>
        <v>-168</v>
      </c>
      <c r="I163" s="236"/>
      <c r="J163" s="239">
        <f>H163/DAY(B2)</f>
        <v>-5.7931034482758621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5159</v>
      </c>
      <c r="F164" s="235">
        <v>5171</v>
      </c>
      <c r="G164" s="238">
        <f t="shared" si="14"/>
        <v>12</v>
      </c>
      <c r="H164" s="99">
        <f>G164+'28'!H164</f>
        <v>-11</v>
      </c>
      <c r="I164" s="236"/>
      <c r="J164" s="239">
        <f>H164/DAY(B2)</f>
        <v>-0.37931034482758619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30610</v>
      </c>
      <c r="F165" s="235">
        <v>30622</v>
      </c>
      <c r="G165" s="238">
        <f t="shared" si="14"/>
        <v>12</v>
      </c>
      <c r="H165" s="99">
        <f>G165+'28'!H165</f>
        <v>-12</v>
      </c>
      <c r="I165" s="236"/>
      <c r="J165" s="239">
        <f>H165/DAY(B2)</f>
        <v>-0.41379310344827586</v>
      </c>
    </row>
    <row r="166" spans="1:10" ht="26.25">
      <c r="A166" s="873"/>
      <c r="B166" s="873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95">
        <f>'28'!F173</f>
        <v>8261</v>
      </c>
      <c r="F173" s="155">
        <v>8261</v>
      </c>
      <c r="G173" s="155">
        <f>F173-E173</f>
        <v>0</v>
      </c>
      <c r="H173" s="99">
        <f>G173+'28'!H173</f>
        <v>122</v>
      </c>
      <c r="I173" s="155"/>
      <c r="J173" s="178">
        <f>H173/DAY(B2)</f>
        <v>4.2068965517241379</v>
      </c>
    </row>
    <row r="174" spans="1:10" ht="25.5">
      <c r="A174" s="879" t="s">
        <v>75</v>
      </c>
      <c r="B174" s="880"/>
      <c r="C174" s="333"/>
      <c r="D174" s="228" t="s">
        <v>142</v>
      </c>
      <c r="E174" s="95">
        <f>'28'!F174</f>
        <v>39899</v>
      </c>
      <c r="F174" s="157">
        <v>39914</v>
      </c>
      <c r="G174" s="155">
        <f t="shared" ref="G174:G175" si="15">F174-E174</f>
        <v>15</v>
      </c>
      <c r="H174" s="99">
        <f>G174+'28'!H174</f>
        <v>-14</v>
      </c>
      <c r="I174" s="155"/>
      <c r="J174" s="178">
        <f>H174/DAY(B2)</f>
        <v>-0.48275862068965519</v>
      </c>
    </row>
    <row r="175" spans="1:10" ht="25.5">
      <c r="A175" s="879" t="s">
        <v>76</v>
      </c>
      <c r="B175" s="919"/>
      <c r="C175" s="880"/>
      <c r="D175" s="228" t="s">
        <v>142</v>
      </c>
      <c r="E175" s="95">
        <f>'28'!F175</f>
        <v>22866</v>
      </c>
      <c r="F175" s="155">
        <v>22878</v>
      </c>
      <c r="G175" s="155">
        <f t="shared" si="15"/>
        <v>12</v>
      </c>
      <c r="H175" s="99">
        <f>G175+'28'!H175</f>
        <v>-11</v>
      </c>
      <c r="I175" s="155"/>
      <c r="J175" s="178">
        <f>H175/DAY(B2)</f>
        <v>-0.37931034482758619</v>
      </c>
    </row>
    <row r="176" spans="1:10" ht="25.5">
      <c r="A176" s="868" t="s">
        <v>196</v>
      </c>
      <c r="B176" s="869"/>
      <c r="C176" s="401"/>
      <c r="D176" s="228"/>
      <c r="E176" s="95"/>
      <c r="F176" s="155"/>
      <c r="G176" s="155">
        <f>SUM(G173:G175)</f>
        <v>27</v>
      </c>
      <c r="H176" s="99">
        <f>G176+'28'!H176</f>
        <v>97</v>
      </c>
      <c r="I176" s="155"/>
      <c r="J176" s="178">
        <f>H176/DAY(B2)</f>
        <v>3.3448275862068964</v>
      </c>
    </row>
    <row r="177" spans="1:10" ht="25.5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95">
        <f>'28'!F178</f>
        <v>88411</v>
      </c>
      <c r="F178" s="155">
        <v>88517</v>
      </c>
      <c r="G178" s="155">
        <f>F178-E178</f>
        <v>106</v>
      </c>
      <c r="H178" s="99">
        <f>G178+'28'!H178</f>
        <v>-86</v>
      </c>
      <c r="I178" s="155"/>
      <c r="J178" s="178">
        <f>H178/DAY(B2)</f>
        <v>-2.9655172413793105</v>
      </c>
    </row>
    <row r="179" spans="1:10" ht="25.5">
      <c r="A179" s="879" t="s">
        <v>211</v>
      </c>
      <c r="B179" s="880"/>
      <c r="C179" s="333"/>
      <c r="D179" s="228" t="s">
        <v>142</v>
      </c>
      <c r="E179" s="95">
        <f>'28'!F179</f>
        <v>35772</v>
      </c>
      <c r="F179" s="155">
        <v>35773</v>
      </c>
      <c r="G179" s="155">
        <f t="shared" ref="G179:G180" si="16">F179-E179</f>
        <v>1</v>
      </c>
      <c r="H179" s="99">
        <f>G179+'28'!H179</f>
        <v>0</v>
      </c>
      <c r="I179" s="155"/>
      <c r="J179" s="178">
        <f>H179/DAY(B2)</f>
        <v>0</v>
      </c>
    </row>
    <row r="180" spans="1:10" ht="25.5">
      <c r="A180" s="879" t="s">
        <v>212</v>
      </c>
      <c r="B180" s="880"/>
      <c r="C180" s="333"/>
      <c r="D180" s="228" t="s">
        <v>142</v>
      </c>
      <c r="E180" s="95">
        <f>'28'!F180</f>
        <v>6363</v>
      </c>
      <c r="F180" s="155">
        <v>6368</v>
      </c>
      <c r="G180" s="155">
        <f t="shared" si="16"/>
        <v>5</v>
      </c>
      <c r="H180" s="99">
        <f>G180+'28'!H180</f>
        <v>-21</v>
      </c>
      <c r="I180" s="155"/>
      <c r="J180" s="178">
        <f>H180/DAY(B2)</f>
        <v>-0.72413793103448276</v>
      </c>
    </row>
    <row r="181" spans="1:10" ht="25.5">
      <c r="A181" s="881" t="s">
        <v>108</v>
      </c>
      <c r="B181" s="882"/>
      <c r="C181" s="401"/>
      <c r="D181" s="228"/>
      <c r="E181" s="95"/>
      <c r="F181" s="155"/>
      <c r="G181" s="155">
        <f>SUM(G178:G180)</f>
        <v>112</v>
      </c>
      <c r="H181" s="99">
        <f>G181+'28'!H181</f>
        <v>-107</v>
      </c>
      <c r="I181" s="155"/>
      <c r="J181" s="178">
        <f>H181/DAY(B2)</f>
        <v>-3.6896551724137931</v>
      </c>
    </row>
    <row r="182" spans="1:10" ht="25.5">
      <c r="A182" s="879" t="s">
        <v>213</v>
      </c>
      <c r="B182" s="880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95">
        <f>'28'!F183</f>
        <v>16594</v>
      </c>
      <c r="F183" s="157">
        <v>16609</v>
      </c>
      <c r="G183" s="157">
        <f>F183-E183</f>
        <v>15</v>
      </c>
      <c r="H183" s="99">
        <f>G183+'28'!H183</f>
        <v>-13</v>
      </c>
      <c r="I183" s="155"/>
      <c r="J183" s="178">
        <f>H183/DAY(B2)</f>
        <v>-0.44827586206896552</v>
      </c>
    </row>
    <row r="184" spans="1:10" ht="25.5">
      <c r="A184" s="879" t="s">
        <v>215</v>
      </c>
      <c r="B184" s="880"/>
      <c r="C184" s="334"/>
      <c r="D184" s="228" t="s">
        <v>142</v>
      </c>
      <c r="E184" s="95">
        <f>'28'!F184</f>
        <v>11262</v>
      </c>
      <c r="F184" s="157">
        <v>11268</v>
      </c>
      <c r="G184" s="157">
        <f t="shared" ref="G184:G185" si="17">F184-E184</f>
        <v>6</v>
      </c>
      <c r="H184" s="99">
        <f>G184+'28'!H184</f>
        <v>-6</v>
      </c>
      <c r="I184" s="155"/>
      <c r="J184" s="178">
        <f>H184/DAY(B2)</f>
        <v>-0.20689655172413793</v>
      </c>
    </row>
    <row r="185" spans="1:10" ht="25.5">
      <c r="A185" s="879" t="s">
        <v>216</v>
      </c>
      <c r="B185" s="880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400"/>
      <c r="D186" s="229"/>
      <c r="E186" s="95"/>
      <c r="F186" s="157"/>
      <c r="G186" s="157">
        <f>SUM(G183:G185)</f>
        <v>21</v>
      </c>
      <c r="H186" s="99">
        <f>G186+'28'!H186</f>
        <v>-19</v>
      </c>
      <c r="I186" s="157"/>
      <c r="J186" s="178">
        <f>H186/DAY(B2)</f>
        <v>-0.65517241379310343</v>
      </c>
    </row>
    <row r="187" spans="1:10" ht="25.5">
      <c r="A187" s="870" t="s">
        <v>217</v>
      </c>
      <c r="B187" s="871"/>
      <c r="C187" s="333"/>
      <c r="D187" s="230" t="s">
        <v>142</v>
      </c>
      <c r="E187" s="95">
        <f>'28'!F187</f>
        <v>0</v>
      </c>
      <c r="F187" s="159"/>
      <c r="G187" s="467">
        <f>G62+G19</f>
        <v>220</v>
      </c>
      <c r="H187" s="99">
        <f>G187+'28'!H187</f>
        <v>-221</v>
      </c>
      <c r="I187" s="158"/>
      <c r="J187" s="179">
        <f>H187/DAY(B2)</f>
        <v>-7.6206896551724137</v>
      </c>
    </row>
    <row r="188" spans="1:10" ht="25.5">
      <c r="A188" s="870" t="s">
        <v>218</v>
      </c>
      <c r="B188" s="871"/>
      <c r="C188" s="333"/>
      <c r="D188" s="230" t="s">
        <v>142</v>
      </c>
      <c r="E188" s="95">
        <f>'28'!F188</f>
        <v>0</v>
      </c>
      <c r="F188" s="159"/>
      <c r="G188" s="467">
        <f>G65+G66+G67+G69+G70</f>
        <v>228</v>
      </c>
      <c r="H188" s="99">
        <f>G188+'28'!H188</f>
        <v>-8376</v>
      </c>
      <c r="I188" s="158"/>
      <c r="J188" s="179">
        <f>H188/DAY(B2)</f>
        <v>-288.82758620689657</v>
      </c>
    </row>
    <row r="189" spans="1:10" ht="25.5">
      <c r="A189" s="870" t="s">
        <v>219</v>
      </c>
      <c r="B189" s="871"/>
      <c r="C189" s="333"/>
      <c r="D189" s="230" t="s">
        <v>142</v>
      </c>
      <c r="E189" s="95">
        <f>'28'!F189</f>
        <v>0</v>
      </c>
      <c r="F189" s="157"/>
      <c r="G189" s="417">
        <f>G181</f>
        <v>112</v>
      </c>
      <c r="H189" s="99">
        <f>G189+'28'!H189</f>
        <v>1274</v>
      </c>
      <c r="I189" s="158"/>
      <c r="J189" s="179">
        <f>H189/DAY(B2)</f>
        <v>43.931034482758619</v>
      </c>
    </row>
    <row r="190" spans="1:10" ht="25.5">
      <c r="A190" s="877"/>
      <c r="B190" s="878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topLeftCell="A64" zoomScale="55" zoomScaleNormal="55" zoomScaleSheetLayoutView="55" workbookViewId="0">
      <selection activeCell="E15" sqref="E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30.75" customHeight="1">
      <c r="A2" s="191" t="s">
        <v>303</v>
      </c>
      <c r="B2" s="262">
        <v>44681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32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0.72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796889</v>
      </c>
      <c r="F7" s="95">
        <f>E7+27000</f>
        <v>823889</v>
      </c>
      <c r="G7" s="112">
        <f>F7-E7</f>
        <v>27000</v>
      </c>
      <c r="H7" s="99">
        <f>G7+'29'!H7</f>
        <v>812663</v>
      </c>
      <c r="I7" s="113">
        <f>'1'!I7</f>
        <v>12000</v>
      </c>
      <c r="J7" s="175">
        <f>H7/DAY(B2)</f>
        <v>27088.766666666666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114">
        <v>888604</v>
      </c>
      <c r="F8" s="114">
        <f>E8+26500</f>
        <v>915104</v>
      </c>
      <c r="G8" s="112">
        <f>F8-E8</f>
        <v>26500</v>
      </c>
      <c r="H8" s="99">
        <f>G8+'29'!H8</f>
        <v>815912.27999999991</v>
      </c>
      <c r="I8" s="116"/>
      <c r="J8" s="175">
        <f>H8/DAY(B2)</f>
        <v>27197.075999999997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1851514</v>
      </c>
      <c r="F9" s="470">
        <f>E9+16000</f>
        <v>1867514</v>
      </c>
      <c r="G9" s="357">
        <f>F9-E9</f>
        <v>16000</v>
      </c>
      <c r="H9" s="99">
        <f>G9+'29'!H9</f>
        <v>542515</v>
      </c>
      <c r="I9" s="124">
        <f>I7-J7</f>
        <v>-15088.766666666666</v>
      </c>
      <c r="J9" s="175">
        <f>H9/DAY(B2)</f>
        <v>18083.833333333332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618463</v>
      </c>
      <c r="F10" s="353">
        <f>E10+8500</f>
        <v>626963</v>
      </c>
      <c r="G10" s="112">
        <f t="shared" ref="G10:G12" si="0">F10-E10</f>
        <v>8500</v>
      </c>
      <c r="H10" s="99">
        <f>G10+'29'!H10</f>
        <v>222690</v>
      </c>
      <c r="I10" s="282"/>
      <c r="J10" s="175">
        <f>H10/DAY(B2)</f>
        <v>7423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G13+'29'!H13</f>
        <v>762688.75</v>
      </c>
      <c r="I13" s="120">
        <f>G7-G13</f>
        <v>2500</v>
      </c>
      <c r="J13" s="175">
        <f>H13/DAY(B2)</f>
        <v>25422.958333333332</v>
      </c>
      <c r="K13" s="79"/>
      <c r="L13" s="66"/>
      <c r="N13" s="87"/>
      <c r="O13" s="71"/>
    </row>
    <row r="14" spans="1:15" ht="30.75" customHeight="1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70" t="e">
        <f>D15+1100</f>
        <v>#VALUE!</v>
      </c>
      <c r="F15" s="470">
        <v>2003727</v>
      </c>
      <c r="G15" s="112" t="e">
        <f>(F15-E15)</f>
        <v>#VALUE!</v>
      </c>
      <c r="H15" s="99" t="e">
        <f>G15+'29'!H15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30.75" customHeight="1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907" t="s">
        <v>141</v>
      </c>
      <c r="B18" s="908"/>
      <c r="C18" s="909"/>
      <c r="D18" s="151" t="s">
        <v>142</v>
      </c>
      <c r="E18" s="95">
        <f>'29'!F18</f>
        <v>26</v>
      </c>
      <c r="F18" s="122">
        <v>33</v>
      </c>
      <c r="G18" s="119">
        <f>F18*10</f>
        <v>330</v>
      </c>
      <c r="H18" s="99">
        <f>G18+'29'!H18</f>
        <v>7120</v>
      </c>
      <c r="I18" s="113">
        <f>'1'!I18</f>
        <v>65</v>
      </c>
      <c r="J18" s="175">
        <f>H18/DAY(B2)</f>
        <v>237.33333333333334</v>
      </c>
      <c r="K18" s="79"/>
      <c r="L18" s="66"/>
      <c r="N18" s="87"/>
      <c r="O18" s="71"/>
    </row>
    <row r="19" spans="1:15" ht="30.75" customHeight="1">
      <c r="A19" s="907" t="s">
        <v>69</v>
      </c>
      <c r="B19" s="908"/>
      <c r="C19" s="909"/>
      <c r="D19" s="151" t="s">
        <v>142</v>
      </c>
      <c r="E19" s="95">
        <f>'29'!F19</f>
        <v>158405</v>
      </c>
      <c r="F19" s="122">
        <v>158454</v>
      </c>
      <c r="G19" s="112">
        <f t="shared" ref="G19" si="1">F19-E19</f>
        <v>49</v>
      </c>
      <c r="H19" s="99">
        <f>G19+'29'!H19</f>
        <v>0</v>
      </c>
      <c r="I19" s="335"/>
      <c r="J19" s="175">
        <f>H19/DAY(B2)</f>
        <v>0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379</v>
      </c>
      <c r="H20" s="99">
        <f>G20+'29'!H20</f>
        <v>7120</v>
      </c>
      <c r="I20" s="336">
        <f>I18-J20</f>
        <v>-172.33333333333334</v>
      </c>
      <c r="J20" s="175">
        <f>H20/DAY(B2)</f>
        <v>237.33333333333334</v>
      </c>
      <c r="K20" s="79"/>
      <c r="L20" s="66"/>
      <c r="N20" s="87"/>
      <c r="O20" s="71"/>
    </row>
    <row r="21" spans="1:15" ht="30.75" customHeight="1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26500</v>
      </c>
      <c r="F27" s="136">
        <v>9</v>
      </c>
      <c r="G27" s="137">
        <f>E27*F27</f>
        <v>238500</v>
      </c>
      <c r="H27" s="99">
        <f>G27+'29'!H27</f>
        <v>7343210.5200000005</v>
      </c>
      <c r="I27" s="138"/>
      <c r="J27" s="175">
        <f>H27/DAY(B2)</f>
        <v>244773.68400000001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 t="e">
        <f>G15</f>
        <v>#VALUE!</v>
      </c>
      <c r="F28" s="136">
        <v>70</v>
      </c>
      <c r="G28" s="137" t="e">
        <f>E28*F28</f>
        <v>#VALUE!</v>
      </c>
      <c r="H28" s="99" t="e">
        <f>G28+'29'!H28</f>
        <v>#VALUE!</v>
      </c>
      <c r="I28" s="140"/>
      <c r="J28" s="175" t="e">
        <f>H28/DAY(B2)</f>
        <v>#VALUE!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G30+'29'!H30</f>
        <v>-1305</v>
      </c>
      <c r="I30" s="140"/>
      <c r="J30" s="175">
        <f>H30/DAY(B2)</f>
        <v>-43.5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330</v>
      </c>
      <c r="F31" s="136">
        <v>80</v>
      </c>
      <c r="G31" s="137">
        <f>E31*F31</f>
        <v>26400</v>
      </c>
      <c r="H31" s="99">
        <f>G31+'29'!H31</f>
        <v>569600</v>
      </c>
      <c r="I31" s="140"/>
      <c r="J31" s="175">
        <f>H31/DAY(B2)</f>
        <v>18986.666666666668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 t="e">
        <f>G27+G28+G29+G30+G31</f>
        <v>#VALUE!</v>
      </c>
      <c r="H32" s="99" t="e">
        <f>G32+'29'!H32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30.75" customHeight="1">
      <c r="A33" s="939" t="s">
        <v>331</v>
      </c>
      <c r="B33" s="940"/>
      <c r="C33" s="940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200522</v>
      </c>
      <c r="F35" s="145">
        <v>202885</v>
      </c>
      <c r="G35" s="112">
        <f t="shared" ref="G35:G46" si="3">F35-E35</f>
        <v>2363</v>
      </c>
      <c r="H35" s="99">
        <f>G35+'29'!H35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130448</v>
      </c>
      <c r="F36" s="145">
        <v>131579</v>
      </c>
      <c r="G36" s="112">
        <f t="shared" si="3"/>
        <v>1131</v>
      </c>
      <c r="H36" s="99">
        <f>G36+'29'!H36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181319</v>
      </c>
      <c r="F37" s="145">
        <v>183125</v>
      </c>
      <c r="G37" s="112">
        <f t="shared" si="3"/>
        <v>1806</v>
      </c>
      <c r="H37" s="99">
        <f>G37+'29'!H37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240952</v>
      </c>
      <c r="F38" s="108">
        <v>243452</v>
      </c>
      <c r="G38" s="112">
        <f t="shared" si="3"/>
        <v>2500</v>
      </c>
      <c r="H38" s="99">
        <f>G38+'29'!H38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337088</v>
      </c>
      <c r="F39" s="145">
        <v>339988</v>
      </c>
      <c r="G39" s="112">
        <f t="shared" si="3"/>
        <v>2900</v>
      </c>
      <c r="H39" s="99">
        <f>G39+'29'!H39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64163</v>
      </c>
      <c r="F40" s="145">
        <v>64877</v>
      </c>
      <c r="G40" s="112">
        <f t="shared" si="3"/>
        <v>714</v>
      </c>
      <c r="H40" s="99">
        <f>G40+'29'!H40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27378</v>
      </c>
      <c r="F41" s="145">
        <v>27693</v>
      </c>
      <c r="G41" s="112">
        <f t="shared" si="3"/>
        <v>315</v>
      </c>
      <c r="H41" s="99">
        <f>G41+'29'!H41</f>
        <v>-5.4569682106375694E-12</v>
      </c>
      <c r="I41" s="95"/>
      <c r="J41" s="175">
        <f>H41/DAY(B2)</f>
        <v>-1.8189894035458566E-13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419528</v>
      </c>
      <c r="F42" s="145">
        <v>425801</v>
      </c>
      <c r="G42" s="112">
        <f t="shared" si="3"/>
        <v>6273</v>
      </c>
      <c r="H42" s="99">
        <f>G42+'29'!H42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354111</v>
      </c>
      <c r="F43" s="145">
        <v>357519</v>
      </c>
      <c r="G43" s="112">
        <f t="shared" si="3"/>
        <v>3408</v>
      </c>
      <c r="H43" s="99">
        <f>G43+'29'!H43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21410</v>
      </c>
      <c r="H47" s="99">
        <f>G47+'29'!H47</f>
        <v>5.8207660913467407E-11</v>
      </c>
      <c r="I47" s="95"/>
      <c r="J47" s="175">
        <f>H47/DAY(B2)</f>
        <v>1.9402553637822469E-12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163296</v>
      </c>
      <c r="F49" s="145">
        <v>165170</v>
      </c>
      <c r="G49" s="112">
        <f t="shared" ref="G49:G58" si="4">F49-E49</f>
        <v>1874</v>
      </c>
      <c r="H49" s="99">
        <f>G49+'29'!H49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170825</v>
      </c>
      <c r="F50" s="145">
        <v>172607</v>
      </c>
      <c r="G50" s="112">
        <f t="shared" si="4"/>
        <v>1782</v>
      </c>
      <c r="H50" s="99">
        <f>G50+'29'!H50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76</v>
      </c>
      <c r="F51" s="145">
        <v>75.680000000000007</v>
      </c>
      <c r="G51" s="112">
        <f t="shared" si="4"/>
        <v>-0.31999999999999318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419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49603</v>
      </c>
      <c r="F54" s="419">
        <v>50083</v>
      </c>
      <c r="G54" s="112">
        <f t="shared" si="4"/>
        <v>480</v>
      </c>
      <c r="H54" s="99">
        <f>G54+'29'!H54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142509</v>
      </c>
      <c r="F55" s="419">
        <v>144967</v>
      </c>
      <c r="G55" s="112">
        <f t="shared" si="4"/>
        <v>2458</v>
      </c>
      <c r="H55" s="99">
        <f>G55+'29'!H55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107246</v>
      </c>
      <c r="F56" s="419">
        <v>107246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0</v>
      </c>
      <c r="F57" s="419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25257</v>
      </c>
      <c r="F58" s="419">
        <v>25493</v>
      </c>
      <c r="G58" s="112">
        <f t="shared" si="4"/>
        <v>236</v>
      </c>
      <c r="H58" s="99">
        <f>G58+'29'!H58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6829.68</v>
      </c>
      <c r="H59" s="99">
        <f>G59+'29'!H59</f>
        <v>0</v>
      </c>
      <c r="I59" s="95">
        <f>G7-G60</f>
        <v>-1239.6800000000003</v>
      </c>
      <c r="J59" s="175">
        <f>H59/DAY(B2)</f>
        <v>0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28239.68</v>
      </c>
      <c r="H60" s="99">
        <f>G60+'29'!H60</f>
        <v>6.5483618527650833E-11</v>
      </c>
      <c r="I60" s="95">
        <f>G13-G60</f>
        <v>-3739.6800000000003</v>
      </c>
      <c r="J60" s="175">
        <f>H60/DAY(B2)</f>
        <v>2.1827872842550277E-12</v>
      </c>
      <c r="K60" s="79"/>
      <c r="L60" s="66"/>
      <c r="N60" s="87"/>
      <c r="O60" s="71"/>
    </row>
    <row r="61" spans="1:15" s="68" customFormat="1" ht="30.75" customHeight="1">
      <c r="A61" s="941" t="s">
        <v>332</v>
      </c>
      <c r="B61" s="942"/>
      <c r="C61" s="943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907" t="s">
        <v>198</v>
      </c>
      <c r="B62" s="908"/>
      <c r="C62" s="909"/>
      <c r="D62" s="151" t="s">
        <v>142</v>
      </c>
      <c r="E62" s="95">
        <f>'29'!F62</f>
        <v>283837</v>
      </c>
      <c r="F62" s="150">
        <v>284009</v>
      </c>
      <c r="G62" s="112">
        <f t="shared" ref="G62:G63" si="5">F62-E62</f>
        <v>172</v>
      </c>
      <c r="H62" s="99">
        <f>G62+'29'!H62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30.75" customHeight="1">
      <c r="A63" s="907" t="s">
        <v>199</v>
      </c>
      <c r="B63" s="908"/>
      <c r="C63" s="909"/>
      <c r="D63" s="151" t="s">
        <v>142</v>
      </c>
      <c r="E63" s="95">
        <f>'29'!F63</f>
        <v>227348</v>
      </c>
      <c r="F63" s="150">
        <v>227479</v>
      </c>
      <c r="G63" s="112">
        <f t="shared" si="5"/>
        <v>131</v>
      </c>
      <c r="H63" s="99">
        <f>G63+'29'!H63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30.75" customHeight="1">
      <c r="A64" s="916" t="s">
        <v>200</v>
      </c>
      <c r="B64" s="917"/>
      <c r="C64" s="918"/>
      <c r="D64" s="151"/>
      <c r="E64" s="95">
        <f>'29'!F64</f>
        <v>0</v>
      </c>
      <c r="F64" s="150"/>
      <c r="G64" s="112">
        <f>G62+G63</f>
        <v>303</v>
      </c>
      <c r="H64" s="99">
        <f>G64+'29'!H64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30.75" customHeight="1">
      <c r="A65" s="907" t="s">
        <v>201</v>
      </c>
      <c r="B65" s="908"/>
      <c r="C65" s="909"/>
      <c r="D65" s="151" t="s">
        <v>142</v>
      </c>
      <c r="E65" s="95">
        <f>'29'!F65</f>
        <v>444475</v>
      </c>
      <c r="F65" s="150">
        <v>444592</v>
      </c>
      <c r="G65" s="112">
        <f t="shared" ref="G65:G70" si="6">F65-E65</f>
        <v>117</v>
      </c>
      <c r="H65" s="99">
        <f>G65+'29'!H65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109555</v>
      </c>
      <c r="F66" s="150">
        <v>109581</v>
      </c>
      <c r="G66" s="112">
        <f t="shared" si="6"/>
        <v>26</v>
      </c>
      <c r="H66" s="99">
        <f>G66+'29'!H66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110821</v>
      </c>
      <c r="F67" s="150">
        <v>110900</v>
      </c>
      <c r="G67" s="112">
        <f t="shared" si="6"/>
        <v>79</v>
      </c>
      <c r="H67" s="99">
        <f>G67+'29'!H67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161759</v>
      </c>
      <c r="F68" s="150">
        <v>161784</v>
      </c>
      <c r="G68" s="112">
        <f t="shared" si="6"/>
        <v>25</v>
      </c>
      <c r="H68" s="99">
        <f>G68+'29'!H68</f>
        <v>-4</v>
      </c>
      <c r="I68" s="118"/>
      <c r="J68" s="175">
        <f>H68/DAY(B2)</f>
        <v>-0.13333333333333333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11590</v>
      </c>
      <c r="F69" s="150">
        <v>11598</v>
      </c>
      <c r="G69" s="112">
        <f t="shared" si="6"/>
        <v>8</v>
      </c>
      <c r="H69" s="99">
        <f>G69+'29'!H69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8993</v>
      </c>
      <c r="F70" s="150">
        <v>9001</v>
      </c>
      <c r="G70" s="112">
        <f t="shared" si="6"/>
        <v>8</v>
      </c>
      <c r="H70" s="99">
        <f>G70+'29'!H70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30.75" customHeight="1">
      <c r="A71" s="916" t="s">
        <v>208</v>
      </c>
      <c r="B71" s="917"/>
      <c r="C71" s="918"/>
      <c r="D71" s="152"/>
      <c r="E71" s="152"/>
      <c r="F71" s="152"/>
      <c r="G71" s="153">
        <f>SUM(G65:G70)</f>
        <v>263</v>
      </c>
      <c r="H71" s="99">
        <f>G71+'29'!H71</f>
        <v>-4</v>
      </c>
      <c r="I71" s="154"/>
      <c r="J71" s="175">
        <f>H71/DAY(B2)</f>
        <v>-0.13333333333333333</v>
      </c>
      <c r="K71" s="69"/>
      <c r="L71" s="66"/>
      <c r="N71" s="87"/>
      <c r="O71" s="71"/>
    </row>
    <row r="72" spans="1:15" s="88" customFormat="1" ht="30.75" customHeight="1">
      <c r="A72" s="903"/>
      <c r="B72" s="888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907" t="s">
        <v>220</v>
      </c>
      <c r="B74" s="908"/>
      <c r="C74" s="909"/>
      <c r="D74" s="151" t="s">
        <v>139</v>
      </c>
      <c r="E74" s="95">
        <f>'29'!F74</f>
        <v>928446</v>
      </c>
      <c r="F74" s="123">
        <v>928777</v>
      </c>
      <c r="G74" s="112">
        <f t="shared" ref="G74:G78" si="7">F74-E74</f>
        <v>331</v>
      </c>
      <c r="H74" s="99">
        <f>G74+'29'!H74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30.75" customHeight="1">
      <c r="A75" s="907" t="s">
        <v>221</v>
      </c>
      <c r="B75" s="908"/>
      <c r="C75" s="909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04" t="s">
        <v>222</v>
      </c>
      <c r="B76" s="905"/>
      <c r="C76" s="906"/>
      <c r="D76" s="151" t="s">
        <v>139</v>
      </c>
      <c r="E76" s="95">
        <f>'29'!F76</f>
        <v>180041</v>
      </c>
      <c r="F76" s="123">
        <v>180154</v>
      </c>
      <c r="G76" s="112">
        <f t="shared" si="7"/>
        <v>113</v>
      </c>
      <c r="H76" s="99">
        <f>G76+'29'!H76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30.75" customHeight="1">
      <c r="A77" s="904" t="s">
        <v>223</v>
      </c>
      <c r="B77" s="905"/>
      <c r="C77" s="906"/>
      <c r="D77" s="151" t="s">
        <v>139</v>
      </c>
      <c r="E77" s="95">
        <f>'29'!F77</f>
        <v>45622</v>
      </c>
      <c r="F77" s="123">
        <v>45674</v>
      </c>
      <c r="G77" s="112">
        <f t="shared" si="7"/>
        <v>52</v>
      </c>
      <c r="H77" s="99">
        <f>G77+'29'!H77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30.75" customHeight="1">
      <c r="A78" s="904" t="s">
        <v>224</v>
      </c>
      <c r="B78" s="905"/>
      <c r="C78" s="906"/>
      <c r="D78" s="151" t="s">
        <v>139</v>
      </c>
      <c r="E78" s="95">
        <f>'29'!F78</f>
        <v>9563</v>
      </c>
      <c r="F78" s="123">
        <v>9563.4</v>
      </c>
      <c r="G78" s="112">
        <f t="shared" si="7"/>
        <v>0.3999999999996362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04" t="s">
        <v>225</v>
      </c>
      <c r="B79" s="905"/>
      <c r="C79" s="906"/>
      <c r="D79" s="151"/>
      <c r="E79" s="95">
        <f>'29'!F79</f>
        <v>0</v>
      </c>
      <c r="F79" s="117"/>
      <c r="G79" s="112" t="e">
        <f>G15-SUM(G74:G78)</f>
        <v>#VALUE!</v>
      </c>
      <c r="H79" s="99" t="e">
        <f>G79+'29'!H79</f>
        <v>#VALUE!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7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7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41792</v>
      </c>
      <c r="F84" s="164">
        <v>41792</v>
      </c>
      <c r="G84" s="112">
        <f t="shared" si="8"/>
        <v>0</v>
      </c>
      <c r="H84" s="99">
        <f>G84+'29'!H84</f>
        <v>0</v>
      </c>
      <c r="I84" s="575"/>
      <c r="J84" s="175">
        <f>H84/DAY(B2)</f>
        <v>0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3752.58</v>
      </c>
      <c r="F85" s="150">
        <v>3777</v>
      </c>
      <c r="G85" s="112">
        <f t="shared" si="8"/>
        <v>24.420000000000073</v>
      </c>
      <c r="H85" s="99">
        <f>G85+'29'!H85</f>
        <v>0</v>
      </c>
      <c r="I85" s="575"/>
      <c r="J85" s="175">
        <f>H85/DAY(B2)</f>
        <v>0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43924</v>
      </c>
      <c r="F86" s="164">
        <v>43939</v>
      </c>
      <c r="G86" s="112">
        <f t="shared" si="8"/>
        <v>15</v>
      </c>
      <c r="H86" s="99">
        <f>G86+'29'!H86</f>
        <v>0</v>
      </c>
      <c r="I86" s="575"/>
      <c r="J86" s="175">
        <f>H86/DAY(B2)</f>
        <v>0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35329</v>
      </c>
      <c r="F87" s="164">
        <v>35329</v>
      </c>
      <c r="G87" s="112">
        <f t="shared" si="8"/>
        <v>0</v>
      </c>
      <c r="H87" s="99">
        <f>G87+'29'!H87</f>
        <v>0</v>
      </c>
      <c r="I87" s="557">
        <f>G84+G85+G86+G87</f>
        <v>39.420000000000073</v>
      </c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24188</v>
      </c>
      <c r="F88" s="164">
        <v>24188.12</v>
      </c>
      <c r="G88" s="112">
        <f t="shared" si="8"/>
        <v>0.11999999999898137</v>
      </c>
      <c r="H88" s="99">
        <f>G88+'29'!H88</f>
        <v>0</v>
      </c>
      <c r="I88" s="557"/>
      <c r="J88" s="175">
        <f>H88/DAY(B2)</f>
        <v>0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26699</v>
      </c>
      <c r="F89" s="164">
        <v>26709.22</v>
      </c>
      <c r="G89" s="112">
        <f t="shared" si="8"/>
        <v>10.220000000001164</v>
      </c>
      <c r="H89" s="99">
        <f>G89+'29'!H89</f>
        <v>0</v>
      </c>
      <c r="I89" s="557">
        <f>G88+G89</f>
        <v>10.340000000000146</v>
      </c>
      <c r="J89" s="175">
        <f>H89/DAY(B2)</f>
        <v>0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71854</v>
      </c>
      <c r="F90" s="164">
        <v>71863.53</v>
      </c>
      <c r="G90" s="112">
        <f t="shared" si="8"/>
        <v>9.5299999999988358</v>
      </c>
      <c r="H90" s="99">
        <f>G90+'29'!H90</f>
        <v>51.139999999999418</v>
      </c>
      <c r="I90" s="557">
        <f>G90</f>
        <v>9.5299999999988358</v>
      </c>
      <c r="J90" s="175">
        <f>H90/DAY(B2)</f>
        <v>1.7046666666666472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4047</v>
      </c>
      <c r="F91" s="122">
        <v>4059.24</v>
      </c>
      <c r="G91" s="112">
        <f t="shared" si="8"/>
        <v>12.239999999999782</v>
      </c>
      <c r="H91" s="99">
        <f>G91+'29'!H91</f>
        <v>0</v>
      </c>
      <c r="I91" s="619"/>
      <c r="J91" s="175">
        <f>H91/DAY(B2)</f>
        <v>0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5935</v>
      </c>
      <c r="F92" s="122">
        <v>5935</v>
      </c>
      <c r="G92" s="112">
        <f t="shared" si="8"/>
        <v>0</v>
      </c>
      <c r="H92" s="99">
        <f>G92+'29'!H92</f>
        <v>0</v>
      </c>
      <c r="I92" s="620">
        <f>G91+G92</f>
        <v>12.239999999999782</v>
      </c>
      <c r="J92" s="175">
        <f>H92/DAY(B2)</f>
        <v>0</v>
      </c>
      <c r="O92" s="71"/>
    </row>
    <row r="93" spans="1:15" ht="30.75" customHeight="1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7645</v>
      </c>
      <c r="H94" s="99">
        <f>G94+'29'!H94</f>
        <v>0</v>
      </c>
      <c r="I94" s="118"/>
      <c r="J94" s="175">
        <f>H94/DAY(B2)</f>
        <v>0</v>
      </c>
      <c r="K94" s="69"/>
      <c r="L94" s="66"/>
      <c r="O94" s="71"/>
    </row>
    <row r="95" spans="1:15" ht="30.75" customHeight="1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0.28314814814814815</v>
      </c>
      <c r="H95" s="99">
        <f>G95+'29'!H95</f>
        <v>-2.2394852395839882E-2</v>
      </c>
      <c r="I95" s="167"/>
      <c r="J95" s="175">
        <f>H95/DAY(B2)</f>
        <v>-7.4649507986132937E-4</v>
      </c>
      <c r="K95" s="69"/>
      <c r="L95" s="66"/>
      <c r="O95" s="71"/>
    </row>
    <row r="96" spans="1:15" ht="30.75" customHeight="1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9046</v>
      </c>
      <c r="H96" s="99">
        <f>G96+'29'!H96</f>
        <v>-2.1827872842550278E-11</v>
      </c>
      <c r="I96" s="118"/>
      <c r="J96" s="175">
        <f>H96/DAY(B2)</f>
        <v>-7.2759576141834263E-13</v>
      </c>
      <c r="K96" s="69"/>
      <c r="L96" s="66"/>
      <c r="O96" s="71"/>
    </row>
    <row r="97" spans="1:15" ht="30.75" customHeight="1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0.33503703703703702</v>
      </c>
      <c r="H97" s="99">
        <f>G97+'29'!H97</f>
        <v>-3.0906077025926737E-2</v>
      </c>
      <c r="I97" s="167"/>
      <c r="J97" s="175">
        <f>H97/DAY(B2)</f>
        <v>-1.0302025675308912E-3</v>
      </c>
      <c r="K97" s="69"/>
      <c r="L97" s="66"/>
      <c r="O97" s="71"/>
    </row>
    <row r="98" spans="1:15" ht="30.75" customHeight="1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2900</v>
      </c>
      <c r="H98" s="99">
        <f>G98+'29'!H98</f>
        <v>0</v>
      </c>
      <c r="I98" s="168"/>
      <c r="J98" s="175">
        <f>H98/DAY(B2)</f>
        <v>0</v>
      </c>
      <c r="K98" s="69"/>
      <c r="L98" s="66"/>
      <c r="O98" s="71"/>
    </row>
    <row r="99" spans="1:15" ht="30.75" customHeight="1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0.10740740740740741</v>
      </c>
      <c r="H99" s="99">
        <f>G99+'29'!H99</f>
        <v>-7.4509577242449776E-3</v>
      </c>
      <c r="I99" s="168"/>
      <c r="J99" s="175">
        <f>H99/DAY(B2)</f>
        <v>-2.4836525747483259E-4</v>
      </c>
      <c r="O99" s="71"/>
    </row>
    <row r="100" spans="1:15" ht="30.75" customHeight="1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2500</v>
      </c>
      <c r="H100" s="99">
        <f>G100+'29'!H100</f>
        <v>0</v>
      </c>
      <c r="I100" s="118"/>
      <c r="J100" s="175">
        <f>H100/DAY(B2)</f>
        <v>0</v>
      </c>
      <c r="K100" s="70"/>
      <c r="O100" s="71"/>
    </row>
    <row r="101" spans="1:15" ht="30.75" customHeight="1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9.2592592592592587E-2</v>
      </c>
      <c r="H101" s="99">
        <f>G101+'29'!H101</f>
        <v>-5.9188987440294272E-3</v>
      </c>
      <c r="I101" s="168"/>
      <c r="J101" s="175">
        <f>H101/DAY(B2)</f>
        <v>-1.9729662480098091E-4</v>
      </c>
      <c r="O101" s="71"/>
    </row>
    <row r="102" spans="1:15" ht="30.75" customHeight="1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2913</v>
      </c>
      <c r="H102" s="99">
        <f>G102+'29'!H102</f>
        <v>0</v>
      </c>
      <c r="I102" s="168"/>
      <c r="J102" s="175">
        <f>H102/DAY(B2)</f>
        <v>0</v>
      </c>
      <c r="O102" s="71"/>
    </row>
    <row r="103" spans="1:15" ht="30.75" customHeight="1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0.1078888888888889</v>
      </c>
      <c r="H103" s="99">
        <f>G103+'29'!H103</f>
        <v>-1.1396443191674155E-2</v>
      </c>
      <c r="I103" s="118"/>
      <c r="J103" s="175">
        <f>H103/DAY(B2)</f>
        <v>-3.798814397224718E-4</v>
      </c>
      <c r="O103" s="71"/>
    </row>
    <row r="104" spans="1:15" ht="30.75" customHeight="1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1805.68</v>
      </c>
      <c r="H104" s="99">
        <f>G104+'29'!H104</f>
        <v>0</v>
      </c>
      <c r="I104" s="118"/>
      <c r="J104" s="175">
        <f>H104/DAY(B2)</f>
        <v>0</v>
      </c>
      <c r="O104" s="71"/>
    </row>
    <row r="105" spans="1:15" ht="30.75" customHeight="1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6.687703703703704E-2</v>
      </c>
      <c r="H105" s="99">
        <f>G105+'29'!H105</f>
        <v>-4.6895447510482552E-3</v>
      </c>
      <c r="I105" s="187"/>
      <c r="J105" s="188">
        <f>H105/DAY(B2)</f>
        <v>-1.5631815836827516E-4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30.75" customHeight="1">
      <c r="A109" s="924"/>
      <c r="B109" s="924"/>
    </row>
    <row r="110" spans="1:15" ht="30.75" customHeight="1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30.75" customHeight="1">
      <c r="A111" s="890"/>
      <c r="B111" s="891"/>
      <c r="C111" s="892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886" t="s">
        <v>252</v>
      </c>
      <c r="B112" s="887"/>
      <c r="C112" s="888"/>
      <c r="D112" s="146" t="s">
        <v>183</v>
      </c>
      <c r="E112" s="95">
        <f>'29'!F112</f>
        <v>162</v>
      </c>
      <c r="F112" s="237">
        <v>243</v>
      </c>
      <c r="G112" s="112">
        <f t="shared" ref="G112:G123" si="9">F112-E112</f>
        <v>81</v>
      </c>
      <c r="H112" s="99">
        <f>G112+'29'!H112</f>
        <v>64264</v>
      </c>
      <c r="I112" s="165"/>
      <c r="J112" s="328">
        <f>H112/DAY(B2)</f>
        <v>2142.1333333333332</v>
      </c>
    </row>
    <row r="113" spans="1:18" ht="30.75" customHeight="1">
      <c r="A113" s="886" t="s">
        <v>253</v>
      </c>
      <c r="B113" s="887"/>
      <c r="C113" s="888"/>
      <c r="D113" s="146" t="s">
        <v>183</v>
      </c>
      <c r="E113" s="95">
        <f>'29'!F113</f>
        <v>322</v>
      </c>
      <c r="F113" s="237">
        <v>482</v>
      </c>
      <c r="G113" s="112">
        <f t="shared" si="9"/>
        <v>160</v>
      </c>
      <c r="H113" s="99">
        <f>G113+'29'!H113</f>
        <v>86189.39</v>
      </c>
      <c r="I113" s="165"/>
      <c r="J113" s="328">
        <f>H113/DAY(B2)</f>
        <v>2872.9796666666666</v>
      </c>
    </row>
    <row r="114" spans="1:18" ht="30.75" customHeight="1">
      <c r="A114" s="886" t="s">
        <v>254</v>
      </c>
      <c r="B114" s="887"/>
      <c r="C114" s="888"/>
      <c r="D114" s="146" t="s">
        <v>183</v>
      </c>
      <c r="E114" s="95">
        <f>'29'!F114</f>
        <v>441</v>
      </c>
      <c r="F114" s="237">
        <v>664</v>
      </c>
      <c r="G114" s="112">
        <f t="shared" si="9"/>
        <v>223</v>
      </c>
      <c r="H114" s="99">
        <f>G114+'29'!H114</f>
        <v>57093.11</v>
      </c>
      <c r="I114" s="165"/>
      <c r="J114" s="328">
        <f>H114/DAY(B2)</f>
        <v>1903.1036666666666</v>
      </c>
    </row>
    <row r="115" spans="1:18" ht="30.75" customHeight="1">
      <c r="A115" s="886" t="s">
        <v>255</v>
      </c>
      <c r="B115" s="887"/>
      <c r="C115" s="888"/>
      <c r="D115" s="146" t="s">
        <v>183</v>
      </c>
      <c r="E115" s="95">
        <f>'29'!F115</f>
        <v>347</v>
      </c>
      <c r="F115" s="237">
        <v>511</v>
      </c>
      <c r="G115" s="112">
        <f t="shared" si="9"/>
        <v>164</v>
      </c>
      <c r="H115" s="99">
        <f>G115+'29'!H115</f>
        <v>10406.75</v>
      </c>
      <c r="I115" s="165"/>
      <c r="J115" s="328">
        <f>H115/DAY(B2)</f>
        <v>346.89166666666665</v>
      </c>
    </row>
    <row r="116" spans="1:18" ht="30.75" customHeight="1">
      <c r="A116" s="893" t="s">
        <v>96</v>
      </c>
      <c r="B116" s="894"/>
      <c r="C116" s="895"/>
      <c r="D116" s="146" t="s">
        <v>183</v>
      </c>
      <c r="E116" s="95">
        <f>'29'!F116</f>
        <v>34414</v>
      </c>
      <c r="F116" s="237">
        <v>34666</v>
      </c>
      <c r="G116" s="112">
        <f t="shared" si="9"/>
        <v>252</v>
      </c>
      <c r="H116" s="99">
        <f>G116+'29'!H116</f>
        <v>0</v>
      </c>
      <c r="I116" s="165"/>
      <c r="J116" s="328">
        <f>H116/DAY(B2)</f>
        <v>0</v>
      </c>
      <c r="Q116" s="886" t="s">
        <v>311</v>
      </c>
      <c r="R116" s="888"/>
    </row>
    <row r="117" spans="1:18" ht="30.75" customHeight="1">
      <c r="A117" s="893" t="s">
        <v>184</v>
      </c>
      <c r="B117" s="894"/>
      <c r="C117" s="895"/>
      <c r="D117" s="146" t="s">
        <v>183</v>
      </c>
      <c r="E117" s="95">
        <f>'29'!F117</f>
        <v>18776</v>
      </c>
      <c r="F117" s="237">
        <v>18936</v>
      </c>
      <c r="G117" s="112">
        <f t="shared" si="9"/>
        <v>160</v>
      </c>
      <c r="H117" s="99">
        <f>G117+'29'!H117</f>
        <v>0</v>
      </c>
      <c r="I117" s="165"/>
      <c r="J117" s="328">
        <f>H117/DAY(B2)</f>
        <v>0</v>
      </c>
      <c r="Q117" s="886" t="s">
        <v>312</v>
      </c>
      <c r="R117" s="888"/>
    </row>
    <row r="118" spans="1:18" ht="30.75" customHeight="1">
      <c r="A118" s="885" t="s">
        <v>97</v>
      </c>
      <c r="B118" s="885"/>
      <c r="C118" s="885"/>
      <c r="D118" s="151" t="s">
        <v>183</v>
      </c>
      <c r="E118" s="95">
        <f>'29'!F118</f>
        <v>8500</v>
      </c>
      <c r="F118" s="237">
        <v>9063</v>
      </c>
      <c r="G118" s="112">
        <f t="shared" si="9"/>
        <v>563</v>
      </c>
      <c r="H118" s="99">
        <f>G118+'29'!H118</f>
        <v>-9.0949470177292824E-13</v>
      </c>
      <c r="I118" s="165"/>
      <c r="J118" s="328">
        <f>H118/DAY(B2)</f>
        <v>-3.0316490059097608E-14</v>
      </c>
      <c r="Q118" s="886" t="s">
        <v>311</v>
      </c>
      <c r="R118" s="888"/>
    </row>
    <row r="119" spans="1:18" ht="30.75" customHeight="1">
      <c r="A119" s="885" t="s">
        <v>98</v>
      </c>
      <c r="B119" s="885"/>
      <c r="C119" s="885"/>
      <c r="D119" s="151" t="s">
        <v>183</v>
      </c>
      <c r="E119" s="95">
        <f>'29'!F119</f>
        <v>5441</v>
      </c>
      <c r="F119" s="237">
        <v>5903</v>
      </c>
      <c r="G119" s="112">
        <f t="shared" si="9"/>
        <v>462</v>
      </c>
      <c r="H119" s="99">
        <f>G119+'29'!H119</f>
        <v>290418</v>
      </c>
      <c r="I119" s="165"/>
      <c r="J119" s="328">
        <f>H119/DAY(B2)</f>
        <v>9680.6</v>
      </c>
    </row>
    <row r="120" spans="1:18" ht="30.75" customHeight="1">
      <c r="A120" s="885" t="s">
        <v>99</v>
      </c>
      <c r="B120" s="885"/>
      <c r="C120" s="885"/>
      <c r="D120" s="151" t="s">
        <v>183</v>
      </c>
      <c r="E120" s="95">
        <f>'29'!F120</f>
        <v>6681</v>
      </c>
      <c r="F120" s="237">
        <v>7135</v>
      </c>
      <c r="G120" s="112">
        <f t="shared" si="9"/>
        <v>454</v>
      </c>
      <c r="H120" s="99">
        <f>G120+'29'!H120</f>
        <v>0</v>
      </c>
      <c r="I120" s="165"/>
      <c r="J120" s="328">
        <f>H120/DAY(B2)</f>
        <v>0</v>
      </c>
    </row>
    <row r="121" spans="1:18" ht="30.75" customHeight="1">
      <c r="A121" s="885" t="s">
        <v>100</v>
      </c>
      <c r="B121" s="885"/>
      <c r="C121" s="885"/>
      <c r="D121" s="151" t="s">
        <v>183</v>
      </c>
      <c r="E121" s="95">
        <f>'29'!F121</f>
        <v>11274</v>
      </c>
      <c r="F121" s="237">
        <v>11727</v>
      </c>
      <c r="G121" s="112">
        <f t="shared" si="9"/>
        <v>453</v>
      </c>
      <c r="H121" s="99">
        <f>G121+'29'!H121</f>
        <v>0</v>
      </c>
      <c r="I121" s="165"/>
      <c r="J121" s="328">
        <f>H121/DAY(B2)</f>
        <v>0</v>
      </c>
    </row>
    <row r="122" spans="1:18" ht="30.75" customHeight="1">
      <c r="A122" s="885" t="s">
        <v>101</v>
      </c>
      <c r="B122" s="885"/>
      <c r="C122" s="885"/>
      <c r="D122" s="151" t="s">
        <v>183</v>
      </c>
      <c r="E122" s="95">
        <f>'29'!F122</f>
        <v>3374</v>
      </c>
      <c r="F122" s="237">
        <v>3564</v>
      </c>
      <c r="G122" s="112">
        <f t="shared" si="9"/>
        <v>190</v>
      </c>
      <c r="H122" s="99">
        <f>G122+'29'!H122</f>
        <v>0</v>
      </c>
      <c r="I122" s="165"/>
      <c r="J122" s="328">
        <f>H122/DAY(B2)</f>
        <v>0</v>
      </c>
    </row>
    <row r="123" spans="1:18" ht="30.75" customHeight="1">
      <c r="A123" s="885" t="s">
        <v>102</v>
      </c>
      <c r="B123" s="885"/>
      <c r="C123" s="885"/>
      <c r="D123" s="151" t="s">
        <v>183</v>
      </c>
      <c r="E123" s="95">
        <f>'29'!F123</f>
        <v>644</v>
      </c>
      <c r="F123" s="237">
        <v>967</v>
      </c>
      <c r="G123" s="112">
        <f t="shared" si="9"/>
        <v>323</v>
      </c>
      <c r="H123" s="99">
        <f>G123+'29'!H123</f>
        <v>175555.53</v>
      </c>
      <c r="I123" s="165"/>
      <c r="J123" s="328">
        <f>H123/DAY(B2)</f>
        <v>5851.8509999999997</v>
      </c>
    </row>
    <row r="124" spans="1:18" ht="30.75" customHeight="1">
      <c r="A124" s="890"/>
      <c r="B124" s="891"/>
      <c r="C124" s="892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868" t="s">
        <v>196</v>
      </c>
      <c r="B125" s="869"/>
      <c r="C125" s="245"/>
      <c r="D125" s="307"/>
      <c r="E125" s="308"/>
      <c r="F125" s="308"/>
      <c r="G125" s="309">
        <f>SUM(G112:G124)</f>
        <v>3485</v>
      </c>
      <c r="H125" s="156"/>
      <c r="I125" s="327">
        <f>G125-(G39+G53)</f>
        <v>585</v>
      </c>
      <c r="J125" s="327"/>
    </row>
    <row r="126" spans="1:18" ht="30.75" customHeight="1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30.75" customHeight="1">
      <c r="A127" s="873"/>
      <c r="B127" s="873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886" t="s">
        <v>318</v>
      </c>
      <c r="B128" s="887"/>
      <c r="C128" s="888"/>
      <c r="D128" s="151" t="s">
        <v>183</v>
      </c>
      <c r="E128" s="95">
        <f>'29'!F128</f>
        <v>80987</v>
      </c>
      <c r="F128" s="165">
        <v>81415</v>
      </c>
      <c r="G128" s="112">
        <f t="shared" ref="G128:G134" si="10">F128-E128</f>
        <v>428</v>
      </c>
      <c r="H128" s="99">
        <f>G128+'29'!H128</f>
        <v>0</v>
      </c>
      <c r="I128" s="165"/>
      <c r="J128" s="328">
        <f>H128/DAY(B2)</f>
        <v>0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50785</v>
      </c>
      <c r="F129" s="165">
        <v>51072</v>
      </c>
      <c r="G129" s="112">
        <f t="shared" si="10"/>
        <v>287</v>
      </c>
      <c r="H129" s="99">
        <f>G129+'29'!H129</f>
        <v>0</v>
      </c>
      <c r="I129" s="165"/>
      <c r="J129" s="328">
        <f>H129/DAY(B2)</f>
        <v>0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95967</v>
      </c>
      <c r="F130" s="165">
        <v>96646</v>
      </c>
      <c r="G130" s="112">
        <f t="shared" si="10"/>
        <v>679</v>
      </c>
      <c r="H130" s="99">
        <f>G130+'29'!H130</f>
        <v>0</v>
      </c>
      <c r="I130" s="165"/>
      <c r="J130" s="328">
        <f>H130/DAY(B2)</f>
        <v>0</v>
      </c>
      <c r="N130" s="240"/>
      <c r="O130" s="241"/>
    </row>
    <row r="131" spans="1:15" ht="30.75" customHeight="1">
      <c r="A131" s="886" t="s">
        <v>321</v>
      </c>
      <c r="B131" s="887"/>
      <c r="C131" s="888"/>
      <c r="D131" s="151" t="s">
        <v>183</v>
      </c>
      <c r="E131" s="95">
        <f>'29'!F131</f>
        <v>30223</v>
      </c>
      <c r="F131" s="165">
        <v>30435</v>
      </c>
      <c r="G131" s="112">
        <f t="shared" si="10"/>
        <v>212</v>
      </c>
      <c r="H131" s="99">
        <f>G131+'29'!H131</f>
        <v>0</v>
      </c>
      <c r="I131" s="165"/>
      <c r="J131" s="328">
        <f>H131/DAY(B2)</f>
        <v>0</v>
      </c>
      <c r="N131" s="240"/>
      <c r="O131" s="241"/>
    </row>
    <row r="132" spans="1:15" ht="30.75" customHeight="1">
      <c r="A132" s="886" t="s">
        <v>322</v>
      </c>
      <c r="B132" s="887"/>
      <c r="C132" s="888"/>
      <c r="D132" s="151" t="s">
        <v>183</v>
      </c>
      <c r="E132" s="120">
        <f>'29'!F132</f>
        <v>88405</v>
      </c>
      <c r="F132" s="466">
        <v>88937</v>
      </c>
      <c r="G132" s="112">
        <f t="shared" si="10"/>
        <v>532</v>
      </c>
      <c r="H132" s="99">
        <f>G132+'29'!H132</f>
        <v>0</v>
      </c>
      <c r="I132" s="165"/>
      <c r="J132" s="328">
        <f>H132/DAY(B2)</f>
        <v>0</v>
      </c>
    </row>
    <row r="133" spans="1:15" ht="30.75" customHeight="1">
      <c r="A133" s="886" t="s">
        <v>360</v>
      </c>
      <c r="B133" s="887"/>
      <c r="C133" s="888"/>
      <c r="D133" s="151" t="s">
        <v>183</v>
      </c>
      <c r="E133" s="95">
        <f>'29'!F133</f>
        <v>171604</v>
      </c>
      <c r="F133" s="165">
        <v>172446</v>
      </c>
      <c r="G133" s="112">
        <f t="shared" si="10"/>
        <v>842</v>
      </c>
      <c r="H133" s="99">
        <f>G133+'29'!H133</f>
        <v>0</v>
      </c>
      <c r="I133" s="165"/>
      <c r="J133" s="328">
        <f>H133/DAY(B2)</f>
        <v>0</v>
      </c>
    </row>
    <row r="134" spans="1:15" ht="30.75" customHeight="1">
      <c r="A134" s="886" t="s">
        <v>340</v>
      </c>
      <c r="B134" s="887"/>
      <c r="C134" s="888"/>
      <c r="D134" s="151" t="s">
        <v>183</v>
      </c>
      <c r="E134" s="95">
        <f>'29'!F134</f>
        <v>27766</v>
      </c>
      <c r="F134" s="468">
        <v>28093</v>
      </c>
      <c r="G134" s="112">
        <f t="shared" si="10"/>
        <v>327</v>
      </c>
      <c r="H134" s="99">
        <f>G134+'29'!H134</f>
        <v>0</v>
      </c>
      <c r="I134" s="165"/>
      <c r="J134" s="328">
        <f>H134/DAY(B2)</f>
        <v>0</v>
      </c>
    </row>
    <row r="135" spans="1:15" ht="30.75" customHeight="1">
      <c r="A135" s="868" t="s">
        <v>196</v>
      </c>
      <c r="B135" s="869"/>
      <c r="C135" s="331"/>
      <c r="D135" s="151"/>
      <c r="E135" s="95"/>
      <c r="F135" s="165"/>
      <c r="G135" s="112">
        <f>SUM(G128:G134)</f>
        <v>3307</v>
      </c>
      <c r="H135" s="99">
        <f>G135+'23'!H135</f>
        <v>39533.790000000008</v>
      </c>
      <c r="I135" s="327">
        <f>G135-(G35+G49)</f>
        <v>-930</v>
      </c>
      <c r="J135" s="328">
        <f>H135/DAY(B2)</f>
        <v>1317.7930000000003</v>
      </c>
    </row>
    <row r="136" spans="1:15" ht="30.75" customHeight="1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85" t="s">
        <v>185</v>
      </c>
      <c r="B138" s="885"/>
      <c r="C138" s="885"/>
      <c r="D138" s="151" t="s">
        <v>183</v>
      </c>
      <c r="E138" s="95">
        <f>'29'!F138</f>
        <v>878643</v>
      </c>
      <c r="F138" s="147">
        <v>878784</v>
      </c>
      <c r="G138" s="112">
        <f t="shared" ref="G138:G152" si="11">F138-E138</f>
        <v>141</v>
      </c>
      <c r="H138" s="99">
        <f>G138+'29'!H138</f>
        <v>0</v>
      </c>
      <c r="I138" s="118"/>
      <c r="J138" s="328">
        <f>H138/DAY(B2)</f>
        <v>0</v>
      </c>
    </row>
    <row r="139" spans="1:15" ht="30.75" customHeight="1">
      <c r="A139" s="885" t="s">
        <v>186</v>
      </c>
      <c r="B139" s="885"/>
      <c r="C139" s="885"/>
      <c r="D139" s="151" t="s">
        <v>183</v>
      </c>
      <c r="E139" s="95">
        <f>'29'!F139</f>
        <v>894731</v>
      </c>
      <c r="F139" s="148">
        <v>894866</v>
      </c>
      <c r="G139" s="112">
        <f t="shared" si="11"/>
        <v>135</v>
      </c>
      <c r="H139" s="99">
        <f>G139+'29'!H139</f>
        <v>0</v>
      </c>
      <c r="I139" s="118"/>
      <c r="J139" s="328">
        <f>H139/DAY(B2)</f>
        <v>0</v>
      </c>
    </row>
    <row r="140" spans="1:15" ht="30.75" customHeight="1">
      <c r="A140" s="885" t="s">
        <v>187</v>
      </c>
      <c r="B140" s="885"/>
      <c r="C140" s="885"/>
      <c r="D140" s="151" t="s">
        <v>183</v>
      </c>
      <c r="E140" s="95">
        <f>'29'!F140</f>
        <v>124</v>
      </c>
      <c r="F140" s="149">
        <v>135</v>
      </c>
      <c r="G140" s="112">
        <f t="shared" si="11"/>
        <v>11</v>
      </c>
      <c r="H140" s="99">
        <f>G140+'29'!H140</f>
        <v>88931</v>
      </c>
      <c r="I140" s="118"/>
      <c r="J140" s="328">
        <f>H140/DAY(B2)</f>
        <v>2964.3666666666668</v>
      </c>
    </row>
    <row r="141" spans="1:15" ht="30.75" customHeight="1">
      <c r="A141" s="864" t="s">
        <v>188</v>
      </c>
      <c r="B141" s="864"/>
      <c r="C141" s="864"/>
      <c r="D141" s="151" t="s">
        <v>183</v>
      </c>
      <c r="E141" s="95">
        <f>'29'!F141</f>
        <v>71551</v>
      </c>
      <c r="F141" s="149">
        <v>71774</v>
      </c>
      <c r="G141" s="112">
        <f t="shared" si="11"/>
        <v>223</v>
      </c>
      <c r="H141" s="99">
        <f>G141+'29'!H141</f>
        <v>0</v>
      </c>
      <c r="I141" s="118"/>
      <c r="J141" s="328">
        <f>H141/DAY(B2)</f>
        <v>0</v>
      </c>
    </row>
    <row r="142" spans="1:15" ht="30.75" customHeight="1">
      <c r="A142" s="864" t="s">
        <v>189</v>
      </c>
      <c r="B142" s="864"/>
      <c r="C142" s="864"/>
      <c r="D142" s="151" t="s">
        <v>183</v>
      </c>
      <c r="E142" s="95">
        <f>'29'!F142</f>
        <v>27392</v>
      </c>
      <c r="F142" s="148">
        <v>27466</v>
      </c>
      <c r="G142" s="112">
        <f t="shared" si="11"/>
        <v>74</v>
      </c>
      <c r="H142" s="99">
        <f>G142+'29'!H142</f>
        <v>0</v>
      </c>
      <c r="I142" s="140"/>
      <c r="J142" s="328">
        <f>H142/DAY(B2)</f>
        <v>0</v>
      </c>
    </row>
    <row r="143" spans="1:15" ht="30.75" customHeight="1">
      <c r="A143" s="885" t="s">
        <v>91</v>
      </c>
      <c r="B143" s="885"/>
      <c r="C143" s="885"/>
      <c r="D143" s="151" t="s">
        <v>183</v>
      </c>
      <c r="E143" s="95">
        <f>'29'!F143</f>
        <v>6390</v>
      </c>
      <c r="F143" s="149">
        <v>6417</v>
      </c>
      <c r="G143" s="112">
        <f t="shared" si="11"/>
        <v>27</v>
      </c>
      <c r="H143" s="99">
        <f>G143+'29'!H143</f>
        <v>0</v>
      </c>
      <c r="I143" s="140"/>
      <c r="J143" s="328">
        <f>H143/DAY(B2)</f>
        <v>0</v>
      </c>
    </row>
    <row r="144" spans="1:15" ht="30.75" customHeight="1">
      <c r="A144" s="864" t="s">
        <v>90</v>
      </c>
      <c r="B144" s="864"/>
      <c r="C144" s="864"/>
      <c r="D144" s="151" t="s">
        <v>183</v>
      </c>
      <c r="E144" s="95">
        <f>'29'!F144</f>
        <v>896977</v>
      </c>
      <c r="F144" s="149">
        <v>897233</v>
      </c>
      <c r="G144" s="112">
        <f t="shared" si="11"/>
        <v>256</v>
      </c>
      <c r="H144" s="99">
        <f>G144+'29'!H144</f>
        <v>0</v>
      </c>
      <c r="I144" s="140"/>
      <c r="J144" s="328">
        <f>H144/DAY(B2)</f>
        <v>0</v>
      </c>
    </row>
    <row r="145" spans="1:10" ht="30.75" customHeight="1">
      <c r="A145" s="885" t="s">
        <v>190</v>
      </c>
      <c r="B145" s="885"/>
      <c r="C145" s="885"/>
      <c r="D145" s="152" t="s">
        <v>183</v>
      </c>
      <c r="E145" s="95">
        <f>'29'!F145</f>
        <v>5626</v>
      </c>
      <c r="F145" s="149">
        <v>5628</v>
      </c>
      <c r="G145" s="112">
        <f t="shared" si="11"/>
        <v>2</v>
      </c>
      <c r="H145" s="99">
        <f>G145+'29'!H145</f>
        <v>0</v>
      </c>
      <c r="I145" s="140"/>
      <c r="J145" s="328">
        <f>H145/DAY(B2)</f>
        <v>0</v>
      </c>
    </row>
    <row r="146" spans="1:10" ht="30.75" customHeight="1">
      <c r="A146" s="920" t="s">
        <v>191</v>
      </c>
      <c r="B146" s="905"/>
      <c r="C146" s="906"/>
      <c r="D146" s="152" t="s">
        <v>183</v>
      </c>
      <c r="E146" s="95">
        <f>'29'!F146</f>
        <v>776454</v>
      </c>
      <c r="F146" s="148">
        <v>776454</v>
      </c>
      <c r="G146" s="112">
        <f t="shared" si="11"/>
        <v>0</v>
      </c>
      <c r="H146" s="99">
        <f>G146+'29'!H146</f>
        <v>0</v>
      </c>
      <c r="I146" s="140"/>
      <c r="J146" s="328">
        <f>H146/DAY(B2)</f>
        <v>0</v>
      </c>
    </row>
    <row r="147" spans="1:10" ht="30.75" customHeight="1">
      <c r="A147" s="864" t="s">
        <v>192</v>
      </c>
      <c r="B147" s="864"/>
      <c r="C147" s="864"/>
      <c r="D147" s="152" t="s">
        <v>183</v>
      </c>
      <c r="E147" s="95">
        <f>'29'!F147</f>
        <v>662776</v>
      </c>
      <c r="F147" s="148">
        <v>663228</v>
      </c>
      <c r="G147" s="112">
        <f t="shared" si="11"/>
        <v>452</v>
      </c>
      <c r="H147" s="99">
        <f>G147+'29'!H147</f>
        <v>0</v>
      </c>
      <c r="I147" s="140"/>
      <c r="J147" s="328">
        <f>H147/DAY(B2)</f>
        <v>0</v>
      </c>
    </row>
    <row r="148" spans="1:10" ht="30.75" customHeight="1">
      <c r="A148" s="865" t="s">
        <v>193</v>
      </c>
      <c r="B148" s="866"/>
      <c r="C148" s="867"/>
      <c r="D148" s="123" t="s">
        <v>130</v>
      </c>
      <c r="E148" s="95">
        <f>'29'!F148</f>
        <v>719550</v>
      </c>
      <c r="F148" s="150">
        <v>719916</v>
      </c>
      <c r="G148" s="112">
        <f t="shared" si="11"/>
        <v>366</v>
      </c>
      <c r="H148" s="99">
        <f>G148+'29'!H148</f>
        <v>0</v>
      </c>
      <c r="I148" s="124"/>
      <c r="J148" s="328">
        <f>H148/DAY(B2)</f>
        <v>0</v>
      </c>
    </row>
    <row r="149" spans="1:10" ht="30.75" customHeight="1">
      <c r="A149" s="865" t="s">
        <v>336</v>
      </c>
      <c r="B149" s="866"/>
      <c r="C149" s="867"/>
      <c r="D149" s="227" t="s">
        <v>130</v>
      </c>
      <c r="E149" s="95">
        <f>'29'!F149</f>
        <v>82762</v>
      </c>
      <c r="F149" s="146">
        <v>83388</v>
      </c>
      <c r="G149" s="112">
        <f t="shared" si="11"/>
        <v>626</v>
      </c>
      <c r="H149" s="99">
        <f>G149+'29'!H149</f>
        <v>0</v>
      </c>
      <c r="I149" s="119"/>
      <c r="J149" s="328">
        <f>H149/DAY(B2)</f>
        <v>0</v>
      </c>
    </row>
    <row r="150" spans="1:10" ht="30.75" customHeight="1">
      <c r="A150" s="865" t="s">
        <v>337</v>
      </c>
      <c r="B150" s="866"/>
      <c r="C150" s="867"/>
      <c r="D150" s="117" t="s">
        <v>130</v>
      </c>
      <c r="E150" s="95">
        <f>'29'!F150</f>
        <v>30375</v>
      </c>
      <c r="F150" s="233">
        <v>30587</v>
      </c>
      <c r="G150" s="112">
        <f t="shared" si="11"/>
        <v>212</v>
      </c>
      <c r="H150" s="99">
        <f>G150+'29'!H150</f>
        <v>0</v>
      </c>
      <c r="I150" s="119"/>
      <c r="J150" s="328">
        <f>H150/DAY(B2)</f>
        <v>0</v>
      </c>
    </row>
    <row r="151" spans="1:10" ht="30.75" customHeight="1">
      <c r="A151" s="865" t="s">
        <v>338</v>
      </c>
      <c r="B151" s="866"/>
      <c r="C151" s="867"/>
      <c r="D151" s="117" t="s">
        <v>130</v>
      </c>
      <c r="E151" s="95">
        <f>'29'!F151</f>
        <v>108877</v>
      </c>
      <c r="F151" s="233">
        <v>109228</v>
      </c>
      <c r="G151" s="112">
        <f t="shared" si="11"/>
        <v>351</v>
      </c>
      <c r="H151" s="99">
        <f>G151+'29'!H151</f>
        <v>0</v>
      </c>
      <c r="I151" s="119"/>
      <c r="J151" s="328">
        <f>H151/DAY(B2)</f>
        <v>0</v>
      </c>
    </row>
    <row r="152" spans="1:10" ht="30.75" customHeight="1">
      <c r="A152" s="865" t="s">
        <v>339</v>
      </c>
      <c r="B152" s="866"/>
      <c r="C152" s="867"/>
      <c r="D152" s="117" t="s">
        <v>130</v>
      </c>
      <c r="E152" s="95">
        <f>'29'!F152</f>
        <v>11028</v>
      </c>
      <c r="F152" s="233">
        <v>11156</v>
      </c>
      <c r="G152" s="112">
        <f t="shared" si="11"/>
        <v>128</v>
      </c>
      <c r="H152" s="99">
        <f>G152+'29'!H152</f>
        <v>0</v>
      </c>
      <c r="I152" s="119"/>
      <c r="J152" s="328">
        <f>H152/DAY(B2)</f>
        <v>0</v>
      </c>
    </row>
    <row r="153" spans="1:10" ht="30.75" customHeight="1">
      <c r="A153" s="868" t="s">
        <v>196</v>
      </c>
      <c r="B153" s="869"/>
      <c r="C153" s="365"/>
      <c r="D153" s="358"/>
      <c r="E153" s="360"/>
      <c r="F153" s="361"/>
      <c r="G153" s="362">
        <f>SUM(G138:G152)</f>
        <v>3004</v>
      </c>
      <c r="H153" s="363"/>
      <c r="I153" s="119">
        <f>G153-(G38+G52)</f>
        <v>504</v>
      </c>
      <c r="J153" s="366"/>
    </row>
    <row r="154" spans="1:10" ht="30.75" customHeight="1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0" ht="30.75" customHeight="1">
      <c r="A155" s="864" t="s">
        <v>345</v>
      </c>
      <c r="B155" s="864"/>
      <c r="C155" s="864"/>
      <c r="D155" s="117" t="s">
        <v>130</v>
      </c>
      <c r="E155" s="95">
        <f>'29'!F155</f>
        <v>92062</v>
      </c>
      <c r="F155" s="374">
        <v>92732</v>
      </c>
      <c r="G155" s="112">
        <f t="shared" ref="G155:G158" si="12">F155-E155</f>
        <v>670</v>
      </c>
      <c r="H155" s="99">
        <f>G155+'29'!H155</f>
        <v>0</v>
      </c>
      <c r="I155" s="364"/>
      <c r="J155" s="328">
        <f>H155/DAY(B2)</f>
        <v>0</v>
      </c>
    </row>
    <row r="156" spans="1:10" ht="30.75" customHeight="1">
      <c r="A156" s="864" t="s">
        <v>347</v>
      </c>
      <c r="B156" s="864"/>
      <c r="C156" s="864"/>
      <c r="D156" s="117" t="s">
        <v>130</v>
      </c>
      <c r="E156" s="95">
        <f>'29'!F156</f>
        <v>7631</v>
      </c>
      <c r="F156" s="155">
        <v>7691</v>
      </c>
      <c r="G156" s="112">
        <f t="shared" si="12"/>
        <v>60</v>
      </c>
      <c r="H156" s="99">
        <f>G156+'29'!H156</f>
        <v>0</v>
      </c>
      <c r="I156" s="165"/>
      <c r="J156" s="328">
        <f>H156/DAY(B2)</f>
        <v>0</v>
      </c>
    </row>
    <row r="157" spans="1:10" ht="30.75" customHeight="1">
      <c r="A157" s="865" t="s">
        <v>361</v>
      </c>
      <c r="B157" s="866"/>
      <c r="C157" s="867"/>
      <c r="D157" s="117" t="s">
        <v>130</v>
      </c>
      <c r="E157" s="95">
        <f>'29'!F157</f>
        <v>13380</v>
      </c>
      <c r="F157" s="155">
        <v>13496</v>
      </c>
      <c r="G157" s="112">
        <f t="shared" si="12"/>
        <v>116</v>
      </c>
      <c r="H157" s="99">
        <f>G157+'29'!H157</f>
        <v>213</v>
      </c>
      <c r="I157" s="165"/>
      <c r="J157" s="328">
        <f>H157/DAY(B2)</f>
        <v>7.1</v>
      </c>
    </row>
    <row r="158" spans="1:10" ht="30.75" customHeight="1">
      <c r="A158" s="865" t="s">
        <v>362</v>
      </c>
      <c r="B158" s="866"/>
      <c r="C158" s="867"/>
      <c r="D158" s="117" t="s">
        <v>130</v>
      </c>
      <c r="E158" s="95">
        <f>'29'!F158</f>
        <v>105</v>
      </c>
      <c r="F158" s="155">
        <v>113</v>
      </c>
      <c r="G158" s="112">
        <f t="shared" si="12"/>
        <v>8</v>
      </c>
      <c r="H158" s="99">
        <f>G158+'29'!H158</f>
        <v>9</v>
      </c>
      <c r="I158" s="165"/>
      <c r="J158" s="328">
        <f>H158/DAY(B2)</f>
        <v>0.3</v>
      </c>
    </row>
    <row r="159" spans="1:10" ht="30.75" customHeight="1">
      <c r="A159" s="950"/>
      <c r="B159" s="951"/>
      <c r="C159" s="952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872"/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474760</v>
      </c>
      <c r="F161" s="235">
        <v>474783</v>
      </c>
      <c r="G161" s="238">
        <f t="shared" ref="G161:G165" si="13">F161-E161</f>
        <v>23</v>
      </c>
      <c r="H161" s="99">
        <f>G161+'29'!H161</f>
        <v>0</v>
      </c>
      <c r="I161" s="236"/>
      <c r="J161" s="239">
        <f>H161/DAY(B2)</f>
        <v>0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91509</v>
      </c>
      <c r="F162" s="235">
        <v>91547</v>
      </c>
      <c r="G162" s="238">
        <f t="shared" si="13"/>
        <v>38</v>
      </c>
      <c r="H162" s="99">
        <f>G162+'29'!H162</f>
        <v>0</v>
      </c>
      <c r="I162" s="236"/>
      <c r="J162" s="239">
        <f>H162/DAY(B2)</f>
        <v>0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91868</v>
      </c>
      <c r="F163" s="235">
        <v>92036</v>
      </c>
      <c r="G163" s="238">
        <f t="shared" si="13"/>
        <v>168</v>
      </c>
      <c r="H163" s="99">
        <f>G163+'29'!H163</f>
        <v>0</v>
      </c>
      <c r="I163" s="236"/>
      <c r="J163" s="239">
        <f>H163/DAY(B2)</f>
        <v>0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5171</v>
      </c>
      <c r="F164" s="235">
        <v>5182</v>
      </c>
      <c r="G164" s="238">
        <f t="shared" si="13"/>
        <v>11</v>
      </c>
      <c r="H164" s="99">
        <f>G164+'29'!H164</f>
        <v>0</v>
      </c>
      <c r="I164" s="236"/>
      <c r="J164" s="239">
        <f>H164/DAY(B2)</f>
        <v>0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30622</v>
      </c>
      <c r="F165" s="235">
        <v>30634</v>
      </c>
      <c r="G165" s="238">
        <f t="shared" si="13"/>
        <v>12</v>
      </c>
      <c r="H165" s="99">
        <f>G165+'29'!H165</f>
        <v>0</v>
      </c>
      <c r="I165" s="236"/>
      <c r="J165" s="239">
        <f>H165/DAY(B2)</f>
        <v>0</v>
      </c>
    </row>
    <row r="166" spans="1:10" ht="30.75" customHeight="1">
      <c r="A166" s="873"/>
      <c r="B166" s="873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873"/>
      <c r="B167" s="873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873"/>
      <c r="B168" s="873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30.75" customHeight="1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79" t="s">
        <v>209</v>
      </c>
      <c r="B173" s="880"/>
      <c r="C173" s="333"/>
      <c r="D173" s="228" t="s">
        <v>142</v>
      </c>
      <c r="E173" s="95">
        <f>'29'!F173</f>
        <v>8261</v>
      </c>
      <c r="F173" s="155">
        <v>8261</v>
      </c>
      <c r="G173" s="155">
        <f>F173-E173</f>
        <v>0</v>
      </c>
      <c r="H173" s="99">
        <f>G173+'29'!H173</f>
        <v>122</v>
      </c>
      <c r="I173" s="155"/>
      <c r="J173" s="178">
        <f>H173/DAY(B2)</f>
        <v>4.0666666666666664</v>
      </c>
    </row>
    <row r="174" spans="1:10" ht="30.75" customHeight="1">
      <c r="A174" s="879" t="s">
        <v>75</v>
      </c>
      <c r="B174" s="880"/>
      <c r="C174" s="333"/>
      <c r="D174" s="228" t="s">
        <v>142</v>
      </c>
      <c r="E174" s="95">
        <f>'29'!F174</f>
        <v>39914</v>
      </c>
      <c r="F174" s="157">
        <v>39928</v>
      </c>
      <c r="G174" s="155">
        <f t="shared" ref="G174:G175" si="14">F174-E174</f>
        <v>14</v>
      </c>
      <c r="H174" s="99">
        <f>G174+'29'!H174</f>
        <v>0</v>
      </c>
      <c r="I174" s="155"/>
      <c r="J174" s="178">
        <f>H174/DAY(B2)</f>
        <v>0</v>
      </c>
    </row>
    <row r="175" spans="1:10" ht="30.75" customHeight="1">
      <c r="A175" s="879" t="s">
        <v>76</v>
      </c>
      <c r="B175" s="919"/>
      <c r="C175" s="880"/>
      <c r="D175" s="228" t="s">
        <v>142</v>
      </c>
      <c r="E175" s="95">
        <f>'29'!F175</f>
        <v>22878</v>
      </c>
      <c r="F175" s="155">
        <v>22889</v>
      </c>
      <c r="G175" s="155">
        <f t="shared" si="14"/>
        <v>11</v>
      </c>
      <c r="H175" s="99">
        <f>G175+'29'!H175</f>
        <v>0</v>
      </c>
      <c r="I175" s="155"/>
      <c r="J175" s="178">
        <f>H175/DAY(B2)</f>
        <v>0</v>
      </c>
    </row>
    <row r="176" spans="1:10" ht="30.75" customHeight="1">
      <c r="A176" s="868" t="s">
        <v>196</v>
      </c>
      <c r="B176" s="869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G176+'29'!H176</f>
        <v>122</v>
      </c>
      <c r="I176" s="155"/>
      <c r="J176" s="178">
        <f>H176/DAY(B2)</f>
        <v>4.0666666666666664</v>
      </c>
    </row>
    <row r="177" spans="1:10" ht="30.75" customHeight="1">
      <c r="A177" s="879" t="s">
        <v>77</v>
      </c>
      <c r="B177" s="880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79" t="s">
        <v>210</v>
      </c>
      <c r="B178" s="880"/>
      <c r="C178" s="333"/>
      <c r="D178" s="228" t="s">
        <v>142</v>
      </c>
      <c r="E178" s="95">
        <f>'29'!F178</f>
        <v>88517</v>
      </c>
      <c r="F178" s="155">
        <v>88603</v>
      </c>
      <c r="G178" s="155">
        <f>F178-E178</f>
        <v>86</v>
      </c>
      <c r="H178" s="99">
        <f>G178+'29'!H178</f>
        <v>0</v>
      </c>
      <c r="I178" s="155"/>
      <c r="J178" s="178">
        <f>H178/DAY(B2)</f>
        <v>0</v>
      </c>
    </row>
    <row r="179" spans="1:10" ht="30.75" customHeight="1">
      <c r="A179" s="879" t="s">
        <v>211</v>
      </c>
      <c r="B179" s="880"/>
      <c r="C179" s="333"/>
      <c r="D179" s="228" t="s">
        <v>142</v>
      </c>
      <c r="E179" s="95">
        <f>'29'!F179</f>
        <v>35773</v>
      </c>
      <c r="F179" s="155">
        <v>35773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>
      <c r="A180" s="879" t="s">
        <v>212</v>
      </c>
      <c r="B180" s="880"/>
      <c r="C180" s="333"/>
      <c r="D180" s="228" t="s">
        <v>142</v>
      </c>
      <c r="E180" s="95">
        <f>'29'!F180</f>
        <v>6368</v>
      </c>
      <c r="F180" s="155">
        <v>6389</v>
      </c>
      <c r="G180" s="155">
        <f t="shared" si="15"/>
        <v>21</v>
      </c>
      <c r="H180" s="99">
        <f>G180+'29'!H180</f>
        <v>0</v>
      </c>
      <c r="I180" s="155"/>
      <c r="J180" s="178">
        <f>H180/DAY(B2)</f>
        <v>0</v>
      </c>
    </row>
    <row r="181" spans="1:10" ht="30.75" customHeight="1">
      <c r="A181" s="881" t="s">
        <v>108</v>
      </c>
      <c r="B181" s="882"/>
      <c r="C181" s="401"/>
      <c r="D181" s="228" t="s">
        <v>142</v>
      </c>
      <c r="E181" s="95"/>
      <c r="F181" s="155"/>
      <c r="G181" s="155">
        <f>SUM(G178:G180)</f>
        <v>107</v>
      </c>
      <c r="H181" s="99">
        <f>G181+'29'!H181</f>
        <v>0</v>
      </c>
      <c r="I181" s="155"/>
      <c r="J181" s="178">
        <f>H181/DAY(B2)</f>
        <v>0</v>
      </c>
    </row>
    <row r="182" spans="1:10" ht="30.75" customHeight="1">
      <c r="A182" s="879" t="s">
        <v>213</v>
      </c>
      <c r="B182" s="880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79" t="s">
        <v>214</v>
      </c>
      <c r="B183" s="880"/>
      <c r="C183" s="334"/>
      <c r="D183" s="228" t="s">
        <v>142</v>
      </c>
      <c r="E183" s="95">
        <f>'29'!F183</f>
        <v>16609</v>
      </c>
      <c r="F183" s="157">
        <v>16622</v>
      </c>
      <c r="G183" s="157">
        <f>F183-E183</f>
        <v>13</v>
      </c>
      <c r="H183" s="99">
        <f>G183+'29'!H183</f>
        <v>0</v>
      </c>
      <c r="I183" s="155"/>
      <c r="J183" s="178">
        <f>H183/DAY(B2)</f>
        <v>0</v>
      </c>
    </row>
    <row r="184" spans="1:10" ht="30.75" customHeight="1">
      <c r="A184" s="879" t="s">
        <v>215</v>
      </c>
      <c r="B184" s="880"/>
      <c r="C184" s="334"/>
      <c r="D184" s="228" t="s">
        <v>142</v>
      </c>
      <c r="E184" s="95">
        <f>'29'!F184</f>
        <v>11268</v>
      </c>
      <c r="F184" s="157">
        <v>11274</v>
      </c>
      <c r="G184" s="157">
        <f t="shared" ref="G184:G185" si="16">F184-E184</f>
        <v>6</v>
      </c>
      <c r="H184" s="99">
        <f>G184+'29'!H184</f>
        <v>0</v>
      </c>
      <c r="I184" s="155"/>
      <c r="J184" s="178">
        <f>H184/DAY(B2)</f>
        <v>0</v>
      </c>
    </row>
    <row r="185" spans="1:10" ht="30.75" customHeight="1">
      <c r="A185" s="879" t="s">
        <v>216</v>
      </c>
      <c r="B185" s="880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868" t="s">
        <v>196</v>
      </c>
      <c r="B186" s="869"/>
      <c r="C186" s="400"/>
      <c r="D186" s="228" t="s">
        <v>142</v>
      </c>
      <c r="E186" s="95"/>
      <c r="F186" s="157"/>
      <c r="G186" s="157">
        <f>SUM(G183:G185)</f>
        <v>19</v>
      </c>
      <c r="H186" s="99">
        <f>G186+'29'!H186</f>
        <v>0</v>
      </c>
      <c r="I186" s="157"/>
      <c r="J186" s="178">
        <f>H186/DAY(B2)</f>
        <v>0</v>
      </c>
    </row>
    <row r="187" spans="1:10" ht="30.75" customHeight="1">
      <c r="A187" s="870" t="s">
        <v>217</v>
      </c>
      <c r="B187" s="871"/>
      <c r="C187" s="333"/>
      <c r="D187" s="228" t="s">
        <v>142</v>
      </c>
      <c r="E187" s="95"/>
      <c r="F187" s="159"/>
      <c r="G187" s="159">
        <f>G62+G19</f>
        <v>221</v>
      </c>
      <c r="H187" s="99">
        <f>G187+'29'!H187</f>
        <v>0</v>
      </c>
      <c r="I187" s="158"/>
      <c r="J187" s="179">
        <f>H187/DAY(B2)</f>
        <v>0</v>
      </c>
    </row>
    <row r="188" spans="1:10" ht="30.75" customHeight="1">
      <c r="A188" s="870" t="s">
        <v>218</v>
      </c>
      <c r="B188" s="871"/>
      <c r="C188" s="333"/>
      <c r="D188" s="230" t="s">
        <v>142</v>
      </c>
      <c r="E188" s="95"/>
      <c r="F188" s="159"/>
      <c r="G188" s="159">
        <f>G65+G66+G67+G69+G70</f>
        <v>238</v>
      </c>
      <c r="H188" s="99">
        <f>G188+'29'!H188</f>
        <v>-8138</v>
      </c>
      <c r="I188" s="158"/>
      <c r="J188" s="179">
        <f>H188/DAY(B2)</f>
        <v>-271.26666666666665</v>
      </c>
    </row>
    <row r="189" spans="1:10" ht="30.75" customHeight="1">
      <c r="A189" s="870" t="s">
        <v>219</v>
      </c>
      <c r="B189" s="871"/>
      <c r="C189" s="333"/>
      <c r="D189" s="230" t="s">
        <v>142</v>
      </c>
      <c r="E189" s="95"/>
      <c r="F189" s="157"/>
      <c r="G189" s="157">
        <f>G181</f>
        <v>107</v>
      </c>
      <c r="H189" s="99">
        <f>G189+'29'!H189</f>
        <v>1381</v>
      </c>
      <c r="I189" s="158"/>
      <c r="J189" s="179">
        <f>H189/DAY(B2)</f>
        <v>46.033333333333331</v>
      </c>
    </row>
    <row r="190" spans="1:10" ht="30.75" customHeight="1">
      <c r="A190" s="877"/>
      <c r="B190" s="878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topLeftCell="A61" zoomScale="55" zoomScaleNormal="75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5" s="57" customFormat="1" ht="23.25">
      <c r="A2" s="191" t="s">
        <v>349</v>
      </c>
      <c r="B2" s="262">
        <v>44652</v>
      </c>
      <c r="C2" s="348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24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88" t="s">
        <v>129</v>
      </c>
      <c r="B7" s="989"/>
      <c r="C7" s="990"/>
      <c r="D7" s="151" t="s">
        <v>130</v>
      </c>
      <c r="E7" s="95">
        <v>986723</v>
      </c>
      <c r="F7" s="95">
        <f>E7+27000</f>
        <v>1013723</v>
      </c>
      <c r="G7" s="112">
        <f>F7-E7</f>
        <v>27000</v>
      </c>
      <c r="H7" s="99">
        <f>G7+'30'!H7</f>
        <v>839663</v>
      </c>
      <c r="I7" s="113">
        <f>'1'!I7</f>
        <v>12000</v>
      </c>
      <c r="J7" s="175">
        <f>H7/DAY(B2)</f>
        <v>839663</v>
      </c>
      <c r="K7" s="172">
        <v>1375467</v>
      </c>
      <c r="L7" s="66"/>
      <c r="N7" s="87">
        <f>F7-'3'!E7</f>
        <v>125591.32999999996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58046.22</v>
      </c>
      <c r="F8" s="114">
        <f>E8+26500</f>
        <v>84546.22</v>
      </c>
      <c r="G8" s="115">
        <f>F8-E8</f>
        <v>26500</v>
      </c>
      <c r="H8" s="99">
        <f>G8+'30'!H8</f>
        <v>842412.27999999991</v>
      </c>
      <c r="I8" s="116"/>
      <c r="J8" s="175">
        <f>H8/DAY(B2)</f>
        <v>842412.27999999991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5.5">
      <c r="A9" s="991" t="s">
        <v>132</v>
      </c>
      <c r="B9" s="992"/>
      <c r="C9" s="993"/>
      <c r="D9" s="151" t="s">
        <v>130</v>
      </c>
      <c r="E9" s="470">
        <v>1267675</v>
      </c>
      <c r="F9" s="470">
        <f>E9+16000</f>
        <v>1283675</v>
      </c>
      <c r="G9" s="112">
        <f>F9-E9</f>
        <v>16000</v>
      </c>
      <c r="H9" s="99">
        <f>G9+'30'!H9</f>
        <v>558515</v>
      </c>
      <c r="I9" s="124">
        <f>I7-J7</f>
        <v>-827663</v>
      </c>
      <c r="J9" s="175">
        <f>H9/DAY(B2)</f>
        <v>558515</v>
      </c>
      <c r="K9" s="79">
        <f>K8-100</f>
        <v>1715817</v>
      </c>
      <c r="L9" s="66"/>
      <c r="N9" s="87"/>
      <c r="O9" s="71"/>
    </row>
    <row r="10" spans="1:15" ht="25.5">
      <c r="A10" s="988" t="s">
        <v>133</v>
      </c>
      <c r="B10" s="989"/>
      <c r="C10" s="990"/>
      <c r="D10" s="151" t="s">
        <v>130</v>
      </c>
      <c r="E10" s="353">
        <v>418275.47</v>
      </c>
      <c r="F10" s="353">
        <f>E10+8500</f>
        <v>426775.47</v>
      </c>
      <c r="G10" s="112">
        <f t="shared" ref="G10:G12" si="0">F10-E10</f>
        <v>8500</v>
      </c>
      <c r="H10" s="99">
        <f>G10+'30'!H10</f>
        <v>231190</v>
      </c>
      <c r="I10" s="120"/>
      <c r="J10" s="175">
        <f>H10/DAY(B2)</f>
        <v>231190</v>
      </c>
      <c r="K10" s="79"/>
      <c r="L10" s="66"/>
      <c r="N10" s="87"/>
      <c r="O10" s="71"/>
    </row>
    <row r="11" spans="1:15" ht="25.5">
      <c r="A11" s="988" t="s">
        <v>134</v>
      </c>
      <c r="B11" s="989"/>
      <c r="C11" s="990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88" t="s">
        <v>135</v>
      </c>
      <c r="B12" s="989"/>
      <c r="C12" s="990"/>
      <c r="D12" s="151" t="s">
        <v>130</v>
      </c>
      <c r="E12" s="117">
        <v>40010</v>
      </c>
      <c r="F12" s="117">
        <v>40010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24500</v>
      </c>
      <c r="H13" s="99">
        <f>G13+'30'!H13</f>
        <v>787188.75</v>
      </c>
      <c r="I13" s="120">
        <f>G7-G13</f>
        <v>2500</v>
      </c>
      <c r="J13" s="175">
        <f>H13/DAY(B2)</f>
        <v>787188.75</v>
      </c>
      <c r="K13" s="79"/>
      <c r="L13" s="66"/>
      <c r="N13" s="87"/>
      <c r="O13" s="71"/>
    </row>
    <row r="14" spans="1:15" ht="26.25">
      <c r="A14" s="931" t="s">
        <v>137</v>
      </c>
      <c r="B14" s="932"/>
      <c r="C14" s="933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907" t="s">
        <v>138</v>
      </c>
      <c r="B15" s="908"/>
      <c r="C15" s="909"/>
      <c r="D15" s="151" t="s">
        <v>139</v>
      </c>
      <c r="E15" s="470" t="e">
        <f>D15+1100</f>
        <v>#VALUE!</v>
      </c>
      <c r="F15" s="470">
        <v>1970937</v>
      </c>
      <c r="G15" s="112" t="e">
        <f>(F15-E15)</f>
        <v>#VALUE!</v>
      </c>
      <c r="H15" s="99" t="e">
        <f>G15+'30'!H15</f>
        <v>#VALUE!</v>
      </c>
      <c r="I15" s="113">
        <f>'1'!I15</f>
        <v>800</v>
      </c>
      <c r="J15" s="175" t="e">
        <f>H15/DAY(B2)</f>
        <v>#VALUE!</v>
      </c>
      <c r="K15" s="79"/>
      <c r="L15" s="66"/>
      <c r="N15" s="87"/>
      <c r="O15" s="71"/>
    </row>
    <row r="16" spans="1:15" ht="21.95" customHeight="1">
      <c r="A16" s="985"/>
      <c r="B16" s="986"/>
      <c r="C16" s="987"/>
      <c r="D16" s="152"/>
      <c r="E16" s="123"/>
      <c r="F16" s="123"/>
      <c r="G16" s="112"/>
      <c r="H16" s="124"/>
      <c r="I16" s="120" t="e">
        <f>I15-J15</f>
        <v>#VALUE!</v>
      </c>
      <c r="J16" s="176"/>
      <c r="K16" s="79"/>
      <c r="L16" s="66"/>
      <c r="N16" s="87"/>
      <c r="O16" s="71"/>
    </row>
    <row r="17" spans="1:15" ht="26.25">
      <c r="A17" s="931" t="s">
        <v>140</v>
      </c>
      <c r="B17" s="932"/>
      <c r="C17" s="933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907" t="s">
        <v>141</v>
      </c>
      <c r="B18" s="908"/>
      <c r="C18" s="909"/>
      <c r="D18" s="151" t="s">
        <v>142</v>
      </c>
      <c r="E18" s="164">
        <v>22</v>
      </c>
      <c r="F18" s="164">
        <v>22</v>
      </c>
      <c r="G18" s="119">
        <f>F18*10</f>
        <v>220</v>
      </c>
      <c r="H18" s="99">
        <f>G18+'30'!H18</f>
        <v>7340</v>
      </c>
      <c r="I18" s="113">
        <f>'1'!I18</f>
        <v>65</v>
      </c>
      <c r="J18" s="175">
        <f>H18/DAY(B2)</f>
        <v>7340</v>
      </c>
      <c r="K18" s="79"/>
      <c r="L18" s="66"/>
      <c r="N18" s="87"/>
      <c r="O18" s="71"/>
    </row>
    <row r="19" spans="1:15" ht="25.5">
      <c r="A19" s="907" t="s">
        <v>69</v>
      </c>
      <c r="B19" s="908"/>
      <c r="C19" s="909"/>
      <c r="D19" s="151" t="s">
        <v>142</v>
      </c>
      <c r="E19" s="122">
        <v>156989</v>
      </c>
      <c r="F19" s="122">
        <v>156989</v>
      </c>
      <c r="G19" s="112">
        <f t="shared" ref="G19" si="1">F19-E19</f>
        <v>0</v>
      </c>
      <c r="H19" s="99">
        <f>G19+'30'!H19</f>
        <v>0</v>
      </c>
      <c r="I19" s="123"/>
      <c r="J19" s="175">
        <f>H19/DAY(B2)</f>
        <v>0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220</v>
      </c>
      <c r="H20" s="99">
        <f>G20+'30'!H20</f>
        <v>7340</v>
      </c>
      <c r="I20" s="336">
        <f>I18-J20</f>
        <v>-7275</v>
      </c>
      <c r="J20" s="175">
        <f>H20/DAY(B2)</f>
        <v>7340</v>
      </c>
      <c r="K20" s="79"/>
      <c r="L20" s="66"/>
      <c r="N20" s="87"/>
      <c r="O20" s="71"/>
    </row>
    <row r="21" spans="1:15" ht="26.25">
      <c r="A21" s="931" t="s">
        <v>144</v>
      </c>
      <c r="B21" s="932"/>
      <c r="C21" s="933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936" t="s">
        <v>149</v>
      </c>
      <c r="B25" s="937"/>
      <c r="C25" s="938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6">
        <v>9</v>
      </c>
      <c r="F27" s="136">
        <v>9</v>
      </c>
      <c r="G27" s="137">
        <f>E27*F27</f>
        <v>81</v>
      </c>
      <c r="H27" s="99">
        <f>G27+'30'!H27</f>
        <v>7343291.5200000005</v>
      </c>
      <c r="I27" s="138"/>
      <c r="J27" s="175">
        <f>H27/DAY(B2)</f>
        <v>7343291.5200000005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6">
        <v>52</v>
      </c>
      <c r="F28" s="136">
        <v>52</v>
      </c>
      <c r="G28" s="137">
        <f>E28*F28</f>
        <v>2704</v>
      </c>
      <c r="H28" s="99" t="e">
        <f>G28+'30'!H28</f>
        <v>#VALUE!</v>
      </c>
      <c r="I28" s="530"/>
      <c r="J28" s="175" t="e">
        <f>H28/DAY(B2)</f>
        <v>#VALUE!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36">
        <v>69</v>
      </c>
      <c r="F29" s="136">
        <v>69</v>
      </c>
      <c r="G29" s="137">
        <f>E29*F29</f>
        <v>4761</v>
      </c>
      <c r="H29" s="99">
        <f>G29+'30'!H29</f>
        <v>4761</v>
      </c>
      <c r="I29" s="530"/>
      <c r="J29" s="175">
        <f>H29/DAY(B2)</f>
        <v>4761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36">
        <v>146</v>
      </c>
      <c r="F30" s="136">
        <v>146</v>
      </c>
      <c r="G30" s="137">
        <f>E30*F30</f>
        <v>21316</v>
      </c>
      <c r="H30" s="99">
        <f>G30+'30'!H30</f>
        <v>20011</v>
      </c>
      <c r="I30" s="530"/>
      <c r="J30" s="175">
        <f>H30/DAY(B2)</f>
        <v>20011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36">
        <v>80</v>
      </c>
      <c r="F31" s="136">
        <v>80</v>
      </c>
      <c r="G31" s="137">
        <f>E31*F31</f>
        <v>6400</v>
      </c>
      <c r="H31" s="99">
        <f>G31+'30'!H31</f>
        <v>576000</v>
      </c>
      <c r="I31" s="530"/>
      <c r="J31" s="175">
        <f>H31/DAY(B2)</f>
        <v>576000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35262</v>
      </c>
      <c r="H32" s="99" t="e">
        <f>G32+'30'!H32</f>
        <v>#VALUE!</v>
      </c>
      <c r="I32" s="144"/>
      <c r="J32" s="175" t="e">
        <f>H32/DAY(B2)</f>
        <v>#VALUE!</v>
      </c>
      <c r="K32" s="63"/>
      <c r="L32" s="89"/>
      <c r="N32" s="87"/>
      <c r="O32" s="71"/>
    </row>
    <row r="33" spans="1:15" ht="25.5" customHeight="1">
      <c r="A33" s="939" t="s">
        <v>331</v>
      </c>
      <c r="B33" s="940"/>
      <c r="C33" s="940"/>
      <c r="D33" s="337"/>
      <c r="E33" s="531"/>
      <c r="F33" s="531"/>
      <c r="G33" s="531"/>
      <c r="H33" s="531"/>
      <c r="I33" s="531"/>
      <c r="J33" s="532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138279.21</v>
      </c>
      <c r="F35" s="145">
        <v>138279.21</v>
      </c>
      <c r="G35" s="112">
        <f t="shared" ref="G35:G46" si="3">F35-E35</f>
        <v>0</v>
      </c>
      <c r="H35" s="99">
        <f>G35+'30'!H35</f>
        <v>0</v>
      </c>
      <c r="I35" s="95"/>
      <c r="J35" s="175">
        <f>H35/DAY(B2)</f>
        <v>0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100520.66</v>
      </c>
      <c r="F36" s="145">
        <v>100520.66</v>
      </c>
      <c r="G36" s="112">
        <f t="shared" si="3"/>
        <v>0</v>
      </c>
      <c r="H36" s="99">
        <f>G36+'30'!H36</f>
        <v>0</v>
      </c>
      <c r="I36" s="95"/>
      <c r="J36" s="175">
        <f>H36/DAY(B2)</f>
        <v>0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132925.01999999999</v>
      </c>
      <c r="F37" s="145">
        <v>132925.01999999999</v>
      </c>
      <c r="G37" s="112">
        <f t="shared" si="3"/>
        <v>0</v>
      </c>
      <c r="H37" s="99">
        <f>G37+'30'!H37</f>
        <v>0</v>
      </c>
      <c r="I37" s="95"/>
      <c r="J37" s="175">
        <f>H37/DAY(B2)</f>
        <v>0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170109.37</v>
      </c>
      <c r="F38" s="108">
        <v>170109.37</v>
      </c>
      <c r="G38" s="112">
        <f t="shared" si="3"/>
        <v>0</v>
      </c>
      <c r="H38" s="99">
        <f>G38+'30'!H38</f>
        <v>0</v>
      </c>
      <c r="I38" s="95"/>
      <c r="J38" s="175">
        <f>H38/DAY(B2)</f>
        <v>0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244153.43</v>
      </c>
      <c r="F39" s="145">
        <v>244153.43</v>
      </c>
      <c r="G39" s="112">
        <f t="shared" si="3"/>
        <v>0</v>
      </c>
      <c r="H39" s="99">
        <f>G39+'30'!H39</f>
        <v>0</v>
      </c>
      <c r="I39" s="95"/>
      <c r="J39" s="175">
        <f>H39/DAY(B2)</f>
        <v>0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49151.86</v>
      </c>
      <c r="F40" s="145">
        <v>49151.86</v>
      </c>
      <c r="G40" s="112">
        <f t="shared" si="3"/>
        <v>0</v>
      </c>
      <c r="H40" s="99">
        <f>G40+'30'!H40</f>
        <v>0</v>
      </c>
      <c r="I40" s="95"/>
      <c r="J40" s="175">
        <f>H40/DAY(B2)</f>
        <v>0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63</v>
      </c>
      <c r="F41" s="145">
        <v>63</v>
      </c>
      <c r="G41" s="112">
        <f t="shared" si="3"/>
        <v>0</v>
      </c>
      <c r="H41" s="99">
        <f>G41+'30'!H41</f>
        <v>-5.4569682106375694E-12</v>
      </c>
      <c r="I41" s="95"/>
      <c r="J41" s="175">
        <f>H41/DAY(B2)</f>
        <v>-5.4569682106375694E-12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281357.25</v>
      </c>
      <c r="F42" s="145">
        <v>281357.25</v>
      </c>
      <c r="G42" s="112">
        <f t="shared" si="3"/>
        <v>0</v>
      </c>
      <c r="H42" s="99">
        <f>G42+'30'!H42</f>
        <v>0</v>
      </c>
      <c r="I42" s="95"/>
      <c r="J42" s="175">
        <f>H42/DAY(B2)</f>
        <v>0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258754.47</v>
      </c>
      <c r="F43" s="145">
        <v>258754.47</v>
      </c>
      <c r="G43" s="112">
        <f t="shared" si="3"/>
        <v>0</v>
      </c>
      <c r="H43" s="99">
        <f>G43+'30'!H43</f>
        <v>0</v>
      </c>
      <c r="I43" s="95"/>
      <c r="J43" s="175">
        <f>H43/DAY(B2)</f>
        <v>0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0</v>
      </c>
      <c r="H47" s="99">
        <f>G47+'30'!H47</f>
        <v>5.8207660913467407E-11</v>
      </c>
      <c r="I47" s="95"/>
      <c r="J47" s="175">
        <f>H47/DAY(B2)</f>
        <v>5.8207660913467407E-11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110502.2</v>
      </c>
      <c r="F49" s="145">
        <v>110502.2</v>
      </c>
      <c r="G49" s="112">
        <f t="shared" ref="G49:G58" si="4">F49-E49</f>
        <v>0</v>
      </c>
      <c r="H49" s="99">
        <f>G49+'30'!H49</f>
        <v>0</v>
      </c>
      <c r="I49" s="95"/>
      <c r="J49" s="175">
        <f>H49/DAY(B2)</f>
        <v>0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131210.14000000001</v>
      </c>
      <c r="F50" s="145">
        <v>131210.14000000001</v>
      </c>
      <c r="G50" s="112">
        <f t="shared" si="4"/>
        <v>0</v>
      </c>
      <c r="H50" s="99">
        <f>G50+'30'!H50</f>
        <v>0</v>
      </c>
      <c r="I50" s="95"/>
      <c r="J50" s="175">
        <f>H50/DAY(B2)</f>
        <v>0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75.680000000000007</v>
      </c>
      <c r="F51" s="145">
        <v>75.680000000000007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v>35671.06</v>
      </c>
      <c r="F54" s="145">
        <v>35671.06</v>
      </c>
      <c r="G54" s="112">
        <f t="shared" si="4"/>
        <v>0</v>
      </c>
      <c r="H54" s="99">
        <f>G54+'30'!H54</f>
        <v>0</v>
      </c>
      <c r="I54" s="95"/>
      <c r="J54" s="175">
        <f>H54/DAY(B2)</f>
        <v>0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v>112481.03</v>
      </c>
      <c r="F55" s="145">
        <v>112481.03</v>
      </c>
      <c r="G55" s="112">
        <f t="shared" si="4"/>
        <v>0</v>
      </c>
      <c r="H55" s="99">
        <f>G55+'30'!H55</f>
        <v>0</v>
      </c>
      <c r="I55" s="95"/>
      <c r="J55" s="175">
        <f>H55/DAY(B2)</f>
        <v>0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v>71617.679999999993</v>
      </c>
      <c r="F56" s="145">
        <v>71617.679999999993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v>18454.2</v>
      </c>
      <c r="F58" s="145">
        <v>18454.2</v>
      </c>
      <c r="G58" s="112">
        <f t="shared" si="4"/>
        <v>0</v>
      </c>
      <c r="H58" s="99">
        <f>G58+'30'!H58</f>
        <v>0</v>
      </c>
      <c r="I58" s="95"/>
      <c r="J58" s="175">
        <f>H58/DAY(B2)</f>
        <v>0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0</v>
      </c>
      <c r="H59" s="99">
        <f>G59+'30'!H59</f>
        <v>0</v>
      </c>
      <c r="I59" s="95">
        <f>G7-G60</f>
        <v>27000</v>
      </c>
      <c r="J59" s="175">
        <f>H59/DAY(B2)</f>
        <v>0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0</v>
      </c>
      <c r="H60" s="99">
        <f>G60+'30'!H60</f>
        <v>6.5483618527650833E-11</v>
      </c>
      <c r="I60" s="95">
        <f>G13-G60</f>
        <v>24500</v>
      </c>
      <c r="J60" s="175">
        <f>H60/DAY(B2)</f>
        <v>6.5483618527650833E-11</v>
      </c>
      <c r="K60" s="79"/>
      <c r="L60" s="66"/>
      <c r="N60" s="87"/>
      <c r="O60" s="71"/>
    </row>
    <row r="61" spans="1:15" s="68" customFormat="1" ht="26.25">
      <c r="A61" s="941" t="s">
        <v>332</v>
      </c>
      <c r="B61" s="942"/>
      <c r="C61" s="943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907" t="s">
        <v>198</v>
      </c>
      <c r="B62" s="908"/>
      <c r="C62" s="909"/>
      <c r="D62" s="151" t="s">
        <v>142</v>
      </c>
      <c r="E62" s="122">
        <v>278626</v>
      </c>
      <c r="F62" s="122">
        <v>278626</v>
      </c>
      <c r="G62" s="112">
        <f t="shared" ref="G62:G63" si="5">F62-E62</f>
        <v>0</v>
      </c>
      <c r="H62" s="99">
        <f>G62+'30'!H62</f>
        <v>0</v>
      </c>
      <c r="I62" s="95"/>
      <c r="J62" s="175">
        <f>H62/DAY(B2)</f>
        <v>0</v>
      </c>
      <c r="K62" s="80"/>
      <c r="L62" s="66"/>
      <c r="N62" s="87"/>
      <c r="O62" s="71"/>
    </row>
    <row r="63" spans="1:15" ht="25.5">
      <c r="A63" s="907" t="s">
        <v>199</v>
      </c>
      <c r="B63" s="908"/>
      <c r="C63" s="909"/>
      <c r="D63" s="151" t="s">
        <v>142</v>
      </c>
      <c r="E63" s="164">
        <v>223081</v>
      </c>
      <c r="F63" s="164">
        <v>223081</v>
      </c>
      <c r="G63" s="112">
        <f t="shared" si="5"/>
        <v>0</v>
      </c>
      <c r="H63" s="99">
        <f>G63+'30'!H63</f>
        <v>0</v>
      </c>
      <c r="I63" s="95"/>
      <c r="J63" s="175">
        <f>H63/DAY(B2)</f>
        <v>0</v>
      </c>
      <c r="K63" s="69"/>
      <c r="L63" s="66"/>
      <c r="N63" s="87"/>
      <c r="O63" s="71"/>
    </row>
    <row r="64" spans="1:15" ht="26.25">
      <c r="A64" s="916" t="s">
        <v>200</v>
      </c>
      <c r="B64" s="917"/>
      <c r="C64" s="918"/>
      <c r="D64" s="151"/>
      <c r="E64" s="122"/>
      <c r="F64" s="122"/>
      <c r="G64" s="112">
        <f>G62+G63</f>
        <v>0</v>
      </c>
      <c r="H64" s="99">
        <f>G64+'30'!H64</f>
        <v>0</v>
      </c>
      <c r="I64" s="95"/>
      <c r="J64" s="175">
        <f>H64/DAY(B2)</f>
        <v>0</v>
      </c>
      <c r="K64" s="69"/>
      <c r="L64" s="66"/>
      <c r="N64" s="87"/>
      <c r="O64" s="71"/>
    </row>
    <row r="65" spans="1:15" ht="25.5">
      <c r="A65" s="907" t="s">
        <v>201</v>
      </c>
      <c r="B65" s="908"/>
      <c r="C65" s="909"/>
      <c r="D65" s="151" t="s">
        <v>142</v>
      </c>
      <c r="E65" s="122">
        <v>441131</v>
      </c>
      <c r="F65" s="122">
        <v>441131</v>
      </c>
      <c r="G65" s="112">
        <f t="shared" ref="G65:G70" si="6">F65-E65</f>
        <v>0</v>
      </c>
      <c r="H65" s="99">
        <f>G65+'30'!H65</f>
        <v>0</v>
      </c>
      <c r="I65" s="95"/>
      <c r="J65" s="175">
        <f>H65/DAY(B2)</f>
        <v>0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22">
        <v>109070</v>
      </c>
      <c r="F66" s="122">
        <v>109070</v>
      </c>
      <c r="G66" s="112">
        <f t="shared" si="6"/>
        <v>0</v>
      </c>
      <c r="H66" s="99">
        <f>G66+'30'!H66</f>
        <v>0</v>
      </c>
      <c r="I66" s="95"/>
      <c r="J66" s="175">
        <f>H66/DAY(B2)</f>
        <v>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22">
        <v>108593</v>
      </c>
      <c r="F67" s="122">
        <v>108593</v>
      </c>
      <c r="G67" s="112">
        <f t="shared" si="6"/>
        <v>0</v>
      </c>
      <c r="H67" s="99">
        <f>G67+'30'!H67</f>
        <v>0</v>
      </c>
      <c r="I67" s="95"/>
      <c r="J67" s="175">
        <f>H67/DAY(B2)</f>
        <v>0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22">
        <v>160409</v>
      </c>
      <c r="F68" s="122">
        <v>160409</v>
      </c>
      <c r="G68" s="112">
        <f t="shared" si="6"/>
        <v>0</v>
      </c>
      <c r="H68" s="99">
        <f>G68+'30'!H68</f>
        <v>-4</v>
      </c>
      <c r="I68" s="95"/>
      <c r="J68" s="175">
        <f>H68/DAY(B2)</f>
        <v>-4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22">
        <v>11201</v>
      </c>
      <c r="F69" s="122">
        <v>11201</v>
      </c>
      <c r="G69" s="112">
        <f t="shared" si="6"/>
        <v>0</v>
      </c>
      <c r="H69" s="99">
        <f>G69+'30'!H69</f>
        <v>0</v>
      </c>
      <c r="I69" s="95"/>
      <c r="J69" s="175">
        <f>H69/DAY(B2)</f>
        <v>0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22">
        <v>8728</v>
      </c>
      <c r="F70" s="122">
        <v>8728</v>
      </c>
      <c r="G70" s="112">
        <f t="shared" si="6"/>
        <v>0</v>
      </c>
      <c r="H70" s="99">
        <f>G70+'30'!H70</f>
        <v>0</v>
      </c>
      <c r="I70" s="95"/>
      <c r="J70" s="175">
        <f>H70/DAY(B2)</f>
        <v>0</v>
      </c>
      <c r="K70" s="69"/>
      <c r="L70" s="66"/>
      <c r="N70" s="87"/>
      <c r="O70" s="71"/>
    </row>
    <row r="71" spans="1:15" ht="26.25">
      <c r="A71" s="916" t="s">
        <v>208</v>
      </c>
      <c r="B71" s="917"/>
      <c r="C71" s="918"/>
      <c r="D71" s="152"/>
      <c r="E71" s="152"/>
      <c r="F71" s="152"/>
      <c r="G71" s="153">
        <f>SUM(G65:G70)</f>
        <v>0</v>
      </c>
      <c r="H71" s="99">
        <f>G71+'30'!H71</f>
        <v>-4</v>
      </c>
      <c r="I71" s="533"/>
      <c r="J71" s="175">
        <f>H71/DAY(B2)</f>
        <v>-4</v>
      </c>
      <c r="K71" s="69"/>
      <c r="L71" s="66"/>
      <c r="N71" s="87"/>
      <c r="O71" s="71"/>
    </row>
    <row r="72" spans="1:15" s="88" customFormat="1" ht="25.5">
      <c r="A72" s="903"/>
      <c r="B72" s="888"/>
      <c r="C72" s="347"/>
      <c r="D72" s="180"/>
      <c r="E72" s="412"/>
      <c r="F72" s="412"/>
      <c r="G72" s="412"/>
      <c r="H72" s="181"/>
      <c r="I72" s="412"/>
      <c r="J72" s="534"/>
      <c r="N72" s="87"/>
      <c r="O72" s="71"/>
    </row>
    <row r="73" spans="1:15" ht="26.25">
      <c r="A73" s="913" t="s">
        <v>333</v>
      </c>
      <c r="B73" s="914"/>
      <c r="C73" s="915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907" t="s">
        <v>220</v>
      </c>
      <c r="B74" s="908"/>
      <c r="C74" s="909"/>
      <c r="D74" s="151" t="s">
        <v>139</v>
      </c>
      <c r="E74" s="123">
        <v>919324.51</v>
      </c>
      <c r="F74" s="123">
        <v>919324.51</v>
      </c>
      <c r="G74" s="112">
        <f t="shared" ref="G74:G78" si="7">F74-E74</f>
        <v>0</v>
      </c>
      <c r="H74" s="99">
        <f>G74+'30'!H74</f>
        <v>0</v>
      </c>
      <c r="I74" s="533"/>
      <c r="J74" s="175">
        <f>H74/DAY(B2)</f>
        <v>0</v>
      </c>
      <c r="K74" s="69"/>
      <c r="L74" s="66"/>
      <c r="N74" s="87"/>
      <c r="O74" s="71"/>
    </row>
    <row r="75" spans="1:15" ht="25.5">
      <c r="A75" s="907" t="s">
        <v>221</v>
      </c>
      <c r="B75" s="908"/>
      <c r="C75" s="909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3"/>
      <c r="J75" s="175">
        <f>H75/DAY(B2)</f>
        <v>0</v>
      </c>
      <c r="K75" s="69"/>
      <c r="L75" s="66"/>
      <c r="N75" s="87"/>
      <c r="O75" s="71"/>
    </row>
    <row r="76" spans="1:15" ht="25.5">
      <c r="A76" s="904" t="s">
        <v>222</v>
      </c>
      <c r="B76" s="905"/>
      <c r="C76" s="906"/>
      <c r="D76" s="151" t="s">
        <v>139</v>
      </c>
      <c r="E76" s="123">
        <v>176587</v>
      </c>
      <c r="F76" s="123">
        <v>176587</v>
      </c>
      <c r="G76" s="112">
        <f t="shared" si="7"/>
        <v>0</v>
      </c>
      <c r="H76" s="99">
        <f>G76+'30'!H76</f>
        <v>0</v>
      </c>
      <c r="I76" s="533"/>
      <c r="J76" s="175">
        <f>H76/DAY(B2)</f>
        <v>0</v>
      </c>
      <c r="K76" s="69"/>
      <c r="L76" s="66"/>
      <c r="N76" s="87"/>
      <c r="O76" s="71"/>
    </row>
    <row r="77" spans="1:15" ht="25.5">
      <c r="A77" s="904" t="s">
        <v>223</v>
      </c>
      <c r="B77" s="905"/>
      <c r="C77" s="906"/>
      <c r="D77" s="151" t="s">
        <v>139</v>
      </c>
      <c r="E77" s="410">
        <v>44163</v>
      </c>
      <c r="F77" s="410">
        <v>44163</v>
      </c>
      <c r="G77" s="112">
        <f t="shared" si="7"/>
        <v>0</v>
      </c>
      <c r="H77" s="99">
        <f>G77+'30'!H77</f>
        <v>0</v>
      </c>
      <c r="I77" s="533"/>
      <c r="J77" s="175">
        <f>H77/DAY(B2)</f>
        <v>0</v>
      </c>
      <c r="K77" s="69"/>
      <c r="L77" s="66"/>
      <c r="N77" s="87"/>
      <c r="O77" s="71"/>
    </row>
    <row r="78" spans="1:15" ht="25.5">
      <c r="A78" s="904" t="s">
        <v>224</v>
      </c>
      <c r="B78" s="905"/>
      <c r="C78" s="906"/>
      <c r="D78" s="151" t="s">
        <v>139</v>
      </c>
      <c r="E78" s="410">
        <v>9563</v>
      </c>
      <c r="F78" s="410">
        <v>9563</v>
      </c>
      <c r="G78" s="112">
        <f t="shared" si="7"/>
        <v>0</v>
      </c>
      <c r="H78" s="99">
        <f>G78+'30'!H78</f>
        <v>0</v>
      </c>
      <c r="I78" s="95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04" t="s">
        <v>225</v>
      </c>
      <c r="B79" s="905"/>
      <c r="C79" s="906"/>
      <c r="D79" s="151"/>
      <c r="E79" s="123"/>
      <c r="F79" s="123"/>
      <c r="G79" s="112" t="e">
        <f>G15-SUM(G74:G78)</f>
        <v>#VALUE!</v>
      </c>
      <c r="H79" s="99" t="e">
        <f>G79+'30'!H79</f>
        <v>#VALUE!</v>
      </c>
      <c r="I79" s="95"/>
      <c r="J79" s="175"/>
      <c r="K79" s="59"/>
      <c r="L79" s="58"/>
      <c r="N79" s="87"/>
      <c r="O79" s="71"/>
    </row>
    <row r="80" spans="1:15" s="57" customFormat="1" ht="26.25">
      <c r="A80" s="916" t="s">
        <v>329</v>
      </c>
      <c r="B80" s="917"/>
      <c r="C80" s="918"/>
      <c r="D80" s="151"/>
      <c r="E80" s="117"/>
      <c r="F80" s="117"/>
      <c r="G80" s="112" t="e">
        <f>SUM(G74:G79)</f>
        <v>#VALUE!</v>
      </c>
      <c r="H80" s="99"/>
      <c r="I80" s="95"/>
      <c r="J80" s="175"/>
      <c r="K80" s="59"/>
      <c r="L80" s="58"/>
      <c r="N80" s="87"/>
      <c r="O80" s="71"/>
    </row>
    <row r="81" spans="1:15" ht="25.5">
      <c r="A81" s="921" t="s">
        <v>226</v>
      </c>
      <c r="B81" s="922"/>
      <c r="C81" s="923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41675</v>
      </c>
      <c r="F84" s="164">
        <v>41675</v>
      </c>
      <c r="G84" s="112">
        <f t="shared" si="8"/>
        <v>0</v>
      </c>
      <c r="H84" s="99">
        <f>G84+'30'!H84</f>
        <v>0</v>
      </c>
      <c r="I84" s="575"/>
      <c r="J84" s="175">
        <f>H84/DAY(B2)</f>
        <v>0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64">
        <v>3158.5</v>
      </c>
      <c r="F85" s="164">
        <v>3158.5</v>
      </c>
      <c r="G85" s="112">
        <f t="shared" si="8"/>
        <v>0</v>
      </c>
      <c r="H85" s="99">
        <f>G85+'30'!H85</f>
        <v>0</v>
      </c>
      <c r="I85" s="575"/>
      <c r="J85" s="175">
        <f>H85/DAY(B2)</f>
        <v>0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43720.4</v>
      </c>
      <c r="F86" s="164">
        <v>43720.4</v>
      </c>
      <c r="G86" s="112">
        <f t="shared" si="8"/>
        <v>0</v>
      </c>
      <c r="H86" s="99">
        <f>G86+'30'!H86</f>
        <v>0</v>
      </c>
      <c r="I86" s="575"/>
      <c r="J86" s="175">
        <f>H86/DAY(B2)</f>
        <v>0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35080.35</v>
      </c>
      <c r="F87" s="164">
        <v>35080.35</v>
      </c>
      <c r="G87" s="112">
        <f t="shared" si="8"/>
        <v>0</v>
      </c>
      <c r="H87" s="99">
        <f>G87+'30'!H87</f>
        <v>0</v>
      </c>
      <c r="I87" s="575">
        <f>G84+G85+G86+G87</f>
        <v>0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24109.4</v>
      </c>
      <c r="F88" s="164">
        <v>24109.4</v>
      </c>
      <c r="G88" s="112">
        <f t="shared" si="8"/>
        <v>0</v>
      </c>
      <c r="H88" s="99">
        <f>G88+'30'!H88</f>
        <v>0</v>
      </c>
      <c r="I88" s="57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26471.79</v>
      </c>
      <c r="F89" s="164">
        <v>26471.79</v>
      </c>
      <c r="G89" s="112">
        <f t="shared" si="8"/>
        <v>0</v>
      </c>
      <c r="H89" s="99">
        <f>G89+'30'!H89</f>
        <v>0</v>
      </c>
      <c r="I89" s="575">
        <f>G88+G89</f>
        <v>0</v>
      </c>
      <c r="J89" s="175">
        <f>H89/DAY(B2)</f>
        <v>0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71573.11</v>
      </c>
      <c r="F90" s="164">
        <v>71573.11</v>
      </c>
      <c r="G90" s="112">
        <f>F90-E90</f>
        <v>0</v>
      </c>
      <c r="H90" s="99">
        <f>G90+'30'!H90</f>
        <v>51.139999999999418</v>
      </c>
      <c r="I90" s="575">
        <f>G90</f>
        <v>0</v>
      </c>
      <c r="J90" s="175">
        <f>H90/DAY(B2)</f>
        <v>51.139999999999418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3909.75</v>
      </c>
      <c r="F91" s="122">
        <v>3909.75</v>
      </c>
      <c r="G91" s="112">
        <f t="shared" si="8"/>
        <v>0</v>
      </c>
      <c r="H91" s="99">
        <f>G91+'30'!H91</f>
        <v>0</v>
      </c>
      <c r="I91" s="594"/>
      <c r="J91" s="175">
        <f>H91/DAY(B2)</f>
        <v>0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5747.3</v>
      </c>
      <c r="F92" s="122">
        <v>5747.3</v>
      </c>
      <c r="G92" s="112">
        <f t="shared" si="8"/>
        <v>0</v>
      </c>
      <c r="H92" s="99">
        <f>G92+'30'!H92</f>
        <v>0</v>
      </c>
      <c r="I92" s="600">
        <f>G91+G92</f>
        <v>0</v>
      </c>
      <c r="J92" s="175">
        <f>H92/DAY(B2)</f>
        <v>0</v>
      </c>
      <c r="O92" s="71"/>
    </row>
    <row r="93" spans="1:15" ht="26.25">
      <c r="A93" s="910" t="s">
        <v>239</v>
      </c>
      <c r="B93" s="911"/>
      <c r="C93" s="912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907" t="s">
        <v>240</v>
      </c>
      <c r="B94" s="908"/>
      <c r="C94" s="909"/>
      <c r="D94" s="151" t="s">
        <v>130</v>
      </c>
      <c r="E94" s="151"/>
      <c r="F94" s="151"/>
      <c r="G94" s="99">
        <f>G35+G43+G49+G57</f>
        <v>0</v>
      </c>
      <c r="H94" s="99">
        <f>G94+'30'!H94</f>
        <v>0</v>
      </c>
      <c r="I94" s="95"/>
      <c r="J94" s="175">
        <f>H94/DAY(B2)</f>
        <v>0</v>
      </c>
      <c r="K94" s="69"/>
      <c r="L94" s="66"/>
      <c r="O94" s="71"/>
    </row>
    <row r="95" spans="1:15" ht="25.5">
      <c r="A95" s="907" t="s">
        <v>241</v>
      </c>
      <c r="B95" s="908"/>
      <c r="C95" s="909"/>
      <c r="D95" s="151" t="s">
        <v>23</v>
      </c>
      <c r="E95" s="146"/>
      <c r="F95" s="146"/>
      <c r="G95" s="166">
        <f>G94/G7</f>
        <v>0</v>
      </c>
      <c r="H95" s="99">
        <f>G95+'30'!H95</f>
        <v>-2.2394852395839882E-2</v>
      </c>
      <c r="I95" s="535"/>
      <c r="J95" s="175">
        <f>H95/DAY(B2)</f>
        <v>-2.2394852395839882E-2</v>
      </c>
      <c r="K95" s="69"/>
      <c r="L95" s="66"/>
      <c r="O95" s="71"/>
    </row>
    <row r="96" spans="1:15" ht="25.5">
      <c r="A96" s="907" t="s">
        <v>242</v>
      </c>
      <c r="B96" s="908"/>
      <c r="C96" s="909"/>
      <c r="D96" s="151" t="s">
        <v>130</v>
      </c>
      <c r="E96" s="95"/>
      <c r="F96" s="95"/>
      <c r="G96" s="99">
        <f>G41+G42+G55+G56</f>
        <v>0</v>
      </c>
      <c r="H96" s="99">
        <f>G96+'30'!H96</f>
        <v>-2.1827872842550278E-11</v>
      </c>
      <c r="I96" s="95"/>
      <c r="J96" s="175">
        <f>H96/DAY(B2)</f>
        <v>-2.1827872842550278E-11</v>
      </c>
      <c r="K96" s="69"/>
      <c r="L96" s="66"/>
      <c r="O96" s="71"/>
    </row>
    <row r="97" spans="1:15" ht="25.5">
      <c r="A97" s="907" t="s">
        <v>243</v>
      </c>
      <c r="B97" s="908"/>
      <c r="C97" s="909"/>
      <c r="D97" s="151" t="s">
        <v>23</v>
      </c>
      <c r="E97" s="95"/>
      <c r="F97" s="95"/>
      <c r="G97" s="166">
        <f>G96/G7</f>
        <v>0</v>
      </c>
      <c r="H97" s="99">
        <f>G97+'30'!H97</f>
        <v>-3.0906077025926737E-2</v>
      </c>
      <c r="I97" s="535"/>
      <c r="J97" s="175">
        <f>H97/DAY(B2)</f>
        <v>-3.0906077025926737E-2</v>
      </c>
      <c r="K97" s="69"/>
      <c r="L97" s="66"/>
      <c r="O97" s="71"/>
    </row>
    <row r="98" spans="1:15" ht="25.5">
      <c r="A98" s="907" t="s">
        <v>244</v>
      </c>
      <c r="B98" s="908"/>
      <c r="C98" s="909"/>
      <c r="D98" s="151" t="s">
        <v>130</v>
      </c>
      <c r="E98" s="95"/>
      <c r="F98" s="95"/>
      <c r="G98" s="99">
        <f>G39+G53</f>
        <v>0</v>
      </c>
      <c r="H98" s="99">
        <f>G98+'30'!H98</f>
        <v>0</v>
      </c>
      <c r="I98" s="514"/>
      <c r="J98" s="175">
        <f>H98/DAY(B2)</f>
        <v>0</v>
      </c>
      <c r="K98" s="69"/>
      <c r="L98" s="66"/>
      <c r="O98" s="71"/>
    </row>
    <row r="99" spans="1:15" ht="25.5">
      <c r="A99" s="907" t="s">
        <v>245</v>
      </c>
      <c r="B99" s="908"/>
      <c r="C99" s="909"/>
      <c r="D99" s="151" t="s">
        <v>23</v>
      </c>
      <c r="E99" s="95"/>
      <c r="F99" s="95"/>
      <c r="G99" s="166">
        <f>G98/G7</f>
        <v>0</v>
      </c>
      <c r="H99" s="99">
        <f>G99+'30'!H99</f>
        <v>-7.4509577242449776E-3</v>
      </c>
      <c r="I99" s="514"/>
      <c r="J99" s="175">
        <f>H99/DAY(B2)</f>
        <v>-7.4509577242449776E-3</v>
      </c>
      <c r="O99" s="71"/>
    </row>
    <row r="100" spans="1:15" ht="26.25">
      <c r="A100" s="907" t="s">
        <v>246</v>
      </c>
      <c r="B100" s="908"/>
      <c r="C100" s="909"/>
      <c r="D100" s="151" t="s">
        <v>180</v>
      </c>
      <c r="E100" s="95"/>
      <c r="F100" s="95"/>
      <c r="G100" s="99">
        <f>G38+G52</f>
        <v>0</v>
      </c>
      <c r="H100" s="99">
        <f>G100+'30'!H100</f>
        <v>0</v>
      </c>
      <c r="I100" s="95"/>
      <c r="J100" s="175">
        <f>H100/DAY(B2)</f>
        <v>0</v>
      </c>
      <c r="K100" s="70"/>
      <c r="O100" s="71"/>
    </row>
    <row r="101" spans="1:15" ht="25.5">
      <c r="A101" s="907" t="s">
        <v>247</v>
      </c>
      <c r="B101" s="908"/>
      <c r="C101" s="909"/>
      <c r="D101" s="151" t="s">
        <v>23</v>
      </c>
      <c r="E101" s="95"/>
      <c r="F101" s="95"/>
      <c r="G101" s="166">
        <f>G100/G7</f>
        <v>0</v>
      </c>
      <c r="H101" s="99">
        <f>G101+'30'!H101</f>
        <v>-5.9188987440294272E-3</v>
      </c>
      <c r="I101" s="514"/>
      <c r="J101" s="175">
        <f>H101/DAY(B2)</f>
        <v>-5.9188987440294272E-3</v>
      </c>
      <c r="O101" s="71"/>
    </row>
    <row r="102" spans="1:15" ht="25.5">
      <c r="A102" s="907" t="s">
        <v>248</v>
      </c>
      <c r="B102" s="908"/>
      <c r="C102" s="909"/>
      <c r="D102" s="151" t="s">
        <v>180</v>
      </c>
      <c r="E102" s="95"/>
      <c r="F102" s="95"/>
      <c r="G102" s="99">
        <f>G36+G50</f>
        <v>0</v>
      </c>
      <c r="H102" s="99">
        <f>G102+'30'!H102</f>
        <v>0</v>
      </c>
      <c r="I102" s="514"/>
      <c r="J102" s="175">
        <f>H102/DAY(B2)</f>
        <v>0</v>
      </c>
      <c r="O102" s="71"/>
    </row>
    <row r="103" spans="1:15" ht="25.5">
      <c r="A103" s="907" t="s">
        <v>249</v>
      </c>
      <c r="B103" s="908"/>
      <c r="C103" s="909"/>
      <c r="D103" s="151" t="s">
        <v>23</v>
      </c>
      <c r="E103" s="95"/>
      <c r="F103" s="95"/>
      <c r="G103" s="166">
        <f>G102/G7</f>
        <v>0</v>
      </c>
      <c r="H103" s="99">
        <f>G103+'30'!H103</f>
        <v>-1.1396443191674155E-2</v>
      </c>
      <c r="I103" s="95"/>
      <c r="J103" s="175">
        <f>H103/DAY(B2)</f>
        <v>-1.1396443191674155E-2</v>
      </c>
      <c r="O103" s="71"/>
    </row>
    <row r="104" spans="1:15" ht="25.5">
      <c r="A104" s="907" t="s">
        <v>250</v>
      </c>
      <c r="B104" s="908"/>
      <c r="C104" s="909"/>
      <c r="D104" s="151" t="s">
        <v>180</v>
      </c>
      <c r="E104" s="95"/>
      <c r="F104" s="95"/>
      <c r="G104" s="99">
        <f>G37+G51</f>
        <v>0</v>
      </c>
      <c r="H104" s="99">
        <f>G104+'30'!H104</f>
        <v>0</v>
      </c>
      <c r="I104" s="95"/>
      <c r="J104" s="175">
        <f>H104/DAY(B2)</f>
        <v>0</v>
      </c>
      <c r="O104" s="71"/>
    </row>
    <row r="105" spans="1:15" ht="26.25" thickBot="1">
      <c r="A105" s="900" t="s">
        <v>251</v>
      </c>
      <c r="B105" s="901"/>
      <c r="C105" s="902"/>
      <c r="D105" s="231" t="s">
        <v>23</v>
      </c>
      <c r="E105" s="185"/>
      <c r="F105" s="185"/>
      <c r="G105" s="186">
        <f>G104/G7</f>
        <v>0</v>
      </c>
      <c r="H105" s="99">
        <f>G105+'30'!H105</f>
        <v>-4.6895447510482552E-3</v>
      </c>
      <c r="I105" s="185"/>
      <c r="J105" s="188">
        <f>H105/DAY(B2)</f>
        <v>-4.6895447510482552E-3</v>
      </c>
      <c r="O105" s="71"/>
    </row>
    <row r="106" spans="1:15" ht="25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6.25"/>
    <row r="108" spans="1:15" ht="27.75">
      <c r="A108" s="896" t="s">
        <v>324</v>
      </c>
      <c r="B108" s="896"/>
      <c r="C108" s="896"/>
      <c r="D108" s="896"/>
      <c r="E108" s="896"/>
      <c r="F108" s="896"/>
      <c r="G108" s="896"/>
      <c r="H108" s="896"/>
      <c r="I108" s="896"/>
      <c r="J108" s="896"/>
    </row>
    <row r="109" spans="1:15" ht="26.25">
      <c r="A109" s="924"/>
      <c r="B109" s="924"/>
    </row>
    <row r="110" spans="1:15" ht="26.25">
      <c r="A110" s="897" t="s">
        <v>165</v>
      </c>
      <c r="B110" s="898"/>
      <c r="C110" s="898"/>
      <c r="D110" s="898"/>
      <c r="E110" s="898"/>
      <c r="F110" s="898"/>
      <c r="G110" s="898"/>
      <c r="H110" s="898"/>
      <c r="I110" s="898"/>
      <c r="J110" s="899"/>
    </row>
    <row r="111" spans="1:15" ht="25.5">
      <c r="A111" s="890"/>
      <c r="B111" s="891"/>
      <c r="C111" s="892"/>
      <c r="D111" s="165"/>
      <c r="E111" s="155"/>
      <c r="F111" s="155"/>
      <c r="G111" s="155"/>
      <c r="H111" s="156"/>
      <c r="I111" s="155"/>
      <c r="J111" s="156"/>
    </row>
    <row r="112" spans="1:15" ht="25.5">
      <c r="A112" s="886" t="s">
        <v>252</v>
      </c>
      <c r="B112" s="887"/>
      <c r="C112" s="888"/>
      <c r="D112" s="146" t="s">
        <v>183</v>
      </c>
      <c r="E112" s="237">
        <v>62143.53</v>
      </c>
      <c r="F112" s="237">
        <v>62143.53</v>
      </c>
      <c r="G112" s="112">
        <f t="shared" ref="G112:G123" si="9">F112-E112</f>
        <v>0</v>
      </c>
      <c r="H112" s="99">
        <f>G112+'30'!H112</f>
        <v>64264</v>
      </c>
      <c r="I112" s="155"/>
      <c r="J112" s="328">
        <f>H112/DAY(B2)</f>
        <v>64264</v>
      </c>
    </row>
    <row r="113" spans="1:18" ht="25.5">
      <c r="A113" s="886" t="s">
        <v>253</v>
      </c>
      <c r="B113" s="887"/>
      <c r="C113" s="888"/>
      <c r="D113" s="146" t="s">
        <v>183</v>
      </c>
      <c r="E113" s="237">
        <v>74255.600000000006</v>
      </c>
      <c r="F113" s="237">
        <v>74255.600000000006</v>
      </c>
      <c r="G113" s="112">
        <f t="shared" si="9"/>
        <v>0</v>
      </c>
      <c r="H113" s="99">
        <f>G113+'30'!H113</f>
        <v>86189.39</v>
      </c>
      <c r="I113" s="155"/>
      <c r="J113" s="328">
        <f>H113/DAY(B2)</f>
        <v>86189.39</v>
      </c>
    </row>
    <row r="114" spans="1:18" ht="25.5">
      <c r="A114" s="886" t="s">
        <v>254</v>
      </c>
      <c r="B114" s="887"/>
      <c r="C114" s="888"/>
      <c r="D114" s="146" t="s">
        <v>183</v>
      </c>
      <c r="E114" s="237">
        <v>50263</v>
      </c>
      <c r="F114" s="237">
        <v>50263</v>
      </c>
      <c r="G114" s="112">
        <f t="shared" si="9"/>
        <v>0</v>
      </c>
      <c r="H114" s="99">
        <f>G114+'30'!H114</f>
        <v>57093.11</v>
      </c>
      <c r="I114" s="155"/>
      <c r="J114" s="328">
        <f>H114/DAY(B2)</f>
        <v>57093.11</v>
      </c>
    </row>
    <row r="115" spans="1:18" ht="25.5">
      <c r="A115" s="886" t="s">
        <v>255</v>
      </c>
      <c r="B115" s="887"/>
      <c r="C115" s="888"/>
      <c r="D115" s="146" t="s">
        <v>183</v>
      </c>
      <c r="E115" s="237">
        <v>9828.51</v>
      </c>
      <c r="F115" s="237">
        <v>9828.51</v>
      </c>
      <c r="G115" s="112">
        <f t="shared" si="9"/>
        <v>0</v>
      </c>
      <c r="H115" s="99">
        <f>G115+'30'!H115</f>
        <v>10406.75</v>
      </c>
      <c r="I115" s="155"/>
      <c r="J115" s="328">
        <f>H115/DAY(B2)</f>
        <v>10406.75</v>
      </c>
    </row>
    <row r="116" spans="1:18" ht="25.5">
      <c r="A116" s="893" t="s">
        <v>96</v>
      </c>
      <c r="B116" s="894"/>
      <c r="C116" s="895"/>
      <c r="D116" s="146" t="s">
        <v>183</v>
      </c>
      <c r="E116" s="237">
        <v>22784.62</v>
      </c>
      <c r="F116" s="237">
        <v>22784.62</v>
      </c>
      <c r="G116" s="112">
        <f t="shared" si="9"/>
        <v>0</v>
      </c>
      <c r="H116" s="99">
        <f>G116+'30'!H116</f>
        <v>0</v>
      </c>
      <c r="I116" s="155"/>
      <c r="J116" s="328">
        <f>H116/DAY(B2)</f>
        <v>0</v>
      </c>
      <c r="Q116" s="886"/>
      <c r="R116" s="888"/>
    </row>
    <row r="117" spans="1:18" ht="25.5">
      <c r="A117" s="893" t="s">
        <v>184</v>
      </c>
      <c r="B117" s="894"/>
      <c r="C117" s="895"/>
      <c r="D117" s="146" t="s">
        <v>183</v>
      </c>
      <c r="E117" s="237">
        <v>13613.173000000001</v>
      </c>
      <c r="F117" s="237">
        <v>13613.173000000001</v>
      </c>
      <c r="G117" s="112">
        <f t="shared" si="9"/>
        <v>0</v>
      </c>
      <c r="H117" s="99">
        <f>G117+'30'!H117</f>
        <v>0</v>
      </c>
      <c r="I117" s="155"/>
      <c r="J117" s="328">
        <f>H117/DAY(B2)</f>
        <v>0</v>
      </c>
      <c r="Q117" s="886"/>
      <c r="R117" s="888"/>
    </row>
    <row r="118" spans="1:18" ht="25.5">
      <c r="A118" s="885" t="s">
        <v>97</v>
      </c>
      <c r="B118" s="885"/>
      <c r="C118" s="885"/>
      <c r="D118" s="151" t="s">
        <v>183</v>
      </c>
      <c r="E118" s="237">
        <v>280220.96999999997</v>
      </c>
      <c r="F118" s="237">
        <v>280220.96999999997</v>
      </c>
      <c r="G118" s="112">
        <f t="shared" si="9"/>
        <v>0</v>
      </c>
      <c r="H118" s="99">
        <f>G118+'30'!H118</f>
        <v>-9.0949470177292824E-13</v>
      </c>
      <c r="I118" s="155"/>
      <c r="J118" s="328">
        <f>H118/DAY(B2)</f>
        <v>-9.0949470177292824E-13</v>
      </c>
      <c r="Q118" s="886"/>
      <c r="R118" s="888"/>
    </row>
    <row r="119" spans="1:18" ht="25.5">
      <c r="A119" s="885" t="s">
        <v>98</v>
      </c>
      <c r="B119" s="885"/>
      <c r="C119" s="885"/>
      <c r="D119" s="151" t="s">
        <v>183</v>
      </c>
      <c r="E119" s="237">
        <v>283097.39</v>
      </c>
      <c r="F119" s="237">
        <v>283097.39</v>
      </c>
      <c r="G119" s="112">
        <f t="shared" si="9"/>
        <v>0</v>
      </c>
      <c r="H119" s="99">
        <f>G119+'30'!H119</f>
        <v>290418</v>
      </c>
      <c r="I119" s="155"/>
      <c r="J119" s="328">
        <f>H119/DAY(B2)</f>
        <v>290418</v>
      </c>
    </row>
    <row r="120" spans="1:18" ht="25.5">
      <c r="A120" s="885" t="s">
        <v>99</v>
      </c>
      <c r="B120" s="885"/>
      <c r="C120" s="885"/>
      <c r="D120" s="151" t="s">
        <v>183</v>
      </c>
      <c r="E120" s="237">
        <v>67724.759999999995</v>
      </c>
      <c r="F120" s="237">
        <v>67724.759999999995</v>
      </c>
      <c r="G120" s="112">
        <f t="shared" si="9"/>
        <v>0</v>
      </c>
      <c r="H120" s="99">
        <f>G120+'30'!H120</f>
        <v>0</v>
      </c>
      <c r="I120" s="155"/>
      <c r="J120" s="328">
        <f>H120/DAY(B2)</f>
        <v>0</v>
      </c>
    </row>
    <row r="121" spans="1:18" ht="25.5">
      <c r="A121" s="885" t="s">
        <v>100</v>
      </c>
      <c r="B121" s="885"/>
      <c r="C121" s="885"/>
      <c r="D121" s="151" t="s">
        <v>183</v>
      </c>
      <c r="E121" s="237">
        <v>442718.27</v>
      </c>
      <c r="F121" s="237">
        <v>442718.27</v>
      </c>
      <c r="G121" s="112">
        <f t="shared" si="9"/>
        <v>0</v>
      </c>
      <c r="H121" s="99">
        <f>G121+'30'!H121</f>
        <v>0</v>
      </c>
      <c r="I121" s="155"/>
      <c r="J121" s="328">
        <f>H121/DAY(B2)</f>
        <v>0</v>
      </c>
    </row>
    <row r="122" spans="1:18" ht="25.5">
      <c r="A122" s="885" t="s">
        <v>101</v>
      </c>
      <c r="B122" s="885"/>
      <c r="C122" s="885"/>
      <c r="D122" s="151" t="s">
        <v>183</v>
      </c>
      <c r="E122" s="237">
        <v>139308.14000000001</v>
      </c>
      <c r="F122" s="237">
        <v>139308.14000000001</v>
      </c>
      <c r="G122" s="112">
        <f t="shared" si="9"/>
        <v>0</v>
      </c>
      <c r="H122" s="99">
        <f>G122+'30'!H122</f>
        <v>0</v>
      </c>
      <c r="I122" s="155"/>
      <c r="J122" s="328">
        <f>H122/DAY(B2)</f>
        <v>0</v>
      </c>
    </row>
    <row r="123" spans="1:18" ht="25.5">
      <c r="A123" s="885" t="s">
        <v>348</v>
      </c>
      <c r="B123" s="885"/>
      <c r="C123" s="885"/>
      <c r="D123" s="151" t="s">
        <v>183</v>
      </c>
      <c r="E123" s="237">
        <v>169442</v>
      </c>
      <c r="F123" s="237">
        <v>169442</v>
      </c>
      <c r="G123" s="112">
        <f t="shared" si="9"/>
        <v>0</v>
      </c>
      <c r="H123" s="99">
        <f>G123+'30'!H123</f>
        <v>175555.53</v>
      </c>
      <c r="I123" s="155"/>
      <c r="J123" s="328">
        <f>H123/DAY(B2)</f>
        <v>175555.53</v>
      </c>
    </row>
    <row r="124" spans="1:18" ht="25.5">
      <c r="A124" s="890"/>
      <c r="B124" s="891"/>
      <c r="C124" s="892"/>
      <c r="D124" s="165"/>
      <c r="E124" s="155"/>
      <c r="F124" s="155"/>
      <c r="G124" s="156"/>
      <c r="H124" s="99">
        <f>G124+'30'!H124</f>
        <v>0</v>
      </c>
      <c r="I124" s="155"/>
      <c r="J124" s="156"/>
    </row>
    <row r="125" spans="1:18" ht="25.5">
      <c r="A125" s="868" t="s">
        <v>196</v>
      </c>
      <c r="B125" s="984"/>
      <c r="C125" s="869"/>
      <c r="D125" s="307"/>
      <c r="E125" s="308"/>
      <c r="F125" s="308"/>
      <c r="G125" s="309">
        <f>SUM(G112:G124)</f>
        <v>0</v>
      </c>
      <c r="H125" s="156"/>
      <c r="I125" s="156">
        <f>G125-(G39+G53)</f>
        <v>0</v>
      </c>
      <c r="J125" s="156"/>
    </row>
    <row r="126" spans="1:18" ht="25.5">
      <c r="A126" s="889" t="s">
        <v>317</v>
      </c>
      <c r="B126" s="889"/>
      <c r="C126" s="889"/>
      <c r="D126" s="889"/>
      <c r="E126" s="889"/>
      <c r="F126" s="889"/>
      <c r="G126" s="889"/>
      <c r="H126" s="889"/>
      <c r="I126" s="889"/>
      <c r="J126" s="889"/>
    </row>
    <row r="127" spans="1:18" ht="25.5">
      <c r="A127" s="873"/>
      <c r="B127" s="873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886" t="s">
        <v>318</v>
      </c>
      <c r="B128" s="887"/>
      <c r="C128" s="888"/>
      <c r="D128" s="151" t="s">
        <v>183</v>
      </c>
      <c r="E128" s="155">
        <v>68916.240000000005</v>
      </c>
      <c r="F128" s="155">
        <v>68916.240000000005</v>
      </c>
      <c r="G128" s="112">
        <f t="shared" ref="G128:G134" si="10">F128-E128</f>
        <v>0</v>
      </c>
      <c r="H128" s="99">
        <f>G128+'30'!H128</f>
        <v>0</v>
      </c>
      <c r="I128" s="155"/>
      <c r="J128" s="328">
        <f>H128/DAY(B2)</f>
        <v>0</v>
      </c>
    </row>
    <row r="129" spans="1:15" ht="25.5">
      <c r="A129" s="329" t="s">
        <v>319</v>
      </c>
      <c r="B129" s="330"/>
      <c r="C129" s="331"/>
      <c r="D129" s="151" t="s">
        <v>183</v>
      </c>
      <c r="E129" s="155">
        <v>42111.05</v>
      </c>
      <c r="F129" s="155">
        <v>42111.05</v>
      </c>
      <c r="G129" s="112">
        <f t="shared" si="10"/>
        <v>0</v>
      </c>
      <c r="H129" s="99">
        <f>G129+'30'!H129</f>
        <v>0</v>
      </c>
      <c r="I129" s="155"/>
      <c r="J129" s="328">
        <f>H129/DAY(B2)</f>
        <v>0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426">
        <v>75661.95</v>
      </c>
      <c r="F130" s="426">
        <v>75661.95</v>
      </c>
      <c r="G130" s="613">
        <f t="shared" si="10"/>
        <v>0</v>
      </c>
      <c r="H130" s="99">
        <f>G130+'30'!H130</f>
        <v>0</v>
      </c>
      <c r="I130" s="155"/>
      <c r="J130" s="328">
        <f>H130/DAY(B2)</f>
        <v>0</v>
      </c>
      <c r="N130" s="240"/>
      <c r="O130" s="241"/>
    </row>
    <row r="131" spans="1:15" ht="25.5">
      <c r="A131" s="886" t="s">
        <v>321</v>
      </c>
      <c r="B131" s="887"/>
      <c r="C131" s="888"/>
      <c r="D131" s="151" t="s">
        <v>183</v>
      </c>
      <c r="E131" s="155">
        <v>24432.5</v>
      </c>
      <c r="F131" s="155">
        <v>24432.5</v>
      </c>
      <c r="G131" s="112">
        <f t="shared" si="10"/>
        <v>0</v>
      </c>
      <c r="H131" s="99">
        <f>G131+'30'!H131</f>
        <v>0</v>
      </c>
      <c r="I131" s="155"/>
      <c r="J131" s="328">
        <f>H131/DAY(B2)</f>
        <v>0</v>
      </c>
      <c r="N131" s="240"/>
      <c r="O131" s="241"/>
    </row>
    <row r="132" spans="1:15" ht="25.5">
      <c r="A132" s="886" t="s">
        <v>322</v>
      </c>
      <c r="B132" s="887"/>
      <c r="C132" s="888"/>
      <c r="D132" s="151" t="s">
        <v>183</v>
      </c>
      <c r="E132" s="155">
        <v>75667.5</v>
      </c>
      <c r="F132" s="155">
        <v>75667.5</v>
      </c>
      <c r="G132" s="112">
        <f t="shared" si="10"/>
        <v>0</v>
      </c>
      <c r="H132" s="99">
        <f>G132+'30'!H132</f>
        <v>0</v>
      </c>
      <c r="I132" s="155"/>
      <c r="J132" s="328">
        <f>H132/DAY(B2)</f>
        <v>0</v>
      </c>
    </row>
    <row r="133" spans="1:15" ht="25.5">
      <c r="A133" s="886" t="s">
        <v>360</v>
      </c>
      <c r="B133" s="887"/>
      <c r="C133" s="888"/>
      <c r="D133" s="151" t="s">
        <v>183</v>
      </c>
      <c r="E133" s="155">
        <v>145381.99</v>
      </c>
      <c r="F133" s="155">
        <v>145381.99</v>
      </c>
      <c r="G133" s="112">
        <f t="shared" si="10"/>
        <v>0</v>
      </c>
      <c r="H133" s="99">
        <f>G133+'30'!H133</f>
        <v>0</v>
      </c>
      <c r="I133" s="155"/>
      <c r="J133" s="328">
        <f>H133/DAY(B2)</f>
        <v>0</v>
      </c>
    </row>
    <row r="134" spans="1:15" ht="25.5">
      <c r="A134" s="886" t="s">
        <v>340</v>
      </c>
      <c r="B134" s="887"/>
      <c r="C134" s="888"/>
      <c r="D134" s="151" t="s">
        <v>183</v>
      </c>
      <c r="E134" s="155">
        <v>20792.68</v>
      </c>
      <c r="F134" s="155">
        <v>20792.68</v>
      </c>
      <c r="G134" s="112">
        <f t="shared" si="10"/>
        <v>0</v>
      </c>
      <c r="H134" s="99">
        <f>G134+'30'!H134</f>
        <v>0</v>
      </c>
      <c r="I134" s="155"/>
      <c r="J134" s="328">
        <f>H134/DAY(B2)</f>
        <v>0</v>
      </c>
    </row>
    <row r="135" spans="1:15" ht="25.5">
      <c r="A135" s="868" t="s">
        <v>196</v>
      </c>
      <c r="B135" s="984"/>
      <c r="C135" s="869"/>
      <c r="D135" s="151"/>
      <c r="E135" s="155"/>
      <c r="F135" s="155"/>
      <c r="G135" s="112">
        <f>SUM(G128:G134)</f>
        <v>0</v>
      </c>
      <c r="H135" s="99">
        <f>G135+'23'!H135</f>
        <v>36226.790000000008</v>
      </c>
      <c r="I135" s="156">
        <f>G135-(G35+G49)</f>
        <v>0</v>
      </c>
      <c r="J135" s="328"/>
    </row>
    <row r="136" spans="1:15" ht="27.75">
      <c r="A136" s="872" t="s">
        <v>325</v>
      </c>
      <c r="B136" s="872"/>
      <c r="C136" s="872"/>
      <c r="D136" s="872"/>
      <c r="E136" s="872"/>
      <c r="F136" s="872"/>
      <c r="G136" s="872"/>
      <c r="H136" s="872"/>
      <c r="I136" s="872"/>
      <c r="J136" s="872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85" t="s">
        <v>185</v>
      </c>
      <c r="B138" s="885"/>
      <c r="C138" s="885"/>
      <c r="D138" s="151" t="s">
        <v>183</v>
      </c>
      <c r="E138" s="147">
        <v>874001</v>
      </c>
      <c r="F138" s="147">
        <v>874001</v>
      </c>
      <c r="G138" s="112">
        <f t="shared" ref="G138:G152" si="11">F138-E138</f>
        <v>0</v>
      </c>
      <c r="H138" s="99">
        <f>G138+'30'!H138</f>
        <v>0</v>
      </c>
      <c r="I138" s="95"/>
      <c r="J138" s="328">
        <f>H138/DAY(B2)</f>
        <v>0</v>
      </c>
    </row>
    <row r="139" spans="1:15" ht="25.5">
      <c r="A139" s="885" t="s">
        <v>186</v>
      </c>
      <c r="B139" s="885"/>
      <c r="C139" s="885"/>
      <c r="D139" s="151" t="s">
        <v>183</v>
      </c>
      <c r="E139" s="148">
        <v>890318</v>
      </c>
      <c r="F139" s="148">
        <v>890318</v>
      </c>
      <c r="G139" s="112">
        <f t="shared" si="11"/>
        <v>0</v>
      </c>
      <c r="H139" s="99">
        <f>G139+'30'!H139</f>
        <v>0</v>
      </c>
      <c r="I139" s="95"/>
      <c r="J139" s="328">
        <f>H139/DAY(B2)</f>
        <v>0</v>
      </c>
    </row>
    <row r="140" spans="1:15" ht="25.5">
      <c r="A140" s="885" t="s">
        <v>187</v>
      </c>
      <c r="B140" s="885"/>
      <c r="C140" s="885"/>
      <c r="D140" s="151" t="s">
        <v>183</v>
      </c>
      <c r="E140" s="149">
        <v>88990</v>
      </c>
      <c r="F140" s="149">
        <v>88990</v>
      </c>
      <c r="G140" s="112">
        <f t="shared" si="11"/>
        <v>0</v>
      </c>
      <c r="H140" s="99">
        <f>G140+'30'!H140</f>
        <v>88931</v>
      </c>
      <c r="I140" s="95"/>
      <c r="J140" s="328">
        <f>H140/DAY(B2)</f>
        <v>88931</v>
      </c>
    </row>
    <row r="141" spans="1:15" ht="25.5">
      <c r="A141" s="864" t="s">
        <v>188</v>
      </c>
      <c r="B141" s="864"/>
      <c r="C141" s="864"/>
      <c r="D141" s="151" t="s">
        <v>183</v>
      </c>
      <c r="E141" s="149">
        <v>65783.53</v>
      </c>
      <c r="F141" s="149">
        <v>65783.53</v>
      </c>
      <c r="G141" s="112">
        <f t="shared" si="11"/>
        <v>0</v>
      </c>
      <c r="H141" s="99">
        <f>G141+'30'!H141</f>
        <v>0</v>
      </c>
      <c r="I141" s="95"/>
      <c r="J141" s="328">
        <f>H141/DAY(B2)</f>
        <v>0</v>
      </c>
    </row>
    <row r="142" spans="1:15" ht="25.5">
      <c r="A142" s="864" t="s">
        <v>189</v>
      </c>
      <c r="B142" s="864"/>
      <c r="C142" s="864"/>
      <c r="D142" s="151" t="s">
        <v>183</v>
      </c>
      <c r="E142" s="148">
        <v>25496.400000000001</v>
      </c>
      <c r="F142" s="148">
        <v>25496.400000000001</v>
      </c>
      <c r="G142" s="112">
        <f t="shared" si="11"/>
        <v>0</v>
      </c>
      <c r="H142" s="99">
        <f>G142+'30'!H142</f>
        <v>0</v>
      </c>
      <c r="I142" s="530"/>
      <c r="J142" s="328">
        <f>H142/DAY(B2)</f>
        <v>0</v>
      </c>
    </row>
    <row r="143" spans="1:15" ht="25.5">
      <c r="A143" s="885" t="s">
        <v>91</v>
      </c>
      <c r="B143" s="885"/>
      <c r="C143" s="885"/>
      <c r="D143" s="151" t="s">
        <v>183</v>
      </c>
      <c r="E143" s="149">
        <v>5560.71</v>
      </c>
      <c r="F143" s="149">
        <v>5560.71</v>
      </c>
      <c r="G143" s="112">
        <f t="shared" si="11"/>
        <v>0</v>
      </c>
      <c r="H143" s="99">
        <f>G143+'30'!H143</f>
        <v>0</v>
      </c>
      <c r="I143" s="530"/>
      <c r="J143" s="328">
        <f>H143/DAY(B2)</f>
        <v>0</v>
      </c>
    </row>
    <row r="144" spans="1:15" ht="25.5">
      <c r="A144" s="864" t="s">
        <v>90</v>
      </c>
      <c r="B144" s="864"/>
      <c r="C144" s="864"/>
      <c r="D144" s="151" t="s">
        <v>183</v>
      </c>
      <c r="E144" s="149">
        <v>889834</v>
      </c>
      <c r="F144" s="149">
        <v>889834</v>
      </c>
      <c r="G144" s="112">
        <f t="shared" si="11"/>
        <v>0</v>
      </c>
      <c r="H144" s="99">
        <f>G144+'30'!H144</f>
        <v>0</v>
      </c>
      <c r="I144" s="530"/>
      <c r="J144" s="328">
        <f>H144/DAY(B2)</f>
        <v>0</v>
      </c>
    </row>
    <row r="145" spans="1:11" ht="25.5">
      <c r="A145" s="885" t="s">
        <v>190</v>
      </c>
      <c r="B145" s="885"/>
      <c r="C145" s="885"/>
      <c r="D145" s="152" t="s">
        <v>183</v>
      </c>
      <c r="E145" s="149">
        <v>5556.4</v>
      </c>
      <c r="F145" s="149">
        <v>5556.4</v>
      </c>
      <c r="G145" s="112">
        <f t="shared" si="11"/>
        <v>0</v>
      </c>
      <c r="H145" s="99">
        <f>G145+'30'!H145</f>
        <v>0</v>
      </c>
      <c r="I145" s="530"/>
      <c r="J145" s="328">
        <f>H145/DAY(B2)</f>
        <v>0</v>
      </c>
    </row>
    <row r="146" spans="1:11" ht="25.5">
      <c r="A146" s="920" t="s">
        <v>191</v>
      </c>
      <c r="B146" s="905"/>
      <c r="C146" s="906"/>
      <c r="D146" s="152" t="s">
        <v>183</v>
      </c>
      <c r="E146" s="148">
        <v>764326</v>
      </c>
      <c r="F146" s="148">
        <v>764326</v>
      </c>
      <c r="G146" s="112">
        <f t="shared" si="11"/>
        <v>0</v>
      </c>
      <c r="H146" s="99">
        <f>G146+'30'!H146</f>
        <v>0</v>
      </c>
      <c r="I146" s="530"/>
      <c r="J146" s="328">
        <f>H146/DAY(B2)</f>
        <v>0</v>
      </c>
    </row>
    <row r="147" spans="1:11" ht="25.5">
      <c r="A147" s="864" t="s">
        <v>192</v>
      </c>
      <c r="B147" s="864"/>
      <c r="C147" s="864"/>
      <c r="D147" s="152" t="s">
        <v>183</v>
      </c>
      <c r="E147" s="148">
        <v>650184</v>
      </c>
      <c r="F147" s="148">
        <v>650184</v>
      </c>
      <c r="G147" s="112">
        <f t="shared" si="11"/>
        <v>0</v>
      </c>
      <c r="H147" s="99">
        <f>G147+'30'!H147</f>
        <v>0</v>
      </c>
      <c r="I147" s="530"/>
      <c r="J147" s="328">
        <f>H147/DAY(B2)</f>
        <v>0</v>
      </c>
    </row>
    <row r="148" spans="1:11" ht="25.5">
      <c r="A148" s="865" t="s">
        <v>193</v>
      </c>
      <c r="B148" s="866"/>
      <c r="C148" s="867"/>
      <c r="D148" s="123" t="s">
        <v>130</v>
      </c>
      <c r="E148" s="150">
        <v>708864.68</v>
      </c>
      <c r="F148" s="150">
        <v>708864.68</v>
      </c>
      <c r="G148" s="112">
        <f t="shared" si="11"/>
        <v>0</v>
      </c>
      <c r="H148" s="99">
        <f>G148+'30'!H148</f>
        <v>0</v>
      </c>
      <c r="I148" s="124"/>
      <c r="J148" s="328">
        <f>H148/DAY(B2)</f>
        <v>0</v>
      </c>
    </row>
    <row r="149" spans="1:11" ht="25.5">
      <c r="A149" s="865" t="s">
        <v>336</v>
      </c>
      <c r="B149" s="866"/>
      <c r="C149" s="867"/>
      <c r="D149" s="227" t="s">
        <v>130</v>
      </c>
      <c r="E149" s="146">
        <v>63223.8</v>
      </c>
      <c r="F149" s="146">
        <v>63223.8</v>
      </c>
      <c r="G149" s="112">
        <f t="shared" si="11"/>
        <v>0</v>
      </c>
      <c r="H149" s="99">
        <f>G149+'30'!H149</f>
        <v>0</v>
      </c>
      <c r="I149" s="119"/>
      <c r="J149" s="328">
        <f>H149/DAY(B2)</f>
        <v>0</v>
      </c>
    </row>
    <row r="150" spans="1:11" ht="25.5">
      <c r="A150" s="865" t="s">
        <v>337</v>
      </c>
      <c r="B150" s="866"/>
      <c r="C150" s="867"/>
      <c r="D150" s="117" t="s">
        <v>130</v>
      </c>
      <c r="E150" s="233">
        <v>23955.79</v>
      </c>
      <c r="F150" s="233">
        <v>23955.79</v>
      </c>
      <c r="G150" s="112">
        <f t="shared" si="11"/>
        <v>0</v>
      </c>
      <c r="H150" s="99">
        <f>G150+'30'!H150</f>
        <v>0</v>
      </c>
      <c r="I150" s="119"/>
      <c r="J150" s="328">
        <f>H150/DAY(B2)</f>
        <v>0</v>
      </c>
    </row>
    <row r="151" spans="1:11" ht="25.5">
      <c r="A151" s="865" t="s">
        <v>338</v>
      </c>
      <c r="B151" s="866"/>
      <c r="C151" s="867"/>
      <c r="D151" s="117" t="s">
        <v>130</v>
      </c>
      <c r="E151" s="233">
        <v>100611</v>
      </c>
      <c r="F151" s="233">
        <v>100611</v>
      </c>
      <c r="G151" s="112">
        <f t="shared" si="11"/>
        <v>0</v>
      </c>
      <c r="H151" s="99">
        <f>G151+'30'!H151</f>
        <v>0</v>
      </c>
      <c r="I151" s="119"/>
      <c r="J151" s="328">
        <f>H151/DAY(B2)</f>
        <v>0</v>
      </c>
    </row>
    <row r="152" spans="1:11" ht="25.5">
      <c r="A152" s="865" t="s">
        <v>339</v>
      </c>
      <c r="B152" s="866"/>
      <c r="C152" s="867"/>
      <c r="D152" s="117" t="s">
        <v>130</v>
      </c>
      <c r="E152" s="233">
        <v>8069.06</v>
      </c>
      <c r="F152" s="233">
        <v>8069.06</v>
      </c>
      <c r="G152" s="112">
        <f t="shared" si="11"/>
        <v>0</v>
      </c>
      <c r="H152" s="99">
        <f>G152+'30'!H152</f>
        <v>0</v>
      </c>
      <c r="I152" s="119"/>
      <c r="J152" s="328">
        <f>H152/DAY(B2)</f>
        <v>0</v>
      </c>
    </row>
    <row r="153" spans="1:11" ht="25.5">
      <c r="A153" s="868" t="s">
        <v>196</v>
      </c>
      <c r="B153" s="984"/>
      <c r="C153" s="869"/>
      <c r="D153" s="358"/>
      <c r="E153" s="361"/>
      <c r="F153" s="361"/>
      <c r="G153" s="362">
        <f>SUM(G138:G152)</f>
        <v>0</v>
      </c>
      <c r="H153" s="363"/>
      <c r="I153" s="119">
        <f>G153-(G38+G52)</f>
        <v>0</v>
      </c>
      <c r="J153" s="366"/>
    </row>
    <row r="154" spans="1:11" ht="27.75">
      <c r="A154" s="872" t="s">
        <v>344</v>
      </c>
      <c r="B154" s="872"/>
      <c r="C154" s="872"/>
      <c r="D154" s="872"/>
      <c r="E154" s="872"/>
      <c r="F154" s="872"/>
      <c r="G154" s="872"/>
      <c r="H154" s="872"/>
      <c r="I154" s="872"/>
      <c r="J154" s="872"/>
    </row>
    <row r="155" spans="1:11" ht="27.75">
      <c r="A155" s="864" t="s">
        <v>345</v>
      </c>
      <c r="B155" s="864"/>
      <c r="C155" s="864"/>
      <c r="D155" s="117" t="s">
        <v>130</v>
      </c>
      <c r="E155" s="389">
        <v>72770.5</v>
      </c>
      <c r="F155" s="389">
        <v>72770.5</v>
      </c>
      <c r="G155" s="112">
        <f t="shared" ref="G155:G158" si="12">F155-E155</f>
        <v>0</v>
      </c>
      <c r="H155" s="99">
        <f>G155+'30'!H155</f>
        <v>0</v>
      </c>
      <c r="I155" s="364"/>
      <c r="J155" s="328">
        <f>H155/DAY(B2)</f>
        <v>0</v>
      </c>
    </row>
    <row r="156" spans="1:11" ht="25.5">
      <c r="A156" s="864" t="s">
        <v>347</v>
      </c>
      <c r="B156" s="864"/>
      <c r="C156" s="864"/>
      <c r="D156" s="117" t="s">
        <v>130</v>
      </c>
      <c r="E156" s="155">
        <v>6057.25</v>
      </c>
      <c r="F156" s="155">
        <v>6057.25</v>
      </c>
      <c r="G156" s="112">
        <f t="shared" si="12"/>
        <v>0</v>
      </c>
      <c r="H156" s="99">
        <f>G156+'30'!H156</f>
        <v>0</v>
      </c>
      <c r="I156" s="155"/>
      <c r="J156" s="328">
        <f>H156/DAY(B2)</f>
        <v>0</v>
      </c>
    </row>
    <row r="157" spans="1:11" ht="25.5">
      <c r="A157" s="865" t="s">
        <v>361</v>
      </c>
      <c r="B157" s="866"/>
      <c r="C157" s="867"/>
      <c r="D157" s="117" t="s">
        <v>130</v>
      </c>
      <c r="E157" s="95">
        <v>10238.81</v>
      </c>
      <c r="F157" s="95">
        <v>10238.81</v>
      </c>
      <c r="G157" s="112">
        <f t="shared" si="12"/>
        <v>0</v>
      </c>
      <c r="H157" s="99">
        <f>G157+'30'!H157</f>
        <v>213</v>
      </c>
      <c r="I157" s="99"/>
      <c r="J157" s="155"/>
      <c r="K157" s="328"/>
    </row>
    <row r="158" spans="1:11" ht="25.5">
      <c r="A158" s="865" t="s">
        <v>362</v>
      </c>
      <c r="B158" s="866"/>
      <c r="C158" s="867"/>
      <c r="D158" s="117" t="s">
        <v>130</v>
      </c>
      <c r="E158" s="155">
        <v>94</v>
      </c>
      <c r="F158" s="155">
        <v>94</v>
      </c>
      <c r="G158" s="112">
        <f t="shared" si="12"/>
        <v>0</v>
      </c>
      <c r="H158" s="99">
        <f>G158+'30'!H158</f>
        <v>9</v>
      </c>
      <c r="I158" s="155"/>
      <c r="J158" s="328"/>
    </row>
    <row r="159" spans="1:11" ht="25.5">
      <c r="A159" s="950"/>
      <c r="B159" s="951"/>
      <c r="C159" s="952"/>
      <c r="D159" s="117"/>
      <c r="E159" s="155"/>
      <c r="F159" s="155"/>
      <c r="G159" s="112"/>
      <c r="H159" s="99"/>
      <c r="I159" s="155"/>
      <c r="J159" s="328"/>
    </row>
    <row r="160" spans="1:11" ht="27.75">
      <c r="A160" s="872" t="s">
        <v>326</v>
      </c>
      <c r="B160" s="872"/>
      <c r="C160" s="872"/>
      <c r="D160" s="872"/>
      <c r="E160" s="872"/>
      <c r="F160" s="872"/>
      <c r="G160" s="872"/>
      <c r="H160" s="872"/>
      <c r="I160" s="872"/>
      <c r="J160" s="872"/>
    </row>
    <row r="161" spans="1:10" ht="26.25">
      <c r="A161" s="242" t="s">
        <v>92</v>
      </c>
      <c r="B161" s="243"/>
      <c r="C161" s="243"/>
      <c r="D161" s="244" t="s">
        <v>180</v>
      </c>
      <c r="E161" s="235">
        <v>473840.73</v>
      </c>
      <c r="F161" s="235">
        <v>473840.73</v>
      </c>
      <c r="G161" s="238">
        <f t="shared" ref="G161:G165" si="13">F161-E161</f>
        <v>0</v>
      </c>
      <c r="H161" s="99">
        <f>G161+'30'!H161</f>
        <v>0</v>
      </c>
      <c r="I161" s="236"/>
      <c r="J161" s="239">
        <f>H161/DAY(B2)</f>
        <v>0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90452.9</v>
      </c>
      <c r="F162" s="235">
        <v>90452.9</v>
      </c>
      <c r="G162" s="238">
        <f t="shared" si="13"/>
        <v>0</v>
      </c>
      <c r="H162" s="99">
        <f>G162+'30'!H162</f>
        <v>0</v>
      </c>
      <c r="I162" s="236"/>
      <c r="J162" s="239">
        <f>H162/DAY(B2)</f>
        <v>0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87078.8</v>
      </c>
      <c r="F163" s="235">
        <v>87078.8</v>
      </c>
      <c r="G163" s="238">
        <f t="shared" si="13"/>
        <v>0</v>
      </c>
      <c r="H163" s="99">
        <f>G163+'30'!H163</f>
        <v>0</v>
      </c>
      <c r="I163" s="236"/>
      <c r="J163" s="239">
        <f>H163/DAY(B2)</f>
        <v>0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4812.3999999999996</v>
      </c>
      <c r="F164" s="235">
        <v>4812.3999999999996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30355.51</v>
      </c>
      <c r="F165" s="235">
        <v>30355.51</v>
      </c>
      <c r="G165" s="238">
        <f t="shared" si="13"/>
        <v>0</v>
      </c>
      <c r="H165" s="99">
        <f>G165+'30'!H165</f>
        <v>0</v>
      </c>
      <c r="I165" s="236"/>
      <c r="J165" s="239">
        <f>H165/DAY(B2)</f>
        <v>0</v>
      </c>
    </row>
    <row r="166" spans="1:10" ht="26.25">
      <c r="A166" s="873"/>
      <c r="B166" s="873"/>
      <c r="C166" s="246"/>
      <c r="D166" s="244" t="s">
        <v>180</v>
      </c>
      <c r="E166" s="15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873"/>
      <c r="B167" s="873"/>
      <c r="C167" s="246"/>
      <c r="D167" s="244" t="s">
        <v>180</v>
      </c>
      <c r="E167" s="15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873"/>
      <c r="B168" s="873"/>
      <c r="C168" s="246"/>
      <c r="D168" s="244" t="s">
        <v>180</v>
      </c>
      <c r="E168" s="15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874" t="s">
        <v>330</v>
      </c>
      <c r="B171" s="875"/>
      <c r="C171" s="875"/>
      <c r="D171" s="875"/>
      <c r="E171" s="875"/>
      <c r="F171" s="875"/>
      <c r="G171" s="875"/>
      <c r="H171" s="875"/>
      <c r="I171" s="875"/>
      <c r="J171" s="876"/>
    </row>
    <row r="172" spans="1:10" ht="25.5">
      <c r="A172" s="883"/>
      <c r="B172" s="884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79" t="s">
        <v>209</v>
      </c>
      <c r="B173" s="880"/>
      <c r="C173" s="333"/>
      <c r="D173" s="228" t="s">
        <v>142</v>
      </c>
      <c r="E173" s="426">
        <v>8264</v>
      </c>
      <c r="F173" s="426">
        <v>8264</v>
      </c>
      <c r="G173" s="155">
        <f>F173-E173</f>
        <v>0</v>
      </c>
      <c r="H173" s="99">
        <f>G173+'30'!H173</f>
        <v>122</v>
      </c>
      <c r="I173" s="155"/>
      <c r="J173" s="178">
        <f>H173/DAY(B2)</f>
        <v>122</v>
      </c>
    </row>
    <row r="174" spans="1:10" ht="25.5">
      <c r="A174" s="879" t="s">
        <v>75</v>
      </c>
      <c r="B174" s="880"/>
      <c r="C174" s="333"/>
      <c r="D174" s="228" t="s">
        <v>142</v>
      </c>
      <c r="E174" s="157">
        <v>39462</v>
      </c>
      <c r="F174" s="157">
        <v>39462</v>
      </c>
      <c r="G174" s="155">
        <f t="shared" ref="G174:G175" si="14">F174-E174</f>
        <v>0</v>
      </c>
      <c r="H174" s="99">
        <f>G174+'30'!H174</f>
        <v>0</v>
      </c>
      <c r="I174" s="155"/>
      <c r="J174" s="178">
        <f>H174/DAY(B2)</f>
        <v>0</v>
      </c>
    </row>
    <row r="175" spans="1:10" ht="25.5">
      <c r="A175" s="879" t="s">
        <v>76</v>
      </c>
      <c r="B175" s="919"/>
      <c r="C175" s="880"/>
      <c r="D175" s="228" t="s">
        <v>142</v>
      </c>
      <c r="E175" s="155">
        <v>22522</v>
      </c>
      <c r="F175" s="155">
        <v>22522</v>
      </c>
      <c r="G175" s="155">
        <f t="shared" si="14"/>
        <v>0</v>
      </c>
      <c r="H175" s="99">
        <f>G175+'30'!H175</f>
        <v>0</v>
      </c>
      <c r="I175" s="155"/>
      <c r="J175" s="178">
        <f>H175/DAY(B2)</f>
        <v>0</v>
      </c>
    </row>
    <row r="176" spans="1:10" ht="25.5">
      <c r="A176" s="868" t="s">
        <v>196</v>
      </c>
      <c r="B176" s="984"/>
      <c r="C176" s="869"/>
      <c r="D176" s="228" t="s">
        <v>142</v>
      </c>
      <c r="E176" s="155"/>
      <c r="F176" s="155"/>
      <c r="G176" s="155">
        <f>SUM(G173:G175)</f>
        <v>0</v>
      </c>
      <c r="H176" s="99">
        <f>G176+'30'!H176</f>
        <v>122</v>
      </c>
      <c r="I176" s="155"/>
      <c r="J176" s="178">
        <f>H176/DAY(B2)</f>
        <v>122</v>
      </c>
    </row>
    <row r="177" spans="1:10" ht="25.5">
      <c r="A177" s="879" t="s">
        <v>77</v>
      </c>
      <c r="B177" s="880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79" t="s">
        <v>210</v>
      </c>
      <c r="B178" s="880"/>
      <c r="C178" s="333"/>
      <c r="D178" s="228" t="s">
        <v>142</v>
      </c>
      <c r="E178" s="155">
        <v>85616</v>
      </c>
      <c r="F178" s="155">
        <v>85616</v>
      </c>
      <c r="G178" s="155">
        <f>F178-E178</f>
        <v>0</v>
      </c>
      <c r="H178" s="99">
        <f>G178+'30'!H178</f>
        <v>0</v>
      </c>
      <c r="I178" s="155"/>
      <c r="J178" s="178">
        <f>H178/DAY(B2)</f>
        <v>0</v>
      </c>
    </row>
    <row r="179" spans="1:10" ht="25.5">
      <c r="A179" s="879" t="s">
        <v>211</v>
      </c>
      <c r="B179" s="880"/>
      <c r="C179" s="333"/>
      <c r="D179" s="228" t="s">
        <v>142</v>
      </c>
      <c r="E179" s="157">
        <v>35614</v>
      </c>
      <c r="F179" s="157">
        <v>35614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5.5">
      <c r="A180" s="879" t="s">
        <v>212</v>
      </c>
      <c r="B180" s="880"/>
      <c r="C180" s="333"/>
      <c r="D180" s="228" t="s">
        <v>142</v>
      </c>
      <c r="E180" s="157">
        <v>6133</v>
      </c>
      <c r="F180" s="157">
        <v>6133</v>
      </c>
      <c r="G180" s="155">
        <f t="shared" si="15"/>
        <v>0</v>
      </c>
      <c r="H180" s="99">
        <f>G180+'30'!H180</f>
        <v>0</v>
      </c>
      <c r="I180" s="155"/>
      <c r="J180" s="178">
        <f>H180/DAY(B2)</f>
        <v>0</v>
      </c>
    </row>
    <row r="181" spans="1:10" ht="25.5">
      <c r="A181" s="881" t="s">
        <v>108</v>
      </c>
      <c r="B181" s="882"/>
      <c r="C181" s="401"/>
      <c r="D181" s="228" t="s">
        <v>142</v>
      </c>
      <c r="E181" s="157"/>
      <c r="F181" s="157"/>
      <c r="G181" s="155">
        <f>SUM(G178:G180)</f>
        <v>0</v>
      </c>
      <c r="H181" s="99">
        <f>G181+'30'!H181</f>
        <v>0</v>
      </c>
      <c r="I181" s="155"/>
      <c r="J181" s="178">
        <f>H181/DAY(B2)</f>
        <v>0</v>
      </c>
    </row>
    <row r="182" spans="1:10" ht="25.5">
      <c r="A182" s="879" t="s">
        <v>213</v>
      </c>
      <c r="B182" s="880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79" t="s">
        <v>214</v>
      </c>
      <c r="B183" s="880"/>
      <c r="C183" s="334"/>
      <c r="D183" s="228" t="s">
        <v>142</v>
      </c>
      <c r="E183" s="157">
        <v>16142</v>
      </c>
      <c r="F183" s="157">
        <v>16142</v>
      </c>
      <c r="G183" s="157">
        <f>F183-E183</f>
        <v>0</v>
      </c>
      <c r="H183" s="99">
        <f>G183+'30'!H183</f>
        <v>0</v>
      </c>
      <c r="I183" s="155"/>
      <c r="J183" s="178">
        <f>H183/DAY(B2)</f>
        <v>0</v>
      </c>
    </row>
    <row r="184" spans="1:10" ht="25.5">
      <c r="A184" s="879" t="s">
        <v>215</v>
      </c>
      <c r="B184" s="880"/>
      <c r="C184" s="334"/>
      <c r="D184" s="228" t="s">
        <v>142</v>
      </c>
      <c r="E184" s="157">
        <v>11049</v>
      </c>
      <c r="F184" s="157">
        <v>11049</v>
      </c>
      <c r="G184" s="157">
        <f t="shared" ref="G184:G185" si="16">F184-E184</f>
        <v>0</v>
      </c>
      <c r="H184" s="99">
        <f>G184+'30'!H184</f>
        <v>0</v>
      </c>
      <c r="I184" s="155"/>
      <c r="J184" s="178">
        <f>H184/DAY(B2)</f>
        <v>0</v>
      </c>
    </row>
    <row r="185" spans="1:10" ht="25.5">
      <c r="A185" s="879" t="s">
        <v>216</v>
      </c>
      <c r="B185" s="880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868" t="s">
        <v>196</v>
      </c>
      <c r="B186" s="869"/>
      <c r="C186" s="400"/>
      <c r="D186" s="228" t="s">
        <v>142</v>
      </c>
      <c r="E186" s="157"/>
      <c r="F186" s="157"/>
      <c r="G186" s="157">
        <f>SUM(G183:G185)</f>
        <v>0</v>
      </c>
      <c r="H186" s="99">
        <f>G186+'30'!H186</f>
        <v>0</v>
      </c>
      <c r="I186" s="157"/>
      <c r="J186" s="178">
        <f>H186/DAY(B2)</f>
        <v>0</v>
      </c>
    </row>
    <row r="187" spans="1:10" ht="25.5">
      <c r="A187" s="870" t="s">
        <v>217</v>
      </c>
      <c r="B187" s="871"/>
      <c r="C187" s="333"/>
      <c r="D187" s="230" t="s">
        <v>142</v>
      </c>
      <c r="E187" s="159"/>
      <c r="F187" s="159"/>
      <c r="G187" s="378">
        <f>G62+G19</f>
        <v>0</v>
      </c>
      <c r="H187" s="99">
        <f>G187+'30'!H187</f>
        <v>0</v>
      </c>
      <c r="I187" s="157"/>
      <c r="J187" s="179">
        <f>H187/DAY(B2)</f>
        <v>0</v>
      </c>
    </row>
    <row r="188" spans="1:10" ht="25.5">
      <c r="A188" s="870" t="s">
        <v>218</v>
      </c>
      <c r="B188" s="871"/>
      <c r="C188" s="333"/>
      <c r="D188" s="230" t="s">
        <v>142</v>
      </c>
      <c r="E188" s="159"/>
      <c r="F188" s="159"/>
      <c r="G188" s="378">
        <f>G65+G66+G67+G69+G70</f>
        <v>0</v>
      </c>
      <c r="H188" s="99">
        <f>G188+'30'!H188</f>
        <v>-8138</v>
      </c>
      <c r="I188" s="157"/>
      <c r="J188" s="179">
        <f>H188/DAY(B2)</f>
        <v>-8138</v>
      </c>
    </row>
    <row r="189" spans="1:10" ht="25.5">
      <c r="A189" s="870" t="s">
        <v>219</v>
      </c>
      <c r="B189" s="871"/>
      <c r="C189" s="333"/>
      <c r="D189" s="230" t="s">
        <v>142</v>
      </c>
      <c r="E189" s="157"/>
      <c r="F189" s="157"/>
      <c r="G189" s="529">
        <f>G181</f>
        <v>0</v>
      </c>
      <c r="H189" s="99">
        <f>G189+'30'!H189</f>
        <v>1381</v>
      </c>
      <c r="I189" s="157"/>
      <c r="J189" s="179">
        <f>H189/DAY(B2)</f>
        <v>1381</v>
      </c>
    </row>
    <row r="190" spans="1:10" ht="25.5">
      <c r="A190" s="877"/>
      <c r="B190" s="878"/>
      <c r="C190" s="399"/>
      <c r="D190" s="396"/>
      <c r="E190" s="415"/>
      <c r="F190" s="415"/>
      <c r="G190" s="415"/>
      <c r="H190" s="397"/>
      <c r="I190" s="415"/>
      <c r="J190" s="536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59"/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  <c r="O1" s="759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1" t="s">
        <v>6</v>
      </c>
      <c r="F2" s="761"/>
      <c r="G2" s="761"/>
      <c r="H2" s="767" t="s">
        <v>14</v>
      </c>
      <c r="I2" s="767"/>
      <c r="J2" s="767"/>
      <c r="K2" s="264" t="s">
        <v>15</v>
      </c>
      <c r="L2" s="767" t="s">
        <v>16</v>
      </c>
      <c r="M2" s="767"/>
      <c r="N2" s="767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949164.63</v>
      </c>
      <c r="E4" s="19">
        <f>'1'!G97</f>
        <v>0.34870172080953071</v>
      </c>
      <c r="F4" s="19">
        <f>'1'!F142</f>
        <v>27533.85</v>
      </c>
      <c r="G4" s="21">
        <f>E4*F4</f>
        <v>9601.1008755114963</v>
      </c>
      <c r="H4" s="19">
        <f>'1'!G68</f>
        <v>34</v>
      </c>
      <c r="I4" s="19">
        <f>'1'!G69</f>
        <v>7</v>
      </c>
      <c r="J4" s="19">
        <f>'1'!G70</f>
        <v>13</v>
      </c>
      <c r="K4" s="23">
        <f>H4+I4</f>
        <v>41</v>
      </c>
      <c r="L4" s="19">
        <f>'1'!G71</f>
        <v>268</v>
      </c>
      <c r="M4" s="19">
        <f>'1'!G72</f>
        <v>0</v>
      </c>
      <c r="N4" s="19">
        <v>0</v>
      </c>
      <c r="O4" s="23">
        <f>L4+M4+N4</f>
        <v>268</v>
      </c>
    </row>
    <row r="5" spans="1:15">
      <c r="A5" s="16">
        <v>2</v>
      </c>
      <c r="B5" s="26">
        <v>2</v>
      </c>
      <c r="C5" s="26"/>
      <c r="D5" s="19">
        <f>'2'!F8</f>
        <v>977181.11</v>
      </c>
      <c r="E5" s="19">
        <f>'2'!G96</f>
        <v>9353.7600000000202</v>
      </c>
      <c r="F5" s="19">
        <f>'2'!F123</f>
        <v>1587.44</v>
      </c>
      <c r="G5" s="21">
        <f t="shared" ref="G5:G18" si="0">E5*F5</f>
        <v>14848532.774400033</v>
      </c>
      <c r="H5" s="19">
        <f>'2'!G68</f>
        <v>14</v>
      </c>
      <c r="I5" s="19">
        <f>'2'!G69</f>
        <v>8</v>
      </c>
      <c r="J5" s="19">
        <f>'2'!G70</f>
        <v>6</v>
      </c>
      <c r="K5" s="23">
        <f t="shared" ref="K5:K18" si="1">H5+I5</f>
        <v>22</v>
      </c>
      <c r="L5" s="19">
        <f>'2'!G71</f>
        <v>217</v>
      </c>
      <c r="M5" s="19">
        <f>'2'!G72</f>
        <v>0</v>
      </c>
      <c r="N5" s="19">
        <v>0</v>
      </c>
      <c r="O5" s="23">
        <f t="shared" ref="O5:O18" si="2">L5+M5+N5</f>
        <v>217</v>
      </c>
    </row>
    <row r="6" spans="1:15">
      <c r="A6" s="16">
        <v>3</v>
      </c>
      <c r="B6" s="26">
        <v>3</v>
      </c>
      <c r="C6" s="26"/>
      <c r="D6" s="19">
        <f>'4'!F8</f>
        <v>31587.09</v>
      </c>
      <c r="E6" s="19">
        <f>'3'!G96</f>
        <v>9444.609999999986</v>
      </c>
      <c r="F6" s="19">
        <f>'3'!F123</f>
        <v>1905.12</v>
      </c>
      <c r="G6" s="21">
        <f t="shared" si="0"/>
        <v>17993115.403199971</v>
      </c>
      <c r="H6" s="19">
        <f>'4'!G68</f>
        <v>14</v>
      </c>
      <c r="I6" s="19">
        <f>'4'!G69</f>
        <v>13</v>
      </c>
      <c r="J6" s="19">
        <f>'4'!G70</f>
        <v>9</v>
      </c>
      <c r="K6" s="23">
        <f t="shared" si="1"/>
        <v>27</v>
      </c>
      <c r="L6" s="19">
        <f>'4'!G71</f>
        <v>221</v>
      </c>
      <c r="M6" s="19">
        <f>'4'!G72</f>
        <v>0</v>
      </c>
      <c r="N6" s="19">
        <v>0</v>
      </c>
      <c r="O6" s="23">
        <f t="shared" si="2"/>
        <v>221</v>
      </c>
    </row>
    <row r="7" spans="1:15">
      <c r="A7" s="16">
        <v>4</v>
      </c>
      <c r="B7" s="27">
        <v>4</v>
      </c>
      <c r="C7" s="27"/>
      <c r="D7" s="19">
        <f>'3'!F8</f>
        <v>27972</v>
      </c>
      <c r="E7" s="19">
        <f>'4'!G96</f>
        <v>8846.0199999999968</v>
      </c>
      <c r="F7" s="19">
        <f>'1'!F142</f>
        <v>27533.85</v>
      </c>
      <c r="G7" s="21">
        <f t="shared" si="0"/>
        <v>243564987.77699989</v>
      </c>
      <c r="H7" s="19">
        <f>'3'!G68</f>
        <v>15</v>
      </c>
      <c r="I7" s="19">
        <f>'3'!G69</f>
        <v>11</v>
      </c>
      <c r="J7" s="19">
        <f>'3'!G70</f>
        <v>6</v>
      </c>
      <c r="K7" s="23">
        <f t="shared" si="1"/>
        <v>26</v>
      </c>
      <c r="L7" s="19">
        <f>'3'!G71</f>
        <v>222</v>
      </c>
      <c r="M7" s="19">
        <f>'3'!G72</f>
        <v>0</v>
      </c>
      <c r="N7" s="19">
        <v>0</v>
      </c>
      <c r="O7" s="23">
        <f t="shared" si="2"/>
        <v>222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27533.85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86153.88</v>
      </c>
      <c r="E9" s="19">
        <f>'6'!G96</f>
        <v>7938.730000000025</v>
      </c>
      <c r="F9" s="19">
        <f>'1'!F142</f>
        <v>27533.85</v>
      </c>
      <c r="G9" s="21">
        <f t="shared" si="0"/>
        <v>218583801.01050067</v>
      </c>
      <c r="H9" s="19">
        <f>'6'!G68</f>
        <v>11</v>
      </c>
      <c r="I9" s="19">
        <f>'6'!G69</f>
        <v>7</v>
      </c>
      <c r="J9" s="19">
        <f>'6'!G70</f>
        <v>6</v>
      </c>
      <c r="K9" s="23">
        <f t="shared" si="1"/>
        <v>18</v>
      </c>
      <c r="L9" s="19">
        <f>'6'!G71</f>
        <v>234</v>
      </c>
      <c r="M9" s="19">
        <f>'6'!G72</f>
        <v>0</v>
      </c>
      <c r="N9" s="19">
        <v>0</v>
      </c>
      <c r="O9" s="23">
        <f t="shared" si="2"/>
        <v>234</v>
      </c>
    </row>
    <row r="10" spans="1:15">
      <c r="A10" s="16">
        <v>7</v>
      </c>
      <c r="B10" s="26">
        <v>7</v>
      </c>
      <c r="C10" s="27"/>
      <c r="D10" s="19">
        <f>'7'!F8</f>
        <v>114901</v>
      </c>
      <c r="E10" s="19">
        <f>'7'!G96</f>
        <v>8551.6799999999785</v>
      </c>
      <c r="F10" s="19">
        <f>'1'!F142</f>
        <v>27533.85</v>
      </c>
      <c r="G10" s="21">
        <f t="shared" si="0"/>
        <v>235460674.3679994</v>
      </c>
      <c r="H10" s="19">
        <f>'7'!G68</f>
        <v>20</v>
      </c>
      <c r="I10" s="19">
        <f>'7'!G69</f>
        <v>9</v>
      </c>
      <c r="J10" s="19">
        <f>'7'!G70</f>
        <v>13</v>
      </c>
      <c r="K10" s="23">
        <f t="shared" si="1"/>
        <v>29</v>
      </c>
      <c r="L10" s="19">
        <f>'7'!G71</f>
        <v>253</v>
      </c>
      <c r="M10" s="19">
        <f>'7'!G72</f>
        <v>0</v>
      </c>
      <c r="N10" s="19">
        <v>0</v>
      </c>
      <c r="O10" s="23">
        <f t="shared" si="2"/>
        <v>253</v>
      </c>
    </row>
    <row r="11" spans="1:15">
      <c r="A11" s="16">
        <v>8</v>
      </c>
      <c r="B11" s="26">
        <v>8</v>
      </c>
      <c r="C11" s="18"/>
      <c r="D11" s="19">
        <f>'8'!F8</f>
        <v>142858</v>
      </c>
      <c r="E11" s="19">
        <f>'8'!G96</f>
        <v>7883</v>
      </c>
      <c r="F11" s="19">
        <f>'1'!F142</f>
        <v>27533.85</v>
      </c>
      <c r="G11" s="21">
        <f t="shared" si="0"/>
        <v>217049339.54999998</v>
      </c>
      <c r="H11" s="19">
        <f>'8'!G68</f>
        <v>30</v>
      </c>
      <c r="I11" s="19">
        <f>'8'!G69</f>
        <v>8</v>
      </c>
      <c r="J11" s="19">
        <f>'8'!G70</f>
        <v>5</v>
      </c>
      <c r="K11" s="23">
        <f t="shared" si="1"/>
        <v>38</v>
      </c>
      <c r="L11" s="19">
        <f>'8'!G71</f>
        <v>287</v>
      </c>
      <c r="M11" s="19">
        <f>'8'!G72</f>
        <v>0</v>
      </c>
      <c r="N11" s="19">
        <v>0</v>
      </c>
      <c r="O11" s="23">
        <f t="shared" si="2"/>
        <v>287</v>
      </c>
    </row>
    <row r="12" spans="1:15">
      <c r="A12" s="16">
        <v>9</v>
      </c>
      <c r="B12" s="27">
        <v>9</v>
      </c>
      <c r="C12" s="26"/>
      <c r="D12" s="19">
        <f>'9'!F8</f>
        <v>170133</v>
      </c>
      <c r="E12" s="19">
        <f>'9'!G96</f>
        <v>7880</v>
      </c>
      <c r="F12" s="19">
        <f>'1'!F142</f>
        <v>27533.85</v>
      </c>
      <c r="G12" s="21">
        <f t="shared" si="0"/>
        <v>216966738</v>
      </c>
      <c r="H12" s="19">
        <f>'9'!G68</f>
        <v>21</v>
      </c>
      <c r="I12" s="19">
        <f>'9'!G69</f>
        <v>4</v>
      </c>
      <c r="J12" s="19">
        <f>'9'!G70</f>
        <v>6</v>
      </c>
      <c r="K12" s="23">
        <f t="shared" si="1"/>
        <v>25</v>
      </c>
      <c r="L12" s="19">
        <f>'9'!G71</f>
        <v>234</v>
      </c>
      <c r="M12" s="19">
        <f>'9'!G72</f>
        <v>0</v>
      </c>
      <c r="N12" s="19">
        <v>0</v>
      </c>
      <c r="O12" s="23">
        <f t="shared" si="2"/>
        <v>234</v>
      </c>
    </row>
    <row r="13" spans="1:15">
      <c r="A13" s="16">
        <v>10</v>
      </c>
      <c r="B13" s="27">
        <v>10</v>
      </c>
      <c r="C13" s="26"/>
      <c r="D13" s="19">
        <f>'10'!F8</f>
        <v>197278.9</v>
      </c>
      <c r="E13" s="19">
        <f>'10'!G96</f>
        <v>7288.4600000000355</v>
      </c>
      <c r="F13" s="19">
        <f>'1'!F142</f>
        <v>27533.85</v>
      </c>
      <c r="G13" s="21">
        <f t="shared" si="0"/>
        <v>200679364.37100098</v>
      </c>
      <c r="H13" s="19">
        <f>'10'!G68</f>
        <v>29</v>
      </c>
      <c r="I13" s="19">
        <f>'10'!G69</f>
        <v>5</v>
      </c>
      <c r="J13" s="19">
        <f>'10'!G70</f>
        <v>6</v>
      </c>
      <c r="K13" s="23">
        <f t="shared" si="1"/>
        <v>34</v>
      </c>
      <c r="L13" s="19">
        <f>'10'!G71</f>
        <v>272</v>
      </c>
      <c r="M13" s="19">
        <f>'10'!G72</f>
        <v>0</v>
      </c>
      <c r="N13" s="19">
        <v>0</v>
      </c>
      <c r="O13" s="23">
        <f t="shared" si="2"/>
        <v>272</v>
      </c>
    </row>
    <row r="14" spans="1:15">
      <c r="A14" s="16">
        <v>11</v>
      </c>
      <c r="B14" s="17">
        <v>11</v>
      </c>
      <c r="C14" s="27"/>
      <c r="D14" s="19">
        <f>'11'!F8</f>
        <v>224389</v>
      </c>
      <c r="E14" s="19">
        <f>'11'!G96</f>
        <v>7732.4799999999523</v>
      </c>
      <c r="F14" s="19">
        <f>'1'!F142</f>
        <v>27533.85</v>
      </c>
      <c r="G14" s="21">
        <f t="shared" si="0"/>
        <v>212904944.44799867</v>
      </c>
      <c r="H14" s="19">
        <f>'11'!G68</f>
        <v>28</v>
      </c>
      <c r="I14" s="19">
        <f>'11'!G69</f>
        <v>9</v>
      </c>
      <c r="J14" s="19">
        <f>'11'!G70</f>
        <v>5</v>
      </c>
      <c r="K14" s="23">
        <f t="shared" si="1"/>
        <v>37</v>
      </c>
      <c r="L14" s="19">
        <f>'11'!G71</f>
        <v>225</v>
      </c>
      <c r="M14" s="19">
        <f>'11'!G72</f>
        <v>0</v>
      </c>
      <c r="N14" s="19">
        <v>0</v>
      </c>
      <c r="O14" s="23">
        <f t="shared" si="2"/>
        <v>225</v>
      </c>
    </row>
    <row r="15" spans="1:15">
      <c r="A15" s="16">
        <v>12</v>
      </c>
      <c r="B15" s="26">
        <v>12</v>
      </c>
      <c r="C15" s="27"/>
      <c r="D15" s="19">
        <f>'12'!F8</f>
        <v>253550.9</v>
      </c>
      <c r="E15" s="19">
        <f>'12'!G96</f>
        <v>8008.2300000000105</v>
      </c>
      <c r="F15" s="19">
        <f>'1'!F142</f>
        <v>27533.85</v>
      </c>
      <c r="G15" s="20">
        <f t="shared" si="0"/>
        <v>220497403.58550027</v>
      </c>
      <c r="H15" s="19">
        <f>'12'!G68</f>
        <v>29</v>
      </c>
      <c r="I15" s="19">
        <f>'12'!G69</f>
        <v>5056</v>
      </c>
      <c r="J15" s="19">
        <f>'12'!G70</f>
        <v>5</v>
      </c>
      <c r="K15" s="23">
        <f t="shared" si="1"/>
        <v>5085</v>
      </c>
      <c r="L15" s="19">
        <f>'12'!G71</f>
        <v>5291</v>
      </c>
      <c r="M15" s="19">
        <f>'12'!G72</f>
        <v>0</v>
      </c>
      <c r="N15" s="19">
        <v>0</v>
      </c>
      <c r="O15" s="23">
        <f t="shared" si="2"/>
        <v>5291</v>
      </c>
    </row>
    <row r="16" spans="1:15">
      <c r="A16" s="16">
        <v>13</v>
      </c>
      <c r="B16" s="26">
        <v>13</v>
      </c>
      <c r="C16" s="26"/>
      <c r="D16" s="19">
        <f>'13'!F8</f>
        <v>282532.40000000002</v>
      </c>
      <c r="E16" s="19">
        <f>'13'!G96</f>
        <v>7952.4400000000314</v>
      </c>
      <c r="F16" s="19">
        <f>'1'!F142</f>
        <v>27533.85</v>
      </c>
      <c r="G16" s="20">
        <f t="shared" si="0"/>
        <v>218961290.09400085</v>
      </c>
      <c r="H16" s="19">
        <f>'13'!G68</f>
        <v>11</v>
      </c>
      <c r="I16" s="19">
        <f>'13'!G69</f>
        <v>10</v>
      </c>
      <c r="J16" s="19">
        <f>'13'!G70</f>
        <v>7</v>
      </c>
      <c r="K16" s="23">
        <f t="shared" si="1"/>
        <v>21</v>
      </c>
      <c r="L16" s="19">
        <f>'13'!G71</f>
        <v>211</v>
      </c>
      <c r="M16" s="19">
        <f>'13'!G72</f>
        <v>0</v>
      </c>
      <c r="N16" s="19">
        <v>0</v>
      </c>
      <c r="O16" s="23">
        <f t="shared" si="2"/>
        <v>211</v>
      </c>
    </row>
    <row r="17" spans="1:15">
      <c r="A17" s="16">
        <v>14</v>
      </c>
      <c r="B17" s="17">
        <v>14</v>
      </c>
      <c r="C17" s="27"/>
      <c r="D17" s="19">
        <f>'14'!F8</f>
        <v>310337</v>
      </c>
      <c r="E17" s="19">
        <f>'14'!G96</f>
        <v>7185.0299999999697</v>
      </c>
      <c r="F17" s="19">
        <f>'1'!F142</f>
        <v>27533.85</v>
      </c>
      <c r="G17" s="20">
        <f t="shared" si="0"/>
        <v>197831538.26549914</v>
      </c>
      <c r="H17" s="19">
        <f>'14'!G68</f>
        <v>24</v>
      </c>
      <c r="I17" s="19">
        <f>'14'!G69</f>
        <v>16</v>
      </c>
      <c r="J17" s="19">
        <f>'14'!G71</f>
        <v>262</v>
      </c>
      <c r="K17" s="23">
        <f t="shared" si="1"/>
        <v>40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337535</v>
      </c>
      <c r="E18" s="19">
        <f>'15'!G96</f>
        <v>7898</v>
      </c>
      <c r="F18" s="19">
        <f>'1'!F142</f>
        <v>27533.85</v>
      </c>
      <c r="G18" s="20">
        <f t="shared" si="0"/>
        <v>217462347.29999998</v>
      </c>
      <c r="H18" s="19">
        <f>'15'!G68</f>
        <v>27</v>
      </c>
      <c r="I18" s="19">
        <f>'15'!G69</f>
        <v>9</v>
      </c>
      <c r="J18" s="19">
        <f>'15'!G71</f>
        <v>245</v>
      </c>
      <c r="K18" s="23">
        <f t="shared" si="1"/>
        <v>36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925" t="s">
        <v>115</v>
      </c>
      <c r="B1" s="926"/>
      <c r="C1" s="926"/>
      <c r="D1" s="926"/>
      <c r="E1" s="926"/>
      <c r="F1" s="926"/>
      <c r="G1" s="926"/>
      <c r="H1" s="926"/>
      <c r="I1" s="926"/>
      <c r="J1" s="927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934" t="s">
        <v>119</v>
      </c>
      <c r="F3" s="935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928" t="s">
        <v>128</v>
      </c>
      <c r="B6" s="929"/>
      <c r="C6" s="930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812663</v>
      </c>
      <c r="I7" s="113">
        <f>'1'!I7</f>
        <v>12000</v>
      </c>
      <c r="J7" s="175">
        <f>H7/DAY(B2)</f>
        <v>26214.935483870966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815912.27999999991</v>
      </c>
      <c r="I8" s="116"/>
      <c r="J8" s="175">
        <f>H8/DAY(B2)</f>
        <v>26319.750967741933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5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542515</v>
      </c>
      <c r="I9" s="124"/>
      <c r="J9" s="175">
        <f>H9/DAY(B2)</f>
        <v>17500.483870967742</v>
      </c>
      <c r="K9" s="79">
        <f>K8-100</f>
        <v>1715817</v>
      </c>
      <c r="L9" s="66"/>
      <c r="N9" s="87"/>
      <c r="O9" s="71"/>
      <c r="Q9" s="526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222690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4"/>
      <c r="C14" s="524"/>
      <c r="D14" s="151"/>
      <c r="E14" s="95"/>
      <c r="F14" s="95"/>
      <c r="G14" s="119">
        <f>G9+G10+G11+G12</f>
        <v>0</v>
      </c>
      <c r="H14" s="99">
        <f>G14+'30'!H13</f>
        <v>762688.75</v>
      </c>
      <c r="I14" s="120">
        <f>G7-G14</f>
        <v>0</v>
      </c>
      <c r="J14" s="175">
        <f>H14/DAY(B2)</f>
        <v>24602.862903225807</v>
      </c>
      <c r="K14" s="79"/>
      <c r="L14" s="66"/>
      <c r="N14" s="87"/>
      <c r="O14" s="71"/>
    </row>
    <row r="15" spans="1:17" ht="33" customHeight="1">
      <c r="A15" s="931" t="s">
        <v>137</v>
      </c>
      <c r="B15" s="932"/>
      <c r="C15" s="933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 t="e">
        <f>G16+'30'!H15</f>
        <v>#VALUE!</v>
      </c>
      <c r="I16" s="113">
        <f>'1'!I15</f>
        <v>800</v>
      </c>
      <c r="J16" s="175" t="e">
        <f>H16/DAY(B2)</f>
        <v>#VALUE!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 t="e">
        <f>I16-J16</f>
        <v>#VALUE!</v>
      </c>
      <c r="J17" s="176"/>
      <c r="K17" s="79"/>
      <c r="L17" s="66"/>
      <c r="N17" s="87"/>
      <c r="O17" s="71"/>
    </row>
    <row r="18" spans="1:15" ht="33" customHeight="1">
      <c r="A18" s="931" t="s">
        <v>140</v>
      </c>
      <c r="B18" s="932"/>
      <c r="C18" s="933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907" t="s">
        <v>141</v>
      </c>
      <c r="B19" s="908"/>
      <c r="C19" s="909"/>
      <c r="D19" s="151" t="s">
        <v>142</v>
      </c>
      <c r="E19" s="95">
        <f>'30'!F18</f>
        <v>33</v>
      </c>
      <c r="F19" s="122">
        <v>14</v>
      </c>
      <c r="G19" s="119">
        <f>F19*10</f>
        <v>140</v>
      </c>
      <c r="H19" s="99">
        <f>G19+'30'!H18</f>
        <v>7260</v>
      </c>
      <c r="I19" s="113">
        <f>'1'!I18</f>
        <v>65</v>
      </c>
      <c r="J19" s="175">
        <f>H19/DAY(B2)</f>
        <v>234.19354838709677</v>
      </c>
      <c r="K19" s="79"/>
      <c r="L19" s="66"/>
      <c r="N19" s="87"/>
      <c r="O19" s="71"/>
    </row>
    <row r="20" spans="1:15" ht="33" customHeight="1">
      <c r="A20" s="907" t="s">
        <v>69</v>
      </c>
      <c r="B20" s="908"/>
      <c r="C20" s="909"/>
      <c r="D20" s="151" t="s">
        <v>142</v>
      </c>
      <c r="E20" s="95">
        <f>'30'!F19</f>
        <v>158454</v>
      </c>
      <c r="F20" s="122">
        <v>145338</v>
      </c>
      <c r="G20" s="112">
        <f t="shared" ref="G20" si="0">F20-E20</f>
        <v>-13116</v>
      </c>
      <c r="H20" s="99">
        <f>G20+'30'!H19</f>
        <v>-13116</v>
      </c>
      <c r="I20" s="335"/>
      <c r="J20" s="175">
        <f>H20/DAY(B2)</f>
        <v>-423.09677419354841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-12976</v>
      </c>
      <c r="H21" s="99">
        <f>G21+'30'!H20</f>
        <v>-5856</v>
      </c>
      <c r="I21" s="336">
        <f>I19-J21</f>
        <v>253.90322580645162</v>
      </c>
      <c r="J21" s="175">
        <f>H21/DAY(B2)</f>
        <v>-188.90322580645162</v>
      </c>
      <c r="K21" s="79"/>
      <c r="L21" s="66"/>
      <c r="N21" s="87"/>
      <c r="O21" s="71"/>
    </row>
    <row r="22" spans="1:15" ht="33" customHeight="1">
      <c r="A22" s="931" t="s">
        <v>144</v>
      </c>
      <c r="B22" s="932"/>
      <c r="C22" s="933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936" t="s">
        <v>149</v>
      </c>
      <c r="B26" s="937"/>
      <c r="C26" s="938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7343210.5200000005</v>
      </c>
      <c r="I28" s="138"/>
      <c r="J28" s="175">
        <f>H28/DAY(B2)</f>
        <v>236877.75870967744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 t="e">
        <f>G29+'30'!H28</f>
        <v>#VALUE!</v>
      </c>
      <c r="I29" s="140"/>
      <c r="J29" s="175" t="e">
        <f>H29/DAY(B2)</f>
        <v>#VALUE!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-13116</v>
      </c>
      <c r="F31" s="136">
        <v>146</v>
      </c>
      <c r="G31" s="137">
        <f>E31*F31</f>
        <v>-1914936</v>
      </c>
      <c r="H31" s="99">
        <f>G31+'30'!H30</f>
        <v>-1916241</v>
      </c>
      <c r="I31" s="140"/>
      <c r="J31" s="175">
        <f>H31/DAY(B2)</f>
        <v>-61814.225806451614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580800</v>
      </c>
      <c r="I32" s="140"/>
      <c r="J32" s="175">
        <f>H32/DAY(B2)</f>
        <v>18735.483870967742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-1864788</v>
      </c>
      <c r="H33" s="99" t="e">
        <f>G33+'30'!H32</f>
        <v>#VALUE!</v>
      </c>
      <c r="I33" s="144"/>
      <c r="J33" s="175" t="e">
        <f>H33/DAY(B2)</f>
        <v>#VALUE!</v>
      </c>
      <c r="K33" s="63"/>
      <c r="L33" s="89"/>
      <c r="N33" s="87"/>
      <c r="O33" s="71"/>
    </row>
    <row r="34" spans="1:15" ht="33" customHeight="1">
      <c r="A34" s="939" t="s">
        <v>331</v>
      </c>
      <c r="B34" s="940"/>
      <c r="C34" s="940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0</v>
      </c>
      <c r="I36" s="95"/>
      <c r="J36" s="175">
        <f>H36/DAY(B2)</f>
        <v>0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668</v>
      </c>
      <c r="I37" s="95"/>
      <c r="J37" s="175">
        <f>H37/DAY(B2)</f>
        <v>21.548387096774192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1163</v>
      </c>
      <c r="I38" s="95"/>
      <c r="J38" s="175">
        <f>H38/DAY(B2)</f>
        <v>37.516129032258064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1668</v>
      </c>
      <c r="I39" s="95"/>
      <c r="J39" s="175">
        <f>H39/DAY(B2)</f>
        <v>53.806451612903224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3886</v>
      </c>
      <c r="I40" s="95"/>
      <c r="J40" s="175">
        <f>H40/DAY(B2)</f>
        <v>125.35483870967742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378</v>
      </c>
      <c r="I41" s="95"/>
      <c r="J41" s="175">
        <f>H41/DAY(B2)</f>
        <v>12.193548387096774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-5.4569682106375694E-12</v>
      </c>
      <c r="I42" s="95"/>
      <c r="J42" s="175">
        <f>H42/DAY(B2)</f>
        <v>-1.7603123260121191E-13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4605</v>
      </c>
      <c r="I43" s="95"/>
      <c r="J43" s="175">
        <f>H43/DAY(B2)</f>
        <v>148.54838709677421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2495</v>
      </c>
      <c r="I44" s="95"/>
      <c r="J44" s="175">
        <f>H44/DAY(B2)</f>
        <v>80.483870967741936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14863.000000000058</v>
      </c>
      <c r="I48" s="95"/>
      <c r="J48" s="175">
        <f>H48/DAY(B2)</f>
        <v>479.45161290322767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165170</v>
      </c>
      <c r="F50" s="145">
        <v>419822</v>
      </c>
      <c r="G50" s="112">
        <f t="shared" ref="G50:G59" si="3">F50-E50</f>
        <v>254652</v>
      </c>
      <c r="H50" s="99">
        <f>G50+'30'!H49</f>
        <v>254652</v>
      </c>
      <c r="I50" s="95"/>
      <c r="J50" s="175">
        <f>H50/DAY(B2)</f>
        <v>8214.5806451612898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172607</v>
      </c>
      <c r="F51" s="145">
        <v>607298</v>
      </c>
      <c r="G51" s="112">
        <f t="shared" si="3"/>
        <v>434691</v>
      </c>
      <c r="H51" s="99">
        <f>G51+'30'!H50</f>
        <v>434691</v>
      </c>
      <c r="I51" s="95"/>
      <c r="J51" s="175">
        <f>H51/DAY(B2)</f>
        <v>14022.290322580646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75.680000000000007</v>
      </c>
      <c r="F52" s="145">
        <v>144640</v>
      </c>
      <c r="G52" s="112">
        <f t="shared" si="3"/>
        <v>144564.32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50083</v>
      </c>
      <c r="F55" s="145">
        <v>14967</v>
      </c>
      <c r="G55" s="112">
        <f t="shared" si="3"/>
        <v>-35116</v>
      </c>
      <c r="H55" s="99">
        <f>G55+'30'!H54</f>
        <v>-35116</v>
      </c>
      <c r="I55" s="95"/>
      <c r="J55" s="175">
        <f>H55/DAY(B2)</f>
        <v>-1132.7741935483871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144967</v>
      </c>
      <c r="F56" s="145">
        <v>306268.99</v>
      </c>
      <c r="G56" s="112">
        <f t="shared" si="3"/>
        <v>161301.99</v>
      </c>
      <c r="H56" s="99">
        <f>G56+'30'!H55</f>
        <v>161301.99</v>
      </c>
      <c r="I56" s="95"/>
      <c r="J56" s="175">
        <f>H56/DAY(B2)</f>
        <v>5203.29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107246</v>
      </c>
      <c r="F57" s="145">
        <v>661019</v>
      </c>
      <c r="G57" s="112">
        <f t="shared" si="3"/>
        <v>553773</v>
      </c>
      <c r="H57" s="99">
        <f>G57+'30'!H56</f>
        <v>553773</v>
      </c>
      <c r="I57" s="95"/>
      <c r="J57" s="175">
        <f>H57/DAY(B2)</f>
        <v>17863.645161290322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0</v>
      </c>
      <c r="F58" s="145">
        <v>7711</v>
      </c>
      <c r="G58" s="112">
        <f t="shared" si="3"/>
        <v>7711</v>
      </c>
      <c r="H58" s="99">
        <f>G58+'30'!H57</f>
        <v>7711</v>
      </c>
      <c r="I58" s="95"/>
      <c r="J58" s="175">
        <f>H58/DAY(B2)</f>
        <v>248.74193548387098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25493</v>
      </c>
      <c r="F59" s="145">
        <v>66014</v>
      </c>
      <c r="G59" s="112">
        <f t="shared" si="3"/>
        <v>40521</v>
      </c>
      <c r="H59" s="99">
        <f>G59+'30'!H58</f>
        <v>40521</v>
      </c>
      <c r="I59" s="95"/>
      <c r="J59" s="175">
        <f>H59/DAY(B2)</f>
        <v>1307.1290322580646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2535926.31</v>
      </c>
      <c r="H60" s="99">
        <f>G60+'30'!H59</f>
        <v>2535926.31</v>
      </c>
      <c r="I60" s="95">
        <f>G7-G61</f>
        <v>-2550789.31</v>
      </c>
      <c r="J60" s="175">
        <f>H60/DAY(B2)</f>
        <v>81804.07451612904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2550789.31</v>
      </c>
      <c r="H61" s="99">
        <f>G61+'30'!H60</f>
        <v>2550789.31</v>
      </c>
      <c r="I61" s="95">
        <f>G14-G61</f>
        <v>-2550789.31</v>
      </c>
      <c r="J61" s="175">
        <f>H61/DAY(B2)</f>
        <v>82283.526129032267</v>
      </c>
      <c r="K61" s="79"/>
      <c r="L61" s="66"/>
      <c r="N61" s="87"/>
      <c r="O61" s="71"/>
    </row>
    <row r="62" spans="1:15" s="68" customFormat="1" ht="33" customHeight="1">
      <c r="A62" s="941" t="s">
        <v>332</v>
      </c>
      <c r="B62" s="942"/>
      <c r="C62" s="943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907" t="s">
        <v>198</v>
      </c>
      <c r="B63" s="908"/>
      <c r="C63" s="909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907" t="s">
        <v>199</v>
      </c>
      <c r="B64" s="908"/>
      <c r="C64" s="909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197659</v>
      </c>
      <c r="I64" s="118"/>
      <c r="J64" s="175">
        <f>H64/DAY(B2)</f>
        <v>6376.0967741935483</v>
      </c>
      <c r="K64" s="69"/>
      <c r="L64" s="66"/>
      <c r="N64" s="87"/>
      <c r="O64" s="71"/>
    </row>
    <row r="65" spans="1:15" ht="33" customHeight="1">
      <c r="A65" s="916" t="s">
        <v>200</v>
      </c>
      <c r="B65" s="917"/>
      <c r="C65" s="918"/>
      <c r="D65" s="151"/>
      <c r="E65" s="122"/>
      <c r="F65" s="122"/>
      <c r="G65" s="112">
        <f>G63+G64</f>
        <v>451111</v>
      </c>
      <c r="H65" s="99">
        <f>G65+'30'!H95</f>
        <v>451110.97760514758</v>
      </c>
      <c r="I65" s="118"/>
      <c r="J65" s="175">
        <f>H65/DAY(B2)</f>
        <v>14551.967019520889</v>
      </c>
      <c r="K65" s="69"/>
      <c r="L65" s="66"/>
      <c r="N65" s="87"/>
      <c r="O65" s="71"/>
    </row>
    <row r="66" spans="1:15" ht="33" customHeight="1">
      <c r="A66" s="907" t="s">
        <v>201</v>
      </c>
      <c r="B66" s="908"/>
      <c r="C66" s="909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421019</v>
      </c>
      <c r="I66" s="118"/>
      <c r="J66" s="175">
        <f>H66/DAY(B2)</f>
        <v>13581.258064516129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104635.96909392298</v>
      </c>
      <c r="I67" s="118"/>
      <c r="J67" s="175">
        <f>H67/DAY(B2)</f>
        <v>3375.3538417394507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100370</v>
      </c>
      <c r="I68" s="118"/>
      <c r="J68" s="175">
        <f>H68/DAY(B2)</f>
        <v>3237.7419354838707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152134.99254904228</v>
      </c>
      <c r="I69" s="118"/>
      <c r="J69" s="175">
        <f>H69/DAY(B2)</f>
        <v>4907.5804048078153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8645</v>
      </c>
      <c r="I70" s="118"/>
      <c r="J70" s="175">
        <f>H70/DAY(B2)</f>
        <v>278.87096774193549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6372.9940811012557</v>
      </c>
      <c r="I71" s="118"/>
      <c r="J71" s="175">
        <f>H71/DAY(B2)</f>
        <v>205.58045422907276</v>
      </c>
      <c r="K71" s="69"/>
      <c r="L71" s="66"/>
      <c r="N71" s="87"/>
      <c r="O71" s="71"/>
    </row>
    <row r="72" spans="1:15" ht="33" customHeight="1">
      <c r="A72" s="916" t="s">
        <v>208</v>
      </c>
      <c r="B72" s="917"/>
      <c r="C72" s="918"/>
      <c r="D72" s="152"/>
      <c r="E72" s="152"/>
      <c r="F72" s="152"/>
      <c r="G72" s="153">
        <f>SUM(G66:G71)</f>
        <v>793178</v>
      </c>
      <c r="H72" s="99">
        <f>G72+'30'!H102</f>
        <v>793178</v>
      </c>
      <c r="I72" s="154"/>
      <c r="J72" s="175">
        <f>H72/DAY(B2)</f>
        <v>25586.387096774193</v>
      </c>
      <c r="K72" s="69"/>
      <c r="L72" s="66"/>
      <c r="N72" s="87"/>
      <c r="O72" s="71"/>
    </row>
    <row r="73" spans="1:15" s="88" customFormat="1" ht="33" customHeight="1">
      <c r="A73" s="903"/>
      <c r="B73" s="888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13" t="s">
        <v>333</v>
      </c>
      <c r="B74" s="914"/>
      <c r="C74" s="915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907" t="s">
        <v>220</v>
      </c>
      <c r="B75" s="908"/>
      <c r="C75" s="909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907" t="s">
        <v>221</v>
      </c>
      <c r="B76" s="908"/>
      <c r="C76" s="909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04" t="s">
        <v>222</v>
      </c>
      <c r="B77" s="905"/>
      <c r="C77" s="906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04" t="s">
        <v>223</v>
      </c>
      <c r="B78" s="905"/>
      <c r="C78" s="906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04" t="s">
        <v>224</v>
      </c>
      <c r="B79" s="905"/>
      <c r="C79" s="906"/>
      <c r="D79" s="151" t="s">
        <v>139</v>
      </c>
      <c r="E79" s="95">
        <f>'30'!F128</f>
        <v>81415</v>
      </c>
      <c r="F79" s="232">
        <v>9180</v>
      </c>
      <c r="G79" s="112">
        <f t="shared" si="6"/>
        <v>-72235</v>
      </c>
      <c r="H79" s="99">
        <f>G79+'30'!H128</f>
        <v>-72235</v>
      </c>
      <c r="I79" s="118"/>
      <c r="J79" s="175">
        <f>H79/DAY(B2)</f>
        <v>-2330.1612903225805</v>
      </c>
      <c r="K79" s="69"/>
      <c r="L79" s="66"/>
      <c r="N79" s="87"/>
      <c r="O79" s="71"/>
    </row>
    <row r="80" spans="1:15" s="57" customFormat="1" ht="33" customHeight="1">
      <c r="A80" s="904" t="s">
        <v>225</v>
      </c>
      <c r="B80" s="905"/>
      <c r="C80" s="906"/>
      <c r="D80" s="151"/>
      <c r="E80" s="117"/>
      <c r="F80" s="117"/>
      <c r="G80" s="112">
        <f>G16-SUM(G75:G79)</f>
        <v>-1045657.3999999999</v>
      </c>
      <c r="H80" s="99">
        <f>G80+'30'!H129</f>
        <v>-1045657.3999999999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916" t="s">
        <v>329</v>
      </c>
      <c r="B81" s="917"/>
      <c r="C81" s="918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21" t="s">
        <v>226</v>
      </c>
      <c r="B82" s="922"/>
      <c r="C82" s="923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30435</v>
      </c>
      <c r="F83" s="122"/>
      <c r="G83" s="112">
        <f t="shared" ref="G83:G93" si="7">F83-E83</f>
        <v>-30435</v>
      </c>
      <c r="H83" s="99">
        <f>G83+'30'!H131</f>
        <v>-30435</v>
      </c>
      <c r="I83" s="118"/>
      <c r="J83" s="175">
        <f>H83/DAY(B2)</f>
        <v>-981.77419354838707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88937</v>
      </c>
      <c r="F84" s="122"/>
      <c r="G84" s="112">
        <f t="shared" si="7"/>
        <v>-88937</v>
      </c>
      <c r="H84" s="99">
        <f>G84+'30'!H132</f>
        <v>-88937</v>
      </c>
      <c r="I84" s="118"/>
      <c r="J84" s="175">
        <f>H84/DAY(B2)</f>
        <v>-2868.9354838709678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172446</v>
      </c>
      <c r="F85" s="164">
        <v>40922</v>
      </c>
      <c r="G85" s="112">
        <f t="shared" si="7"/>
        <v>-131524</v>
      </c>
      <c r="H85" s="99">
        <f>G85+'30'!H133</f>
        <v>-131524</v>
      </c>
      <c r="I85" s="118"/>
      <c r="J85" s="175">
        <f>H85/DAY(B2)</f>
        <v>-4242.7096774193551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28093</v>
      </c>
      <c r="F86" s="164">
        <v>856</v>
      </c>
      <c r="G86" s="112">
        <f t="shared" si="7"/>
        <v>-27237</v>
      </c>
      <c r="H86" s="99">
        <f>G86+'30'!H134</f>
        <v>-27237</v>
      </c>
      <c r="I86" s="118">
        <f>G83+G84+G85+G86</f>
        <v>-278133</v>
      </c>
      <c r="J86" s="175">
        <f>H86/DAY(B2)</f>
        <v>-878.61290322580646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82355.790000000008</v>
      </c>
      <c r="I87" s="118"/>
      <c r="J87" s="175">
        <f>H87/DAY(B2)</f>
        <v>2656.6383870967743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878784</v>
      </c>
      <c r="F90" s="164">
        <v>25132.959999999999</v>
      </c>
      <c r="G90" s="112">
        <f t="shared" si="7"/>
        <v>-853651.04</v>
      </c>
      <c r="H90" s="99">
        <f>G90+'30'!H138</f>
        <v>-853651.04</v>
      </c>
      <c r="I90" s="118"/>
      <c r="J90" s="175">
        <f>H90/DAY(B2)</f>
        <v>-27537.130322580648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894866</v>
      </c>
      <c r="F91" s="164">
        <v>70524.55</v>
      </c>
      <c r="G91" s="112">
        <f t="shared" si="7"/>
        <v>-824341.45</v>
      </c>
      <c r="H91" s="99">
        <f>G91+'30'!H139</f>
        <v>-824341.45</v>
      </c>
      <c r="I91" s="118">
        <f>G90+G91</f>
        <v>-1677992.49</v>
      </c>
      <c r="J91" s="175">
        <f>H91/DAY(B2)</f>
        <v>-26591.659677419353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135</v>
      </c>
      <c r="F92" s="122">
        <v>2627.98</v>
      </c>
      <c r="G92" s="112">
        <f t="shared" si="7"/>
        <v>2492.98</v>
      </c>
      <c r="H92" s="99">
        <f>G92+'30'!H140</f>
        <v>91423.98</v>
      </c>
      <c r="I92" s="165"/>
      <c r="J92" s="175">
        <f>H92/DAY(B2)</f>
        <v>2949.1606451612902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71774</v>
      </c>
      <c r="F93" s="122">
        <v>4754</v>
      </c>
      <c r="G93" s="112">
        <f t="shared" si="7"/>
        <v>-67020</v>
      </c>
      <c r="H93" s="99">
        <f>G93+'30'!H141</f>
        <v>-67020</v>
      </c>
      <c r="I93" s="165"/>
      <c r="J93" s="175">
        <f>H93/DAY(B2)</f>
        <v>-2161.9354838709678</v>
      </c>
      <c r="O93" s="71"/>
    </row>
    <row r="94" spans="1:15" ht="33" customHeight="1">
      <c r="A94" s="910" t="s">
        <v>239</v>
      </c>
      <c r="B94" s="911"/>
      <c r="C94" s="912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907" t="s">
        <v>240</v>
      </c>
      <c r="B95" s="908"/>
      <c r="C95" s="909"/>
      <c r="D95" s="151" t="s">
        <v>130</v>
      </c>
      <c r="E95" s="151"/>
      <c r="F95" s="151"/>
      <c r="G95" s="99">
        <f>G36+G44+G50+G58</f>
        <v>264858</v>
      </c>
      <c r="H95" s="99">
        <f>G95+'30'!H143</f>
        <v>264858</v>
      </c>
      <c r="I95" s="118"/>
      <c r="J95" s="175">
        <f>H95/DAY(B2)</f>
        <v>8543.8064516129034</v>
      </c>
      <c r="K95" s="69"/>
      <c r="L95" s="66"/>
      <c r="O95" s="71"/>
    </row>
    <row r="96" spans="1:15" ht="33" customHeight="1">
      <c r="A96" s="907" t="s">
        <v>241</v>
      </c>
      <c r="B96" s="908"/>
      <c r="C96" s="909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907" t="s">
        <v>242</v>
      </c>
      <c r="B97" s="908"/>
      <c r="C97" s="909"/>
      <c r="D97" s="151" t="s">
        <v>130</v>
      </c>
      <c r="E97" s="95"/>
      <c r="F97" s="95"/>
      <c r="G97" s="99">
        <f>G42+G43+G56+G57</f>
        <v>719679.99</v>
      </c>
      <c r="H97" s="99">
        <f>G97+'30'!H145</f>
        <v>719679.99</v>
      </c>
      <c r="I97" s="118"/>
      <c r="J97" s="175">
        <f>H97/DAY(B2)</f>
        <v>23215.483548387096</v>
      </c>
      <c r="K97" s="69"/>
      <c r="L97" s="66"/>
      <c r="O97" s="71"/>
    </row>
    <row r="98" spans="1:15" ht="33" customHeight="1">
      <c r="A98" s="907" t="s">
        <v>243</v>
      </c>
      <c r="B98" s="908"/>
      <c r="C98" s="909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907" t="s">
        <v>244</v>
      </c>
      <c r="B99" s="908"/>
      <c r="C99" s="909"/>
      <c r="D99" s="151" t="s">
        <v>130</v>
      </c>
      <c r="E99" s="95"/>
      <c r="F99" s="95"/>
      <c r="G99" s="99">
        <f>G40+G54</f>
        <v>438118</v>
      </c>
      <c r="H99" s="99">
        <f>G99+'30'!H147</f>
        <v>438118</v>
      </c>
      <c r="I99" s="168"/>
      <c r="J99" s="175">
        <f>H99/DAY(B2)</f>
        <v>14132.838709677419</v>
      </c>
      <c r="K99" s="69"/>
      <c r="L99" s="66"/>
      <c r="O99" s="71"/>
    </row>
    <row r="100" spans="1:15" ht="33" customHeight="1">
      <c r="A100" s="907" t="s">
        <v>245</v>
      </c>
      <c r="B100" s="908"/>
      <c r="C100" s="909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907" t="s">
        <v>246</v>
      </c>
      <c r="B101" s="908"/>
      <c r="C101" s="909"/>
      <c r="D101" s="151" t="s">
        <v>180</v>
      </c>
      <c r="E101" s="95"/>
      <c r="F101" s="95"/>
      <c r="G101" s="99">
        <f>G39+G53</f>
        <v>541264</v>
      </c>
      <c r="H101" s="99">
        <f>G101+'30'!H149</f>
        <v>541264</v>
      </c>
      <c r="I101" s="118"/>
      <c r="J101" s="175">
        <f>H101/DAY(B2)</f>
        <v>17460.129032258064</v>
      </c>
      <c r="K101" s="70"/>
      <c r="O101" s="71"/>
    </row>
    <row r="102" spans="1:15" ht="33" customHeight="1">
      <c r="A102" s="907" t="s">
        <v>247</v>
      </c>
      <c r="B102" s="908"/>
      <c r="C102" s="909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907" t="s">
        <v>248</v>
      </c>
      <c r="B103" s="908"/>
      <c r="C103" s="909"/>
      <c r="D103" s="151" t="s">
        <v>180</v>
      </c>
      <c r="E103" s="95"/>
      <c r="F103" s="95"/>
      <c r="G103" s="99">
        <f>G37+G51</f>
        <v>435359</v>
      </c>
      <c r="H103" s="99">
        <f>G103+'30'!H156</f>
        <v>435359</v>
      </c>
      <c r="I103" s="168"/>
      <c r="J103" s="175">
        <f>H103/DAY(B2)</f>
        <v>14043.838709677419</v>
      </c>
      <c r="O103" s="71"/>
    </row>
    <row r="104" spans="1:15" ht="33" customHeight="1">
      <c r="A104" s="907" t="s">
        <v>249</v>
      </c>
      <c r="B104" s="908"/>
      <c r="C104" s="909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907" t="s">
        <v>250</v>
      </c>
      <c r="B105" s="908"/>
      <c r="C105" s="909"/>
      <c r="D105" s="151" t="s">
        <v>180</v>
      </c>
      <c r="E105" s="95"/>
      <c r="F105" s="95"/>
      <c r="G105" s="99">
        <f>G38+G52</f>
        <v>145727.32</v>
      </c>
      <c r="H105" s="99">
        <f>G105+'30'!H161</f>
        <v>145727.32</v>
      </c>
      <c r="I105" s="118"/>
      <c r="J105" s="175">
        <f>H105/DAY(B2)</f>
        <v>4700.8812903225808</v>
      </c>
      <c r="O105" s="71"/>
    </row>
    <row r="106" spans="1:15" ht="33" customHeight="1" thickBot="1">
      <c r="A106" s="900" t="s">
        <v>251</v>
      </c>
      <c r="B106" s="901"/>
      <c r="C106" s="902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896" t="s">
        <v>324</v>
      </c>
      <c r="B109" s="896"/>
      <c r="C109" s="896"/>
      <c r="D109" s="896"/>
      <c r="E109" s="896"/>
      <c r="F109" s="896"/>
      <c r="G109" s="896"/>
      <c r="H109" s="896"/>
      <c r="I109" s="896"/>
      <c r="J109" s="896"/>
    </row>
    <row r="110" spans="1:15" ht="33" customHeight="1">
      <c r="A110" s="924"/>
      <c r="B110" s="924"/>
    </row>
    <row r="111" spans="1:15" ht="33" customHeight="1">
      <c r="A111" s="897" t="s">
        <v>165</v>
      </c>
      <c r="B111" s="898"/>
      <c r="C111" s="898"/>
      <c r="D111" s="898"/>
      <c r="E111" s="898"/>
      <c r="F111" s="898"/>
      <c r="G111" s="898"/>
      <c r="H111" s="898"/>
      <c r="I111" s="898"/>
      <c r="J111" s="899"/>
    </row>
    <row r="112" spans="1:15" ht="33" customHeight="1">
      <c r="A112" s="890"/>
      <c r="B112" s="891"/>
      <c r="C112" s="892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886" t="s">
        <v>252</v>
      </c>
      <c r="B113" s="887"/>
      <c r="C113" s="888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886" t="s">
        <v>253</v>
      </c>
      <c r="B114" s="887"/>
      <c r="C114" s="888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886" t="s">
        <v>254</v>
      </c>
      <c r="B115" s="887"/>
      <c r="C115" s="888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886" t="s">
        <v>255</v>
      </c>
      <c r="B116" s="887"/>
      <c r="C116" s="888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893" t="s">
        <v>96</v>
      </c>
      <c r="B117" s="894"/>
      <c r="C117" s="895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45055</v>
      </c>
      <c r="I117" s="165"/>
      <c r="J117" s="328" t="e">
        <f t="shared" si="9"/>
        <v>#DIV/0!</v>
      </c>
      <c r="Q117" s="886"/>
      <c r="R117" s="888"/>
    </row>
    <row r="118" spans="1:18" ht="33" customHeight="1">
      <c r="A118" s="893" t="s">
        <v>184</v>
      </c>
      <c r="B118" s="894"/>
      <c r="C118" s="895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44933</v>
      </c>
      <c r="I118" s="165"/>
      <c r="J118" s="328" t="e">
        <f t="shared" si="9"/>
        <v>#DIV/0!</v>
      </c>
      <c r="Q118" s="886"/>
      <c r="R118" s="888"/>
    </row>
    <row r="119" spans="1:18" ht="33" customHeight="1">
      <c r="A119" s="885" t="s">
        <v>97</v>
      </c>
      <c r="B119" s="885"/>
      <c r="C119" s="885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44933</v>
      </c>
      <c r="I119" s="165"/>
      <c r="J119" s="328" t="e">
        <f t="shared" si="9"/>
        <v>#DIV/0!</v>
      </c>
      <c r="Q119" s="886"/>
      <c r="R119" s="888"/>
    </row>
    <row r="120" spans="1:18" ht="33" customHeight="1">
      <c r="A120" s="885" t="s">
        <v>98</v>
      </c>
      <c r="B120" s="885"/>
      <c r="C120" s="885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45055</v>
      </c>
      <c r="I120" s="165"/>
      <c r="J120" s="328" t="e">
        <f t="shared" si="9"/>
        <v>#DIV/0!</v>
      </c>
    </row>
    <row r="121" spans="1:18" ht="33" customHeight="1">
      <c r="A121" s="885" t="s">
        <v>99</v>
      </c>
      <c r="B121" s="885"/>
      <c r="C121" s="885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85" t="s">
        <v>100</v>
      </c>
      <c r="B122" s="885"/>
      <c r="C122" s="885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44933</v>
      </c>
      <c r="I122" s="165"/>
      <c r="J122" s="328" t="e">
        <f t="shared" si="9"/>
        <v>#DIV/0!</v>
      </c>
    </row>
    <row r="123" spans="1:18" ht="33" customHeight="1">
      <c r="A123" s="885" t="s">
        <v>101</v>
      </c>
      <c r="B123" s="885"/>
      <c r="C123" s="885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44933</v>
      </c>
      <c r="I123" s="165"/>
      <c r="J123" s="328" t="e">
        <f t="shared" si="9"/>
        <v>#DIV/0!</v>
      </c>
    </row>
    <row r="124" spans="1:18" ht="33" customHeight="1">
      <c r="A124" s="885" t="s">
        <v>102</v>
      </c>
      <c r="B124" s="885"/>
      <c r="C124" s="885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44933</v>
      </c>
      <c r="I124" s="165"/>
      <c r="J124" s="328" t="e">
        <f t="shared" si="9"/>
        <v>#DIV/0!</v>
      </c>
    </row>
    <row r="125" spans="1:18" ht="33" customHeight="1">
      <c r="A125" s="890"/>
      <c r="B125" s="891"/>
      <c r="C125" s="892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873"/>
      <c r="B126" s="873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889" t="s">
        <v>317</v>
      </c>
      <c r="B127" s="889"/>
      <c r="C127" s="889"/>
      <c r="D127" s="889"/>
      <c r="E127" s="889"/>
      <c r="F127" s="889"/>
      <c r="G127" s="889"/>
      <c r="H127" s="889"/>
      <c r="I127" s="889"/>
      <c r="J127" s="889"/>
    </row>
    <row r="128" spans="1:18" ht="33" customHeight="1">
      <c r="A128" s="873"/>
      <c r="B128" s="873"/>
      <c r="C128" s="245"/>
      <c r="D128" s="307"/>
      <c r="E128" s="308"/>
      <c r="F128" s="308"/>
      <c r="G128" s="309"/>
      <c r="H128" s="99">
        <f>G128+'30'!H184</f>
        <v>0</v>
      </c>
      <c r="I128" s="165"/>
      <c r="J128" s="328" t="e">
        <f t="shared" ref="J128:J136" si="10">H128/DAY(B47)</f>
        <v>#DIV/0!</v>
      </c>
    </row>
    <row r="129" spans="1:15" ht="33" customHeight="1">
      <c r="A129" s="886" t="s">
        <v>318</v>
      </c>
      <c r="B129" s="887"/>
      <c r="C129" s="888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0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0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886" t="s">
        <v>321</v>
      </c>
      <c r="B132" s="887"/>
      <c r="C132" s="888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-8138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886" t="s">
        <v>322</v>
      </c>
      <c r="B133" s="887"/>
      <c r="C133" s="888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1381</v>
      </c>
      <c r="I133" s="165"/>
      <c r="J133" s="328" t="e">
        <f t="shared" si="10"/>
        <v>#DIV/0!</v>
      </c>
    </row>
    <row r="134" spans="1:15" ht="33" customHeight="1">
      <c r="A134" s="886" t="s">
        <v>323</v>
      </c>
      <c r="B134" s="887"/>
      <c r="C134" s="888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890"/>
      <c r="B135" s="891"/>
      <c r="C135" s="892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890"/>
      <c r="B136" s="891"/>
      <c r="C136" s="892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872" t="s">
        <v>325</v>
      </c>
      <c r="B137" s="872"/>
      <c r="C137" s="872"/>
      <c r="D137" s="872"/>
      <c r="E137" s="872"/>
      <c r="F137" s="872"/>
      <c r="G137" s="872"/>
      <c r="H137" s="872"/>
      <c r="I137" s="872"/>
      <c r="J137" s="872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85" t="s">
        <v>185</v>
      </c>
      <c r="B139" s="885"/>
      <c r="C139" s="885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85" t="s">
        <v>186</v>
      </c>
      <c r="B140" s="885"/>
      <c r="C140" s="885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85" t="s">
        <v>187</v>
      </c>
      <c r="B141" s="885"/>
      <c r="C141" s="885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864" t="s">
        <v>188</v>
      </c>
      <c r="B142" s="864"/>
      <c r="C142" s="864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864" t="s">
        <v>189</v>
      </c>
      <c r="B143" s="864"/>
      <c r="C143" s="864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85" t="s">
        <v>190</v>
      </c>
      <c r="B144" s="885"/>
      <c r="C144" s="885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920" t="s">
        <v>191</v>
      </c>
      <c r="B145" s="905"/>
      <c r="C145" s="906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864" t="s">
        <v>90</v>
      </c>
      <c r="B146" s="864"/>
      <c r="C146" s="864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864" t="s">
        <v>192</v>
      </c>
      <c r="B147" s="864"/>
      <c r="C147" s="864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864" t="s">
        <v>193</v>
      </c>
      <c r="B148" s="864"/>
      <c r="C148" s="864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864" t="s">
        <v>91</v>
      </c>
      <c r="B149" s="864"/>
      <c r="C149" s="864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864" t="s">
        <v>194</v>
      </c>
      <c r="B150" s="864"/>
      <c r="C150" s="864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872" t="s">
        <v>326</v>
      </c>
      <c r="B153" s="872"/>
      <c r="C153" s="872"/>
      <c r="D153" s="872"/>
      <c r="E153" s="872"/>
      <c r="F153" s="872"/>
      <c r="G153" s="872"/>
      <c r="H153" s="872"/>
      <c r="I153" s="872"/>
      <c r="J153" s="872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873" t="s">
        <v>328</v>
      </c>
      <c r="B159" s="873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873" t="s">
        <v>327</v>
      </c>
      <c r="B160" s="873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873" t="s">
        <v>328</v>
      </c>
      <c r="B161" s="873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874" t="s">
        <v>330</v>
      </c>
      <c r="B164" s="875"/>
      <c r="C164" s="875"/>
      <c r="D164" s="875"/>
      <c r="E164" s="875"/>
      <c r="F164" s="875"/>
      <c r="G164" s="875"/>
      <c r="H164" s="875"/>
      <c r="I164" s="875"/>
      <c r="J164" s="876"/>
    </row>
    <row r="165" spans="1:10" ht="33" customHeight="1">
      <c r="A165" s="883"/>
      <c r="B165" s="884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79" t="s">
        <v>209</v>
      </c>
      <c r="B166" s="880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79" t="s">
        <v>75</v>
      </c>
      <c r="B167" s="880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79" t="s">
        <v>76</v>
      </c>
      <c r="B168" s="919"/>
      <c r="C168" s="880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79" t="s">
        <v>196</v>
      </c>
      <c r="B169" s="880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79" t="s">
        <v>77</v>
      </c>
      <c r="B170" s="880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79" t="s">
        <v>210</v>
      </c>
      <c r="B171" s="880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79" t="s">
        <v>211</v>
      </c>
      <c r="B172" s="880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79" t="s">
        <v>212</v>
      </c>
      <c r="B173" s="880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870" t="s">
        <v>108</v>
      </c>
      <c r="B174" s="871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79" t="s">
        <v>213</v>
      </c>
      <c r="B175" s="880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79" t="s">
        <v>214</v>
      </c>
      <c r="B176" s="880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79" t="s">
        <v>215</v>
      </c>
      <c r="B177" s="880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79" t="s">
        <v>216</v>
      </c>
      <c r="B178" s="880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79" t="s">
        <v>196</v>
      </c>
      <c r="B179" s="880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870" t="s">
        <v>217</v>
      </c>
      <c r="B180" s="871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870" t="s">
        <v>218</v>
      </c>
      <c r="B181" s="871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870" t="s">
        <v>219</v>
      </c>
      <c r="B182" s="871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870"/>
      <c r="B183" s="871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2022-05-15T06:01:40Z</cp:lastPrinted>
  <dcterms:created xsi:type="dcterms:W3CDTF">2013-11-14T06:06:34Z</dcterms:created>
  <dcterms:modified xsi:type="dcterms:W3CDTF">2022-05-16T05:42:53Z</dcterms:modified>
</cp:coreProperties>
</file>