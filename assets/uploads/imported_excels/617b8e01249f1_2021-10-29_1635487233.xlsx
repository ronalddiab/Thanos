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290" documentId="13_ncr:1_{76C55D63-F869-4AF5-AAA3-3D809A91432B}" xr6:coauthVersionLast="47" xr6:coauthVersionMax="47" xr10:uidLastSave="{DAC3B89C-54D1-4E0A-AF17-50543EF0FBEB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27" l="1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K32" i="26"/>
  <c r="I32" i="26"/>
  <c r="G32" i="26"/>
  <c r="K37" i="27"/>
  <c r="L37" i="27"/>
  <c r="F37" i="27"/>
  <c r="G37" i="27"/>
  <c r="H37" i="27"/>
  <c r="I37" i="27"/>
  <c r="C37" i="27"/>
  <c r="D37" i="27"/>
  <c r="M32" i="26"/>
  <c r="E32" i="26"/>
  <c r="B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G26" i="26" s="1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K11" i="27"/>
  <c r="F11" i="27"/>
  <c r="C11" i="27"/>
  <c r="K10" i="27"/>
  <c r="F10" i="27"/>
  <c r="C10" i="27"/>
  <c r="K9" i="27"/>
  <c r="F9" i="27"/>
  <c r="C9" i="27"/>
  <c r="F8" i="27"/>
  <c r="C8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<sst xmlns="http://schemas.openxmlformats.org/spreadsheetml/2006/main" count="72" uniqueCount="33">
  <si>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</si>
  <si>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</si>
  <si>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</si>
  <si>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</si>
  <si>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</si>
  <si>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</si>
  <si>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</si>
  <si>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</si>
  <si>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</si>
  <si>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</si>
  <si>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</si>
  <si>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</si>
  <si>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</si>
  <si>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</si>
  <si>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</si>
  <si>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October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</si>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</sst>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3" fillId="0" borderId="49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6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4" borderId="60" xfId="6" applyNumberFormat="1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62" xfId="6" applyNumberFormat="1" applyFont="1" applyBorder="1" applyAlignment="1">
      <alignment horizontal="center" vertical="center"/>
    </xf>
    <xf numFmtId="0" fontId="10" fillId="2" borderId="60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" xfId="6" applyNumberFormat="1" applyFont="1" applyBorder="1" applyAlignment="1">
      <alignment horizontal="center" vertical="center"/>
    </xf>
    <xf numFmtId="0" fontId="10" fillId="2" borderId="14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2" fontId="10" fillId="0" borderId="59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opLeftCell="A25" workbookViewId="0">
      <selection activeCell="E40" sqref="E4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10</v>
      </c>
      <c r="D2" s="10">
        <v>2021</v>
      </c>
      <c r="E2" s="11">
        <f>IF(Electricity!F8&lt;0,0,Electricity!F8)</f>
        <v>19702.499999993961</v>
      </c>
      <c r="F2" s="14">
        <v>0.08</v>
      </c>
      <c r="G2" s="11">
        <f>IF('Water, Gas, Diesel'!K7&lt;0,0,'Water, Gas, Diesel'!K7)</f>
        <v>0</v>
      </c>
      <c r="H2" s="97">
        <v>0.58489999999999998</v>
      </c>
      <c r="I2" s="11">
        <f>IF('Water, Gas, Diesel'!C7&lt;0,0,'Water, Gas, Diesel'!C7)</f>
        <v>2000</v>
      </c>
      <c r="J2" s="97">
        <v>0.1694</v>
      </c>
      <c r="K2" s="11">
        <f>IF('Water, Gas, Diesel'!F7&lt;0,0,'Water, Gas, Diesel'!F7)</f>
        <v>64</v>
      </c>
      <c r="L2" s="97">
        <v>1.6949000000000001</v>
      </c>
      <c r="M2" s="11">
        <f>Electricity!H8</f>
        <v>32</v>
      </c>
    </row>
    <row r="3" spans="1:13">
      <c r="A3" s="8" t="s">
        <v>13</v>
      </c>
      <c r="B3" s="9">
        <f>B2+1</f>
        <v>2</v>
      </c>
      <c r="C3" s="9">
        <v>10</v>
      </c>
      <c r="D3" s="10">
        <v>2021</v>
      </c>
      <c r="E3" s="11">
        <f>IF(Electricity!F9&lt;0,0,Electricity!F9)</f>
        <v>18930.000000004839</v>
      </c>
      <c r="F3" s="14">
        <v>0.08</v>
      </c>
      <c r="G3" s="11">
        <f>IF('Water, Gas, Diesel'!K8&lt;0,0,'Water, Gas, Diesel'!K8)</f>
        <v>0</v>
      </c>
      <c r="H3" s="97">
        <v>0.58489999999999998</v>
      </c>
      <c r="I3" s="11">
        <f>IF('Water, Gas, Diesel'!C8&lt;0,0,'Water, Gas, Diesel'!C8)</f>
        <v>2387</v>
      </c>
      <c r="J3" s="97">
        <v>0.1694</v>
      </c>
      <c r="K3" s="11">
        <f>IF('Water, Gas, Diesel'!F8&lt;0,0,'Water, Gas, Diesel'!F8)</f>
        <v>62</v>
      </c>
      <c r="L3" s="97">
        <v>1.6949000000000001</v>
      </c>
      <c r="M3" s="11">
        <f>Electricity!H9</f>
        <v>31</v>
      </c>
    </row>
    <row r="4" spans="1:13">
      <c r="A4" s="8" t="s">
        <v>13</v>
      </c>
      <c r="B4" s="9">
        <f t="shared" ref="B4:B32" si="0">B3+1</f>
        <v>3</v>
      </c>
      <c r="C4" s="9">
        <v>10</v>
      </c>
      <c r="D4" s="10">
        <v>2021</v>
      </c>
      <c r="E4" s="11">
        <f>IF(Electricity!F10&lt;0,0,Electricity!F10)</f>
        <v>19827.500000001237</v>
      </c>
      <c r="F4" s="14">
        <v>0.08</v>
      </c>
      <c r="G4" s="11">
        <f>IF('Water, Gas, Diesel'!K9&lt;0,0,'Water, Gas, Diesel'!K9)</f>
        <v>0</v>
      </c>
      <c r="H4" s="97">
        <v>0.58489999999999998</v>
      </c>
      <c r="I4" s="11">
        <f>IF('Water, Gas, Diesel'!C9&lt;0,0,'Water, Gas, Diesel'!C9)</f>
        <v>2300</v>
      </c>
      <c r="J4" s="97">
        <v>0.1694</v>
      </c>
      <c r="K4" s="11">
        <f>IF('Water, Gas, Diesel'!F9&lt;0,0,'Water, Gas, Diesel'!F9)</f>
        <v>193</v>
      </c>
      <c r="L4" s="97">
        <v>1.6949000000000001</v>
      </c>
      <c r="M4" s="11">
        <f>Electricity!H10</f>
        <v>41</v>
      </c>
    </row>
    <row r="5" spans="1:13">
      <c r="A5" s="8" t="s">
        <v>13</v>
      </c>
      <c r="B5" s="9">
        <f t="shared" si="0"/>
        <v>4</v>
      </c>
      <c r="C5" s="9">
        <v>10</v>
      </c>
      <c r="D5" s="10">
        <v>2021</v>
      </c>
      <c r="E5" s="11">
        <f>IF(Electricity!F11&lt;0,0,Electricity!F11)</f>
        <v>19257.499999998799</v>
      </c>
      <c r="F5" s="14">
        <v>0.08</v>
      </c>
      <c r="G5" s="11">
        <f>IF('Water, Gas, Diesel'!K10&lt;0,0,'Water, Gas, Diesel'!K10)</f>
        <v>0</v>
      </c>
      <c r="H5" s="97">
        <v>0.58489999999999998</v>
      </c>
      <c r="I5" s="11">
        <f>IF('Water, Gas, Diesel'!C10&lt;0,0,'Water, Gas, Diesel'!C10)</f>
        <v>2306</v>
      </c>
      <c r="J5" s="97">
        <v>0.1694</v>
      </c>
      <c r="K5" s="11">
        <f>IF('Water, Gas, Diesel'!F10&lt;0,0,'Water, Gas, Diesel'!F10)</f>
        <v>225</v>
      </c>
      <c r="L5" s="97">
        <v>1.6949000000000001</v>
      </c>
      <c r="M5" s="11">
        <f>Electricity!H11</f>
        <v>54</v>
      </c>
    </row>
    <row r="6" spans="1:13">
      <c r="A6" s="8" t="s">
        <v>13</v>
      </c>
      <c r="B6" s="9">
        <f t="shared" si="0"/>
        <v>5</v>
      </c>
      <c r="C6" s="9">
        <v>10</v>
      </c>
      <c r="D6" s="10">
        <v>2021</v>
      </c>
      <c r="E6" s="11">
        <f>IF(Electricity!F12&lt;0,0,Electricity!F12)</f>
        <v>17894.999999998618</v>
      </c>
      <c r="F6" s="14">
        <v>0.08</v>
      </c>
      <c r="G6" s="11">
        <f>IF('Water, Gas, Diesel'!K11&lt;0,0,'Water, Gas, Diesel'!K11)</f>
        <v>0</v>
      </c>
      <c r="H6" s="97">
        <v>0.58489999999999998</v>
      </c>
      <c r="I6" s="11">
        <f>IF('Water, Gas, Diesel'!C11&lt;0,0,'Water, Gas, Diesel'!C11)</f>
        <v>2286</v>
      </c>
      <c r="J6" s="97">
        <v>0.1694</v>
      </c>
      <c r="K6" s="11">
        <f>IF('Water, Gas, Diesel'!F11&lt;0,0,'Water, Gas, Diesel'!F11)</f>
        <v>257</v>
      </c>
      <c r="L6" s="97">
        <v>1.6949000000000001</v>
      </c>
      <c r="M6" s="11">
        <f>Electricity!H12</f>
        <v>58</v>
      </c>
    </row>
    <row r="7" spans="1:13">
      <c r="A7" s="8" t="s">
        <v>13</v>
      </c>
      <c r="B7" s="9">
        <f t="shared" si="0"/>
        <v>6</v>
      </c>
      <c r="C7" s="9">
        <v>10</v>
      </c>
      <c r="D7" s="10">
        <v>2021</v>
      </c>
      <c r="E7" s="11">
        <f>IF(Electricity!F13&lt;0,0,Electricity!F13)</f>
        <v>22892.500000002656</v>
      </c>
      <c r="F7" s="14">
        <v>0.08</v>
      </c>
      <c r="G7" s="11">
        <f>IF('Water, Gas, Diesel'!K12&lt;0,0,'Water, Gas, Diesel'!K12)</f>
        <v>0</v>
      </c>
      <c r="H7" s="97">
        <v>0.58489999999999998</v>
      </c>
      <c r="I7" s="11">
        <f>IF('Water, Gas, Diesel'!C12&lt;0,0,'Water, Gas, Diesel'!C12)</f>
        <v>2701</v>
      </c>
      <c r="J7" s="97">
        <v>0.1694</v>
      </c>
      <c r="K7" s="11">
        <f>IF('Water, Gas, Diesel'!F12&lt;0,0,'Water, Gas, Diesel'!F12)</f>
        <v>203</v>
      </c>
      <c r="L7" s="97">
        <v>1.6949000000000001</v>
      </c>
      <c r="M7" s="11">
        <f>Electricity!H13</f>
        <v>105</v>
      </c>
    </row>
    <row r="8" spans="1:13">
      <c r="A8" s="8" t="s">
        <v>13</v>
      </c>
      <c r="B8" s="9">
        <f t="shared" si="0"/>
        <v>7</v>
      </c>
      <c r="C8" s="9">
        <v>10</v>
      </c>
      <c r="D8" s="10">
        <v>2021</v>
      </c>
      <c r="E8" s="11">
        <f>IF(Electricity!F14&lt;0,0,Electricity!F14)</f>
        <v>21797.499999997854</v>
      </c>
      <c r="F8" s="14">
        <v>0.08</v>
      </c>
      <c r="G8" s="11">
        <f>IF('Water, Gas, Diesel'!K13&lt;0,0,'Water, Gas, Diesel'!K13)</f>
        <v>0</v>
      </c>
      <c r="H8" s="97">
        <v>0.58489999999999998</v>
      </c>
      <c r="I8" s="11">
        <f>IF('Water, Gas, Diesel'!C13&lt;0,0,'Water, Gas, Diesel'!C13)</f>
        <v>2727</v>
      </c>
      <c r="J8" s="97">
        <v>0.1694</v>
      </c>
      <c r="K8" s="11">
        <f>IF('Water, Gas, Diesel'!F13&lt;0,0,'Water, Gas, Diesel'!F13)</f>
        <v>267</v>
      </c>
      <c r="L8" s="97">
        <v>1.6949000000000001</v>
      </c>
      <c r="M8" s="11">
        <f>Electricity!H14</f>
        <v>131</v>
      </c>
    </row>
    <row r="9" spans="1:13">
      <c r="A9" s="8" t="s">
        <v>13</v>
      </c>
      <c r="B9" s="9">
        <f t="shared" si="0"/>
        <v>8</v>
      </c>
      <c r="C9" s="9">
        <v>10</v>
      </c>
      <c r="D9" s="10">
        <v>2021</v>
      </c>
      <c r="E9" s="11">
        <f>IF(Electricity!F15&lt;0,0,Electricity!F15)</f>
        <v>20699.99999999709</v>
      </c>
      <c r="F9" s="14">
        <v>0.08</v>
      </c>
      <c r="G9" s="11">
        <f>IF('Water, Gas, Diesel'!K14&lt;0,0,'Water, Gas, Diesel'!K14)</f>
        <v>0</v>
      </c>
      <c r="H9" s="97">
        <v>0.58489999999999998</v>
      </c>
      <c r="I9" s="11">
        <f>IF('Water, Gas, Diesel'!C14&lt;0,0,'Water, Gas, Diesel'!C14)</f>
        <v>3000</v>
      </c>
      <c r="J9" s="97">
        <v>0.1694</v>
      </c>
      <c r="K9" s="11">
        <f>IF('Water, Gas, Diesel'!F14&lt;0,0,'Water, Gas, Diesel'!F14)</f>
        <v>232</v>
      </c>
      <c r="L9" s="97">
        <v>1.6949000000000001</v>
      </c>
      <c r="M9" s="11">
        <f>Electricity!H15</f>
        <v>129</v>
      </c>
    </row>
    <row r="10" spans="1:13">
      <c r="A10" s="8" t="s">
        <v>13</v>
      </c>
      <c r="B10" s="9">
        <f t="shared" si="0"/>
        <v>9</v>
      </c>
      <c r="C10" s="9">
        <v>10</v>
      </c>
      <c r="D10" s="10">
        <v>2021</v>
      </c>
      <c r="E10" s="11">
        <f>IF(Electricity!F16&lt;0,0,Electricity!F16)</f>
        <v>22190.000000000509</v>
      </c>
      <c r="F10" s="14">
        <v>0.08</v>
      </c>
      <c r="G10" s="11">
        <f>IF('Water, Gas, Diesel'!K15&lt;0,0,'Water, Gas, Diesel'!K15)</f>
        <v>0</v>
      </c>
      <c r="H10" s="97">
        <v>0.58489999999999998</v>
      </c>
      <c r="I10" s="11">
        <f>IF('Water, Gas, Diesel'!C15&lt;0,0,'Water, Gas, Diesel'!C15)</f>
        <v>2727</v>
      </c>
      <c r="J10" s="97">
        <v>0.1694</v>
      </c>
      <c r="K10" s="11">
        <f>IF('Water, Gas, Diesel'!F15&lt;0,0,'Water, Gas, Diesel'!F15)</f>
        <v>232</v>
      </c>
      <c r="L10" s="97">
        <v>1.6949000000000001</v>
      </c>
      <c r="M10" s="11">
        <f>Electricity!H16</f>
        <v>115</v>
      </c>
    </row>
    <row r="11" spans="1:13">
      <c r="A11" s="8" t="s">
        <v>13</v>
      </c>
      <c r="B11" s="9">
        <f t="shared" si="0"/>
        <v>10</v>
      </c>
      <c r="C11" s="9">
        <v>10</v>
      </c>
      <c r="D11" s="10">
        <v>2021</v>
      </c>
      <c r="E11" s="11">
        <f>IF(Electricity!F17&lt;0,0,Electricity!F17)</f>
        <v>19672.500000001492</v>
      </c>
      <c r="F11" s="14">
        <v>0.08</v>
      </c>
      <c r="G11" s="11">
        <f>IF('Water, Gas, Diesel'!K16&lt;0,0,'Water, Gas, Diesel'!K16)</f>
        <v>0</v>
      </c>
      <c r="H11" s="97">
        <v>0.58489999999999998</v>
      </c>
      <c r="I11" s="11">
        <f>IF('Water, Gas, Diesel'!C16&lt;0,0,'Water, Gas, Diesel'!C16)</f>
        <v>2041</v>
      </c>
      <c r="J11" s="97">
        <v>0.1694</v>
      </c>
      <c r="K11" s="11">
        <f>IF('Water, Gas, Diesel'!F16&lt;0,0,'Water, Gas, Diesel'!F16)</f>
        <v>221</v>
      </c>
      <c r="L11" s="97">
        <v>1.6949000000000001</v>
      </c>
      <c r="M11" s="11">
        <f>Electricity!H17</f>
        <v>116</v>
      </c>
    </row>
    <row r="12" spans="1:13">
      <c r="A12" s="8" t="s">
        <v>13</v>
      </c>
      <c r="B12" s="9">
        <f t="shared" si="0"/>
        <v>11</v>
      </c>
      <c r="C12" s="9">
        <v>10</v>
      </c>
      <c r="D12" s="10">
        <v>2021</v>
      </c>
      <c r="E12" s="11">
        <f>IF(Electricity!F18&lt;0,0,Electricity!F18)</f>
        <v>18942.500000002838</v>
      </c>
      <c r="F12" s="14">
        <v>0.08</v>
      </c>
      <c r="G12" s="11">
        <f>IF('Water, Gas, Diesel'!K17&lt;0,0,'Water, Gas, Diesel'!K17)</f>
        <v>0</v>
      </c>
      <c r="H12" s="97">
        <v>0.58489999999999998</v>
      </c>
      <c r="I12" s="11">
        <f>IF('Water, Gas, Diesel'!C17&lt;0,0,'Water, Gas, Diesel'!C17)</f>
        <v>1878</v>
      </c>
      <c r="J12" s="97">
        <v>0.1694</v>
      </c>
      <c r="K12" s="11">
        <f>IF('Water, Gas, Diesel'!F17&lt;0,0,'Water, Gas, Diesel'!F17)</f>
        <v>210</v>
      </c>
      <c r="L12" s="97">
        <v>1.6949000000000001</v>
      </c>
      <c r="M12" s="11">
        <f>Electricity!H18</f>
        <v>89</v>
      </c>
    </row>
    <row r="13" spans="1:13">
      <c r="A13" s="8" t="s">
        <v>13</v>
      </c>
      <c r="B13" s="9">
        <f t="shared" si="0"/>
        <v>12</v>
      </c>
      <c r="C13" s="9">
        <v>10</v>
      </c>
      <c r="D13" s="10">
        <v>2021</v>
      </c>
      <c r="E13" s="11">
        <f>IF(Electricity!F19&lt;0,0,Electricity!F19)</f>
        <v>23674.999999998363</v>
      </c>
      <c r="F13" s="14">
        <v>0.08</v>
      </c>
      <c r="G13" s="11">
        <f>IF('Water, Gas, Diesel'!K18&lt;0,0,'Water, Gas, Diesel'!K18)</f>
        <v>0</v>
      </c>
      <c r="H13" s="97">
        <v>0.58489999999999998</v>
      </c>
      <c r="I13" s="11">
        <f>IF('Water, Gas, Diesel'!C18&lt;0,0,'Water, Gas, Diesel'!C18)</f>
        <v>2310</v>
      </c>
      <c r="J13" s="97">
        <v>0.1694</v>
      </c>
      <c r="K13" s="11">
        <f>IF('Water, Gas, Diesel'!F18&lt;0,0,'Water, Gas, Diesel'!F18)</f>
        <v>247</v>
      </c>
      <c r="L13" s="97">
        <v>1.6949000000000001</v>
      </c>
      <c r="M13" s="11">
        <f>Electricity!H19</f>
        <v>102</v>
      </c>
    </row>
    <row r="14" spans="1:13">
      <c r="A14" s="8" t="s">
        <v>13</v>
      </c>
      <c r="B14" s="9">
        <f t="shared" si="0"/>
        <v>13</v>
      </c>
      <c r="C14" s="9">
        <v>10</v>
      </c>
      <c r="D14" s="10">
        <v>2021</v>
      </c>
      <c r="E14" s="11">
        <f>IF(Electricity!F20&lt;0,0,Electricity!F20)</f>
        <v>22807.500000003529</v>
      </c>
      <c r="F14" s="14">
        <v>0.08</v>
      </c>
      <c r="G14" s="11">
        <f>IF('Water, Gas, Diesel'!K19&lt;0,0,'Water, Gas, Diesel'!K19)</f>
        <v>0</v>
      </c>
      <c r="H14" s="97">
        <v>0.58489999999999998</v>
      </c>
      <c r="I14" s="11">
        <f>IF('Water, Gas, Diesel'!C19&lt;0,0,'Water, Gas, Diesel'!C19)</f>
        <v>3108</v>
      </c>
      <c r="J14" s="97">
        <v>0.1694</v>
      </c>
      <c r="K14" s="11">
        <f>IF('Water, Gas, Diesel'!F19&lt;0,0,'Water, Gas, Diesel'!F19)</f>
        <v>51</v>
      </c>
      <c r="L14" s="97">
        <v>1.6949000000000001</v>
      </c>
      <c r="M14" s="11">
        <f>Electricity!H20</f>
        <v>45</v>
      </c>
    </row>
    <row r="15" spans="1:13">
      <c r="A15" s="8" t="s">
        <v>13</v>
      </c>
      <c r="B15" s="9">
        <f t="shared" si="0"/>
        <v>14</v>
      </c>
      <c r="C15" s="9">
        <v>10</v>
      </c>
      <c r="D15" s="10">
        <v>2021</v>
      </c>
      <c r="E15" s="11">
        <f>IF(Electricity!F21&lt;0,0,Electricity!F21)</f>
        <v>28514.999999993051</v>
      </c>
      <c r="F15" s="14">
        <v>0.08</v>
      </c>
      <c r="G15" s="11">
        <f>IF('Water, Gas, Diesel'!K20&lt;0,0,'Water, Gas, Diesel'!K20)</f>
        <v>0</v>
      </c>
      <c r="H15" s="97">
        <v>0.58489999999999998</v>
      </c>
      <c r="I15" s="11">
        <f>IF('Water, Gas, Diesel'!C20&lt;0,0,'Water, Gas, Diesel'!C20)</f>
        <v>2060</v>
      </c>
      <c r="J15" s="97">
        <v>0.1694</v>
      </c>
      <c r="K15" s="11">
        <f>IF('Water, Gas, Diesel'!F20&lt;0,0,'Water, Gas, Diesel'!F20)</f>
        <v>21</v>
      </c>
      <c r="L15" s="97">
        <v>1.6949000000000001</v>
      </c>
      <c r="M15" s="11">
        <f>Electricity!H21</f>
        <v>33</v>
      </c>
    </row>
    <row r="16" spans="1:13">
      <c r="A16" s="8" t="s">
        <v>13</v>
      </c>
      <c r="B16" s="9">
        <f t="shared" si="0"/>
        <v>15</v>
      </c>
      <c r="C16" s="9">
        <v>10</v>
      </c>
      <c r="D16" s="10">
        <v>2021</v>
      </c>
      <c r="E16" s="11">
        <f>IF(Electricity!F22&lt;0,0,Electricity!F22)</f>
        <v>15427.500000000691</v>
      </c>
      <c r="F16" s="14">
        <v>0.08</v>
      </c>
      <c r="G16" s="11">
        <f>IF('Water, Gas, Diesel'!K21&lt;0,0,'Water, Gas, Diesel'!K21)</f>
        <v>0</v>
      </c>
      <c r="H16" s="97">
        <v>0.58489999999999998</v>
      </c>
      <c r="I16" s="11">
        <f>IF('Water, Gas, Diesel'!C21&lt;0,0,'Water, Gas, Diesel'!C21)</f>
        <v>2018</v>
      </c>
      <c r="J16" s="97">
        <v>0.1694</v>
      </c>
      <c r="K16" s="11">
        <f>IF('Water, Gas, Diesel'!F21&lt;0,0,'Water, Gas, Diesel'!F21)</f>
        <v>21</v>
      </c>
      <c r="L16" s="97">
        <v>1.6949000000000001</v>
      </c>
      <c r="M16" s="11">
        <f>Electricity!H22</f>
        <v>40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2021</v>
      </c>
      <c r="E17" s="11">
        <f>IF(Electricity!F23&lt;0,0,Electricity!F23)</f>
        <v>23822.500000001128</v>
      </c>
      <c r="F17" s="14">
        <v>0.08</v>
      </c>
      <c r="G17" s="11">
        <f>IF('Water, Gas, Diesel'!K22&lt;0,0,'Water, Gas, Diesel'!K22)</f>
        <v>0</v>
      </c>
      <c r="H17" s="97">
        <v>0.58489999999999998</v>
      </c>
      <c r="I17" s="11">
        <f>IF('Water, Gas, Diesel'!C22&lt;0,0,'Water, Gas, Diesel'!C22)</f>
        <v>2945</v>
      </c>
      <c r="J17" s="97">
        <v>0.1694</v>
      </c>
      <c r="K17" s="11">
        <f>IF('Water, Gas, Diesel'!F22&lt;0,0,'Water, Gas, Diesel'!F22)</f>
        <v>78</v>
      </c>
      <c r="L17" s="97">
        <v>1.6949000000000001</v>
      </c>
      <c r="M17" s="11">
        <f>Electricity!H23</f>
        <v>62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2021</v>
      </c>
      <c r="E18" s="11">
        <f>IF(Electricity!F24&lt;0,0,Electricity!F24)</f>
        <v>18817.500000000109</v>
      </c>
      <c r="F18" s="14">
        <v>0.08</v>
      </c>
      <c r="G18" s="11">
        <f>IF('Water, Gas, Diesel'!K23&lt;0,0,'Water, Gas, Diesel'!K23)</f>
        <v>0</v>
      </c>
      <c r="H18" s="97">
        <v>0.58489999999999998</v>
      </c>
      <c r="I18" s="11">
        <f>IF('Water, Gas, Diesel'!C23&lt;0,0,'Water, Gas, Diesel'!C23)</f>
        <v>1858</v>
      </c>
      <c r="J18" s="97">
        <v>0.1694</v>
      </c>
      <c r="K18" s="11">
        <f>IF('Water, Gas, Diesel'!F23&lt;0,0,'Water, Gas, Diesel'!F23)</f>
        <v>226</v>
      </c>
      <c r="L18" s="97">
        <v>1.6949000000000001</v>
      </c>
      <c r="M18" s="11">
        <f>Electricity!H24</f>
        <v>91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2021</v>
      </c>
      <c r="E19" s="11">
        <f>IF(Electricity!F25&lt;0,0,Electricity!F25)</f>
        <v>33377.500000001419</v>
      </c>
      <c r="F19" s="14">
        <v>0.08</v>
      </c>
      <c r="G19" s="11">
        <f>IF('Water, Gas, Diesel'!K24&lt;0,0,'Water, Gas, Diesel'!K24)</f>
        <v>0</v>
      </c>
      <c r="H19" s="97">
        <v>0.58489999999999998</v>
      </c>
      <c r="I19" s="11">
        <f>IF('Water, Gas, Diesel'!C24&lt;0,0,'Water, Gas, Diesel'!C24)</f>
        <v>2373</v>
      </c>
      <c r="J19" s="97">
        <v>0.1694</v>
      </c>
      <c r="K19" s="11">
        <f>IF('Water, Gas, Diesel'!F24&lt;0,0,'Water, Gas, Diesel'!F24)</f>
        <v>314</v>
      </c>
      <c r="L19" s="97">
        <v>1.6949000000000001</v>
      </c>
      <c r="M19" s="11">
        <f>Electricity!H25</f>
        <v>108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2021</v>
      </c>
      <c r="E20" s="11">
        <f>IF(Electricity!F26&lt;0,0,Electricity!F26)</f>
        <v>11112.499999999272</v>
      </c>
      <c r="F20" s="14">
        <v>0.08</v>
      </c>
      <c r="G20" s="11">
        <f>IF('Water, Gas, Diesel'!K25&lt;0,0,'Water, Gas, Diesel'!K25)</f>
        <v>120</v>
      </c>
      <c r="H20" s="97">
        <v>0.58489999999999998</v>
      </c>
      <c r="I20" s="11">
        <f>IF('Water, Gas, Diesel'!C25&lt;0,0,'Water, Gas, Diesel'!C25)</f>
        <v>2447</v>
      </c>
      <c r="J20" s="97">
        <v>0.1694</v>
      </c>
      <c r="K20" s="11">
        <f>IF('Water, Gas, Diesel'!F25&lt;0,0,'Water, Gas, Diesel'!F25)</f>
        <v>310</v>
      </c>
      <c r="L20" s="97">
        <v>1.6949000000000001</v>
      </c>
      <c r="M20" s="11">
        <f>Electricity!H26</f>
        <v>111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2021</v>
      </c>
      <c r="E21" s="11">
        <f>IF(Electricity!F27&lt;0,0,Electricity!F27)</f>
        <v>18452.500000003056</v>
      </c>
      <c r="F21" s="14">
        <v>0.08</v>
      </c>
      <c r="G21" s="11">
        <f>IF('Water, Gas, Diesel'!K26&lt;0,0,'Water, Gas, Diesel'!K26)</f>
        <v>0</v>
      </c>
      <c r="H21" s="97">
        <v>0.58489999999999998</v>
      </c>
      <c r="I21" s="11">
        <f>IF('Water, Gas, Diesel'!C26&lt;0,0,'Water, Gas, Diesel'!C26)</f>
        <v>2408</v>
      </c>
      <c r="J21" s="97">
        <v>0.1694</v>
      </c>
      <c r="K21" s="11">
        <f>IF('Water, Gas, Diesel'!F26&lt;0,0,'Water, Gas, Diesel'!F26)</f>
        <v>249</v>
      </c>
      <c r="L21" s="97">
        <v>1.6949000000000001</v>
      </c>
      <c r="M21" s="11">
        <f>Electricity!H27</f>
        <v>108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2021</v>
      </c>
      <c r="E22" s="11">
        <f>IF(Electricity!F28&lt;0,0,Electricity!F28)</f>
        <v>19357.499999996435</v>
      </c>
      <c r="F22" s="14">
        <v>0.08</v>
      </c>
      <c r="G22" s="11">
        <f>IF('Water, Gas, Diesel'!K27&lt;0,0,'Water, Gas, Diesel'!K27)</f>
        <v>0</v>
      </c>
      <c r="H22" s="97">
        <v>0.58489999999999998</v>
      </c>
      <c r="I22" s="11">
        <f>IF('Water, Gas, Diesel'!C27&lt;0,0,'Water, Gas, Diesel'!C27)</f>
        <v>2333</v>
      </c>
      <c r="J22" s="97">
        <v>0.1694</v>
      </c>
      <c r="K22" s="11">
        <f>IF('Water, Gas, Diesel'!F27&lt;0,0,'Water, Gas, Diesel'!F27)</f>
        <v>269</v>
      </c>
      <c r="L22" s="97">
        <v>1.6949000000000001</v>
      </c>
      <c r="M22" s="11">
        <f>Electricity!H28</f>
        <v>106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2021</v>
      </c>
      <c r="E23" s="11">
        <f>IF(Electricity!F29&lt;0,0,Electricity!F29)</f>
        <v>19027.500000001965</v>
      </c>
      <c r="F23" s="14">
        <v>0.08</v>
      </c>
      <c r="G23" s="11">
        <f>IF('Water, Gas, Diesel'!K28&lt;0,0,'Water, Gas, Diesel'!K28)</f>
        <v>0</v>
      </c>
      <c r="H23" s="97">
        <v>0.58489999999999998</v>
      </c>
      <c r="I23" s="11">
        <f>IF('Water, Gas, Diesel'!C28&lt;0,0,'Water, Gas, Diesel'!C28)</f>
        <v>2413</v>
      </c>
      <c r="J23" s="97">
        <v>0.1694</v>
      </c>
      <c r="K23" s="11">
        <f>IF('Water, Gas, Diesel'!F28&lt;0,0,'Water, Gas, Diesel'!F28)</f>
        <v>263</v>
      </c>
      <c r="L23" s="97">
        <v>1.6949000000000001</v>
      </c>
      <c r="M23" s="11">
        <f>Electricity!H29</f>
        <v>77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2021</v>
      </c>
      <c r="E24" s="11">
        <f>IF(Electricity!F30&lt;0,0,Electricity!F30)</f>
        <v>17119.999999995343</v>
      </c>
      <c r="F24" s="14">
        <v>0.08</v>
      </c>
      <c r="G24" s="11">
        <f>IF('Water, Gas, Diesel'!K29&lt;0,0,'Water, Gas, Diesel'!K29)</f>
        <v>0</v>
      </c>
      <c r="H24" s="97">
        <v>0.58489999999999998</v>
      </c>
      <c r="I24" s="11">
        <f>IF('Water, Gas, Diesel'!C29&lt;0,0,'Water, Gas, Diesel'!C29)</f>
        <v>2115</v>
      </c>
      <c r="J24" s="97">
        <v>0.1694</v>
      </c>
      <c r="K24" s="11">
        <f>IF('Water, Gas, Diesel'!F29&lt;0,0,'Water, Gas, Diesel'!F29)</f>
        <v>254</v>
      </c>
      <c r="L24" s="97">
        <v>1.6949000000000001</v>
      </c>
      <c r="M24" s="11">
        <f>Electricity!H30</f>
        <v>118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2021</v>
      </c>
      <c r="E25" s="11">
        <f>IF(Electricity!F31&lt;0,0,Electricity!F31)</f>
        <v>16462.500000002365</v>
      </c>
      <c r="F25" s="14">
        <v>0.08</v>
      </c>
      <c r="G25" s="11">
        <f>IF('Water, Gas, Diesel'!K30&lt;0,0,'Water, Gas, Diesel'!K30)</f>
        <v>0</v>
      </c>
      <c r="H25" s="97">
        <v>0.58489999999999998</v>
      </c>
      <c r="I25" s="11">
        <f>IF('Water, Gas, Diesel'!C30&lt;0,0,'Water, Gas, Diesel'!C30)</f>
        <v>2300</v>
      </c>
      <c r="J25" s="97">
        <v>0.1694</v>
      </c>
      <c r="K25" s="11">
        <f>IF('Water, Gas, Diesel'!F30&lt;0,0,'Water, Gas, Diesel'!F30)</f>
        <v>205</v>
      </c>
      <c r="L25" s="97">
        <v>1.6949000000000001</v>
      </c>
      <c r="M25" s="11">
        <f>Electricity!H31</f>
        <v>49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2021</v>
      </c>
      <c r="E26" s="11">
        <f>IF(Electricity!F32&lt;0,0,Electricity!F32)</f>
        <v>18659.999999999854</v>
      </c>
      <c r="F26" s="14">
        <v>0.08</v>
      </c>
      <c r="G26" s="11">
        <f>IF('Water, Gas, Diesel'!K31&lt;0,0,'Water, Gas, Diesel'!K31)</f>
        <v>120</v>
      </c>
      <c r="H26" s="97">
        <v>0.58489999999999998</v>
      </c>
      <c r="I26" s="11">
        <f>IF('Water, Gas, Diesel'!C31&lt;0,0,'Water, Gas, Diesel'!C31)</f>
        <v>2527</v>
      </c>
      <c r="J26" s="97">
        <v>0.1694</v>
      </c>
      <c r="K26" s="11">
        <f>IF('Water, Gas, Diesel'!F31&lt;0,0,'Water, Gas, Diesel'!F31)</f>
        <v>212</v>
      </c>
      <c r="L26" s="97">
        <v>1.6949000000000001</v>
      </c>
      <c r="M26" s="11">
        <f>Electricity!H32</f>
        <v>77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2021</v>
      </c>
      <c r="E27" s="11">
        <f>IF(Electricity!F33&lt;0,0,Electricity!F33)</f>
        <v>18992.499999999382</v>
      </c>
      <c r="F27" s="14">
        <v>0.08</v>
      </c>
      <c r="G27" s="11">
        <f>IF('Water, Gas, Diesel'!K32&lt;0,0,'Water, Gas, Diesel'!K32)</f>
        <v>0</v>
      </c>
      <c r="H27" s="97">
        <v>0.58489999999999998</v>
      </c>
      <c r="I27" s="11">
        <f>IF('Water, Gas, Diesel'!C32&lt;0,0,'Water, Gas, Diesel'!C32)</f>
        <v>2957</v>
      </c>
      <c r="J27" s="97">
        <v>0.1694</v>
      </c>
      <c r="K27" s="11">
        <f>IF('Water, Gas, Diesel'!F32&lt;0,0,'Water, Gas, Diesel'!F32)</f>
        <v>206</v>
      </c>
      <c r="L27" s="97">
        <v>1.6949000000000001</v>
      </c>
      <c r="M27" s="11">
        <f>Electricity!H33</f>
        <v>100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2021</v>
      </c>
      <c r="E28" s="11">
        <f>IF(Electricity!F34&lt;0,0,Electricity!F34)</f>
        <v>17132.500000002437</v>
      </c>
      <c r="F28" s="14">
        <v>0.08</v>
      </c>
      <c r="G28" s="11">
        <f>IF('Water, Gas, Diesel'!K33&lt;0,0,'Water, Gas, Diesel'!K33)</f>
        <v>13400</v>
      </c>
      <c r="H28" s="97">
        <v>0.58489999999999998</v>
      </c>
      <c r="I28" s="11">
        <f>IF('Water, Gas, Diesel'!C33&lt;0,0,'Water, Gas, Diesel'!C33)</f>
        <v>2514</v>
      </c>
      <c r="J28" s="97">
        <v>0.1694</v>
      </c>
      <c r="K28" s="11">
        <f>IF('Water, Gas, Diesel'!F33&lt;0,0,'Water, Gas, Diesel'!F33)</f>
        <v>0</v>
      </c>
      <c r="L28" s="97">
        <v>1.6949000000000001</v>
      </c>
      <c r="M28" s="11">
        <f>Electricity!H34</f>
        <v>71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7">
        <v>0.58489999999999998</v>
      </c>
      <c r="I29" s="11">
        <f>IF('Water, Gas, Diesel'!C34&lt;0,0,'Water, Gas, Diesel'!C34)</f>
        <v>0</v>
      </c>
      <c r="J29" s="97">
        <v>0.1694</v>
      </c>
      <c r="K29" s="11">
        <f>IF('Water, Gas, Diesel'!F34&lt;0,0,'Water, Gas, Diesel'!F34)</f>
        <v>0</v>
      </c>
      <c r="L29" s="97">
        <v>1.6949000000000001</v>
      </c>
      <c r="M29" s="11">
        <f>Electricity!H35</f>
        <v>65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7">
        <v>0.58489999999999998</v>
      </c>
      <c r="I30" s="11">
        <f>IF('Water, Gas, Diesel'!C35&lt;0,0,'Water, Gas, Diesel'!C35)</f>
        <v>0</v>
      </c>
      <c r="J30" s="97">
        <v>0.1694</v>
      </c>
      <c r="K30" s="11">
        <f>IF('Water, Gas, Diesel'!F35&lt;0,0,'Water, Gas, Diesel'!F35)</f>
        <v>0</v>
      </c>
      <c r="L30" s="9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7">
        <v>0.58489999999999998</v>
      </c>
      <c r="I31" s="11">
        <f>IF('Water, Gas, Diesel'!C36&lt;0,0,'Water, Gas, Diesel'!C36)</f>
        <v>0</v>
      </c>
      <c r="J31" s="97">
        <v>0.1694</v>
      </c>
      <c r="K31" s="11">
        <f>IF('Water, Gas, Diesel'!F36&lt;0,0,'Water, Gas, Diesel'!F36)</f>
        <v>0</v>
      </c>
      <c r="L31" s="97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7">
        <v>0.58489999999999998</v>
      </c>
      <c r="I32" s="11">
        <f>IF('Water, Gas, Diesel'!C37&lt;0,0,'Water, Gas, Diesel'!C37)</f>
        <v>0</v>
      </c>
      <c r="J32" s="97">
        <v>0.1694</v>
      </c>
      <c r="K32" s="11">
        <f>IF('Water, Gas, Diesel'!F37&lt;0,0,'Water, Gas, Diesel'!F37)</f>
        <v>0</v>
      </c>
      <c r="L32" s="97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31" activePane="bottomLeft" state="frozen"/>
      <selection pane="bottomLeft" activeCell="K2" sqref="K2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98" t="s">
        <v>14</v>
      </c>
      <c r="B1" s="127">
        <v>51416.46</v>
      </c>
      <c r="C1" s="128"/>
      <c r="D1" s="128"/>
      <c r="E1" s="128"/>
      <c r="F1" s="128"/>
      <c r="G1" s="128"/>
      <c r="H1" s="129"/>
    </row>
    <row r="2" spans="1:8" ht="15.75" customHeight="1">
      <c r="A2" s="132" t="s">
        <v>15</v>
      </c>
      <c r="B2" s="135" t="s">
        <v>16</v>
      </c>
      <c r="C2" s="136"/>
      <c r="D2" s="136"/>
      <c r="E2" s="137"/>
      <c r="F2" s="138" t="s">
        <v>17</v>
      </c>
      <c r="G2" s="130" t="s">
        <v>18</v>
      </c>
      <c r="H2" s="130" t="s">
        <v>19</v>
      </c>
    </row>
    <row r="3" spans="1:8">
      <c r="A3" s="133"/>
      <c r="B3" s="140" t="s">
        <v>20</v>
      </c>
      <c r="C3" s="141"/>
      <c r="D3" s="140" t="s">
        <v>21</v>
      </c>
      <c r="E3" s="141"/>
      <c r="F3" s="138"/>
      <c r="G3" s="130"/>
      <c r="H3" s="130"/>
    </row>
    <row r="4" spans="1:8">
      <c r="A4" s="133"/>
      <c r="B4" s="142"/>
      <c r="C4" s="143"/>
      <c r="D4" s="142"/>
      <c r="E4" s="143"/>
      <c r="F4" s="138"/>
      <c r="G4" s="130"/>
      <c r="H4" s="130"/>
    </row>
    <row r="5" spans="1:8" ht="15.75" thickBot="1">
      <c r="A5" s="134"/>
      <c r="B5" s="17" t="s">
        <v>22</v>
      </c>
      <c r="C5" s="74" t="s">
        <v>23</v>
      </c>
      <c r="D5" s="75" t="s">
        <v>22</v>
      </c>
      <c r="E5" s="74" t="s">
        <v>23</v>
      </c>
      <c r="F5" s="139"/>
      <c r="G5" s="131"/>
      <c r="H5" s="131"/>
    </row>
    <row r="6" spans="1:8" ht="15.75" hidden="1">
      <c r="A6" s="76"/>
      <c r="B6" s="24"/>
      <c r="C6" s="77"/>
      <c r="D6" s="78"/>
      <c r="E6" s="77"/>
      <c r="F6" s="27"/>
      <c r="G6" s="79"/>
    </row>
    <row r="7" spans="1:8" ht="27.75" hidden="1" customHeight="1">
      <c r="A7" s="80">
        <v>31</v>
      </c>
      <c r="B7" s="81">
        <v>14341.978999999999</v>
      </c>
      <c r="C7" s="82">
        <f t="shared" ref="C7:C24" si="0">(B8-B7)*2500</f>
        <v>261040.00000000268</v>
      </c>
      <c r="D7" s="81">
        <v>14505.421</v>
      </c>
      <c r="E7" s="82">
        <f t="shared" ref="E7:E24" si="1">(D8-D7)*2500</f>
        <v>351900.00000000052</v>
      </c>
      <c r="F7" s="83">
        <f t="shared" ref="F7:F38" si="2">C7+E7</f>
        <v>612940.00000000326</v>
      </c>
      <c r="G7" s="80">
        <f>F7*0.08</f>
        <v>49035.200000000259</v>
      </c>
    </row>
    <row r="8" spans="1:8" ht="30.95" customHeight="1">
      <c r="A8" s="42">
        <v>1</v>
      </c>
      <c r="B8" s="106">
        <v>14446.395</v>
      </c>
      <c r="C8" s="84">
        <f t="shared" si="0"/>
        <v>8334.9999999973079</v>
      </c>
      <c r="D8" s="85">
        <v>14646.181</v>
      </c>
      <c r="E8" s="84">
        <f t="shared" si="1"/>
        <v>11367.499999996653</v>
      </c>
      <c r="F8" s="53">
        <f t="shared" si="2"/>
        <v>19702.499999993961</v>
      </c>
      <c r="G8" s="80">
        <f>F8*0.08</f>
        <v>1576.1999999995169</v>
      </c>
      <c r="H8" s="80">
        <v>32</v>
      </c>
    </row>
    <row r="9" spans="1:8" ht="30.95" customHeight="1">
      <c r="A9" s="47">
        <v>2</v>
      </c>
      <c r="B9" s="86">
        <v>14449.728999999999</v>
      </c>
      <c r="C9" s="41">
        <f t="shared" si="0"/>
        <v>8052.5000000034197</v>
      </c>
      <c r="D9" s="85">
        <v>14650.727999999999</v>
      </c>
      <c r="E9" s="41">
        <f t="shared" si="1"/>
        <v>10877.500000001419</v>
      </c>
      <c r="F9" s="49">
        <f t="shared" si="2"/>
        <v>18930.000000004839</v>
      </c>
      <c r="G9" s="87">
        <f>F9*0.08</f>
        <v>1514.4000000003871</v>
      </c>
      <c r="H9" s="87">
        <v>31</v>
      </c>
    </row>
    <row r="10" spans="1:8" ht="30.95" customHeight="1">
      <c r="A10" s="42">
        <v>3</v>
      </c>
      <c r="B10" s="91">
        <v>14452.95</v>
      </c>
      <c r="C10" s="84">
        <f t="shared" si="0"/>
        <v>8192.5000000001091</v>
      </c>
      <c r="D10" s="88">
        <v>14655.079</v>
      </c>
      <c r="E10" s="84">
        <f t="shared" si="1"/>
        <v>11635.000000001128</v>
      </c>
      <c r="F10" s="53">
        <f t="shared" si="2"/>
        <v>19827.500000001237</v>
      </c>
      <c r="G10" s="87">
        <f t="shared" ref="G10:G38" si="3">F10*0.08</f>
        <v>1586.200000000099</v>
      </c>
      <c r="H10" s="87">
        <v>41</v>
      </c>
    </row>
    <row r="11" spans="1:8" ht="30.95" customHeight="1">
      <c r="A11" s="47">
        <v>4</v>
      </c>
      <c r="B11" s="89">
        <v>14456.227000000001</v>
      </c>
      <c r="C11" s="41">
        <f t="shared" si="0"/>
        <v>8009.9999999993088</v>
      </c>
      <c r="D11" s="90">
        <v>14659.733</v>
      </c>
      <c r="E11" s="41">
        <f t="shared" si="1"/>
        <v>11247.499999999491</v>
      </c>
      <c r="F11" s="49">
        <f t="shared" si="2"/>
        <v>19257.499999998799</v>
      </c>
      <c r="G11" s="87">
        <f t="shared" si="3"/>
        <v>1540.599999999904</v>
      </c>
      <c r="H11" s="87">
        <v>54</v>
      </c>
    </row>
    <row r="12" spans="1:8" ht="30.95" customHeight="1">
      <c r="A12" s="42">
        <v>5</v>
      </c>
      <c r="B12" s="91">
        <v>14459.431</v>
      </c>
      <c r="C12" s="84">
        <f t="shared" si="0"/>
        <v>8474.9999999985448</v>
      </c>
      <c r="D12" s="88">
        <v>14664.232</v>
      </c>
      <c r="E12" s="84">
        <f t="shared" si="1"/>
        <v>9420.0000000000728</v>
      </c>
      <c r="F12" s="53">
        <f t="shared" si="2"/>
        <v>17894.999999998618</v>
      </c>
      <c r="G12" s="87">
        <f t="shared" si="3"/>
        <v>1431.5999999998894</v>
      </c>
      <c r="H12" s="87">
        <v>58</v>
      </c>
    </row>
    <row r="13" spans="1:8" ht="30.95" customHeight="1">
      <c r="A13" s="47">
        <v>6</v>
      </c>
      <c r="B13" s="89">
        <v>14462.821</v>
      </c>
      <c r="C13" s="41">
        <f t="shared" si="0"/>
        <v>8847.5000000016735</v>
      </c>
      <c r="D13" s="90">
        <v>14668</v>
      </c>
      <c r="E13" s="41">
        <f t="shared" si="1"/>
        <v>14045.000000000982</v>
      </c>
      <c r="F13" s="49">
        <f t="shared" si="2"/>
        <v>22892.500000002656</v>
      </c>
      <c r="G13" s="87">
        <f t="shared" si="3"/>
        <v>1831.4000000002125</v>
      </c>
      <c r="H13" s="87">
        <v>105</v>
      </c>
    </row>
    <row r="14" spans="1:8" ht="30.95" customHeight="1">
      <c r="A14" s="42">
        <v>7</v>
      </c>
      <c r="B14" s="91">
        <v>14466.36</v>
      </c>
      <c r="C14" s="84">
        <f t="shared" si="0"/>
        <v>8739.9999999979627</v>
      </c>
      <c r="D14" s="92">
        <v>14673.618</v>
      </c>
      <c r="E14" s="84">
        <f t="shared" si="1"/>
        <v>13057.499999999891</v>
      </c>
      <c r="F14" s="53">
        <f t="shared" si="2"/>
        <v>21797.499999997854</v>
      </c>
      <c r="G14" s="87">
        <f t="shared" si="3"/>
        <v>1743.7999999998283</v>
      </c>
      <c r="H14" s="87">
        <v>131</v>
      </c>
    </row>
    <row r="15" spans="1:8" ht="30.95" customHeight="1">
      <c r="A15" s="47">
        <v>8</v>
      </c>
      <c r="B15" s="89">
        <v>14469.856</v>
      </c>
      <c r="C15" s="41">
        <f t="shared" si="0"/>
        <v>8944.9999999987995</v>
      </c>
      <c r="D15" s="93">
        <v>14678.841</v>
      </c>
      <c r="E15" s="41">
        <f t="shared" si="1"/>
        <v>11754.99999999829</v>
      </c>
      <c r="F15" s="49">
        <f t="shared" si="2"/>
        <v>20699.99999999709</v>
      </c>
      <c r="G15" s="87">
        <f t="shared" si="3"/>
        <v>1655.9999999997672</v>
      </c>
      <c r="H15" s="87">
        <v>129</v>
      </c>
    </row>
    <row r="16" spans="1:8" ht="30.95" customHeight="1">
      <c r="A16" s="42">
        <v>9</v>
      </c>
      <c r="B16" s="94">
        <v>14473.433999999999</v>
      </c>
      <c r="C16" s="84">
        <f t="shared" si="0"/>
        <v>8797.5000000005821</v>
      </c>
      <c r="D16" s="95">
        <v>14683.543</v>
      </c>
      <c r="E16" s="84">
        <f t="shared" si="1"/>
        <v>13392.499999999927</v>
      </c>
      <c r="F16" s="53">
        <f t="shared" si="2"/>
        <v>22190.000000000509</v>
      </c>
      <c r="G16" s="87">
        <f t="shared" si="3"/>
        <v>1775.2000000000407</v>
      </c>
      <c r="H16" s="87">
        <v>115</v>
      </c>
    </row>
    <row r="17" spans="1:8" ht="30.95" customHeight="1">
      <c r="A17" s="47">
        <v>10</v>
      </c>
      <c r="B17" s="91">
        <v>14476.953</v>
      </c>
      <c r="C17" s="41">
        <f t="shared" si="0"/>
        <v>8352.5000000008731</v>
      </c>
      <c r="D17" s="92">
        <v>14688.9</v>
      </c>
      <c r="E17" s="41">
        <f t="shared" si="1"/>
        <v>11320.000000000618</v>
      </c>
      <c r="F17" s="49">
        <f t="shared" si="2"/>
        <v>19672.500000001492</v>
      </c>
      <c r="G17" s="87">
        <f t="shared" si="3"/>
        <v>1573.8000000001193</v>
      </c>
      <c r="H17" s="87">
        <v>116</v>
      </c>
    </row>
    <row r="18" spans="1:8" ht="30.95" customHeight="1">
      <c r="A18" s="42">
        <v>11</v>
      </c>
      <c r="B18" s="89">
        <v>14480.294</v>
      </c>
      <c r="C18" s="84">
        <f t="shared" si="0"/>
        <v>7727.5000000008731</v>
      </c>
      <c r="D18" s="93">
        <v>14693.428</v>
      </c>
      <c r="E18" s="84">
        <f t="shared" si="1"/>
        <v>11215.000000001965</v>
      </c>
      <c r="F18" s="53">
        <f t="shared" si="2"/>
        <v>18942.500000002838</v>
      </c>
      <c r="G18" s="87">
        <f t="shared" si="3"/>
        <v>1515.400000000227</v>
      </c>
      <c r="H18" s="87">
        <v>89</v>
      </c>
    </row>
    <row r="19" spans="1:8" ht="30.95" customHeight="1">
      <c r="A19" s="47">
        <v>12</v>
      </c>
      <c r="B19" s="91">
        <v>14483.385</v>
      </c>
      <c r="C19" s="41">
        <f t="shared" si="0"/>
        <v>9299.9999999983629</v>
      </c>
      <c r="D19" s="92">
        <v>14697.914000000001</v>
      </c>
      <c r="E19" s="41">
        <f t="shared" si="1"/>
        <v>14375</v>
      </c>
      <c r="F19" s="49">
        <f t="shared" si="2"/>
        <v>23674.999999998363</v>
      </c>
      <c r="G19" s="87">
        <f t="shared" si="3"/>
        <v>1893.999999999869</v>
      </c>
      <c r="H19" s="87">
        <v>102</v>
      </c>
    </row>
    <row r="20" spans="1:8" ht="30.95" customHeight="1">
      <c r="A20" s="42">
        <v>13</v>
      </c>
      <c r="B20" s="89">
        <v>14487.105</v>
      </c>
      <c r="C20" s="84">
        <f t="shared" si="0"/>
        <v>8832.500000003165</v>
      </c>
      <c r="D20" s="96">
        <v>14703.664000000001</v>
      </c>
      <c r="E20" s="84">
        <f t="shared" si="1"/>
        <v>13975.000000000364</v>
      </c>
      <c r="F20" s="53">
        <f t="shared" si="2"/>
        <v>22807.500000003529</v>
      </c>
      <c r="G20" s="87">
        <f t="shared" si="3"/>
        <v>1824.6000000002823</v>
      </c>
      <c r="H20" s="87">
        <v>45</v>
      </c>
    </row>
    <row r="21" spans="1:8" ht="30.95" customHeight="1">
      <c r="A21" s="47">
        <v>14</v>
      </c>
      <c r="B21" s="89">
        <v>14490.638000000001</v>
      </c>
      <c r="C21" s="41">
        <f t="shared" si="0"/>
        <v>8667.499999996835</v>
      </c>
      <c r="D21" s="93">
        <v>14709.254000000001</v>
      </c>
      <c r="E21" s="41">
        <f t="shared" si="1"/>
        <v>19847.499999996217</v>
      </c>
      <c r="F21" s="49">
        <f t="shared" si="2"/>
        <v>28514.999999993051</v>
      </c>
      <c r="G21" s="87">
        <f t="shared" si="3"/>
        <v>2281.1999999994441</v>
      </c>
      <c r="H21" s="87">
        <v>33</v>
      </c>
    </row>
    <row r="22" spans="1:8" ht="30.95" customHeight="1">
      <c r="A22" s="42">
        <v>15</v>
      </c>
      <c r="B22" s="89">
        <v>14494.105</v>
      </c>
      <c r="C22" s="84">
        <f t="shared" si="0"/>
        <v>8842.5000000006548</v>
      </c>
      <c r="D22" s="69">
        <v>14717.192999999999</v>
      </c>
      <c r="E22" s="84">
        <f t="shared" si="1"/>
        <v>6585.0000000000364</v>
      </c>
      <c r="F22" s="53">
        <f t="shared" si="2"/>
        <v>15427.500000000691</v>
      </c>
      <c r="G22" s="87">
        <f t="shared" si="3"/>
        <v>1234.2000000000553</v>
      </c>
      <c r="H22" s="87">
        <v>40</v>
      </c>
    </row>
    <row r="23" spans="1:8" ht="30.95" customHeight="1">
      <c r="A23" s="47">
        <v>16</v>
      </c>
      <c r="B23" s="99">
        <v>14497.642</v>
      </c>
      <c r="C23" s="41">
        <f t="shared" si="0"/>
        <v>9532.5000000002547</v>
      </c>
      <c r="D23" s="100">
        <v>14719.826999999999</v>
      </c>
      <c r="E23" s="41">
        <f t="shared" si="1"/>
        <v>14290.000000000873</v>
      </c>
      <c r="F23" s="49">
        <f t="shared" si="2"/>
        <v>23822.500000001128</v>
      </c>
      <c r="G23" s="87">
        <f t="shared" si="3"/>
        <v>1905.8000000000902</v>
      </c>
      <c r="H23" s="87">
        <v>62</v>
      </c>
    </row>
    <row r="24" spans="1:8" ht="30.95" customHeight="1">
      <c r="A24" s="42">
        <v>17</v>
      </c>
      <c r="B24" s="101">
        <v>14501.455</v>
      </c>
      <c r="C24" s="84">
        <f t="shared" si="0"/>
        <v>8072.4999999983993</v>
      </c>
      <c r="D24" s="92">
        <v>14725.543</v>
      </c>
      <c r="E24" s="84">
        <f t="shared" si="1"/>
        <v>10745.00000000171</v>
      </c>
      <c r="F24" s="53">
        <f t="shared" si="2"/>
        <v>18817.500000000109</v>
      </c>
      <c r="G24" s="87">
        <f t="shared" si="3"/>
        <v>1505.4000000000087</v>
      </c>
      <c r="H24" s="87">
        <v>91</v>
      </c>
    </row>
    <row r="25" spans="1:8" ht="30.95" customHeight="1">
      <c r="A25" s="47">
        <v>18</v>
      </c>
      <c r="B25" s="89">
        <v>14504.683999999999</v>
      </c>
      <c r="C25" s="41">
        <f>(B26-B25)*2500</f>
        <v>9432.5000000026193</v>
      </c>
      <c r="D25" s="93">
        <v>14729.841</v>
      </c>
      <c r="E25" s="41">
        <f>(D26-D25)*2500</f>
        <v>23944.999999998799</v>
      </c>
      <c r="F25" s="49">
        <f t="shared" si="2"/>
        <v>33377.500000001419</v>
      </c>
      <c r="G25" s="87">
        <f t="shared" si="3"/>
        <v>2670.2000000001135</v>
      </c>
      <c r="H25" s="87">
        <v>108</v>
      </c>
    </row>
    <row r="26" spans="1:8" ht="30.95" customHeight="1">
      <c r="A26" s="42">
        <v>19</v>
      </c>
      <c r="B26" s="91">
        <v>14508.457</v>
      </c>
      <c r="C26" s="84">
        <f t="shared" ref="C26:C38" si="4">(B27-B26)*2500</f>
        <v>8769.9999999995271</v>
      </c>
      <c r="D26" s="92">
        <v>14739.419</v>
      </c>
      <c r="E26" s="84">
        <f t="shared" ref="E26:E38" si="5">(D27-D26)*2500</f>
        <v>2342.4999999997453</v>
      </c>
      <c r="F26" s="49">
        <f t="shared" si="2"/>
        <v>11112.499999999272</v>
      </c>
      <c r="G26" s="87">
        <f t="shared" si="3"/>
        <v>888.99999999994179</v>
      </c>
      <c r="H26" s="87">
        <v>111</v>
      </c>
    </row>
    <row r="27" spans="1:8" ht="30.95" customHeight="1">
      <c r="A27" s="47">
        <v>20</v>
      </c>
      <c r="B27" s="89">
        <v>14511.965</v>
      </c>
      <c r="C27" s="41">
        <f t="shared" si="4"/>
        <v>8242.5000000012005</v>
      </c>
      <c r="D27" s="96">
        <v>14740.356</v>
      </c>
      <c r="E27" s="41">
        <f t="shared" si="5"/>
        <v>10210.000000001855</v>
      </c>
      <c r="F27" s="53">
        <f t="shared" si="2"/>
        <v>18452.500000003056</v>
      </c>
      <c r="G27" s="87">
        <f t="shared" si="3"/>
        <v>1476.2000000002445</v>
      </c>
      <c r="H27" s="87">
        <v>108</v>
      </c>
    </row>
    <row r="28" spans="1:8" ht="30.95" customHeight="1">
      <c r="A28" s="42">
        <v>21</v>
      </c>
      <c r="B28" s="91">
        <v>14515.262000000001</v>
      </c>
      <c r="C28" s="84">
        <f t="shared" si="4"/>
        <v>8402.499999997417</v>
      </c>
      <c r="D28" s="92">
        <v>14744.44</v>
      </c>
      <c r="E28" s="84">
        <f t="shared" si="5"/>
        <v>10954.999999999018</v>
      </c>
      <c r="F28" s="49">
        <f t="shared" si="2"/>
        <v>19357.499999996435</v>
      </c>
      <c r="G28" s="87">
        <f t="shared" si="3"/>
        <v>1548.5999999997148</v>
      </c>
      <c r="H28" s="87">
        <v>106</v>
      </c>
    </row>
    <row r="29" spans="1:8" ht="30.95" customHeight="1">
      <c r="A29" s="47">
        <v>22</v>
      </c>
      <c r="B29" s="89">
        <v>14518.623</v>
      </c>
      <c r="C29" s="41">
        <f t="shared" si="4"/>
        <v>8185.0000000031287</v>
      </c>
      <c r="D29" s="93">
        <v>14748.822</v>
      </c>
      <c r="E29" s="41">
        <f t="shared" si="5"/>
        <v>10842.499999998836</v>
      </c>
      <c r="F29" s="53">
        <f t="shared" si="2"/>
        <v>19027.500000001965</v>
      </c>
      <c r="G29" s="87">
        <f t="shared" si="3"/>
        <v>1522.2000000001572</v>
      </c>
      <c r="H29" s="87">
        <v>77</v>
      </c>
    </row>
    <row r="30" spans="1:8" ht="30.95" customHeight="1">
      <c r="A30" s="42">
        <v>23</v>
      </c>
      <c r="B30" s="91">
        <v>14521.897000000001</v>
      </c>
      <c r="C30" s="84">
        <f t="shared" si="4"/>
        <v>7859.9999999960346</v>
      </c>
      <c r="D30" s="92">
        <v>14753.159</v>
      </c>
      <c r="E30" s="84">
        <f t="shared" si="5"/>
        <v>9259.9999999993088</v>
      </c>
      <c r="F30" s="49">
        <f t="shared" si="2"/>
        <v>17119.999999995343</v>
      </c>
      <c r="G30" s="87">
        <f t="shared" si="3"/>
        <v>1369.5999999996275</v>
      </c>
      <c r="H30" s="87">
        <v>118</v>
      </c>
    </row>
    <row r="31" spans="1:8" ht="30.95" customHeight="1">
      <c r="A31" s="47">
        <v>24</v>
      </c>
      <c r="B31" s="89">
        <v>14525.040999999999</v>
      </c>
      <c r="C31" s="41">
        <f t="shared" si="4"/>
        <v>7322.5000000002183</v>
      </c>
      <c r="D31" s="93">
        <v>14756.862999999999</v>
      </c>
      <c r="E31" s="41">
        <f t="shared" si="5"/>
        <v>9140.0000000021464</v>
      </c>
      <c r="F31" s="53">
        <f t="shared" si="2"/>
        <v>16462.500000002365</v>
      </c>
      <c r="G31" s="87">
        <f t="shared" si="3"/>
        <v>1317.0000000001892</v>
      </c>
      <c r="H31" s="87">
        <v>49</v>
      </c>
    </row>
    <row r="32" spans="1:8" ht="30.95" customHeight="1">
      <c r="A32" s="42">
        <v>25</v>
      </c>
      <c r="B32" s="91">
        <v>14527.97</v>
      </c>
      <c r="C32" s="84">
        <f t="shared" si="4"/>
        <v>8400.0000000014552</v>
      </c>
      <c r="D32" s="92">
        <v>14760.519</v>
      </c>
      <c r="E32" s="84">
        <f t="shared" si="5"/>
        <v>10259.999999998399</v>
      </c>
      <c r="F32" s="49">
        <f t="shared" si="2"/>
        <v>18659.999999999854</v>
      </c>
      <c r="G32" s="87">
        <f t="shared" si="3"/>
        <v>1492.7999999999884</v>
      </c>
      <c r="H32" s="87">
        <v>77</v>
      </c>
    </row>
    <row r="33" spans="1:8" ht="30.95" customHeight="1">
      <c r="A33" s="47">
        <v>26</v>
      </c>
      <c r="B33" s="89">
        <v>14531.33</v>
      </c>
      <c r="C33" s="41">
        <f t="shared" si="4"/>
        <v>8139.9999999985084</v>
      </c>
      <c r="D33" s="93">
        <v>14764.623</v>
      </c>
      <c r="E33" s="41">
        <f t="shared" si="5"/>
        <v>10852.500000000873</v>
      </c>
      <c r="F33" s="53">
        <f t="shared" si="2"/>
        <v>18992.499999999382</v>
      </c>
      <c r="G33" s="87">
        <f t="shared" si="3"/>
        <v>1519.3999999999505</v>
      </c>
      <c r="H33" s="87">
        <v>100</v>
      </c>
    </row>
    <row r="34" spans="1:8" ht="30.95" customHeight="1">
      <c r="A34" s="42">
        <v>27</v>
      </c>
      <c r="B34" s="91">
        <v>14534.585999999999</v>
      </c>
      <c r="C34" s="84">
        <f t="shared" si="4"/>
        <v>7560.0000000031287</v>
      </c>
      <c r="D34" s="92">
        <v>14768.964</v>
      </c>
      <c r="E34" s="41">
        <f t="shared" si="5"/>
        <v>9572.4999999993088</v>
      </c>
      <c r="F34" s="49">
        <f t="shared" si="2"/>
        <v>17132.500000002437</v>
      </c>
      <c r="G34" s="87">
        <f t="shared" si="3"/>
        <v>1370.600000000195</v>
      </c>
      <c r="H34" s="87">
        <v>71</v>
      </c>
    </row>
    <row r="35" spans="1:8" ht="30.95" customHeight="1">
      <c r="A35" s="47">
        <v>28</v>
      </c>
      <c r="B35" s="89">
        <v>14537.61</v>
      </c>
      <c r="C35" s="41">
        <f t="shared" si="4"/>
        <v>-36344025</v>
      </c>
      <c r="D35" s="93">
        <v>14772.793</v>
      </c>
      <c r="E35" s="41">
        <f t="shared" si="5"/>
        <v>-36931982.5</v>
      </c>
      <c r="F35" s="49">
        <f t="shared" si="2"/>
        <v>-73276007.5</v>
      </c>
      <c r="G35" s="87">
        <f t="shared" si="3"/>
        <v>-5862080.6000000006</v>
      </c>
      <c r="H35" s="87">
        <v>65</v>
      </c>
    </row>
    <row r="36" spans="1:8" ht="30.95" customHeight="1">
      <c r="A36" s="42">
        <v>29</v>
      </c>
      <c r="B36" s="91"/>
      <c r="C36" s="82">
        <f t="shared" si="4"/>
        <v>0</v>
      </c>
      <c r="D36" s="69"/>
      <c r="E36" s="82">
        <f t="shared" si="5"/>
        <v>0</v>
      </c>
      <c r="F36" s="44">
        <f t="shared" si="2"/>
        <v>0</v>
      </c>
      <c r="G36" s="80">
        <f t="shared" si="3"/>
        <v>0</v>
      </c>
      <c r="H36" s="80"/>
    </row>
    <row r="37" spans="1:8" ht="34.5" customHeight="1">
      <c r="A37" s="109">
        <v>30</v>
      </c>
      <c r="B37" s="110"/>
      <c r="C37" s="111">
        <f t="shared" si="4"/>
        <v>0</v>
      </c>
      <c r="D37" s="112"/>
      <c r="E37" s="111">
        <f t="shared" si="5"/>
        <v>0</v>
      </c>
      <c r="F37" s="113">
        <f t="shared" si="2"/>
        <v>0</v>
      </c>
      <c r="G37" s="114">
        <f t="shared" si="3"/>
        <v>0</v>
      </c>
      <c r="H37" s="114"/>
    </row>
    <row r="38" spans="1:8" ht="30.95" customHeight="1">
      <c r="A38" s="103">
        <v>31</v>
      </c>
      <c r="B38" s="103"/>
      <c r="C38" s="115">
        <f t="shared" si="4"/>
        <v>0</v>
      </c>
      <c r="D38" s="116"/>
      <c r="E38" s="115">
        <f t="shared" si="5"/>
        <v>0</v>
      </c>
      <c r="F38" s="117">
        <f t="shared" si="2"/>
        <v>0</v>
      </c>
      <c r="G38" s="108">
        <f t="shared" si="3"/>
        <v>0</v>
      </c>
      <c r="H38" s="108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30" activePane="bottomLeft" state="frozen"/>
      <selection pane="bottomLeft" activeCell="B35" sqref="B35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44" t="s">
        <v>14</v>
      </c>
      <c r="B1" s="140" t="s">
        <v>24</v>
      </c>
      <c r="C1" s="147"/>
      <c r="D1" s="141"/>
      <c r="E1" s="140" t="s">
        <v>25</v>
      </c>
      <c r="F1" s="147"/>
      <c r="G1" s="147"/>
      <c r="H1" s="147"/>
      <c r="I1" s="141"/>
      <c r="J1" s="140" t="s">
        <v>26</v>
      </c>
      <c r="K1" s="147"/>
      <c r="L1" s="141"/>
    </row>
    <row r="2" spans="1:12">
      <c r="A2" s="145"/>
      <c r="B2" s="148"/>
      <c r="C2" s="149"/>
      <c r="D2" s="150"/>
      <c r="E2" s="142"/>
      <c r="F2" s="151"/>
      <c r="G2" s="151"/>
      <c r="H2" s="151"/>
      <c r="I2" s="143"/>
      <c r="J2" s="142"/>
      <c r="K2" s="151"/>
      <c r="L2" s="143"/>
    </row>
    <row r="3" spans="1:12" ht="27" customHeight="1">
      <c r="A3" s="146"/>
      <c r="B3" s="152">
        <v>9815.74</v>
      </c>
      <c r="C3" s="153"/>
      <c r="D3" s="154"/>
      <c r="E3" s="152">
        <v>8313.39</v>
      </c>
      <c r="F3" s="153"/>
      <c r="G3" s="153"/>
      <c r="H3" s="153"/>
      <c r="I3" s="154"/>
      <c r="J3" s="152">
        <v>7224.83</v>
      </c>
      <c r="K3" s="153"/>
      <c r="L3" s="154"/>
    </row>
    <row r="4" spans="1:12" ht="59.25" customHeight="1">
      <c r="A4" s="108" t="s">
        <v>15</v>
      </c>
      <c r="B4" s="17" t="s">
        <v>22</v>
      </c>
      <c r="C4" s="18" t="s">
        <v>27</v>
      </c>
      <c r="D4" s="19" t="s">
        <v>28</v>
      </c>
      <c r="E4" s="105" t="s">
        <v>22</v>
      </c>
      <c r="F4" s="20" t="s">
        <v>23</v>
      </c>
      <c r="G4" s="21" t="s">
        <v>29</v>
      </c>
      <c r="H4" s="21" t="s">
        <v>30</v>
      </c>
      <c r="I4" s="104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6">
        <v>31</v>
      </c>
      <c r="B6" s="106">
        <v>6099967</v>
      </c>
      <c r="C6" s="34">
        <f>B7-B6</f>
        <v>31786</v>
      </c>
      <c r="D6" s="35">
        <f>C6*0.16949153</f>
        <v>5387.45777258</v>
      </c>
      <c r="E6" s="36">
        <v>482840</v>
      </c>
      <c r="F6" s="37">
        <f>E7-E6</f>
        <v>5381</v>
      </c>
      <c r="G6" s="38">
        <f>F6*0.84746</f>
        <v>4560.1822599999996</v>
      </c>
      <c r="H6" s="38">
        <f>F6*0.84746</f>
        <v>4560.1822599999996</v>
      </c>
      <c r="I6" s="107">
        <f>G6+H6</f>
        <v>9120.3645199999992</v>
      </c>
      <c r="J6" s="39">
        <f>7300+6550</f>
        <v>13850</v>
      </c>
      <c r="K6" s="40">
        <f>J6-J7</f>
        <v>220</v>
      </c>
      <c r="L6" s="41">
        <f>K6*0.59</f>
        <v>129.79999999999998</v>
      </c>
    </row>
    <row r="7" spans="1:12" ht="32.450000000000003" customHeight="1">
      <c r="A7" s="42">
        <v>1</v>
      </c>
      <c r="B7" s="106">
        <v>6131753</v>
      </c>
      <c r="C7" s="55">
        <f t="shared" ref="C7:C16" si="0">B8-B7</f>
        <v>2000</v>
      </c>
      <c r="D7" s="43">
        <f>C7*0.16949153</f>
        <v>338.98306000000002</v>
      </c>
      <c r="E7" s="44">
        <v>488221</v>
      </c>
      <c r="F7" s="56">
        <f t="shared" ref="F7:F16" si="1">E8-E7</f>
        <v>64</v>
      </c>
      <c r="G7" s="45">
        <f>F7*0.84746</f>
        <v>54.237439999999999</v>
      </c>
      <c r="H7" s="45">
        <f>F7*0.84746</f>
        <v>54.237439999999999</v>
      </c>
      <c r="I7" s="46">
        <f t="shared" ref="I7:I37" si="2">G7+H7</f>
        <v>108.47488</v>
      </c>
      <c r="J7" s="39">
        <f>7060+6570</f>
        <v>13630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6133753</v>
      </c>
      <c r="C8" s="57">
        <f t="shared" si="0"/>
        <v>2387</v>
      </c>
      <c r="D8" s="48">
        <f>C8*0.16949153</f>
        <v>404.57628211000002</v>
      </c>
      <c r="E8" s="49">
        <v>488285</v>
      </c>
      <c r="F8" s="58">
        <f t="shared" si="1"/>
        <v>62</v>
      </c>
      <c r="G8" s="50">
        <f t="shared" ref="G8:G37" si="5">F8*0.84746</f>
        <v>52.542519999999996</v>
      </c>
      <c r="H8" s="50">
        <f t="shared" ref="H8:H37" si="6">F8*0.84746</f>
        <v>52.542519999999996</v>
      </c>
      <c r="I8" s="51">
        <f t="shared" si="2"/>
        <v>105.08503999999999</v>
      </c>
      <c r="J8" s="52">
        <f>7060+6570</f>
        <v>13630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6136140</v>
      </c>
      <c r="C9" s="55">
        <f t="shared" si="0"/>
        <v>2300</v>
      </c>
      <c r="D9" s="48">
        <f t="shared" ref="D9:D37" si="7">C9*0.16949153</f>
        <v>389.83051899999998</v>
      </c>
      <c r="E9" s="49">
        <v>488347</v>
      </c>
      <c r="F9" s="56">
        <f t="shared" si="1"/>
        <v>193</v>
      </c>
      <c r="G9" s="45">
        <f t="shared" si="5"/>
        <v>163.55977999999999</v>
      </c>
      <c r="H9" s="45">
        <f t="shared" si="6"/>
        <v>163.55977999999999</v>
      </c>
      <c r="I9" s="51">
        <f t="shared" si="2"/>
        <v>327.11955999999998</v>
      </c>
      <c r="J9" s="52">
        <f>7060+6570</f>
        <v>13630</v>
      </c>
      <c r="K9" s="40">
        <f t="shared" si="3"/>
        <v>0</v>
      </c>
      <c r="L9" s="41">
        <f>K9*0.59</f>
        <v>0</v>
      </c>
    </row>
    <row r="10" spans="1:12" ht="32.450000000000003" customHeight="1">
      <c r="A10" s="47">
        <v>4</v>
      </c>
      <c r="B10" s="47">
        <v>6138440</v>
      </c>
      <c r="C10" s="57">
        <f t="shared" si="0"/>
        <v>2306</v>
      </c>
      <c r="D10" s="48">
        <f t="shared" si="7"/>
        <v>390.84746818000002</v>
      </c>
      <c r="E10" s="49">
        <v>488540</v>
      </c>
      <c r="F10" s="58">
        <f t="shared" si="1"/>
        <v>225</v>
      </c>
      <c r="G10" s="50">
        <f t="shared" si="5"/>
        <v>190.67849999999999</v>
      </c>
      <c r="H10" s="50">
        <f t="shared" si="6"/>
        <v>190.67849999999999</v>
      </c>
      <c r="I10" s="51">
        <f t="shared" si="2"/>
        <v>381.35699999999997</v>
      </c>
      <c r="J10" s="52">
        <f>7060+6570</f>
        <v>13630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6140746</v>
      </c>
      <c r="C11" s="55">
        <f t="shared" si="0"/>
        <v>2286</v>
      </c>
      <c r="D11" s="48">
        <f t="shared" si="7"/>
        <v>387.45763757999998</v>
      </c>
      <c r="E11" s="49">
        <v>488765</v>
      </c>
      <c r="F11" s="56">
        <f t="shared" si="1"/>
        <v>257</v>
      </c>
      <c r="G11" s="45">
        <f t="shared" si="5"/>
        <v>217.79722000000001</v>
      </c>
      <c r="H11" s="45">
        <f t="shared" si="6"/>
        <v>217.79722000000001</v>
      </c>
      <c r="I11" s="51">
        <f t="shared" si="2"/>
        <v>435.59444000000002</v>
      </c>
      <c r="J11" s="52">
        <f>7060+6570</f>
        <v>13630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6143032</v>
      </c>
      <c r="C12" s="57">
        <f t="shared" si="0"/>
        <v>2701</v>
      </c>
      <c r="D12" s="48">
        <f t="shared" si="7"/>
        <v>457.79662252999998</v>
      </c>
      <c r="E12" s="49">
        <v>489022</v>
      </c>
      <c r="F12" s="58">
        <f t="shared" si="1"/>
        <v>203</v>
      </c>
      <c r="G12" s="50">
        <f t="shared" si="5"/>
        <v>172.03438</v>
      </c>
      <c r="H12" s="50">
        <f t="shared" si="6"/>
        <v>172.03438</v>
      </c>
      <c r="I12" s="51">
        <f t="shared" si="2"/>
        <v>344.06876</v>
      </c>
      <c r="J12" s="52">
        <f>7060+6570</f>
        <v>13630</v>
      </c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>
        <v>6145733</v>
      </c>
      <c r="C13" s="55">
        <f t="shared" si="0"/>
        <v>2727</v>
      </c>
      <c r="D13" s="48">
        <f t="shared" si="7"/>
        <v>462.20340231</v>
      </c>
      <c r="E13" s="49">
        <v>489225</v>
      </c>
      <c r="F13" s="56">
        <f t="shared" si="1"/>
        <v>267</v>
      </c>
      <c r="G13" s="45">
        <f t="shared" si="5"/>
        <v>226.27181999999999</v>
      </c>
      <c r="H13" s="45">
        <f t="shared" si="6"/>
        <v>226.27181999999999</v>
      </c>
      <c r="I13" s="51">
        <f t="shared" si="2"/>
        <v>452.54363999999998</v>
      </c>
      <c r="J13" s="52">
        <f>7060+6570</f>
        <v>13630</v>
      </c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>
        <v>6148460</v>
      </c>
      <c r="C14" s="57">
        <f t="shared" si="0"/>
        <v>3000</v>
      </c>
      <c r="D14" s="48">
        <f t="shared" si="7"/>
        <v>508.47458999999998</v>
      </c>
      <c r="E14" s="49">
        <v>489492</v>
      </c>
      <c r="F14" s="58">
        <f t="shared" si="1"/>
        <v>232</v>
      </c>
      <c r="G14" s="50">
        <f t="shared" si="5"/>
        <v>196.61071999999999</v>
      </c>
      <c r="H14" s="50">
        <f t="shared" si="6"/>
        <v>196.61071999999999</v>
      </c>
      <c r="I14" s="51">
        <f t="shared" si="2"/>
        <v>393.22143999999997</v>
      </c>
      <c r="J14" s="52">
        <f>7060+6570</f>
        <v>13630</v>
      </c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>
        <v>6151460</v>
      </c>
      <c r="C15" s="55">
        <f t="shared" si="0"/>
        <v>2727</v>
      </c>
      <c r="D15" s="48">
        <f t="shared" si="7"/>
        <v>462.20340231</v>
      </c>
      <c r="E15" s="49">
        <v>489724</v>
      </c>
      <c r="F15" s="56">
        <f t="shared" si="1"/>
        <v>232</v>
      </c>
      <c r="G15" s="50">
        <f t="shared" si="5"/>
        <v>196.61071999999999</v>
      </c>
      <c r="H15" s="45">
        <f t="shared" si="6"/>
        <v>196.61071999999999</v>
      </c>
      <c r="I15" s="51">
        <f t="shared" si="2"/>
        <v>393.22143999999997</v>
      </c>
      <c r="J15" s="52">
        <f>7060+6570</f>
        <v>13630</v>
      </c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>
        <v>6154187</v>
      </c>
      <c r="C16" s="57">
        <f t="shared" si="0"/>
        <v>2041</v>
      </c>
      <c r="D16" s="48">
        <f t="shared" si="7"/>
        <v>345.93221273</v>
      </c>
      <c r="E16" s="49">
        <v>489956</v>
      </c>
      <c r="F16" s="58">
        <f t="shared" si="1"/>
        <v>221</v>
      </c>
      <c r="G16" s="50">
        <f t="shared" si="5"/>
        <v>187.28865999999999</v>
      </c>
      <c r="H16" s="50">
        <f t="shared" si="6"/>
        <v>187.28865999999999</v>
      </c>
      <c r="I16" s="51">
        <f t="shared" si="2"/>
        <v>374.57731999999999</v>
      </c>
      <c r="J16" s="52">
        <f>7060+6570</f>
        <v>13630</v>
      </c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>
        <v>6156228</v>
      </c>
      <c r="C17" s="55">
        <f>B18-B17</f>
        <v>1878</v>
      </c>
      <c r="D17" s="48">
        <f t="shared" si="7"/>
        <v>318.30509333999998</v>
      </c>
      <c r="E17" s="49">
        <v>490177</v>
      </c>
      <c r="F17" s="56">
        <f>E18-E17</f>
        <v>210</v>
      </c>
      <c r="G17" s="45">
        <f t="shared" si="5"/>
        <v>177.9666</v>
      </c>
      <c r="H17" s="45">
        <f t="shared" si="6"/>
        <v>177.9666</v>
      </c>
      <c r="I17" s="51">
        <f t="shared" si="2"/>
        <v>355.9332</v>
      </c>
      <c r="J17" s="52">
        <f>7060+6570</f>
        <v>13630</v>
      </c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>
        <v>6158106</v>
      </c>
      <c r="C18" s="57">
        <f t="shared" ref="C18:C36" si="8">B19-B18</f>
        <v>2310</v>
      </c>
      <c r="D18" s="48">
        <f t="shared" si="7"/>
        <v>391.52543430000003</v>
      </c>
      <c r="E18" s="49">
        <v>490387</v>
      </c>
      <c r="F18" s="58">
        <f t="shared" ref="F18:F36" si="9">E19-E18</f>
        <v>247</v>
      </c>
      <c r="G18" s="50">
        <f t="shared" si="5"/>
        <v>209.32262</v>
      </c>
      <c r="H18" s="50">
        <f t="shared" si="6"/>
        <v>209.32262</v>
      </c>
      <c r="I18" s="51">
        <f t="shared" si="2"/>
        <v>418.64524</v>
      </c>
      <c r="J18" s="52">
        <f>7060+6570</f>
        <v>13630</v>
      </c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>
        <v>6160416</v>
      </c>
      <c r="C19" s="55">
        <f t="shared" si="8"/>
        <v>3108</v>
      </c>
      <c r="D19" s="48">
        <f t="shared" si="7"/>
        <v>526.77967523999996</v>
      </c>
      <c r="E19" s="53">
        <v>490634</v>
      </c>
      <c r="F19" s="56">
        <f t="shared" si="9"/>
        <v>51</v>
      </c>
      <c r="G19" s="45">
        <f t="shared" si="5"/>
        <v>43.220460000000003</v>
      </c>
      <c r="H19" s="45">
        <f t="shared" si="6"/>
        <v>43.220460000000003</v>
      </c>
      <c r="I19" s="51">
        <f t="shared" si="2"/>
        <v>86.440920000000006</v>
      </c>
      <c r="J19" s="52">
        <f>7060+6570</f>
        <v>13630</v>
      </c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>
        <v>6163524</v>
      </c>
      <c r="C20" s="57">
        <f t="shared" si="8"/>
        <v>2060</v>
      </c>
      <c r="D20" s="48">
        <f t="shared" si="7"/>
        <v>349.15255180000003</v>
      </c>
      <c r="E20" s="54">
        <v>490685</v>
      </c>
      <c r="F20" s="58">
        <f t="shared" si="9"/>
        <v>21</v>
      </c>
      <c r="G20" s="50">
        <f t="shared" si="5"/>
        <v>17.796659999999999</v>
      </c>
      <c r="H20" s="50">
        <f t="shared" si="6"/>
        <v>17.796659999999999</v>
      </c>
      <c r="I20" s="51">
        <f t="shared" si="2"/>
        <v>35.593319999999999</v>
      </c>
      <c r="J20" s="52">
        <f>7060+6570</f>
        <v>13630</v>
      </c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>
        <v>6165584</v>
      </c>
      <c r="C21" s="55">
        <f t="shared" si="8"/>
        <v>2018</v>
      </c>
      <c r="D21" s="48">
        <f t="shared" si="7"/>
        <v>342.03390754000003</v>
      </c>
      <c r="E21" s="53">
        <v>490706</v>
      </c>
      <c r="F21" s="56">
        <f t="shared" si="9"/>
        <v>21</v>
      </c>
      <c r="G21" s="45">
        <f t="shared" si="5"/>
        <v>17.796659999999999</v>
      </c>
      <c r="H21" s="45">
        <f t="shared" si="6"/>
        <v>17.796659999999999</v>
      </c>
      <c r="I21" s="51">
        <f t="shared" si="2"/>
        <v>35.593319999999999</v>
      </c>
      <c r="J21" s="52">
        <f>7060+6570</f>
        <v>13630</v>
      </c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01">
        <v>6167602</v>
      </c>
      <c r="C22" s="57">
        <f t="shared" si="8"/>
        <v>2945</v>
      </c>
      <c r="D22" s="48">
        <f t="shared" si="7"/>
        <v>499.15255585</v>
      </c>
      <c r="E22" s="102">
        <v>490727</v>
      </c>
      <c r="F22" s="58">
        <f t="shared" si="9"/>
        <v>78</v>
      </c>
      <c r="G22" s="50">
        <f t="shared" si="5"/>
        <v>66.101879999999994</v>
      </c>
      <c r="H22" s="50">
        <f t="shared" si="6"/>
        <v>66.101879999999994</v>
      </c>
      <c r="I22" s="51">
        <f t="shared" si="2"/>
        <v>132.20375999999999</v>
      </c>
      <c r="J22" s="52">
        <f>7060+6570</f>
        <v>13630</v>
      </c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>
        <v>6170547</v>
      </c>
      <c r="C23" s="55">
        <f t="shared" si="8"/>
        <v>1858</v>
      </c>
      <c r="D23" s="48">
        <f t="shared" si="7"/>
        <v>314.91526274</v>
      </c>
      <c r="E23" s="54">
        <v>490805</v>
      </c>
      <c r="F23" s="56">
        <f t="shared" si="9"/>
        <v>226</v>
      </c>
      <c r="G23" s="45">
        <f t="shared" si="5"/>
        <v>191.52596</v>
      </c>
      <c r="H23" s="45">
        <f t="shared" si="6"/>
        <v>191.52596</v>
      </c>
      <c r="I23" s="51">
        <f t="shared" si="2"/>
        <v>383.05192</v>
      </c>
      <c r="J23" s="52">
        <f>7060+6570</f>
        <v>13630</v>
      </c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>
        <v>6172405</v>
      </c>
      <c r="C24" s="57">
        <f t="shared" si="8"/>
        <v>2373</v>
      </c>
      <c r="D24" s="48">
        <f t="shared" si="7"/>
        <v>402.20340069000002</v>
      </c>
      <c r="E24" s="54">
        <v>491031</v>
      </c>
      <c r="F24" s="58">
        <f t="shared" si="9"/>
        <v>314</v>
      </c>
      <c r="G24" s="50">
        <f t="shared" si="5"/>
        <v>266.10244</v>
      </c>
      <c r="H24" s="50">
        <f t="shared" si="6"/>
        <v>266.10244</v>
      </c>
      <c r="I24" s="51">
        <f t="shared" si="2"/>
        <v>532.20488</v>
      </c>
      <c r="J24" s="52">
        <f>7060+6570</f>
        <v>13630</v>
      </c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>
        <v>6174778</v>
      </c>
      <c r="C25" s="55">
        <f t="shared" si="8"/>
        <v>2447</v>
      </c>
      <c r="D25" s="48">
        <f t="shared" si="7"/>
        <v>414.74577391000003</v>
      </c>
      <c r="E25" s="54">
        <v>491345</v>
      </c>
      <c r="F25" s="56">
        <f t="shared" si="9"/>
        <v>310</v>
      </c>
      <c r="G25" s="45">
        <f t="shared" si="5"/>
        <v>262.71260000000001</v>
      </c>
      <c r="H25" s="45">
        <f t="shared" si="6"/>
        <v>262.71260000000001</v>
      </c>
      <c r="I25" s="51">
        <f t="shared" si="2"/>
        <v>525.42520000000002</v>
      </c>
      <c r="J25" s="52">
        <f>7060+6570</f>
        <v>13630</v>
      </c>
      <c r="K25" s="40">
        <f t="shared" si="3"/>
        <v>120</v>
      </c>
      <c r="L25" s="41">
        <f t="shared" si="4"/>
        <v>70.8</v>
      </c>
    </row>
    <row r="26" spans="1:12" ht="32.450000000000003" customHeight="1">
      <c r="A26" s="47">
        <v>20</v>
      </c>
      <c r="B26" s="47">
        <v>6177225</v>
      </c>
      <c r="C26" s="57">
        <f t="shared" si="8"/>
        <v>2408</v>
      </c>
      <c r="D26" s="48">
        <f t="shared" si="7"/>
        <v>408.13560424000002</v>
      </c>
      <c r="E26" s="54">
        <v>491655</v>
      </c>
      <c r="F26" s="58">
        <f t="shared" si="9"/>
        <v>249</v>
      </c>
      <c r="G26" s="50">
        <f t="shared" si="5"/>
        <v>211.01754</v>
      </c>
      <c r="H26" s="50">
        <f t="shared" si="6"/>
        <v>211.01754</v>
      </c>
      <c r="I26" s="51">
        <f t="shared" si="2"/>
        <v>422.03507999999999</v>
      </c>
      <c r="J26" s="52">
        <f>6940+6570</f>
        <v>13510</v>
      </c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>
        <v>6179633</v>
      </c>
      <c r="C27" s="55">
        <f t="shared" si="8"/>
        <v>2333</v>
      </c>
      <c r="D27" s="48">
        <f t="shared" si="7"/>
        <v>395.42373949</v>
      </c>
      <c r="E27" s="54">
        <v>491904</v>
      </c>
      <c r="F27" s="56">
        <f t="shared" si="9"/>
        <v>269</v>
      </c>
      <c r="G27" s="45">
        <f t="shared" si="5"/>
        <v>227.96673999999999</v>
      </c>
      <c r="H27" s="45">
        <f t="shared" si="6"/>
        <v>227.96673999999999</v>
      </c>
      <c r="I27" s="51">
        <f t="shared" si="2"/>
        <v>455.93347999999997</v>
      </c>
      <c r="J27" s="52">
        <f>6940+6570</f>
        <v>13510</v>
      </c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>
        <v>6181966</v>
      </c>
      <c r="C28" s="57">
        <f t="shared" si="8"/>
        <v>2413</v>
      </c>
      <c r="D28" s="48">
        <f t="shared" si="7"/>
        <v>408.98306188999999</v>
      </c>
      <c r="E28" s="54">
        <v>492173</v>
      </c>
      <c r="F28" s="58">
        <f t="shared" si="9"/>
        <v>263</v>
      </c>
      <c r="G28" s="50">
        <f t="shared" si="5"/>
        <v>222.88198</v>
      </c>
      <c r="H28" s="50">
        <f t="shared" si="6"/>
        <v>222.88198</v>
      </c>
      <c r="I28" s="51">
        <f t="shared" si="2"/>
        <v>445.76396</v>
      </c>
      <c r="J28" s="52">
        <f>6940+6570</f>
        <v>13510</v>
      </c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>
        <v>6184379</v>
      </c>
      <c r="C29" s="55">
        <f t="shared" si="8"/>
        <v>2115</v>
      </c>
      <c r="D29" s="48">
        <f t="shared" si="7"/>
        <v>358.47458595000001</v>
      </c>
      <c r="E29" s="54">
        <v>492436</v>
      </c>
      <c r="F29" s="56">
        <f t="shared" si="9"/>
        <v>254</v>
      </c>
      <c r="G29" s="45">
        <f t="shared" si="5"/>
        <v>215.25484</v>
      </c>
      <c r="H29" s="45">
        <f t="shared" si="6"/>
        <v>215.25484</v>
      </c>
      <c r="I29" s="51">
        <f t="shared" si="2"/>
        <v>430.50968</v>
      </c>
      <c r="J29" s="52">
        <f>6940+6570</f>
        <v>13510</v>
      </c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>
        <v>6186494</v>
      </c>
      <c r="C30" s="57">
        <f t="shared" si="8"/>
        <v>2300</v>
      </c>
      <c r="D30" s="48">
        <f t="shared" si="7"/>
        <v>389.83051899999998</v>
      </c>
      <c r="E30" s="54">
        <v>492690</v>
      </c>
      <c r="F30" s="58">
        <f t="shared" si="9"/>
        <v>205</v>
      </c>
      <c r="G30" s="50">
        <f t="shared" si="5"/>
        <v>173.72929999999999</v>
      </c>
      <c r="H30" s="50">
        <f t="shared" si="6"/>
        <v>173.72929999999999</v>
      </c>
      <c r="I30" s="51">
        <f t="shared" si="2"/>
        <v>347.45859999999999</v>
      </c>
      <c r="J30" s="52">
        <f>6940+6570</f>
        <v>13510</v>
      </c>
      <c r="K30" s="40">
        <f t="shared" si="3"/>
        <v>-10</v>
      </c>
      <c r="L30" s="41">
        <f t="shared" si="4"/>
        <v>-5.8999999999999995</v>
      </c>
    </row>
    <row r="31" spans="1:12" ht="32.450000000000003" customHeight="1">
      <c r="A31" s="42">
        <v>25</v>
      </c>
      <c r="B31" s="42">
        <v>6188794</v>
      </c>
      <c r="C31" s="55">
        <f t="shared" si="8"/>
        <v>2527</v>
      </c>
      <c r="D31" s="48">
        <f t="shared" si="7"/>
        <v>428.30509631000001</v>
      </c>
      <c r="E31" s="54">
        <v>492895</v>
      </c>
      <c r="F31" s="56">
        <f t="shared" si="9"/>
        <v>212</v>
      </c>
      <c r="G31" s="45">
        <f t="shared" si="5"/>
        <v>179.66152</v>
      </c>
      <c r="H31" s="45">
        <f t="shared" si="6"/>
        <v>179.66152</v>
      </c>
      <c r="I31" s="51">
        <f t="shared" si="2"/>
        <v>359.32303999999999</v>
      </c>
      <c r="J31" s="52">
        <f>6940+6580</f>
        <v>13520</v>
      </c>
      <c r="K31" s="40">
        <f t="shared" si="3"/>
        <v>120</v>
      </c>
      <c r="L31" s="41">
        <f t="shared" si="4"/>
        <v>70.8</v>
      </c>
    </row>
    <row r="32" spans="1:12" ht="32.450000000000003" customHeight="1">
      <c r="A32" s="47">
        <v>26</v>
      </c>
      <c r="B32" s="47">
        <v>6191321</v>
      </c>
      <c r="C32" s="57">
        <f t="shared" si="8"/>
        <v>2957</v>
      </c>
      <c r="D32" s="48">
        <f t="shared" si="7"/>
        <v>501.18645421000002</v>
      </c>
      <c r="E32" s="54">
        <v>493107</v>
      </c>
      <c r="F32" s="58">
        <f t="shared" si="9"/>
        <v>206</v>
      </c>
      <c r="G32" s="50">
        <f t="shared" si="5"/>
        <v>174.57676000000001</v>
      </c>
      <c r="H32" s="50">
        <f t="shared" si="6"/>
        <v>174.57676000000001</v>
      </c>
      <c r="I32" s="51">
        <f t="shared" si="2"/>
        <v>349.15352000000001</v>
      </c>
      <c r="J32" s="52">
        <f>6910+6490</f>
        <v>13400</v>
      </c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>
        <v>6194278</v>
      </c>
      <c r="C33" s="55">
        <f t="shared" si="8"/>
        <v>2514</v>
      </c>
      <c r="D33" s="48">
        <f t="shared" si="7"/>
        <v>426.10170642000003</v>
      </c>
      <c r="E33" s="54">
        <v>493313</v>
      </c>
      <c r="F33" s="57">
        <f t="shared" si="9"/>
        <v>-493313</v>
      </c>
      <c r="G33" s="45">
        <f t="shared" si="5"/>
        <v>-418063.03498</v>
      </c>
      <c r="H33" s="45">
        <f t="shared" si="6"/>
        <v>-418063.03498</v>
      </c>
      <c r="I33" s="51">
        <f t="shared" si="2"/>
        <v>-836126.06995999999</v>
      </c>
      <c r="J33" s="52">
        <f>6910+6490</f>
        <v>13400</v>
      </c>
      <c r="K33" s="40">
        <f t="shared" si="3"/>
        <v>13400</v>
      </c>
      <c r="L33" s="41">
        <f t="shared" si="4"/>
        <v>7906</v>
      </c>
    </row>
    <row r="34" spans="1:12" ht="32.450000000000003" customHeight="1">
      <c r="A34" s="47">
        <v>28</v>
      </c>
      <c r="B34" s="47">
        <v>6196792</v>
      </c>
      <c r="C34" s="57">
        <f t="shared" si="8"/>
        <v>-6196792</v>
      </c>
      <c r="D34" s="48">
        <f t="shared" si="7"/>
        <v>-1050303.7571717601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18">
        <v>31</v>
      </c>
      <c r="B37" s="118"/>
      <c r="C37" s="119">
        <f t="shared" ref="C37" si="10">B38-B37</f>
        <v>0</v>
      </c>
      <c r="D37" s="120">
        <f t="shared" ref="D37" si="11">C37*0.16949153</f>
        <v>0</v>
      </c>
      <c r="E37" s="121"/>
      <c r="F37" s="119">
        <f t="shared" ref="F37" si="12">E38-E37</f>
        <v>0</v>
      </c>
      <c r="G37" s="122">
        <f t="shared" ref="G37" si="13">F37*0.84746</f>
        <v>0</v>
      </c>
      <c r="H37" s="122">
        <f t="shared" ref="H37" si="14">F37*0.84746</f>
        <v>0</v>
      </c>
      <c r="I37" s="123">
        <f t="shared" ref="I37" si="15">G37+H37</f>
        <v>0</v>
      </c>
      <c r="J37" s="124"/>
      <c r="K37" s="125">
        <f t="shared" ref="K37" si="16">J37-J38</f>
        <v>0</v>
      </c>
      <c r="L37" s="126">
        <f t="shared" ref="L37" si="17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2021-10-29T05:57:31Z</dcterms:modified>
  <cp:category/>
  <cp:contentStatus/>
</cp:coreProperties>
</file>