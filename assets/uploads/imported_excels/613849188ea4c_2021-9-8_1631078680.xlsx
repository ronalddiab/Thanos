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1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R32" i="9" l="1"/>
  <c r="G32" i="5" s="1"/>
  <c r="AN37" i="7"/>
  <c r="M32" i="9"/>
  <c r="AW36" i="7"/>
  <c r="R31" i="9"/>
  <c r="AD37" i="7"/>
  <c r="AM37" i="7"/>
  <c r="AW37" i="7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R2" i="9"/>
  <c r="G2" i="5" s="1"/>
  <c r="AW7" i="7"/>
  <c r="AN36" i="7"/>
  <c r="M31" i="9"/>
  <c r="AK36" i="7"/>
  <c r="J31" i="9"/>
  <c r="AH36" i="7"/>
  <c r="G31" i="9"/>
  <c r="AG36" i="7"/>
  <c r="F31" i="9"/>
  <c r="AW35" i="7"/>
  <c r="R30" i="9"/>
  <c r="G30" i="5" s="1"/>
  <c r="AM35" i="7"/>
  <c r="L30" i="9"/>
  <c r="AG35" i="7"/>
  <c r="F30" i="9"/>
  <c r="AW34" i="7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W26" i="7"/>
  <c r="R21" i="9"/>
  <c r="G21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J38" i="7"/>
  <c r="AQ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<sst xmlns="http://schemas.openxmlformats.org/spreadsheetml/2006/main" count="128" uniqueCount="49">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</sst>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L21" sqref="L2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51340</v>
      </c>
      <c r="F2" s="11">
        <v>5.0000000000000001E-3</v>
      </c>
      <c r="G2" s="12">
        <f>Submetering!R2</f>
        <v>792.28631299999995</v>
      </c>
      <c r="H2" s="11">
        <v>0.52800000000000002</v>
      </c>
      <c r="I2" s="12">
        <f>Hotel!B7</f>
        <v>109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69940</v>
      </c>
      <c r="F3" s="11">
        <v>5.0000000000000001E-3</v>
      </c>
      <c r="G3" s="12">
        <f>Submetering!R3</f>
        <v>899.03487499999994</v>
      </c>
      <c r="H3" s="11">
        <v>0.52800000000000002</v>
      </c>
      <c r="I3" s="12">
        <f>Hotel!B8</f>
        <v>128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83280</v>
      </c>
      <c r="F4" s="11">
        <v>5.0000000000000001E-3</v>
      </c>
      <c r="G4" s="12">
        <f>Submetering!R4</f>
        <v>1043.6375370000001</v>
      </c>
      <c r="H4" s="11">
        <v>0.52800000000000002</v>
      </c>
      <c r="I4" s="12">
        <f>Hotel!B9</f>
        <v>164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65670</v>
      </c>
      <c r="F5" s="11">
        <v>5.0000000000000001E-3</v>
      </c>
      <c r="G5" s="12">
        <f>Submetering!R5</f>
        <v>917.96192499999995</v>
      </c>
      <c r="H5" s="11">
        <v>0.52800000000000002</v>
      </c>
      <c r="I5" s="12">
        <f>Hotel!B10</f>
        <v>71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68310</v>
      </c>
      <c r="F6" s="11">
        <v>5.0000000000000001E-3</v>
      </c>
      <c r="G6" s="12">
        <f>Submetering!R6</f>
        <v>1016.7611259999999</v>
      </c>
      <c r="H6" s="11">
        <v>0.52800000000000002</v>
      </c>
      <c r="I6" s="12">
        <f>Hotel!B11</f>
        <v>65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68510</v>
      </c>
      <c r="F7" s="11">
        <v>5.0000000000000001E-3</v>
      </c>
      <c r="G7" s="12">
        <f>Submetering!R7</f>
        <v>1085.6555880000001</v>
      </c>
      <c r="H7" s="11">
        <v>0.52800000000000002</v>
      </c>
      <c r="I7" s="12">
        <f>Hotel!B12</f>
        <v>78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67800</v>
      </c>
      <c r="F8" s="11">
        <v>5.0000000000000001E-3</v>
      </c>
      <c r="G8" s="12">
        <f>Submetering!R8</f>
        <v>869.13013600000011</v>
      </c>
      <c r="H8" s="11">
        <v>0.52800000000000002</v>
      </c>
      <c r="I8" s="12">
        <f>Hotel!B13</f>
        <v>70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2021</v>
      </c>
      <c r="E2" s="4">
        <f>Hotel!Q7</f>
        <v>7200</v>
      </c>
      <c r="F2" s="4">
        <f>Hotel!R7</f>
        <v>10080</v>
      </c>
      <c r="G2" s="4">
        <f>Hotel!S7</f>
        <v>2340</v>
      </c>
      <c r="H2" s="4">
        <f>Hotel!T7</f>
        <v>1250</v>
      </c>
      <c r="I2" s="4">
        <f>Hotel!U7</f>
        <v>2930</v>
      </c>
      <c r="J2" s="4">
        <f>Hotel!V7</f>
        <v>2770</v>
      </c>
      <c r="K2" s="4">
        <f>Hotel!W7</f>
        <v>1670</v>
      </c>
      <c r="L2" s="4">
        <f>Hotel!X7</f>
        <v>3740</v>
      </c>
      <c r="M2" s="4">
        <f>Hotel!Y7</f>
        <v>3870</v>
      </c>
      <c r="N2" s="4">
        <f>Hotel!Z7</f>
        <v>1990</v>
      </c>
      <c r="O2" s="4">
        <f>Hotel!AA7</f>
        <v>2180</v>
      </c>
      <c r="P2" s="4">
        <f>Hotel!AB7</f>
        <v>5430</v>
      </c>
      <c r="Q2" s="4">
        <f>Hotel!AC7</f>
        <v>5890</v>
      </c>
      <c r="R2" s="4">
        <f>Hotel!AV7*0.00378541*100</f>
        <v>792.28631299999995</v>
      </c>
      <c r="S2" s="4">
        <f>Hotel!B7</f>
        <v>109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2021</v>
      </c>
      <c r="E3" s="4">
        <f>Hotel!Q8</f>
        <v>10580</v>
      </c>
      <c r="F3" s="4">
        <f>Hotel!R8</f>
        <v>14460</v>
      </c>
      <c r="G3" s="4">
        <f>Hotel!S8</f>
        <v>2030</v>
      </c>
      <c r="H3" s="4">
        <f>Hotel!T8</f>
        <v>1690</v>
      </c>
      <c r="I3" s="4">
        <f>Hotel!U8</f>
        <v>4120</v>
      </c>
      <c r="J3" s="4">
        <f>Hotel!V8</f>
        <v>3580</v>
      </c>
      <c r="K3" s="4">
        <f>Hotel!W8</f>
        <v>2260</v>
      </c>
      <c r="L3" s="4">
        <f>Hotel!X8</f>
        <v>4670</v>
      </c>
      <c r="M3" s="4">
        <f>Hotel!Y8</f>
        <v>5450</v>
      </c>
      <c r="N3" s="4">
        <f>Hotel!Z8</f>
        <v>2720</v>
      </c>
      <c r="O3" s="4">
        <f>Hotel!AA8</f>
        <v>3200</v>
      </c>
      <c r="P3" s="4">
        <f>Hotel!AB8</f>
        <v>7130</v>
      </c>
      <c r="Q3" s="4">
        <f>Hotel!AC8</f>
        <v>8050</v>
      </c>
      <c r="R3" s="4">
        <f>Hotel!AV8*0.00378541*100</f>
        <v>899.03487499999994</v>
      </c>
      <c r="S3" s="4">
        <f>Hotel!B8</f>
        <v>128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2021</v>
      </c>
      <c r="E4" s="4">
        <f>Hotel!Q9</f>
        <v>12860</v>
      </c>
      <c r="F4" s="4">
        <f>Hotel!R9</f>
        <v>17280</v>
      </c>
      <c r="G4" s="4">
        <f>Hotel!S9</f>
        <v>4400</v>
      </c>
      <c r="H4" s="4">
        <f>Hotel!T9</f>
        <v>1930</v>
      </c>
      <c r="I4" s="4">
        <f>Hotel!U9</f>
        <v>4630</v>
      </c>
      <c r="J4" s="4">
        <f>Hotel!V9</f>
        <v>4050</v>
      </c>
      <c r="K4" s="4">
        <f>Hotel!W9</f>
        <v>2580</v>
      </c>
      <c r="L4" s="4">
        <f>Hotel!X9</f>
        <v>5360</v>
      </c>
      <c r="M4" s="4">
        <f>Hotel!Y9</f>
        <v>6170</v>
      </c>
      <c r="N4" s="4">
        <f>Hotel!Z9</f>
        <v>3210</v>
      </c>
      <c r="O4" s="4">
        <f>Hotel!AA9</f>
        <v>3600</v>
      </c>
      <c r="P4" s="4">
        <f>Hotel!AB9</f>
        <v>8210</v>
      </c>
      <c r="Q4" s="4">
        <f>Hotel!AC9</f>
        <v>9000</v>
      </c>
      <c r="R4" s="4">
        <f>Hotel!AV9*0.00378541*100</f>
        <v>1043.6375370000001</v>
      </c>
      <c r="S4" s="4">
        <f>Hotel!B9</f>
        <v>164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2021</v>
      </c>
      <c r="E5" s="4">
        <f>Hotel!Q10</f>
        <v>10340</v>
      </c>
      <c r="F5" s="4">
        <f>Hotel!R10</f>
        <v>13110</v>
      </c>
      <c r="G5" s="4">
        <f>Hotel!S10</f>
        <v>870</v>
      </c>
      <c r="H5" s="4">
        <f>Hotel!T10</f>
        <v>1650</v>
      </c>
      <c r="I5" s="4">
        <f>Hotel!U10</f>
        <v>3820</v>
      </c>
      <c r="J5" s="4">
        <f>Hotel!V10</f>
        <v>3580</v>
      </c>
      <c r="K5" s="4">
        <f>Hotel!W10</f>
        <v>2190</v>
      </c>
      <c r="L5" s="4">
        <f>Hotel!X10</f>
        <v>4480</v>
      </c>
      <c r="M5" s="4">
        <f>Hotel!Y10</f>
        <v>5210</v>
      </c>
      <c r="N5" s="4">
        <f>Hotel!Z10</f>
        <v>2550</v>
      </c>
      <c r="O5" s="4">
        <f>Hotel!AA10</f>
        <v>3010</v>
      </c>
      <c r="P5" s="4">
        <f>Hotel!AB10</f>
        <v>6830</v>
      </c>
      <c r="Q5" s="4">
        <f>Hotel!AC10</f>
        <v>8030</v>
      </c>
      <c r="R5" s="4">
        <f>Hotel!AV10*0.00378541*100</f>
        <v>917.96192499999995</v>
      </c>
      <c r="S5" s="4">
        <f>Hotel!B10</f>
        <v>71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2021</v>
      </c>
      <c r="E6" s="4">
        <f>Hotel!Q11</f>
        <v>10850</v>
      </c>
      <c r="F6" s="4">
        <f>Hotel!R11</f>
        <v>13520</v>
      </c>
      <c r="G6" s="4">
        <f>Hotel!S11</f>
        <v>160</v>
      </c>
      <c r="H6" s="4">
        <f>Hotel!T11</f>
        <v>1710</v>
      </c>
      <c r="I6" s="4">
        <f>Hotel!U11</f>
        <v>3890</v>
      </c>
      <c r="J6" s="4">
        <f>Hotel!V11</f>
        <v>3580</v>
      </c>
      <c r="K6" s="4">
        <f>Hotel!W11</f>
        <v>2350</v>
      </c>
      <c r="L6" s="4">
        <f>Hotel!X11</f>
        <v>4200</v>
      </c>
      <c r="M6" s="4">
        <f>Hotel!Y11</f>
        <v>5460</v>
      </c>
      <c r="N6" s="4">
        <f>Hotel!Z11</f>
        <v>2540</v>
      </c>
      <c r="O6" s="4">
        <f>Hotel!AA11</f>
        <v>3050</v>
      </c>
      <c r="P6" s="4">
        <f>Hotel!AB11</f>
        <v>7150</v>
      </c>
      <c r="Q6" s="4">
        <f>Hotel!AC11</f>
        <v>9850</v>
      </c>
      <c r="R6" s="4">
        <f>Hotel!AV11*0.00378541*100</f>
        <v>1016.7611259999999</v>
      </c>
      <c r="S6" s="4">
        <f>Hotel!B11</f>
        <v>65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2021</v>
      </c>
      <c r="E7" s="4">
        <f>Hotel!Q12</f>
        <v>10770</v>
      </c>
      <c r="F7" s="4">
        <f>Hotel!R12</f>
        <v>13650</v>
      </c>
      <c r="G7" s="4">
        <f>Hotel!S12</f>
        <v>150</v>
      </c>
      <c r="H7" s="4">
        <f>Hotel!T12</f>
        <v>1720</v>
      </c>
      <c r="I7" s="4">
        <f>Hotel!U12</f>
        <v>3980</v>
      </c>
      <c r="J7" s="4">
        <f>Hotel!V12</f>
        <v>3540</v>
      </c>
      <c r="K7" s="4">
        <f>Hotel!W12</f>
        <v>2350</v>
      </c>
      <c r="L7" s="4">
        <f>Hotel!X12</f>
        <v>4030</v>
      </c>
      <c r="M7" s="4">
        <f>Hotel!Y12</f>
        <v>5540</v>
      </c>
      <c r="N7" s="4">
        <f>Hotel!Z12</f>
        <v>2500</v>
      </c>
      <c r="O7" s="4">
        <f>Hotel!AA12</f>
        <v>3010</v>
      </c>
      <c r="P7" s="4">
        <f>Hotel!AB12</f>
        <v>7200</v>
      </c>
      <c r="Q7" s="4">
        <f>Hotel!AC12</f>
        <v>10070</v>
      </c>
      <c r="R7" s="4">
        <f>Hotel!AV12*0.00378541*100</f>
        <v>1085.6555880000001</v>
      </c>
      <c r="S7" s="4">
        <f>Hotel!B12</f>
        <v>78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2021</v>
      </c>
      <c r="E8" s="4">
        <f>Hotel!Q13</f>
        <v>10640</v>
      </c>
      <c r="F8" s="4">
        <f>Hotel!R13</f>
        <v>13450</v>
      </c>
      <c r="G8" s="4">
        <f>Hotel!S13</f>
        <v>150</v>
      </c>
      <c r="H8" s="4">
        <f>Hotel!T13</f>
        <v>1690</v>
      </c>
      <c r="I8" s="4">
        <f>Hotel!U13</f>
        <v>4010</v>
      </c>
      <c r="J8" s="4">
        <f>Hotel!V13</f>
        <v>3650</v>
      </c>
      <c r="K8" s="4">
        <f>Hotel!W13</f>
        <v>2310</v>
      </c>
      <c r="L8" s="4">
        <f>Hotel!X13</f>
        <v>4480</v>
      </c>
      <c r="M8" s="4">
        <f>Hotel!Y13</f>
        <v>5220</v>
      </c>
      <c r="N8" s="4">
        <f>Hotel!Z13</f>
        <v>2460</v>
      </c>
      <c r="O8" s="4">
        <f>Hotel!AA13</f>
        <v>2880</v>
      </c>
      <c r="P8" s="4">
        <f>Hotel!AB13</f>
        <v>7100</v>
      </c>
      <c r="Q8" s="4">
        <f>Hotel!AC13</f>
        <v>9760</v>
      </c>
      <c r="R8" s="4">
        <f>Hotel!AV13*0.00378541*100</f>
        <v>869.13013600000011</v>
      </c>
      <c r="S8" s="4">
        <f>Hotel!B13</f>
        <v>70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2021</v>
      </c>
      <c r="E9" s="4" t="str">
        <f>Hotel!Q14</f>
        <v>0</v>
      </c>
      <c r="F9" s="4" t="str">
        <f>Hotel!R14</f>
        <v>0</v>
      </c>
      <c r="G9" s="4" t="str">
        <f>Hotel!S14</f>
        <v>0</v>
      </c>
      <c r="H9" s="4" t="str">
        <f>Hotel!T14</f>
        <v>0</v>
      </c>
      <c r="I9" s="4" t="str">
        <f>Hotel!U14</f>
        <v>0</v>
      </c>
      <c r="J9" s="4" t="str">
        <f>Hotel!V14</f>
        <v>0</v>
      </c>
      <c r="K9" s="4" t="str">
        <f>Hotel!W14</f>
        <v>0</v>
      </c>
      <c r="L9" s="4" t="str">
        <f>Hotel!X14</f>
        <v>0</v>
      </c>
      <c r="M9" s="4" t="str">
        <f>Hotel!Y14</f>
        <v>0</v>
      </c>
      <c r="N9" s="4" t="str">
        <f>Hotel!Z14</f>
        <v>0</v>
      </c>
      <c r="O9" s="4" t="str">
        <f>Hotel!AA14</f>
        <v>0</v>
      </c>
      <c r="P9" s="4" t="str">
        <f>Hotel!AB14</f>
        <v>0</v>
      </c>
      <c r="Q9" s="4" t="str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13" sqref="AU13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44439</v>
      </c>
      <c r="B2" s="40">
        <v>101</v>
      </c>
      <c r="C2" s="24">
        <v>6779780</v>
      </c>
      <c r="D2" s="24">
        <v>16794070</v>
      </c>
      <c r="E2" s="24">
        <v>3043970</v>
      </c>
      <c r="F2" s="24">
        <v>3626120</v>
      </c>
      <c r="G2" s="24">
        <v>10739270</v>
      </c>
      <c r="H2" s="24">
        <v>5800570</v>
      </c>
      <c r="I2" s="24">
        <v>5277440</v>
      </c>
      <c r="J2" s="24">
        <v>6250830</v>
      </c>
      <c r="K2" s="24">
        <v>9618180</v>
      </c>
      <c r="L2" s="24">
        <v>4047250</v>
      </c>
      <c r="M2" s="24">
        <v>8157400</v>
      </c>
      <c r="N2" s="24">
        <v>12630130</v>
      </c>
      <c r="O2" s="24">
        <v>17402040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194902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194902</v>
      </c>
    </row>
    <row r="7" spans="1:49" x14ac:dyDescent="0.25">
      <c r="A7" s="23">
        <v>44440</v>
      </c>
      <c r="B7" s="40">
        <v>109</v>
      </c>
      <c r="C7" s="24">
        <v>6786980</v>
      </c>
      <c r="D7" s="24">
        <v>16804150</v>
      </c>
      <c r="E7" s="24">
        <v>3046310</v>
      </c>
      <c r="F7" s="24">
        <v>3627370</v>
      </c>
      <c r="G7" s="24">
        <v>10742200</v>
      </c>
      <c r="H7" s="24">
        <v>5803340</v>
      </c>
      <c r="I7" s="24">
        <v>5279110</v>
      </c>
      <c r="J7" s="24">
        <v>6254570</v>
      </c>
      <c r="K7" s="24">
        <v>9622050</v>
      </c>
      <c r="L7" s="24">
        <v>4049240</v>
      </c>
      <c r="M7" s="24">
        <v>8159580</v>
      </c>
      <c r="N7" s="24">
        <v>12635560</v>
      </c>
      <c r="O7" s="24">
        <v>17407930</v>
      </c>
      <c r="Q7" s="37">
        <f>IF((C7-C2&lt;0), "0",C7-C2)</f>
        <v>7200</v>
      </c>
      <c r="R7" s="37">
        <f t="shared" ref="R7:AC7" si="0">IF((D7-D2&lt;0), "0",D7-D2)</f>
        <v>10080</v>
      </c>
      <c r="S7" s="37">
        <f>IF((E7-E2&lt;0), "0",E7-E2)</f>
        <v>2340</v>
      </c>
      <c r="T7" s="37">
        <f t="shared" si="0"/>
        <v>1250</v>
      </c>
      <c r="U7" s="37">
        <f t="shared" si="0"/>
        <v>2930</v>
      </c>
      <c r="V7" s="37">
        <f t="shared" si="0"/>
        <v>2770</v>
      </c>
      <c r="W7" s="37">
        <f t="shared" si="0"/>
        <v>1670</v>
      </c>
      <c r="X7" s="37">
        <f t="shared" si="0"/>
        <v>3740</v>
      </c>
      <c r="Y7" s="37">
        <f t="shared" si="0"/>
        <v>3870</v>
      </c>
      <c r="Z7" s="37">
        <f t="shared" si="0"/>
        <v>1990</v>
      </c>
      <c r="AA7" s="37">
        <f t="shared" si="0"/>
        <v>2180</v>
      </c>
      <c r="AB7" s="37">
        <f t="shared" si="0"/>
        <v>5430</v>
      </c>
      <c r="AC7" s="37">
        <f t="shared" si="0"/>
        <v>5890</v>
      </c>
      <c r="AD7" s="34">
        <f>SUM(Q7:AC7)</f>
        <v>51340</v>
      </c>
      <c r="AF7" s="20">
        <f t="shared" ref="AF7:AF36" si="1">Q7*$D$39</f>
        <v>36</v>
      </c>
      <c r="AG7" s="20">
        <f t="shared" ref="AG7:AG36" si="2">R7*$D$39</f>
        <v>50.4</v>
      </c>
      <c r="AH7" s="20">
        <f t="shared" ref="AH7:AH36" si="3">S7*$D$39</f>
        <v>11.700000000000001</v>
      </c>
      <c r="AI7" s="20">
        <f t="shared" ref="AI7:AI36" si="4">T7*$D$39</f>
        <v>6.25</v>
      </c>
      <c r="AJ7" s="20">
        <f t="shared" ref="AJ7:AJ36" si="5">U7*$D$39</f>
        <v>14.65</v>
      </c>
      <c r="AK7" s="20">
        <f t="shared" ref="AK7:AK36" si="6">V7*$D$39</f>
        <v>13.85</v>
      </c>
      <c r="AL7" s="20">
        <f t="shared" ref="AL7:AL36" si="7">W7*$D$39</f>
        <v>8.35</v>
      </c>
      <c r="AM7" s="20">
        <f t="shared" ref="AM7:AM36" si="8">X7*$D$39</f>
        <v>18.7</v>
      </c>
      <c r="AN7" s="20">
        <f t="shared" ref="AN7:AN36" si="9">Y7*$D$39</f>
        <v>19.350000000000001</v>
      </c>
      <c r="AO7" s="20">
        <f t="shared" ref="AO7:AO36" si="10">Z7*$D$39</f>
        <v>9.9500000000000011</v>
      </c>
      <c r="AP7" s="20">
        <f t="shared" ref="AP7:AP36" si="11">AA7*$D$39</f>
        <v>10.9</v>
      </c>
      <c r="AQ7" s="20">
        <f t="shared" ref="AQ7:AQ36" si="12">AB7*$D$39</f>
        <v>27.150000000000002</v>
      </c>
      <c r="AR7" s="20">
        <f t="shared" ref="AR7:AR36" si="13">AC7*$D$39</f>
        <v>29.45</v>
      </c>
      <c r="AS7" s="35">
        <f>SUM(AF7:AR7)</f>
        <v>256.7</v>
      </c>
      <c r="AU7" s="47">
        <v>196995</v>
      </c>
      <c r="AV7" s="37">
        <f>IF((AU7-AU6&lt;0),"0",AU7-AU6)</f>
        <v>2093</v>
      </c>
      <c r="AW7" s="35">
        <f t="shared" ref="AW7:AW35" si="14">AV7*$D$40</f>
        <v>4.1859999999999999</v>
      </c>
    </row>
    <row r="8" spans="1:49" x14ac:dyDescent="0.25">
      <c r="A8" s="23">
        <v>44441</v>
      </c>
      <c r="B8" s="40">
        <v>128</v>
      </c>
      <c r="C8" s="24">
        <v>6797560</v>
      </c>
      <c r="D8" s="24">
        <v>16818610</v>
      </c>
      <c r="E8" s="24">
        <v>3048340</v>
      </c>
      <c r="F8" s="24">
        <v>3629060</v>
      </c>
      <c r="G8" s="24">
        <v>10746320</v>
      </c>
      <c r="H8" s="24">
        <v>5806920</v>
      </c>
      <c r="I8" s="24">
        <v>5281370</v>
      </c>
      <c r="J8" s="24">
        <v>6259240</v>
      </c>
      <c r="K8" s="24">
        <v>9627500</v>
      </c>
      <c r="L8" s="24">
        <v>4051960</v>
      </c>
      <c r="M8" s="24">
        <v>8162780</v>
      </c>
      <c r="N8" s="24">
        <v>12642690</v>
      </c>
      <c r="O8" s="24">
        <v>17415980</v>
      </c>
      <c r="Q8" s="37">
        <f>IF((C8-C7&lt;0), "0",C8-C7)</f>
        <v>10580</v>
      </c>
      <c r="R8" s="37">
        <f t="shared" ref="R8:AC8" si="15">IF((D8-D7&lt;0), "0",D8-D7)</f>
        <v>14460</v>
      </c>
      <c r="S8" s="37">
        <f t="shared" ref="S8:S35" si="16">IF((E8-E7&lt;0), "0",E8-E7)</f>
        <v>2030</v>
      </c>
      <c r="T8" s="37">
        <f t="shared" si="15"/>
        <v>1690</v>
      </c>
      <c r="U8" s="37">
        <f t="shared" si="15"/>
        <v>4120</v>
      </c>
      <c r="V8" s="37">
        <f t="shared" si="15"/>
        <v>3580</v>
      </c>
      <c r="W8" s="37">
        <f t="shared" si="15"/>
        <v>2260</v>
      </c>
      <c r="X8" s="37">
        <f t="shared" si="15"/>
        <v>4670</v>
      </c>
      <c r="Y8" s="37">
        <f t="shared" si="15"/>
        <v>5450</v>
      </c>
      <c r="Z8" s="37">
        <f t="shared" si="15"/>
        <v>2720</v>
      </c>
      <c r="AA8" s="37">
        <f t="shared" si="15"/>
        <v>3200</v>
      </c>
      <c r="AB8" s="37">
        <f t="shared" si="15"/>
        <v>7130</v>
      </c>
      <c r="AC8" s="37">
        <f t="shared" si="15"/>
        <v>8050</v>
      </c>
      <c r="AD8" s="35">
        <f>SUM(Q8:AC8)</f>
        <v>69940</v>
      </c>
      <c r="AF8" s="20">
        <f t="shared" si="1"/>
        <v>52.9</v>
      </c>
      <c r="AG8" s="20">
        <f t="shared" si="2"/>
        <v>72.3</v>
      </c>
      <c r="AH8" s="20">
        <f t="shared" si="3"/>
        <v>10.15</v>
      </c>
      <c r="AI8" s="20">
        <f t="shared" si="4"/>
        <v>8.4499999999999993</v>
      </c>
      <c r="AJ8" s="20">
        <f t="shared" si="5"/>
        <v>20.6</v>
      </c>
      <c r="AK8" s="20">
        <f t="shared" si="6"/>
        <v>17.900000000000002</v>
      </c>
      <c r="AL8" s="20">
        <f t="shared" si="7"/>
        <v>11.3</v>
      </c>
      <c r="AM8" s="20">
        <f t="shared" si="8"/>
        <v>23.35</v>
      </c>
      <c r="AN8" s="20">
        <f t="shared" si="9"/>
        <v>27.25</v>
      </c>
      <c r="AO8" s="20">
        <f t="shared" si="10"/>
        <v>13.6</v>
      </c>
      <c r="AP8" s="20">
        <f t="shared" si="11"/>
        <v>16</v>
      </c>
      <c r="AQ8" s="20">
        <f t="shared" si="12"/>
        <v>35.65</v>
      </c>
      <c r="AR8" s="20">
        <f t="shared" si="13"/>
        <v>40.25</v>
      </c>
      <c r="AS8" s="35">
        <f>SUM(AF8:AR8)</f>
        <v>349.7</v>
      </c>
      <c r="AU8" s="47">
        <v>199370</v>
      </c>
      <c r="AV8" s="37">
        <f>IF((AU8-AU7&lt;0),"0",AU8-AU7)</f>
        <v>2375</v>
      </c>
      <c r="AW8" s="35">
        <f t="shared" si="14"/>
        <v>4.75</v>
      </c>
    </row>
    <row r="9" spans="1:49" x14ac:dyDescent="0.25">
      <c r="A9" s="23">
        <v>44442</v>
      </c>
      <c r="B9" s="40">
        <v>164</v>
      </c>
      <c r="C9" s="24">
        <v>6810420</v>
      </c>
      <c r="D9" s="24">
        <v>16835890</v>
      </c>
      <c r="E9" s="24">
        <v>3052740</v>
      </c>
      <c r="F9" s="24">
        <v>3630990</v>
      </c>
      <c r="G9" s="24">
        <v>10750950</v>
      </c>
      <c r="H9" s="24">
        <v>5810970</v>
      </c>
      <c r="I9" s="24">
        <v>5283950</v>
      </c>
      <c r="J9" s="24">
        <v>6264600</v>
      </c>
      <c r="K9" s="24">
        <v>9633670</v>
      </c>
      <c r="L9" s="24">
        <v>4055170</v>
      </c>
      <c r="M9" s="24">
        <v>8166380</v>
      </c>
      <c r="N9" s="24">
        <v>12650900</v>
      </c>
      <c r="O9" s="24">
        <v>17424980</v>
      </c>
      <c r="Q9" s="37">
        <f t="shared" ref="Q9:Q30" si="17">IF((C9-C8&lt;0), "0",C9-C8)</f>
        <v>12860</v>
      </c>
      <c r="R9" s="37">
        <f t="shared" ref="R9:R35" si="18">IF((D9-D8&lt;0), "0",D9-D8)</f>
        <v>17280</v>
      </c>
      <c r="S9" s="37">
        <f t="shared" si="16"/>
        <v>4400</v>
      </c>
      <c r="T9" s="37">
        <f t="shared" ref="T9:T35" si="19">IF((F9-F8&lt;0), "0",F9-F8)</f>
        <v>1930</v>
      </c>
      <c r="U9" s="37">
        <f t="shared" ref="U9:U35" si="20">IF((G9-G8&lt;0), "0",G9-G8)</f>
        <v>4630</v>
      </c>
      <c r="V9" s="37">
        <f t="shared" ref="V9:V35" si="21">IF((H9-H8&lt;0), "0",H9-H8)</f>
        <v>4050</v>
      </c>
      <c r="W9" s="37">
        <f t="shared" ref="W9:W35" si="22">IF((I9-I8&lt;0), "0",I9-I8)</f>
        <v>2580</v>
      </c>
      <c r="X9" s="37">
        <f t="shared" ref="X9:X35" si="23">IF((J9-J8&lt;0), "0",J9-J8)</f>
        <v>5360</v>
      </c>
      <c r="Y9" s="37">
        <f t="shared" ref="Y9:Y35" si="24">IF((K9-K8&lt;0), "0",K9-K8)</f>
        <v>6170</v>
      </c>
      <c r="Z9" s="37">
        <f t="shared" ref="Z9:Z35" si="25">IF((L9-L8&lt;0), "0",L9-L8)</f>
        <v>3210</v>
      </c>
      <c r="AA9" s="37">
        <f t="shared" ref="AA9:AA35" si="26">IF((M9-M8&lt;0), "0",M9-M8)</f>
        <v>3600</v>
      </c>
      <c r="AB9" s="37">
        <f t="shared" ref="AB9:AB37" si="27">IF((N9-N8&lt;0), "0",N9-N8)</f>
        <v>8210</v>
      </c>
      <c r="AC9" s="37">
        <f t="shared" ref="AC9:AC37" si="28">IF((O9-O8&lt;0), "0",O9-O8)</f>
        <v>9000</v>
      </c>
      <c r="AD9" s="35">
        <f t="shared" ref="AD9:AD37" si="29">SUM(Q9:AC9)</f>
        <v>83280</v>
      </c>
      <c r="AF9" s="20">
        <f t="shared" si="1"/>
        <v>64.3</v>
      </c>
      <c r="AG9" s="20">
        <f t="shared" si="2"/>
        <v>86.4</v>
      </c>
      <c r="AH9" s="20">
        <f t="shared" si="3"/>
        <v>22</v>
      </c>
      <c r="AI9" s="20">
        <f t="shared" si="4"/>
        <v>9.65</v>
      </c>
      <c r="AJ9" s="20">
        <f t="shared" si="5"/>
        <v>23.150000000000002</v>
      </c>
      <c r="AK9" s="20">
        <f t="shared" si="6"/>
        <v>20.25</v>
      </c>
      <c r="AL9" s="20">
        <f t="shared" si="7"/>
        <v>12.9</v>
      </c>
      <c r="AM9" s="20">
        <f t="shared" si="8"/>
        <v>26.8</v>
      </c>
      <c r="AN9" s="20">
        <f t="shared" si="9"/>
        <v>30.85</v>
      </c>
      <c r="AO9" s="20">
        <f t="shared" si="10"/>
        <v>16.05</v>
      </c>
      <c r="AP9" s="20">
        <f t="shared" si="11"/>
        <v>18</v>
      </c>
      <c r="AQ9" s="20">
        <f t="shared" si="12"/>
        <v>41.050000000000004</v>
      </c>
      <c r="AR9" s="20">
        <f t="shared" si="13"/>
        <v>45</v>
      </c>
      <c r="AS9" s="35">
        <f t="shared" ref="AS9:AS33" si="30">SUM(AF9:AR9)</f>
        <v>416.40000000000003</v>
      </c>
      <c r="AU9" s="47">
        <v>202127</v>
      </c>
      <c r="AV9" s="37">
        <f>IF((AU9-AU8&lt;0),"0",AU9-AU8)</f>
        <v>2757</v>
      </c>
      <c r="AW9" s="35">
        <f t="shared" si="14"/>
        <v>5.5140000000000002</v>
      </c>
    </row>
    <row r="10" spans="1:49" x14ac:dyDescent="0.25">
      <c r="A10" s="23">
        <v>44443</v>
      </c>
      <c r="B10" s="40">
        <v>71</v>
      </c>
      <c r="C10" s="24">
        <v>6820760</v>
      </c>
      <c r="D10" s="24">
        <v>16849000</v>
      </c>
      <c r="E10" s="24">
        <v>3053610</v>
      </c>
      <c r="F10" s="24">
        <v>3632640</v>
      </c>
      <c r="G10" s="24">
        <v>10754770</v>
      </c>
      <c r="H10" s="24">
        <v>5814550</v>
      </c>
      <c r="I10" s="24">
        <v>5286140</v>
      </c>
      <c r="J10" s="24">
        <v>6269080</v>
      </c>
      <c r="K10" s="24">
        <v>9638880</v>
      </c>
      <c r="L10" s="24">
        <v>4057720</v>
      </c>
      <c r="M10" s="24">
        <v>8169390</v>
      </c>
      <c r="N10" s="24">
        <v>12657730</v>
      </c>
      <c r="O10" s="24">
        <v>17433010</v>
      </c>
      <c r="Q10" s="37">
        <f t="shared" si="17"/>
        <v>10340</v>
      </c>
      <c r="R10" s="37">
        <f t="shared" si="18"/>
        <v>13110</v>
      </c>
      <c r="S10" s="37">
        <f t="shared" si="16"/>
        <v>870</v>
      </c>
      <c r="T10" s="37">
        <f t="shared" si="19"/>
        <v>1650</v>
      </c>
      <c r="U10" s="37">
        <f t="shared" si="20"/>
        <v>3820</v>
      </c>
      <c r="V10" s="37">
        <f t="shared" si="21"/>
        <v>3580</v>
      </c>
      <c r="W10" s="37">
        <f t="shared" si="22"/>
        <v>2190</v>
      </c>
      <c r="X10" s="37">
        <f t="shared" si="23"/>
        <v>4480</v>
      </c>
      <c r="Y10" s="37">
        <f t="shared" si="24"/>
        <v>5210</v>
      </c>
      <c r="Z10" s="37">
        <f t="shared" si="25"/>
        <v>2550</v>
      </c>
      <c r="AA10" s="37">
        <f t="shared" si="26"/>
        <v>3010</v>
      </c>
      <c r="AB10" s="37">
        <f t="shared" si="27"/>
        <v>6830</v>
      </c>
      <c r="AC10" s="37">
        <f t="shared" si="28"/>
        <v>8030</v>
      </c>
      <c r="AD10" s="35">
        <f t="shared" si="29"/>
        <v>65670</v>
      </c>
      <c r="AF10" s="20">
        <f t="shared" si="1"/>
        <v>51.7</v>
      </c>
      <c r="AG10" s="20">
        <f t="shared" si="2"/>
        <v>65.55</v>
      </c>
      <c r="AH10" s="20">
        <f t="shared" si="3"/>
        <v>4.3500000000000005</v>
      </c>
      <c r="AI10" s="20">
        <f t="shared" si="4"/>
        <v>8.25</v>
      </c>
      <c r="AJ10" s="20">
        <f t="shared" si="5"/>
        <v>19.100000000000001</v>
      </c>
      <c r="AK10" s="20">
        <f t="shared" si="6"/>
        <v>17.900000000000002</v>
      </c>
      <c r="AL10" s="20">
        <f t="shared" si="7"/>
        <v>10.950000000000001</v>
      </c>
      <c r="AM10" s="20">
        <f t="shared" si="8"/>
        <v>22.400000000000002</v>
      </c>
      <c r="AN10" s="20">
        <f t="shared" si="9"/>
        <v>26.05</v>
      </c>
      <c r="AO10" s="20">
        <f t="shared" si="10"/>
        <v>12.75</v>
      </c>
      <c r="AP10" s="20">
        <f t="shared" si="11"/>
        <v>15.05</v>
      </c>
      <c r="AQ10" s="20">
        <f t="shared" si="12"/>
        <v>34.15</v>
      </c>
      <c r="AR10" s="20">
        <f t="shared" si="13"/>
        <v>40.15</v>
      </c>
      <c r="AS10" s="35">
        <f t="shared" si="30"/>
        <v>328.34999999999997</v>
      </c>
      <c r="AU10" s="47">
        <v>204552</v>
      </c>
      <c r="AV10" s="37">
        <f t="shared" ref="AV10:AV26" si="31">IF((AU10-AU9&lt;0),"0",AU10-AU9)</f>
        <v>2425</v>
      </c>
      <c r="AW10" s="35">
        <f t="shared" si="14"/>
        <v>4.8500000000000005</v>
      </c>
    </row>
    <row r="11" spans="1:49" x14ac:dyDescent="0.25">
      <c r="A11" s="23">
        <v>44444</v>
      </c>
      <c r="B11" s="40">
        <v>65</v>
      </c>
      <c r="C11" s="24">
        <v>6831610</v>
      </c>
      <c r="D11" s="24">
        <v>16862520</v>
      </c>
      <c r="E11" s="24">
        <v>3053770</v>
      </c>
      <c r="F11" s="24">
        <v>3634350</v>
      </c>
      <c r="G11" s="24">
        <v>10758660</v>
      </c>
      <c r="H11" s="24">
        <v>5818130</v>
      </c>
      <c r="I11" s="24">
        <v>5288490</v>
      </c>
      <c r="J11" s="24">
        <v>6273280</v>
      </c>
      <c r="K11" s="24">
        <v>9644340</v>
      </c>
      <c r="L11" s="24">
        <v>4060260</v>
      </c>
      <c r="M11" s="24">
        <v>8172440</v>
      </c>
      <c r="N11" s="24">
        <v>12664880</v>
      </c>
      <c r="O11" s="24">
        <v>17442860</v>
      </c>
      <c r="Q11" s="37">
        <f t="shared" si="17"/>
        <v>10850</v>
      </c>
      <c r="R11" s="37">
        <f t="shared" si="18"/>
        <v>13520</v>
      </c>
      <c r="S11" s="37">
        <f t="shared" si="16"/>
        <v>160</v>
      </c>
      <c r="T11" s="37">
        <f t="shared" si="19"/>
        <v>1710</v>
      </c>
      <c r="U11" s="37">
        <f t="shared" si="20"/>
        <v>3890</v>
      </c>
      <c r="V11" s="37">
        <f t="shared" si="21"/>
        <v>3580</v>
      </c>
      <c r="W11" s="37">
        <f t="shared" si="22"/>
        <v>2350</v>
      </c>
      <c r="X11" s="37">
        <f t="shared" si="23"/>
        <v>4200</v>
      </c>
      <c r="Y11" s="37">
        <f t="shared" si="24"/>
        <v>5460</v>
      </c>
      <c r="Z11" s="37">
        <f t="shared" si="25"/>
        <v>2540</v>
      </c>
      <c r="AA11" s="37">
        <f t="shared" si="26"/>
        <v>3050</v>
      </c>
      <c r="AB11" s="37">
        <f t="shared" si="27"/>
        <v>7150</v>
      </c>
      <c r="AC11" s="37">
        <f t="shared" si="28"/>
        <v>9850</v>
      </c>
      <c r="AD11" s="35">
        <f t="shared" si="29"/>
        <v>68310</v>
      </c>
      <c r="AF11" s="20">
        <f t="shared" si="1"/>
        <v>54.25</v>
      </c>
      <c r="AG11" s="20">
        <f t="shared" si="2"/>
        <v>67.599999999999994</v>
      </c>
      <c r="AH11" s="20">
        <f t="shared" si="3"/>
        <v>0.8</v>
      </c>
      <c r="AI11" s="20">
        <f t="shared" si="4"/>
        <v>8.5500000000000007</v>
      </c>
      <c r="AJ11" s="20">
        <f t="shared" si="5"/>
        <v>19.45</v>
      </c>
      <c r="AK11" s="20">
        <f t="shared" si="6"/>
        <v>17.900000000000002</v>
      </c>
      <c r="AL11" s="20">
        <f t="shared" si="7"/>
        <v>11.75</v>
      </c>
      <c r="AM11" s="20">
        <f t="shared" si="8"/>
        <v>21</v>
      </c>
      <c r="AN11" s="20">
        <f t="shared" si="9"/>
        <v>27.3</v>
      </c>
      <c r="AO11" s="20">
        <f t="shared" si="10"/>
        <v>12.700000000000001</v>
      </c>
      <c r="AP11" s="20">
        <f t="shared" si="11"/>
        <v>15.25</v>
      </c>
      <c r="AQ11" s="20">
        <f t="shared" si="12"/>
        <v>35.75</v>
      </c>
      <c r="AR11" s="20">
        <f t="shared" si="13"/>
        <v>49.25</v>
      </c>
      <c r="AS11" s="35">
        <f t="shared" si="30"/>
        <v>341.54999999999995</v>
      </c>
      <c r="AU11" s="47">
        <v>207238</v>
      </c>
      <c r="AV11" s="37">
        <f t="shared" si="31"/>
        <v>2686</v>
      </c>
      <c r="AW11" s="35">
        <f t="shared" si="14"/>
        <v>5.3719999999999999</v>
      </c>
    </row>
    <row r="12" spans="1:49" x14ac:dyDescent="0.25">
      <c r="A12" s="23">
        <v>44445</v>
      </c>
      <c r="B12" s="40">
        <v>78</v>
      </c>
      <c r="C12" s="49">
        <v>6842380</v>
      </c>
      <c r="D12" s="24">
        <v>16876170</v>
      </c>
      <c r="E12" s="24">
        <v>3053920</v>
      </c>
      <c r="F12" s="24">
        <v>3636070</v>
      </c>
      <c r="G12" s="24">
        <v>10762640</v>
      </c>
      <c r="H12" s="24">
        <v>5821670</v>
      </c>
      <c r="I12" s="24">
        <v>5290840</v>
      </c>
      <c r="J12" s="24">
        <v>6277310</v>
      </c>
      <c r="K12" s="24">
        <v>9649880</v>
      </c>
      <c r="L12" s="24">
        <v>4062760</v>
      </c>
      <c r="M12" s="24">
        <v>8175450</v>
      </c>
      <c r="N12" s="24">
        <v>12672080</v>
      </c>
      <c r="O12" s="24">
        <v>17452930</v>
      </c>
      <c r="Q12" s="37">
        <f t="shared" si="17"/>
        <v>10770</v>
      </c>
      <c r="R12" s="37">
        <f t="shared" si="18"/>
        <v>13650</v>
      </c>
      <c r="S12" s="37">
        <f t="shared" si="16"/>
        <v>150</v>
      </c>
      <c r="T12" s="37">
        <f t="shared" ref="T12:W14" si="32">IF((F12-F11&lt;0), "0",F12-F11)</f>
        <v>1720</v>
      </c>
      <c r="U12" s="37">
        <f t="shared" si="32"/>
        <v>3980</v>
      </c>
      <c r="V12" s="37">
        <f t="shared" si="32"/>
        <v>3540</v>
      </c>
      <c r="W12" s="37">
        <f t="shared" si="32"/>
        <v>2350</v>
      </c>
      <c r="X12" s="37">
        <f t="shared" si="23"/>
        <v>4030</v>
      </c>
      <c r="Y12" s="37">
        <f t="shared" si="24"/>
        <v>5540</v>
      </c>
      <c r="Z12" s="37">
        <f>IF((L12-L11&lt;0), "0",L12-L11)</f>
        <v>2500</v>
      </c>
      <c r="AA12" s="37">
        <f t="shared" si="26"/>
        <v>3010</v>
      </c>
      <c r="AB12" s="37">
        <f t="shared" si="27"/>
        <v>7200</v>
      </c>
      <c r="AC12" s="37">
        <f t="shared" si="28"/>
        <v>10070</v>
      </c>
      <c r="AD12" s="35">
        <f t="shared" si="29"/>
        <v>68510</v>
      </c>
      <c r="AF12" s="20">
        <f t="shared" si="1"/>
        <v>53.85</v>
      </c>
      <c r="AG12" s="20">
        <f t="shared" si="2"/>
        <v>68.25</v>
      </c>
      <c r="AH12" s="20">
        <f t="shared" si="3"/>
        <v>0.75</v>
      </c>
      <c r="AI12" s="20">
        <f t="shared" si="4"/>
        <v>8.6</v>
      </c>
      <c r="AJ12" s="20">
        <f t="shared" si="5"/>
        <v>19.900000000000002</v>
      </c>
      <c r="AK12" s="20">
        <f t="shared" si="6"/>
        <v>17.7</v>
      </c>
      <c r="AL12" s="20">
        <f t="shared" si="7"/>
        <v>11.75</v>
      </c>
      <c r="AM12" s="20">
        <f t="shared" si="8"/>
        <v>20.150000000000002</v>
      </c>
      <c r="AN12" s="20">
        <f t="shared" si="9"/>
        <v>27.7</v>
      </c>
      <c r="AO12" s="20">
        <f t="shared" si="10"/>
        <v>12.5</v>
      </c>
      <c r="AP12" s="20">
        <f t="shared" si="11"/>
        <v>15.05</v>
      </c>
      <c r="AQ12" s="20">
        <f t="shared" si="12"/>
        <v>36</v>
      </c>
      <c r="AR12" s="20">
        <f t="shared" si="13"/>
        <v>50.35</v>
      </c>
      <c r="AS12" s="35">
        <f t="shared" si="30"/>
        <v>342.55</v>
      </c>
      <c r="AU12" s="47">
        <v>210106</v>
      </c>
      <c r="AV12" s="37">
        <f t="shared" si="31"/>
        <v>2868</v>
      </c>
      <c r="AW12" s="35">
        <f t="shared" si="14"/>
        <v>5.7359999999999998</v>
      </c>
    </row>
    <row r="13" spans="1:49" x14ac:dyDescent="0.25">
      <c r="A13" s="23">
        <v>44446</v>
      </c>
      <c r="B13" s="40">
        <v>70</v>
      </c>
      <c r="C13" s="24">
        <v>6853020</v>
      </c>
      <c r="D13" s="24">
        <v>16889620</v>
      </c>
      <c r="E13" s="24">
        <v>3054070</v>
      </c>
      <c r="F13" s="24">
        <v>3637760</v>
      </c>
      <c r="G13" s="24">
        <v>10766650</v>
      </c>
      <c r="H13" s="24">
        <v>5825320</v>
      </c>
      <c r="I13" s="24">
        <v>5293150</v>
      </c>
      <c r="J13" s="24">
        <v>6281790</v>
      </c>
      <c r="K13" s="24">
        <v>9655100</v>
      </c>
      <c r="L13" s="24">
        <v>4065220</v>
      </c>
      <c r="M13" s="24">
        <v>8178330</v>
      </c>
      <c r="N13" s="24">
        <v>12679180</v>
      </c>
      <c r="O13" s="24">
        <v>17462690</v>
      </c>
      <c r="Q13" s="37">
        <f t="shared" si="17"/>
        <v>10640</v>
      </c>
      <c r="R13" s="37">
        <f t="shared" si="18"/>
        <v>13450</v>
      </c>
      <c r="S13" s="37">
        <f t="shared" si="16"/>
        <v>150</v>
      </c>
      <c r="T13" s="37">
        <f t="shared" si="32"/>
        <v>1690</v>
      </c>
      <c r="U13" s="37">
        <f t="shared" si="32"/>
        <v>4010</v>
      </c>
      <c r="V13" s="37">
        <f t="shared" si="32"/>
        <v>3650</v>
      </c>
      <c r="W13" s="37">
        <f t="shared" si="32"/>
        <v>2310</v>
      </c>
      <c r="X13" s="37">
        <f t="shared" si="23"/>
        <v>4480</v>
      </c>
      <c r="Y13" s="37">
        <f t="shared" si="24"/>
        <v>5220</v>
      </c>
      <c r="Z13" s="37">
        <f>IF((L13-L12&lt;0), "0",L13-L12)</f>
        <v>2460</v>
      </c>
      <c r="AA13" s="37">
        <f t="shared" si="26"/>
        <v>2880</v>
      </c>
      <c r="AB13" s="37">
        <f t="shared" si="27"/>
        <v>7100</v>
      </c>
      <c r="AC13" s="37">
        <f t="shared" si="28"/>
        <v>9760</v>
      </c>
      <c r="AD13" s="35">
        <f t="shared" si="29"/>
        <v>67800</v>
      </c>
      <c r="AF13" s="20">
        <f t="shared" si="1"/>
        <v>53.2</v>
      </c>
      <c r="AG13" s="20">
        <f t="shared" si="2"/>
        <v>67.25</v>
      </c>
      <c r="AH13" s="20">
        <f t="shared" si="3"/>
        <v>0.75</v>
      </c>
      <c r="AI13" s="20">
        <f t="shared" si="4"/>
        <v>8.4499999999999993</v>
      </c>
      <c r="AJ13" s="20">
        <f t="shared" si="5"/>
        <v>20.05</v>
      </c>
      <c r="AK13" s="20">
        <f t="shared" si="6"/>
        <v>18.25</v>
      </c>
      <c r="AL13" s="20">
        <f t="shared" si="7"/>
        <v>11.55</v>
      </c>
      <c r="AM13" s="20">
        <f t="shared" si="8"/>
        <v>22.400000000000002</v>
      </c>
      <c r="AN13" s="20">
        <f t="shared" si="9"/>
        <v>26.1</v>
      </c>
      <c r="AO13" s="20">
        <f t="shared" si="10"/>
        <v>12.3</v>
      </c>
      <c r="AP13" s="20">
        <f t="shared" si="11"/>
        <v>14.4</v>
      </c>
      <c r="AQ13" s="20">
        <f t="shared" si="12"/>
        <v>35.5</v>
      </c>
      <c r="AR13" s="20">
        <f t="shared" si="13"/>
        <v>48.800000000000004</v>
      </c>
      <c r="AS13" s="35">
        <f t="shared" si="30"/>
        <v>339.00000000000006</v>
      </c>
      <c r="AU13" s="47">
        <v>212402</v>
      </c>
      <c r="AV13" s="37">
        <f t="shared" si="31"/>
        <v>2296</v>
      </c>
      <c r="AW13" s="35">
        <f t="shared" si="14"/>
        <v>4.5920000000000005</v>
      </c>
    </row>
    <row r="14" spans="1:49" x14ac:dyDescent="0.25">
      <c r="A14" s="23">
        <v>44447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 t="str">
        <f t="shared" si="17"/>
        <v>0</v>
      </c>
      <c r="R14" s="37" t="str">
        <f t="shared" si="18"/>
        <v>0</v>
      </c>
      <c r="S14" s="37" t="str">
        <f t="shared" si="16"/>
        <v>0</v>
      </c>
      <c r="T14" s="37" t="str">
        <f t="shared" si="32"/>
        <v>0</v>
      </c>
      <c r="U14" s="37" t="str">
        <f t="shared" si="32"/>
        <v>0</v>
      </c>
      <c r="V14" s="37" t="str">
        <f t="shared" si="32"/>
        <v>0</v>
      </c>
      <c r="W14" s="37" t="str">
        <f t="shared" si="32"/>
        <v>0</v>
      </c>
      <c r="X14" s="37" t="str">
        <f t="shared" si="23"/>
        <v>0</v>
      </c>
      <c r="Y14" s="37" t="str">
        <f t="shared" si="24"/>
        <v>0</v>
      </c>
      <c r="Z14" s="37" t="str">
        <f>IF((L14-L13&lt;0), "0",L14-L13)</f>
        <v>0</v>
      </c>
      <c r="AA14" s="37" t="str">
        <f t="shared" si="26"/>
        <v>0</v>
      </c>
      <c r="AB14" s="37" t="str">
        <f t="shared" si="27"/>
        <v>0</v>
      </c>
      <c r="AC14" s="37" t="str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 t="str">
        <f t="shared" si="31"/>
        <v>0</v>
      </c>
      <c r="AW14" s="35">
        <f t="shared" si="14"/>
        <v>0</v>
      </c>
    </row>
    <row r="15" spans="1:49" x14ac:dyDescent="0.25">
      <c r="A15" s="23">
        <v>44448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44449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44450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44451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44452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44453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44454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44455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44456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44457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44458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44459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44460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44461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44462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44463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44464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44465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44466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44467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44468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44469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73240</v>
      </c>
      <c r="R38" s="38">
        <f t="shared" ref="R38:AD38" si="62">SUM(R7:R37)</f>
        <v>95550</v>
      </c>
      <c r="S38" s="38">
        <f t="shared" si="62"/>
        <v>10100</v>
      </c>
      <c r="T38" s="38">
        <f t="shared" si="62"/>
        <v>11640</v>
      </c>
      <c r="U38" s="38">
        <f t="shared" si="62"/>
        <v>27380</v>
      </c>
      <c r="V38" s="38">
        <f t="shared" si="62"/>
        <v>24750</v>
      </c>
      <c r="W38" s="38">
        <f t="shared" si="62"/>
        <v>15710</v>
      </c>
      <c r="X38" s="38">
        <f t="shared" si="62"/>
        <v>30960</v>
      </c>
      <c r="Y38" s="38">
        <f t="shared" si="62"/>
        <v>36920</v>
      </c>
      <c r="Z38" s="38">
        <f t="shared" si="62"/>
        <v>17970</v>
      </c>
      <c r="AA38" s="38">
        <f t="shared" si="62"/>
        <v>20930</v>
      </c>
      <c r="AB38" s="38">
        <f t="shared" si="62"/>
        <v>49050</v>
      </c>
      <c r="AC38" s="38">
        <f t="shared" si="62"/>
        <v>60650</v>
      </c>
      <c r="AD38" s="38">
        <f t="shared" si="62"/>
        <v>474850</v>
      </c>
      <c r="AF38" s="35">
        <f>SUM(AF7:AF37)</f>
        <v>366.2</v>
      </c>
      <c r="AG38" s="35">
        <f t="shared" ref="AG38:AS38" si="63">SUM(AG7:AG37)</f>
        <v>477.75</v>
      </c>
      <c r="AH38" s="35">
        <f t="shared" si="63"/>
        <v>50.5</v>
      </c>
      <c r="AI38" s="35">
        <f t="shared" si="63"/>
        <v>58.2</v>
      </c>
      <c r="AJ38" s="35">
        <f t="shared" si="63"/>
        <v>136.9</v>
      </c>
      <c r="AK38" s="35">
        <f t="shared" si="63"/>
        <v>123.75000000000001</v>
      </c>
      <c r="AL38" s="35">
        <f t="shared" si="63"/>
        <v>78.55</v>
      </c>
      <c r="AM38" s="35">
        <f t="shared" si="63"/>
        <v>154.80000000000001</v>
      </c>
      <c r="AN38" s="35">
        <f t="shared" si="63"/>
        <v>184.6</v>
      </c>
      <c r="AO38" s="35">
        <f t="shared" si="63"/>
        <v>89.85</v>
      </c>
      <c r="AP38" s="35">
        <f t="shared" si="63"/>
        <v>104.65</v>
      </c>
      <c r="AQ38" s="35">
        <f t="shared" si="63"/>
        <v>245.25</v>
      </c>
      <c r="AR38" s="35">
        <f t="shared" si="63"/>
        <v>303.25</v>
      </c>
      <c r="AS38" s="35">
        <f t="shared" si="63"/>
        <v>2374.25</v>
      </c>
      <c r="AU38" s="48"/>
      <c r="AV38" s="34">
        <f>SUM(AV7:AV37)</f>
        <v>17500</v>
      </c>
      <c r="AW38" s="35">
        <f>SUM(AW7:AW37)</f>
        <v>35</v>
      </c>
    </row>
    <row r="39" spans="1:49" x14ac:dyDescent="0.25">
      <c r="D39">
        <v>5.0000000000000001E-3</v>
      </c>
      <c r="AV39" s="36">
        <f>AV38*0.00378541*1000</f>
        <v>66244.675000000003</v>
      </c>
    </row>
    <row r="40" spans="1:49" x14ac:dyDescent="0.25">
      <c r="D40">
        <v>2E-3</v>
      </c>
      <c r="AV40">
        <f>AV39/31</f>
        <v>2136.9250000000002</v>
      </c>
    </row>
    <row r="41" spans="1:49" x14ac:dyDescent="0.25">
      <c r="AV41">
        <f>AV38*0.00378541</f>
        <v>66.244675000000001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2021-09-08T05:23:51Z</dcterms:modified>
</cp:coreProperties>
</file>