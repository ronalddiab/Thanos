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Utilities December 2022\"/>
    </mc:Choice>
  </mc:AlternateContent>
  <xr:revisionPtr revIDLastSave="0" documentId="13_ncr:1_{696AE2C6-B4CF-4D1B-9542-48EC91C164BA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5" i="4" l="1"/>
  <c r="G35" i="4" s="1"/>
  <c r="M35" i="4"/>
  <c r="L35" i="4"/>
  <c r="N35" i="4" s="1"/>
  <c r="O35" i="4" s="1"/>
  <c r="P35" i="4" s="1"/>
  <c r="J35" i="4"/>
  <c r="K35" i="4" s="1"/>
  <c r="I35" i="4"/>
  <c r="AC34" i="4"/>
  <c r="M34" i="4"/>
  <c r="J34" i="4"/>
  <c r="K34" i="4" s="1"/>
  <c r="L33" i="4" s="1"/>
  <c r="N33" i="4" s="1"/>
  <c r="O33" i="4" s="1"/>
  <c r="P33" i="4" s="1"/>
  <c r="I34" i="4"/>
  <c r="G34" i="4"/>
  <c r="C34" i="4"/>
  <c r="AC33" i="4"/>
  <c r="G33" i="4" s="1"/>
  <c r="M33" i="4"/>
  <c r="J33" i="4"/>
  <c r="K33" i="4" s="1"/>
  <c r="I33" i="4"/>
  <c r="AC32" i="4"/>
  <c r="L32" i="4" s="1"/>
  <c r="N32" i="4" s="1"/>
  <c r="O32" i="4" s="1"/>
  <c r="P32" i="4" s="1"/>
  <c r="M32" i="4"/>
  <c r="J32" i="4"/>
  <c r="K32" i="4" s="1"/>
  <c r="I32" i="4"/>
  <c r="G32" i="4"/>
  <c r="C32" i="4"/>
  <c r="AC31" i="4"/>
  <c r="G31" i="4" s="1"/>
  <c r="M31" i="4"/>
  <c r="J31" i="4"/>
  <c r="K31" i="4" s="1"/>
  <c r="I31" i="4"/>
  <c r="AC30" i="4"/>
  <c r="M30" i="4"/>
  <c r="J30" i="4"/>
  <c r="K30" i="4" s="1"/>
  <c r="L29" i="4" s="1"/>
  <c r="N29" i="4" s="1"/>
  <c r="O29" i="4" s="1"/>
  <c r="P29" i="4" s="1"/>
  <c r="I30" i="4"/>
  <c r="G30" i="4"/>
  <c r="C30" i="4"/>
  <c r="AC29" i="4"/>
  <c r="G29" i="4" s="1"/>
  <c r="M29" i="4"/>
  <c r="J29" i="4"/>
  <c r="K29" i="4" s="1"/>
  <c r="I29" i="4"/>
  <c r="AC28" i="4"/>
  <c r="M28" i="4"/>
  <c r="J28" i="4"/>
  <c r="K28" i="4" s="1"/>
  <c r="L27" i="4" s="1"/>
  <c r="N27" i="4" s="1"/>
  <c r="O27" i="4" s="1"/>
  <c r="P27" i="4" s="1"/>
  <c r="I28" i="4"/>
  <c r="G28" i="4"/>
  <c r="C28" i="4"/>
  <c r="AC27" i="4"/>
  <c r="G27" i="4" s="1"/>
  <c r="M27" i="4"/>
  <c r="J27" i="4"/>
  <c r="K27" i="4" s="1"/>
  <c r="I27" i="4"/>
  <c r="AC26" i="4"/>
  <c r="M26" i="4"/>
  <c r="J26" i="4"/>
  <c r="K26" i="4" s="1"/>
  <c r="L25" i="4" s="1"/>
  <c r="N25" i="4" s="1"/>
  <c r="O25" i="4" s="1"/>
  <c r="P25" i="4" s="1"/>
  <c r="I26" i="4"/>
  <c r="G26" i="4"/>
  <c r="C26" i="4"/>
  <c r="AC25" i="4"/>
  <c r="G25" i="4" s="1"/>
  <c r="M25" i="4"/>
  <c r="J25" i="4"/>
  <c r="K25" i="4" s="1"/>
  <c r="I25" i="4"/>
  <c r="AC24" i="4"/>
  <c r="L24" i="4" s="1"/>
  <c r="N24" i="4" s="1"/>
  <c r="O24" i="4" s="1"/>
  <c r="P24" i="4" s="1"/>
  <c r="M24" i="4"/>
  <c r="J24" i="4"/>
  <c r="K24" i="4" s="1"/>
  <c r="I24" i="4"/>
  <c r="G24" i="4"/>
  <c r="C24" i="4"/>
  <c r="AC23" i="4"/>
  <c r="G23" i="4" s="1"/>
  <c r="M23" i="4"/>
  <c r="J23" i="4"/>
  <c r="K23" i="4" s="1"/>
  <c r="I23" i="4"/>
  <c r="AC22" i="4"/>
  <c r="M22" i="4"/>
  <c r="J22" i="4"/>
  <c r="K22" i="4" s="1"/>
  <c r="L21" i="4" s="1"/>
  <c r="N21" i="4" s="1"/>
  <c r="O21" i="4" s="1"/>
  <c r="P21" i="4" s="1"/>
  <c r="I22" i="4"/>
  <c r="G22" i="4"/>
  <c r="C22" i="4"/>
  <c r="AC21" i="4"/>
  <c r="G21" i="4" s="1"/>
  <c r="M21" i="4"/>
  <c r="J21" i="4"/>
  <c r="K21" i="4" s="1"/>
  <c r="I21" i="4"/>
  <c r="AC20" i="4"/>
  <c r="M20" i="4"/>
  <c r="J20" i="4"/>
  <c r="K20" i="4" s="1"/>
  <c r="L19" i="4" s="1"/>
  <c r="N19" i="4" s="1"/>
  <c r="O19" i="4" s="1"/>
  <c r="P19" i="4" s="1"/>
  <c r="I20" i="4"/>
  <c r="G20" i="4"/>
  <c r="C20" i="4"/>
  <c r="AC19" i="4"/>
  <c r="G19" i="4" s="1"/>
  <c r="M19" i="4"/>
  <c r="J19" i="4"/>
  <c r="K19" i="4" s="1"/>
  <c r="I19" i="4"/>
  <c r="AC18" i="4"/>
  <c r="M18" i="4"/>
  <c r="J18" i="4"/>
  <c r="K18" i="4" s="1"/>
  <c r="L17" i="4" s="1"/>
  <c r="N17" i="4" s="1"/>
  <c r="O17" i="4" s="1"/>
  <c r="P17" i="4" s="1"/>
  <c r="I18" i="4"/>
  <c r="G18" i="4"/>
  <c r="C18" i="4"/>
  <c r="AC17" i="4"/>
  <c r="G17" i="4" s="1"/>
  <c r="M17" i="4"/>
  <c r="J17" i="4"/>
  <c r="K17" i="4" s="1"/>
  <c r="I17" i="4"/>
  <c r="AC16" i="4"/>
  <c r="L16" i="4" s="1"/>
  <c r="N16" i="4" s="1"/>
  <c r="O16" i="4" s="1"/>
  <c r="P16" i="4" s="1"/>
  <c r="M16" i="4"/>
  <c r="J16" i="4"/>
  <c r="K16" i="4" s="1"/>
  <c r="G16" i="4"/>
  <c r="C16" i="4"/>
  <c r="AC15" i="4"/>
  <c r="G15" i="4" s="1"/>
  <c r="M15" i="4"/>
  <c r="J15" i="4"/>
  <c r="K15" i="4" s="1"/>
  <c r="I15" i="4"/>
  <c r="AC14" i="4"/>
  <c r="L14" i="4" s="1"/>
  <c r="N14" i="4" s="1"/>
  <c r="O14" i="4" s="1"/>
  <c r="P14" i="4" s="1"/>
  <c r="M14" i="4"/>
  <c r="J14" i="4"/>
  <c r="K14" i="4" s="1"/>
  <c r="G14" i="4"/>
  <c r="C14" i="4"/>
  <c r="AC13" i="4"/>
  <c r="G13" i="4" s="1"/>
  <c r="M13" i="4"/>
  <c r="J13" i="4"/>
  <c r="K13" i="4" s="1"/>
  <c r="I13" i="4"/>
  <c r="AC12" i="4"/>
  <c r="M12" i="4"/>
  <c r="J12" i="4"/>
  <c r="K12" i="4" s="1"/>
  <c r="G12" i="4"/>
  <c r="C12" i="4"/>
  <c r="AC11" i="4"/>
  <c r="G11" i="4" s="1"/>
  <c r="M11" i="4"/>
  <c r="J11" i="4"/>
  <c r="K11" i="4" s="1"/>
  <c r="I11" i="4"/>
  <c r="AC10" i="4"/>
  <c r="M10" i="4"/>
  <c r="J10" i="4"/>
  <c r="K10" i="4" s="1"/>
  <c r="L9" i="4" s="1"/>
  <c r="N9" i="4" s="1"/>
  <c r="O9" i="4" s="1"/>
  <c r="P9" i="4" s="1"/>
  <c r="I10" i="4"/>
  <c r="G10" i="4"/>
  <c r="C10" i="4"/>
  <c r="AC9" i="4"/>
  <c r="G9" i="4" s="1"/>
  <c r="M9" i="4"/>
  <c r="J9" i="4"/>
  <c r="K9" i="4" s="1"/>
  <c r="I9" i="4"/>
  <c r="AC8" i="4"/>
  <c r="M8" i="4"/>
  <c r="J8" i="4"/>
  <c r="K8" i="4" s="1"/>
  <c r="L7" i="4" s="1"/>
  <c r="N7" i="4" s="1"/>
  <c r="O7" i="4" s="1"/>
  <c r="P7" i="4" s="1"/>
  <c r="G8" i="4"/>
  <c r="C8" i="4"/>
  <c r="AC7" i="4"/>
  <c r="G7" i="4" s="1"/>
  <c r="M7" i="4"/>
  <c r="J7" i="4"/>
  <c r="K7" i="4" s="1"/>
  <c r="I7" i="4"/>
  <c r="AC6" i="4"/>
  <c r="M6" i="4"/>
  <c r="J6" i="4"/>
  <c r="K6" i="4" s="1"/>
  <c r="G6" i="4"/>
  <c r="C6" i="4"/>
  <c r="AC5" i="4"/>
  <c r="G5" i="4" s="1"/>
  <c r="M5" i="4"/>
  <c r="J5" i="4"/>
  <c r="K5" i="4" s="1"/>
  <c r="I5" i="4"/>
  <c r="AC4" i="4"/>
  <c r="M4" i="4"/>
  <c r="J4" i="4"/>
  <c r="K4" i="4" s="1"/>
  <c r="G4" i="4"/>
  <c r="C4" i="4"/>
  <c r="K39" i="6"/>
  <c r="I39" i="6"/>
  <c r="G39" i="6"/>
  <c r="E39" i="6"/>
  <c r="K38" i="6"/>
  <c r="I38" i="6"/>
  <c r="G38" i="6"/>
  <c r="E38" i="6"/>
  <c r="K37" i="6"/>
  <c r="I37" i="6"/>
  <c r="G37" i="6"/>
  <c r="E37" i="6"/>
  <c r="K36" i="6"/>
  <c r="I36" i="6"/>
  <c r="G36" i="6"/>
  <c r="E36" i="6"/>
  <c r="K35" i="6"/>
  <c r="I35" i="6"/>
  <c r="G35" i="6"/>
  <c r="E35" i="6"/>
  <c r="K34" i="6"/>
  <c r="I34" i="6"/>
  <c r="G34" i="6"/>
  <c r="E34" i="6"/>
  <c r="K33" i="6"/>
  <c r="I33" i="6"/>
  <c r="G33" i="6"/>
  <c r="E33" i="6"/>
  <c r="K32" i="6"/>
  <c r="I32" i="6"/>
  <c r="G32" i="6"/>
  <c r="E32" i="6"/>
  <c r="K31" i="6"/>
  <c r="I31" i="6"/>
  <c r="G31" i="6"/>
  <c r="E31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K24" i="6"/>
  <c r="I24" i="6"/>
  <c r="G24" i="6"/>
  <c r="E24" i="6"/>
  <c r="K23" i="6"/>
  <c r="I23" i="6"/>
  <c r="G23" i="6"/>
  <c r="E23" i="6"/>
  <c r="K22" i="6"/>
  <c r="I22" i="6"/>
  <c r="G22" i="6"/>
  <c r="E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C18" i="6"/>
  <c r="K17" i="6"/>
  <c r="I17" i="6"/>
  <c r="G17" i="6"/>
  <c r="E17" i="6"/>
  <c r="D17" i="6"/>
  <c r="E18" i="6" s="1"/>
  <c r="C17" i="6"/>
  <c r="K16" i="6"/>
  <c r="I16" i="6"/>
  <c r="G16" i="6"/>
  <c r="E16" i="6"/>
  <c r="D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K9" i="6"/>
  <c r="I9" i="6"/>
  <c r="G9" i="6"/>
  <c r="E9" i="6"/>
  <c r="L26" i="4" l="1"/>
  <c r="N26" i="4" s="1"/>
  <c r="O26" i="4" s="1"/>
  <c r="P26" i="4" s="1"/>
  <c r="L34" i="4"/>
  <c r="N34" i="4" s="1"/>
  <c r="O34" i="4" s="1"/>
  <c r="P34" i="4" s="1"/>
  <c r="L8" i="4"/>
  <c r="N8" i="4" s="1"/>
  <c r="O8" i="4" s="1"/>
  <c r="P8" i="4" s="1"/>
  <c r="L20" i="4"/>
  <c r="N20" i="4" s="1"/>
  <c r="O20" i="4" s="1"/>
  <c r="P20" i="4" s="1"/>
  <c r="L28" i="4"/>
  <c r="N28" i="4" s="1"/>
  <c r="O28" i="4" s="1"/>
  <c r="P28" i="4" s="1"/>
  <c r="L6" i="4"/>
  <c r="N6" i="4" s="1"/>
  <c r="O6" i="4" s="1"/>
  <c r="P6" i="4" s="1"/>
  <c r="L18" i="4"/>
  <c r="N18" i="4" s="1"/>
  <c r="O18" i="4" s="1"/>
  <c r="P18" i="4" s="1"/>
  <c r="L11" i="4"/>
  <c r="N11" i="4" s="1"/>
  <c r="O11" i="4" s="1"/>
  <c r="P11" i="4" s="1"/>
  <c r="L13" i="4"/>
  <c r="N13" i="4" s="1"/>
  <c r="O13" i="4" s="1"/>
  <c r="P13" i="4" s="1"/>
  <c r="L4" i="4"/>
  <c r="N4" i="4" s="1"/>
  <c r="O4" i="4" s="1"/>
  <c r="P4" i="4" s="1"/>
  <c r="L12" i="4"/>
  <c r="N12" i="4" s="1"/>
  <c r="O12" i="4" s="1"/>
  <c r="P12" i="4" s="1"/>
  <c r="L15" i="4"/>
  <c r="N15" i="4" s="1"/>
  <c r="O15" i="4" s="1"/>
  <c r="P15" i="4" s="1"/>
  <c r="L22" i="4"/>
  <c r="N22" i="4" s="1"/>
  <c r="O22" i="4" s="1"/>
  <c r="P22" i="4" s="1"/>
  <c r="L23" i="4"/>
  <c r="N23" i="4" s="1"/>
  <c r="O23" i="4" s="1"/>
  <c r="P23" i="4" s="1"/>
  <c r="L31" i="4"/>
  <c r="N31" i="4" s="1"/>
  <c r="O31" i="4" s="1"/>
  <c r="P31" i="4" s="1"/>
  <c r="E4" i="4"/>
  <c r="E6" i="4"/>
  <c r="E8" i="4"/>
  <c r="E10" i="4"/>
  <c r="E12" i="4"/>
  <c r="E14" i="4"/>
  <c r="E16" i="4"/>
  <c r="E18" i="4"/>
  <c r="E20" i="4"/>
  <c r="E22" i="4"/>
  <c r="E24" i="4"/>
  <c r="E26" i="4"/>
  <c r="E28" i="4"/>
  <c r="E30" i="4"/>
  <c r="E32" i="4"/>
  <c r="E34" i="4"/>
  <c r="I6" i="4"/>
  <c r="I16" i="4"/>
  <c r="C5" i="4"/>
  <c r="C7" i="4"/>
  <c r="C9" i="4"/>
  <c r="C11" i="4"/>
  <c r="C13" i="4"/>
  <c r="C15" i="4"/>
  <c r="C17" i="4"/>
  <c r="C19" i="4"/>
  <c r="C21" i="4"/>
  <c r="C23" i="4"/>
  <c r="C25" i="4"/>
  <c r="C27" i="4"/>
  <c r="C29" i="4"/>
  <c r="C31" i="4"/>
  <c r="C33" i="4"/>
  <c r="C35" i="4"/>
  <c r="E5" i="4"/>
  <c r="E7" i="4"/>
  <c r="E9" i="4"/>
  <c r="E11" i="4"/>
  <c r="E13" i="4"/>
  <c r="E15" i="4"/>
  <c r="E17" i="4"/>
  <c r="E19" i="4"/>
  <c r="E21" i="4"/>
  <c r="E23" i="4"/>
  <c r="E25" i="4"/>
  <c r="E27" i="4"/>
  <c r="E29" i="4"/>
  <c r="E31" i="4"/>
  <c r="E33" i="4"/>
  <c r="E35" i="4"/>
  <c r="I4" i="4"/>
  <c r="I8" i="4"/>
  <c r="I12" i="4"/>
  <c r="I14" i="4"/>
  <c r="L17" i="2"/>
  <c r="N16" i="2"/>
  <c r="L16" i="2"/>
  <c r="E8" i="21" s="1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G19" i="21" s="1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E16" i="21" s="1"/>
  <c r="F24" i="2"/>
  <c r="N23" i="2"/>
  <c r="G15" i="21" s="1"/>
  <c r="M23" i="2"/>
  <c r="F15" i="21" s="1"/>
  <c r="L23" i="2"/>
  <c r="F23" i="2"/>
  <c r="N22" i="2"/>
  <c r="M22" i="2"/>
  <c r="L22" i="2"/>
  <c r="E14" i="21" s="1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F19" i="2"/>
  <c r="N18" i="2"/>
  <c r="M18" i="2"/>
  <c r="F10" i="21" s="1"/>
  <c r="L18" i="2"/>
  <c r="E10" i="21" s="1"/>
  <c r="F18" i="2"/>
  <c r="N17" i="2"/>
  <c r="G9" i="21" s="1"/>
  <c r="M17" i="2"/>
  <c r="F9" i="21" s="1"/>
  <c r="M16" i="2"/>
  <c r="F16" i="2"/>
  <c r="F17" i="2"/>
  <c r="H17" i="2" s="1"/>
  <c r="N15" i="2"/>
  <c r="G7" i="21" s="1"/>
  <c r="M15" i="2"/>
  <c r="F7" i="21" s="1"/>
  <c r="L15" i="2"/>
  <c r="F15" i="2"/>
  <c r="N14" i="2"/>
  <c r="G6" i="21" s="1"/>
  <c r="M14" i="2"/>
  <c r="L14" i="2"/>
  <c r="F14" i="2"/>
  <c r="N13" i="2"/>
  <c r="G5" i="21" s="1"/>
  <c r="M13" i="2"/>
  <c r="F5" i="21" s="1"/>
  <c r="L13" i="2"/>
  <c r="F13" i="2"/>
  <c r="N12" i="2"/>
  <c r="G4" i="21" s="1"/>
  <c r="M12" i="2"/>
  <c r="L12" i="2"/>
  <c r="F12" i="2"/>
  <c r="N11" i="2"/>
  <c r="M11" i="2"/>
  <c r="L11" i="2"/>
  <c r="E3" i="21" s="1"/>
  <c r="F11" i="2"/>
  <c r="N10" i="2"/>
  <c r="G2" i="21" s="1"/>
  <c r="M10" i="2"/>
  <c r="F2" i="21" s="1"/>
  <c r="L10" i="2"/>
  <c r="F10" i="2"/>
  <c r="I2" i="22" s="1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36" i="4"/>
  <c r="M37" i="4"/>
  <c r="M38" i="4"/>
  <c r="M39" i="4"/>
  <c r="M40" i="4"/>
  <c r="M41" i="4"/>
  <c r="M42" i="4"/>
  <c r="H37" i="2"/>
  <c r="H38" i="2"/>
  <c r="G3" i="21"/>
  <c r="F3" i="21"/>
  <c r="H35" i="2"/>
  <c r="H36" i="2"/>
  <c r="H34" i="2"/>
  <c r="H31" i="2"/>
  <c r="H30" i="2"/>
  <c r="F17" i="21"/>
  <c r="H25" i="2"/>
  <c r="I16" i="22"/>
  <c r="I15" i="22"/>
  <c r="F13" i="21"/>
  <c r="E12" i="21"/>
  <c r="H20" i="2"/>
  <c r="F11" i="21"/>
  <c r="H18" i="2"/>
  <c r="I11" i="22"/>
  <c r="I9" i="22"/>
  <c r="Z43" i="4"/>
  <c r="G8" i="20"/>
  <c r="B13" i="20"/>
  <c r="F13" i="20"/>
  <c r="B20" i="20"/>
  <c r="F20" i="20"/>
  <c r="F29" i="19"/>
  <c r="H29" i="19"/>
  <c r="I29" i="19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D4" i="4"/>
  <c r="AE4" i="4"/>
  <c r="AD5" i="4"/>
  <c r="L5" i="4" s="1"/>
  <c r="N5" i="4" s="1"/>
  <c r="O5" i="4" s="1"/>
  <c r="P5" i="4" s="1"/>
  <c r="AE5" i="4"/>
  <c r="AD6" i="4"/>
  <c r="AE6" i="4"/>
  <c r="AD7" i="4"/>
  <c r="AE7" i="4"/>
  <c r="AD8" i="4"/>
  <c r="AE8" i="4"/>
  <c r="AD9" i="4"/>
  <c r="AE9" i="4"/>
  <c r="AD10" i="4"/>
  <c r="L10" i="4" s="1"/>
  <c r="N10" i="4" s="1"/>
  <c r="O10" i="4" s="1"/>
  <c r="P10" i="4" s="1"/>
  <c r="AE10" i="4"/>
  <c r="AD11" i="4"/>
  <c r="AE11" i="4"/>
  <c r="AD12" i="4"/>
  <c r="AE12" i="4"/>
  <c r="AD13" i="4"/>
  <c r="AE13" i="4"/>
  <c r="AD25" i="4"/>
  <c r="AD26" i="4"/>
  <c r="AD27" i="4"/>
  <c r="AD28" i="4"/>
  <c r="AD29" i="4"/>
  <c r="AD30" i="4"/>
  <c r="L30" i="4" s="1"/>
  <c r="N30" i="4" s="1"/>
  <c r="O30" i="4" s="1"/>
  <c r="P30" i="4" s="1"/>
  <c r="AE30" i="4"/>
  <c r="AD31" i="4"/>
  <c r="AE31" i="4"/>
  <c r="AD32" i="4"/>
  <c r="AE32" i="4"/>
  <c r="AD33" i="4"/>
  <c r="AE33" i="4"/>
  <c r="AD34" i="4"/>
  <c r="AE34" i="4"/>
  <c r="AD35" i="4"/>
  <c r="AE35" i="4"/>
  <c r="J36" i="4"/>
  <c r="K36" i="4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AC43" i="4" s="1"/>
  <c r="T43" i="4"/>
  <c r="W43" i="4"/>
  <c r="S41" i="2"/>
  <c r="U41" i="2"/>
  <c r="G38" i="4"/>
  <c r="G39" i="4"/>
  <c r="H28" i="19"/>
  <c r="I28" i="19"/>
  <c r="C36" i="4"/>
  <c r="G37" i="4"/>
  <c r="E42" i="4"/>
  <c r="E36" i="4"/>
  <c r="I39" i="4"/>
  <c r="G42" i="4"/>
  <c r="E39" i="4"/>
  <c r="C39" i="4"/>
  <c r="C40" i="4"/>
  <c r="E40" i="4"/>
  <c r="C38" i="4"/>
  <c r="I36" i="4"/>
  <c r="I40" i="4"/>
  <c r="C37" i="4"/>
  <c r="L41" i="4"/>
  <c r="N41" i="4"/>
  <c r="O41" i="4"/>
  <c r="E41" i="4"/>
  <c r="I42" i="4"/>
  <c r="E37" i="4"/>
  <c r="E38" i="4"/>
  <c r="I41" i="4"/>
  <c r="B13" i="18"/>
  <c r="F13" i="18"/>
  <c r="H29" i="10"/>
  <c r="I29" i="10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G22" i="21"/>
  <c r="I17" i="10"/>
  <c r="F19" i="10"/>
  <c r="B13" i="11"/>
  <c r="F13" i="11"/>
  <c r="F20" i="11" s="1"/>
  <c r="H19" i="2"/>
  <c r="I12" i="22"/>
  <c r="H23" i="2"/>
  <c r="H27" i="2"/>
  <c r="H28" i="2"/>
  <c r="I10" i="2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O18" i="2"/>
  <c r="I13" i="22"/>
  <c r="F25" i="18"/>
  <c r="F29" i="18"/>
  <c r="F21" i="11"/>
  <c r="F23" i="11"/>
  <c r="F24" i="11"/>
  <c r="E2" i="21"/>
  <c r="Q11" i="2"/>
  <c r="F6" i="21"/>
  <c r="F4" i="21"/>
  <c r="H10" i="2"/>
  <c r="Q44" i="4"/>
  <c r="AC44" i="4" s="1"/>
  <c r="K48" i="4" s="1"/>
  <c r="L48" i="4" s="1"/>
  <c r="M48" i="4" s="1"/>
  <c r="E10" i="22" l="1"/>
  <c r="J10" i="21"/>
  <c r="Q18" i="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F41" i="2"/>
  <c r="O21" i="2"/>
  <c r="E13" i="21"/>
  <c r="J13" i="21" s="1"/>
  <c r="J12" i="21"/>
  <c r="V15" i="2"/>
  <c r="X15" i="2" s="1"/>
  <c r="V13" i="2"/>
  <c r="X13" i="2" s="1"/>
  <c r="V21" i="2"/>
  <c r="X21" i="2" s="1"/>
  <c r="V39" i="2"/>
  <c r="X39" i="2" s="1"/>
  <c r="V26" i="2"/>
  <c r="X26" i="2" s="1"/>
  <c r="V25" i="2"/>
  <c r="X25" i="2" s="1"/>
  <c r="V31" i="2"/>
  <c r="X31" i="2" s="1"/>
  <c r="V32" i="2"/>
  <c r="X32" i="2" s="1"/>
  <c r="V38" i="2"/>
  <c r="X38" i="2" s="1"/>
  <c r="V17" i="2"/>
  <c r="X17" i="2" s="1"/>
  <c r="V18" i="2"/>
  <c r="X18" i="2" s="1"/>
  <c r="V30" i="2"/>
  <c r="X30" i="2" s="1"/>
  <c r="V35" i="2"/>
  <c r="X35" i="2" s="1"/>
  <c r="V27" i="2"/>
  <c r="X27" i="2" s="1"/>
  <c r="V24" i="2"/>
  <c r="X24" i="2" s="1"/>
  <c r="V36" i="2"/>
  <c r="X36" i="2" s="1"/>
  <c r="V40" i="2"/>
  <c r="X40" i="2" s="1"/>
  <c r="V33" i="2"/>
  <c r="X33" i="2" s="1"/>
  <c r="V20" i="2"/>
  <c r="X20" i="2" s="1"/>
  <c r="V22" i="2"/>
  <c r="X22" i="2" s="1"/>
  <c r="V34" i="2"/>
  <c r="X34" i="2" s="1"/>
  <c r="V37" i="2"/>
  <c r="X37" i="2" s="1"/>
  <c r="V16" i="2"/>
  <c r="X16" i="2" s="1"/>
  <c r="V19" i="2"/>
  <c r="X19" i="2" s="1"/>
  <c r="V23" i="2"/>
  <c r="X23" i="2" s="1"/>
  <c r="V29" i="2"/>
  <c r="X29" i="2" s="1"/>
  <c r="V28" i="2"/>
  <c r="X28" i="2" s="1"/>
  <c r="L41" i="2"/>
  <c r="E22" i="22"/>
  <c r="E14" i="22"/>
  <c r="E8" i="22"/>
  <c r="E9" i="22"/>
  <c r="Q14" i="2"/>
  <c r="O14" i="2"/>
  <c r="N43" i="4"/>
  <c r="O43" i="4" s="1"/>
  <c r="J8" i="21" l="1"/>
  <c r="E16" i="22"/>
  <c r="J18" i="21"/>
  <c r="E19" i="22"/>
  <c r="J26" i="21"/>
  <c r="E15" i="22"/>
  <c r="J15" i="21"/>
  <c r="E25" i="22"/>
  <c r="M25" i="22" s="1"/>
  <c r="J25" i="21"/>
  <c r="E13" i="22"/>
  <c r="V14" i="2"/>
  <c r="X14" i="2" s="1"/>
  <c r="V12" i="2"/>
  <c r="X12" i="2" s="1"/>
  <c r="V11" i="2"/>
  <c r="X11" i="2" s="1"/>
  <c r="G20" i="22"/>
  <c r="M20" i="22" s="1"/>
  <c r="G21" i="22"/>
  <c r="G15" i="22"/>
  <c r="G11" i="22"/>
  <c r="M11" i="22" s="1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M9" i="22" s="1"/>
  <c r="G30" i="22"/>
  <c r="G24" i="22"/>
  <c r="M24" i="22" s="1"/>
  <c r="G23" i="22"/>
  <c r="G17" i="22"/>
  <c r="M17" i="22" s="1"/>
  <c r="G18" i="22"/>
  <c r="G31" i="22"/>
  <c r="G13" i="22"/>
  <c r="G5" i="22"/>
  <c r="G7" i="22"/>
  <c r="M19" i="22"/>
  <c r="M14" i="22"/>
  <c r="M10" i="22"/>
  <c r="M18" i="22"/>
  <c r="M26" i="22"/>
  <c r="M21" i="22"/>
  <c r="M23" i="22"/>
  <c r="M22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M15" i="22" l="1"/>
  <c r="M13" i="22"/>
  <c r="M16" i="22"/>
  <c r="Q41" i="2"/>
  <c r="O41" i="2"/>
  <c r="H41" i="2"/>
  <c r="G3" i="22"/>
  <c r="M3" i="22" s="1"/>
  <c r="G4" i="22"/>
  <c r="M4" i="22" s="1"/>
  <c r="G6" i="22"/>
  <c r="V10" i="2"/>
  <c r="X10" i="2" s="1"/>
  <c r="X41" i="2" s="1"/>
  <c r="I48" i="2"/>
  <c r="L48" i="2" s="1"/>
  <c r="N48" i="2" s="1"/>
  <c r="I44" i="2"/>
  <c r="L44" i="2" s="1"/>
  <c r="N44" i="2" s="1"/>
  <c r="N47" i="2" s="1"/>
  <c r="J4" i="21"/>
  <c r="J5" i="21"/>
  <c r="M5" i="22"/>
  <c r="M6" i="22"/>
  <c r="J6" i="21"/>
  <c r="M7" i="22"/>
  <c r="J7" i="21"/>
  <c r="P43" i="4"/>
  <c r="K47" i="4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<sst xmlns="http://schemas.openxmlformats.org/spreadsheetml/2006/main" count="478" uniqueCount="186">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</sst>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  <c:pt idx="28">
                  <c:v>149</c:v>
                </c:pt>
                <c:pt idx="29">
                  <c:v>166</c:v>
                </c:pt>
                <c:pt idx="3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  <c:pt idx="28">
                  <c:v>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  <c:pt idx="28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  <c:pt idx="28">
                  <c:v>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735.98183000000006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u-elec"/>
      <sheetName val="Gaz"/>
    </sheetNames>
    <sheetDataSet>
      <sheetData sheetId="0" refreshError="1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tabSelected="1" workbookViewId="0">
      <selection activeCell="R28" sqref="R2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12</v>
      </c>
      <c r="D2" s="141">
        <v>2022</v>
      </c>
      <c r="E2" s="137">
        <f>submetering!E2+submetering!F2+submetering!G2</f>
        <v>13281</v>
      </c>
      <c r="F2" s="134">
        <v>1.05</v>
      </c>
      <c r="G2" s="134">
        <f>'Consommation mensuel énergie'!V10</f>
        <v>351.99131</v>
      </c>
      <c r="H2" s="134">
        <v>12.44</v>
      </c>
      <c r="I2" s="134">
        <f>'Consommation mensuel énergie'!F10</f>
        <v>112.10000000000582</v>
      </c>
      <c r="J2" s="134">
        <v>11.4</v>
      </c>
      <c r="K2" s="137">
        <f>'Consommation mensuel énergie'!D10</f>
        <v>102</v>
      </c>
      <c r="L2" s="137">
        <f>'Consommation mensuel énergie'!E10</f>
        <v>145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12</v>
      </c>
      <c r="D3" s="141">
        <v>2022</v>
      </c>
      <c r="E3" s="137">
        <f>submetering!E3+submetering!F3+submetering!G3</f>
        <v>13854</v>
      </c>
      <c r="F3" s="134">
        <v>1.05</v>
      </c>
      <c r="G3" s="134">
        <f>'Consommation mensuel énergie'!V11</f>
        <v>223.99447000000001</v>
      </c>
      <c r="H3" s="134">
        <v>12.44</v>
      </c>
      <c r="I3" s="134">
        <f>'Consommation mensuel énergie'!F11</f>
        <v>125</v>
      </c>
      <c r="J3" s="134">
        <v>11.4</v>
      </c>
      <c r="K3" s="137">
        <f>'Consommation mensuel énergie'!D11</f>
        <v>80</v>
      </c>
      <c r="L3" s="137">
        <f>'Consommation mensuel énergie'!E11</f>
        <v>120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2022</v>
      </c>
      <c r="E4" s="137">
        <f>submetering!E4+submetering!F4+submetering!G4</f>
        <v>13502</v>
      </c>
      <c r="F4" s="134">
        <v>1.05</v>
      </c>
      <c r="G4" s="134">
        <f>'Consommation mensuel énergie'!V12</f>
        <v>479.98815000000002</v>
      </c>
      <c r="H4" s="134">
        <v>12.44</v>
      </c>
      <c r="I4" s="134">
        <f>'Consommation mensuel énergie'!F12</f>
        <v>122</v>
      </c>
      <c r="J4" s="134">
        <v>11.4</v>
      </c>
      <c r="K4" s="137">
        <f>'Consommation mensuel énergie'!D12</f>
        <v>86</v>
      </c>
      <c r="L4" s="137">
        <f>'Consommation mensuel énergie'!E12</f>
        <v>135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12</v>
      </c>
      <c r="D5" s="141">
        <v>2022</v>
      </c>
      <c r="E5" s="137">
        <f>submetering!E5+submetering!F5+submetering!G5</f>
        <v>13046</v>
      </c>
      <c r="F5" s="134">
        <v>1.05</v>
      </c>
      <c r="G5" s="134">
        <f>'Consommation mensuel énergie'!V13</f>
        <v>545.01490000000001</v>
      </c>
      <c r="H5" s="134">
        <v>12.44</v>
      </c>
      <c r="I5" s="134">
        <f>'Consommation mensuel énergie'!F13</f>
        <v>131</v>
      </c>
      <c r="J5" s="134">
        <v>11.4</v>
      </c>
      <c r="K5" s="137">
        <f>'Consommation mensuel énergie'!D13</f>
        <v>108</v>
      </c>
      <c r="L5" s="137">
        <f>'Consommation mensuel énergie'!E13</f>
        <v>142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12</v>
      </c>
      <c r="D6" s="141">
        <v>2022</v>
      </c>
      <c r="E6" s="137">
        <f>submetering!E6+submetering!F6+submetering!G6</f>
        <v>13133</v>
      </c>
      <c r="F6" s="134">
        <v>1.05</v>
      </c>
      <c r="G6" s="134">
        <f>'Consommation mensuel énergie'!V14</f>
        <v>255.99368000000001</v>
      </c>
      <c r="H6" s="134">
        <v>12.44</v>
      </c>
      <c r="I6" s="134">
        <f>'Consommation mensuel énergie'!F14</f>
        <v>122</v>
      </c>
      <c r="J6" s="134">
        <v>11.4</v>
      </c>
      <c r="K6" s="137">
        <f>'Consommation mensuel énergie'!D14</f>
        <v>105</v>
      </c>
      <c r="L6" s="137">
        <f>'Consommation mensuel énergie'!E14</f>
        <v>139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12</v>
      </c>
      <c r="D7" s="141">
        <v>2022</v>
      </c>
      <c r="E7" s="137">
        <f>submetering!E7+submetering!F7+submetering!G7</f>
        <v>12619</v>
      </c>
      <c r="F7" s="134">
        <v>1.05</v>
      </c>
      <c r="G7" s="134">
        <f>'Consommation mensuel énergie'!V15</f>
        <v>287.99288999999999</v>
      </c>
      <c r="H7" s="134">
        <v>12.44</v>
      </c>
      <c r="I7" s="134">
        <f>'Consommation mensuel énergie'!F15</f>
        <v>132</v>
      </c>
      <c r="J7" s="134">
        <v>11.4</v>
      </c>
      <c r="K7" s="137">
        <f>'Consommation mensuel énergie'!D15</f>
        <v>114</v>
      </c>
      <c r="L7" s="137">
        <f>'Consommation mensuel énergie'!E15</f>
        <v>154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12</v>
      </c>
      <c r="D8" s="141">
        <v>2022</v>
      </c>
      <c r="E8" s="137">
        <f>submetering!E8+submetering!F8+submetering!G8</f>
        <v>14152</v>
      </c>
      <c r="F8" s="134">
        <v>1.05</v>
      </c>
      <c r="G8" s="134">
        <f>'Consommation mensuel énergie'!V16</f>
        <v>1215.9699800000001</v>
      </c>
      <c r="H8" s="134">
        <v>12.44</v>
      </c>
      <c r="I8" s="134">
        <f>'Consommation mensuel énergie'!F16</f>
        <v>121</v>
      </c>
      <c r="J8" s="134">
        <v>11.4</v>
      </c>
      <c r="K8" s="137">
        <f>'Consommation mensuel énergie'!D16</f>
        <v>107</v>
      </c>
      <c r="L8" s="137">
        <f>'Consommation mensuel énergie'!E16</f>
        <v>141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12</v>
      </c>
      <c r="D9" s="141">
        <v>2022</v>
      </c>
      <c r="E9" s="137">
        <f>submetering!E9+submetering!F9+submetering!G9</f>
        <v>13927</v>
      </c>
      <c r="F9" s="134">
        <v>1.05</v>
      </c>
      <c r="G9" s="134">
        <f>'Consommation mensuel énergie'!V17</f>
        <v>351.99131</v>
      </c>
      <c r="H9" s="134">
        <v>12.44</v>
      </c>
      <c r="I9" s="134">
        <f>'Consommation mensuel énergie'!F17</f>
        <v>110</v>
      </c>
      <c r="J9" s="134">
        <v>11.4</v>
      </c>
      <c r="K9" s="137">
        <f>'Consommation mensuel énergie'!D17</f>
        <v>125</v>
      </c>
      <c r="L9" s="137">
        <f>'Consommation mensuel énergie'!E17</f>
        <v>174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12</v>
      </c>
      <c r="D10" s="141">
        <v>2022</v>
      </c>
      <c r="E10" s="137">
        <f>submetering!E10+submetering!F10+submetering!G10</f>
        <v>14120</v>
      </c>
      <c r="F10" s="134">
        <v>1.05</v>
      </c>
      <c r="G10" s="134">
        <f>'Consommation mensuel énergie'!V18</f>
        <v>255.99368000000001</v>
      </c>
      <c r="H10" s="134">
        <v>12.44</v>
      </c>
      <c r="I10" s="134">
        <f>'Consommation mensuel énergie'!F18</f>
        <v>141</v>
      </c>
      <c r="J10" s="134">
        <v>11.4</v>
      </c>
      <c r="K10" s="137">
        <f>'Consommation mensuel énergie'!D18</f>
        <v>96</v>
      </c>
      <c r="L10" s="137">
        <f>'Consommation mensuel énergie'!E18</f>
        <v>135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12</v>
      </c>
      <c r="D11" s="141">
        <v>2022</v>
      </c>
      <c r="E11" s="137">
        <f>submetering!E11+submetering!F11+submetering!G11</f>
        <v>15645</v>
      </c>
      <c r="F11" s="134">
        <v>1.05</v>
      </c>
      <c r="G11" s="134">
        <f>'Consommation mensuel énergie'!V19</f>
        <v>383.99052</v>
      </c>
      <c r="H11" s="134">
        <v>12.44</v>
      </c>
      <c r="I11" s="134">
        <f>'Consommation mensuel énergie'!F19</f>
        <v>129</v>
      </c>
      <c r="J11" s="134">
        <v>11.4</v>
      </c>
      <c r="K11" s="137">
        <f>'Consommation mensuel énergie'!D19</f>
        <v>77</v>
      </c>
      <c r="L11" s="137">
        <f>'Consommation mensuel énergie'!E19</f>
        <v>124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12</v>
      </c>
      <c r="D12" s="141">
        <v>2022</v>
      </c>
      <c r="E12" s="137">
        <f>submetering!E12+submetering!F12+submetering!G12</f>
        <v>14067</v>
      </c>
      <c r="F12" s="134">
        <v>1.05</v>
      </c>
      <c r="G12" s="134">
        <f>'Consommation mensuel énergie'!V20</f>
        <v>383.99052</v>
      </c>
      <c r="H12" s="134">
        <v>12.44</v>
      </c>
      <c r="I12" s="134">
        <f>'Consommation mensuel énergie'!F20</f>
        <v>114</v>
      </c>
      <c r="J12" s="134">
        <v>11.4</v>
      </c>
      <c r="K12" s="137">
        <f>'Consommation mensuel énergie'!D20</f>
        <v>66</v>
      </c>
      <c r="L12" s="137">
        <f>'Consommation mensuel énergie'!E20</f>
        <v>93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12</v>
      </c>
      <c r="D13" s="141">
        <v>2022</v>
      </c>
      <c r="E13" s="137">
        <f>submetering!E13+submetering!F13+submetering!G13</f>
        <v>12381</v>
      </c>
      <c r="F13" s="134">
        <v>1.05</v>
      </c>
      <c r="G13" s="134">
        <f>'Consommation mensuel énergie'!V21</f>
        <v>255.99368000000001</v>
      </c>
      <c r="H13" s="134">
        <v>12.44</v>
      </c>
      <c r="I13" s="134">
        <f>'Consommation mensuel énergie'!F21</f>
        <v>120</v>
      </c>
      <c r="J13" s="134">
        <v>11.4</v>
      </c>
      <c r="K13" s="137">
        <f>'Consommation mensuel énergie'!D21</f>
        <v>106</v>
      </c>
      <c r="L13" s="137">
        <f>'Consommation mensuel énergie'!E21</f>
        <v>137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12</v>
      </c>
      <c r="D14" s="141">
        <v>2022</v>
      </c>
      <c r="E14" s="137">
        <f>submetering!E14+submetering!F14+submetering!G14</f>
        <v>14829</v>
      </c>
      <c r="F14" s="134">
        <v>1.05</v>
      </c>
      <c r="G14" s="134">
        <f>'Consommation mensuel énergie'!V22</f>
        <v>479.98815000000002</v>
      </c>
      <c r="H14" s="134">
        <v>12.44</v>
      </c>
      <c r="I14" s="134">
        <f>'Consommation mensuel énergie'!F22</f>
        <v>89</v>
      </c>
      <c r="J14" s="134">
        <v>11.4</v>
      </c>
      <c r="K14" s="137">
        <f>'Consommation mensuel énergie'!D22</f>
        <v>132</v>
      </c>
      <c r="L14" s="137">
        <f>'Consommation mensuel énergie'!E22</f>
        <v>159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12</v>
      </c>
      <c r="D15" s="141">
        <v>2022</v>
      </c>
      <c r="E15" s="137">
        <f>submetering!E15+submetering!F15+submetering!G15</f>
        <v>14188</v>
      </c>
      <c r="F15" s="134">
        <v>1.05</v>
      </c>
      <c r="G15" s="134">
        <f>'Consommation mensuel énergie'!V23</f>
        <v>511.98736000000002</v>
      </c>
      <c r="H15" s="134">
        <v>12.44</v>
      </c>
      <c r="I15" s="134">
        <f>'Consommation mensuel énergie'!F23</f>
        <v>116</v>
      </c>
      <c r="J15" s="134">
        <v>11.4</v>
      </c>
      <c r="K15" s="137">
        <f>'Consommation mensuel énergie'!D23</f>
        <v>98</v>
      </c>
      <c r="L15" s="137">
        <f>'Consommation mensuel énergie'!E23</f>
        <v>134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12</v>
      </c>
      <c r="D16" s="141">
        <v>2022</v>
      </c>
      <c r="E16" s="137">
        <f>submetering!E16+submetering!F16+submetering!G16</f>
        <v>14640</v>
      </c>
      <c r="F16" s="134">
        <v>1.05</v>
      </c>
      <c r="G16" s="134">
        <f>'Consommation mensuel énergie'!V24</f>
        <v>127.99684000000001</v>
      </c>
      <c r="H16" s="134">
        <v>12.44</v>
      </c>
      <c r="I16" s="134">
        <f>'Consommation mensuel énergie'!F24</f>
        <v>116</v>
      </c>
      <c r="J16" s="134">
        <v>11.4</v>
      </c>
      <c r="K16" s="137">
        <f>'Consommation mensuel énergie'!D24</f>
        <v>73</v>
      </c>
      <c r="L16" s="137">
        <f>'Consommation mensuel énergie'!E24</f>
        <v>109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12</v>
      </c>
      <c r="D17" s="141">
        <v>2022</v>
      </c>
      <c r="E17" s="137">
        <f>submetering!E17+submetering!F17+submetering!G17</f>
        <v>13662</v>
      </c>
      <c r="F17" s="134">
        <v>1.05</v>
      </c>
      <c r="G17" s="134">
        <f>'Consommation mensuel énergie'!V25</f>
        <v>511.98736000000002</v>
      </c>
      <c r="H17" s="134">
        <v>12.44</v>
      </c>
      <c r="I17" s="134">
        <f>'Consommation mensuel énergie'!F25</f>
        <v>127</v>
      </c>
      <c r="J17" s="134">
        <v>11.4</v>
      </c>
      <c r="K17" s="137">
        <f>'Consommation mensuel énergie'!D25</f>
        <v>103</v>
      </c>
      <c r="L17" s="137">
        <f>'Consommation mensuel énergie'!E25</f>
        <v>172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12</v>
      </c>
      <c r="D18" s="141">
        <v>2022</v>
      </c>
      <c r="E18" s="137">
        <f>submetering!E18+submetering!F18+submetering!G18</f>
        <v>14963</v>
      </c>
      <c r="F18" s="134">
        <v>1.05</v>
      </c>
      <c r="G18" s="134">
        <f>'Consommation mensuel énergie'!V26</f>
        <v>447.98894000000001</v>
      </c>
      <c r="H18" s="134">
        <v>12.44</v>
      </c>
      <c r="I18" s="134">
        <f>'Consommation mensuel énergie'!F26</f>
        <v>83</v>
      </c>
      <c r="J18" s="134">
        <v>11.4</v>
      </c>
      <c r="K18" s="137">
        <f>'Consommation mensuel énergie'!D26</f>
        <v>102</v>
      </c>
      <c r="L18" s="137">
        <f>'Consommation mensuel énergie'!E26</f>
        <v>183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12</v>
      </c>
      <c r="D19" s="141">
        <v>2022</v>
      </c>
      <c r="E19" s="137">
        <f>submetering!E19+submetering!F19+submetering!G19</f>
        <v>13453</v>
      </c>
      <c r="F19" s="134">
        <v>1.05</v>
      </c>
      <c r="G19" s="134">
        <f>'Consommation mensuel énergie'!V27</f>
        <v>639.98419999999999</v>
      </c>
      <c r="H19" s="134">
        <v>12.44</v>
      </c>
      <c r="I19" s="134">
        <f>'Consommation mensuel énergie'!F27</f>
        <v>134</v>
      </c>
      <c r="J19" s="134">
        <v>11.4</v>
      </c>
      <c r="K19" s="137">
        <f>'Consommation mensuel énergie'!D27</f>
        <v>84</v>
      </c>
      <c r="L19" s="137">
        <f>'Consommation mensuel énergie'!E27</f>
        <v>134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12</v>
      </c>
      <c r="D20" s="141">
        <v>2022</v>
      </c>
      <c r="E20" s="137">
        <f>submetering!E20+submetering!F20+submetering!G20</f>
        <v>12916</v>
      </c>
      <c r="F20" s="134">
        <v>1.05</v>
      </c>
      <c r="G20" s="134">
        <f>'Consommation mensuel énergie'!V28</f>
        <v>575.98577999999998</v>
      </c>
      <c r="H20" s="134">
        <v>12.44</v>
      </c>
      <c r="I20" s="134">
        <f>'Consommation mensuel énergie'!F28</f>
        <v>96</v>
      </c>
      <c r="J20" s="134">
        <v>11.4</v>
      </c>
      <c r="K20" s="137">
        <f>'Consommation mensuel énergie'!D28</f>
        <v>95</v>
      </c>
      <c r="L20" s="137">
        <f>'Consommation mensuel énergie'!E28</f>
        <v>161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12</v>
      </c>
      <c r="D21" s="141">
        <v>2022</v>
      </c>
      <c r="E21" s="137">
        <f>submetering!E21+submetering!F21+submetering!G21</f>
        <v>13469</v>
      </c>
      <c r="F21" s="134">
        <v>1.05</v>
      </c>
      <c r="G21" s="134">
        <f>'Consommation mensuel énergie'!V29</f>
        <v>223.99447000000001</v>
      </c>
      <c r="H21" s="134">
        <v>12.44</v>
      </c>
      <c r="I21" s="134">
        <f>'Consommation mensuel énergie'!F29</f>
        <v>104</v>
      </c>
      <c r="J21" s="134">
        <v>11.4</v>
      </c>
      <c r="K21" s="137">
        <f>'Consommation mensuel énergie'!D29</f>
        <v>84</v>
      </c>
      <c r="L21" s="137">
        <f>'Consommation mensuel énergie'!E29</f>
        <v>136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12</v>
      </c>
      <c r="D22" s="141">
        <v>2022</v>
      </c>
      <c r="E22" s="137">
        <f>submetering!E22+submetering!F22+submetering!G22</f>
        <v>13315</v>
      </c>
      <c r="F22" s="134">
        <v>1.05</v>
      </c>
      <c r="G22" s="134">
        <f>'Consommation mensuel énergie'!V30</f>
        <v>287.99288999999999</v>
      </c>
      <c r="H22" s="134">
        <v>12.44</v>
      </c>
      <c r="I22" s="134">
        <f>'Consommation mensuel énergie'!F30</f>
        <v>147</v>
      </c>
      <c r="J22" s="134">
        <v>11.4</v>
      </c>
      <c r="K22" s="137">
        <f>'Consommation mensuel énergie'!D30</f>
        <v>94</v>
      </c>
      <c r="L22" s="137">
        <f>'Consommation mensuel énergie'!E30</f>
        <v>161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12</v>
      </c>
      <c r="D23" s="141">
        <v>2022</v>
      </c>
      <c r="E23" s="137">
        <f>submetering!E23+submetering!F23+submetering!G23</f>
        <v>13278</v>
      </c>
      <c r="F23" s="134">
        <v>1.05</v>
      </c>
      <c r="G23" s="134">
        <f>'Consommation mensuel énergie'!V31</f>
        <v>351.99131</v>
      </c>
      <c r="H23" s="134">
        <v>12.44</v>
      </c>
      <c r="I23" s="134">
        <f>'Consommation mensuel énergie'!F31</f>
        <v>120</v>
      </c>
      <c r="J23" s="134">
        <v>11.4</v>
      </c>
      <c r="K23" s="137">
        <f>'Consommation mensuel énergie'!D31</f>
        <v>88</v>
      </c>
      <c r="L23" s="137">
        <f>'Consommation mensuel énergie'!E31</f>
        <v>150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12</v>
      </c>
      <c r="D24" s="141">
        <v>2022</v>
      </c>
      <c r="E24" s="137">
        <f>submetering!E24+submetering!F24+submetering!G24</f>
        <v>13143</v>
      </c>
      <c r="F24" s="134">
        <v>1.05</v>
      </c>
      <c r="G24" s="134">
        <f>'Consommation mensuel énergie'!V32</f>
        <v>543.98657000000003</v>
      </c>
      <c r="H24" s="134">
        <v>12.44</v>
      </c>
      <c r="I24" s="134">
        <f>'Consommation mensuel énergie'!F32</f>
        <v>130</v>
      </c>
      <c r="J24" s="134">
        <v>11.4</v>
      </c>
      <c r="K24" s="137">
        <f>'Consommation mensuel énergie'!D32</f>
        <v>75</v>
      </c>
      <c r="L24" s="137">
        <f>'Consommation mensuel énergie'!E32</f>
        <v>136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12</v>
      </c>
      <c r="D25" s="141">
        <v>2022</v>
      </c>
      <c r="E25" s="137">
        <f>submetering!E25+submetering!F25+submetering!G25</f>
        <v>12621</v>
      </c>
      <c r="F25" s="134">
        <v>1.05</v>
      </c>
      <c r="G25" s="134">
        <f>'Consommation mensuel énergie'!V33</f>
        <v>863.97867000000008</v>
      </c>
      <c r="H25" s="134">
        <v>12.44</v>
      </c>
      <c r="I25" s="134">
        <f>'Consommation mensuel énergie'!F33</f>
        <v>117</v>
      </c>
      <c r="J25" s="134">
        <v>11.4</v>
      </c>
      <c r="K25" s="137">
        <f>'Consommation mensuel énergie'!D33</f>
        <v>120</v>
      </c>
      <c r="L25" s="137">
        <f>'Consommation mensuel énergie'!E33</f>
        <v>220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12</v>
      </c>
      <c r="D26" s="141">
        <v>2022</v>
      </c>
      <c r="E26" s="137">
        <f>submetering!E26+submetering!F26+submetering!G26</f>
        <v>12976</v>
      </c>
      <c r="F26" s="134">
        <v>1.05</v>
      </c>
      <c r="G26" s="134">
        <f>'Consommation mensuel énergie'!V34</f>
        <v>511.98736000000002</v>
      </c>
      <c r="H26" s="134">
        <v>12.44</v>
      </c>
      <c r="I26" s="134">
        <f>'Consommation mensuel énergie'!F34</f>
        <v>126</v>
      </c>
      <c r="J26" s="134">
        <v>11.4</v>
      </c>
      <c r="K26" s="137">
        <f>'Consommation mensuel énergie'!D34</f>
        <v>117</v>
      </c>
      <c r="L26" s="137">
        <f>'Consommation mensuel énergie'!E34</f>
        <v>221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2022</v>
      </c>
      <c r="E27" s="137">
        <f>submetering!E27+submetering!F27+submetering!G27</f>
        <v>13228</v>
      </c>
      <c r="F27" s="134">
        <v>1.05</v>
      </c>
      <c r="G27" s="134">
        <f>'Consommation mensuel énergie'!V35</f>
        <v>447.98894000000001</v>
      </c>
      <c r="H27" s="134">
        <v>12.44</v>
      </c>
      <c r="I27" s="134">
        <f>'Consommation mensuel énergie'!F35</f>
        <v>170</v>
      </c>
      <c r="J27" s="134">
        <v>11.4</v>
      </c>
      <c r="K27" s="137">
        <f>'Consommation mensuel énergie'!D35</f>
        <v>160</v>
      </c>
      <c r="L27" s="137">
        <f>'Consommation mensuel énergie'!E35</f>
        <v>297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12</v>
      </c>
      <c r="D28" s="141">
        <v>2022</v>
      </c>
      <c r="E28" s="137">
        <f>submetering!E28+submetering!F28+submetering!G28</f>
        <v>13553</v>
      </c>
      <c r="F28" s="134">
        <v>1.05</v>
      </c>
      <c r="G28" s="134">
        <f>'Consommation mensuel énergie'!V36</f>
        <v>863.97867000000008</v>
      </c>
      <c r="H28" s="134">
        <v>12.44</v>
      </c>
      <c r="I28" s="134">
        <f>'Consommation mensuel énergie'!F36</f>
        <v>153</v>
      </c>
      <c r="J28" s="134">
        <v>11.4</v>
      </c>
      <c r="K28" s="137">
        <f>'Consommation mensuel énergie'!D36</f>
        <v>151</v>
      </c>
      <c r="L28" s="137">
        <f>'Consommation mensuel énergie'!E36</f>
        <v>284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12</v>
      </c>
      <c r="D29" s="141">
        <v>2022</v>
      </c>
      <c r="E29" s="137">
        <f>submetering!E29+submetering!F29+submetering!G29</f>
        <v>12945</v>
      </c>
      <c r="F29" s="134">
        <v>1.05</v>
      </c>
      <c r="G29" s="134">
        <f>'Consommation mensuel énergie'!V37</f>
        <v>575.98577999999998</v>
      </c>
      <c r="H29" s="134">
        <v>12.44</v>
      </c>
      <c r="I29" s="134">
        <f>'Consommation mensuel énergie'!F37</f>
        <v>161</v>
      </c>
      <c r="J29" s="134">
        <v>11.4</v>
      </c>
      <c r="K29" s="137">
        <f>'Consommation mensuel énergie'!D37</f>
        <v>139</v>
      </c>
      <c r="L29" s="137">
        <f>'Consommation mensuel énergie'!E37</f>
        <v>258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12</v>
      </c>
      <c r="D30" s="141">
        <v>2022</v>
      </c>
      <c r="E30" s="137">
        <f>submetering!E30+submetering!F30+submetering!G30</f>
        <v>13324</v>
      </c>
      <c r="F30" s="134">
        <v>1.05</v>
      </c>
      <c r="G30" s="134">
        <f>'Consommation mensuel énergie'!V38</f>
        <v>543.98657000000003</v>
      </c>
      <c r="H30" s="134">
        <v>12.44</v>
      </c>
      <c r="I30" s="134">
        <f>'Consommation mensuel énergie'!F38</f>
        <v>149</v>
      </c>
      <c r="J30" s="134">
        <v>11.4</v>
      </c>
      <c r="K30" s="137">
        <f>'Consommation mensuel énergie'!D38</f>
        <v>131</v>
      </c>
      <c r="L30" s="137">
        <f>'Consommation mensuel énergie'!E38</f>
        <v>251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12</v>
      </c>
      <c r="D31" s="141">
        <v>2022</v>
      </c>
      <c r="E31" s="137">
        <f>submetering!E31+submetering!F31+submetering!G31</f>
        <v>13378</v>
      </c>
      <c r="F31" s="134">
        <v>1.05</v>
      </c>
      <c r="G31" s="134">
        <f>'Consommation mensuel énergie'!V39</f>
        <v>735.98183000000006</v>
      </c>
      <c r="H31" s="134">
        <v>12.44</v>
      </c>
      <c r="I31" s="134">
        <f>'Consommation mensuel énergie'!F39</f>
        <v>166</v>
      </c>
      <c r="J31" s="134">
        <v>11.4</v>
      </c>
      <c r="K31" s="137">
        <f>'Consommation mensuel énergie'!D39</f>
        <v>143</v>
      </c>
      <c r="L31" s="137">
        <f>'Consommation mensuel énergie'!E39</f>
        <v>284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12</v>
      </c>
      <c r="D32" s="141">
        <v>2022</v>
      </c>
      <c r="E32" s="137">
        <f>submetering!E32+submetering!F32+submetering!G32</f>
        <v>13426</v>
      </c>
      <c r="F32" s="134">
        <v>1.05</v>
      </c>
      <c r="G32" s="134">
        <f>'Consommation mensuel énergie'!V40</f>
        <v>639.98419999999999</v>
      </c>
      <c r="H32" s="134">
        <v>12.44</v>
      </c>
      <c r="I32" s="134">
        <f>'Consommation mensuel énergie'!F40</f>
        <v>169</v>
      </c>
      <c r="J32" s="134">
        <v>11.4</v>
      </c>
      <c r="K32" s="137">
        <f>'Consommation mensuel énergie'!D40</f>
        <v>152</v>
      </c>
      <c r="L32" s="137">
        <f>'Consommation mensuel énergie'!E40</f>
        <v>197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C20" sqref="C2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12</v>
      </c>
      <c r="D2" s="141">
        <v>2022</v>
      </c>
      <c r="E2" s="137">
        <f>'Consommation mensuel énergie'!L10</f>
        <v>4442</v>
      </c>
      <c r="F2" s="137">
        <f>'Consommation mensuel énergie'!M10</f>
        <v>5771</v>
      </c>
      <c r="G2" s="137">
        <f>'Consommation mensuel énergie'!N10</f>
        <v>3068</v>
      </c>
      <c r="H2" s="137">
        <f>'Consommation mensuel énergie'!D10</f>
        <v>102</v>
      </c>
      <c r="I2" s="137">
        <f>'Consommation mensuel énergie'!E10</f>
        <v>145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12</v>
      </c>
      <c r="D3" s="141">
        <v>2022</v>
      </c>
      <c r="E3" s="137">
        <f>'Consommation mensuel énergie'!L11</f>
        <v>4516</v>
      </c>
      <c r="F3" s="137">
        <f>'Consommation mensuel énergie'!M11</f>
        <v>6383</v>
      </c>
      <c r="G3" s="137">
        <f>'Consommation mensuel énergie'!N14</f>
        <v>2955</v>
      </c>
      <c r="H3" s="137">
        <f>'Consommation mensuel énergie'!D11</f>
        <v>80</v>
      </c>
      <c r="I3" s="137">
        <f>'Consommation mensuel énergie'!E11</f>
        <v>120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2022</v>
      </c>
      <c r="E4" s="137">
        <f>'Consommation mensuel énergie'!L12</f>
        <v>4355</v>
      </c>
      <c r="F4" s="137">
        <f>'Consommation mensuel énergie'!M12</f>
        <v>6149</v>
      </c>
      <c r="G4" s="137">
        <f>'Consommation mensuel énergie'!N12</f>
        <v>2998</v>
      </c>
      <c r="H4" s="137">
        <f>'Consommation mensuel énergie'!D12</f>
        <v>86</v>
      </c>
      <c r="I4" s="137">
        <f>'Consommation mensuel énergie'!E12</f>
        <v>135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12</v>
      </c>
      <c r="D5" s="141">
        <v>2022</v>
      </c>
      <c r="E5" s="137">
        <f>'Consommation mensuel énergie'!L13</f>
        <v>3999</v>
      </c>
      <c r="F5" s="137">
        <f>'Consommation mensuel énergie'!M13</f>
        <v>6195</v>
      </c>
      <c r="G5" s="137">
        <f>'Consommation mensuel énergie'!N13</f>
        <v>2852</v>
      </c>
      <c r="H5" s="137">
        <f>'Consommation mensuel énergie'!D13</f>
        <v>108</v>
      </c>
      <c r="I5" s="137">
        <f>'Consommation mensuel énergie'!E13</f>
        <v>142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12</v>
      </c>
      <c r="D6" s="141">
        <v>2022</v>
      </c>
      <c r="E6" s="137">
        <f>'Consommation mensuel énergie'!L14</f>
        <v>4096</v>
      </c>
      <c r="F6" s="137">
        <f>'Consommation mensuel énergie'!M14</f>
        <v>6082</v>
      </c>
      <c r="G6" s="137">
        <f>'Consommation mensuel énergie'!N14</f>
        <v>2955</v>
      </c>
      <c r="H6" s="137">
        <f>'Consommation mensuel énergie'!D14</f>
        <v>105</v>
      </c>
      <c r="I6" s="137">
        <f>'Consommation mensuel énergie'!E14</f>
        <v>139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12</v>
      </c>
      <c r="D7" s="141">
        <v>2022</v>
      </c>
      <c r="E7" s="137">
        <f>'Consommation mensuel énergie'!L15</f>
        <v>3949</v>
      </c>
      <c r="F7" s="137">
        <f>'Consommation mensuel énergie'!M15</f>
        <v>5925</v>
      </c>
      <c r="G7" s="137">
        <f>'Consommation mensuel énergie'!N15</f>
        <v>2745</v>
      </c>
      <c r="H7" s="137">
        <f>'Consommation mensuel énergie'!D15</f>
        <v>114</v>
      </c>
      <c r="I7" s="137">
        <f>'Consommation mensuel énergie'!E15</f>
        <v>154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12</v>
      </c>
      <c r="D8" s="141">
        <v>2022</v>
      </c>
      <c r="E8" s="137">
        <f>'Consommation mensuel énergie'!L16</f>
        <v>4297</v>
      </c>
      <c r="F8" s="137">
        <f>'Consommation mensuel énergie'!M16</f>
        <v>6773</v>
      </c>
      <c r="G8" s="137">
        <f>'Consommation mensuel énergie'!N16</f>
        <v>3082</v>
      </c>
      <c r="H8" s="137">
        <f>'Consommation mensuel énergie'!D16</f>
        <v>107</v>
      </c>
      <c r="I8" s="137">
        <f>'Consommation mensuel énergie'!E16</f>
        <v>141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12</v>
      </c>
      <c r="D9" s="141">
        <v>2022</v>
      </c>
      <c r="E9" s="137">
        <f>'Consommation mensuel énergie'!L17</f>
        <v>3957</v>
      </c>
      <c r="F9" s="137">
        <f>'Consommation mensuel énergie'!M17</f>
        <v>6853</v>
      </c>
      <c r="G9" s="137">
        <f>'Consommation mensuel énergie'!N17</f>
        <v>3117</v>
      </c>
      <c r="H9" s="137">
        <f>'Consommation mensuel énergie'!D17</f>
        <v>125</v>
      </c>
      <c r="I9" s="137">
        <f>'Consommation mensuel énergie'!E17</f>
        <v>174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12</v>
      </c>
      <c r="D10" s="141">
        <v>2022</v>
      </c>
      <c r="E10" s="137">
        <f>'Consommation mensuel énergie'!L18</f>
        <v>4428</v>
      </c>
      <c r="F10" s="137">
        <f>'Consommation mensuel énergie'!M18</f>
        <v>6569</v>
      </c>
      <c r="G10" s="137">
        <f>'Consommation mensuel énergie'!N18</f>
        <v>3123</v>
      </c>
      <c r="H10" s="137">
        <f>'Consommation mensuel énergie'!D18</f>
        <v>96</v>
      </c>
      <c r="I10" s="137">
        <f>'Consommation mensuel énergie'!E18</f>
        <v>135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12</v>
      </c>
      <c r="D11" s="141">
        <v>2022</v>
      </c>
      <c r="E11" s="137">
        <f>'Consommation mensuel énergie'!L19</f>
        <v>4757</v>
      </c>
      <c r="F11" s="137">
        <f>'Consommation mensuel énergie'!M19</f>
        <v>7543</v>
      </c>
      <c r="G11" s="137">
        <f>'Consommation mensuel énergie'!N19</f>
        <v>3345</v>
      </c>
      <c r="H11" s="137">
        <f>'Consommation mensuel énergie'!D19</f>
        <v>77</v>
      </c>
      <c r="I11" s="137">
        <f>'Consommation mensuel énergie'!E19</f>
        <v>124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12</v>
      </c>
      <c r="D12" s="141">
        <v>2022</v>
      </c>
      <c r="E12" s="137">
        <f>'Consommation mensuel énergie'!L20</f>
        <v>4074</v>
      </c>
      <c r="F12" s="137">
        <f>'Consommation mensuel énergie'!M20</f>
        <v>6459</v>
      </c>
      <c r="G12" s="137">
        <f>'Consommation mensuel énergie'!N20</f>
        <v>3534</v>
      </c>
      <c r="H12" s="137">
        <f>'Consommation mensuel énergie'!D20</f>
        <v>66</v>
      </c>
      <c r="I12" s="137">
        <f>'Consommation mensuel énergie'!E20</f>
        <v>93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12</v>
      </c>
      <c r="D13" s="141">
        <v>2022</v>
      </c>
      <c r="E13" s="137">
        <f>'Consommation mensuel énergie'!L21</f>
        <v>4146</v>
      </c>
      <c r="F13" s="137">
        <f>'Consommation mensuel énergie'!M21</f>
        <v>5509</v>
      </c>
      <c r="G13" s="137">
        <f>'Consommation mensuel énergie'!N21</f>
        <v>2726</v>
      </c>
      <c r="H13" s="137">
        <f>'Consommation mensuel énergie'!D21</f>
        <v>106</v>
      </c>
      <c r="I13" s="137">
        <f>'Consommation mensuel énergie'!E21</f>
        <v>137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12</v>
      </c>
      <c r="D14" s="141">
        <v>2022</v>
      </c>
      <c r="E14" s="137">
        <f>'Consommation mensuel énergie'!L22</f>
        <v>4395</v>
      </c>
      <c r="F14" s="137">
        <f>'Consommation mensuel énergie'!M22</f>
        <v>7225</v>
      </c>
      <c r="G14" s="137">
        <f>'Consommation mensuel énergie'!N22</f>
        <v>3209</v>
      </c>
      <c r="H14" s="137">
        <f>'Consommation mensuel énergie'!D22</f>
        <v>132</v>
      </c>
      <c r="I14" s="137">
        <f>'Consommation mensuel énergie'!E22</f>
        <v>159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12</v>
      </c>
      <c r="D15" s="141">
        <v>2022</v>
      </c>
      <c r="E15" s="137">
        <f>'Consommation mensuel énergie'!L23</f>
        <v>4130</v>
      </c>
      <c r="F15" s="137">
        <f>'Consommation mensuel énergie'!M23</f>
        <v>6810</v>
      </c>
      <c r="G15" s="137">
        <f>'Consommation mensuel énergie'!N23</f>
        <v>3248</v>
      </c>
      <c r="H15" s="137">
        <f>'Consommation mensuel énergie'!D23</f>
        <v>98</v>
      </c>
      <c r="I15" s="137">
        <f>'Consommation mensuel énergie'!E23</f>
        <v>134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12</v>
      </c>
      <c r="D16" s="141">
        <v>2022</v>
      </c>
      <c r="E16" s="137">
        <f>'Consommation mensuel énergie'!L24</f>
        <v>4236</v>
      </c>
      <c r="F16" s="137">
        <f>'Consommation mensuel énergie'!M24</f>
        <v>7337</v>
      </c>
      <c r="G16" s="137">
        <f>'Consommation mensuel énergie'!N24</f>
        <v>3067</v>
      </c>
      <c r="H16" s="137">
        <f>'Consommation mensuel énergie'!D24</f>
        <v>73</v>
      </c>
      <c r="I16" s="137">
        <f>'Consommation mensuel énergie'!E24</f>
        <v>109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12</v>
      </c>
      <c r="D17" s="141">
        <v>2022</v>
      </c>
      <c r="E17" s="137">
        <f>'Consommation mensuel énergie'!L25</f>
        <v>4539</v>
      </c>
      <c r="F17" s="137">
        <f>'Consommation mensuel énergie'!M25</f>
        <v>6253</v>
      </c>
      <c r="G17" s="137">
        <f>'Consommation mensuel énergie'!N25</f>
        <v>2870</v>
      </c>
      <c r="H17" s="137">
        <f>'Consommation mensuel énergie'!D25</f>
        <v>103</v>
      </c>
      <c r="I17" s="137">
        <f>'Consommation mensuel énergie'!E25</f>
        <v>172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12</v>
      </c>
      <c r="D18" s="141">
        <v>2022</v>
      </c>
      <c r="E18" s="137">
        <f>'Consommation mensuel énergie'!L26</f>
        <v>4444</v>
      </c>
      <c r="F18" s="137">
        <f>'Consommation mensuel énergie'!M26</f>
        <v>7200</v>
      </c>
      <c r="G18" s="137">
        <f>'Consommation mensuel énergie'!N26</f>
        <v>3319</v>
      </c>
      <c r="H18" s="137">
        <f>'Consommation mensuel énergie'!D26</f>
        <v>102</v>
      </c>
      <c r="I18" s="137">
        <f>'Consommation mensuel énergie'!E26</f>
        <v>183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12</v>
      </c>
      <c r="D19" s="141">
        <v>2022</v>
      </c>
      <c r="E19" s="137">
        <f>'Consommation mensuel énergie'!L27</f>
        <v>4381</v>
      </c>
      <c r="F19" s="137">
        <f>'Consommation mensuel énergie'!M27</f>
        <v>6017</v>
      </c>
      <c r="G19" s="137">
        <f>'Consommation mensuel énergie'!N27</f>
        <v>3055</v>
      </c>
      <c r="H19" s="137">
        <f>'Consommation mensuel énergie'!D27</f>
        <v>84</v>
      </c>
      <c r="I19" s="137">
        <f>'Consommation mensuel énergie'!E27</f>
        <v>134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12</v>
      </c>
      <c r="D20" s="141">
        <v>2022</v>
      </c>
      <c r="E20" s="137">
        <f>'Consommation mensuel énergie'!L28</f>
        <v>4126</v>
      </c>
      <c r="F20" s="137">
        <f>'Consommation mensuel énergie'!M28</f>
        <v>5975</v>
      </c>
      <c r="G20" s="137">
        <f>'Consommation mensuel énergie'!N28</f>
        <v>2815</v>
      </c>
      <c r="H20" s="137">
        <f>'Consommation mensuel énergie'!D28</f>
        <v>95</v>
      </c>
      <c r="I20" s="137">
        <f>'Consommation mensuel énergie'!E28</f>
        <v>161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12</v>
      </c>
      <c r="D21" s="141">
        <v>2022</v>
      </c>
      <c r="E21" s="137">
        <f>'Consommation mensuel énergie'!L29</f>
        <v>4056</v>
      </c>
      <c r="F21" s="137">
        <f>'Consommation mensuel énergie'!M29</f>
        <v>6460</v>
      </c>
      <c r="G21" s="137">
        <f>'Consommation mensuel énergie'!N29</f>
        <v>2953</v>
      </c>
      <c r="H21" s="137">
        <f>'Consommation mensuel énergie'!D29</f>
        <v>84</v>
      </c>
      <c r="I21" s="137">
        <f>'Consommation mensuel énergie'!E29</f>
        <v>136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12</v>
      </c>
      <c r="D22" s="141">
        <v>2022</v>
      </c>
      <c r="E22" s="137">
        <f>'Consommation mensuel énergie'!L30</f>
        <v>4159</v>
      </c>
      <c r="F22" s="137">
        <f>'Consommation mensuel énergie'!M30</f>
        <v>6153</v>
      </c>
      <c r="G22" s="137">
        <f>'Consommation mensuel énergie'!N30</f>
        <v>3003</v>
      </c>
      <c r="H22" s="137">
        <f>'Consommation mensuel énergie'!D30</f>
        <v>94</v>
      </c>
      <c r="I22" s="137">
        <f>'Consommation mensuel énergie'!E30</f>
        <v>161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12</v>
      </c>
      <c r="D23" s="141">
        <v>2022</v>
      </c>
      <c r="E23" s="137">
        <f>'Consommation mensuel énergie'!L31</f>
        <v>4066</v>
      </c>
      <c r="F23" s="137">
        <f>'Consommation mensuel énergie'!M31</f>
        <v>6178</v>
      </c>
      <c r="G23" s="137">
        <f>'Consommation mensuel énergie'!N31</f>
        <v>3034</v>
      </c>
      <c r="H23" s="137">
        <f>'Consommation mensuel énergie'!D31</f>
        <v>88</v>
      </c>
      <c r="I23" s="137">
        <f>'Consommation mensuel énergie'!E31</f>
        <v>150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12</v>
      </c>
      <c r="D24" s="141">
        <v>2022</v>
      </c>
      <c r="E24" s="137">
        <f>'Consommation mensuel énergie'!L32</f>
        <v>4181</v>
      </c>
      <c r="F24" s="137">
        <f>'Consommation mensuel énergie'!M32</f>
        <v>6121</v>
      </c>
      <c r="G24" s="137">
        <f>'Consommation mensuel énergie'!N32</f>
        <v>2841</v>
      </c>
      <c r="H24" s="137">
        <f>'Consommation mensuel énergie'!D32</f>
        <v>75</v>
      </c>
      <c r="I24" s="137">
        <f>'Consommation mensuel énergie'!E32</f>
        <v>136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12</v>
      </c>
      <c r="D25" s="141">
        <v>2022</v>
      </c>
      <c r="E25" s="137">
        <f>'Consommation mensuel énergie'!L33</f>
        <v>4012</v>
      </c>
      <c r="F25" s="137">
        <f>'Consommation mensuel énergie'!M33</f>
        <v>5920</v>
      </c>
      <c r="G25" s="137">
        <f>'Consommation mensuel énergie'!N33</f>
        <v>2689</v>
      </c>
      <c r="H25" s="137">
        <f>'Consommation mensuel énergie'!D33</f>
        <v>120</v>
      </c>
      <c r="I25" s="137">
        <f>'Consommation mensuel énergie'!E33</f>
        <v>220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12</v>
      </c>
      <c r="D26" s="141">
        <v>2022</v>
      </c>
      <c r="E26" s="137">
        <f>'Consommation mensuel énergie'!L34</f>
        <v>4041</v>
      </c>
      <c r="F26" s="137">
        <f>'Consommation mensuel énergie'!M34</f>
        <v>5901</v>
      </c>
      <c r="G26" s="137">
        <f>'Consommation mensuel énergie'!N34</f>
        <v>3034</v>
      </c>
      <c r="H26" s="137">
        <f>'Consommation mensuel énergie'!D34</f>
        <v>117</v>
      </c>
      <c r="I26" s="137">
        <f>'Consommation mensuel énergie'!E34</f>
        <v>221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2022</v>
      </c>
      <c r="E27" s="137">
        <f>'Consommation mensuel énergie'!L35</f>
        <v>4322</v>
      </c>
      <c r="F27" s="137">
        <f>'Consommation mensuel énergie'!M35</f>
        <v>5985</v>
      </c>
      <c r="G27" s="137">
        <f>'Consommation mensuel énergie'!N35</f>
        <v>2921</v>
      </c>
      <c r="H27" s="137">
        <f>'Consommation mensuel énergie'!D35</f>
        <v>160</v>
      </c>
      <c r="I27" s="137">
        <f>'Consommation mensuel énergie'!E35</f>
        <v>297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12</v>
      </c>
      <c r="D28" s="141">
        <v>2022</v>
      </c>
      <c r="E28" s="137">
        <f>'Consommation mensuel énergie'!L36</f>
        <v>4450</v>
      </c>
      <c r="F28" s="137">
        <f>'Consommation mensuel énergie'!M36</f>
        <v>6089</v>
      </c>
      <c r="G28" s="137">
        <f>'Consommation mensuel énergie'!N36</f>
        <v>3014</v>
      </c>
      <c r="H28" s="137">
        <f>'Consommation mensuel énergie'!D36</f>
        <v>151</v>
      </c>
      <c r="I28" s="137">
        <f>'Consommation mensuel énergie'!E36</f>
        <v>284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12</v>
      </c>
      <c r="D29" s="141">
        <v>2022</v>
      </c>
      <c r="E29" s="137">
        <f>'Consommation mensuel énergie'!L37</f>
        <v>3883</v>
      </c>
      <c r="F29" s="137">
        <f>'Consommation mensuel énergie'!M37</f>
        <v>6047</v>
      </c>
      <c r="G29" s="137">
        <f>'Consommation mensuel énergie'!N37</f>
        <v>3015</v>
      </c>
      <c r="H29" s="137">
        <f>'Consommation mensuel énergie'!D37</f>
        <v>139</v>
      </c>
      <c r="I29" s="137">
        <f>'Consommation mensuel énergie'!E37</f>
        <v>258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12</v>
      </c>
      <c r="D30" s="141">
        <v>2022</v>
      </c>
      <c r="E30" s="137">
        <f>'Consommation mensuel énergie'!L38</f>
        <v>3977</v>
      </c>
      <c r="F30" s="137">
        <f>'Consommation mensuel énergie'!M38</f>
        <v>6271</v>
      </c>
      <c r="G30" s="137">
        <f>'Consommation mensuel énergie'!N38</f>
        <v>3076</v>
      </c>
      <c r="H30" s="137">
        <f>'Consommation mensuel énergie'!D38</f>
        <v>131</v>
      </c>
      <c r="I30" s="137">
        <f>'Consommation mensuel énergie'!E38</f>
        <v>251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12</v>
      </c>
      <c r="D31" s="141">
        <v>2022</v>
      </c>
      <c r="E31" s="137">
        <f>'Consommation mensuel énergie'!L39</f>
        <v>4360</v>
      </c>
      <c r="F31" s="137">
        <f>'Consommation mensuel énergie'!M39</f>
        <v>6057</v>
      </c>
      <c r="G31" s="137">
        <f>'Consommation mensuel énergie'!N39</f>
        <v>2961</v>
      </c>
      <c r="H31" s="137">
        <f>'Consommation mensuel énergie'!D39</f>
        <v>143</v>
      </c>
      <c r="I31" s="137">
        <f>'Consommation mensuel énergie'!E39</f>
        <v>284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12</v>
      </c>
      <c r="D32" s="141">
        <v>2022</v>
      </c>
      <c r="E32" s="137">
        <f>'Consommation mensuel énergie'!L40</f>
        <v>4459</v>
      </c>
      <c r="F32" s="137">
        <f>'Consommation mensuel énergie'!M40</f>
        <v>6047</v>
      </c>
      <c r="G32" s="137">
        <f>'Consommation mensuel énergie'!N40</f>
        <v>2920</v>
      </c>
      <c r="H32" s="137">
        <f>'Consommation mensuel énergie'!D40</f>
        <v>152</v>
      </c>
      <c r="I32" s="137">
        <f>'Consommation mensuel énergie'!E40</f>
        <v>197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9" activePane="bottomRight" state="frozen"/>
      <selection pane="topRight" activeCell="B21" sqref="A21:IV21"/>
      <selection pane="bottomLeft" activeCell="B21" sqref="A21:IV21"/>
      <selection pane="bottomRight" activeCell="V19" sqref="V19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 x14ac:dyDescent="0.25"/>
    <row r="4" spans="1:24" ht="39" hidden="1" customHeight="1" thickBot="1" x14ac:dyDescent="0.25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 x14ac:dyDescent="0.25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 x14ac:dyDescent="0.25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 x14ac:dyDescent="0.25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 x14ac:dyDescent="0.25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 x14ac:dyDescent="0.2">
      <c r="A10" s="2"/>
      <c r="B10" s="6">
        <v>44896</v>
      </c>
      <c r="C10" s="7"/>
      <c r="D10" s="143">
        <v>102</v>
      </c>
      <c r="E10" s="143">
        <v>145</v>
      </c>
      <c r="F10" s="13">
        <f>'Suivi EAU-ELEC'!E9</f>
        <v>112.10000000000582</v>
      </c>
      <c r="G10" s="11"/>
      <c r="H10" s="167">
        <f>F10*8.79</f>
        <v>985.35900000005108</v>
      </c>
      <c r="I10" s="168"/>
      <c r="J10" s="168"/>
      <c r="K10" s="60">
        <v>42278</v>
      </c>
      <c r="L10" s="90">
        <f>'Suivi EAU-ELEC'!G9</f>
        <v>4442</v>
      </c>
      <c r="M10" s="91">
        <f>'Suivi EAU-ELEC'!I9</f>
        <v>5771</v>
      </c>
      <c r="N10" s="91">
        <f>'Suivi EAU-ELEC'!K9</f>
        <v>3068</v>
      </c>
      <c r="O10" s="91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6">
        <f>'Suvi Gaz'!O4</f>
        <v>351.99131</v>
      </c>
      <c r="W10" s="11"/>
      <c r="X10" s="34">
        <f>V10*12.44</f>
        <v>4378.7718963999996</v>
      </c>
    </row>
    <row r="11" spans="1:24" ht="32.25" customHeight="1" x14ac:dyDescent="0.2">
      <c r="A11" s="2"/>
      <c r="B11" s="6">
        <v>44897</v>
      </c>
      <c r="C11" s="7"/>
      <c r="D11" s="143">
        <v>80</v>
      </c>
      <c r="E11" s="143">
        <v>120</v>
      </c>
      <c r="F11" s="13">
        <f>'Suivi EAU-ELEC'!E10</f>
        <v>125</v>
      </c>
      <c r="G11" s="11"/>
      <c r="H11" s="167">
        <f t="shared" ref="H11:H21" si="0">F11*8.79</f>
        <v>1098.75</v>
      </c>
      <c r="I11" s="168"/>
      <c r="J11" s="168"/>
      <c r="K11" s="60">
        <v>42279</v>
      </c>
      <c r="L11" s="90">
        <f>'Suivi EAU-ELEC'!G10</f>
        <v>4516</v>
      </c>
      <c r="M11" s="91">
        <f>'Suivi EAU-ELEC'!I10</f>
        <v>6383</v>
      </c>
      <c r="N11" s="91">
        <f>'Suivi EAU-ELEC'!K10</f>
        <v>2866</v>
      </c>
      <c r="O11" s="91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 x14ac:dyDescent="0.2">
      <c r="A12" s="2"/>
      <c r="B12" s="6">
        <v>44898</v>
      </c>
      <c r="C12" s="7"/>
      <c r="D12" s="143">
        <v>86</v>
      </c>
      <c r="E12" s="143">
        <v>135</v>
      </c>
      <c r="F12" s="13">
        <f>'Suivi EAU-ELEC'!E11</f>
        <v>122</v>
      </c>
      <c r="G12" s="11"/>
      <c r="H12" s="167">
        <f t="shared" si="0"/>
        <v>1072.3799999999999</v>
      </c>
      <c r="I12" s="168"/>
      <c r="J12" s="168"/>
      <c r="K12" s="60">
        <v>42280</v>
      </c>
      <c r="L12" s="90">
        <f>'Suivi EAU-ELEC'!G11</f>
        <v>4355</v>
      </c>
      <c r="M12" s="91">
        <f>'Suivi EAU-ELEC'!I11</f>
        <v>6149</v>
      </c>
      <c r="N12" s="91">
        <f>'Suivi EAU-ELEC'!K11</f>
        <v>2998</v>
      </c>
      <c r="O12" s="91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6">
        <f>'Suvi Gaz'!O6</f>
        <v>479.98815000000002</v>
      </c>
      <c r="W12" s="11"/>
      <c r="X12" s="34">
        <f t="shared" si="1"/>
        <v>5971.0525859999998</v>
      </c>
    </row>
    <row r="13" spans="1:24" ht="32.25" customHeight="1" x14ac:dyDescent="0.2">
      <c r="A13" s="2"/>
      <c r="B13" s="6">
        <v>44899</v>
      </c>
      <c r="C13" s="7"/>
      <c r="D13" s="143">
        <v>108</v>
      </c>
      <c r="E13" s="143">
        <v>142</v>
      </c>
      <c r="F13" s="13">
        <f>'Suivi EAU-ELEC'!E12</f>
        <v>131</v>
      </c>
      <c r="G13" s="11"/>
      <c r="H13" s="167">
        <f t="shared" si="0"/>
        <v>1151.4899999999998</v>
      </c>
      <c r="I13" s="168"/>
      <c r="J13" s="168"/>
      <c r="K13" s="60">
        <v>42281</v>
      </c>
      <c r="L13" s="90">
        <f>'Suivi EAU-ELEC'!G12</f>
        <v>3999</v>
      </c>
      <c r="M13" s="91">
        <f>'Suivi EAU-ELEC'!I12</f>
        <v>6195</v>
      </c>
      <c r="N13" s="91">
        <f>'Suivi EAU-ELEC'!K12</f>
        <v>2852</v>
      </c>
      <c r="O13" s="91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6">
        <f>'Suvi Gaz'!O7</f>
        <v>545.01490000000001</v>
      </c>
      <c r="W13" s="11"/>
      <c r="X13" s="34">
        <f t="shared" si="1"/>
        <v>6779.9853560000001</v>
      </c>
    </row>
    <row r="14" spans="1:24" ht="32.25" customHeight="1" x14ac:dyDescent="0.2">
      <c r="A14" s="2"/>
      <c r="B14" s="6">
        <v>44900</v>
      </c>
      <c r="C14" s="7"/>
      <c r="D14" s="143">
        <v>105</v>
      </c>
      <c r="E14" s="143">
        <v>139</v>
      </c>
      <c r="F14" s="13">
        <f>'Suivi EAU-ELEC'!E13</f>
        <v>122</v>
      </c>
      <c r="G14" s="12"/>
      <c r="H14" s="167">
        <f t="shared" si="0"/>
        <v>1072.3799999999999</v>
      </c>
      <c r="I14" s="168"/>
      <c r="J14" s="168"/>
      <c r="K14" s="60">
        <v>42282</v>
      </c>
      <c r="L14" s="90">
        <f>'Suivi EAU-ELEC'!G13</f>
        <v>4096</v>
      </c>
      <c r="M14" s="91">
        <f>'Suivi EAU-ELEC'!I13</f>
        <v>6082</v>
      </c>
      <c r="N14" s="91">
        <f>'Suivi EAU-ELEC'!K13</f>
        <v>2955</v>
      </c>
      <c r="O14" s="91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6">
        <f>'Suvi Gaz'!O8</f>
        <v>255.99368000000001</v>
      </c>
      <c r="W14" s="11"/>
      <c r="X14" s="34">
        <f t="shared" si="1"/>
        <v>3184.5613791999999</v>
      </c>
    </row>
    <row r="15" spans="1:24" ht="32.25" customHeight="1" x14ac:dyDescent="0.2">
      <c r="A15" s="5"/>
      <c r="B15" s="6">
        <v>44901</v>
      </c>
      <c r="C15" s="7"/>
      <c r="D15" s="143">
        <v>114</v>
      </c>
      <c r="E15" s="143">
        <v>154</v>
      </c>
      <c r="F15" s="13">
        <f>'Suivi EAU-ELEC'!E14</f>
        <v>132</v>
      </c>
      <c r="G15" s="11"/>
      <c r="H15" s="167">
        <f t="shared" si="0"/>
        <v>1160.28</v>
      </c>
      <c r="I15" s="168"/>
      <c r="J15" s="168"/>
      <c r="K15" s="60">
        <v>42283</v>
      </c>
      <c r="L15" s="90">
        <f>'Suivi EAU-ELEC'!G14</f>
        <v>3949</v>
      </c>
      <c r="M15" s="91">
        <f>'Suivi EAU-ELEC'!I14</f>
        <v>5925</v>
      </c>
      <c r="N15" s="91">
        <f>'Suivi EAU-ELEC'!K14</f>
        <v>2745</v>
      </c>
      <c r="O15" s="91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1"/>
        <v>3582.6315515999995</v>
      </c>
    </row>
    <row r="16" spans="1:24" ht="32.25" customHeight="1" x14ac:dyDescent="0.2">
      <c r="A16" s="5"/>
      <c r="B16" s="6">
        <v>44902</v>
      </c>
      <c r="C16" s="7"/>
      <c r="D16" s="143">
        <v>107</v>
      </c>
      <c r="E16" s="143">
        <v>141</v>
      </c>
      <c r="F16" s="13">
        <f>'Suivi EAU-ELEC'!E15</f>
        <v>121</v>
      </c>
      <c r="G16" s="11"/>
      <c r="H16" s="167">
        <f t="shared" si="0"/>
        <v>1063.5899999999999</v>
      </c>
      <c r="I16" s="168"/>
      <c r="J16" s="168"/>
      <c r="K16" s="60">
        <v>42284</v>
      </c>
      <c r="L16" s="90">
        <f>'Suivi EAU-ELEC'!G15</f>
        <v>4297</v>
      </c>
      <c r="M16" s="91">
        <f>'Suivi EAU-ELEC'!I15</f>
        <v>6773</v>
      </c>
      <c r="N16" s="91">
        <f>'Suivi EAU-ELEC'!K15</f>
        <v>3082</v>
      </c>
      <c r="O16" s="91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6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 x14ac:dyDescent="0.2">
      <c r="A17" s="2"/>
      <c r="B17" s="6">
        <v>44903</v>
      </c>
      <c r="C17" s="7"/>
      <c r="D17" s="143">
        <v>125</v>
      </c>
      <c r="E17" s="143">
        <v>174</v>
      </c>
      <c r="F17" s="13">
        <f>'Suivi EAU-ELEC'!E16</f>
        <v>110</v>
      </c>
      <c r="G17" s="11"/>
      <c r="H17" s="167">
        <f t="shared" si="0"/>
        <v>966.89999999999986</v>
      </c>
      <c r="I17" s="168"/>
      <c r="J17" s="168"/>
      <c r="K17" s="60">
        <v>42285</v>
      </c>
      <c r="L17" s="90">
        <f>'Suivi EAU-ELEC'!G16</f>
        <v>3957</v>
      </c>
      <c r="M17" s="91">
        <f>'Suivi EAU-ELEC'!I16</f>
        <v>6853</v>
      </c>
      <c r="N17" s="91">
        <f>'Suivi EAU-ELEC'!K16</f>
        <v>3117</v>
      </c>
      <c r="O17" s="91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4378.7718963999996</v>
      </c>
    </row>
    <row r="18" spans="1:24" ht="32.25" customHeight="1" x14ac:dyDescent="0.2">
      <c r="A18" s="2"/>
      <c r="B18" s="6">
        <v>44904</v>
      </c>
      <c r="C18" s="7"/>
      <c r="D18" s="143">
        <v>96</v>
      </c>
      <c r="E18" s="143">
        <v>135</v>
      </c>
      <c r="F18" s="13">
        <f>'Suivi EAU-ELEC'!E17</f>
        <v>141</v>
      </c>
      <c r="G18" s="11"/>
      <c r="H18" s="167">
        <f t="shared" si="0"/>
        <v>1239.3899999999999</v>
      </c>
      <c r="I18" s="168"/>
      <c r="J18" s="168"/>
      <c r="K18" s="60">
        <v>42286</v>
      </c>
      <c r="L18" s="90">
        <f>'Suivi EAU-ELEC'!G17</f>
        <v>4428</v>
      </c>
      <c r="M18" s="91">
        <f>'Suivi EAU-ELEC'!I17</f>
        <v>6569</v>
      </c>
      <c r="N18" s="91">
        <f>'Suivi EAU-ELEC'!K17</f>
        <v>3123</v>
      </c>
      <c r="O18" s="91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1"/>
        <v>3184.5613791999999</v>
      </c>
    </row>
    <row r="19" spans="1:24" ht="32.25" customHeight="1" x14ac:dyDescent="0.2">
      <c r="A19" s="2"/>
      <c r="B19" s="6">
        <v>44905</v>
      </c>
      <c r="C19" s="7"/>
      <c r="D19" s="143">
        <v>77</v>
      </c>
      <c r="E19" s="143">
        <v>124</v>
      </c>
      <c r="F19" s="13">
        <f>'Suivi EAU-ELEC'!E18</f>
        <v>129</v>
      </c>
      <c r="G19" s="12"/>
      <c r="H19" s="167">
        <f t="shared" si="0"/>
        <v>1133.9099999999999</v>
      </c>
      <c r="I19" s="168"/>
      <c r="J19" s="168"/>
      <c r="K19" s="60">
        <v>42287</v>
      </c>
      <c r="L19" s="90">
        <f>'Suivi EAU-ELEC'!G18</f>
        <v>4757</v>
      </c>
      <c r="M19" s="91">
        <f>'Suivi EAU-ELEC'!I18</f>
        <v>7543</v>
      </c>
      <c r="N19" s="91">
        <f>'Suivi EAU-ELEC'!K18</f>
        <v>3345</v>
      </c>
      <c r="O19" s="91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4776.8420687999997</v>
      </c>
    </row>
    <row r="20" spans="1:24" ht="32.25" customHeight="1" x14ac:dyDescent="0.2">
      <c r="A20" s="2"/>
      <c r="B20" s="6">
        <v>44906</v>
      </c>
      <c r="C20" s="7"/>
      <c r="D20" s="143">
        <v>66</v>
      </c>
      <c r="E20" s="143">
        <v>93</v>
      </c>
      <c r="F20" s="13">
        <f>'Suivi EAU-ELEC'!E19</f>
        <v>114</v>
      </c>
      <c r="G20" s="12"/>
      <c r="H20" s="167">
        <f t="shared" si="0"/>
        <v>1002.06</v>
      </c>
      <c r="I20" s="168"/>
      <c r="J20" s="168"/>
      <c r="K20" s="60">
        <v>42288</v>
      </c>
      <c r="L20" s="90">
        <f>'Suivi EAU-ELEC'!G19</f>
        <v>4074</v>
      </c>
      <c r="M20" s="91">
        <f>'Suivi EAU-ELEC'!I19</f>
        <v>6459</v>
      </c>
      <c r="N20" s="91">
        <f>'Suivi EAU-ELEC'!K19</f>
        <v>3534</v>
      </c>
      <c r="O20" s="91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6">
        <f>'Suvi Gaz'!O14</f>
        <v>383.99052</v>
      </c>
      <c r="W20" s="11"/>
      <c r="X20" s="34">
        <f t="shared" si="1"/>
        <v>4776.8420687999997</v>
      </c>
    </row>
    <row r="21" spans="1:24" ht="32.25" customHeight="1" x14ac:dyDescent="0.2">
      <c r="A21" s="2"/>
      <c r="B21" s="6">
        <v>44907</v>
      </c>
      <c r="C21" s="7"/>
      <c r="D21" s="143">
        <v>106</v>
      </c>
      <c r="E21" s="143">
        <v>137</v>
      </c>
      <c r="F21" s="13">
        <f>'Suivi EAU-ELEC'!E20</f>
        <v>120</v>
      </c>
      <c r="G21" s="12"/>
      <c r="H21" s="167">
        <f t="shared" si="0"/>
        <v>1054.8</v>
      </c>
      <c r="I21" s="168"/>
      <c r="J21" s="168"/>
      <c r="K21" s="60">
        <v>42289</v>
      </c>
      <c r="L21" s="90">
        <f>'Suivi EAU-ELEC'!G20</f>
        <v>4146</v>
      </c>
      <c r="M21" s="91">
        <f>'Suivi EAU-ELEC'!I20</f>
        <v>5509</v>
      </c>
      <c r="N21" s="91">
        <f>'Suivi EAU-ELEC'!K20</f>
        <v>2726</v>
      </c>
      <c r="O21" s="91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6">
        <f>'Suvi Gaz'!O15</f>
        <v>255.99368000000001</v>
      </c>
      <c r="W21" s="11"/>
      <c r="X21" s="34">
        <f t="shared" si="1"/>
        <v>3184.5613791999999</v>
      </c>
    </row>
    <row r="22" spans="1:24" ht="32.25" customHeight="1" x14ac:dyDescent="0.2">
      <c r="A22" s="2"/>
      <c r="B22" s="6">
        <v>44908</v>
      </c>
      <c r="C22" s="7"/>
      <c r="D22" s="143">
        <v>132</v>
      </c>
      <c r="E22" s="143">
        <v>159</v>
      </c>
      <c r="F22" s="13">
        <f>'Suivi EAU-ELEC'!E21</f>
        <v>89</v>
      </c>
      <c r="G22" s="12"/>
      <c r="H22" s="167">
        <f t="shared" ref="H22:H35" si="4">F22*8.79</f>
        <v>782.31</v>
      </c>
      <c r="I22" s="168"/>
      <c r="J22" s="168"/>
      <c r="K22" s="60">
        <v>42290</v>
      </c>
      <c r="L22" s="90">
        <f>'Suivi EAU-ELEC'!G21</f>
        <v>4395</v>
      </c>
      <c r="M22" s="91">
        <f>'Suivi EAU-ELEC'!I21</f>
        <v>7225</v>
      </c>
      <c r="N22" s="91">
        <f>'Suivi EAU-ELEC'!K21</f>
        <v>3209</v>
      </c>
      <c r="O22" s="91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6">
        <f>'Suvi Gaz'!O16</f>
        <v>479.98815000000002</v>
      </c>
      <c r="W22" s="11"/>
      <c r="X22" s="34">
        <f t="shared" si="1"/>
        <v>5971.0525859999998</v>
      </c>
    </row>
    <row r="23" spans="1:24" ht="32.25" customHeight="1" x14ac:dyDescent="0.2">
      <c r="A23" s="2"/>
      <c r="B23" s="6">
        <v>44909</v>
      </c>
      <c r="C23" s="7"/>
      <c r="D23" s="143">
        <v>98</v>
      </c>
      <c r="E23" s="143">
        <v>134</v>
      </c>
      <c r="F23" s="13">
        <f>'Suivi EAU-ELEC'!E22</f>
        <v>116</v>
      </c>
      <c r="G23" s="14"/>
      <c r="H23" s="167">
        <f t="shared" si="4"/>
        <v>1019.6399999999999</v>
      </c>
      <c r="I23" s="168"/>
      <c r="J23" s="168"/>
      <c r="K23" s="60">
        <v>42291</v>
      </c>
      <c r="L23" s="90">
        <f>'Suivi EAU-ELEC'!G22</f>
        <v>4130</v>
      </c>
      <c r="M23" s="91">
        <f>'Suivi EAU-ELEC'!I22</f>
        <v>6810</v>
      </c>
      <c r="N23" s="91">
        <f>'Suivi EAU-ELEC'!K22</f>
        <v>3248</v>
      </c>
      <c r="O23" s="91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6369.1227583999998</v>
      </c>
    </row>
    <row r="24" spans="1:24" ht="32.25" customHeight="1" x14ac:dyDescent="0.2">
      <c r="A24" s="2"/>
      <c r="B24" s="6">
        <v>44910</v>
      </c>
      <c r="C24" s="7"/>
      <c r="D24" s="143">
        <v>73</v>
      </c>
      <c r="E24" s="143">
        <v>109</v>
      </c>
      <c r="F24" s="13">
        <f>'Suivi EAU-ELEC'!E23</f>
        <v>116</v>
      </c>
      <c r="G24" s="14"/>
      <c r="H24" s="167">
        <f t="shared" si="4"/>
        <v>1019.6399999999999</v>
      </c>
      <c r="I24" s="168"/>
      <c r="J24" s="168"/>
      <c r="K24" s="60">
        <v>42292</v>
      </c>
      <c r="L24" s="90">
        <f>'Suivi EAU-ELEC'!G23</f>
        <v>4236</v>
      </c>
      <c r="M24" s="91">
        <f>'Suivi EAU-ELEC'!I23</f>
        <v>7337</v>
      </c>
      <c r="N24" s="91">
        <f>'Suivi EAU-ELEC'!K23</f>
        <v>3067</v>
      </c>
      <c r="O24" s="91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6">
        <f>'Suvi Gaz'!O18</f>
        <v>127.99684000000001</v>
      </c>
      <c r="W24" s="11"/>
      <c r="X24" s="34">
        <f t="shared" si="1"/>
        <v>1592.2806896</v>
      </c>
    </row>
    <row r="25" spans="1:24" ht="32.25" customHeight="1" x14ac:dyDescent="0.2">
      <c r="A25" s="2"/>
      <c r="B25" s="6">
        <v>44911</v>
      </c>
      <c r="C25" s="7"/>
      <c r="D25" s="143">
        <v>103</v>
      </c>
      <c r="E25" s="143">
        <v>172</v>
      </c>
      <c r="F25" s="13">
        <f>'Suivi EAU-ELEC'!E24</f>
        <v>127</v>
      </c>
      <c r="G25" s="14"/>
      <c r="H25" s="167">
        <f t="shared" si="4"/>
        <v>1116.33</v>
      </c>
      <c r="I25" s="168"/>
      <c r="J25" s="168"/>
      <c r="K25" s="60">
        <v>42293</v>
      </c>
      <c r="L25" s="90">
        <f>'Suivi EAU-ELEC'!G24</f>
        <v>4539</v>
      </c>
      <c r="M25" s="91">
        <f>'Suivi EAU-ELEC'!I24</f>
        <v>6253</v>
      </c>
      <c r="N25" s="91">
        <f>'Suivi EAU-ELEC'!K24</f>
        <v>2870</v>
      </c>
      <c r="O25" s="91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6">
        <f>'Suvi Gaz'!O19</f>
        <v>511.98736000000002</v>
      </c>
      <c r="W25" s="11"/>
      <c r="X25" s="34">
        <f t="shared" si="1"/>
        <v>6369.1227583999998</v>
      </c>
    </row>
    <row r="26" spans="1:24" ht="32.25" customHeight="1" x14ac:dyDescent="0.2">
      <c r="A26" s="2"/>
      <c r="B26" s="6">
        <v>44912</v>
      </c>
      <c r="C26" s="7"/>
      <c r="D26" s="143">
        <v>102</v>
      </c>
      <c r="E26" s="143">
        <v>183</v>
      </c>
      <c r="F26" s="13">
        <f>'Suivi EAU-ELEC'!E25</f>
        <v>83</v>
      </c>
      <c r="G26" s="14"/>
      <c r="H26" s="167">
        <f t="shared" si="4"/>
        <v>729.56999999999994</v>
      </c>
      <c r="I26" s="168"/>
      <c r="J26" s="168"/>
      <c r="K26" s="60">
        <v>42294</v>
      </c>
      <c r="L26" s="90">
        <f>'Suivi EAU-ELEC'!G25</f>
        <v>4444</v>
      </c>
      <c r="M26" s="91">
        <f>'Suivi EAU-ELEC'!I25</f>
        <v>7200</v>
      </c>
      <c r="N26" s="91">
        <f>'Suivi EAU-ELEC'!K25</f>
        <v>3319</v>
      </c>
      <c r="O26" s="91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6">
        <f>'Suvi Gaz'!O20</f>
        <v>447.98894000000001</v>
      </c>
      <c r="W26" s="11"/>
      <c r="X26" s="34">
        <f t="shared" si="1"/>
        <v>5572.9824135999997</v>
      </c>
    </row>
    <row r="27" spans="1:24" ht="32.25" customHeight="1" x14ac:dyDescent="0.2">
      <c r="A27" s="2"/>
      <c r="B27" s="6">
        <v>44913</v>
      </c>
      <c r="C27" s="7"/>
      <c r="D27" s="143">
        <v>84</v>
      </c>
      <c r="E27" s="143">
        <v>134</v>
      </c>
      <c r="F27" s="13">
        <f>'Suivi EAU-ELEC'!E26</f>
        <v>134</v>
      </c>
      <c r="G27" s="14"/>
      <c r="H27" s="167">
        <f t="shared" si="4"/>
        <v>1177.8599999999999</v>
      </c>
      <c r="I27" s="168"/>
      <c r="J27" s="168"/>
      <c r="K27" s="60">
        <v>42295</v>
      </c>
      <c r="L27" s="90">
        <f>'Suivi EAU-ELEC'!G26</f>
        <v>4381</v>
      </c>
      <c r="M27" s="91">
        <f>'Suivi EAU-ELEC'!I26</f>
        <v>6017</v>
      </c>
      <c r="N27" s="91">
        <f>'Suivi EAU-ELEC'!K26</f>
        <v>3055</v>
      </c>
      <c r="O27" s="91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6">
        <f>'Suvi Gaz'!O21</f>
        <v>639.98419999999999</v>
      </c>
      <c r="W27" s="11"/>
      <c r="X27" s="34">
        <f t="shared" si="1"/>
        <v>7961.4034479999991</v>
      </c>
    </row>
    <row r="28" spans="1:24" ht="32.25" customHeight="1" x14ac:dyDescent="0.2">
      <c r="A28" s="2"/>
      <c r="B28" s="6">
        <v>44914</v>
      </c>
      <c r="C28" s="7"/>
      <c r="D28" s="143">
        <v>95</v>
      </c>
      <c r="E28" s="143">
        <v>161</v>
      </c>
      <c r="F28" s="13">
        <f>'Suivi EAU-ELEC'!E27</f>
        <v>96</v>
      </c>
      <c r="G28" s="11"/>
      <c r="H28" s="167">
        <f t="shared" si="4"/>
        <v>843.83999999999992</v>
      </c>
      <c r="I28" s="168"/>
      <c r="J28" s="168"/>
      <c r="K28" s="60">
        <v>42296</v>
      </c>
      <c r="L28" s="90">
        <f>'Suivi EAU-ELEC'!G27</f>
        <v>4126</v>
      </c>
      <c r="M28" s="91">
        <f>'Suivi EAU-ELEC'!I27</f>
        <v>5975</v>
      </c>
      <c r="N28" s="91">
        <f>'Suivi EAU-ELEC'!K27</f>
        <v>2815</v>
      </c>
      <c r="O28" s="91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7165.263103199999</v>
      </c>
    </row>
    <row r="29" spans="1:24" ht="32.25" customHeight="1" x14ac:dyDescent="0.2">
      <c r="A29" s="2"/>
      <c r="B29" s="6">
        <v>44915</v>
      </c>
      <c r="C29" s="7"/>
      <c r="D29" s="143">
        <v>84</v>
      </c>
      <c r="E29" s="143">
        <v>136</v>
      </c>
      <c r="F29" s="13">
        <f>'Suivi EAU-ELEC'!E28</f>
        <v>104</v>
      </c>
      <c r="G29" s="11"/>
      <c r="H29" s="167">
        <f t="shared" si="4"/>
        <v>914.15999999999985</v>
      </c>
      <c r="I29" s="168"/>
      <c r="J29" s="168"/>
      <c r="K29" s="60">
        <v>42297</v>
      </c>
      <c r="L29" s="90">
        <f>'Suivi EAU-ELEC'!G28</f>
        <v>4056</v>
      </c>
      <c r="M29" s="91">
        <f>'Suivi EAU-ELEC'!I28</f>
        <v>6460</v>
      </c>
      <c r="N29" s="91">
        <f>'Suivi EAU-ELEC'!K28</f>
        <v>2953</v>
      </c>
      <c r="O29" s="91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2786.4912067999999</v>
      </c>
    </row>
    <row r="30" spans="1:24" ht="32.25" customHeight="1" x14ac:dyDescent="0.2">
      <c r="A30" s="2"/>
      <c r="B30" s="6">
        <v>44916</v>
      </c>
      <c r="C30" s="7"/>
      <c r="D30" s="143">
        <v>94</v>
      </c>
      <c r="E30" s="143">
        <v>161</v>
      </c>
      <c r="F30" s="13">
        <f>'Suivi EAU-ELEC'!E29</f>
        <v>147</v>
      </c>
      <c r="G30" s="11"/>
      <c r="H30" s="167">
        <f t="shared" si="4"/>
        <v>1292.1299999999999</v>
      </c>
      <c r="I30" s="168"/>
      <c r="J30" s="168"/>
      <c r="K30" s="60">
        <v>42298</v>
      </c>
      <c r="L30" s="90">
        <f>'Suivi EAU-ELEC'!G29</f>
        <v>4159</v>
      </c>
      <c r="M30" s="91">
        <f>'Suivi EAU-ELEC'!I29</f>
        <v>6153</v>
      </c>
      <c r="N30" s="91">
        <f>'Suivi EAU-ELEC'!K29</f>
        <v>3003</v>
      </c>
      <c r="O30" s="91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3582.6315515999995</v>
      </c>
    </row>
    <row r="31" spans="1:24" ht="27.75" customHeight="1" x14ac:dyDescent="0.2">
      <c r="A31" s="2"/>
      <c r="B31" s="6">
        <v>44917</v>
      </c>
      <c r="C31" s="7"/>
      <c r="D31" s="143">
        <v>88</v>
      </c>
      <c r="E31" s="143">
        <v>150</v>
      </c>
      <c r="F31" s="13">
        <f>'Suivi EAU-ELEC'!E30</f>
        <v>120</v>
      </c>
      <c r="G31" s="11"/>
      <c r="H31" s="167">
        <f t="shared" si="4"/>
        <v>1054.8</v>
      </c>
      <c r="I31" s="168"/>
      <c r="J31" s="168"/>
      <c r="K31" s="60">
        <v>42299</v>
      </c>
      <c r="L31" s="90">
        <f>'Suivi EAU-ELEC'!G30</f>
        <v>4066</v>
      </c>
      <c r="M31" s="91">
        <f>'Suivi EAU-ELEC'!I30</f>
        <v>6178</v>
      </c>
      <c r="N31" s="91">
        <f>'Suivi EAU-ELEC'!K30</f>
        <v>3034</v>
      </c>
      <c r="O31" s="91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4378.7718963999996</v>
      </c>
    </row>
    <row r="32" spans="1:24" ht="37.5" customHeight="1" x14ac:dyDescent="0.2">
      <c r="A32" s="2"/>
      <c r="B32" s="6">
        <v>44918</v>
      </c>
      <c r="C32" s="7"/>
      <c r="D32" s="143">
        <v>75</v>
      </c>
      <c r="E32" s="143">
        <v>136</v>
      </c>
      <c r="F32" s="13">
        <f>'Suivi EAU-ELEC'!E31</f>
        <v>130</v>
      </c>
      <c r="G32" s="11"/>
      <c r="H32" s="167">
        <f t="shared" si="4"/>
        <v>1142.6999999999998</v>
      </c>
      <c r="I32" s="168"/>
      <c r="J32" s="168"/>
      <c r="K32" s="60">
        <v>42300</v>
      </c>
      <c r="L32" s="90">
        <f>'Suivi EAU-ELEC'!G31</f>
        <v>4181</v>
      </c>
      <c r="M32" s="91">
        <f>'Suivi EAU-ELEC'!I31</f>
        <v>6121</v>
      </c>
      <c r="N32" s="91">
        <f>'Suivi EAU-ELEC'!K31</f>
        <v>2841</v>
      </c>
      <c r="O32" s="91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6">
        <f>'Suvi Gaz'!O26</f>
        <v>543.98657000000003</v>
      </c>
      <c r="W32" s="11"/>
      <c r="X32" s="34">
        <f t="shared" si="1"/>
        <v>6767.1929307999999</v>
      </c>
    </row>
    <row r="33" spans="1:24" ht="37.5" customHeight="1" x14ac:dyDescent="0.2">
      <c r="A33" s="2"/>
      <c r="B33" s="6">
        <v>44919</v>
      </c>
      <c r="C33" s="7"/>
      <c r="D33" s="143">
        <v>120</v>
      </c>
      <c r="E33" s="143">
        <v>220</v>
      </c>
      <c r="F33" s="13">
        <f>'Suivi EAU-ELEC'!E32</f>
        <v>117</v>
      </c>
      <c r="G33" s="11"/>
      <c r="H33" s="167">
        <f t="shared" si="4"/>
        <v>1028.4299999999998</v>
      </c>
      <c r="I33" s="168"/>
      <c r="J33" s="168"/>
      <c r="K33" s="60">
        <v>42301</v>
      </c>
      <c r="L33" s="90">
        <f>'Suivi EAU-ELEC'!G32</f>
        <v>4012</v>
      </c>
      <c r="M33" s="91">
        <f>'Suivi EAU-ELEC'!I32</f>
        <v>5920</v>
      </c>
      <c r="N33" s="91">
        <f>'Suivi EAU-ELEC'!K32</f>
        <v>2689</v>
      </c>
      <c r="O33" s="91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1"/>
        <v>10747.8946548</v>
      </c>
    </row>
    <row r="34" spans="1:24" ht="37.5" customHeight="1" x14ac:dyDescent="0.2">
      <c r="A34" s="2"/>
      <c r="B34" s="6">
        <v>44920</v>
      </c>
      <c r="C34" s="7"/>
      <c r="D34" s="143">
        <v>117</v>
      </c>
      <c r="E34" s="143">
        <v>221</v>
      </c>
      <c r="F34" s="13">
        <f>'Suivi EAU-ELEC'!E33</f>
        <v>126</v>
      </c>
      <c r="G34" s="11"/>
      <c r="H34" s="167">
        <f t="shared" si="4"/>
        <v>1107.54</v>
      </c>
      <c r="I34" s="168"/>
      <c r="J34" s="168"/>
      <c r="K34" s="60">
        <v>42302</v>
      </c>
      <c r="L34" s="90">
        <f>'Suivi EAU-ELEC'!G33</f>
        <v>4041</v>
      </c>
      <c r="M34" s="91">
        <f>'Suivi EAU-ELEC'!I33</f>
        <v>5901</v>
      </c>
      <c r="N34" s="91">
        <f>'Suivi EAU-ELEC'!K33</f>
        <v>3034</v>
      </c>
      <c r="O34" s="91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6">
        <f>'Suvi Gaz'!O28</f>
        <v>511.98736000000002</v>
      </c>
      <c r="W34" s="11"/>
      <c r="X34" s="34">
        <f t="shared" si="1"/>
        <v>6369.1227583999998</v>
      </c>
    </row>
    <row r="35" spans="1:24" ht="33.75" customHeight="1" x14ac:dyDescent="0.2">
      <c r="A35" s="2"/>
      <c r="B35" s="6">
        <v>44921</v>
      </c>
      <c r="C35" s="7"/>
      <c r="D35" s="143">
        <v>160</v>
      </c>
      <c r="E35" s="143">
        <v>297</v>
      </c>
      <c r="F35" s="13">
        <f>'Suivi EAU-ELEC'!E34</f>
        <v>170</v>
      </c>
      <c r="G35" s="11"/>
      <c r="H35" s="167">
        <f t="shared" si="4"/>
        <v>1494.3</v>
      </c>
      <c r="I35" s="168"/>
      <c r="J35" s="168"/>
      <c r="K35" s="60">
        <v>42303</v>
      </c>
      <c r="L35" s="90">
        <f>'Suivi EAU-ELEC'!G34</f>
        <v>4322</v>
      </c>
      <c r="M35" s="91">
        <f>'Suivi EAU-ELEC'!I34</f>
        <v>5985</v>
      </c>
      <c r="N35" s="91">
        <f>'Suivi EAU-ELEC'!K34</f>
        <v>2921</v>
      </c>
      <c r="O35" s="91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6">
        <f>'Suvi Gaz'!O29</f>
        <v>447.98894000000001</v>
      </c>
      <c r="W35" s="11"/>
      <c r="X35" s="34">
        <f t="shared" si="1"/>
        <v>5572.9824135999997</v>
      </c>
    </row>
    <row r="36" spans="1:24" ht="33.75" customHeight="1" x14ac:dyDescent="0.2">
      <c r="A36" s="2"/>
      <c r="B36" s="6">
        <v>44922</v>
      </c>
      <c r="C36" s="7"/>
      <c r="D36" s="143">
        <v>151</v>
      </c>
      <c r="E36" s="143">
        <v>284</v>
      </c>
      <c r="F36" s="13">
        <f>'Suivi EAU-ELEC'!E35</f>
        <v>153</v>
      </c>
      <c r="G36" s="11"/>
      <c r="H36" s="167">
        <f>F36*8.79</f>
        <v>1344.87</v>
      </c>
      <c r="I36" s="168"/>
      <c r="J36" s="168"/>
      <c r="K36" s="60">
        <v>42304</v>
      </c>
      <c r="L36" s="90">
        <f>'Suivi EAU-ELEC'!G35</f>
        <v>4450</v>
      </c>
      <c r="M36" s="91">
        <f>'Suivi EAU-ELEC'!I35</f>
        <v>6089</v>
      </c>
      <c r="N36" s="91">
        <f>'Suivi EAU-ELEC'!K35</f>
        <v>3014</v>
      </c>
      <c r="O36" s="91">
        <f t="shared" si="2"/>
        <v>13553</v>
      </c>
      <c r="P36" s="11"/>
      <c r="Q36" s="34">
        <f t="shared" si="3"/>
        <v>12911.225200000001</v>
      </c>
      <c r="R36" s="11"/>
      <c r="S36" s="28"/>
      <c r="T36" s="11"/>
      <c r="U36" s="28"/>
      <c r="V36" s="146">
        <f>'Suvi Gaz'!O30</f>
        <v>863.97867000000008</v>
      </c>
      <c r="W36" s="11"/>
      <c r="X36" s="34">
        <f t="shared" si="1"/>
        <v>10747.8946548</v>
      </c>
    </row>
    <row r="37" spans="1:24" ht="33.75" customHeight="1" x14ac:dyDescent="0.2">
      <c r="A37" s="2"/>
      <c r="B37" s="6">
        <v>44923</v>
      </c>
      <c r="C37" s="7"/>
      <c r="D37" s="143">
        <v>139</v>
      </c>
      <c r="E37" s="143">
        <v>258</v>
      </c>
      <c r="F37" s="13">
        <f>'Suivi EAU-ELEC'!E36</f>
        <v>161</v>
      </c>
      <c r="G37" s="11"/>
      <c r="H37" s="167">
        <f t="shared" ref="H37:H38" si="5">F37*8.79</f>
        <v>1415.1899999999998</v>
      </c>
      <c r="I37" s="168"/>
      <c r="J37" s="168"/>
      <c r="K37" s="60"/>
      <c r="L37" s="90">
        <f>'Suivi EAU-ELEC'!G36</f>
        <v>3883</v>
      </c>
      <c r="M37" s="91">
        <f>'Suivi EAU-ELEC'!I36</f>
        <v>6047</v>
      </c>
      <c r="N37" s="91">
        <f>'Suivi EAU-ELEC'!K36</f>
        <v>3015</v>
      </c>
      <c r="O37" s="91">
        <f t="shared" si="2"/>
        <v>12945</v>
      </c>
      <c r="P37" s="11"/>
      <c r="Q37" s="34">
        <f t="shared" si="3"/>
        <v>12476.547300000002</v>
      </c>
      <c r="R37" s="11"/>
      <c r="S37" s="28"/>
      <c r="T37" s="11"/>
      <c r="U37" s="28"/>
      <c r="V37" s="146">
        <f>'Suvi Gaz'!O31</f>
        <v>575.98577999999998</v>
      </c>
      <c r="W37" s="11"/>
      <c r="X37" s="34">
        <f t="shared" si="1"/>
        <v>7165.263103199999</v>
      </c>
    </row>
    <row r="38" spans="1:24" ht="33.75" customHeight="1" x14ac:dyDescent="0.2">
      <c r="A38" s="2"/>
      <c r="B38" s="6">
        <v>44924</v>
      </c>
      <c r="C38" s="7"/>
      <c r="D38" s="143">
        <v>131</v>
      </c>
      <c r="E38" s="143">
        <v>251</v>
      </c>
      <c r="F38" s="13">
        <f>'Suivi EAU-ELEC'!E37</f>
        <v>149</v>
      </c>
      <c r="G38" s="11"/>
      <c r="H38" s="167">
        <f t="shared" si="5"/>
        <v>1309.7099999999998</v>
      </c>
      <c r="I38" s="168"/>
      <c r="J38" s="168"/>
      <c r="K38" s="60"/>
      <c r="L38" s="90">
        <f>'Suivi EAU-ELEC'!G37</f>
        <v>3977</v>
      </c>
      <c r="M38" s="91">
        <f>'Suivi EAU-ELEC'!I37</f>
        <v>6271</v>
      </c>
      <c r="N38" s="91">
        <f>'Suivi EAU-ELEC'!K37</f>
        <v>3076</v>
      </c>
      <c r="O38" s="91">
        <f t="shared" si="2"/>
        <v>13324</v>
      </c>
      <c r="P38" s="11"/>
      <c r="Q38" s="34">
        <f t="shared" si="3"/>
        <v>12836.4743</v>
      </c>
      <c r="R38" s="11"/>
      <c r="S38" s="28"/>
      <c r="T38" s="11"/>
      <c r="U38" s="28"/>
      <c r="V38" s="146">
        <f>'Suvi Gaz'!O32</f>
        <v>543.98657000000003</v>
      </c>
      <c r="W38" s="11"/>
      <c r="X38" s="34">
        <f t="shared" si="1"/>
        <v>6767.1929307999999</v>
      </c>
    </row>
    <row r="39" spans="1:24" ht="33.75" customHeight="1" x14ac:dyDescent="0.2">
      <c r="A39" s="2"/>
      <c r="B39" s="6">
        <v>44925</v>
      </c>
      <c r="C39" s="7"/>
      <c r="D39" s="143">
        <v>143</v>
      </c>
      <c r="E39" s="143">
        <v>284</v>
      </c>
      <c r="F39" s="13">
        <f>'Suivi EAU-ELEC'!E38</f>
        <v>166</v>
      </c>
      <c r="G39" s="11"/>
      <c r="H39" s="167">
        <f t="shared" ref="H39" si="6">F39*8.79</f>
        <v>1459.1399999999999</v>
      </c>
      <c r="I39" s="168"/>
      <c r="J39" s="168"/>
      <c r="K39" s="60"/>
      <c r="L39" s="90">
        <f>'Suivi EAU-ELEC'!G38</f>
        <v>4360</v>
      </c>
      <c r="M39" s="91">
        <f>'Suivi EAU-ELEC'!I38</f>
        <v>6057</v>
      </c>
      <c r="N39" s="91">
        <f>'Suivi EAU-ELEC'!K38</f>
        <v>2961</v>
      </c>
      <c r="O39" s="91">
        <f t="shared" si="2"/>
        <v>13378</v>
      </c>
      <c r="P39" s="11"/>
      <c r="Q39" s="34">
        <f t="shared" si="3"/>
        <v>12747.404200000001</v>
      </c>
      <c r="R39" s="11"/>
      <c r="S39" s="28"/>
      <c r="T39" s="11"/>
      <c r="U39" s="28"/>
      <c r="V39" s="146">
        <f>'Suvi Gaz'!O33</f>
        <v>735.98183000000006</v>
      </c>
      <c r="W39" s="11"/>
      <c r="X39" s="34">
        <f t="shared" si="1"/>
        <v>9155.6139652000002</v>
      </c>
    </row>
    <row r="40" spans="1:24" ht="33.75" customHeight="1" x14ac:dyDescent="0.2">
      <c r="A40" s="2"/>
      <c r="B40" s="6">
        <v>44926</v>
      </c>
      <c r="C40" s="7"/>
      <c r="D40" s="143">
        <v>152</v>
      </c>
      <c r="E40" s="143">
        <v>197</v>
      </c>
      <c r="F40" s="13">
        <f>'Suivi EAU-ELEC'!E39</f>
        <v>169</v>
      </c>
      <c r="G40" s="11"/>
      <c r="H40" s="167">
        <f t="shared" ref="H40" si="7">F40*8.79</f>
        <v>1485.5099999999998</v>
      </c>
      <c r="I40" s="168"/>
      <c r="J40" s="168"/>
      <c r="K40" s="60"/>
      <c r="L40" s="90">
        <f>'Suivi EAU-ELEC'!G39</f>
        <v>4459</v>
      </c>
      <c r="M40" s="91">
        <f>'Suivi EAU-ELEC'!I39</f>
        <v>6047</v>
      </c>
      <c r="N40" s="91">
        <f>'Suivi EAU-ELEC'!K39</f>
        <v>2920</v>
      </c>
      <c r="O40" s="91">
        <f t="shared" si="2"/>
        <v>13426</v>
      </c>
      <c r="P40" s="11"/>
      <c r="Q40" s="34">
        <f t="shared" si="3"/>
        <v>12752.4953</v>
      </c>
      <c r="R40" s="11"/>
      <c r="S40" s="28"/>
      <c r="T40" s="11"/>
      <c r="U40" s="28"/>
      <c r="V40" s="146">
        <f>'Suvi Gaz'!O34</f>
        <v>639.98419999999999</v>
      </c>
      <c r="W40" s="11"/>
      <c r="X40" s="34">
        <f t="shared" si="1"/>
        <v>7961.4034479999991</v>
      </c>
    </row>
    <row r="41" spans="1:24" ht="42.75" customHeight="1" x14ac:dyDescent="0.2">
      <c r="A41" s="2"/>
      <c r="B41" s="10"/>
      <c r="C41" s="10"/>
      <c r="D41" s="8">
        <f>SUM(D10:D40)</f>
        <v>3313</v>
      </c>
      <c r="E41" s="8">
        <f>SUM(E10:E40)</f>
        <v>5286</v>
      </c>
      <c r="F41" s="152">
        <f>SUM(F10:F40)</f>
        <v>3952.1000000000058</v>
      </c>
      <c r="G41" s="1"/>
      <c r="H41" s="205">
        <f>SUM(H10:H40)</f>
        <v>34738.959000000046</v>
      </c>
      <c r="I41" s="206"/>
      <c r="J41" s="207"/>
      <c r="K41" s="1"/>
      <c r="L41" s="53">
        <f>SUM(L10:L40)</f>
        <v>131233</v>
      </c>
      <c r="M41" s="53">
        <f>SUM(M10:M40)</f>
        <v>196257</v>
      </c>
      <c r="N41" s="54">
        <f>SUM(N10:N40)</f>
        <v>93455</v>
      </c>
      <c r="O41" s="55">
        <f>SUM(O10:O40)</f>
        <v>420945</v>
      </c>
      <c r="P41" s="31"/>
      <c r="Q41" s="32">
        <f>SUM(Q10:Q40)</f>
        <v>402836.09789999994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14880.660979999999</v>
      </c>
      <c r="W41" s="31"/>
      <c r="X41" s="32">
        <f>SUM(X10:X40)</f>
        <v>185115.42259119995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 x14ac:dyDescent="0.25">
      <c r="A44" s="222" t="s">
        <v>38</v>
      </c>
      <c r="B44" s="223"/>
      <c r="C44" s="22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9">
        <f>L41</f>
        <v>131233</v>
      </c>
      <c r="J44" s="220"/>
      <c r="K44" s="221"/>
      <c r="L44" s="203">
        <f>I44*H44</f>
        <v>91666.250499999995</v>
      </c>
      <c r="M44" s="204"/>
      <c r="N44" s="176">
        <f>L44+L45+L46</f>
        <v>402717.6923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 x14ac:dyDescent="0.25">
      <c r="A45" s="225"/>
      <c r="B45" s="226"/>
      <c r="C45" s="22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9">
        <f>M41</f>
        <v>196257</v>
      </c>
      <c r="J45" s="220"/>
      <c r="K45" s="221"/>
      <c r="L45" s="203">
        <f>I45*H45</f>
        <v>186718.90979999999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 x14ac:dyDescent="0.25">
      <c r="A46" s="225"/>
      <c r="B46" s="226"/>
      <c r="C46" s="22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4">
        <f>N41</f>
        <v>93455</v>
      </c>
      <c r="J46" s="195"/>
      <c r="K46" s="196"/>
      <c r="L46" s="203">
        <f>I46*H46</f>
        <v>124332.53200000001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0">
        <f>N44*1.3</f>
        <v>523532.99999000004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 x14ac:dyDescent="0.25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3952.1000000000058</v>
      </c>
      <c r="J48" s="215"/>
      <c r="K48" s="216"/>
      <c r="L48" s="217">
        <f>I48*H48</f>
        <v>34738.959000000046</v>
      </c>
      <c r="M48" s="218"/>
      <c r="N48" s="173">
        <f>L48</f>
        <v>34738.959000000046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 x14ac:dyDescent="0.2">
      <c r="A49" s="188" t="s">
        <v>40</v>
      </c>
      <c r="B49" s="189"/>
      <c r="C49" s="189"/>
      <c r="D49" s="189"/>
      <c r="E49" s="189"/>
      <c r="F49" s="190"/>
      <c r="G49" s="24"/>
      <c r="H49" s="25">
        <v>12.44</v>
      </c>
      <c r="I49" s="191">
        <f>V41</f>
        <v>14880.660979999999</v>
      </c>
      <c r="J49" s="192"/>
      <c r="K49" s="193"/>
      <c r="L49" s="191">
        <f>I49*H49</f>
        <v>185115.42259119998</v>
      </c>
      <c r="M49" s="193"/>
      <c r="N49" s="170">
        <f>L49</f>
        <v>185115.42259119998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I37" sqref="I37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thickTop="1" thickBot="1" x14ac:dyDescent="0.25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21" thickTop="1" thickBot="1" x14ac:dyDescent="0.35">
      <c r="A9" s="59">
        <v>44896</v>
      </c>
      <c r="B9" s="116">
        <v>2594</v>
      </c>
      <c r="C9" s="115">
        <v>0</v>
      </c>
      <c r="D9" s="57">
        <v>176437</v>
      </c>
      <c r="E9" s="50">
        <f>D9-176324.9</f>
        <v>112.10000000000582</v>
      </c>
      <c r="F9" s="51">
        <v>12772402</v>
      </c>
      <c r="G9" s="50">
        <f>F9-'[1]Eau-elec'!$F$38</f>
        <v>4442</v>
      </c>
      <c r="H9" s="51">
        <v>21823370</v>
      </c>
      <c r="I9" s="50">
        <f>H9-'[1]Eau-elec'!$H$38</f>
        <v>5771</v>
      </c>
      <c r="J9" s="51">
        <v>9567300</v>
      </c>
      <c r="K9" s="50">
        <f>J9-'[1]Eau-elec'!$J$38</f>
        <v>3068</v>
      </c>
    </row>
    <row r="10" spans="1:12" ht="21" thickTop="1" thickBot="1" x14ac:dyDescent="0.35">
      <c r="A10" s="59">
        <v>44897</v>
      </c>
      <c r="B10" s="116">
        <v>2594</v>
      </c>
      <c r="C10" s="115">
        <f t="shared" ref="C10:C21" si="0">B10-B9</f>
        <v>0</v>
      </c>
      <c r="D10" s="57">
        <v>176562</v>
      </c>
      <c r="E10" s="50">
        <f>D10-D9</f>
        <v>125</v>
      </c>
      <c r="F10" s="51">
        <v>12776918</v>
      </c>
      <c r="G10" s="50">
        <f>F10-F9</f>
        <v>4516</v>
      </c>
      <c r="H10" s="51">
        <v>21829753</v>
      </c>
      <c r="I10" s="50">
        <f t="shared" ref="I10:I39" si="1">H10-H9</f>
        <v>6383</v>
      </c>
      <c r="J10" s="51">
        <v>9570166</v>
      </c>
      <c r="K10" s="50">
        <f>J10-J9</f>
        <v>2866</v>
      </c>
    </row>
    <row r="11" spans="1:12" ht="21" thickTop="1" thickBot="1" x14ac:dyDescent="0.35">
      <c r="A11" s="59">
        <v>44898</v>
      </c>
      <c r="B11" s="116">
        <v>2594</v>
      </c>
      <c r="C11" s="115">
        <f t="shared" si="0"/>
        <v>0</v>
      </c>
      <c r="D11" s="57">
        <v>176684</v>
      </c>
      <c r="E11" s="50">
        <f>D11-D10</f>
        <v>122</v>
      </c>
      <c r="F11" s="51">
        <v>12781273</v>
      </c>
      <c r="G11" s="50">
        <f>F11-F10</f>
        <v>4355</v>
      </c>
      <c r="H11" s="51">
        <v>21835902</v>
      </c>
      <c r="I11" s="50">
        <f t="shared" si="1"/>
        <v>6149</v>
      </c>
      <c r="J11" s="51">
        <v>9573164</v>
      </c>
      <c r="K11" s="50">
        <f>J11-J10</f>
        <v>2998</v>
      </c>
    </row>
    <row r="12" spans="1:12" ht="21" thickTop="1" thickBot="1" x14ac:dyDescent="0.35">
      <c r="A12" s="59">
        <v>44899</v>
      </c>
      <c r="B12" s="116">
        <v>2594</v>
      </c>
      <c r="C12" s="115">
        <f t="shared" si="0"/>
        <v>0</v>
      </c>
      <c r="D12" s="57">
        <v>176815</v>
      </c>
      <c r="E12" s="50">
        <f>D12-D11</f>
        <v>131</v>
      </c>
      <c r="F12" s="51">
        <v>12785272</v>
      </c>
      <c r="G12" s="50">
        <f>F12-F11</f>
        <v>3999</v>
      </c>
      <c r="H12" s="51">
        <v>21842097</v>
      </c>
      <c r="I12" s="50">
        <f t="shared" si="1"/>
        <v>6195</v>
      </c>
      <c r="J12" s="51">
        <v>9576016</v>
      </c>
      <c r="K12" s="50">
        <f>J12-J11</f>
        <v>2852</v>
      </c>
    </row>
    <row r="13" spans="1:12" ht="21" thickTop="1" thickBot="1" x14ac:dyDescent="0.35">
      <c r="A13" s="59">
        <v>44900</v>
      </c>
      <c r="B13" s="116">
        <v>2594</v>
      </c>
      <c r="C13" s="115">
        <f t="shared" si="0"/>
        <v>0</v>
      </c>
      <c r="D13" s="57">
        <v>176937</v>
      </c>
      <c r="E13" s="50">
        <f>D13-D12</f>
        <v>122</v>
      </c>
      <c r="F13" s="51">
        <v>12789368</v>
      </c>
      <c r="G13" s="50">
        <f>F13-F12</f>
        <v>4096</v>
      </c>
      <c r="H13" s="51">
        <v>21848179</v>
      </c>
      <c r="I13" s="50">
        <f t="shared" si="1"/>
        <v>6082</v>
      </c>
      <c r="J13" s="51">
        <v>9578971</v>
      </c>
      <c r="K13" s="50">
        <f>J13-J12</f>
        <v>2955</v>
      </c>
    </row>
    <row r="14" spans="1:12" ht="21" thickTop="1" thickBot="1" x14ac:dyDescent="0.35">
      <c r="A14" s="59">
        <v>44901</v>
      </c>
      <c r="B14" s="116">
        <v>2594</v>
      </c>
      <c r="C14" s="115">
        <f t="shared" si="0"/>
        <v>0</v>
      </c>
      <c r="D14" s="57">
        <v>177069</v>
      </c>
      <c r="E14" s="50">
        <f>D14-D13</f>
        <v>132</v>
      </c>
      <c r="F14" s="51">
        <v>12793317</v>
      </c>
      <c r="G14" s="50">
        <f>F14-F13</f>
        <v>3949</v>
      </c>
      <c r="H14" s="51">
        <v>21854104</v>
      </c>
      <c r="I14" s="50">
        <f t="shared" si="1"/>
        <v>5925</v>
      </c>
      <c r="J14" s="51">
        <v>9581716</v>
      </c>
      <c r="K14" s="50">
        <f>J14-J13</f>
        <v>2745</v>
      </c>
    </row>
    <row r="15" spans="1:12" ht="21" thickTop="1" thickBot="1" x14ac:dyDescent="0.35">
      <c r="A15" s="59">
        <v>44902</v>
      </c>
      <c r="B15" s="116">
        <v>2594</v>
      </c>
      <c r="C15" s="115">
        <f t="shared" si="0"/>
        <v>0</v>
      </c>
      <c r="D15" s="57">
        <v>177190</v>
      </c>
      <c r="E15" s="50">
        <f t="shared" ref="E15:E39" si="2">D15-D14</f>
        <v>121</v>
      </c>
      <c r="F15" s="51">
        <v>12797614</v>
      </c>
      <c r="G15" s="50">
        <f t="shared" ref="G15:G39" si="3">F15-F14</f>
        <v>4297</v>
      </c>
      <c r="H15" s="51">
        <v>21860877</v>
      </c>
      <c r="I15" s="50">
        <f t="shared" si="1"/>
        <v>6773</v>
      </c>
      <c r="J15" s="51">
        <v>9584798</v>
      </c>
      <c r="K15" s="50">
        <f t="shared" ref="K15:K39" si="4">J15-J14</f>
        <v>3082</v>
      </c>
    </row>
    <row r="16" spans="1:12" ht="21" thickTop="1" thickBot="1" x14ac:dyDescent="0.35">
      <c r="A16" s="59">
        <v>44903</v>
      </c>
      <c r="B16" s="116">
        <v>2594</v>
      </c>
      <c r="C16" s="115">
        <f t="shared" si="0"/>
        <v>0</v>
      </c>
      <c r="D16" s="57">
        <f>177190+110</f>
        <v>177300</v>
      </c>
      <c r="E16" s="50">
        <f t="shared" si="2"/>
        <v>110</v>
      </c>
      <c r="F16" s="51">
        <v>12801571</v>
      </c>
      <c r="G16" s="50">
        <f t="shared" si="3"/>
        <v>3957</v>
      </c>
      <c r="H16" s="51">
        <v>21867730</v>
      </c>
      <c r="I16" s="50">
        <f t="shared" si="1"/>
        <v>6853</v>
      </c>
      <c r="J16" s="51">
        <v>9587915</v>
      </c>
      <c r="K16" s="50">
        <f t="shared" si="4"/>
        <v>3117</v>
      </c>
    </row>
    <row r="17" spans="1:29" ht="21" thickTop="1" thickBot="1" x14ac:dyDescent="0.35">
      <c r="A17" s="59">
        <v>44904</v>
      </c>
      <c r="B17" s="116">
        <v>2594</v>
      </c>
      <c r="C17" s="115">
        <f t="shared" si="0"/>
        <v>0</v>
      </c>
      <c r="D17" s="57">
        <f>D15+251</f>
        <v>177441</v>
      </c>
      <c r="E17" s="50">
        <f t="shared" si="2"/>
        <v>141</v>
      </c>
      <c r="F17" s="51">
        <v>12805999</v>
      </c>
      <c r="G17" s="50">
        <f t="shared" si="3"/>
        <v>4428</v>
      </c>
      <c r="H17" s="51">
        <v>21874299</v>
      </c>
      <c r="I17" s="50">
        <f t="shared" si="1"/>
        <v>6569</v>
      </c>
      <c r="J17" s="51">
        <v>9591038</v>
      </c>
      <c r="K17" s="50">
        <f t="shared" si="4"/>
        <v>3123</v>
      </c>
    </row>
    <row r="18" spans="1:29" ht="21" thickTop="1" thickBot="1" x14ac:dyDescent="0.35">
      <c r="A18" s="59">
        <v>44905</v>
      </c>
      <c r="B18" s="116">
        <v>2594</v>
      </c>
      <c r="C18" s="115">
        <f t="shared" si="0"/>
        <v>0</v>
      </c>
      <c r="D18" s="57">
        <v>177570</v>
      </c>
      <c r="E18" s="50">
        <f t="shared" si="2"/>
        <v>129</v>
      </c>
      <c r="F18" s="51">
        <v>12810756</v>
      </c>
      <c r="G18" s="50">
        <f t="shared" si="3"/>
        <v>4757</v>
      </c>
      <c r="H18" s="51">
        <v>21881842</v>
      </c>
      <c r="I18" s="50">
        <f t="shared" si="1"/>
        <v>7543</v>
      </c>
      <c r="J18" s="51">
        <v>9594383</v>
      </c>
      <c r="K18" s="50">
        <f t="shared" si="4"/>
        <v>3345</v>
      </c>
    </row>
    <row r="19" spans="1:29" ht="19.5" x14ac:dyDescent="0.3">
      <c r="A19" s="59">
        <v>44906</v>
      </c>
      <c r="B19" s="116">
        <v>2594</v>
      </c>
      <c r="C19" s="115">
        <f t="shared" si="0"/>
        <v>0</v>
      </c>
      <c r="D19" s="57">
        <v>177684</v>
      </c>
      <c r="E19" s="50">
        <f t="shared" si="2"/>
        <v>114</v>
      </c>
      <c r="F19" s="51">
        <v>12814830</v>
      </c>
      <c r="G19" s="50">
        <f t="shared" si="3"/>
        <v>4074</v>
      </c>
      <c r="H19" s="51">
        <v>21888301</v>
      </c>
      <c r="I19" s="50">
        <f t="shared" si="1"/>
        <v>6459</v>
      </c>
      <c r="J19" s="51">
        <v>9597917</v>
      </c>
      <c r="K19" s="50">
        <f t="shared" si="4"/>
        <v>3534</v>
      </c>
    </row>
    <row r="20" spans="1:29" ht="25.5" x14ac:dyDescent="0.35">
      <c r="A20" s="59">
        <v>44907</v>
      </c>
      <c r="B20" s="116">
        <v>2594</v>
      </c>
      <c r="C20" s="115">
        <f t="shared" si="0"/>
        <v>0</v>
      </c>
      <c r="D20" s="57">
        <v>177804</v>
      </c>
      <c r="E20" s="50">
        <f t="shared" si="2"/>
        <v>120</v>
      </c>
      <c r="F20" s="51">
        <v>12818976</v>
      </c>
      <c r="G20" s="50">
        <f t="shared" si="3"/>
        <v>4146</v>
      </c>
      <c r="H20" s="51">
        <v>21893810</v>
      </c>
      <c r="I20" s="50">
        <f t="shared" si="1"/>
        <v>5509</v>
      </c>
      <c r="J20" s="51">
        <v>9600643</v>
      </c>
      <c r="K20" s="50">
        <f t="shared" si="4"/>
        <v>2726</v>
      </c>
      <c r="L20" s="117" t="s">
        <v>18</v>
      </c>
      <c r="AC20" t="s">
        <v>56</v>
      </c>
    </row>
    <row r="21" spans="1:29" ht="19.5" x14ac:dyDescent="0.3">
      <c r="A21" s="59">
        <v>44908</v>
      </c>
      <c r="B21" s="116">
        <v>2594</v>
      </c>
      <c r="C21" s="115">
        <f t="shared" si="0"/>
        <v>0</v>
      </c>
      <c r="D21" s="57">
        <v>177893</v>
      </c>
      <c r="E21" s="50">
        <f t="shared" si="2"/>
        <v>89</v>
      </c>
      <c r="F21" s="51">
        <v>12823371</v>
      </c>
      <c r="G21" s="50">
        <f t="shared" si="3"/>
        <v>4395</v>
      </c>
      <c r="H21" s="51">
        <v>21901035</v>
      </c>
      <c r="I21" s="50">
        <f t="shared" si="1"/>
        <v>7225</v>
      </c>
      <c r="J21" s="51">
        <v>9603852</v>
      </c>
      <c r="K21" s="50">
        <f t="shared" si="4"/>
        <v>3209</v>
      </c>
    </row>
    <row r="22" spans="1:29" ht="19.5" x14ac:dyDescent="0.3">
      <c r="A22" s="59">
        <v>44909</v>
      </c>
      <c r="B22" s="116">
        <v>2594</v>
      </c>
      <c r="C22" s="115">
        <v>0</v>
      </c>
      <c r="D22" s="57">
        <v>178009</v>
      </c>
      <c r="E22" s="50">
        <f t="shared" si="2"/>
        <v>116</v>
      </c>
      <c r="F22" s="51">
        <v>12827501</v>
      </c>
      <c r="G22" s="50">
        <f t="shared" si="3"/>
        <v>4130</v>
      </c>
      <c r="H22" s="51">
        <v>21907845</v>
      </c>
      <c r="I22" s="50">
        <f t="shared" si="1"/>
        <v>6810</v>
      </c>
      <c r="J22" s="51">
        <v>9607100</v>
      </c>
      <c r="K22" s="50">
        <f t="shared" si="4"/>
        <v>3248</v>
      </c>
    </row>
    <row r="23" spans="1:29" ht="19.5" x14ac:dyDescent="0.3">
      <c r="A23" s="59">
        <v>44910</v>
      </c>
      <c r="B23" s="116">
        <v>2594</v>
      </c>
      <c r="C23" s="115">
        <v>0</v>
      </c>
      <c r="D23" s="57">
        <v>178125</v>
      </c>
      <c r="E23" s="50">
        <f t="shared" si="2"/>
        <v>116</v>
      </c>
      <c r="F23" s="51">
        <v>12831737</v>
      </c>
      <c r="G23" s="50">
        <f t="shared" si="3"/>
        <v>4236</v>
      </c>
      <c r="H23" s="51">
        <v>21915182</v>
      </c>
      <c r="I23" s="50">
        <f t="shared" si="1"/>
        <v>7337</v>
      </c>
      <c r="J23" s="51">
        <v>9610167</v>
      </c>
      <c r="K23" s="50">
        <f t="shared" si="4"/>
        <v>3067</v>
      </c>
    </row>
    <row r="24" spans="1:29" ht="19.5" x14ac:dyDescent="0.3">
      <c r="A24" s="59">
        <v>44911</v>
      </c>
      <c r="B24" s="116">
        <v>2594</v>
      </c>
      <c r="C24" s="115">
        <v>0</v>
      </c>
      <c r="D24" s="57">
        <v>178252</v>
      </c>
      <c r="E24" s="50">
        <f t="shared" si="2"/>
        <v>127</v>
      </c>
      <c r="F24" s="51">
        <v>12836276</v>
      </c>
      <c r="G24" s="50">
        <f t="shared" si="3"/>
        <v>4539</v>
      </c>
      <c r="H24" s="51">
        <v>21921435</v>
      </c>
      <c r="I24" s="50">
        <f t="shared" si="1"/>
        <v>6253</v>
      </c>
      <c r="J24" s="51">
        <v>9613037</v>
      </c>
      <c r="K24" s="50">
        <f t="shared" si="4"/>
        <v>2870</v>
      </c>
    </row>
    <row r="25" spans="1:29" ht="19.5" x14ac:dyDescent="0.3">
      <c r="A25" s="59">
        <v>44912</v>
      </c>
      <c r="B25" s="116">
        <v>2594</v>
      </c>
      <c r="C25" s="115">
        <v>0</v>
      </c>
      <c r="D25" s="57">
        <v>178335</v>
      </c>
      <c r="E25" s="50">
        <f t="shared" si="2"/>
        <v>83</v>
      </c>
      <c r="F25" s="51">
        <v>12840720</v>
      </c>
      <c r="G25" s="50">
        <f t="shared" si="3"/>
        <v>4444</v>
      </c>
      <c r="H25" s="51">
        <v>21928635</v>
      </c>
      <c r="I25" s="50">
        <f t="shared" si="1"/>
        <v>7200</v>
      </c>
      <c r="J25" s="51">
        <v>9616356</v>
      </c>
      <c r="K25" s="50">
        <f t="shared" si="4"/>
        <v>3319</v>
      </c>
    </row>
    <row r="26" spans="1:29" ht="19.5" x14ac:dyDescent="0.3">
      <c r="A26" s="59">
        <v>44913</v>
      </c>
      <c r="B26" s="116">
        <v>2594</v>
      </c>
      <c r="C26" s="115">
        <v>0</v>
      </c>
      <c r="D26" s="57">
        <v>178469</v>
      </c>
      <c r="E26" s="50">
        <f t="shared" si="2"/>
        <v>134</v>
      </c>
      <c r="F26" s="51">
        <v>12845101</v>
      </c>
      <c r="G26" s="50">
        <f t="shared" si="3"/>
        <v>4381</v>
      </c>
      <c r="H26" s="51">
        <v>21934652</v>
      </c>
      <c r="I26" s="50">
        <f t="shared" si="1"/>
        <v>6017</v>
      </c>
      <c r="J26" s="51">
        <v>9619411</v>
      </c>
      <c r="K26" s="50">
        <f t="shared" si="4"/>
        <v>3055</v>
      </c>
    </row>
    <row r="27" spans="1:29" ht="19.5" x14ac:dyDescent="0.3">
      <c r="A27" s="59">
        <v>44914</v>
      </c>
      <c r="B27" s="116">
        <v>2594</v>
      </c>
      <c r="C27" s="115">
        <v>0</v>
      </c>
      <c r="D27" s="57">
        <v>178565</v>
      </c>
      <c r="E27" s="50">
        <f t="shared" si="2"/>
        <v>96</v>
      </c>
      <c r="F27" s="51">
        <v>12849227</v>
      </c>
      <c r="G27" s="50">
        <f t="shared" si="3"/>
        <v>4126</v>
      </c>
      <c r="H27" s="51">
        <v>21940627</v>
      </c>
      <c r="I27" s="50">
        <f t="shared" si="1"/>
        <v>5975</v>
      </c>
      <c r="J27" s="51">
        <v>9622226</v>
      </c>
      <c r="K27" s="50">
        <f t="shared" si="4"/>
        <v>2815</v>
      </c>
    </row>
    <row r="28" spans="1:29" ht="19.5" x14ac:dyDescent="0.3">
      <c r="A28" s="59">
        <v>44915</v>
      </c>
      <c r="B28" s="116">
        <v>2594</v>
      </c>
      <c r="C28" s="115">
        <v>0</v>
      </c>
      <c r="D28" s="57">
        <v>178669</v>
      </c>
      <c r="E28" s="50">
        <f t="shared" si="2"/>
        <v>104</v>
      </c>
      <c r="F28" s="51">
        <v>12853283</v>
      </c>
      <c r="G28" s="50">
        <f t="shared" si="3"/>
        <v>4056</v>
      </c>
      <c r="H28" s="51">
        <v>21947087</v>
      </c>
      <c r="I28" s="50">
        <f t="shared" si="1"/>
        <v>6460</v>
      </c>
      <c r="J28" s="51">
        <v>9625179</v>
      </c>
      <c r="K28" s="50">
        <f t="shared" si="4"/>
        <v>2953</v>
      </c>
    </row>
    <row r="29" spans="1:29" ht="19.5" x14ac:dyDescent="0.3">
      <c r="A29" s="59">
        <v>44916</v>
      </c>
      <c r="B29" s="116">
        <v>2594</v>
      </c>
      <c r="C29" s="115">
        <v>0</v>
      </c>
      <c r="D29" s="57">
        <v>178816</v>
      </c>
      <c r="E29" s="50">
        <f t="shared" si="2"/>
        <v>147</v>
      </c>
      <c r="F29" s="51">
        <v>12857442</v>
      </c>
      <c r="G29" s="50">
        <f t="shared" si="3"/>
        <v>4159</v>
      </c>
      <c r="H29" s="51">
        <v>21953240</v>
      </c>
      <c r="I29" s="50">
        <f t="shared" si="1"/>
        <v>6153</v>
      </c>
      <c r="J29" s="51">
        <v>9628182</v>
      </c>
      <c r="K29" s="50">
        <f t="shared" si="4"/>
        <v>3003</v>
      </c>
    </row>
    <row r="30" spans="1:29" ht="19.5" x14ac:dyDescent="0.3">
      <c r="A30" s="59">
        <v>44917</v>
      </c>
      <c r="B30" s="116">
        <v>2594</v>
      </c>
      <c r="C30" s="115">
        <v>0</v>
      </c>
      <c r="D30" s="57">
        <v>178936</v>
      </c>
      <c r="E30" s="50">
        <f t="shared" si="2"/>
        <v>120</v>
      </c>
      <c r="F30" s="51">
        <v>12861508</v>
      </c>
      <c r="G30" s="50">
        <f t="shared" si="3"/>
        <v>4066</v>
      </c>
      <c r="H30" s="51">
        <v>21959418</v>
      </c>
      <c r="I30" s="50">
        <f t="shared" si="1"/>
        <v>6178</v>
      </c>
      <c r="J30" s="51">
        <v>9631216</v>
      </c>
      <c r="K30" s="50">
        <f t="shared" si="4"/>
        <v>3034</v>
      </c>
    </row>
    <row r="31" spans="1:29" ht="19.5" x14ac:dyDescent="0.3">
      <c r="A31" s="59">
        <v>44918</v>
      </c>
      <c r="B31" s="116">
        <v>2594</v>
      </c>
      <c r="C31" s="115">
        <v>0</v>
      </c>
      <c r="D31" s="57">
        <v>179066</v>
      </c>
      <c r="E31" s="50">
        <f t="shared" si="2"/>
        <v>130</v>
      </c>
      <c r="F31" s="51">
        <v>12865689</v>
      </c>
      <c r="G31" s="50">
        <f t="shared" si="3"/>
        <v>4181</v>
      </c>
      <c r="H31" s="51">
        <v>21965539</v>
      </c>
      <c r="I31" s="50">
        <f t="shared" si="1"/>
        <v>6121</v>
      </c>
      <c r="J31" s="51">
        <v>9634057</v>
      </c>
      <c r="K31" s="50">
        <f t="shared" si="4"/>
        <v>2841</v>
      </c>
    </row>
    <row r="32" spans="1:29" ht="19.5" x14ac:dyDescent="0.3">
      <c r="A32" s="59">
        <v>44919</v>
      </c>
      <c r="B32" s="116">
        <v>2594</v>
      </c>
      <c r="C32" s="115">
        <v>0</v>
      </c>
      <c r="D32" s="57">
        <v>179183</v>
      </c>
      <c r="E32" s="50">
        <f t="shared" si="2"/>
        <v>117</v>
      </c>
      <c r="F32" s="51">
        <v>12869701</v>
      </c>
      <c r="G32" s="50">
        <f t="shared" si="3"/>
        <v>4012</v>
      </c>
      <c r="H32" s="51">
        <v>21971459</v>
      </c>
      <c r="I32" s="50">
        <f t="shared" si="1"/>
        <v>5920</v>
      </c>
      <c r="J32" s="51">
        <v>9636746</v>
      </c>
      <c r="K32" s="50">
        <f t="shared" si="4"/>
        <v>2689</v>
      </c>
    </row>
    <row r="33" spans="1:11" ht="19.5" x14ac:dyDescent="0.3">
      <c r="A33" s="59">
        <v>44920</v>
      </c>
      <c r="B33" s="116">
        <v>2594</v>
      </c>
      <c r="C33" s="115">
        <v>0</v>
      </c>
      <c r="D33" s="57">
        <v>179309</v>
      </c>
      <c r="E33" s="50">
        <f t="shared" si="2"/>
        <v>126</v>
      </c>
      <c r="F33" s="51">
        <v>12873742</v>
      </c>
      <c r="G33" s="50">
        <f t="shared" si="3"/>
        <v>4041</v>
      </c>
      <c r="H33" s="51">
        <v>21977360</v>
      </c>
      <c r="I33" s="50">
        <f t="shared" si="1"/>
        <v>5901</v>
      </c>
      <c r="J33" s="51">
        <v>9639780</v>
      </c>
      <c r="K33" s="50">
        <f t="shared" si="4"/>
        <v>3034</v>
      </c>
    </row>
    <row r="34" spans="1:11" ht="19.5" x14ac:dyDescent="0.3">
      <c r="A34" s="59">
        <v>44921</v>
      </c>
      <c r="B34" s="116">
        <v>2594</v>
      </c>
      <c r="C34" s="115">
        <v>0</v>
      </c>
      <c r="D34" s="57">
        <v>179479</v>
      </c>
      <c r="E34" s="50">
        <f t="shared" si="2"/>
        <v>170</v>
      </c>
      <c r="F34" s="51">
        <v>12878064</v>
      </c>
      <c r="G34" s="50">
        <f t="shared" si="3"/>
        <v>4322</v>
      </c>
      <c r="H34" s="51">
        <v>21983345</v>
      </c>
      <c r="I34" s="50">
        <f t="shared" si="1"/>
        <v>5985</v>
      </c>
      <c r="J34" s="51">
        <v>9642701</v>
      </c>
      <c r="K34" s="50">
        <f t="shared" si="4"/>
        <v>2921</v>
      </c>
    </row>
    <row r="35" spans="1:11" ht="19.5" x14ac:dyDescent="0.3">
      <c r="A35" s="59">
        <v>44922</v>
      </c>
      <c r="B35" s="116">
        <v>2594</v>
      </c>
      <c r="C35" s="115">
        <v>0</v>
      </c>
      <c r="D35" s="57">
        <v>179632</v>
      </c>
      <c r="E35" s="50">
        <f t="shared" si="2"/>
        <v>153</v>
      </c>
      <c r="F35" s="51">
        <v>12882514</v>
      </c>
      <c r="G35" s="50">
        <f t="shared" si="3"/>
        <v>4450</v>
      </c>
      <c r="H35" s="51">
        <v>21989434</v>
      </c>
      <c r="I35" s="50">
        <f t="shared" si="1"/>
        <v>6089</v>
      </c>
      <c r="J35" s="51">
        <v>9645715</v>
      </c>
      <c r="K35" s="50">
        <f t="shared" si="4"/>
        <v>3014</v>
      </c>
    </row>
    <row r="36" spans="1:11" ht="19.5" x14ac:dyDescent="0.3">
      <c r="A36" s="59">
        <v>44923</v>
      </c>
      <c r="B36" s="116">
        <v>2594</v>
      </c>
      <c r="C36" s="115">
        <v>0</v>
      </c>
      <c r="D36" s="57">
        <v>179793</v>
      </c>
      <c r="E36" s="50">
        <f t="shared" si="2"/>
        <v>161</v>
      </c>
      <c r="F36" s="51">
        <v>12886397</v>
      </c>
      <c r="G36" s="50">
        <f t="shared" si="3"/>
        <v>3883</v>
      </c>
      <c r="H36" s="51">
        <v>21995481</v>
      </c>
      <c r="I36" s="50">
        <f t="shared" si="1"/>
        <v>6047</v>
      </c>
      <c r="J36" s="51">
        <v>9648730</v>
      </c>
      <c r="K36" s="50">
        <f t="shared" si="4"/>
        <v>3015</v>
      </c>
    </row>
    <row r="37" spans="1:11" ht="19.5" x14ac:dyDescent="0.3">
      <c r="A37" s="59">
        <v>44924</v>
      </c>
      <c r="B37" s="116">
        <v>2594</v>
      </c>
      <c r="C37" s="115">
        <v>0</v>
      </c>
      <c r="D37" s="57">
        <v>179942</v>
      </c>
      <c r="E37" s="50">
        <f t="shared" si="2"/>
        <v>149</v>
      </c>
      <c r="F37" s="51">
        <v>12890374</v>
      </c>
      <c r="G37" s="50">
        <f t="shared" si="3"/>
        <v>3977</v>
      </c>
      <c r="H37" s="51">
        <v>22001752</v>
      </c>
      <c r="I37" s="50">
        <f t="shared" si="1"/>
        <v>6271</v>
      </c>
      <c r="J37" s="51">
        <v>9651806</v>
      </c>
      <c r="K37" s="50">
        <f t="shared" si="4"/>
        <v>3076</v>
      </c>
    </row>
    <row r="38" spans="1:11" ht="19.5" x14ac:dyDescent="0.3">
      <c r="A38" s="59">
        <v>44925</v>
      </c>
      <c r="B38" s="116">
        <v>2594</v>
      </c>
      <c r="C38" s="115">
        <v>0</v>
      </c>
      <c r="D38" s="57">
        <v>180108</v>
      </c>
      <c r="E38" s="50">
        <f t="shared" si="2"/>
        <v>166</v>
      </c>
      <c r="F38" s="51">
        <v>12894734</v>
      </c>
      <c r="G38" s="50">
        <f t="shared" si="3"/>
        <v>4360</v>
      </c>
      <c r="H38" s="51">
        <v>22007809</v>
      </c>
      <c r="I38" s="50">
        <f t="shared" si="1"/>
        <v>6057</v>
      </c>
      <c r="J38" s="51">
        <v>9654767</v>
      </c>
      <c r="K38" s="50">
        <f t="shared" si="4"/>
        <v>2961</v>
      </c>
    </row>
    <row r="39" spans="1:11" ht="19.5" x14ac:dyDescent="0.3">
      <c r="A39" s="59">
        <v>44926</v>
      </c>
      <c r="B39" s="116">
        <v>2594</v>
      </c>
      <c r="C39" s="115">
        <v>0</v>
      </c>
      <c r="D39" s="57">
        <v>180277</v>
      </c>
      <c r="E39" s="50">
        <f t="shared" si="2"/>
        <v>169</v>
      </c>
      <c r="F39" s="51">
        <v>12899193</v>
      </c>
      <c r="G39" s="50">
        <f t="shared" si="3"/>
        <v>4459</v>
      </c>
      <c r="H39" s="51">
        <v>22013856</v>
      </c>
      <c r="I39" s="50">
        <f t="shared" si="1"/>
        <v>6047</v>
      </c>
      <c r="J39" s="51">
        <v>9657687</v>
      </c>
      <c r="K39" s="50">
        <f t="shared" si="4"/>
        <v>2920</v>
      </c>
    </row>
    <row r="40" spans="1:11" ht="19.5" x14ac:dyDescent="0.3">
      <c r="A40" s="59">
        <v>44927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10" priority="59" stopIfTrue="1" operator="lessThanOrEqual">
      <formula>0</formula>
    </cfRule>
  </conditionalFormatting>
  <conditionalFormatting sqref="E10:E25">
    <cfRule type="cellIs" dxfId="9" priority="6" stopIfTrue="1" operator="lessThanOrEqual">
      <formula>0</formula>
    </cfRule>
  </conditionalFormatting>
  <conditionalFormatting sqref="E10:E25">
    <cfRule type="cellIs" dxfId="8" priority="5" stopIfTrue="1" operator="lessThanOrEqual">
      <formula>0</formula>
    </cfRule>
  </conditionalFormatting>
  <conditionalFormatting sqref="E9">
    <cfRule type="cellIs" dxfId="7" priority="4" stopIfTrue="1" operator="lessThanOrEqual">
      <formula>0</formula>
    </cfRule>
  </conditionalFormatting>
  <conditionalFormatting sqref="E9">
    <cfRule type="cellIs" dxfId="6" priority="3" stopIfTrue="1" operator="lessThanOrEqual">
      <formula>0</formula>
    </cfRule>
  </conditionalFormatting>
  <conditionalFormatting sqref="E26:E40">
    <cfRule type="cellIs" dxfId="5" priority="2" stopIfTrue="1" operator="lessThanOrEqual">
      <formula>0</formula>
    </cfRule>
  </conditionalFormatting>
  <conditionalFormatting sqref="E26:E40">
    <cfRule type="cellIs" dxfId="4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AJ33" sqref="AJ3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44896</v>
      </c>
      <c r="B4" s="41">
        <v>48</v>
      </c>
      <c r="C4" s="39">
        <f t="shared" ref="C4:C35" si="0">IF(AC4&gt;0,((B4-R4)+(S4-B5)),IF(B5=0, ,(B4-B5)))</f>
        <v>2</v>
      </c>
      <c r="D4" s="41">
        <v>45</v>
      </c>
      <c r="E4" s="39">
        <f t="shared" ref="E4:E35" si="1">IF(AC4&gt;0,((D4-U4)+(V4-D5)),IF(D5=0, ,(D4-D5)))</f>
        <v>4</v>
      </c>
      <c r="F4" s="41">
        <v>52</v>
      </c>
      <c r="G4" s="39">
        <f t="shared" ref="G4:G35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9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3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44897</v>
      </c>
      <c r="B5" s="41">
        <v>46</v>
      </c>
      <c r="C5" s="39">
        <f t="shared" si="0"/>
        <v>6</v>
      </c>
      <c r="D5" s="41">
        <v>41</v>
      </c>
      <c r="E5" s="39">
        <f t="shared" si="1"/>
        <v>0</v>
      </c>
      <c r="F5" s="41">
        <v>49</v>
      </c>
      <c r="G5" s="39">
        <f t="shared" si="2"/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7">O5*12.44</f>
        <v>2786.4912067999999</v>
      </c>
      <c r="Q5" s="166">
        <v>2100</v>
      </c>
      <c r="R5" s="166">
        <v>46</v>
      </c>
      <c r="S5" s="166">
        <v>66</v>
      </c>
      <c r="T5" s="166">
        <v>2096</v>
      </c>
      <c r="U5" s="166">
        <v>41</v>
      </c>
      <c r="V5" s="166">
        <v>65</v>
      </c>
      <c r="W5" s="166">
        <v>2098</v>
      </c>
      <c r="X5" s="166">
        <v>49</v>
      </c>
      <c r="Y5" s="166">
        <v>70</v>
      </c>
      <c r="Z5" s="166">
        <v>2095</v>
      </c>
      <c r="AA5" s="166">
        <v>46</v>
      </c>
      <c r="AB5" s="166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 x14ac:dyDescent="0.3">
      <c r="A6" s="40">
        <v>44898</v>
      </c>
      <c r="B6" s="41">
        <v>60</v>
      </c>
      <c r="C6" s="39">
        <f t="shared" si="0"/>
        <v>2</v>
      </c>
      <c r="D6" s="41">
        <v>65</v>
      </c>
      <c r="E6" s="39">
        <f t="shared" si="1"/>
        <v>3</v>
      </c>
      <c r="F6" s="41">
        <v>70</v>
      </c>
      <c r="G6" s="39">
        <f t="shared" si="2"/>
        <v>5</v>
      </c>
      <c r="H6" s="41">
        <v>70</v>
      </c>
      <c r="I6" s="39">
        <f t="shared" ref="I6:I35" si="8">IF(AC6&gt;0,((H6-AA6)+(AB6-H7)),IF(H7=0, ,(H6-H7)))</f>
        <v>5</v>
      </c>
      <c r="J6" s="39">
        <f t="shared" ref="J6:J35" si="9">B6+D6+F6+H6</f>
        <v>265</v>
      </c>
      <c r="K6" s="39">
        <f t="shared" ref="K6:K35" si="10">J6/4</f>
        <v>66.25</v>
      </c>
      <c r="L6" s="39">
        <f t="shared" ref="L6:L35" si="11">IF(AC6&gt;0,((K6-AD6)+(AE6-K7)),IF(K7=0, ,(K6-K7)))</f>
        <v>3.75</v>
      </c>
      <c r="M6" s="149">
        <f t="shared" si="3"/>
        <v>24196</v>
      </c>
      <c r="N6" s="39">
        <f t="shared" ref="N6:N35" si="12">L6*M6/100</f>
        <v>907.35</v>
      </c>
      <c r="O6" s="39">
        <f>N6*0.529</f>
        <v>479.98815000000002</v>
      </c>
      <c r="P6" s="42">
        <f t="shared" si="7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44899</v>
      </c>
      <c r="B7" s="41">
        <v>58</v>
      </c>
      <c r="C7" s="39">
        <f t="shared" si="0"/>
        <v>3</v>
      </c>
      <c r="D7" s="41">
        <v>62</v>
      </c>
      <c r="E7" s="39">
        <f t="shared" si="1"/>
        <v>4</v>
      </c>
      <c r="F7" s="41">
        <v>65</v>
      </c>
      <c r="G7" s="39">
        <f t="shared" si="2"/>
        <v>5</v>
      </c>
      <c r="H7" s="41">
        <v>65</v>
      </c>
      <c r="I7" s="39">
        <f t="shared" si="8"/>
        <v>5</v>
      </c>
      <c r="J7" s="39">
        <f t="shared" si="9"/>
        <v>250</v>
      </c>
      <c r="K7" s="39">
        <f t="shared" si="10"/>
        <v>62.5</v>
      </c>
      <c r="L7" s="39">
        <f t="shared" si="11"/>
        <v>4.25</v>
      </c>
      <c r="M7" s="149">
        <f t="shared" si="3"/>
        <v>24196</v>
      </c>
      <c r="N7" s="39">
        <f t="shared" si="12"/>
        <v>1028.33</v>
      </c>
      <c r="O7" s="39">
        <f>N7*0.53</f>
        <v>545.01490000000001</v>
      </c>
      <c r="P7" s="42">
        <f t="shared" si="7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44900</v>
      </c>
      <c r="B8" s="41">
        <v>55</v>
      </c>
      <c r="C8" s="39">
        <f t="shared" si="0"/>
        <v>3</v>
      </c>
      <c r="D8" s="41">
        <v>58</v>
      </c>
      <c r="E8" s="39">
        <f t="shared" si="1"/>
        <v>3</v>
      </c>
      <c r="F8" s="41">
        <v>60</v>
      </c>
      <c r="G8" s="39">
        <f t="shared" si="2"/>
        <v>0</v>
      </c>
      <c r="H8" s="41">
        <v>60</v>
      </c>
      <c r="I8" s="39">
        <f t="shared" si="8"/>
        <v>2</v>
      </c>
      <c r="J8" s="39">
        <f t="shared" si="9"/>
        <v>233</v>
      </c>
      <c r="K8" s="39">
        <f t="shared" si="10"/>
        <v>58.25</v>
      </c>
      <c r="L8" s="39">
        <f t="shared" si="11"/>
        <v>2</v>
      </c>
      <c r="M8" s="149">
        <f>6049*4</f>
        <v>24196</v>
      </c>
      <c r="N8" s="39">
        <f t="shared" si="12"/>
        <v>483.92</v>
      </c>
      <c r="O8" s="148">
        <f t="shared" ref="O8:O35" si="13">N8*0.529</f>
        <v>255.99368000000001</v>
      </c>
      <c r="P8" s="42">
        <f t="shared" si="7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44901</v>
      </c>
      <c r="B9" s="41">
        <v>52</v>
      </c>
      <c r="C9" s="39">
        <f t="shared" si="0"/>
        <v>3</v>
      </c>
      <c r="D9" s="41">
        <v>55</v>
      </c>
      <c r="E9" s="39">
        <f t="shared" si="1"/>
        <v>3</v>
      </c>
      <c r="F9" s="41">
        <v>60</v>
      </c>
      <c r="G9" s="39">
        <f t="shared" si="2"/>
        <v>1</v>
      </c>
      <c r="H9" s="41">
        <v>58</v>
      </c>
      <c r="I9" s="39">
        <f t="shared" si="8"/>
        <v>2</v>
      </c>
      <c r="J9" s="39">
        <f t="shared" si="9"/>
        <v>225</v>
      </c>
      <c r="K9" s="39">
        <f t="shared" si="10"/>
        <v>56.25</v>
      </c>
      <c r="L9" s="39">
        <f t="shared" si="11"/>
        <v>2.25</v>
      </c>
      <c r="M9" s="149">
        <f t="shared" ref="M9:M35" si="14">6049*4</f>
        <v>24196</v>
      </c>
      <c r="N9" s="39">
        <f t="shared" si="12"/>
        <v>544.41</v>
      </c>
      <c r="O9" s="39">
        <f t="shared" si="13"/>
        <v>287.99288999999999</v>
      </c>
      <c r="P9" s="42">
        <f t="shared" si="7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44902</v>
      </c>
      <c r="B10" s="41">
        <v>49</v>
      </c>
      <c r="C10" s="39">
        <f t="shared" si="0"/>
        <v>3</v>
      </c>
      <c r="D10" s="41">
        <v>52</v>
      </c>
      <c r="E10" s="39">
        <f t="shared" si="1"/>
        <v>9</v>
      </c>
      <c r="F10" s="41">
        <v>59</v>
      </c>
      <c r="G10" s="39">
        <f t="shared" si="2"/>
        <v>13</v>
      </c>
      <c r="H10" s="41">
        <v>56</v>
      </c>
      <c r="I10" s="39">
        <f t="shared" si="8"/>
        <v>13</v>
      </c>
      <c r="J10" s="39">
        <f t="shared" si="9"/>
        <v>216</v>
      </c>
      <c r="K10" s="39">
        <f t="shared" si="10"/>
        <v>54</v>
      </c>
      <c r="L10" s="39">
        <f t="shared" si="11"/>
        <v>9.5</v>
      </c>
      <c r="M10" s="149">
        <f t="shared" si="14"/>
        <v>24196</v>
      </c>
      <c r="N10" s="39">
        <f t="shared" si="12"/>
        <v>2298.62</v>
      </c>
      <c r="O10" s="148">
        <f t="shared" si="13"/>
        <v>1215.9699800000001</v>
      </c>
      <c r="P10" s="42">
        <f t="shared" si="7"/>
        <v>15126.6665512</v>
      </c>
      <c r="Q10" s="39">
        <v>2809</v>
      </c>
      <c r="R10" s="39">
        <v>46</v>
      </c>
      <c r="S10" s="39">
        <v>85</v>
      </c>
      <c r="T10" s="39">
        <v>2992</v>
      </c>
      <c r="U10" s="39">
        <v>45</v>
      </c>
      <c r="V10" s="39">
        <v>85</v>
      </c>
      <c r="W10" s="39">
        <v>2628</v>
      </c>
      <c r="X10" s="39">
        <v>48</v>
      </c>
      <c r="Y10" s="39">
        <v>85</v>
      </c>
      <c r="Z10" s="39">
        <v>2956</v>
      </c>
      <c r="AA10" s="39">
        <v>45</v>
      </c>
      <c r="AB10" s="39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 x14ac:dyDescent="0.3">
      <c r="A11" s="40">
        <v>44903</v>
      </c>
      <c r="B11" s="41">
        <v>85</v>
      </c>
      <c r="C11" s="39">
        <f t="shared" si="0"/>
        <v>3</v>
      </c>
      <c r="D11" s="41">
        <v>83</v>
      </c>
      <c r="E11" s="39">
        <f t="shared" si="1"/>
        <v>2</v>
      </c>
      <c r="F11" s="41">
        <v>83</v>
      </c>
      <c r="G11" s="39">
        <f t="shared" si="2"/>
        <v>3</v>
      </c>
      <c r="H11" s="41">
        <v>83</v>
      </c>
      <c r="I11" s="39">
        <f t="shared" si="8"/>
        <v>3</v>
      </c>
      <c r="J11" s="39">
        <f t="shared" si="9"/>
        <v>334</v>
      </c>
      <c r="K11" s="39">
        <f t="shared" si="10"/>
        <v>83.5</v>
      </c>
      <c r="L11" s="39">
        <f t="shared" si="11"/>
        <v>2.75</v>
      </c>
      <c r="M11" s="149">
        <f t="shared" si="14"/>
        <v>24196</v>
      </c>
      <c r="N11" s="39">
        <f t="shared" si="12"/>
        <v>665.39</v>
      </c>
      <c r="O11" s="39">
        <f t="shared" si="13"/>
        <v>351.99131</v>
      </c>
      <c r="P11" s="42">
        <f t="shared" si="7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44904</v>
      </c>
      <c r="B12" s="41">
        <v>82</v>
      </c>
      <c r="C12" s="39">
        <f t="shared" si="0"/>
        <v>0</v>
      </c>
      <c r="D12" s="41">
        <v>81</v>
      </c>
      <c r="E12" s="39">
        <f t="shared" si="1"/>
        <v>1</v>
      </c>
      <c r="F12" s="41">
        <v>80</v>
      </c>
      <c r="G12" s="39">
        <f t="shared" si="2"/>
        <v>2</v>
      </c>
      <c r="H12" s="41">
        <v>80</v>
      </c>
      <c r="I12" s="39">
        <f t="shared" si="8"/>
        <v>5</v>
      </c>
      <c r="J12" s="39">
        <f t="shared" si="9"/>
        <v>323</v>
      </c>
      <c r="K12" s="39">
        <f t="shared" si="10"/>
        <v>80.75</v>
      </c>
      <c r="L12" s="39">
        <f t="shared" si="11"/>
        <v>2</v>
      </c>
      <c r="M12" s="149">
        <f t="shared" si="14"/>
        <v>24196</v>
      </c>
      <c r="N12" s="39">
        <f t="shared" si="12"/>
        <v>483.92</v>
      </c>
      <c r="O12" s="39">
        <f t="shared" si="13"/>
        <v>255.99368000000001</v>
      </c>
      <c r="P12" s="42">
        <f t="shared" si="7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44905</v>
      </c>
      <c r="B13" s="41">
        <v>82</v>
      </c>
      <c r="C13" s="39">
        <f t="shared" si="0"/>
        <v>2</v>
      </c>
      <c r="D13" s="41">
        <v>80</v>
      </c>
      <c r="E13" s="39">
        <f t="shared" si="1"/>
        <v>3</v>
      </c>
      <c r="F13" s="41">
        <v>78</v>
      </c>
      <c r="G13" s="39">
        <f t="shared" si="2"/>
        <v>4</v>
      </c>
      <c r="H13" s="41">
        <v>75</v>
      </c>
      <c r="I13" s="39">
        <f t="shared" si="8"/>
        <v>3</v>
      </c>
      <c r="J13" s="39">
        <f t="shared" si="9"/>
        <v>315</v>
      </c>
      <c r="K13" s="39">
        <f t="shared" si="10"/>
        <v>78.75</v>
      </c>
      <c r="L13" s="39">
        <f t="shared" si="11"/>
        <v>3</v>
      </c>
      <c r="M13" s="149">
        <f t="shared" si="14"/>
        <v>24196</v>
      </c>
      <c r="N13" s="39">
        <f t="shared" si="12"/>
        <v>725.88</v>
      </c>
      <c r="O13" s="39">
        <f t="shared" si="13"/>
        <v>383.99052</v>
      </c>
      <c r="P13" s="42">
        <f t="shared" si="7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44906</v>
      </c>
      <c r="B14" s="41">
        <v>80</v>
      </c>
      <c r="C14" s="39">
        <f t="shared" si="0"/>
        <v>2</v>
      </c>
      <c r="D14" s="41">
        <v>77</v>
      </c>
      <c r="E14" s="39">
        <f t="shared" si="1"/>
        <v>3</v>
      </c>
      <c r="F14" s="41">
        <v>74</v>
      </c>
      <c r="G14" s="39">
        <f t="shared" si="2"/>
        <v>4</v>
      </c>
      <c r="H14" s="41">
        <v>72</v>
      </c>
      <c r="I14" s="39">
        <f>IF(AC14&gt;0,((H14-AA14)+(AB14-H15)),IF(H15=0, ,(H14-H15)))</f>
        <v>3</v>
      </c>
      <c r="J14" s="39">
        <f t="shared" si="9"/>
        <v>303</v>
      </c>
      <c r="K14" s="39">
        <f t="shared" si="10"/>
        <v>75.75</v>
      </c>
      <c r="L14" s="39">
        <f t="shared" si="11"/>
        <v>3</v>
      </c>
      <c r="M14" s="149">
        <f t="shared" si="14"/>
        <v>24196</v>
      </c>
      <c r="N14" s="39">
        <f t="shared" si="12"/>
        <v>725.88</v>
      </c>
      <c r="O14" s="39">
        <f t="shared" si="13"/>
        <v>383.99052</v>
      </c>
      <c r="P14" s="42">
        <f t="shared" si="7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44907</v>
      </c>
      <c r="B15" s="41">
        <v>78</v>
      </c>
      <c r="C15" s="39">
        <f t="shared" si="0"/>
        <v>3</v>
      </c>
      <c r="D15" s="41">
        <v>74</v>
      </c>
      <c r="E15" s="39">
        <f t="shared" si="1"/>
        <v>2</v>
      </c>
      <c r="F15" s="41">
        <v>70</v>
      </c>
      <c r="G15" s="39">
        <f t="shared" si="2"/>
        <v>0</v>
      </c>
      <c r="H15" s="41">
        <v>69</v>
      </c>
      <c r="I15" s="39">
        <f>IF(AC15&gt;0,((H15-AA15)+(AB15-H16)),IF(H16=0, ,(H15-H16)))</f>
        <v>3</v>
      </c>
      <c r="J15" s="39">
        <f t="shared" si="9"/>
        <v>291</v>
      </c>
      <c r="K15" s="39">
        <f t="shared" si="10"/>
        <v>72.75</v>
      </c>
      <c r="L15" s="39">
        <f t="shared" si="11"/>
        <v>2</v>
      </c>
      <c r="M15" s="149">
        <f t="shared" si="14"/>
        <v>24196</v>
      </c>
      <c r="N15" s="39">
        <f t="shared" si="12"/>
        <v>483.92</v>
      </c>
      <c r="O15" s="39">
        <f t="shared" si="13"/>
        <v>255.99368000000001</v>
      </c>
      <c r="P15" s="42">
        <f t="shared" ref="P15:P35" si="15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44908</v>
      </c>
      <c r="B16" s="41">
        <v>75</v>
      </c>
      <c r="C16" s="39">
        <f t="shared" si="0"/>
        <v>5</v>
      </c>
      <c r="D16" s="41">
        <v>72</v>
      </c>
      <c r="E16" s="39">
        <f t="shared" si="1"/>
        <v>2</v>
      </c>
      <c r="F16" s="41">
        <v>70</v>
      </c>
      <c r="G16" s="39">
        <f t="shared" si="2"/>
        <v>5</v>
      </c>
      <c r="H16" s="41">
        <v>66</v>
      </c>
      <c r="I16" s="39">
        <f t="shared" si="8"/>
        <v>3</v>
      </c>
      <c r="J16" s="39">
        <f t="shared" si="9"/>
        <v>283</v>
      </c>
      <c r="K16" s="39">
        <f t="shared" si="10"/>
        <v>70.75</v>
      </c>
      <c r="L16" s="39">
        <f t="shared" si="11"/>
        <v>3.75</v>
      </c>
      <c r="M16" s="149">
        <f t="shared" si="14"/>
        <v>24196</v>
      </c>
      <c r="N16" s="39">
        <f t="shared" si="12"/>
        <v>907.35</v>
      </c>
      <c r="O16" s="39">
        <f t="shared" si="13"/>
        <v>479.98815000000002</v>
      </c>
      <c r="P16" s="42">
        <f t="shared" si="15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44909</v>
      </c>
      <c r="B17" s="41">
        <v>70</v>
      </c>
      <c r="C17" s="39">
        <f t="shared" si="0"/>
        <v>5</v>
      </c>
      <c r="D17" s="41">
        <v>70</v>
      </c>
      <c r="E17" s="39">
        <f t="shared" si="1"/>
        <v>6</v>
      </c>
      <c r="F17" s="41">
        <v>65</v>
      </c>
      <c r="G17" s="39">
        <f t="shared" si="2"/>
        <v>2</v>
      </c>
      <c r="H17" s="41">
        <v>63</v>
      </c>
      <c r="I17" s="39">
        <f t="shared" si="8"/>
        <v>3</v>
      </c>
      <c r="J17" s="39">
        <f t="shared" si="9"/>
        <v>268</v>
      </c>
      <c r="K17" s="39">
        <f t="shared" si="10"/>
        <v>67</v>
      </c>
      <c r="L17" s="39">
        <f t="shared" si="11"/>
        <v>4</v>
      </c>
      <c r="M17" s="149">
        <f t="shared" si="14"/>
        <v>24196</v>
      </c>
      <c r="N17" s="39">
        <f t="shared" si="12"/>
        <v>967.84</v>
      </c>
      <c r="O17" s="39">
        <f t="shared" si="13"/>
        <v>511.98736000000002</v>
      </c>
      <c r="P17" s="42">
        <f t="shared" si="15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44910</v>
      </c>
      <c r="B18" s="41">
        <v>65</v>
      </c>
      <c r="C18" s="39">
        <f t="shared" si="0"/>
        <v>0</v>
      </c>
      <c r="D18" s="41">
        <v>64</v>
      </c>
      <c r="E18" s="39">
        <f t="shared" si="1"/>
        <v>0</v>
      </c>
      <c r="F18" s="41">
        <v>63</v>
      </c>
      <c r="G18" s="39">
        <f t="shared" si="2"/>
        <v>3</v>
      </c>
      <c r="H18" s="41">
        <v>60</v>
      </c>
      <c r="I18" s="39">
        <f t="shared" si="8"/>
        <v>1</v>
      </c>
      <c r="J18" s="39">
        <f t="shared" si="9"/>
        <v>252</v>
      </c>
      <c r="K18" s="39">
        <f t="shared" si="10"/>
        <v>63</v>
      </c>
      <c r="L18" s="39">
        <f t="shared" si="11"/>
        <v>1</v>
      </c>
      <c r="M18" s="149">
        <f t="shared" si="14"/>
        <v>24196</v>
      </c>
      <c r="N18" s="39">
        <f t="shared" si="12"/>
        <v>241.96</v>
      </c>
      <c r="O18" s="39">
        <f t="shared" si="13"/>
        <v>127.99684000000001</v>
      </c>
      <c r="P18" s="42">
        <f t="shared" si="15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44911</v>
      </c>
      <c r="B19" s="41">
        <v>65</v>
      </c>
      <c r="C19" s="39">
        <f t="shared" si="0"/>
        <v>4</v>
      </c>
      <c r="D19" s="41">
        <v>64</v>
      </c>
      <c r="E19" s="39">
        <f t="shared" si="1"/>
        <v>4</v>
      </c>
      <c r="F19" s="41">
        <v>60</v>
      </c>
      <c r="G19" s="39">
        <f t="shared" si="2"/>
        <v>4</v>
      </c>
      <c r="H19" s="41">
        <v>59</v>
      </c>
      <c r="I19" s="39">
        <f t="shared" si="8"/>
        <v>4</v>
      </c>
      <c r="J19" s="39">
        <f t="shared" si="9"/>
        <v>248</v>
      </c>
      <c r="K19" s="39">
        <f t="shared" si="10"/>
        <v>62</v>
      </c>
      <c r="L19" s="39">
        <f t="shared" si="11"/>
        <v>4</v>
      </c>
      <c r="M19" s="149">
        <f t="shared" si="14"/>
        <v>24196</v>
      </c>
      <c r="N19" s="39">
        <f t="shared" si="12"/>
        <v>967.84</v>
      </c>
      <c r="O19" s="39">
        <f t="shared" si="13"/>
        <v>511.98736000000002</v>
      </c>
      <c r="P19" s="42">
        <f t="shared" si="15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44912</v>
      </c>
      <c r="B20" s="41">
        <v>61</v>
      </c>
      <c r="C20" s="39">
        <f t="shared" si="0"/>
        <v>3</v>
      </c>
      <c r="D20" s="41">
        <v>60</v>
      </c>
      <c r="E20" s="39">
        <f t="shared" si="1"/>
        <v>3</v>
      </c>
      <c r="F20" s="41">
        <v>56</v>
      </c>
      <c r="G20" s="39">
        <f t="shared" si="2"/>
        <v>4</v>
      </c>
      <c r="H20" s="41">
        <v>55</v>
      </c>
      <c r="I20" s="39">
        <f t="shared" si="8"/>
        <v>4</v>
      </c>
      <c r="J20" s="39">
        <f t="shared" si="9"/>
        <v>232</v>
      </c>
      <c r="K20" s="39">
        <f t="shared" si="10"/>
        <v>58</v>
      </c>
      <c r="L20" s="39">
        <f t="shared" si="11"/>
        <v>3.5</v>
      </c>
      <c r="M20" s="149">
        <f t="shared" si="14"/>
        <v>24196</v>
      </c>
      <c r="N20" s="39">
        <f t="shared" si="12"/>
        <v>846.86</v>
      </c>
      <c r="O20" s="39">
        <f t="shared" si="13"/>
        <v>447.98894000000001</v>
      </c>
      <c r="P20" s="42">
        <f t="shared" si="15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44913</v>
      </c>
      <c r="B21" s="41">
        <v>58</v>
      </c>
      <c r="C21" s="39">
        <f t="shared" si="0"/>
        <v>4</v>
      </c>
      <c r="D21" s="41">
        <v>57</v>
      </c>
      <c r="E21" s="39">
        <f t="shared" si="1"/>
        <v>7</v>
      </c>
      <c r="F21" s="41">
        <v>52</v>
      </c>
      <c r="G21" s="39">
        <f t="shared" si="2"/>
        <v>3</v>
      </c>
      <c r="H21" s="41">
        <v>51</v>
      </c>
      <c r="I21" s="39">
        <f t="shared" si="8"/>
        <v>6</v>
      </c>
      <c r="J21" s="39">
        <f t="shared" si="9"/>
        <v>218</v>
      </c>
      <c r="K21" s="39">
        <f t="shared" si="10"/>
        <v>54.5</v>
      </c>
      <c r="L21" s="39">
        <f>IF(AC21&gt;0,((K21-AD21)+(AE21-K22)),IF(K22=0, ,(K21-K22)))</f>
        <v>5</v>
      </c>
      <c r="M21" s="149">
        <f t="shared" si="14"/>
        <v>24196</v>
      </c>
      <c r="N21" s="39">
        <f t="shared" si="12"/>
        <v>1209.8</v>
      </c>
      <c r="O21" s="39">
        <f t="shared" si="13"/>
        <v>639.98419999999999</v>
      </c>
      <c r="P21" s="42">
        <f t="shared" si="15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44914</v>
      </c>
      <c r="B22" s="41">
        <v>54</v>
      </c>
      <c r="C22" s="39">
        <f t="shared" si="0"/>
        <v>2</v>
      </c>
      <c r="D22" s="41">
        <v>50</v>
      </c>
      <c r="E22" s="39">
        <f t="shared" si="1"/>
        <v>0</v>
      </c>
      <c r="F22" s="41">
        <v>49</v>
      </c>
      <c r="G22" s="39">
        <f t="shared" si="2"/>
        <v>9</v>
      </c>
      <c r="H22" s="41">
        <v>45</v>
      </c>
      <c r="I22" s="39">
        <f t="shared" si="8"/>
        <v>7</v>
      </c>
      <c r="J22" s="39">
        <f t="shared" si="9"/>
        <v>198</v>
      </c>
      <c r="K22" s="39">
        <f t="shared" si="10"/>
        <v>49.5</v>
      </c>
      <c r="L22" s="39">
        <f>IF(AC22&gt;0,((K22-AD22)+(AE22-K23)),IF(K23=0, ,(K22-K23)))</f>
        <v>4.5</v>
      </c>
      <c r="M22" s="149">
        <f t="shared" si="14"/>
        <v>24196</v>
      </c>
      <c r="N22" s="39">
        <f t="shared" si="12"/>
        <v>1088.82</v>
      </c>
      <c r="O22" s="39">
        <f t="shared" si="13"/>
        <v>575.98577999999998</v>
      </c>
      <c r="P22" s="42">
        <f t="shared" si="15"/>
        <v>6661.2755456999994</v>
      </c>
      <c r="Q22" s="39">
        <v>2237</v>
      </c>
      <c r="R22" s="39">
        <v>52</v>
      </c>
      <c r="S22" s="39">
        <v>80</v>
      </c>
      <c r="T22" s="39">
        <v>2333</v>
      </c>
      <c r="U22" s="39">
        <v>50</v>
      </c>
      <c r="V22" s="39">
        <v>80</v>
      </c>
      <c r="W22" s="39">
        <v>2527</v>
      </c>
      <c r="X22" s="39">
        <v>42</v>
      </c>
      <c r="Y22" s="39">
        <v>80</v>
      </c>
      <c r="Z22" s="39">
        <v>2555</v>
      </c>
      <c r="AA22" s="39">
        <v>45</v>
      </c>
      <c r="AB22" s="39">
        <v>85</v>
      </c>
      <c r="AC22" s="39">
        <f>Q22+T22+W22+Z22</f>
        <v>9652</v>
      </c>
      <c r="AD22" s="38">
        <f t="shared" si="5"/>
        <v>47.25</v>
      </c>
      <c r="AE22" s="38">
        <f t="shared" si="6"/>
        <v>81.25</v>
      </c>
    </row>
    <row r="23" spans="1:31" ht="32.25" customHeight="1" x14ac:dyDescent="0.3">
      <c r="A23" s="40">
        <v>44915</v>
      </c>
      <c r="B23" s="41">
        <v>80</v>
      </c>
      <c r="C23" s="39">
        <f t="shared" si="0"/>
        <v>3</v>
      </c>
      <c r="D23" s="41">
        <v>80</v>
      </c>
      <c r="E23" s="39">
        <f t="shared" si="1"/>
        <v>2</v>
      </c>
      <c r="F23" s="41">
        <v>78</v>
      </c>
      <c r="G23" s="39">
        <f t="shared" si="2"/>
        <v>1</v>
      </c>
      <c r="H23" s="41">
        <v>78</v>
      </c>
      <c r="I23" s="39">
        <f t="shared" si="8"/>
        <v>1</v>
      </c>
      <c r="J23" s="39">
        <f t="shared" si="9"/>
        <v>316</v>
      </c>
      <c r="K23" s="39">
        <f t="shared" si="10"/>
        <v>79</v>
      </c>
      <c r="L23" s="39">
        <f t="shared" si="11"/>
        <v>1.75</v>
      </c>
      <c r="M23" s="149">
        <f t="shared" si="14"/>
        <v>24196</v>
      </c>
      <c r="N23" s="39">
        <f t="shared" si="12"/>
        <v>423.43</v>
      </c>
      <c r="O23" s="39">
        <f t="shared" si="13"/>
        <v>223.99447000000001</v>
      </c>
      <c r="P23" s="42">
        <f t="shared" si="15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44916</v>
      </c>
      <c r="B24" s="41">
        <v>77</v>
      </c>
      <c r="C24" s="39">
        <f t="shared" si="0"/>
        <v>2</v>
      </c>
      <c r="D24" s="41">
        <v>78</v>
      </c>
      <c r="E24" s="39">
        <f t="shared" si="1"/>
        <v>2</v>
      </c>
      <c r="F24" s="41">
        <v>77</v>
      </c>
      <c r="G24" s="39">
        <f t="shared" si="2"/>
        <v>2</v>
      </c>
      <c r="H24" s="41">
        <v>77</v>
      </c>
      <c r="I24" s="39">
        <f t="shared" si="8"/>
        <v>3</v>
      </c>
      <c r="J24" s="39">
        <f t="shared" si="9"/>
        <v>309</v>
      </c>
      <c r="K24" s="39">
        <f t="shared" si="10"/>
        <v>77.25</v>
      </c>
      <c r="L24" s="39">
        <f t="shared" si="11"/>
        <v>2.25</v>
      </c>
      <c r="M24" s="149">
        <f t="shared" si="14"/>
        <v>24196</v>
      </c>
      <c r="N24" s="39">
        <f t="shared" si="12"/>
        <v>544.41</v>
      </c>
      <c r="O24" s="39">
        <f t="shared" si="13"/>
        <v>287.99288999999999</v>
      </c>
      <c r="P24" s="42">
        <f t="shared" si="15"/>
        <v>3330.6377728499997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44917</v>
      </c>
      <c r="B25" s="41">
        <v>75</v>
      </c>
      <c r="C25" s="39">
        <f t="shared" si="0"/>
        <v>3</v>
      </c>
      <c r="D25" s="41">
        <v>76</v>
      </c>
      <c r="E25" s="39">
        <f t="shared" si="1"/>
        <v>2</v>
      </c>
      <c r="F25" s="41">
        <v>75</v>
      </c>
      <c r="G25" s="39">
        <f t="shared" si="2"/>
        <v>3</v>
      </c>
      <c r="H25" s="41">
        <v>74</v>
      </c>
      <c r="I25" s="39">
        <f t="shared" si="8"/>
        <v>3</v>
      </c>
      <c r="J25" s="39">
        <f t="shared" si="9"/>
        <v>300</v>
      </c>
      <c r="K25" s="39">
        <f t="shared" si="10"/>
        <v>75</v>
      </c>
      <c r="L25" s="39">
        <f t="shared" si="11"/>
        <v>2.75</v>
      </c>
      <c r="M25" s="149">
        <f t="shared" si="14"/>
        <v>24196</v>
      </c>
      <c r="N25" s="39">
        <f t="shared" si="12"/>
        <v>665.39</v>
      </c>
      <c r="O25" s="39">
        <f t="shared" si="13"/>
        <v>351.99131</v>
      </c>
      <c r="P25" s="42">
        <f t="shared" si="15"/>
        <v>4070.7795001499999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 x14ac:dyDescent="0.3">
      <c r="A26" s="40">
        <v>44918</v>
      </c>
      <c r="B26" s="41">
        <v>72</v>
      </c>
      <c r="C26" s="39">
        <f t="shared" si="0"/>
        <v>4</v>
      </c>
      <c r="D26" s="41">
        <v>74</v>
      </c>
      <c r="E26" s="39">
        <f t="shared" si="1"/>
        <v>5</v>
      </c>
      <c r="F26" s="41">
        <v>72</v>
      </c>
      <c r="G26" s="39">
        <f t="shared" si="2"/>
        <v>4</v>
      </c>
      <c r="H26" s="41">
        <v>71</v>
      </c>
      <c r="I26" s="39">
        <f t="shared" si="8"/>
        <v>4</v>
      </c>
      <c r="J26" s="39">
        <f t="shared" si="9"/>
        <v>289</v>
      </c>
      <c r="K26" s="39">
        <f t="shared" si="10"/>
        <v>72.25</v>
      </c>
      <c r="L26" s="39">
        <f t="shared" si="11"/>
        <v>4.25</v>
      </c>
      <c r="M26" s="149">
        <f t="shared" si="14"/>
        <v>24196</v>
      </c>
      <c r="N26" s="39">
        <f t="shared" si="12"/>
        <v>1028.33</v>
      </c>
      <c r="O26" s="39">
        <f t="shared" si="13"/>
        <v>543.98657000000003</v>
      </c>
      <c r="P26" s="42">
        <f t="shared" si="15"/>
        <v>6291.20468205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si="4"/>
        <v>0</v>
      </c>
      <c r="AD26" s="38">
        <f t="shared" si="16"/>
        <v>0</v>
      </c>
      <c r="AE26" s="38">
        <f>(S26+V26+Y26+AB26)/4</f>
        <v>0</v>
      </c>
    </row>
    <row r="27" spans="1:31" ht="32.25" customHeight="1" x14ac:dyDescent="0.3">
      <c r="A27" s="40">
        <v>44919</v>
      </c>
      <c r="B27" s="41">
        <v>68</v>
      </c>
      <c r="C27" s="39">
        <f t="shared" si="0"/>
        <v>8</v>
      </c>
      <c r="D27" s="41">
        <v>69</v>
      </c>
      <c r="E27" s="39">
        <f t="shared" si="1"/>
        <v>9</v>
      </c>
      <c r="F27" s="41">
        <v>68</v>
      </c>
      <c r="G27" s="39">
        <f t="shared" si="2"/>
        <v>7</v>
      </c>
      <c r="H27" s="41">
        <v>67</v>
      </c>
      <c r="I27" s="39">
        <f t="shared" si="8"/>
        <v>3</v>
      </c>
      <c r="J27" s="39">
        <f t="shared" si="9"/>
        <v>272</v>
      </c>
      <c r="K27" s="39">
        <f t="shared" si="10"/>
        <v>68</v>
      </c>
      <c r="L27" s="39">
        <f t="shared" si="11"/>
        <v>6.75</v>
      </c>
      <c r="M27" s="149">
        <f t="shared" si="14"/>
        <v>24196</v>
      </c>
      <c r="N27" s="39">
        <f t="shared" si="12"/>
        <v>1633.23</v>
      </c>
      <c r="O27" s="39">
        <f t="shared" si="13"/>
        <v>863.97867000000008</v>
      </c>
      <c r="P27" s="42">
        <f t="shared" si="15"/>
        <v>9991.9133185500013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4"/>
        <v>0</v>
      </c>
      <c r="AD27" s="38">
        <f t="shared" si="16"/>
        <v>0</v>
      </c>
      <c r="AE27" s="38">
        <f>(S27+V27+Y27+AB27)/4</f>
        <v>0</v>
      </c>
    </row>
    <row r="28" spans="1:31" ht="32.25" customHeight="1" x14ac:dyDescent="0.3">
      <c r="A28" s="40">
        <v>44920</v>
      </c>
      <c r="B28" s="41">
        <v>60</v>
      </c>
      <c r="C28" s="39">
        <f t="shared" si="0"/>
        <v>5</v>
      </c>
      <c r="D28" s="41">
        <v>60</v>
      </c>
      <c r="E28" s="39">
        <f t="shared" si="1"/>
        <v>5</v>
      </c>
      <c r="F28" s="41">
        <v>61</v>
      </c>
      <c r="G28" s="39">
        <f t="shared" si="2"/>
        <v>2</v>
      </c>
      <c r="H28" s="41">
        <v>64</v>
      </c>
      <c r="I28" s="39">
        <f>IF(AC28&gt;0,((H28-AA28)+(AB28-H29)),IF(H29=0, ,(H28-H29)))</f>
        <v>4</v>
      </c>
      <c r="J28" s="39">
        <f t="shared" si="9"/>
        <v>245</v>
      </c>
      <c r="K28" s="39">
        <f t="shared" si="10"/>
        <v>61.25</v>
      </c>
      <c r="L28" s="39">
        <f t="shared" si="11"/>
        <v>4</v>
      </c>
      <c r="M28" s="149">
        <f t="shared" si="14"/>
        <v>24196</v>
      </c>
      <c r="N28" s="39">
        <f t="shared" si="12"/>
        <v>967.84</v>
      </c>
      <c r="O28" s="39">
        <f t="shared" si="13"/>
        <v>511.98736000000002</v>
      </c>
      <c r="P28" s="42">
        <f t="shared" si="15"/>
        <v>5921.1338183999997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4"/>
        <v>0</v>
      </c>
      <c r="AD28" s="38">
        <f t="shared" si="16"/>
        <v>0</v>
      </c>
      <c r="AE28" s="38">
        <f>(S28+V28+Y28+AB28)/4</f>
        <v>0</v>
      </c>
    </row>
    <row r="29" spans="1:31" ht="32.25" customHeight="1" x14ac:dyDescent="0.3">
      <c r="A29" s="40">
        <v>44921</v>
      </c>
      <c r="B29" s="41">
        <v>55</v>
      </c>
      <c r="C29" s="39">
        <f t="shared" si="0"/>
        <v>5</v>
      </c>
      <c r="D29" s="41">
        <v>55</v>
      </c>
      <c r="E29" s="39">
        <f t="shared" si="1"/>
        <v>4</v>
      </c>
      <c r="F29" s="41">
        <v>59</v>
      </c>
      <c r="G29" s="39">
        <f t="shared" si="2"/>
        <v>3</v>
      </c>
      <c r="H29" s="41">
        <v>60</v>
      </c>
      <c r="I29" s="39">
        <f t="shared" si="8"/>
        <v>2</v>
      </c>
      <c r="J29" s="39">
        <f t="shared" si="9"/>
        <v>229</v>
      </c>
      <c r="K29" s="39">
        <f t="shared" si="10"/>
        <v>57.25</v>
      </c>
      <c r="L29" s="39">
        <f t="shared" si="11"/>
        <v>3.5</v>
      </c>
      <c r="M29" s="149">
        <f t="shared" si="14"/>
        <v>24196</v>
      </c>
      <c r="N29" s="39">
        <f t="shared" si="12"/>
        <v>846.86</v>
      </c>
      <c r="O29" s="39">
        <f t="shared" si="13"/>
        <v>447.98894000000001</v>
      </c>
      <c r="P29" s="42">
        <f t="shared" si="15"/>
        <v>5180.9920910999999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 x14ac:dyDescent="0.3">
      <c r="A30" s="40">
        <v>44922</v>
      </c>
      <c r="B30" s="41">
        <v>50</v>
      </c>
      <c r="C30" s="39">
        <f t="shared" si="0"/>
        <v>5</v>
      </c>
      <c r="D30" s="41">
        <v>51</v>
      </c>
      <c r="E30" s="39">
        <f t="shared" si="1"/>
        <v>6</v>
      </c>
      <c r="F30" s="41">
        <v>56</v>
      </c>
      <c r="G30" s="39">
        <f t="shared" si="2"/>
        <v>8</v>
      </c>
      <c r="H30" s="41">
        <v>58</v>
      </c>
      <c r="I30" s="39">
        <f t="shared" si="8"/>
        <v>8</v>
      </c>
      <c r="J30" s="39">
        <f t="shared" si="9"/>
        <v>215</v>
      </c>
      <c r="K30" s="39">
        <f t="shared" si="10"/>
        <v>53.75</v>
      </c>
      <c r="L30" s="39">
        <f t="shared" si="11"/>
        <v>6.75</v>
      </c>
      <c r="M30" s="149">
        <f t="shared" si="14"/>
        <v>24196</v>
      </c>
      <c r="N30" s="39">
        <f t="shared" si="12"/>
        <v>1633.23</v>
      </c>
      <c r="O30" s="39">
        <f t="shared" si="13"/>
        <v>863.97867000000008</v>
      </c>
      <c r="P30" s="42">
        <f t="shared" si="15"/>
        <v>9991.9133185500013</v>
      </c>
      <c r="Q30" s="39">
        <v>2950</v>
      </c>
      <c r="R30" s="39">
        <v>48</v>
      </c>
      <c r="S30" s="39">
        <v>83</v>
      </c>
      <c r="T30" s="39">
        <v>2915</v>
      </c>
      <c r="U30" s="39">
        <v>50</v>
      </c>
      <c r="V30" s="39">
        <v>85</v>
      </c>
      <c r="W30" s="39">
        <v>2911</v>
      </c>
      <c r="X30" s="39">
        <v>50</v>
      </c>
      <c r="Y30" s="39">
        <v>85</v>
      </c>
      <c r="Z30" s="39">
        <v>2918</v>
      </c>
      <c r="AA30" s="39">
        <v>50</v>
      </c>
      <c r="AB30" s="39">
        <v>85</v>
      </c>
      <c r="AC30" s="39">
        <f t="shared" si="4"/>
        <v>11694</v>
      </c>
      <c r="AD30" s="38">
        <f t="shared" si="16"/>
        <v>49.5</v>
      </c>
      <c r="AE30" s="38">
        <f t="shared" ref="AE30:AE42" si="17">(S30+V30+Y30+AB30)/4</f>
        <v>84.5</v>
      </c>
    </row>
    <row r="31" spans="1:31" ht="32.25" customHeight="1" x14ac:dyDescent="0.3">
      <c r="A31" s="40">
        <v>44923</v>
      </c>
      <c r="B31" s="41">
        <v>80</v>
      </c>
      <c r="C31" s="39">
        <f t="shared" si="0"/>
        <v>5</v>
      </c>
      <c r="D31" s="41">
        <v>80</v>
      </c>
      <c r="E31" s="39">
        <f t="shared" si="1"/>
        <v>4</v>
      </c>
      <c r="F31" s="41">
        <v>83</v>
      </c>
      <c r="G31" s="39">
        <f t="shared" si="2"/>
        <v>3</v>
      </c>
      <c r="H31" s="41">
        <v>85</v>
      </c>
      <c r="I31" s="39">
        <f t="shared" si="8"/>
        <v>6</v>
      </c>
      <c r="J31" s="39">
        <f t="shared" si="9"/>
        <v>328</v>
      </c>
      <c r="K31" s="39">
        <f t="shared" si="10"/>
        <v>82</v>
      </c>
      <c r="L31" s="39">
        <f t="shared" si="11"/>
        <v>4.5</v>
      </c>
      <c r="M31" s="149">
        <f t="shared" si="14"/>
        <v>24196</v>
      </c>
      <c r="N31" s="39">
        <f t="shared" si="12"/>
        <v>1088.82</v>
      </c>
      <c r="O31" s="39">
        <f t="shared" si="13"/>
        <v>575.98577999999998</v>
      </c>
      <c r="P31" s="42">
        <f t="shared" si="15"/>
        <v>6661.2755456999994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4"/>
        <v>0</v>
      </c>
      <c r="AD31" s="38">
        <f t="shared" si="16"/>
        <v>0</v>
      </c>
      <c r="AE31" s="38">
        <f t="shared" si="17"/>
        <v>0</v>
      </c>
    </row>
    <row r="32" spans="1:31" ht="32.25" customHeight="1" x14ac:dyDescent="0.3">
      <c r="A32" s="40">
        <v>44924</v>
      </c>
      <c r="B32" s="41">
        <v>75</v>
      </c>
      <c r="C32" s="39">
        <f t="shared" si="0"/>
        <v>4</v>
      </c>
      <c r="D32" s="41">
        <v>76</v>
      </c>
      <c r="E32" s="39">
        <f t="shared" si="1"/>
        <v>4</v>
      </c>
      <c r="F32" s="41">
        <v>80</v>
      </c>
      <c r="G32" s="39">
        <f t="shared" si="2"/>
        <v>4</v>
      </c>
      <c r="H32" s="41">
        <v>79</v>
      </c>
      <c r="I32" s="39">
        <f t="shared" si="8"/>
        <v>5</v>
      </c>
      <c r="J32" s="39">
        <f t="shared" si="9"/>
        <v>310</v>
      </c>
      <c r="K32" s="39">
        <f t="shared" si="10"/>
        <v>77.5</v>
      </c>
      <c r="L32" s="39">
        <f t="shared" si="11"/>
        <v>4.25</v>
      </c>
      <c r="M32" s="149">
        <f t="shared" si="14"/>
        <v>24196</v>
      </c>
      <c r="N32" s="39">
        <f t="shared" si="12"/>
        <v>1028.33</v>
      </c>
      <c r="O32" s="149">
        <f t="shared" si="13"/>
        <v>543.98657000000003</v>
      </c>
      <c r="P32" s="42">
        <f t="shared" si="15"/>
        <v>6291.20468205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7"/>
        <v>0</v>
      </c>
    </row>
    <row r="33" spans="1:31" ht="32.25" customHeight="1" x14ac:dyDescent="0.3">
      <c r="A33" s="40">
        <v>44925</v>
      </c>
      <c r="B33" s="41">
        <v>71</v>
      </c>
      <c r="C33" s="39">
        <f t="shared" si="0"/>
        <v>6</v>
      </c>
      <c r="D33" s="41">
        <v>72</v>
      </c>
      <c r="E33" s="39">
        <f t="shared" si="1"/>
        <v>7</v>
      </c>
      <c r="F33" s="41">
        <v>76</v>
      </c>
      <c r="G33" s="39">
        <f t="shared" si="2"/>
        <v>6</v>
      </c>
      <c r="H33" s="41">
        <v>74</v>
      </c>
      <c r="I33" s="39">
        <f t="shared" si="8"/>
        <v>4</v>
      </c>
      <c r="J33" s="39">
        <f t="shared" si="9"/>
        <v>293</v>
      </c>
      <c r="K33" s="39">
        <f t="shared" si="10"/>
        <v>73.25</v>
      </c>
      <c r="L33" s="39">
        <f t="shared" si="11"/>
        <v>5.75</v>
      </c>
      <c r="M33" s="149">
        <f t="shared" si="14"/>
        <v>24196</v>
      </c>
      <c r="N33" s="39">
        <f t="shared" si="12"/>
        <v>1391.27</v>
      </c>
      <c r="O33" s="39">
        <f t="shared" si="13"/>
        <v>735.98183000000006</v>
      </c>
      <c r="P33" s="42">
        <f t="shared" si="15"/>
        <v>8511.6298639500001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7"/>
        <v>0</v>
      </c>
    </row>
    <row r="34" spans="1:31" ht="32.25" customHeight="1" x14ac:dyDescent="0.3">
      <c r="A34" s="40">
        <v>44926</v>
      </c>
      <c r="B34" s="41">
        <v>65</v>
      </c>
      <c r="C34" s="39">
        <f t="shared" si="0"/>
        <v>5</v>
      </c>
      <c r="D34" s="41">
        <v>65</v>
      </c>
      <c r="E34" s="39">
        <f t="shared" si="1"/>
        <v>5</v>
      </c>
      <c r="F34" s="41">
        <v>70</v>
      </c>
      <c r="G34" s="39">
        <f t="shared" si="2"/>
        <v>5</v>
      </c>
      <c r="H34" s="41">
        <v>70</v>
      </c>
      <c r="I34" s="39">
        <f t="shared" si="8"/>
        <v>5</v>
      </c>
      <c r="J34" s="39">
        <f>B34+D34+F34+H34</f>
        <v>270</v>
      </c>
      <c r="K34" s="39">
        <f>J34/4</f>
        <v>67.5</v>
      </c>
      <c r="L34" s="39">
        <f>IF(AC34&gt;0,((K34-AD34)+(AE34-K35)),IF(K35=0, ,(K34-K35)))</f>
        <v>5</v>
      </c>
      <c r="M34" s="149">
        <f t="shared" si="14"/>
        <v>24196</v>
      </c>
      <c r="N34" s="39">
        <f>L34*M34/100</f>
        <v>1209.8</v>
      </c>
      <c r="O34" s="39">
        <f>N34*0.529</f>
        <v>639.98419999999999</v>
      </c>
      <c r="P34" s="42">
        <f t="shared" si="15"/>
        <v>7401.4172729999991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4"/>
        <v>0</v>
      </c>
      <c r="AD34" s="38">
        <f t="shared" si="16"/>
        <v>0</v>
      </c>
      <c r="AE34" s="38">
        <f t="shared" si="17"/>
        <v>0</v>
      </c>
    </row>
    <row r="35" spans="1:31" ht="32.25" customHeight="1" x14ac:dyDescent="0.3">
      <c r="A35" s="40">
        <v>44927</v>
      </c>
      <c r="B35" s="41">
        <v>60</v>
      </c>
      <c r="C35" s="39">
        <f t="shared" si="0"/>
        <v>0</v>
      </c>
      <c r="D35" s="41">
        <v>60</v>
      </c>
      <c r="E35" s="39">
        <f t="shared" si="1"/>
        <v>0</v>
      </c>
      <c r="F35" s="41">
        <v>65</v>
      </c>
      <c r="G35" s="39">
        <f t="shared" si="2"/>
        <v>0</v>
      </c>
      <c r="H35" s="41">
        <v>65</v>
      </c>
      <c r="I35" s="39">
        <f t="shared" si="8"/>
        <v>0</v>
      </c>
      <c r="J35" s="39">
        <f>B35+D35+F35+H35</f>
        <v>250</v>
      </c>
      <c r="K35" s="39">
        <f>J35/4</f>
        <v>62.5</v>
      </c>
      <c r="L35" s="39">
        <f t="shared" si="11"/>
        <v>0</v>
      </c>
      <c r="M35" s="149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1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4"/>
        <v>0</v>
      </c>
      <c r="AD35" s="38">
        <f t="shared" si="16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18">IF(AC36&gt;0,((D36-U36)+(V36-D37)),IF(D37=0, ,(D36-D37)))</f>
        <v>0</v>
      </c>
      <c r="F36" s="41"/>
      <c r="G36" s="39">
        <f t="shared" ref="G36" si="19">IF(AC36&gt;0,((F36-X36)+(Y36-F37)),IF(F37=0, ,(F36-F37)))</f>
        <v>0</v>
      </c>
      <c r="H36" s="41"/>
      <c r="I36" s="39">
        <f t="shared" ref="I6:I36" si="20">IF(AC36&gt;0,((H36-AA36)+(AB36-H37)),IF(H37=0, ,(H36-H37)))</f>
        <v>0</v>
      </c>
      <c r="J36" s="39">
        <f t="shared" ref="J6:J42" si="21">B36+D36+F36+H36</f>
        <v>0</v>
      </c>
      <c r="K36" s="39">
        <f t="shared" ref="K6:K42" si="22">J36/4</f>
        <v>0</v>
      </c>
      <c r="L36" s="39">
        <f t="shared" ref="L20:L42" si="23">IF(AC36&gt;0,((K36-AD36)+(AE36-K37)),IF(K37=0, ,(K36-K37)))</f>
        <v>0</v>
      </c>
      <c r="M36" s="149">
        <f t="shared" ref="M9:M42" si="24">6049*4</f>
        <v>24196</v>
      </c>
      <c r="N36" s="39">
        <f t="shared" ref="N6:N42" si="25">L36*M36/100</f>
        <v>0</v>
      </c>
      <c r="O36" s="39">
        <f t="shared" ref="O8:O37" si="26">N36*0.529</f>
        <v>0</v>
      </c>
      <c r="P36" s="42">
        <f t="shared" ref="P5:P37" si="27">O36*11.565</f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ref="AC26:AC43" si="28">Q36+T36+W36+Z36</f>
        <v>0</v>
      </c>
      <c r="AD36" s="38">
        <f t="shared" si="16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21"/>
        <v>0</v>
      </c>
      <c r="K37" s="39">
        <f t="shared" si="22"/>
        <v>0</v>
      </c>
      <c r="L37" s="39">
        <f t="shared" si="23"/>
        <v>0</v>
      </c>
      <c r="M37" s="149">
        <f t="shared" si="24"/>
        <v>24196</v>
      </c>
      <c r="N37" s="39">
        <f t="shared" si="25"/>
        <v>0</v>
      </c>
      <c r="O37" s="39">
        <f t="shared" si="26"/>
        <v>0</v>
      </c>
      <c r="P37" s="42">
        <f t="shared" si="2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8"/>
        <v>0</v>
      </c>
      <c r="AD37" s="38">
        <f t="shared" si="16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21"/>
        <v>0</v>
      </c>
      <c r="K38" s="39">
        <f t="shared" si="22"/>
        <v>0</v>
      </c>
      <c r="L38" s="39">
        <f t="shared" si="23"/>
        <v>0</v>
      </c>
      <c r="M38" s="149">
        <f t="shared" si="24"/>
        <v>24196</v>
      </c>
      <c r="N38" s="39">
        <f t="shared" si="25"/>
        <v>0</v>
      </c>
      <c r="O38" s="39">
        <f>N38*0.53</f>
        <v>0</v>
      </c>
      <c r="P38" s="42">
        <f t="shared" ref="P38:P39" si="32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8"/>
        <v>0</v>
      </c>
      <c r="AD38" s="38">
        <f t="shared" si="16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21"/>
        <v>0</v>
      </c>
      <c r="K39" s="39">
        <f t="shared" si="22"/>
        <v>0</v>
      </c>
      <c r="L39" s="39">
        <f t="shared" si="23"/>
        <v>0</v>
      </c>
      <c r="M39" s="149">
        <f t="shared" si="24"/>
        <v>24196</v>
      </c>
      <c r="N39" s="39">
        <f t="shared" si="25"/>
        <v>0</v>
      </c>
      <c r="O39" s="39">
        <f>N39*0.53</f>
        <v>0</v>
      </c>
      <c r="P39" s="42">
        <f t="shared" si="32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8"/>
        <v>0</v>
      </c>
      <c r="AD39" s="38">
        <f t="shared" si="16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21"/>
        <v>0</v>
      </c>
      <c r="K40" s="39">
        <f t="shared" si="22"/>
        <v>0</v>
      </c>
      <c r="L40" s="39">
        <f t="shared" si="23"/>
        <v>0</v>
      </c>
      <c r="M40" s="149">
        <f t="shared" si="24"/>
        <v>24196</v>
      </c>
      <c r="N40" s="39">
        <f t="shared" si="25"/>
        <v>0</v>
      </c>
      <c r="O40" s="39">
        <f>N40*0.53</f>
        <v>0</v>
      </c>
      <c r="P40" s="42">
        <f t="shared" ref="P40:P42" si="33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8"/>
        <v>0</v>
      </c>
      <c r="AD40" s="38">
        <f t="shared" si="16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21"/>
        <v>0</v>
      </c>
      <c r="K41" s="39">
        <f t="shared" si="22"/>
        <v>0</v>
      </c>
      <c r="L41" s="39">
        <f t="shared" si="23"/>
        <v>0</v>
      </c>
      <c r="M41" s="149">
        <f t="shared" si="24"/>
        <v>24196</v>
      </c>
      <c r="N41" s="39">
        <f t="shared" si="25"/>
        <v>0</v>
      </c>
      <c r="O41" s="39">
        <f>N41*0.53</f>
        <v>0</v>
      </c>
      <c r="P41" s="42">
        <f t="shared" si="33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8"/>
        <v>0</v>
      </c>
      <c r="AD41" s="38">
        <f t="shared" si="16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21"/>
        <v>0</v>
      </c>
      <c r="K42" s="39">
        <f t="shared" si="22"/>
        <v>0</v>
      </c>
      <c r="L42" s="39">
        <f t="shared" si="23"/>
        <v>0</v>
      </c>
      <c r="M42" s="149">
        <f t="shared" si="24"/>
        <v>24196</v>
      </c>
      <c r="N42" s="39">
        <f t="shared" si="25"/>
        <v>0</v>
      </c>
      <c r="O42" s="39">
        <f>N42*0.53</f>
        <v>0</v>
      </c>
      <c r="P42" s="42">
        <f t="shared" si="33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8"/>
        <v>0</v>
      </c>
      <c r="AD42" s="38">
        <f t="shared" si="16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28127.85</v>
      </c>
      <c r="O43" s="39">
        <f>N43*0.529</f>
        <v>14879.63265</v>
      </c>
      <c r="P43" s="42">
        <f>O43*11.565</f>
        <v>172082.95159724998</v>
      </c>
      <c r="Q43" s="285">
        <f>SUM(Q4:Q42)</f>
        <v>10096</v>
      </c>
      <c r="R43" s="286"/>
      <c r="S43" s="287"/>
      <c r="T43" s="288">
        <f>SUM(T4:T42)</f>
        <v>10336</v>
      </c>
      <c r="U43" s="286"/>
      <c r="V43" s="287"/>
      <c r="W43" s="288">
        <f>SUM(W4:W42)</f>
        <v>10164</v>
      </c>
      <c r="X43" s="286"/>
      <c r="Y43" s="287"/>
      <c r="Z43" s="288">
        <f>SUM(Z4:Z42)</f>
        <v>10524</v>
      </c>
      <c r="AA43" s="286"/>
      <c r="AB43" s="287"/>
      <c r="AC43" s="39">
        <f t="shared" si="28"/>
        <v>41120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41120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41120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28127.85</v>
      </c>
      <c r="L47" s="46">
        <f>O43</f>
        <v>14879.63265</v>
      </c>
      <c r="M47" s="46">
        <f>P43</f>
        <v>172082.95159724998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41120</v>
      </c>
      <c r="L48" s="44">
        <f>K48*0.529</f>
        <v>21752.48</v>
      </c>
      <c r="M48" s="44">
        <f>L48*11.565</f>
        <v>251567.43119999999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44923</v>
      </c>
      <c r="D8" s="352"/>
      <c r="E8" s="113">
        <v>44923</v>
      </c>
      <c r="F8" s="163" t="s">
        <v>97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1282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19306429</v>
      </c>
      <c r="D17" s="66">
        <v>19306429</v>
      </c>
      <c r="E17" s="67">
        <f>MIN(C17-D17)</f>
        <v>0</v>
      </c>
      <c r="F17" s="67">
        <f>+E17</f>
        <v>0</v>
      </c>
      <c r="G17" s="337"/>
      <c r="H17" s="338"/>
      <c r="I17" s="337">
        <f>+E17</f>
        <v>0</v>
      </c>
      <c r="J17" s="338"/>
    </row>
    <row r="18" spans="1:10" x14ac:dyDescent="0.2">
      <c r="A18" s="335" t="s">
        <v>111</v>
      </c>
      <c r="B18" s="336"/>
      <c r="C18" s="66">
        <v>11353001</v>
      </c>
      <c r="D18" s="66">
        <v>11353001</v>
      </c>
      <c r="E18" s="67">
        <f>MIN(C18-D18)</f>
        <v>0</v>
      </c>
      <c r="F18" s="67">
        <f>+E18</f>
        <v>0</v>
      </c>
      <c r="G18" s="337"/>
      <c r="H18" s="338"/>
      <c r="I18" s="337">
        <f>+E18</f>
        <v>0</v>
      </c>
      <c r="J18" s="338"/>
    </row>
    <row r="19" spans="1:10" x14ac:dyDescent="0.2">
      <c r="A19" s="335" t="s">
        <v>112</v>
      </c>
      <c r="B19" s="336"/>
      <c r="C19" s="66">
        <v>8474753</v>
      </c>
      <c r="D19" s="66">
        <v>8474753</v>
      </c>
      <c r="E19" s="67">
        <f>AVERAGE(C19-D19)</f>
        <v>0</v>
      </c>
      <c r="F19" s="67">
        <f>+E19</f>
        <v>0</v>
      </c>
      <c r="G19" s="337"/>
      <c r="H19" s="338"/>
      <c r="I19" s="337">
        <f>+E19</f>
        <v>0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0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0</v>
      </c>
      <c r="E25" s="72">
        <v>0.95140000000000002</v>
      </c>
      <c r="F25" s="73">
        <f>PRODUCT(D25*E25)</f>
        <v>0</v>
      </c>
      <c r="G25" s="151">
        <v>14</v>
      </c>
      <c r="H25" s="65">
        <f>PRODUCT(0.14,F25)</f>
        <v>0</v>
      </c>
      <c r="I25" s="303">
        <f>SUM(H25,F25)</f>
        <v>0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0</v>
      </c>
      <c r="E26" s="74">
        <v>0.69850000000000001</v>
      </c>
      <c r="F26" s="73">
        <f>PRODUCT(D26*E26)</f>
        <v>0</v>
      </c>
      <c r="G26">
        <v>14</v>
      </c>
      <c r="H26" s="67">
        <f>PRODUCT(0.14,F26)</f>
        <v>0</v>
      </c>
      <c r="I26" s="303">
        <f t="shared" ref="I26:I31" si="0">SUM(H26,F26)</f>
        <v>0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0</v>
      </c>
      <c r="E27" s="74">
        <v>1.3304</v>
      </c>
      <c r="F27" s="73">
        <f>PRODUCT(D27*E27)</f>
        <v>0</v>
      </c>
      <c r="G27">
        <v>14</v>
      </c>
      <c r="H27" s="67">
        <f>PRODUCT(0.14,F27)</f>
        <v>0</v>
      </c>
      <c r="I27" s="303">
        <f>SUM(H27,F27)</f>
        <v>0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46214.67</v>
      </c>
      <c r="G32" s="85"/>
      <c r="H32" s="86"/>
      <c r="I32" s="312">
        <f>SUM(I25:J31)</f>
        <v>52630.743799999997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R18" sqref="R1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44902</v>
      </c>
      <c r="D8" s="352"/>
      <c r="E8" s="113">
        <v>44903</v>
      </c>
      <c r="F8" s="163" t="s">
        <v>132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1282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21867730</v>
      </c>
      <c r="D17" s="66">
        <v>21860877</v>
      </c>
      <c r="E17" s="67">
        <f>MIN(C17-D17)</f>
        <v>6853</v>
      </c>
      <c r="F17" s="67">
        <f>+E17</f>
        <v>6853</v>
      </c>
      <c r="G17" s="337"/>
      <c r="H17" s="338"/>
      <c r="I17" s="337">
        <f>+E17</f>
        <v>6853</v>
      </c>
      <c r="J17" s="338"/>
    </row>
    <row r="18" spans="1:10" x14ac:dyDescent="0.2">
      <c r="A18" s="335" t="s">
        <v>111</v>
      </c>
      <c r="B18" s="336"/>
      <c r="C18" s="66">
        <v>12801571</v>
      </c>
      <c r="D18" s="66">
        <v>12797614</v>
      </c>
      <c r="E18" s="67">
        <f>MIN(C18-D18)</f>
        <v>3957</v>
      </c>
      <c r="F18" s="67">
        <f>+E18</f>
        <v>3957</v>
      </c>
      <c r="G18" s="337"/>
      <c r="H18" s="338"/>
      <c r="I18" s="337">
        <f>+E18</f>
        <v>3957</v>
      </c>
      <c r="J18" s="338"/>
    </row>
    <row r="19" spans="1:10" x14ac:dyDescent="0.2">
      <c r="A19" s="335" t="s">
        <v>112</v>
      </c>
      <c r="B19" s="336"/>
      <c r="C19" s="66">
        <v>9587915</v>
      </c>
      <c r="D19" s="66">
        <v>9584798</v>
      </c>
      <c r="E19" s="67">
        <f>AVERAGE(C19-D19)</f>
        <v>3117</v>
      </c>
      <c r="F19" s="67">
        <f>+E19</f>
        <v>3117</v>
      </c>
      <c r="G19" s="337"/>
      <c r="H19" s="338"/>
      <c r="I19" s="337">
        <f>+E19</f>
        <v>3117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13927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6853</v>
      </c>
      <c r="E25" s="72">
        <v>0.95140000000000002</v>
      </c>
      <c r="F25" s="73">
        <f>PRODUCT(D25*E25)</f>
        <v>6519.9441999999999</v>
      </c>
      <c r="G25" s="151">
        <v>14</v>
      </c>
      <c r="H25" s="65">
        <f>PRODUCT(0.14,F25)</f>
        <v>912.79218800000012</v>
      </c>
      <c r="I25" s="303">
        <f>SUM(H25,F25)</f>
        <v>7432.7363880000003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3957</v>
      </c>
      <c r="E26" s="74">
        <v>0.69850000000000001</v>
      </c>
      <c r="F26" s="73">
        <f>PRODUCT(D26*E26)</f>
        <v>2763.9645</v>
      </c>
      <c r="G26">
        <v>14</v>
      </c>
      <c r="H26" s="67">
        <f>PRODUCT(0.14,F26)</f>
        <v>386.95503000000002</v>
      </c>
      <c r="I26" s="303">
        <f t="shared" ref="I26:I31" si="0">SUM(H26,F26)</f>
        <v>3150.9195300000001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3117</v>
      </c>
      <c r="E27" s="74">
        <v>1.3304</v>
      </c>
      <c r="F27" s="73">
        <f>PRODUCT(D27*E27)</f>
        <v>4146.8568000000005</v>
      </c>
      <c r="G27">
        <v>14</v>
      </c>
      <c r="H27" s="67">
        <f>PRODUCT(0.14,F27)</f>
        <v>580.55995200000007</v>
      </c>
      <c r="I27" s="303">
        <f>SUM(H27,F27)</f>
        <v>4727.416752000001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59645.4355</v>
      </c>
      <c r="G32" s="85"/>
      <c r="H32" s="86"/>
      <c r="I32" s="312">
        <f>SUM(I25:J31)</f>
        <v>67941.816470000005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L14" sqref="L14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0</v>
      </c>
      <c r="D8" s="97">
        <v>44166</v>
      </c>
      <c r="E8" s="96">
        <v>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0</v>
      </c>
      <c r="C13" s="396"/>
      <c r="D13" s="396">
        <v>8.7899999999999991</v>
      </c>
      <c r="E13" s="396"/>
      <c r="F13" s="403">
        <f>PRODUCT(D13,B13)</f>
        <v>0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0</v>
      </c>
      <c r="C19" s="396"/>
      <c r="D19" s="396">
        <v>2.61</v>
      </c>
      <c r="E19" s="396"/>
      <c r="F19" s="396">
        <f>PRODUCT(D19,B19)</f>
        <v>0</v>
      </c>
      <c r="G19" s="396"/>
      <c r="H19" s="396"/>
    </row>
    <row r="20" spans="1:8" ht="18.75" x14ac:dyDescent="0.3">
      <c r="A20" s="392" t="s">
        <v>149</v>
      </c>
      <c r="B20" s="393"/>
      <c r="C20" s="393"/>
      <c r="D20" s="393"/>
      <c r="E20" s="394"/>
      <c r="F20" s="395">
        <f>SUM(F11+F13+F16+F17+F18+F19)</f>
        <v>23</v>
      </c>
      <c r="G20" s="395"/>
      <c r="H20" s="395"/>
    </row>
    <row r="21" spans="1:8" ht="15" x14ac:dyDescent="0.25">
      <c r="A21" s="381" t="s">
        <v>150</v>
      </c>
      <c r="B21" s="382"/>
      <c r="C21" s="382"/>
      <c r="D21" s="382"/>
      <c r="E21" s="383"/>
      <c r="F21" s="396">
        <f>PRODUCT(F20,0.07)</f>
        <v>1.61</v>
      </c>
      <c r="G21" s="396"/>
      <c r="H21" s="396"/>
    </row>
    <row r="22" spans="1:8" ht="15" x14ac:dyDescent="0.25">
      <c r="A22" s="397" t="s">
        <v>151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152</v>
      </c>
      <c r="B23" s="382"/>
      <c r="C23" s="382"/>
      <c r="D23" s="382"/>
      <c r="E23" s="383"/>
      <c r="F23" s="384">
        <f>SUM(F21:H22)</f>
        <v>209.87</v>
      </c>
      <c r="G23" s="384"/>
      <c r="H23" s="384"/>
    </row>
    <row r="24" spans="1:8" x14ac:dyDescent="0.2">
      <c r="A24" s="385" t="s">
        <v>153</v>
      </c>
      <c r="B24" s="386"/>
      <c r="C24" s="386"/>
      <c r="D24" s="386"/>
      <c r="E24" s="387"/>
      <c r="F24" s="391">
        <f>SUM(F20,F23)</f>
        <v>232.87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0</v>
      </c>
      <c r="D8" s="97">
        <v>44535</v>
      </c>
      <c r="E8" s="96">
        <v>0</v>
      </c>
      <c r="F8" s="97">
        <v>44901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0</v>
      </c>
      <c r="C13" s="396"/>
      <c r="D13" s="396">
        <v>8.5</v>
      </c>
      <c r="E13" s="396"/>
      <c r="F13" s="403">
        <f>PRODUCT(D13,B13)</f>
        <v>0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5"/>
    </row>
    <row r="20" spans="1:8" ht="15" x14ac:dyDescent="0.25">
      <c r="A20" s="103" t="s">
        <v>154</v>
      </c>
      <c r="B20" s="396">
        <f>G8</f>
        <v>0</v>
      </c>
      <c r="C20" s="396"/>
      <c r="D20" s="396">
        <v>2.54</v>
      </c>
      <c r="E20" s="396"/>
      <c r="F20" s="396">
        <f>PRODUCT(D20,B20)</f>
        <v>0</v>
      </c>
      <c r="G20" s="396"/>
      <c r="H20" s="396"/>
    </row>
    <row r="21" spans="1:8" ht="18.75" x14ac:dyDescent="0.3">
      <c r="A21" s="392" t="s">
        <v>149</v>
      </c>
      <c r="B21" s="393"/>
      <c r="C21" s="393"/>
      <c r="D21" s="393"/>
      <c r="E21" s="394"/>
      <c r="F21" s="395">
        <f>SUM(F11+F13+F16+F17+F18+F20)</f>
        <v>23</v>
      </c>
      <c r="G21" s="395"/>
      <c r="H21" s="395"/>
    </row>
    <row r="22" spans="1:8" ht="15" x14ac:dyDescent="0.25">
      <c r="A22" s="381" t="s">
        <v>150</v>
      </c>
      <c r="B22" s="382"/>
      <c r="C22" s="382"/>
      <c r="D22" s="382"/>
      <c r="E22" s="383"/>
      <c r="F22" s="396">
        <f>PRODUCT(F21,0.07)</f>
        <v>1.61</v>
      </c>
      <c r="G22" s="396"/>
      <c r="H22" s="396"/>
    </row>
    <row r="23" spans="1:8" ht="15" x14ac:dyDescent="0.25">
      <c r="A23" s="397" t="s">
        <v>151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152</v>
      </c>
      <c r="B24" s="382"/>
      <c r="C24" s="382"/>
      <c r="D24" s="382"/>
      <c r="E24" s="383"/>
      <c r="F24" s="384">
        <f>SUM(F22:H23)</f>
        <v>209.87</v>
      </c>
      <c r="G24" s="384"/>
      <c r="H24" s="384"/>
    </row>
    <row r="25" spans="1:8" x14ac:dyDescent="0.2">
      <c r="A25" s="385" t="s">
        <v>153</v>
      </c>
      <c r="B25" s="386"/>
      <c r="C25" s="386"/>
      <c r="D25" s="386"/>
      <c r="E25" s="387"/>
      <c r="F25" s="391">
        <f>SUM(F21,F24)</f>
        <v>232.87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O14" sqref="O14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155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2594</v>
      </c>
      <c r="D8" s="97">
        <v>44901</v>
      </c>
      <c r="E8" s="96">
        <v>2594</v>
      </c>
      <c r="F8" s="97">
        <v>44902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5"/>
    </row>
    <row r="25" spans="1:8" ht="18.75" x14ac:dyDescent="0.3">
      <c r="A25" s="392" t="s">
        <v>149</v>
      </c>
      <c r="B25" s="393"/>
      <c r="C25" s="393"/>
      <c r="D25" s="393"/>
      <c r="E25" s="394"/>
      <c r="F25" s="422">
        <f>SUM(F11+F13+F20+F21+F22+F23)</f>
        <v>15</v>
      </c>
      <c r="G25" s="395"/>
      <c r="H25" s="395"/>
    </row>
    <row r="26" spans="1:8" ht="15" x14ac:dyDescent="0.2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151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8" zoomScaleNormal="100" workbookViewId="0">
      <selection activeCell="H31" sqref="H31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21" thickBot="1" x14ac:dyDescent="0.35">
      <c r="C15" s="426" t="s">
        <v>181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>
        <v>289205.48600000003</v>
      </c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21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182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21" thickBot="1" x14ac:dyDescent="0.35">
      <c r="C15" s="426" t="s">
        <v>183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>
        <v>23861.540000000066</v>
      </c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184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21" thickBot="1" x14ac:dyDescent="0.35">
      <c r="C15" s="426" t="s">
        <v>185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customXml/itemProps2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2023-01-02T15:01:27Z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