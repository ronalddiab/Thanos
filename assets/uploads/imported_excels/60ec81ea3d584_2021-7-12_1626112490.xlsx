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144" documentId="8_{A61DAC58-60B6-4A85-A856-410E2D059BAD}" xr6:coauthVersionLast="47" xr6:coauthVersionMax="47" xr10:uidLastSave="{19F5B9B6-09AB-4D15-94E1-82FE41566EF6}"/>
  <bookViews>
    <workbookView xWindow="-120" yWindow="-120" windowWidth="16440" windowHeight="28440" firstSheet="8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5" l="1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30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2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2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2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U36" i="5"/>
  <c r="J34" i="3" s="1"/>
  <c r="U37" i="5"/>
  <c r="J35" i="3" s="1"/>
  <c r="U38" i="5"/>
  <c r="J36" i="3" s="1"/>
  <c r="U39" i="5"/>
  <c r="J37" i="3" s="1"/>
  <c r="U40" i="5"/>
  <c r="J38" i="3" s="1"/>
  <c r="U41" i="5"/>
  <c r="J39" i="3" s="1"/>
  <c r="U42" i="5"/>
  <c r="J40" i="3" s="1"/>
  <c r="U43" i="5"/>
  <c r="J41" i="3" s="1"/>
  <c r="U44" i="5"/>
  <c r="J42" i="3" s="1"/>
  <c r="U45" i="5"/>
  <c r="J43" i="3" s="1"/>
  <c r="U46" i="5"/>
  <c r="J44" i="3" s="1"/>
  <c r="U47" i="5"/>
  <c r="J45" i="3" s="1"/>
  <c r="U48" i="5"/>
  <c r="J46" i="3" s="1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A43" i="3" s="1"/>
  <c r="BF46" i="6"/>
  <c r="BA44" i="3" s="1"/>
  <c r="BF47" i="6"/>
  <c r="BA45" i="3" s="1"/>
  <c r="BF48" i="6"/>
  <c r="BA46" i="3" s="1"/>
  <c r="BF49" i="6"/>
  <c r="BA47" i="3" s="1"/>
  <c r="BF50" i="6"/>
  <c r="BA48" i="3" s="1"/>
  <c r="BF51" i="6"/>
  <c r="BA49" i="3" s="1"/>
  <c r="BD45" i="6"/>
  <c r="AZ43" i="3" s="1"/>
  <c r="BD46" i="6"/>
  <c r="AZ44" i="3" s="1"/>
  <c r="BD47" i="6"/>
  <c r="AZ45" i="3" s="1"/>
  <c r="BD48" i="6"/>
  <c r="AZ46" i="3" s="1"/>
  <c r="BD49" i="6"/>
  <c r="AZ47" i="3" s="1"/>
  <c r="BD50" i="6"/>
  <c r="AZ48" i="3" s="1"/>
  <c r="BD51" i="6"/>
  <c r="AZ49" i="3" s="1"/>
  <c r="BB45" i="6"/>
  <c r="AY43" i="3" s="1"/>
  <c r="BB46" i="6"/>
  <c r="AY44" i="3" s="1"/>
  <c r="BB47" i="6"/>
  <c r="AY45" i="3" s="1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W45" i="3" s="1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V44" i="3" s="1"/>
  <c r="AW47" i="6"/>
  <c r="AV45" i="3" s="1"/>
  <c r="AW48" i="6"/>
  <c r="AV46" i="3" s="1"/>
  <c r="AW49" i="6"/>
  <c r="AV47" i="3" s="1"/>
  <c r="AW50" i="6"/>
  <c r="AV48" i="3" s="1"/>
  <c r="AW51" i="6"/>
  <c r="AV49" i="3" s="1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T43" i="3" s="1"/>
  <c r="AP46" i="6"/>
  <c r="AT44" i="3" s="1"/>
  <c r="AP47" i="6"/>
  <c r="AT45" i="3" s="1"/>
  <c r="AP48" i="6"/>
  <c r="AT46" i="3" s="1"/>
  <c r="AP49" i="6"/>
  <c r="AT47" i="3" s="1"/>
  <c r="AP50" i="6"/>
  <c r="AT48" i="3" s="1"/>
  <c r="AP51" i="6"/>
  <c r="AT49" i="3" s="1"/>
  <c r="AN45" i="6"/>
  <c r="AS43" i="3" s="1"/>
  <c r="AN46" i="6"/>
  <c r="AS44" i="3" s="1"/>
  <c r="AN47" i="6"/>
  <c r="AS45" i="3" s="1"/>
  <c r="AN48" i="6"/>
  <c r="AS46" i="3" s="1"/>
  <c r="AN49" i="6"/>
  <c r="AS47" i="3" s="1"/>
  <c r="AN50" i="6"/>
  <c r="AS48" i="3" s="1"/>
  <c r="AN51" i="6"/>
  <c r="AS49" i="3" s="1"/>
  <c r="AL45" i="6"/>
  <c r="AR43" i="3" s="1"/>
  <c r="AL46" i="6"/>
  <c r="AR44" i="3" s="1"/>
  <c r="AL47" i="6"/>
  <c r="AR45" i="3" s="1"/>
  <c r="AL48" i="6"/>
  <c r="AR46" i="3" s="1"/>
  <c r="AL49" i="6"/>
  <c r="AR47" i="3" s="1"/>
  <c r="AL50" i="6"/>
  <c r="AR48" i="3" s="1"/>
  <c r="AL51" i="6"/>
  <c r="AR49" i="3" s="1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Q48" i="3" s="1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P49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N44" i="3" s="1"/>
  <c r="AD47" i="6"/>
  <c r="AN45" i="3" s="1"/>
  <c r="AD48" i="6"/>
  <c r="AN46" i="3" s="1"/>
  <c r="AD49" i="6"/>
  <c r="AN47" i="3" s="1"/>
  <c r="AD50" i="6"/>
  <c r="AN48" i="3" s="1"/>
  <c r="AD51" i="6"/>
  <c r="AN49" i="3" s="1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AL43" i="3" s="1"/>
  <c r="X46" i="6"/>
  <c r="AL44" i="3" s="1"/>
  <c r="X47" i="6"/>
  <c r="AL45" i="3" s="1"/>
  <c r="X48" i="6"/>
  <c r="AL46" i="3" s="1"/>
  <c r="X49" i="6"/>
  <c r="AL47" i="3" s="1"/>
  <c r="X50" i="6"/>
  <c r="AL48" i="3" s="1"/>
  <c r="X51" i="6"/>
  <c r="AL49" i="3" s="1"/>
  <c r="U45" i="6"/>
  <c r="AK43" i="3" s="1"/>
  <c r="U46" i="6"/>
  <c r="AK44" i="3" s="1"/>
  <c r="U47" i="6"/>
  <c r="AK45" i="3" s="1"/>
  <c r="U48" i="6"/>
  <c r="AK46" i="3" s="1"/>
  <c r="U49" i="6"/>
  <c r="AK47" i="3" s="1"/>
  <c r="U50" i="6"/>
  <c r="AK48" i="3" s="1"/>
  <c r="U51" i="6"/>
  <c r="AK49" i="3" s="1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AJ43" i="3" s="1"/>
  <c r="Q46" i="6"/>
  <c r="AJ44" i="3" s="1"/>
  <c r="Q47" i="6"/>
  <c r="AJ45" i="3" s="1"/>
  <c r="Q48" i="6"/>
  <c r="AJ46" i="3" s="1"/>
  <c r="Q49" i="6"/>
  <c r="AJ47" i="3" s="1"/>
  <c r="Q50" i="6"/>
  <c r="AJ48" i="3" s="1"/>
  <c r="Q51" i="6"/>
  <c r="AJ49" i="3" s="1"/>
  <c r="N45" i="6"/>
  <c r="AI43" i="3" s="1"/>
  <c r="N46" i="6"/>
  <c r="AI44" i="3" s="1"/>
  <c r="N47" i="6"/>
  <c r="AI45" i="3" s="1"/>
  <c r="N48" i="6"/>
  <c r="AI46" i="3" s="1"/>
  <c r="N49" i="6"/>
  <c r="AI47" i="3" s="1"/>
  <c r="N50" i="6"/>
  <c r="AI48" i="3" s="1"/>
  <c r="N51" i="6"/>
  <c r="AI49" i="3" s="1"/>
  <c r="K45" i="6"/>
  <c r="AH43" i="3" s="1"/>
  <c r="K46" i="6"/>
  <c r="AH44" i="3" s="1"/>
  <c r="K47" i="6"/>
  <c r="AH45" i="3" s="1"/>
  <c r="K48" i="6"/>
  <c r="AH46" i="3" s="1"/>
  <c r="K49" i="6"/>
  <c r="AH47" i="3" s="1"/>
  <c r="K50" i="6"/>
  <c r="AH48" i="3" s="1"/>
  <c r="K51" i="6"/>
  <c r="AH49" i="3" s="1"/>
  <c r="H45" i="6"/>
  <c r="AG43" i="3" s="1"/>
  <c r="H46" i="6"/>
  <c r="AG44" i="3" s="1"/>
  <c r="H47" i="6"/>
  <c r="AG45" i="3" s="1"/>
  <c r="H48" i="6"/>
  <c r="AG46" i="3" s="1"/>
  <c r="H49" i="6"/>
  <c r="AG47" i="3" s="1"/>
  <c r="H50" i="6"/>
  <c r="AG48" i="3" s="1"/>
  <c r="H51" i="6"/>
  <c r="AG49" i="3" s="1"/>
  <c r="E45" i="6"/>
  <c r="AF43" i="3" s="1"/>
  <c r="E46" i="6"/>
  <c r="AF44" i="3" s="1"/>
  <c r="E47" i="6"/>
  <c r="AF45" i="3" s="1"/>
  <c r="E48" i="6"/>
  <c r="AF46" i="3" s="1"/>
  <c r="E49" i="6"/>
  <c r="AF47" i="3" s="1"/>
  <c r="E50" i="6"/>
  <c r="AF48" i="3" s="1"/>
  <c r="E51" i="6"/>
  <c r="AF49" i="3" s="1"/>
  <c r="BB45" i="5"/>
  <c r="AE43" i="3" s="1"/>
  <c r="BB46" i="5"/>
  <c r="AE44" i="3" s="1"/>
  <c r="BB47" i="5"/>
  <c r="AE45" i="3" s="1"/>
  <c r="BB48" i="5"/>
  <c r="AE46" i="3" s="1"/>
  <c r="BB49" i="5"/>
  <c r="AE47" i="3" s="1"/>
  <c r="BB50" i="5"/>
  <c r="AE48" i="3" s="1"/>
  <c r="BB51" i="5"/>
  <c r="AE49" i="3" s="1"/>
  <c r="AZ45" i="5"/>
  <c r="AD43" i="3" s="1"/>
  <c r="AZ46" i="5"/>
  <c r="AD44" i="3" s="1"/>
  <c r="AZ47" i="5"/>
  <c r="AD45" i="3" s="1"/>
  <c r="AZ48" i="5"/>
  <c r="AD46" i="3" s="1"/>
  <c r="AZ49" i="5"/>
  <c r="AD47" i="3" s="1"/>
  <c r="AZ50" i="5"/>
  <c r="AD48" i="3" s="1"/>
  <c r="AZ51" i="5"/>
  <c r="AD49" i="3" s="1"/>
  <c r="AX45" i="5"/>
  <c r="AB43" i="3" s="1"/>
  <c r="AX46" i="5"/>
  <c r="AB44" i="3" s="1"/>
  <c r="AX47" i="5"/>
  <c r="AB45" i="3" s="1"/>
  <c r="AX48" i="5"/>
  <c r="AB46" i="3" s="1"/>
  <c r="AX49" i="5"/>
  <c r="AB47" i="3" s="1"/>
  <c r="AX50" i="5"/>
  <c r="AB48" i="3" s="1"/>
  <c r="AX51" i="5"/>
  <c r="AB49" i="3" s="1"/>
  <c r="AV45" i="5"/>
  <c r="AC43" i="3" s="1"/>
  <c r="AV46" i="5"/>
  <c r="AC44" i="3" s="1"/>
  <c r="AV47" i="5"/>
  <c r="AC45" i="3" s="1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AJ45" i="5"/>
  <c r="L43" i="3" s="1"/>
  <c r="AJ46" i="5"/>
  <c r="L44" i="3" s="1"/>
  <c r="AJ47" i="5"/>
  <c r="L45" i="3" s="1"/>
  <c r="AJ48" i="5"/>
  <c r="L46" i="3" s="1"/>
  <c r="AJ49" i="5"/>
  <c r="L47" i="3" s="1"/>
  <c r="AJ50" i="5"/>
  <c r="L48" i="3" s="1"/>
  <c r="AJ51" i="5"/>
  <c r="L49" i="3" s="1"/>
  <c r="AG45" i="5"/>
  <c r="Z43" i="3" s="1"/>
  <c r="AG46" i="5"/>
  <c r="Z44" i="3" s="1"/>
  <c r="AG47" i="5"/>
  <c r="Z45" i="3" s="1"/>
  <c r="AG48" i="5"/>
  <c r="Z46" i="3" s="1"/>
  <c r="AG49" i="5"/>
  <c r="Z47" i="3" s="1"/>
  <c r="AG50" i="5"/>
  <c r="Z48" i="3" s="1"/>
  <c r="AG51" i="5"/>
  <c r="Z49" i="3" s="1"/>
  <c r="AD45" i="5"/>
  <c r="X43" i="3" s="1"/>
  <c r="AD46" i="5"/>
  <c r="X44" i="3" s="1"/>
  <c r="AD47" i="5"/>
  <c r="X45" i="3" s="1"/>
  <c r="AD48" i="5"/>
  <c r="X46" i="3" s="1"/>
  <c r="AD49" i="5"/>
  <c r="X47" i="3" s="1"/>
  <c r="AD50" i="5"/>
  <c r="X48" i="3" s="1"/>
  <c r="AD51" i="5"/>
  <c r="X49" i="3" s="1"/>
  <c r="AA45" i="5"/>
  <c r="V43" i="3" s="1"/>
  <c r="AA46" i="5"/>
  <c r="V44" i="3" s="1"/>
  <c r="AA47" i="5"/>
  <c r="V45" i="3" s="1"/>
  <c r="AA48" i="5"/>
  <c r="V46" i="3" s="1"/>
  <c r="AA49" i="5"/>
  <c r="V47" i="3" s="1"/>
  <c r="AA50" i="5"/>
  <c r="V48" i="3" s="1"/>
  <c r="AA51" i="5"/>
  <c r="V49" i="3" s="1"/>
  <c r="X45" i="5"/>
  <c r="N43" i="3" s="1"/>
  <c r="X46" i="5"/>
  <c r="N44" i="3" s="1"/>
  <c r="X47" i="5"/>
  <c r="N45" i="3" s="1"/>
  <c r="X48" i="5"/>
  <c r="N46" i="3" s="1"/>
  <c r="X49" i="5"/>
  <c r="N47" i="3" s="1"/>
  <c r="X50" i="5"/>
  <c r="N48" i="3" s="1"/>
  <c r="X51" i="5"/>
  <c r="N49" i="3" s="1"/>
  <c r="R45" i="5"/>
  <c r="T43" i="3" s="1"/>
  <c r="R46" i="5"/>
  <c r="T44" i="3" s="1"/>
  <c r="R47" i="5"/>
  <c r="T45" i="3" s="1"/>
  <c r="R48" i="5"/>
  <c r="T46" i="3" s="1"/>
  <c r="R49" i="5"/>
  <c r="T47" i="3" s="1"/>
  <c r="R50" i="5"/>
  <c r="T48" i="3" s="1"/>
  <c r="R51" i="5"/>
  <c r="T49" i="3" s="1"/>
  <c r="O45" i="5"/>
  <c r="P43" i="3" s="1"/>
  <c r="O46" i="5"/>
  <c r="P44" i="3" s="1"/>
  <c r="O47" i="5"/>
  <c r="P45" i="3" s="1"/>
  <c r="O48" i="5"/>
  <c r="P46" i="3" s="1"/>
  <c r="O49" i="5"/>
  <c r="P47" i="3" s="1"/>
  <c r="O50" i="5"/>
  <c r="P48" i="3" s="1"/>
  <c r="O51" i="5"/>
  <c r="P49" i="3" s="1"/>
  <c r="L45" i="5"/>
  <c r="R43" i="3" s="1"/>
  <c r="L46" i="5"/>
  <c r="R44" i="3" s="1"/>
  <c r="L47" i="5"/>
  <c r="R45" i="3" s="1"/>
  <c r="L48" i="5"/>
  <c r="R46" i="3" s="1"/>
  <c r="L49" i="5"/>
  <c r="R47" i="3" s="1"/>
  <c r="L50" i="5"/>
  <c r="R48" i="3" s="1"/>
  <c r="L51" i="5"/>
  <c r="R49" i="3" s="1"/>
  <c r="I45" i="5"/>
  <c r="F43" i="3" s="1"/>
  <c r="I46" i="5"/>
  <c r="F44" i="3" s="1"/>
  <c r="I47" i="5"/>
  <c r="F45" i="3" s="1"/>
  <c r="I48" i="5"/>
  <c r="F46" i="3" s="1"/>
  <c r="I49" i="5"/>
  <c r="F47" i="3" s="1"/>
  <c r="I50" i="5"/>
  <c r="F48" i="3" s="1"/>
  <c r="I51" i="5"/>
  <c r="F49" i="3" s="1"/>
  <c r="F45" i="5"/>
  <c r="H43" i="3" s="1"/>
  <c r="F46" i="5"/>
  <c r="H44" i="3" s="1"/>
  <c r="F47" i="5"/>
  <c r="H45" i="3" s="1"/>
  <c r="F48" i="5"/>
  <c r="H46" i="3" s="1"/>
  <c r="F49" i="5"/>
  <c r="H47" i="3" s="1"/>
  <c r="F50" i="5"/>
  <c r="H48" i="3" s="1"/>
  <c r="F51" i="5"/>
  <c r="H49" i="3" s="1"/>
  <c r="AM44" i="5"/>
  <c r="E42" i="3" s="1"/>
  <c r="I44" i="5"/>
  <c r="F42" i="3" s="1"/>
  <c r="G42" i="3"/>
  <c r="F44" i="5"/>
  <c r="H42" i="3" s="1"/>
  <c r="I42" i="3"/>
  <c r="K42" i="3"/>
  <c r="AJ44" i="5"/>
  <c r="L42" i="3" s="1"/>
  <c r="M42" i="3"/>
  <c r="X44" i="5"/>
  <c r="N42" i="3" s="1"/>
  <c r="O42" i="3"/>
  <c r="O44" i="5"/>
  <c r="P42" i="3" s="1"/>
  <c r="Q42" i="3"/>
  <c r="L44" i="5"/>
  <c r="R42" i="3" s="1"/>
  <c r="S42" i="3"/>
  <c r="R44" i="5"/>
  <c r="T42" i="3" s="1"/>
  <c r="U42" i="3"/>
  <c r="AA44" i="5"/>
  <c r="V42" i="3" s="1"/>
  <c r="W42" i="3"/>
  <c r="AD44" i="5"/>
  <c r="X42" i="3" s="1"/>
  <c r="Y42" i="3"/>
  <c r="AG44" i="5"/>
  <c r="Z42" i="3" s="1"/>
  <c r="AA42" i="3"/>
  <c r="AX44" i="5"/>
  <c r="AB42" i="3" s="1"/>
  <c r="AV44" i="5"/>
  <c r="AC42" i="3" s="1"/>
  <c r="AZ44" i="5"/>
  <c r="AD42" i="3" s="1"/>
  <c r="BB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I36" i="5"/>
  <c r="F34" i="3" s="1"/>
  <c r="G34" i="3"/>
  <c r="F36" i="5"/>
  <c r="H34" i="3" s="1"/>
  <c r="I34" i="3"/>
  <c r="K34" i="3"/>
  <c r="AJ36" i="5"/>
  <c r="L34" i="3" s="1"/>
  <c r="M34" i="3"/>
  <c r="X36" i="5"/>
  <c r="N34" i="3" s="1"/>
  <c r="O34" i="3"/>
  <c r="O36" i="5"/>
  <c r="P34" i="3" s="1"/>
  <c r="Q34" i="3"/>
  <c r="L36" i="5"/>
  <c r="R34" i="3" s="1"/>
  <c r="S34" i="3"/>
  <c r="R36" i="5"/>
  <c r="T34" i="3" s="1"/>
  <c r="U34" i="3"/>
  <c r="AA36" i="5"/>
  <c r="V34" i="3" s="1"/>
  <c r="W34" i="3"/>
  <c r="AD36" i="5"/>
  <c r="X34" i="3" s="1"/>
  <c r="Y34" i="3"/>
  <c r="AG36" i="5"/>
  <c r="Z34" i="3" s="1"/>
  <c r="AA34" i="3"/>
  <c r="AX36" i="5"/>
  <c r="AB34" i="3" s="1"/>
  <c r="AV36" i="5"/>
  <c r="AC34" i="3" s="1"/>
  <c r="AZ36" i="5"/>
  <c r="AD34" i="3" s="1"/>
  <c r="BB36" i="5"/>
  <c r="AE34" i="3" s="1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B36" i="6"/>
  <c r="AM34" i="3" s="1"/>
  <c r="AD36" i="6"/>
  <c r="AN34" i="3" s="1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V34" i="3" s="1"/>
  <c r="AY36" i="6"/>
  <c r="AW34" i="3" s="1"/>
  <c r="BB36" i="6"/>
  <c r="AY34" i="3" s="1"/>
  <c r="BD36" i="6"/>
  <c r="AZ34" i="3" s="1"/>
  <c r="BF36" i="6"/>
  <c r="BA34" i="3" s="1"/>
  <c r="AM37" i="5"/>
  <c r="E35" i="3" s="1"/>
  <c r="I37" i="5"/>
  <c r="F35" i="3" s="1"/>
  <c r="G35" i="3"/>
  <c r="F37" i="5"/>
  <c r="H35" i="3" s="1"/>
  <c r="I35" i="3"/>
  <c r="K35" i="3"/>
  <c r="AJ37" i="5"/>
  <c r="L35" i="3" s="1"/>
  <c r="M35" i="3"/>
  <c r="X37" i="5"/>
  <c r="N35" i="3" s="1"/>
  <c r="O35" i="3"/>
  <c r="O37" i="5"/>
  <c r="P35" i="3" s="1"/>
  <c r="Q35" i="3"/>
  <c r="L37" i="5"/>
  <c r="R35" i="3" s="1"/>
  <c r="S35" i="3"/>
  <c r="R37" i="5"/>
  <c r="T35" i="3" s="1"/>
  <c r="U35" i="3"/>
  <c r="AA37" i="5"/>
  <c r="V35" i="3" s="1"/>
  <c r="W35" i="3"/>
  <c r="AD37" i="5"/>
  <c r="X35" i="3" s="1"/>
  <c r="Y35" i="3"/>
  <c r="AG37" i="5"/>
  <c r="Z35" i="3" s="1"/>
  <c r="AA35" i="3"/>
  <c r="AX37" i="5"/>
  <c r="AB35" i="3" s="1"/>
  <c r="AV37" i="5"/>
  <c r="AC35" i="3" s="1"/>
  <c r="AZ37" i="5"/>
  <c r="AD35" i="3" s="1"/>
  <c r="BB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V35" i="3" s="1"/>
  <c r="AY37" i="6"/>
  <c r="AW35" i="3" s="1"/>
  <c r="BB37" i="6"/>
  <c r="AY35" i="3" s="1"/>
  <c r="BD37" i="6"/>
  <c r="AZ35" i="3" s="1"/>
  <c r="BF37" i="6"/>
  <c r="BA35" i="3" s="1"/>
  <c r="AM38" i="5"/>
  <c r="E36" i="3" s="1"/>
  <c r="I38" i="5"/>
  <c r="F36" i="3" s="1"/>
  <c r="G36" i="3"/>
  <c r="F38" i="5"/>
  <c r="H36" i="3" s="1"/>
  <c r="I36" i="3"/>
  <c r="K36" i="3"/>
  <c r="AJ38" i="5"/>
  <c r="L36" i="3" s="1"/>
  <c r="M36" i="3"/>
  <c r="X38" i="5"/>
  <c r="N36" i="3" s="1"/>
  <c r="O36" i="3"/>
  <c r="O38" i="5"/>
  <c r="P36" i="3" s="1"/>
  <c r="Q36" i="3"/>
  <c r="L38" i="5"/>
  <c r="R36" i="3" s="1"/>
  <c r="S36" i="3"/>
  <c r="R38" i="5"/>
  <c r="T36" i="3" s="1"/>
  <c r="U36" i="3"/>
  <c r="AA38" i="5"/>
  <c r="V36" i="3" s="1"/>
  <c r="W36" i="3"/>
  <c r="AD38" i="5"/>
  <c r="X36" i="3" s="1"/>
  <c r="Y36" i="3"/>
  <c r="AG38" i="5"/>
  <c r="Z36" i="3" s="1"/>
  <c r="AA36" i="3"/>
  <c r="AX38" i="5"/>
  <c r="AB36" i="3" s="1"/>
  <c r="AV38" i="5"/>
  <c r="AC36" i="3" s="1"/>
  <c r="AZ38" i="5"/>
  <c r="AD36" i="3" s="1"/>
  <c r="BB38" i="5"/>
  <c r="AE36" i="3" s="1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AW36" i="3" s="1"/>
  <c r="BB38" i="6"/>
  <c r="AY36" i="3" s="1"/>
  <c r="BD38" i="6"/>
  <c r="AZ36" i="3" s="1"/>
  <c r="BF38" i="6"/>
  <c r="BA36" i="3" s="1"/>
  <c r="AM39" i="5"/>
  <c r="E37" i="3" s="1"/>
  <c r="I39" i="5"/>
  <c r="F37" i="3" s="1"/>
  <c r="G37" i="3"/>
  <c r="F39" i="5"/>
  <c r="H37" i="3" s="1"/>
  <c r="I37" i="3"/>
  <c r="K37" i="3"/>
  <c r="AJ39" i="5"/>
  <c r="L37" i="3" s="1"/>
  <c r="M37" i="3"/>
  <c r="X39" i="5"/>
  <c r="N37" i="3" s="1"/>
  <c r="O37" i="3"/>
  <c r="O39" i="5"/>
  <c r="P37" i="3" s="1"/>
  <c r="Q37" i="3"/>
  <c r="L39" i="5"/>
  <c r="R37" i="3" s="1"/>
  <c r="S37" i="3"/>
  <c r="R39" i="5"/>
  <c r="T37" i="3" s="1"/>
  <c r="U37" i="3"/>
  <c r="AA39" i="5"/>
  <c r="V37" i="3" s="1"/>
  <c r="W37" i="3"/>
  <c r="AD39" i="5"/>
  <c r="X37" i="3" s="1"/>
  <c r="Y37" i="3"/>
  <c r="AG39" i="5"/>
  <c r="Z37" i="3" s="1"/>
  <c r="AA37" i="3"/>
  <c r="AX39" i="5"/>
  <c r="AB37" i="3" s="1"/>
  <c r="AV39" i="5"/>
  <c r="AC37" i="3" s="1"/>
  <c r="AZ39" i="5"/>
  <c r="AD37" i="3" s="1"/>
  <c r="BB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 s="1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M40" i="5"/>
  <c r="E38" i="3" s="1"/>
  <c r="I40" i="5"/>
  <c r="F38" i="3" s="1"/>
  <c r="G38" i="3"/>
  <c r="F40" i="5"/>
  <c r="H38" i="3" s="1"/>
  <c r="I38" i="3"/>
  <c r="K38" i="3"/>
  <c r="AJ40" i="5"/>
  <c r="L38" i="3" s="1"/>
  <c r="M38" i="3"/>
  <c r="X40" i="5"/>
  <c r="N38" i="3" s="1"/>
  <c r="O38" i="3"/>
  <c r="O40" i="5"/>
  <c r="P38" i="3" s="1"/>
  <c r="Q38" i="3"/>
  <c r="L40" i="5"/>
  <c r="R38" i="3" s="1"/>
  <c r="S38" i="3"/>
  <c r="R40" i="5"/>
  <c r="T38" i="3" s="1"/>
  <c r="U38" i="3"/>
  <c r="AA40" i="5"/>
  <c r="V38" i="3" s="1"/>
  <c r="W38" i="3"/>
  <c r="AD40" i="5"/>
  <c r="X38" i="3" s="1"/>
  <c r="Y38" i="3"/>
  <c r="AG40" i="5"/>
  <c r="Z38" i="3" s="1"/>
  <c r="AA38" i="3"/>
  <c r="AX40" i="5"/>
  <c r="AB38" i="3" s="1"/>
  <c r="AV40" i="5"/>
  <c r="AC38" i="3" s="1"/>
  <c r="AZ40" i="5"/>
  <c r="AD38" i="3" s="1"/>
  <c r="BB40" i="5"/>
  <c r="AE38" i="3" s="1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V38" i="3" s="1"/>
  <c r="AY40" i="6"/>
  <c r="AW38" i="3" s="1"/>
  <c r="BB40" i="6"/>
  <c r="AY38" i="3" s="1"/>
  <c r="BD40" i="6"/>
  <c r="AZ38" i="3" s="1"/>
  <c r="BF40" i="6"/>
  <c r="BA38" i="3" s="1"/>
  <c r="AM41" i="5"/>
  <c r="E39" i="3" s="1"/>
  <c r="I41" i="5"/>
  <c r="F39" i="3" s="1"/>
  <c r="G39" i="3"/>
  <c r="F41" i="5"/>
  <c r="H39" i="3" s="1"/>
  <c r="I39" i="3"/>
  <c r="K39" i="3"/>
  <c r="AJ41" i="5"/>
  <c r="L39" i="3" s="1"/>
  <c r="M39" i="3"/>
  <c r="X41" i="5"/>
  <c r="N39" i="3" s="1"/>
  <c r="O39" i="3"/>
  <c r="O41" i="5"/>
  <c r="P39" i="3" s="1"/>
  <c r="Q39" i="3"/>
  <c r="L41" i="5"/>
  <c r="R39" i="3" s="1"/>
  <c r="S39" i="3"/>
  <c r="R41" i="5"/>
  <c r="T39" i="3" s="1"/>
  <c r="U39" i="3"/>
  <c r="AA41" i="5"/>
  <c r="V39" i="3" s="1"/>
  <c r="W39" i="3"/>
  <c r="AD41" i="5"/>
  <c r="X39" i="3" s="1"/>
  <c r="Y39" i="3"/>
  <c r="AG41" i="5"/>
  <c r="Z39" i="3" s="1"/>
  <c r="AA39" i="3"/>
  <c r="AX41" i="5"/>
  <c r="AB39" i="3" s="1"/>
  <c r="AV41" i="5"/>
  <c r="AC39" i="3" s="1"/>
  <c r="AZ41" i="5"/>
  <c r="AD39" i="3" s="1"/>
  <c r="BB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V39" i="3" s="1"/>
  <c r="AY41" i="6"/>
  <c r="AW39" i="3" s="1"/>
  <c r="BB41" i="6"/>
  <c r="AY39" i="3" s="1"/>
  <c r="BD41" i="6"/>
  <c r="AZ39" i="3" s="1"/>
  <c r="BF41" i="6"/>
  <c r="BA39" i="3" s="1"/>
  <c r="AM42" i="5"/>
  <c r="E40" i="3" s="1"/>
  <c r="I42" i="5"/>
  <c r="F40" i="3" s="1"/>
  <c r="G40" i="3"/>
  <c r="F42" i="5"/>
  <c r="H40" i="3" s="1"/>
  <c r="I40" i="3"/>
  <c r="K40" i="3"/>
  <c r="AJ42" i="5"/>
  <c r="L40" i="3" s="1"/>
  <c r="M40" i="3"/>
  <c r="X42" i="5"/>
  <c r="N40" i="3" s="1"/>
  <c r="O40" i="3"/>
  <c r="O42" i="5"/>
  <c r="P40" i="3" s="1"/>
  <c r="Q40" i="3"/>
  <c r="L42" i="5"/>
  <c r="R40" i="3" s="1"/>
  <c r="S40" i="3"/>
  <c r="R42" i="5"/>
  <c r="T40" i="3" s="1"/>
  <c r="U40" i="3"/>
  <c r="AA42" i="5"/>
  <c r="V40" i="3" s="1"/>
  <c r="W40" i="3"/>
  <c r="AD42" i="5"/>
  <c r="X40" i="3" s="1"/>
  <c r="Y40" i="3"/>
  <c r="AG42" i="5"/>
  <c r="Z40" i="3" s="1"/>
  <c r="AA40" i="3"/>
  <c r="AX42" i="5"/>
  <c r="AB40" i="3" s="1"/>
  <c r="AV42" i="5"/>
  <c r="AC40" i="3" s="1"/>
  <c r="AZ42" i="5"/>
  <c r="AD40" i="3" s="1"/>
  <c r="BB42" i="5"/>
  <c r="AE40" i="3" s="1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AW40" i="3" s="1"/>
  <c r="BB42" i="6"/>
  <c r="AY40" i="3" s="1"/>
  <c r="BD42" i="6"/>
  <c r="AZ40" i="3" s="1"/>
  <c r="BF42" i="6"/>
  <c r="BA40" i="3" s="1"/>
  <c r="AM43" i="5"/>
  <c r="E41" i="3" s="1"/>
  <c r="I43" i="5"/>
  <c r="F41" i="3" s="1"/>
  <c r="G41" i="3"/>
  <c r="F43" i="5"/>
  <c r="H41" i="3" s="1"/>
  <c r="I41" i="3"/>
  <c r="K41" i="3"/>
  <c r="AJ43" i="5"/>
  <c r="L41" i="3" s="1"/>
  <c r="M41" i="3"/>
  <c r="X43" i="5"/>
  <c r="N41" i="3" s="1"/>
  <c r="O41" i="3"/>
  <c r="O43" i="5"/>
  <c r="P41" i="3" s="1"/>
  <c r="Q41" i="3"/>
  <c r="L43" i="5"/>
  <c r="R41" i="3" s="1"/>
  <c r="S41" i="3"/>
  <c r="R43" i="5"/>
  <c r="T41" i="3" s="1"/>
  <c r="U41" i="3"/>
  <c r="AA43" i="5"/>
  <c r="V41" i="3" s="1"/>
  <c r="W41" i="3"/>
  <c r="AD43" i="5"/>
  <c r="X41" i="3" s="1"/>
  <c r="Y41" i="3"/>
  <c r="AG43" i="5"/>
  <c r="Z41" i="3" s="1"/>
  <c r="AA41" i="3"/>
  <c r="AX43" i="5"/>
  <c r="AB41" i="3" s="1"/>
  <c r="AV43" i="5"/>
  <c r="AC41" i="3" s="1"/>
  <c r="AZ43" i="5"/>
  <c r="AD41" i="3" s="1"/>
  <c r="BB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Y34" i="6" l="1"/>
  <c r="AL30" i="3"/>
  <c r="G29" i="1" s="1"/>
  <c r="Y21" i="6"/>
  <c r="G13" i="1"/>
  <c r="Y27" i="6"/>
  <c r="G30" i="1"/>
  <c r="G10" i="1"/>
  <c r="AZ51" i="6"/>
  <c r="AX49" i="3" s="1"/>
  <c r="Y11" i="6"/>
  <c r="Y30" i="6"/>
  <c r="Y33" i="6"/>
  <c r="AZ50" i="6"/>
  <c r="AX48" i="3" s="1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Z36" i="6"/>
  <c r="AX34" i="3" s="1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Y48" i="6"/>
  <c r="G18" i="1"/>
  <c r="G24" i="1"/>
  <c r="E45" i="1"/>
  <c r="F45" i="1" s="1"/>
  <c r="Y51" i="6"/>
  <c r="G17" i="1"/>
  <c r="AZ47" i="6"/>
  <c r="AX45" i="3" s="1"/>
  <c r="G8" i="1"/>
  <c r="AZ46" i="6"/>
  <c r="AX44" i="3" s="1"/>
  <c r="AZ44" i="6"/>
  <c r="AX42" i="3" s="1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Q36" i="5" s="1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AX38" i="3" s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X32" i="3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AX39" i="3" s="1"/>
  <c r="I36" i="1"/>
  <c r="J36" i="1" s="1"/>
  <c r="I34" i="1"/>
  <c r="J34" i="1" s="1"/>
  <c r="AZ37" i="6"/>
  <c r="AX35" i="3" s="1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AX40" i="3" s="1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I32" i="1"/>
  <c r="J32" i="1" s="1"/>
  <c r="AX33" i="3"/>
  <c r="AZ38" i="6"/>
  <c r="AX36" i="3" s="1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X46" i="3" s="1"/>
  <c r="AZ45" i="6"/>
  <c r="AX43" i="3" s="1"/>
  <c r="G44" i="1"/>
  <c r="BD49" i="5"/>
  <c r="BD45" i="5"/>
  <c r="Y46" i="6"/>
  <c r="AZ49" i="6"/>
  <c r="AX47" i="3" s="1"/>
  <c r="AQ33" i="5" l="1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<sst xmlns="http://schemas.openxmlformats.org/spreadsheetml/2006/main" count="2628" uniqueCount="469">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</sst>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5" borderId="18" xfId="0" applyFill="1" applyBorder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0" fontId="0" fillId="0" borderId="1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2" t="s">
        <v>1</v>
      </c>
      <c r="C1" s="262" t="s">
        <v>2</v>
      </c>
      <c r="D1" s="262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650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1373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1175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877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500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1813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1522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1489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1860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1366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1810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1696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1626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360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949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1562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1255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1202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1147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221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3"/>
    <col min="39" max="40" width="11.5703125" style="208"/>
    <col min="47" max="47" width="11.5703125" style="208"/>
    <col min="49" max="49" width="11.5703125" style="208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1">
        <f>IF('Wtr-Gas'!E4&lt;0,"0",('Wtr-Gas'!E4)*0.0038)</f>
        <v>0</v>
      </c>
      <c r="AG2" s="231">
        <f>IF('Wtr-Gas'!H4&lt;0,"0",('Wtr-Gas'!H4)*0.0038)</f>
        <v>0</v>
      </c>
      <c r="AH2" s="231">
        <f>IF('Wtr-Gas'!K4&lt;0,"0",('Wtr-Gas'!K4)*0.0038)</f>
        <v>0</v>
      </c>
      <c r="AI2" s="231">
        <f>IF('Wtr-Gas'!N4&lt;0,"0",('Wtr-Gas'!N4)*0.0038)</f>
        <v>0</v>
      </c>
      <c r="AJ2" s="231">
        <f>IF('Wtr-Gas'!Q4&lt;0,"0",('Wtr-Gas'!Q4)*0.0038)</f>
        <v>0</v>
      </c>
      <c r="AK2" s="232">
        <f>IF('Wtr-Gas'!U4&lt;0,"0",('Wtr-Gas'!U4)*0.0038)</f>
        <v>0</v>
      </c>
      <c r="AL2" s="232">
        <f>IF('Wtr-Gas'!X4&lt;0,"0",('Wtr-Gas'!X4)*0.0038)</f>
        <v>0</v>
      </c>
      <c r="AM2" s="231">
        <f>IF('Wtr-Gas'!AB4&lt;0,"0",('Wtr-Gas'!AB4)*0.0038)</f>
        <v>0</v>
      </c>
      <c r="AN2" s="231">
        <f>IF('Wtr-Gas'!AD4&lt;0,"0",('Wtr-Gas'!AD4)*0.0038)</f>
        <v>0</v>
      </c>
      <c r="AO2" s="231">
        <f>IF('Wtr-Gas'!AF4&lt;0,"0",('Wtr-Gas'!AF4)*0.0038)</f>
        <v>0</v>
      </c>
      <c r="AP2" s="231">
        <f>IF('Wtr-Gas'!AH4&lt;0,"0",('Wtr-Gas'!AH4)*0.0038)</f>
        <v>0</v>
      </c>
      <c r="AQ2" s="231">
        <f>IF('Wtr-Gas'!AJ4&lt;0,"0",('Wtr-Gas'!AJ4)*0.0038)</f>
        <v>0</v>
      </c>
      <c r="AR2" s="231">
        <f>IF('Wtr-Gas'!AL4&lt;0,"0",('Wtr-Gas'!AL4)*0.0038)</f>
        <v>0</v>
      </c>
      <c r="AS2" s="231">
        <f>IF('Wtr-Gas'!AN4&lt;0,"0",('Wtr-Gas'!AN4)*0.0038)</f>
        <v>0</v>
      </c>
      <c r="AT2" s="231">
        <f>IF('Wtr-Gas'!AP4&lt;0,"0",('Wtr-Gas'!AP4)*0.0038)</f>
        <v>0</v>
      </c>
      <c r="AU2" s="252">
        <f>IF('Wtr-Gas'!AT4&lt;0,"0",('Wtr-Gas'!AT4)*0.0038)</f>
        <v>0</v>
      </c>
      <c r="AV2" s="231">
        <f>IF('Wtr-Gas'!AW4&lt;0,"0",('Wtr-Gas'!AW4)*0.0038)</f>
        <v>0</v>
      </c>
      <c r="AW2" s="231">
        <f>IF('Wtr-Gas'!AY4&lt;0,"0",('Wtr-Gas'!AY4)*0.0038)</f>
        <v>0</v>
      </c>
      <c r="AX2" s="231">
        <f>IF('Wtr-Gas'!AZ4&lt;0,"0",('Wtr-Gas'!AZ4)*0.0038)</f>
        <v>0</v>
      </c>
      <c r="AY2" s="231">
        <f>IF('Wtr-Gas'!BB4&lt;0,"0",('Wtr-Gas'!BB4)*0.0038)</f>
        <v>0</v>
      </c>
      <c r="AZ2" s="231">
        <f>IF('Wtr-Gas'!BD4&lt;0,"0",('Wtr-Gas'!BD4)*0.0038)</f>
        <v>0</v>
      </c>
      <c r="BA2" s="231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1">
        <f>IF('Wtr-Gas'!E5&lt;0,"0",('Wtr-Gas'!E5)*0.0038)</f>
        <v>2003.588</v>
      </c>
      <c r="AG3" s="231">
        <f>IF('Wtr-Gas'!H5&lt;0,"0",('Wtr-Gas'!H5)*0.0038)</f>
        <v>1514.2239999999999</v>
      </c>
      <c r="AH3" s="231">
        <f>IF('Wtr-Gas'!K5&lt;0,"0",('Wtr-Gas'!K5)*0.0038)</f>
        <v>0.22800000000000001</v>
      </c>
      <c r="AI3" s="231">
        <f>IF('Wtr-Gas'!N5&lt;0,"0",('Wtr-Gas'!N5)*0.0038)</f>
        <v>1413.6</v>
      </c>
      <c r="AJ3" s="231">
        <f>IF('Wtr-Gas'!Q5&lt;0,"0",('Wtr-Gas'!Q5)*0.0038)</f>
        <v>29.64</v>
      </c>
      <c r="AK3" s="232">
        <f>IF('Wtr-Gas'!U5&lt;0,"0",('Wtr-Gas'!U5)*0.0038)</f>
        <v>424.46</v>
      </c>
      <c r="AL3" s="232">
        <f>IF('Wtr-Gas'!X5&lt;0,"0",('Wtr-Gas'!X5)*0.0038)</f>
        <v>2171.6999999999998</v>
      </c>
      <c r="AM3" s="231">
        <f>IF('Wtr-Gas'!AB5&lt;0,"0",('Wtr-Gas'!AB5)*0.0038)</f>
        <v>3116</v>
      </c>
      <c r="AN3" s="231">
        <f>IF('Wtr-Gas'!AD5&lt;0,"0",('Wtr-Gas'!AD5)*0.0038)</f>
        <v>695.67663999999991</v>
      </c>
      <c r="AO3" s="231">
        <f>IF('Wtr-Gas'!AF5&lt;0,"0",('Wtr-Gas'!AF5)*0.0038)</f>
        <v>1.9</v>
      </c>
      <c r="AP3" s="231">
        <f>IF('Wtr-Gas'!AH5&lt;0,"0",('Wtr-Gas'!AH5)*0.0038)</f>
        <v>156.33199999999999</v>
      </c>
      <c r="AQ3" s="231">
        <f>IF('Wtr-Gas'!AJ5&lt;0,"0",('Wtr-Gas'!AJ5)*0.0038)</f>
        <v>15.3596</v>
      </c>
      <c r="AR3" s="231">
        <f>IF('Wtr-Gas'!AL5&lt;0,"0",('Wtr-Gas'!AL5)*0.0038)</f>
        <v>338.2</v>
      </c>
      <c r="AS3" s="231">
        <f>IF('Wtr-Gas'!AN5&lt;0,"0",('Wtr-Gas'!AN5)*0.0038)</f>
        <v>5.3199999999999997E-2</v>
      </c>
      <c r="AT3" s="231">
        <f>IF('Wtr-Gas'!AP5&lt;0,"0",('Wtr-Gas'!AP5)*0.0038)</f>
        <v>2.2799999999999998</v>
      </c>
      <c r="AU3" s="252">
        <f>IF('Wtr-Gas'!AT5&lt;0,"0",('Wtr-Gas'!AT5)*0.0038)</f>
        <v>0.16339999999999999</v>
      </c>
      <c r="AV3" s="231">
        <f>IF('Wtr-Gas'!AW5&lt;0,"0",('Wtr-Gas'!AW5)*0.0038)</f>
        <v>83.778599999999997</v>
      </c>
      <c r="AW3" s="231">
        <f>IF('Wtr-Gas'!AY5&lt;0,"0",('Wtr-Gas'!AY5)*0.0038)</f>
        <v>64.729200000000006</v>
      </c>
      <c r="AX3" s="231">
        <f>IF('Wtr-Gas'!AZ5&lt;0,"0",('Wtr-Gas'!AZ5)*0.0038)</f>
        <v>19.047613999999999</v>
      </c>
      <c r="AY3" s="231">
        <f>IF('Wtr-Gas'!BB5&lt;0,"0",('Wtr-Gas'!BB5)*0.0038)</f>
        <v>2.2799999999999998</v>
      </c>
      <c r="AZ3" s="231">
        <f>IF('Wtr-Gas'!BD5&lt;0,"0",('Wtr-Gas'!BD5)*0.0038)</f>
        <v>7.6</v>
      </c>
      <c r="BA3" s="231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1">
        <f>IF('Wtr-Gas'!E6&lt;0,"0",('Wtr-Gas'!E6)*0.0038)</f>
        <v>3158.712</v>
      </c>
      <c r="AG4" s="231">
        <f>IF('Wtr-Gas'!H6&lt;0,"0",('Wtr-Gas'!H6)*0.0038)</f>
        <v>1080.758</v>
      </c>
      <c r="AH4" s="231">
        <f>IF('Wtr-Gas'!K6&lt;0,"0",('Wtr-Gas'!K6)*0.0038)</f>
        <v>1.0640000000000001</v>
      </c>
      <c r="AI4" s="231">
        <f>IF('Wtr-Gas'!N6&lt;0,"0",('Wtr-Gas'!N6)*0.0038)</f>
        <v>1725.2</v>
      </c>
      <c r="AJ4" s="231">
        <f>IF('Wtr-Gas'!Q6&lt;0,"0",('Wtr-Gas'!Q6)*0.0038)</f>
        <v>79.8</v>
      </c>
      <c r="AK4" s="232">
        <f>IF('Wtr-Gas'!U6&lt;0,"0",('Wtr-Gas'!U6)*0.0038)</f>
        <v>755.06</v>
      </c>
      <c r="AL4" s="232">
        <f>IF('Wtr-Gas'!X6&lt;0,"0",('Wtr-Gas'!X6)*0.0038)</f>
        <v>7904.76</v>
      </c>
      <c r="AM4" s="231">
        <f>IF('Wtr-Gas'!AB6&lt;0,"0",('Wtr-Gas'!AB6)*0.0038)</f>
        <v>2432</v>
      </c>
      <c r="AN4" s="231">
        <f>IF('Wtr-Gas'!AD6&lt;0,"0",('Wtr-Gas'!AD6)*0.0038)</f>
        <v>809.48739999999998</v>
      </c>
      <c r="AO4" s="231">
        <f>IF('Wtr-Gas'!AF6&lt;0,"0",('Wtr-Gas'!AF6)*0.0038)</f>
        <v>7.258</v>
      </c>
      <c r="AP4" s="231">
        <f>IF('Wtr-Gas'!AH6&lt;0,"0",('Wtr-Gas'!AH6)*0.0038)</f>
        <v>343.52</v>
      </c>
      <c r="AQ4" s="231">
        <f>IF('Wtr-Gas'!AJ6&lt;0,"0",('Wtr-Gas'!AJ6)*0.0038)</f>
        <v>41.051400000000001</v>
      </c>
      <c r="AR4" s="231">
        <f>IF('Wtr-Gas'!AL6&lt;0,"0",('Wtr-Gas'!AL6)*0.0038)</f>
        <v>839.8</v>
      </c>
      <c r="AS4" s="231">
        <f>IF('Wtr-Gas'!AN6&lt;0,"0",('Wtr-Gas'!AN6)*0.0038)</f>
        <v>0.1178</v>
      </c>
      <c r="AT4" s="231">
        <f>IF('Wtr-Gas'!AP6&lt;0,"0",('Wtr-Gas'!AP6)*0.0038)</f>
        <v>4.5599999999999996</v>
      </c>
      <c r="AU4" s="252">
        <f>IF('Wtr-Gas'!AT6&lt;0,"0",('Wtr-Gas'!AT6)*0.0038)</f>
        <v>0.45979999999999999</v>
      </c>
      <c r="AV4" s="231">
        <f>IF('Wtr-Gas'!AW6&lt;0,"0",('Wtr-Gas'!AW6)*0.0038)</f>
        <v>188.4648</v>
      </c>
      <c r="AW4" s="231">
        <f>IF('Wtr-Gas'!AY6&lt;0,"0",('Wtr-Gas'!AY6)*0.0038)</f>
        <v>151.3426</v>
      </c>
      <c r="AX4" s="231">
        <f>IF('Wtr-Gas'!AZ6&lt;0,"0",('Wtr-Gas'!AZ6)*0.0038)</f>
        <v>37.121668</v>
      </c>
      <c r="AY4" s="231">
        <f>IF('Wtr-Gas'!BB6&lt;0,"0",('Wtr-Gas'!BB6)*0.0038)</f>
        <v>22.42</v>
      </c>
      <c r="AZ4" s="231">
        <f>IF('Wtr-Gas'!BD6&lt;0,"0",('Wtr-Gas'!BD6)*0.0038)</f>
        <v>7.98</v>
      </c>
      <c r="BA4" s="231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1">
        <f>IF('Wtr-Gas'!E7&lt;0,"0",('Wtr-Gas'!E7)*0.0038)</f>
        <v>3168.174</v>
      </c>
      <c r="AG5" s="231">
        <f>IF('Wtr-Gas'!H7&lt;0,"0",('Wtr-Gas'!H7)*0.0038)</f>
        <v>1035.652</v>
      </c>
      <c r="AH5" s="231">
        <f>IF('Wtr-Gas'!K7&lt;0,"0",('Wtr-Gas'!K7)*0.0038)</f>
        <v>1.1399999999999999</v>
      </c>
      <c r="AI5" s="231">
        <f>IF('Wtr-Gas'!N7&lt;0,"0",('Wtr-Gas'!N7)*0.0038)</f>
        <v>1824</v>
      </c>
      <c r="AJ5" s="231">
        <f>IF('Wtr-Gas'!Q7&lt;0,"0",('Wtr-Gas'!Q7)*0.0038)</f>
        <v>82.46</v>
      </c>
      <c r="AK5" s="232">
        <f>IF('Wtr-Gas'!U7&lt;0,"0",('Wtr-Gas'!U7)*0.0038)</f>
        <v>770.64</v>
      </c>
      <c r="AL5" s="232">
        <f>IF('Wtr-Gas'!X7&lt;0,"0",('Wtr-Gas'!X7)*0.0038)</f>
        <v>7306.64</v>
      </c>
      <c r="AM5" s="231">
        <f>IF('Wtr-Gas'!AB7&lt;0,"0",('Wtr-Gas'!AB7)*0.0038)</f>
        <v>2432</v>
      </c>
      <c r="AN5" s="231">
        <f>IF('Wtr-Gas'!AD7&lt;0,"0",('Wtr-Gas'!AD7)*0.0038)</f>
        <v>742.45008000000007</v>
      </c>
      <c r="AO5" s="231">
        <f>IF('Wtr-Gas'!AF7&lt;0,"0",('Wtr-Gas'!AF7)*0.0038)</f>
        <v>3.952</v>
      </c>
      <c r="AP5" s="231">
        <f>IF('Wtr-Gas'!AH7&lt;0,"0",('Wtr-Gas'!AH7)*0.0038)</f>
        <v>337.28800000000001</v>
      </c>
      <c r="AQ5" s="231">
        <f>IF('Wtr-Gas'!AJ7&lt;0,"0",('Wtr-Gas'!AJ7)*0.0038)</f>
        <v>34.401400000000002</v>
      </c>
      <c r="AR5" s="231">
        <f>IF('Wtr-Gas'!AL7&lt;0,"0",('Wtr-Gas'!AL7)*0.0038)</f>
        <v>786.6</v>
      </c>
      <c r="AS5" s="231">
        <f>IF('Wtr-Gas'!AN7&lt;0,"0",('Wtr-Gas'!AN7)*0.0038)</f>
        <v>0.17860000000000001</v>
      </c>
      <c r="AT5" s="231">
        <f>IF('Wtr-Gas'!AP7&lt;0,"0",('Wtr-Gas'!AP7)*0.0038)</f>
        <v>8.36</v>
      </c>
      <c r="AU5" s="252">
        <f>IF('Wtr-Gas'!AT7&lt;0,"0",('Wtr-Gas'!AT7)*0.0038)</f>
        <v>0.4788</v>
      </c>
      <c r="AV5" s="231">
        <f>IF('Wtr-Gas'!AW7&lt;0,"0",('Wtr-Gas'!AW7)*0.0038)</f>
        <v>190.0076</v>
      </c>
      <c r="AW5" s="231">
        <f>IF('Wtr-Gas'!AY7&lt;0,"0",('Wtr-Gas'!AY7)*0.0038)</f>
        <v>153.9684</v>
      </c>
      <c r="AX5" s="231">
        <f>IF('Wtr-Gas'!AZ7&lt;0,"0",('Wtr-Gas'!AZ7)*0.0038)</f>
        <v>36.037869999999998</v>
      </c>
      <c r="AY5" s="231">
        <f>IF('Wtr-Gas'!BB7&lt;0,"0",('Wtr-Gas'!BB7)*0.0038)</f>
        <v>7.98</v>
      </c>
      <c r="AZ5" s="231">
        <f>IF('Wtr-Gas'!BD7&lt;0,"0",('Wtr-Gas'!BD7)*0.0038)</f>
        <v>4.5599999999999996</v>
      </c>
      <c r="BA5" s="231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1">
        <f>IF('Wtr-Gas'!E8&lt;0,"0",('Wtr-Gas'!E8)*0.0038)</f>
        <v>3898.9519999999998</v>
      </c>
      <c r="AG6" s="231">
        <f>IF('Wtr-Gas'!H8&lt;0,"0",('Wtr-Gas'!H8)*0.0038)</f>
        <v>1001.946</v>
      </c>
      <c r="AH6" s="231">
        <f>IF('Wtr-Gas'!K8&lt;0,"0",('Wtr-Gas'!K8)*0.0038)</f>
        <v>2.052</v>
      </c>
      <c r="AI6" s="231">
        <f>IF('Wtr-Gas'!N8&lt;0,"0",('Wtr-Gas'!N8)*0.0038)</f>
        <v>2470</v>
      </c>
      <c r="AJ6" s="231">
        <f>IF('Wtr-Gas'!Q8&lt;0,"0",('Wtr-Gas'!Q8)*0.0038)</f>
        <v>99.56</v>
      </c>
      <c r="AK6" s="232">
        <f>IF('Wtr-Gas'!U8&lt;0,"0",('Wtr-Gas'!U8)*0.0038)</f>
        <v>905.16</v>
      </c>
      <c r="AL6" s="232">
        <f>IF('Wtr-Gas'!X8&lt;0,"0",('Wtr-Gas'!X8)*0.0038)</f>
        <v>6684.2</v>
      </c>
      <c r="AM6" s="231">
        <f>IF('Wtr-Gas'!AB8&lt;0,"0",('Wtr-Gas'!AB8)*0.0038)</f>
        <v>3952</v>
      </c>
      <c r="AN6" s="231">
        <f>IF('Wtr-Gas'!AD8&lt;0,"0",('Wtr-Gas'!AD8)*0.0038)</f>
        <v>912.75391999999999</v>
      </c>
      <c r="AO6" s="231">
        <f>IF('Wtr-Gas'!AF8&lt;0,"0",('Wtr-Gas'!AF8)*0.0038)</f>
        <v>6.27</v>
      </c>
      <c r="AP6" s="231">
        <f>IF('Wtr-Gas'!AH8&lt;0,"0",('Wtr-Gas'!AH8)*0.0038)</f>
        <v>376.01</v>
      </c>
      <c r="AQ6" s="231">
        <f>IF('Wtr-Gas'!AJ8&lt;0,"0",('Wtr-Gas'!AJ8)*0.0038)</f>
        <v>48.320799999999998</v>
      </c>
      <c r="AR6" s="231">
        <f>IF('Wtr-Gas'!AL8&lt;0,"0",('Wtr-Gas'!AL8)*0.0038)</f>
        <v>805.6</v>
      </c>
      <c r="AS6" s="231">
        <f>IF('Wtr-Gas'!AN8&lt;0,"0",('Wtr-Gas'!AN8)*0.0038)</f>
        <v>0.1444</v>
      </c>
      <c r="AT6" s="231">
        <f>IF('Wtr-Gas'!AP8&lt;0,"0",('Wtr-Gas'!AP8)*0.0038)</f>
        <v>15.2</v>
      </c>
      <c r="AU6" s="252">
        <f>IF('Wtr-Gas'!AT8&lt;0,"0",('Wtr-Gas'!AT8)*0.0038)</f>
        <v>0.4446</v>
      </c>
      <c r="AV6" s="231">
        <f>IF('Wtr-Gas'!AW8&lt;0,"0",('Wtr-Gas'!AW8)*0.0038)</f>
        <v>217.90719999999999</v>
      </c>
      <c r="AW6" s="231">
        <f>IF('Wtr-Gas'!AY8&lt;0,"0",('Wtr-Gas'!AY8)*0.0038)</f>
        <v>150.404</v>
      </c>
      <c r="AX6" s="231">
        <f>IF('Wtr-Gas'!AZ8&lt;0,"0",('Wtr-Gas'!AZ8)*0.0038)</f>
        <v>67.502021999999997</v>
      </c>
      <c r="AY6" s="231">
        <f>IF('Wtr-Gas'!BB8&lt;0,"0",('Wtr-Gas'!BB8)*0.0038)</f>
        <v>19.760000000000002</v>
      </c>
      <c r="AZ6" s="231">
        <f>IF('Wtr-Gas'!BD8&lt;0,"0",('Wtr-Gas'!BD8)*0.0038)</f>
        <v>3.42</v>
      </c>
      <c r="BA6" s="231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1">
        <f>IF('Wtr-Gas'!E9&lt;0,"0",('Wtr-Gas'!E9)*0.0038)</f>
        <v>3949.9859999999999</v>
      </c>
      <c r="AG7" s="231">
        <f>IF('Wtr-Gas'!H9&lt;0,"0",('Wtr-Gas'!H9)*0.0038)</f>
        <v>770.37400000000002</v>
      </c>
      <c r="AH7" s="231">
        <f>IF('Wtr-Gas'!K9&lt;0,"0",('Wtr-Gas'!K9)*0.0038)</f>
        <v>1.216</v>
      </c>
      <c r="AI7" s="231">
        <f>IF('Wtr-Gas'!N9&lt;0,"0",('Wtr-Gas'!N9)*0.0038)</f>
        <v>2572.6</v>
      </c>
      <c r="AJ7" s="231">
        <f>IF('Wtr-Gas'!Q9&lt;0,"0",('Wtr-Gas'!Q9)*0.0038)</f>
        <v>90.82</v>
      </c>
      <c r="AK7" s="232">
        <f>IF('Wtr-Gas'!U9&lt;0,"0",('Wtr-Gas'!U9)*0.0038)</f>
        <v>773.68</v>
      </c>
      <c r="AL7" s="232">
        <f>IF('Wtr-Gas'!X9&lt;0,"0",('Wtr-Gas'!X9)*0.0038)</f>
        <v>5779.8</v>
      </c>
      <c r="AM7" s="231">
        <f>IF('Wtr-Gas'!AB9&lt;0,"0",('Wtr-Gas'!AB9)*0.0038)</f>
        <v>4408</v>
      </c>
      <c r="AN7" s="231">
        <f>IF('Wtr-Gas'!AD9&lt;0,"0",('Wtr-Gas'!AD9)*0.0038)</f>
        <v>1011.066</v>
      </c>
      <c r="AO7" s="231">
        <f>IF('Wtr-Gas'!AF9&lt;0,"0",('Wtr-Gas'!AF9)*0.0038)</f>
        <v>7.8280000000000003</v>
      </c>
      <c r="AP7" s="231">
        <f>IF('Wtr-Gas'!AH9&lt;0,"0",('Wtr-Gas'!AH9)*0.0038)</f>
        <v>372.85599999999999</v>
      </c>
      <c r="AQ7" s="231">
        <f>IF('Wtr-Gas'!AJ9&lt;0,"0",('Wtr-Gas'!AJ9)*0.0038)</f>
        <v>43.407400000000003</v>
      </c>
      <c r="AR7" s="231">
        <f>IF('Wtr-Gas'!AL9&lt;0,"0",('Wtr-Gas'!AL9)*0.0038)</f>
        <v>782.8</v>
      </c>
      <c r="AS7" s="231">
        <f>IF('Wtr-Gas'!AN9&lt;0,"0",('Wtr-Gas'!AN9)*0.0038)</f>
        <v>9.8799999999999999E-2</v>
      </c>
      <c r="AT7" s="231">
        <f>IF('Wtr-Gas'!AP9&lt;0,"0",('Wtr-Gas'!AP9)*0.0038)</f>
        <v>4.18</v>
      </c>
      <c r="AU7" s="252">
        <f>IF('Wtr-Gas'!AT9&lt;0,"0",('Wtr-Gas'!AT9)*0.0038)</f>
        <v>0.43319999999999997</v>
      </c>
      <c r="AV7" s="231">
        <f>IF('Wtr-Gas'!AW9&lt;0,"0",('Wtr-Gas'!AW9)*0.0038)</f>
        <v>184.6344</v>
      </c>
      <c r="AW7" s="231">
        <f>IF('Wtr-Gas'!AY9&lt;0,"0",('Wtr-Gas'!AY9)*0.0038)</f>
        <v>150.3698</v>
      </c>
      <c r="AX7" s="231">
        <f>IF('Wtr-Gas'!AZ9&lt;0,"0",('Wtr-Gas'!AZ9)*0.0038)</f>
        <v>34.264714000000005</v>
      </c>
      <c r="AY7" s="231">
        <f>IF('Wtr-Gas'!BB9&lt;0,"0",('Wtr-Gas'!BB9)*0.0038)</f>
        <v>9.8800000000000008</v>
      </c>
      <c r="AZ7" s="231">
        <f>IF('Wtr-Gas'!BD9&lt;0,"0",('Wtr-Gas'!BD9)*0.0038)</f>
        <v>1.52</v>
      </c>
      <c r="BA7" s="231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1">
        <f>IF('Wtr-Gas'!E10&lt;0,"0",('Wtr-Gas'!E10)*0.0038)</f>
        <v>3397.5419999999999</v>
      </c>
      <c r="AG8" s="231">
        <f>IF('Wtr-Gas'!H10&lt;0,"0",('Wtr-Gas'!H10)*0.0038)</f>
        <v>701.36599999999999</v>
      </c>
      <c r="AH8" s="231">
        <f>IF('Wtr-Gas'!K10&lt;0,"0",('Wtr-Gas'!K10)*0.0038)</f>
        <v>0.79800000000000004</v>
      </c>
      <c r="AI8" s="231">
        <f>IF('Wtr-Gas'!N10&lt;0,"0",('Wtr-Gas'!N10)*0.0038)</f>
        <v>2150.8000000000002</v>
      </c>
      <c r="AJ8" s="231">
        <f>IF('Wtr-Gas'!Q10&lt;0,"0",('Wtr-Gas'!Q10)*0.0038)</f>
        <v>83.98</v>
      </c>
      <c r="AK8" s="232">
        <f>IF('Wtr-Gas'!U10&lt;0,"0",('Wtr-Gas'!U10)*0.0038)</f>
        <v>797.24</v>
      </c>
      <c r="AL8" s="232">
        <f>IF('Wtr-Gas'!X10&lt;0,"0",('Wtr-Gas'!X10)*0.0038)</f>
        <v>6714.6</v>
      </c>
      <c r="AM8" s="231">
        <f>IF('Wtr-Gas'!AB10&lt;0,"0",('Wtr-Gas'!AB10)*0.0038)</f>
        <v>3192</v>
      </c>
      <c r="AN8" s="231">
        <f>IF('Wtr-Gas'!AD10&lt;0,"0",('Wtr-Gas'!AD10)*0.0038)</f>
        <v>877.91399999999999</v>
      </c>
      <c r="AO8" s="231">
        <f>IF('Wtr-Gas'!AF10&lt;0,"0",('Wtr-Gas'!AF10)*0.0038)</f>
        <v>4.5599999999999996</v>
      </c>
      <c r="AP8" s="231">
        <f>IF('Wtr-Gas'!AH10&lt;0,"0",('Wtr-Gas'!AH10)*0.0038)</f>
        <v>433.35199999999998</v>
      </c>
      <c r="AQ8" s="231">
        <f>IF('Wtr-Gas'!AJ10&lt;0,"0",('Wtr-Gas'!AJ10)*0.0038)</f>
        <v>25.783000000000001</v>
      </c>
      <c r="AR8" s="231">
        <f>IF('Wtr-Gas'!AL10&lt;0,"0",('Wtr-Gas'!AL10)*0.0038)</f>
        <v>562.4</v>
      </c>
      <c r="AS8" s="231">
        <f>IF('Wtr-Gas'!AN10&lt;0,"0",('Wtr-Gas'!AN10)*0.0038)</f>
        <v>0.35720000000000002</v>
      </c>
      <c r="AT8" s="231">
        <f>IF('Wtr-Gas'!AP10&lt;0,"0",('Wtr-Gas'!AP10)*0.0038)</f>
        <v>8.36</v>
      </c>
      <c r="AU8" s="252">
        <f>IF('Wtr-Gas'!AT10&lt;0,"0",('Wtr-Gas'!AT10)*0.0038)</f>
        <v>0.52059999999999995</v>
      </c>
      <c r="AV8" s="231">
        <f>IF('Wtr-Gas'!AW10&lt;0,"0",('Wtr-Gas'!AW10)*0.0038)</f>
        <v>186.20760000000001</v>
      </c>
      <c r="AW8" s="231">
        <f>IF('Wtr-Gas'!AY10&lt;0,"0",('Wtr-Gas'!AY10)*0.0038)</f>
        <v>151.2286</v>
      </c>
      <c r="AX8" s="231">
        <f>IF('Wtr-Gas'!AZ10&lt;0,"0",('Wtr-Gas'!AZ10)*0.0038)</f>
        <v>34.977252</v>
      </c>
      <c r="AY8" s="231">
        <f>IF('Wtr-Gas'!BB10&lt;0,"0",('Wtr-Gas'!BB10)*0.0038)</f>
        <v>6.08</v>
      </c>
      <c r="AZ8" s="231">
        <f>IF('Wtr-Gas'!BD10&lt;0,"0",('Wtr-Gas'!BD10)*0.0038)</f>
        <v>1.1399999999999999</v>
      </c>
      <c r="BA8" s="231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1">
        <f>IF('Wtr-Gas'!E11&lt;0,"0",('Wtr-Gas'!E11)*0.0038)</f>
        <v>3703.8220000000001</v>
      </c>
      <c r="AG9" s="231">
        <f>IF('Wtr-Gas'!H11&lt;0,"0",('Wtr-Gas'!H11)*0.0038)</f>
        <v>939.43600000000004</v>
      </c>
      <c r="AH9" s="231">
        <f>IF('Wtr-Gas'!K11&lt;0,"0",('Wtr-Gas'!K11)*0.0038)</f>
        <v>2.698</v>
      </c>
      <c r="AI9" s="231">
        <f>IF('Wtr-Gas'!N11&lt;0,"0",('Wtr-Gas'!N11)*0.0038)</f>
        <v>2929.8</v>
      </c>
      <c r="AJ9" s="231">
        <f>IF('Wtr-Gas'!Q11&lt;0,"0",('Wtr-Gas'!Q11)*0.0038)</f>
        <v>88.92</v>
      </c>
      <c r="AK9" s="232">
        <f>IF('Wtr-Gas'!U11&lt;0,"0",('Wtr-Gas'!U11)*0.0038)</f>
        <v>824.6</v>
      </c>
      <c r="AL9" s="232">
        <f>IF('Wtr-Gas'!X11&lt;0,"0",('Wtr-Gas'!X11)*0.0038)</f>
        <v>3446.6</v>
      </c>
      <c r="AM9" s="231">
        <f>IF('Wtr-Gas'!AB11&lt;0,"0",('Wtr-Gas'!AB11)*0.0038)</f>
        <v>6840</v>
      </c>
      <c r="AN9" s="231">
        <f>IF('Wtr-Gas'!AD11&lt;0,"0",('Wtr-Gas'!AD11)*0.0038)</f>
        <v>1379.9969799999999</v>
      </c>
      <c r="AO9" s="231">
        <f>IF('Wtr-Gas'!AF11&lt;0,"0",('Wtr-Gas'!AF11)*0.0038)</f>
        <v>3.23</v>
      </c>
      <c r="AP9" s="231">
        <f>IF('Wtr-Gas'!AH11&lt;0,"0",('Wtr-Gas'!AH11)*0.0038)</f>
        <v>410.05799999999999</v>
      </c>
      <c r="AQ9" s="231">
        <f>IF('Wtr-Gas'!AJ11&lt;0,"0",('Wtr-Gas'!AJ11)*0.0038)</f>
        <v>28.0288</v>
      </c>
      <c r="AR9" s="231">
        <f>IF('Wtr-Gas'!AL11&lt;0,"0",('Wtr-Gas'!AL11)*0.0038)</f>
        <v>254.6</v>
      </c>
      <c r="AS9" s="231">
        <f>IF('Wtr-Gas'!AN11&lt;0,"0",('Wtr-Gas'!AN11)*0.0038)</f>
        <v>8.7400000000000005E-2</v>
      </c>
      <c r="AT9" s="231">
        <f>IF('Wtr-Gas'!AP11&lt;0,"0",('Wtr-Gas'!AP11)*0.0038)</f>
        <v>46.74</v>
      </c>
      <c r="AU9" s="252">
        <f>IF('Wtr-Gas'!AT11&lt;0,"0",('Wtr-Gas'!AT11)*0.0038)</f>
        <v>0.41799999999999998</v>
      </c>
      <c r="AV9" s="231">
        <f>IF('Wtr-Gas'!AW11&lt;0,"0",('Wtr-Gas'!AW11)*0.0038)</f>
        <v>187.43879999999999</v>
      </c>
      <c r="AW9" s="231">
        <f>IF('Wtr-Gas'!AY11&lt;0,"0",('Wtr-Gas'!AY11)*0.0038)</f>
        <v>152.2698</v>
      </c>
      <c r="AX9" s="231">
        <f>IF('Wtr-Gas'!AZ11&lt;0,"0",('Wtr-Gas'!AZ11)*0.0038)</f>
        <v>35.168619999999997</v>
      </c>
      <c r="AY9" s="231">
        <f>IF('Wtr-Gas'!BB11&lt;0,"0",('Wtr-Gas'!BB11)*0.0038)</f>
        <v>12.92</v>
      </c>
      <c r="AZ9" s="231">
        <f>IF('Wtr-Gas'!BD11&lt;0,"0",('Wtr-Gas'!BD11)*0.0038)</f>
        <v>1.52</v>
      </c>
      <c r="BA9" s="231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1">
        <f>IF('Wtr-Gas'!E12&lt;0,"0",('Wtr-Gas'!E12)*0.0038)</f>
        <v>3505.2719999999999</v>
      </c>
      <c r="AG10" s="231">
        <f>IF('Wtr-Gas'!H12&lt;0,"0",('Wtr-Gas'!H12)*0.0038)</f>
        <v>974.13</v>
      </c>
      <c r="AH10" s="231">
        <f>IF('Wtr-Gas'!K12&lt;0,"0",('Wtr-Gas'!K12)*0.0038)</f>
        <v>0.60799999999999998</v>
      </c>
      <c r="AI10" s="231">
        <f>IF('Wtr-Gas'!N12&lt;0,"0",('Wtr-Gas'!N12)*0.0038)</f>
        <v>2413</v>
      </c>
      <c r="AJ10" s="231">
        <f>IF('Wtr-Gas'!Q12&lt;0,"0",('Wtr-Gas'!Q12)*0.0038)</f>
        <v>99.56</v>
      </c>
      <c r="AK10" s="232">
        <f>IF('Wtr-Gas'!U12&lt;0,"0",('Wtr-Gas'!U12)*0.0038)</f>
        <v>843.6</v>
      </c>
      <c r="AL10" s="232">
        <f>IF('Wtr-Gas'!X12&lt;0,"0",('Wtr-Gas'!X12)*0.0038)</f>
        <v>4799.3999999999996</v>
      </c>
      <c r="AM10" s="231">
        <f>IF('Wtr-Gas'!AB12&lt;0,"0",('Wtr-Gas'!AB12)*0.0038)</f>
        <v>5320</v>
      </c>
      <c r="AN10" s="231">
        <f>IF('Wtr-Gas'!AD12&lt;0,"0",('Wtr-Gas'!AD12)*0.0038)</f>
        <v>1185.9150200000001</v>
      </c>
      <c r="AO10" s="231">
        <f>IF('Wtr-Gas'!AF12&lt;0,"0",('Wtr-Gas'!AF12)*0.0038)</f>
        <v>6.0419999999999998</v>
      </c>
      <c r="AP10" s="231">
        <f>IF('Wtr-Gas'!AH12&lt;0,"0",('Wtr-Gas'!AH12)*0.0038)</f>
        <v>411.31200000000001</v>
      </c>
      <c r="AQ10" s="231">
        <f>IF('Wtr-Gas'!AJ12&lt;0,"0",('Wtr-Gas'!AJ12)*0.0038)</f>
        <v>35.15</v>
      </c>
      <c r="AR10" s="231">
        <f>IF('Wtr-Gas'!AL12&lt;0,"0",('Wtr-Gas'!AL12)*0.0038)</f>
        <v>345.8</v>
      </c>
      <c r="AS10" s="231">
        <f>IF('Wtr-Gas'!AN12&lt;0,"0",('Wtr-Gas'!AN12)*0.0038)</f>
        <v>0.114</v>
      </c>
      <c r="AT10" s="231">
        <f>IF('Wtr-Gas'!AP12&lt;0,"0",('Wtr-Gas'!AP12)*0.0038)</f>
        <v>3.42</v>
      </c>
      <c r="AU10" s="252">
        <f>IF('Wtr-Gas'!AT12&lt;0,"0",('Wtr-Gas'!AT12)*0.0038)</f>
        <v>0.4864</v>
      </c>
      <c r="AV10" s="231">
        <f>IF('Wtr-Gas'!AW12&lt;0,"0",('Wtr-Gas'!AW12)*0.0038)</f>
        <v>211.69800000000001</v>
      </c>
      <c r="AW10" s="231">
        <f>IF('Wtr-Gas'!AY12&lt;0,"0",('Wtr-Gas'!AY12)*0.0038)</f>
        <v>172.5694</v>
      </c>
      <c r="AX10" s="231">
        <f>IF('Wtr-Gas'!AZ12&lt;0,"0",('Wtr-Gas'!AZ12)*0.0038)</f>
        <v>39.129435999999998</v>
      </c>
      <c r="AY10" s="231">
        <f>IF('Wtr-Gas'!BB12&lt;0,"0",('Wtr-Gas'!BB12)*0.0038)</f>
        <v>14.82</v>
      </c>
      <c r="AZ10" s="231">
        <f>IF('Wtr-Gas'!BD12&lt;0,"0",('Wtr-Gas'!BD12)*0.0038)</f>
        <v>1.9</v>
      </c>
      <c r="BA10" s="231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1">
        <f>IF('Wtr-Gas'!E13&lt;0,"0",('Wtr-Gas'!E13)*0.0038)</f>
        <v>3780.848</v>
      </c>
      <c r="AG11" s="231">
        <f>IF('Wtr-Gas'!H13&lt;0,"0",('Wtr-Gas'!H13)*0.0038)</f>
        <v>717.66800000000001</v>
      </c>
      <c r="AH11" s="231">
        <f>IF('Wtr-Gas'!K13&lt;0,"0",('Wtr-Gas'!K13)*0.0038)</f>
        <v>1.026</v>
      </c>
      <c r="AI11" s="231">
        <f>IF('Wtr-Gas'!N13&lt;0,"0",('Wtr-Gas'!N13)*0.0038)</f>
        <v>2717</v>
      </c>
      <c r="AJ11" s="231">
        <f>IF('Wtr-Gas'!Q13&lt;0,"0",('Wtr-Gas'!Q13)*0.0038)</f>
        <v>101.84</v>
      </c>
      <c r="AK11" s="232">
        <f>IF('Wtr-Gas'!U13&lt;0,"0",('Wtr-Gas'!U13)*0.0038)</f>
        <v>855.76</v>
      </c>
      <c r="AL11" s="232">
        <f>IF('Wtr-Gas'!X13&lt;0,"0",('Wtr-Gas'!X13)*0.0038)</f>
        <v>4240.8</v>
      </c>
      <c r="AM11" s="231">
        <f>IF('Wtr-Gas'!AB13&lt;0,"0",('Wtr-Gas'!AB13)*0.0038)</f>
        <v>6232</v>
      </c>
      <c r="AN11" s="231">
        <f>IF('Wtr-Gas'!AD13&lt;0,"0",('Wtr-Gas'!AD13)*0.0038)</f>
        <v>1208.5899999999999</v>
      </c>
      <c r="AO11" s="231">
        <f>IF('Wtr-Gas'!AF13&lt;0,"0",('Wtr-Gas'!AF13)*0.0038)</f>
        <v>7.22</v>
      </c>
      <c r="AP11" s="231">
        <f>IF('Wtr-Gas'!AH13&lt;0,"0",('Wtr-Gas'!AH13)*0.0038)</f>
        <v>412.71800000000002</v>
      </c>
      <c r="AQ11" s="231">
        <f>IF('Wtr-Gas'!AJ13&lt;0,"0",('Wtr-Gas'!AJ13)*0.0038)</f>
        <v>30.316400000000002</v>
      </c>
      <c r="AR11" s="231">
        <f>IF('Wtr-Gas'!AL13&lt;0,"0",('Wtr-Gas'!AL13)*0.0038)</f>
        <v>345.8</v>
      </c>
      <c r="AS11" s="231">
        <f>IF('Wtr-Gas'!AN13&lt;0,"0",('Wtr-Gas'!AN13)*0.0038)</f>
        <v>7.9799999999999996E-2</v>
      </c>
      <c r="AT11" s="231">
        <f>IF('Wtr-Gas'!AP13&lt;0,"0",('Wtr-Gas'!AP13)*0.0038)</f>
        <v>14.06</v>
      </c>
      <c r="AU11" s="252">
        <f>IF('Wtr-Gas'!AT13&lt;0,"0",('Wtr-Gas'!AT13)*0.0038)</f>
        <v>0.30780000000000002</v>
      </c>
      <c r="AV11" s="231">
        <f>IF('Wtr-Gas'!AW13&lt;0,"0",('Wtr-Gas'!AW13)*0.0038)</f>
        <v>162.62860000000001</v>
      </c>
      <c r="AW11" s="231">
        <f>IF('Wtr-Gas'!AY13&lt;0,"0",('Wtr-Gas'!AY13)*0.0038)</f>
        <v>128.20439999999999</v>
      </c>
      <c r="AX11" s="231">
        <f>IF('Wtr-Gas'!AZ13&lt;0,"0",('Wtr-Gas'!AZ13)*0.0038)</f>
        <v>34.424389999999995</v>
      </c>
      <c r="AY11" s="231">
        <f>IF('Wtr-Gas'!BB13&lt;0,"0",('Wtr-Gas'!BB13)*0.0038)</f>
        <v>18.239999999999998</v>
      </c>
      <c r="AZ11" s="231">
        <f>IF('Wtr-Gas'!BD13&lt;0,"0",('Wtr-Gas'!BD13)*0.0038)</f>
        <v>1.1399999999999999</v>
      </c>
      <c r="BA11" s="231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1">
        <f>IF('Wtr-Gas'!E14&lt;0,"0",('Wtr-Gas'!E14)*0.0038)</f>
        <v>3679.502</v>
      </c>
      <c r="AG12" s="231">
        <f>IF('Wtr-Gas'!H14&lt;0,"0",('Wtr-Gas'!H14)*0.0038)</f>
        <v>809.21</v>
      </c>
      <c r="AH12" s="231">
        <f>IF('Wtr-Gas'!K14&lt;0,"0",('Wtr-Gas'!K14)*0.0038)</f>
        <v>3.1920000000000002</v>
      </c>
      <c r="AI12" s="231">
        <f>IF('Wtr-Gas'!N14&lt;0,"0",('Wtr-Gas'!N14)*0.0038)</f>
        <v>2527</v>
      </c>
      <c r="AJ12" s="231">
        <f>IF('Wtr-Gas'!Q14&lt;0,"0",('Wtr-Gas'!Q14)*0.0038)</f>
        <v>104.88</v>
      </c>
      <c r="AK12" s="232">
        <f>IF('Wtr-Gas'!U14&lt;0,"0",('Wtr-Gas'!U14)*0.0038)</f>
        <v>879.7</v>
      </c>
      <c r="AL12" s="232">
        <f>IF('Wtr-Gas'!X14&lt;0,"0",('Wtr-Gas'!X14)*0.0038)</f>
        <v>5149</v>
      </c>
      <c r="AM12" s="231">
        <f>IF('Wtr-Gas'!AB14&lt;0,"0",('Wtr-Gas'!AB14)*0.0038)</f>
        <v>5320</v>
      </c>
      <c r="AN12" s="231">
        <f>IF('Wtr-Gas'!AD14&lt;0,"0",('Wtr-Gas'!AD14)*0.0038)</f>
        <v>1201.2662600000001</v>
      </c>
      <c r="AO12" s="231">
        <f>IF('Wtr-Gas'!AF14&lt;0,"0",('Wtr-Gas'!AF14)*0.0038)</f>
        <v>5.51</v>
      </c>
      <c r="AP12" s="231">
        <f>IF('Wtr-Gas'!AH14&lt;0,"0",('Wtr-Gas'!AH14)*0.0038)</f>
        <v>502.702</v>
      </c>
      <c r="AQ12" s="231">
        <f>IF('Wtr-Gas'!AJ14&lt;0,"0",('Wtr-Gas'!AJ14)*0.0038)</f>
        <v>36.609200000000001</v>
      </c>
      <c r="AR12" s="231">
        <f>IF('Wtr-Gas'!AL14&lt;0,"0",('Wtr-Gas'!AL14)*0.0038)</f>
        <v>342</v>
      </c>
      <c r="AS12" s="231">
        <f>IF('Wtr-Gas'!AN14&lt;0,"0",('Wtr-Gas'!AN14)*0.0038)</f>
        <v>0.12540000000000001</v>
      </c>
      <c r="AT12" s="231">
        <f>IF('Wtr-Gas'!AP14&lt;0,"0",('Wtr-Gas'!AP14)*0.0038)</f>
        <v>3.04</v>
      </c>
      <c r="AU12" s="252">
        <f>IF('Wtr-Gas'!AT14&lt;0,"0",('Wtr-Gas'!AT14)*0.0038)</f>
        <v>0.28499999999999998</v>
      </c>
      <c r="AV12" s="231">
        <f>IF('Wtr-Gas'!AW14&lt;0,"0",('Wtr-Gas'!AW14)*0.0038)</f>
        <v>191.2388</v>
      </c>
      <c r="AW12" s="231">
        <f>IF('Wtr-Gas'!AY14&lt;0,"0",('Wtr-Gas'!AY14)*0.0038)</f>
        <v>150.4838</v>
      </c>
      <c r="AX12" s="231">
        <f>IF('Wtr-Gas'!AZ14&lt;0,"0",('Wtr-Gas'!AZ14)*0.0038)</f>
        <v>40.755341999999999</v>
      </c>
      <c r="AY12" s="231">
        <f>IF('Wtr-Gas'!BB14&lt;0,"0",('Wtr-Gas'!BB14)*0.0038)</f>
        <v>11.4</v>
      </c>
      <c r="AZ12" s="231">
        <f>IF('Wtr-Gas'!BD14&lt;0,"0",('Wtr-Gas'!BD14)*0.0038)</f>
        <v>2.2799999999999998</v>
      </c>
      <c r="BA12" s="231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1">
        <f>IF('Wtr-Gas'!E15&lt;0,"0",('Wtr-Gas'!E15)*0.0038)</f>
        <v>4172.9319999999998</v>
      </c>
      <c r="AG13" s="231">
        <f>IF('Wtr-Gas'!H15&lt;0,"0",('Wtr-Gas'!H15)*0.0038)</f>
        <v>805.75199999999995</v>
      </c>
      <c r="AH13" s="231">
        <f>IF('Wtr-Gas'!K15&lt;0,"0",('Wtr-Gas'!K15)*0.0038)</f>
        <v>2.85</v>
      </c>
      <c r="AI13" s="231">
        <f>IF('Wtr-Gas'!N15&lt;0,"0",('Wtr-Gas'!N15)*0.0038)</f>
        <v>2595.4</v>
      </c>
      <c r="AJ13" s="231">
        <f>IF('Wtr-Gas'!Q15&lt;0,"0",('Wtr-Gas'!Q15)*0.0038)</f>
        <v>92.34</v>
      </c>
      <c r="AK13" s="232">
        <f>IF('Wtr-Gas'!U15&lt;0,"0",('Wtr-Gas'!U15)*0.0038)</f>
        <v>825.36</v>
      </c>
      <c r="AL13" s="232">
        <f>IF('Wtr-Gas'!X15&lt;0,"0",('Wtr-Gas'!X15)*0.0038)</f>
        <v>5502.4</v>
      </c>
      <c r="AM13" s="231">
        <f>IF('Wtr-Gas'!AB15&lt;0,"0",('Wtr-Gas'!AB15)*0.0038)</f>
        <v>4826</v>
      </c>
      <c r="AN13" s="231">
        <f>IF('Wtr-Gas'!AD15&lt;0,"0",('Wtr-Gas'!AD15)*0.0038)</f>
        <v>996.76774</v>
      </c>
      <c r="AO13" s="231">
        <f>IF('Wtr-Gas'!AF15&lt;0,"0",('Wtr-Gas'!AF15)*0.0038)</f>
        <v>9.9179999999999993</v>
      </c>
      <c r="AP13" s="231">
        <f>IF('Wtr-Gas'!AH15&lt;0,"0",('Wtr-Gas'!AH15)*0.0038)</f>
        <v>395.27600000000001</v>
      </c>
      <c r="AQ13" s="231">
        <f>IF('Wtr-Gas'!AJ15&lt;0,"0",('Wtr-Gas'!AJ15)*0.0038)</f>
        <v>53.610399999999998</v>
      </c>
      <c r="AR13" s="231">
        <f>IF('Wtr-Gas'!AL15&lt;0,"0",('Wtr-Gas'!AL15)*0.0038)</f>
        <v>733.4</v>
      </c>
      <c r="AS13" s="231">
        <f>IF('Wtr-Gas'!AN15&lt;0,"0",('Wtr-Gas'!AN15)*0.0038)</f>
        <v>0.21659999999999999</v>
      </c>
      <c r="AT13" s="231">
        <f>IF('Wtr-Gas'!AP15&lt;0,"0",('Wtr-Gas'!AP15)*0.0038)</f>
        <v>3.42</v>
      </c>
      <c r="AU13" s="252">
        <f>IF('Wtr-Gas'!AT15&lt;0,"0",('Wtr-Gas'!AT15)*0.0038)</f>
        <v>0.44080000000000003</v>
      </c>
      <c r="AV13" s="231">
        <f>IF('Wtr-Gas'!AW15&lt;0,"0",('Wtr-Gas'!AW15)*0.0038)</f>
        <v>44.935000000000002</v>
      </c>
      <c r="AW13" s="231">
        <f>IF('Wtr-Gas'!AY15&lt;0,"0",('Wtr-Gas'!AY15)*0.0038)</f>
        <v>142.6634</v>
      </c>
      <c r="AX13" s="231" t="str">
        <f>IF('Wtr-Gas'!AZ15&lt;0,"0",('Wtr-Gas'!AZ15)*0.0038)</f>
        <v>0</v>
      </c>
      <c r="AY13" s="231">
        <f>IF('Wtr-Gas'!BB15&lt;0,"0",('Wtr-Gas'!BB15)*0.0038)</f>
        <v>18.62</v>
      </c>
      <c r="AZ13" s="231">
        <f>IF('Wtr-Gas'!BD15&lt;0,"0",('Wtr-Gas'!BD15)*0.0038)</f>
        <v>1.1399999999999999</v>
      </c>
      <c r="BA13" s="231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1">
        <f>IF('Wtr-Gas'!E16&lt;0,"0",('Wtr-Gas'!E16)*0.0038)</f>
        <v>4610.8059999999996</v>
      </c>
      <c r="AG14" s="231">
        <f>IF('Wtr-Gas'!H16&lt;0,"0",('Wtr-Gas'!H16)*0.0038)</f>
        <v>652.15599999999995</v>
      </c>
      <c r="AH14" s="231">
        <f>IF('Wtr-Gas'!K16&lt;0,"0",('Wtr-Gas'!K16)*0.0038)</f>
        <v>1.9</v>
      </c>
      <c r="AI14" s="231">
        <f>IF('Wtr-Gas'!N16&lt;0,"0",('Wtr-Gas'!N16)*0.0038)</f>
        <v>3078</v>
      </c>
      <c r="AJ14" s="231">
        <f>IF('Wtr-Gas'!Q16&lt;0,"0",('Wtr-Gas'!Q16)*0.0038)</f>
        <v>97.28</v>
      </c>
      <c r="AK14" s="232">
        <f>IF('Wtr-Gas'!U16&lt;0,"0",('Wtr-Gas'!U16)*0.0038)</f>
        <v>908.2</v>
      </c>
      <c r="AL14" s="232">
        <f>IF('Wtr-Gas'!X16&lt;0,"0",('Wtr-Gas'!X16)*0.0038)</f>
        <v>4529.6000000000004</v>
      </c>
      <c r="AM14" s="231">
        <f>IF('Wtr-Gas'!AB16&lt;0,"0",('Wtr-Gas'!AB16)*0.0038)</f>
        <v>6080</v>
      </c>
      <c r="AN14" s="231">
        <f>IF('Wtr-Gas'!AD16&lt;0,"0",('Wtr-Gas'!AD16)*0.0038)</f>
        <v>1141.0640000000001</v>
      </c>
      <c r="AO14" s="231">
        <f>IF('Wtr-Gas'!AF16&lt;0,"0",('Wtr-Gas'!AF16)*0.0038)</f>
        <v>11.4</v>
      </c>
      <c r="AP14" s="231">
        <f>IF('Wtr-Gas'!AH16&lt;0,"0",('Wtr-Gas'!AH16)*0.0038)</f>
        <v>409.45</v>
      </c>
      <c r="AQ14" s="231">
        <f>IF('Wtr-Gas'!AJ16&lt;0,"0",('Wtr-Gas'!AJ16)*0.0038)</f>
        <v>63.038200000000003</v>
      </c>
      <c r="AR14" s="231">
        <f>IF('Wtr-Gas'!AL16&lt;0,"0",('Wtr-Gas'!AL16)*0.0038)</f>
        <v>680.2</v>
      </c>
      <c r="AS14" s="231">
        <f>IF('Wtr-Gas'!AN16&lt;0,"0",('Wtr-Gas'!AN16)*0.0038)</f>
        <v>0.21659999999999999</v>
      </c>
      <c r="AT14" s="231">
        <f>IF('Wtr-Gas'!AP16&lt;0,"0",('Wtr-Gas'!AP16)*0.0038)</f>
        <v>3.04</v>
      </c>
      <c r="AU14" s="252">
        <f>IF('Wtr-Gas'!AT16&lt;0,"0",('Wtr-Gas'!AT16)*0.0038)</f>
        <v>0.38</v>
      </c>
      <c r="AV14" s="231">
        <f>IF('Wtr-Gas'!AW16&lt;0,"0",('Wtr-Gas'!AW16)*0.0038)</f>
        <v>189.715</v>
      </c>
      <c r="AW14" s="231">
        <f>IF('Wtr-Gas'!AY16&lt;0,"0",('Wtr-Gas'!AY16)*0.0038)</f>
        <v>149.834</v>
      </c>
      <c r="AX14" s="231">
        <f>IF('Wtr-Gas'!AZ16&lt;0,"0",('Wtr-Gas'!AZ16)*0.0038)</f>
        <v>39.882102000000003</v>
      </c>
      <c r="AY14" s="231">
        <f>IF('Wtr-Gas'!BB16&lt;0,"0",('Wtr-Gas'!BB16)*0.0038)</f>
        <v>15.96</v>
      </c>
      <c r="AZ14" s="231">
        <f>IF('Wtr-Gas'!BD16&lt;0,"0",('Wtr-Gas'!BD16)*0.0038)</f>
        <v>1.52</v>
      </c>
      <c r="BA14" s="231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563</v>
      </c>
      <c r="F15" s="49">
        <f>IF(Elect!I17&lt;0,"0",Elect!I17)</f>
        <v>48480</v>
      </c>
      <c r="G15" s="49">
        <f>Elect!H17</f>
        <v>2.331</v>
      </c>
      <c r="H15" s="49">
        <f>IF(Elect!F17&lt;0,"0",Elect!F17)</f>
        <v>42560</v>
      </c>
      <c r="I15" s="49">
        <f>Elect!E17</f>
        <v>2.0430000000000001</v>
      </c>
      <c r="J15" s="49">
        <f>IF(Elect!U17&lt;0,"0",Elect!U17)</f>
        <v>62700</v>
      </c>
      <c r="K15" s="49">
        <f>Elect!T17</f>
        <v>2.4350000000000001</v>
      </c>
      <c r="L15" s="49">
        <f>IF(Elect!AJ17&lt;0,"0",Elect!AJ17)</f>
        <v>1480</v>
      </c>
      <c r="M15" s="49">
        <f>Elect!AI17</f>
        <v>0.30099999999999999</v>
      </c>
      <c r="N15" s="49">
        <f>IF(Elect!X17&lt;0,"0",Elect!X17)</f>
        <v>42300</v>
      </c>
      <c r="O15" s="49">
        <f>Elect!W17</f>
        <v>1.694</v>
      </c>
      <c r="P15" s="49">
        <f>IF(Elect!O17&lt;0,"0",Elect!O17)</f>
        <v>10400</v>
      </c>
      <c r="Q15" s="49">
        <f>Elect!N17</f>
        <v>2.27</v>
      </c>
      <c r="R15" s="49">
        <f>IF(Elect!L17&lt;0,"0",Elect!L17)</f>
        <v>10000</v>
      </c>
      <c r="S15" s="49">
        <f>Elect!K17</f>
        <v>2.31</v>
      </c>
      <c r="T15" s="49">
        <f>IF(Elect!R17&lt;0,"0",Elect!R17)</f>
        <v>9600</v>
      </c>
      <c r="U15" s="49">
        <f>Elect!Q17</f>
        <v>2.33</v>
      </c>
      <c r="V15" s="49">
        <f>IF(Elect!AA17&lt;0,"0",Elect!AA17)</f>
        <v>6080</v>
      </c>
      <c r="W15" s="49">
        <f>Elect!Z17</f>
        <v>3.13</v>
      </c>
      <c r="X15" s="49">
        <f>IF(Elect!AD17&lt;0,"0",Elect!AD17)</f>
        <v>3360</v>
      </c>
      <c r="Y15" s="49">
        <f>Elect!AC17</f>
        <v>2.46</v>
      </c>
      <c r="Z15" s="49">
        <f>IF(Elect!AG17&lt;0,"0",Elect!AG17)</f>
        <v>49400</v>
      </c>
      <c r="AA15" s="49">
        <f>Elect!AF17</f>
        <v>1.9450000000000001</v>
      </c>
      <c r="AB15" s="49">
        <f>IF(Elect!AX17&lt;0,"0",Elect!AX17)</f>
        <v>1800</v>
      </c>
      <c r="AC15" s="49">
        <f>IF(Elect!AV17&lt;0,"0",Elect!AV17)</f>
        <v>13900</v>
      </c>
      <c r="AD15" s="49">
        <f>IF(Elect!AZ17&lt;0,"0",Elect!AZ17)</f>
        <v>815</v>
      </c>
      <c r="AE15" s="49">
        <f>IF(Elect!BB17&lt;0,"0",Elect!BB17)</f>
        <v>5000</v>
      </c>
      <c r="AF15" s="231">
        <f>IF('Wtr-Gas'!E17&lt;0,"0",('Wtr-Gas'!E17)*0.0038)</f>
        <v>4665.6019999999999</v>
      </c>
      <c r="AG15" s="231">
        <f>IF('Wtr-Gas'!H17&lt;0,"0",('Wtr-Gas'!H17)*0.0038)</f>
        <v>523.41200000000003</v>
      </c>
      <c r="AH15" s="231">
        <f>IF('Wtr-Gas'!K17&lt;0,"0",('Wtr-Gas'!K17)*0.0038)</f>
        <v>0.95</v>
      </c>
      <c r="AI15" s="231">
        <f>IF('Wtr-Gas'!N17&lt;0,"0",('Wtr-Gas'!N17)*0.0038)</f>
        <v>3203.4</v>
      </c>
      <c r="AJ15" s="231">
        <f>IF('Wtr-Gas'!Q17&lt;0,"0",('Wtr-Gas'!Q17)*0.0038)</f>
        <v>95.38</v>
      </c>
      <c r="AK15" s="232">
        <f>IF('Wtr-Gas'!U17&lt;0,"0",('Wtr-Gas'!U17)*0.0038)</f>
        <v>752.78</v>
      </c>
      <c r="AL15" s="232">
        <f>IF('Wtr-Gas'!X17&lt;0,"0",('Wtr-Gas'!X17)*0.0038)</f>
        <v>3423.8</v>
      </c>
      <c r="AM15" s="231">
        <f>IF('Wtr-Gas'!AB17&lt;0,"0",('Wtr-Gas'!AB17)*0.0038)</f>
        <v>7106</v>
      </c>
      <c r="AN15" s="231">
        <f>IF('Wtr-Gas'!AD17&lt;0,"0",('Wtr-Gas'!AD17)*0.0038)</f>
        <v>1906.5360000000001</v>
      </c>
      <c r="AO15" s="231">
        <f>IF('Wtr-Gas'!AF17&lt;0,"0",('Wtr-Gas'!AF17)*0.0038)</f>
        <v>9.8800000000000008</v>
      </c>
      <c r="AP15" s="231">
        <f>IF('Wtr-Gas'!AH17&lt;0,"0",('Wtr-Gas'!AH17)*0.0038)</f>
        <v>373.654</v>
      </c>
      <c r="AQ15" s="231">
        <f>IF('Wtr-Gas'!AJ17&lt;0,"0",('Wtr-Gas'!AJ17)*0.0038)</f>
        <v>43.916600000000003</v>
      </c>
      <c r="AR15" s="231">
        <f>IF('Wtr-Gas'!AL17&lt;0,"0",('Wtr-Gas'!AL17)*0.0038)</f>
        <v>668.8</v>
      </c>
      <c r="AS15" s="231">
        <f>IF('Wtr-Gas'!AN17&lt;0,"0",('Wtr-Gas'!AN17)*0.0038)</f>
        <v>8.7400000000000005E-2</v>
      </c>
      <c r="AT15" s="231">
        <f>IF('Wtr-Gas'!AP17&lt;0,"0",('Wtr-Gas'!AP17)*0.0038)</f>
        <v>8.74</v>
      </c>
      <c r="AU15" s="252">
        <f>IF('Wtr-Gas'!AT17&lt;0,"0",('Wtr-Gas'!AT17)*0.0038)</f>
        <v>0.38379999999999997</v>
      </c>
      <c r="AV15" s="231">
        <f>IF('Wtr-Gas'!AW17&lt;0,"0",('Wtr-Gas'!AW17)*0.0038)</f>
        <v>185.48560000000001</v>
      </c>
      <c r="AW15" s="231">
        <f>IF('Wtr-Gas'!AY17&lt;0,"0",('Wtr-Gas'!AY17)*0.0038)</f>
        <v>149.76560000000001</v>
      </c>
      <c r="AX15" s="231">
        <f>IF('Wtr-Gas'!AZ17&lt;0,"0",('Wtr-Gas'!AZ17)*0.0038)</f>
        <v>35.719202000000003</v>
      </c>
      <c r="AY15" s="231">
        <f>IF('Wtr-Gas'!BB17&lt;0,"0",('Wtr-Gas'!BB17)*0.0038)</f>
        <v>7.98</v>
      </c>
      <c r="AZ15" s="231">
        <f>IF('Wtr-Gas'!BD17&lt;0,"0",('Wtr-Gas'!BD17)*0.0038)</f>
        <v>1.9</v>
      </c>
      <c r="BA15" s="231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204</v>
      </c>
      <c r="F16" s="49">
        <f>IF(Elect!I18&lt;0,"0",Elect!I18)</f>
        <v>20480</v>
      </c>
      <c r="G16" s="49">
        <f>Elect!H18</f>
        <v>2.331</v>
      </c>
      <c r="H16" s="49">
        <f>IF(Elect!F18&lt;0,"0",Elect!F18)</f>
        <v>18560</v>
      </c>
      <c r="I16" s="49">
        <f>Elect!E18</f>
        <v>2.0430000000000001</v>
      </c>
      <c r="J16" s="49">
        <f>IF(Elect!U18&lt;0,"0",Elect!U18)</f>
        <v>22500</v>
      </c>
      <c r="K16" s="49">
        <f>Elect!T18</f>
        <v>2.496</v>
      </c>
      <c r="L16" s="49">
        <f>IF(Elect!AJ18&lt;0,"0",Elect!AJ18)</f>
        <v>600</v>
      </c>
      <c r="M16" s="49">
        <f>Elect!AI18</f>
        <v>0.32500000000000001</v>
      </c>
      <c r="N16" s="49">
        <f>IF(Elect!X18&lt;0,"0",Elect!X18)</f>
        <v>27600</v>
      </c>
      <c r="O16" s="49">
        <f>Elect!W18</f>
        <v>1.732</v>
      </c>
      <c r="P16" s="49">
        <f>IF(Elect!O18&lt;0,"0",Elect!O18)</f>
        <v>17200</v>
      </c>
      <c r="Q16" s="49">
        <f>Elect!N18</f>
        <v>2.27</v>
      </c>
      <c r="R16" s="49">
        <f>IF(Elect!L18&lt;0,"0",Elect!L18)</f>
        <v>37200</v>
      </c>
      <c r="S16" s="49">
        <f>Elect!K18</f>
        <v>2.27</v>
      </c>
      <c r="T16" s="49">
        <f>IF(Elect!R18&lt;0,"0",Elect!R18)</f>
        <v>4000</v>
      </c>
      <c r="U16" s="49">
        <f>Elect!Q18</f>
        <v>2.33</v>
      </c>
      <c r="V16" s="49">
        <f>IF(Elect!AA18&lt;0,"0",Elect!AA18)</f>
        <v>2240</v>
      </c>
      <c r="W16" s="49">
        <f>Elect!Z18</f>
        <v>2.31</v>
      </c>
      <c r="X16" s="49">
        <f>IF(Elect!AD18&lt;0,"0",Elect!AD18)</f>
        <v>1280</v>
      </c>
      <c r="Y16" s="49">
        <f>Elect!AC18</f>
        <v>2.46</v>
      </c>
      <c r="Z16" s="49">
        <f>IF(Elect!AG18&lt;0,"0",Elect!AG18)</f>
        <v>23000</v>
      </c>
      <c r="AA16" s="49">
        <f>Elect!AF18</f>
        <v>1.9450000000000001</v>
      </c>
      <c r="AB16" s="49">
        <f>IF(Elect!AX18&lt;0,"0",Elect!AX18)</f>
        <v>500</v>
      </c>
      <c r="AC16" s="49">
        <f>IF(Elect!AV18&lt;0,"0",Elect!AV18)</f>
        <v>3900</v>
      </c>
      <c r="AD16" s="49">
        <f>IF(Elect!AZ18&lt;0,"0",Elect!AZ18)</f>
        <v>224</v>
      </c>
      <c r="AE16" s="49">
        <f>IF(Elect!BB18&lt;0,"0",Elect!BB18)</f>
        <v>1280</v>
      </c>
      <c r="AF16" s="231">
        <f>IF('Wtr-Gas'!E18&lt;0,"0",('Wtr-Gas'!E18)*0.0038)</f>
        <v>1945.258</v>
      </c>
      <c r="AG16" s="231">
        <f>IF('Wtr-Gas'!H18&lt;0,"0",('Wtr-Gas'!H18)*0.0038)</f>
        <v>0.22800000000000001</v>
      </c>
      <c r="AH16" s="231">
        <f>IF('Wtr-Gas'!K18&lt;0,"0",('Wtr-Gas'!K18)*0.0038)</f>
        <v>0.152</v>
      </c>
      <c r="AI16" s="231">
        <f>IF('Wtr-Gas'!N18&lt;0,"0",('Wtr-Gas'!N18)*0.0038)</f>
        <v>1436.4</v>
      </c>
      <c r="AJ16" s="231">
        <f>IF('Wtr-Gas'!Q18&lt;0,"0",('Wtr-Gas'!Q18)*0.0038)</f>
        <v>43.32</v>
      </c>
      <c r="AK16" s="232">
        <f>IF('Wtr-Gas'!U18&lt;0,"0",('Wtr-Gas'!U18)*0.0038)</f>
        <v>324.52</v>
      </c>
      <c r="AL16" s="232">
        <f>IF('Wtr-Gas'!X18&lt;0,"0",('Wtr-Gas'!X18)*0.0038)</f>
        <v>1095.54</v>
      </c>
      <c r="AM16" s="231">
        <f>IF('Wtr-Gas'!AB18&lt;0,"0",('Wtr-Gas'!AB18)*0.0038)</f>
        <v>3686</v>
      </c>
      <c r="AN16" s="231">
        <f>IF('Wtr-Gas'!AD18&lt;0,"0",('Wtr-Gas'!AD18)*0.0038)</f>
        <v>971.22641999999996</v>
      </c>
      <c r="AO16" s="231">
        <f>IF('Wtr-Gas'!AF18&lt;0,"0",('Wtr-Gas'!AF18)*0.0038)</f>
        <v>0.60799999999999998</v>
      </c>
      <c r="AP16" s="231">
        <f>IF('Wtr-Gas'!AH18&lt;0,"0",('Wtr-Gas'!AH18)*0.0038)</f>
        <v>104.462</v>
      </c>
      <c r="AQ16" s="231">
        <f>IF('Wtr-Gas'!AJ18&lt;0,"0",('Wtr-Gas'!AJ18)*0.0038)</f>
        <v>19.5016</v>
      </c>
      <c r="AR16" s="231">
        <f>IF('Wtr-Gas'!AL18&lt;0,"0",('Wtr-Gas'!AL18)*0.0038)</f>
        <v>216.6</v>
      </c>
      <c r="AS16" s="231">
        <f>IF('Wtr-Gas'!AN18&lt;0,"0",('Wtr-Gas'!AN18)*0.0038)</f>
        <v>1.52E-2</v>
      </c>
      <c r="AT16" s="231">
        <f>IF('Wtr-Gas'!AP18&lt;0,"0",('Wtr-Gas'!AP18)*0.0038)</f>
        <v>1.9</v>
      </c>
      <c r="AU16" s="252">
        <f>IF('Wtr-Gas'!AT18&lt;0,"0",('Wtr-Gas'!AT18)*0.0038)</f>
        <v>9.5000000000000001E-2</v>
      </c>
      <c r="AV16" s="231">
        <f>IF('Wtr-Gas'!AW18&lt;0,"0",('Wtr-Gas'!AW18)*0.0038)</f>
        <v>51.934600000000003</v>
      </c>
      <c r="AW16" s="231">
        <f>IF('Wtr-Gas'!AY18&lt;0,"0",('Wtr-Gas'!AY18)*0.0038)</f>
        <v>42.978000000000002</v>
      </c>
      <c r="AX16" s="231">
        <f>IF('Wtr-Gas'!AZ18&lt;0,"0",('Wtr-Gas'!AZ18)*0.0038)</f>
        <v>8.9569039999999998</v>
      </c>
      <c r="AY16" s="231">
        <f>IF('Wtr-Gas'!BB18&lt;0,"0",('Wtr-Gas'!BB18)*0.0038)</f>
        <v>8.74</v>
      </c>
      <c r="AZ16" s="231">
        <f>IF('Wtr-Gas'!BD18&lt;0,"0",('Wtr-Gas'!BD18)*0.0038)</f>
        <v>0</v>
      </c>
      <c r="BA16" s="231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268</v>
      </c>
      <c r="F17" s="49">
        <f>IF(Elect!I19&lt;0,"0",Elect!I19)</f>
        <v>28640</v>
      </c>
      <c r="G17" s="49">
        <f>Elect!H19</f>
        <v>2.331</v>
      </c>
      <c r="H17" s="49">
        <f>IF(Elect!F19&lt;0,"0",Elect!F19)</f>
        <v>24640</v>
      </c>
      <c r="I17" s="49">
        <f>Elect!E19</f>
        <v>2.0430000000000001</v>
      </c>
      <c r="J17" s="49">
        <f>IF(Elect!U19&lt;0,"0",Elect!U19)</f>
        <v>22500</v>
      </c>
      <c r="K17" s="49">
        <f>Elect!T19</f>
        <v>2.4350000000000001</v>
      </c>
      <c r="L17" s="49">
        <f>IF(Elect!AJ19&lt;0,"0",Elect!AJ19)</f>
        <v>920</v>
      </c>
      <c r="M17" s="49">
        <f>Elect!AI19</f>
        <v>0.32500000000000001</v>
      </c>
      <c r="N17" s="49">
        <f>IF(Elect!X19&lt;0,"0",Elect!X19)</f>
        <v>14700</v>
      </c>
      <c r="O17" s="49">
        <f>Elect!W19</f>
        <v>1.732</v>
      </c>
      <c r="P17" s="49">
        <f>IF(Elect!O19&lt;0,"0",Elect!O19)</f>
        <v>42000</v>
      </c>
      <c r="Q17" s="49">
        <f>Elect!N19</f>
        <v>2.98</v>
      </c>
      <c r="R17" s="49">
        <f>IF(Elect!L19&lt;0,"0",Elect!L19)</f>
        <v>6800</v>
      </c>
      <c r="S17" s="49">
        <f>Elect!K19</f>
        <v>2.331</v>
      </c>
      <c r="T17" s="49">
        <f>IF(Elect!R19&lt;0,"0",Elect!R19)</f>
        <v>6400</v>
      </c>
      <c r="U17" s="49">
        <f>Elect!Q19</f>
        <v>2.54</v>
      </c>
      <c r="V17" s="49">
        <f>IF(Elect!AA19&lt;0,"0",Elect!AA19)</f>
        <v>3040</v>
      </c>
      <c r="W17" s="49">
        <f>Elect!Z19</f>
        <v>3.13</v>
      </c>
      <c r="X17" s="49">
        <f>IF(Elect!AD19&lt;0,"0",Elect!AD19)</f>
        <v>1600</v>
      </c>
      <c r="Y17" s="49">
        <f>Elect!AC19</f>
        <v>2.46</v>
      </c>
      <c r="Z17" s="49">
        <f>IF(Elect!AG19&lt;0,"0",Elect!AG19)</f>
        <v>26400</v>
      </c>
      <c r="AA17" s="49">
        <f>Elect!AF19</f>
        <v>1.9450000000000001</v>
      </c>
      <c r="AB17" s="49">
        <f>IF(Elect!AX19&lt;0,"0",Elect!AX19)</f>
        <v>1400</v>
      </c>
      <c r="AC17" s="49">
        <f>IF(Elect!AV19&lt;0,"0",Elect!AV19)</f>
        <v>10600</v>
      </c>
      <c r="AD17" s="49">
        <f>IF(Elect!AZ19&lt;0,"0",Elect!AZ19)</f>
        <v>685</v>
      </c>
      <c r="AE17" s="49">
        <f>IF(Elect!BB19&lt;0,"0",Elect!BB19)</f>
        <v>4840</v>
      </c>
      <c r="AF17" s="231">
        <f>IF('Wtr-Gas'!E19&lt;0,"0",('Wtr-Gas'!E19)*0.0038)</f>
        <v>2405.6280000000002</v>
      </c>
      <c r="AG17" s="231">
        <f>IF('Wtr-Gas'!H19&lt;0,"0",('Wtr-Gas'!H19)*0.0038)</f>
        <v>23.902000000000001</v>
      </c>
      <c r="AH17" s="231">
        <f>IF('Wtr-Gas'!K19&lt;0,"0",('Wtr-Gas'!K19)*0.0038)</f>
        <v>0.64600000000000002</v>
      </c>
      <c r="AI17" s="231">
        <f>IF('Wtr-Gas'!N19&lt;0,"0",('Wtr-Gas'!N19)*0.0038)</f>
        <v>1729</v>
      </c>
      <c r="AJ17" s="231">
        <f>IF('Wtr-Gas'!Q19&lt;0,"0",('Wtr-Gas'!Q19)*0.0038)</f>
        <v>57.76</v>
      </c>
      <c r="AK17" s="232">
        <f>IF('Wtr-Gas'!U19&lt;0,"0",('Wtr-Gas'!U19)*0.0038)</f>
        <v>435.86</v>
      </c>
      <c r="AL17" s="232">
        <f>IF('Wtr-Gas'!X19&lt;0,"0",('Wtr-Gas'!X19)*0.0038)</f>
        <v>3510.06</v>
      </c>
      <c r="AM17" s="231">
        <f>IF('Wtr-Gas'!AB19&lt;0,"0",('Wtr-Gas'!AB19)*0.0038)</f>
        <v>2356</v>
      </c>
      <c r="AN17" s="231">
        <f>IF('Wtr-Gas'!AD19&lt;0,"0",('Wtr-Gas'!AD19)*0.0038)</f>
        <v>798.35757999999998</v>
      </c>
      <c r="AO17" s="231">
        <f>IF('Wtr-Gas'!AF19&lt;0,"0",('Wtr-Gas'!AF19)*0.0038)</f>
        <v>7.03</v>
      </c>
      <c r="AP17" s="231">
        <f>IF('Wtr-Gas'!AH19&lt;0,"0",('Wtr-Gas'!AH19)*0.0038)</f>
        <v>139.232</v>
      </c>
      <c r="AQ17" s="231">
        <f>IF('Wtr-Gas'!AJ19&lt;0,"0",('Wtr-Gas'!AJ19)*0.0038)</f>
        <v>26.968599999999999</v>
      </c>
      <c r="AR17" s="231">
        <f>IF('Wtr-Gas'!AL19&lt;0,"0",('Wtr-Gas'!AL19)*0.0038)</f>
        <v>311.60000000000002</v>
      </c>
      <c r="AS17" s="231">
        <f>IF('Wtr-Gas'!AN19&lt;0,"0",('Wtr-Gas'!AN19)*0.0038)</f>
        <v>0.1482</v>
      </c>
      <c r="AT17" s="231">
        <f>IF('Wtr-Gas'!AP19&lt;0,"0",('Wtr-Gas'!AP19)*0.0038)</f>
        <v>4.18</v>
      </c>
      <c r="AU17" s="252">
        <f>IF('Wtr-Gas'!AT19&lt;0,"0",('Wtr-Gas'!AT19)*0.0038)</f>
        <v>0.2888</v>
      </c>
      <c r="AV17" s="231">
        <f>IF('Wtr-Gas'!AW19&lt;0,"0",('Wtr-Gas'!AW19)*0.0038)</f>
        <v>157.69999999999999</v>
      </c>
      <c r="AW17" s="231">
        <f>IF('Wtr-Gas'!AY19&lt;0,"0",('Wtr-Gas'!AY19)*0.0038)</f>
        <v>128.54259999999999</v>
      </c>
      <c r="AX17" s="231">
        <f>IF('Wtr-Gas'!AZ19&lt;0,"0",('Wtr-Gas'!AZ19)*0.0038)</f>
        <v>29.158426000000002</v>
      </c>
      <c r="AY17" s="231">
        <f>IF('Wtr-Gas'!BB19&lt;0,"0",('Wtr-Gas'!BB19)*0.0038)</f>
        <v>7.98</v>
      </c>
      <c r="AZ17" s="231">
        <f>IF('Wtr-Gas'!BD19&lt;0,"0",('Wtr-Gas'!BD19)*0.0038)</f>
        <v>1.52</v>
      </c>
      <c r="BA17" s="231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443</v>
      </c>
      <c r="F18" s="49">
        <f>IF(Elect!I20&lt;0,"0",Elect!I20)</f>
        <v>47360</v>
      </c>
      <c r="G18" s="49">
        <f>Elect!H20</f>
        <v>2.331</v>
      </c>
      <c r="H18" s="49">
        <f>IF(Elect!F20&lt;0,"0",Elect!F20)</f>
        <v>40960</v>
      </c>
      <c r="I18" s="49">
        <f>Elect!E20</f>
        <v>2.0430000000000001</v>
      </c>
      <c r="J18" s="49">
        <f>IF(Elect!U20&lt;0,"0",Elect!U20)</f>
        <v>43800</v>
      </c>
      <c r="K18" s="49">
        <f>Elect!T20</f>
        <v>2.4350000000000001</v>
      </c>
      <c r="L18" s="49">
        <f>IF(Elect!AJ20&lt;0,"0",Elect!AJ20)</f>
        <v>1360</v>
      </c>
      <c r="M18" s="49">
        <f>Elect!AI20</f>
        <v>0.32500000000000001</v>
      </c>
      <c r="N18" s="49">
        <f>IF(Elect!X20&lt;0,"0",Elect!X20)</f>
        <v>36600</v>
      </c>
      <c r="O18" s="49">
        <f>Elect!W20</f>
        <v>1.8380000000000001</v>
      </c>
      <c r="P18" s="49">
        <f>IF(Elect!O20&lt;0,"0",Elect!O20)</f>
        <v>9600</v>
      </c>
      <c r="Q18" s="49">
        <f>Elect!N20</f>
        <v>2.98</v>
      </c>
      <c r="R18" s="49">
        <f>IF(Elect!L20&lt;0,"0",Elect!L20)</f>
        <v>9600</v>
      </c>
      <c r="S18" s="49">
        <f>Elect!K20</f>
        <v>2.98</v>
      </c>
      <c r="T18" s="49">
        <f>IF(Elect!R20&lt;0,"0",Elect!R20)</f>
        <v>8800</v>
      </c>
      <c r="U18" s="49">
        <f>Elect!Q20</f>
        <v>2.54</v>
      </c>
      <c r="V18" s="49">
        <f>IF(Elect!AA20&lt;0,"0",Elect!AA20)</f>
        <v>5760</v>
      </c>
      <c r="W18" s="49">
        <f>Elect!Z20</f>
        <v>3.18</v>
      </c>
      <c r="X18" s="49">
        <f>IF(Elect!AD20&lt;0,"0",Elect!AD20)</f>
        <v>3040</v>
      </c>
      <c r="Y18" s="49">
        <f>Elect!AC20</f>
        <v>2.91</v>
      </c>
      <c r="Z18" s="49">
        <f>IF(Elect!AG20&lt;0,"0",Elect!AG20)</f>
        <v>48600</v>
      </c>
      <c r="AA18" s="49">
        <f>Elect!AF20</f>
        <v>1.9710000000000001</v>
      </c>
      <c r="AB18" s="49">
        <f>IF(Elect!AX20&lt;0,"0",Elect!AX20)</f>
        <v>1400</v>
      </c>
      <c r="AC18" s="49">
        <f>IF(Elect!AV20&lt;0,"0",Elect!AV20)</f>
        <v>10900</v>
      </c>
      <c r="AD18" s="49">
        <f>IF(Elect!AZ20&lt;0,"0",Elect!AZ20)</f>
        <v>693</v>
      </c>
      <c r="AE18" s="49">
        <f>IF(Elect!BB20&lt;0,"0",Elect!BB20)</f>
        <v>3160</v>
      </c>
      <c r="AF18" s="231">
        <f>IF('Wtr-Gas'!E20&lt;0,"0",('Wtr-Gas'!E20)*0.0038)</f>
        <v>4549.7780000000002</v>
      </c>
      <c r="AG18" s="231">
        <f>IF('Wtr-Gas'!H20&lt;0,"0",('Wtr-Gas'!H20)*0.0038)</f>
        <v>870.2</v>
      </c>
      <c r="AH18" s="231">
        <f>IF('Wtr-Gas'!K20&lt;0,"0",('Wtr-Gas'!K20)*0.0038)</f>
        <v>0.38</v>
      </c>
      <c r="AI18" s="231">
        <f>IF('Wtr-Gas'!N20&lt;0,"0",('Wtr-Gas'!N20)*0.0038)</f>
        <v>3055.2</v>
      </c>
      <c r="AJ18" s="231">
        <f>IF('Wtr-Gas'!Q20&lt;0,"0",('Wtr-Gas'!Q20)*0.0038)</f>
        <v>102.6</v>
      </c>
      <c r="AK18" s="232">
        <f>IF('Wtr-Gas'!U20&lt;0,"0",('Wtr-Gas'!U20)*0.0038)</f>
        <v>712.88</v>
      </c>
      <c r="AL18" s="232">
        <f>IF('Wtr-Gas'!X20&lt;0,"0",('Wtr-Gas'!X20)*0.0038)</f>
        <v>4031.8</v>
      </c>
      <c r="AM18" s="231">
        <f>IF('Wtr-Gas'!AB20&lt;0,"0",('Wtr-Gas'!AB20)*0.0038)</f>
        <v>5700</v>
      </c>
      <c r="AN18" s="231">
        <f>IF('Wtr-Gas'!AD20&lt;0,"0",('Wtr-Gas'!AD20)*0.0038)</f>
        <v>1579.9639999999999</v>
      </c>
      <c r="AO18" s="231">
        <f>IF('Wtr-Gas'!AF20&lt;0,"0",('Wtr-Gas'!AF20)*0.0038)</f>
        <v>7.9039999999999999</v>
      </c>
      <c r="AP18" s="231">
        <f>IF('Wtr-Gas'!AH20&lt;0,"0",('Wtr-Gas'!AH20)*0.0038)</f>
        <v>513.83600000000001</v>
      </c>
      <c r="AQ18" s="231">
        <f>IF('Wtr-Gas'!AJ20&lt;0,"0",('Wtr-Gas'!AJ20)*0.0038)</f>
        <v>38.737200000000001</v>
      </c>
      <c r="AR18" s="231">
        <f>IF('Wtr-Gas'!AL20&lt;0,"0",('Wtr-Gas'!AL20)*0.0038)</f>
        <v>615.6</v>
      </c>
      <c r="AS18" s="231">
        <f>IF('Wtr-Gas'!AN20&lt;0,"0",('Wtr-Gas'!AN20)*0.0038)</f>
        <v>0.2014</v>
      </c>
      <c r="AT18" s="231">
        <f>IF('Wtr-Gas'!AP20&lt;0,"0",('Wtr-Gas'!AP20)*0.0038)</f>
        <v>6.46</v>
      </c>
      <c r="AU18" s="252">
        <f>IF('Wtr-Gas'!AT20&lt;0,"0",('Wtr-Gas'!AT20)*0.0038)</f>
        <v>0.27360000000000001</v>
      </c>
      <c r="AV18" s="231">
        <f>IF('Wtr-Gas'!AW20&lt;0,"0",('Wtr-Gas'!AW20)*0.0038)</f>
        <v>157.04640000000001</v>
      </c>
      <c r="AW18" s="231">
        <f>IF('Wtr-Gas'!AY20&lt;0,"0",('Wtr-Gas'!AY20)*0.0038)</f>
        <v>129.38999999999999</v>
      </c>
      <c r="AX18" s="231">
        <f>IF('Wtr-Gas'!AZ20&lt;0,"0",('Wtr-Gas'!AZ20)*0.0038)</f>
        <v>27.657844000000001</v>
      </c>
      <c r="AY18" s="231">
        <f>IF('Wtr-Gas'!BB20&lt;0,"0",('Wtr-Gas'!BB20)*0.0038)</f>
        <v>11.4</v>
      </c>
      <c r="AZ18" s="231">
        <f>IF('Wtr-Gas'!BD20&lt;0,"0",('Wtr-Gas'!BD20)*0.0038)</f>
        <v>0.76</v>
      </c>
      <c r="BA18" s="231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390</v>
      </c>
      <c r="F19" s="49">
        <f>IF(Elect!I21&lt;0,"0",Elect!I21)</f>
        <v>47840</v>
      </c>
      <c r="G19" s="49">
        <f>Elect!H21</f>
        <v>2.331</v>
      </c>
      <c r="H19" s="49">
        <f>IF(Elect!F21&lt;0,"0",Elect!F21)</f>
        <v>40960</v>
      </c>
      <c r="I19" s="49">
        <f>Elect!E21</f>
        <v>2.0430000000000001</v>
      </c>
      <c r="J19" s="49">
        <f>IF(Elect!U21&lt;0,"0",Elect!U21)</f>
        <v>45000</v>
      </c>
      <c r="K19" s="49">
        <f>Elect!T21</f>
        <v>2.4350000000000001</v>
      </c>
      <c r="L19" s="49">
        <f>IF(Elect!AJ21&lt;0,"0",Elect!AJ21)</f>
        <v>1480</v>
      </c>
      <c r="M19" s="49">
        <f>Elect!AI21</f>
        <v>0.32500000000000001</v>
      </c>
      <c r="N19" s="49">
        <f>IF(Elect!X21&lt;0,"0",Elect!X21)</f>
        <v>65400</v>
      </c>
      <c r="O19" s="49">
        <f>Elect!W21</f>
        <v>1.8380000000000001</v>
      </c>
      <c r="P19" s="49">
        <f>IF(Elect!O21&lt;0,"0",Elect!O21)</f>
        <v>0</v>
      </c>
      <c r="Q19" s="49">
        <f>Elect!N21</f>
        <v>2.98</v>
      </c>
      <c r="R19" s="49">
        <f>IF(Elect!L21&lt;0,"0",Elect!L21)</f>
        <v>9200</v>
      </c>
      <c r="S19" s="49">
        <f>Elect!K21</f>
        <v>2.98</v>
      </c>
      <c r="T19" s="49">
        <f>IF(Elect!R21&lt;0,"0",Elect!R21)</f>
        <v>9200</v>
      </c>
      <c r="U19" s="49">
        <f>Elect!Q21</f>
        <v>2.54</v>
      </c>
      <c r="V19" s="49">
        <f>IF(Elect!AA21&lt;0,"0",Elect!AA21)</f>
        <v>5760</v>
      </c>
      <c r="W19" s="49">
        <f>Elect!Z21</f>
        <v>3.18</v>
      </c>
      <c r="X19" s="49">
        <f>IF(Elect!AD21&lt;0,"0",Elect!AD21)</f>
        <v>2880</v>
      </c>
      <c r="Y19" s="49">
        <f>Elect!AC21</f>
        <v>2.91</v>
      </c>
      <c r="Z19" s="49">
        <f>IF(Elect!AG21&lt;0,"0",Elect!AG21)</f>
        <v>49600</v>
      </c>
      <c r="AA19" s="49">
        <f>Elect!AF21</f>
        <v>1.9710000000000001</v>
      </c>
      <c r="AB19" s="49">
        <f>IF(Elect!AX21&lt;0,"0",Elect!AX21)</f>
        <v>1800</v>
      </c>
      <c r="AC19" s="49">
        <f>IF(Elect!AV21&lt;0,"0",Elect!AV21)</f>
        <v>14500</v>
      </c>
      <c r="AD19" s="49">
        <f>IF(Elect!AZ21&lt;0,"0",Elect!AZ21)</f>
        <v>811</v>
      </c>
      <c r="AE19" s="49">
        <f>IF(Elect!BB21&lt;0,"0",Elect!BB21)</f>
        <v>2800</v>
      </c>
      <c r="AF19" s="231">
        <f>IF('Wtr-Gas'!E21&lt;0,"0",('Wtr-Gas'!E21)*0.0038)</f>
        <v>4444.29</v>
      </c>
      <c r="AG19" s="231">
        <f>IF('Wtr-Gas'!H21&lt;0,"0",('Wtr-Gas'!H21)*0.0038)</f>
        <v>689.28200000000004</v>
      </c>
      <c r="AH19" s="231">
        <f>IF('Wtr-Gas'!K21&lt;0,"0",('Wtr-Gas'!K21)*0.0038)</f>
        <v>2.8119999999999998</v>
      </c>
      <c r="AI19" s="231">
        <f>IF('Wtr-Gas'!N21&lt;0,"0",('Wtr-Gas'!N21)*0.0038)</f>
        <v>3123.6</v>
      </c>
      <c r="AJ19" s="231">
        <f>IF('Wtr-Gas'!Q21&lt;0,"0",('Wtr-Gas'!Q21)*0.0038)</f>
        <v>104.12</v>
      </c>
      <c r="AK19" s="232">
        <f>IF('Wtr-Gas'!U21&lt;0,"0",('Wtr-Gas'!U21)*0.0038)</f>
        <v>834.86</v>
      </c>
      <c r="AL19" s="232">
        <f>IF('Wtr-Gas'!X21&lt;0,"0",('Wtr-Gas'!X21)*0.0038)</f>
        <v>13927</v>
      </c>
      <c r="AM19" s="231">
        <f>IF('Wtr-Gas'!AB21&lt;0,"0",('Wtr-Gas'!AB21)*0.0038)</f>
        <v>8284</v>
      </c>
      <c r="AN19" s="231">
        <f>IF('Wtr-Gas'!AD21&lt;0,"0",('Wtr-Gas'!AD21)*0.0038)</f>
        <v>2095.4720000000002</v>
      </c>
      <c r="AO19" s="231">
        <f>IF('Wtr-Gas'!AF21&lt;0,"0",('Wtr-Gas'!AF21)*0.0038)</f>
        <v>13.49</v>
      </c>
      <c r="AP19" s="231">
        <f>IF('Wtr-Gas'!AH21&lt;0,"0",('Wtr-Gas'!AH21)*0.0038)</f>
        <v>656.03200000000004</v>
      </c>
      <c r="AQ19" s="231">
        <f>IF('Wtr-Gas'!AJ21&lt;0,"0",('Wtr-Gas'!AJ21)*0.0038)</f>
        <v>29.396799999999999</v>
      </c>
      <c r="AR19" s="231">
        <f>IF('Wtr-Gas'!AL21&lt;0,"0",('Wtr-Gas'!AL21)*0.0038)</f>
        <v>452.2</v>
      </c>
      <c r="AS19" s="231">
        <f>IF('Wtr-Gas'!AN21&lt;0,"0",('Wtr-Gas'!AN21)*0.0038)</f>
        <v>9.8799999999999999E-2</v>
      </c>
      <c r="AT19" s="231">
        <f>IF('Wtr-Gas'!AP21&lt;0,"0",('Wtr-Gas'!AP21)*0.0038)</f>
        <v>12.16</v>
      </c>
      <c r="AU19" s="252">
        <f>IF('Wtr-Gas'!AT21&lt;0,"0",('Wtr-Gas'!AT21)*0.0038)</f>
        <v>0.34200000000000003</v>
      </c>
      <c r="AV19" s="231">
        <f>IF('Wtr-Gas'!AW21&lt;0,"0",('Wtr-Gas'!AW21)*0.0038)</f>
        <v>183.57040000000001</v>
      </c>
      <c r="AW19" s="231">
        <f>IF('Wtr-Gas'!AY21&lt;0,"0",('Wtr-Gas'!AY21)*0.0038)</f>
        <v>150.6738</v>
      </c>
      <c r="AX19" s="231">
        <f>IF('Wtr-Gas'!AZ21&lt;0,"0",('Wtr-Gas'!AZ21)*0.0038)</f>
        <v>32.895497999999996</v>
      </c>
      <c r="AY19" s="231">
        <f>IF('Wtr-Gas'!BB21&lt;0,"0",('Wtr-Gas'!BB21)*0.0038)</f>
        <v>11.02</v>
      </c>
      <c r="AZ19" s="231">
        <f>IF('Wtr-Gas'!BD21&lt;0,"0",('Wtr-Gas'!BD21)*0.0038)</f>
        <v>1.9</v>
      </c>
      <c r="BA19" s="231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568</v>
      </c>
      <c r="F20" s="49">
        <f>IF(Elect!I22&lt;0,"0",Elect!I22)</f>
        <v>45280</v>
      </c>
      <c r="G20" s="49">
        <f>Elect!H22</f>
        <v>2.1720000000000002</v>
      </c>
      <c r="H20" s="49">
        <f>IF(Elect!F22&lt;0,"0",Elect!F22)</f>
        <v>39680</v>
      </c>
      <c r="I20" s="49">
        <f>Elect!E22</f>
        <v>1.901</v>
      </c>
      <c r="J20" s="49">
        <f>IF(Elect!U22&lt;0,"0",Elect!U22)</f>
        <v>54600</v>
      </c>
      <c r="K20" s="49">
        <f>Elect!T22</f>
        <v>2.4820000000000002</v>
      </c>
      <c r="L20" s="49">
        <f>IF(Elect!AJ22&lt;0,"0",Elect!AJ22)</f>
        <v>1360</v>
      </c>
      <c r="M20" s="49">
        <f>Elect!AI22</f>
        <v>0.29299999999999998</v>
      </c>
      <c r="N20" s="49">
        <f>IF(Elect!X22&lt;0,"0",Elect!X22)</f>
        <v>49200</v>
      </c>
      <c r="O20" s="49">
        <f>Elect!W22</f>
        <v>1.931</v>
      </c>
      <c r="P20" s="49">
        <f>IF(Elect!O22&lt;0,"0",Elect!O22)</f>
        <v>18000</v>
      </c>
      <c r="Q20" s="49">
        <f>Elect!N22</f>
        <v>1.88</v>
      </c>
      <c r="R20" s="49">
        <f>IF(Elect!L22&lt;0,"0",Elect!L22)</f>
        <v>8800</v>
      </c>
      <c r="S20" s="49">
        <f>Elect!K22</f>
        <v>1.88</v>
      </c>
      <c r="T20" s="49">
        <f>IF(Elect!R22&lt;0,"0",Elect!R22)</f>
        <v>8400</v>
      </c>
      <c r="U20" s="49">
        <f>Elect!Q22</f>
        <v>1.56</v>
      </c>
      <c r="V20" s="49">
        <f>IF(Elect!AA22&lt;0,"0",Elect!AA22)</f>
        <v>5760</v>
      </c>
      <c r="W20" s="49">
        <f>Elect!Z22</f>
        <v>3.17</v>
      </c>
      <c r="X20" s="49">
        <f>IF(Elect!AD22&lt;0,"0",Elect!AD22)</f>
        <v>3040</v>
      </c>
      <c r="Y20" s="49">
        <f>Elect!AC22</f>
        <v>1.56</v>
      </c>
      <c r="Z20" s="49">
        <f>IF(Elect!AG22&lt;0,"0",Elect!AG22)</f>
        <v>44000</v>
      </c>
      <c r="AA20" s="49">
        <f>Elect!AF22</f>
        <v>1.7470000000000001</v>
      </c>
      <c r="AB20" s="49">
        <f>IF(Elect!AX22&lt;0,"0",Elect!AX22)</f>
        <v>1800</v>
      </c>
      <c r="AC20" s="49">
        <f>IF(Elect!AV22&lt;0,"0",Elect!AV22)</f>
        <v>14200</v>
      </c>
      <c r="AD20" s="49">
        <f>IF(Elect!AZ22&lt;0,"0",Elect!AZ22)</f>
        <v>863</v>
      </c>
      <c r="AE20" s="49">
        <f>IF(Elect!BB22&lt;0,"0",Elect!BB22)</f>
        <v>2560</v>
      </c>
      <c r="AF20" s="231">
        <f>IF('Wtr-Gas'!E22&lt;0,"0",('Wtr-Gas'!E22)*0.0038)</f>
        <v>4258.6980000000003</v>
      </c>
      <c r="AG20" s="231">
        <f>IF('Wtr-Gas'!H22&lt;0,"0",('Wtr-Gas'!H22)*0.0038)</f>
        <v>1101.848</v>
      </c>
      <c r="AH20" s="231">
        <f>IF('Wtr-Gas'!K22&lt;0,"0",('Wtr-Gas'!K22)*0.0038)</f>
        <v>0.79800000000000004</v>
      </c>
      <c r="AI20" s="231">
        <f>IF('Wtr-Gas'!N22&lt;0,"0",('Wtr-Gas'!N22)*0.0038)</f>
        <v>2979.2</v>
      </c>
      <c r="AJ20" s="231">
        <f>IF('Wtr-Gas'!Q22&lt;0,"0",('Wtr-Gas'!Q22)*0.0038)</f>
        <v>103.74</v>
      </c>
      <c r="AK20" s="232">
        <f>IF('Wtr-Gas'!U22&lt;0,"0",('Wtr-Gas'!U22)*0.0038)</f>
        <v>810.16</v>
      </c>
      <c r="AL20" s="232" t="str">
        <f>IF('Wtr-Gas'!X22&lt;0,"0",('Wtr-Gas'!X22)*0.0038)</f>
        <v>0</v>
      </c>
      <c r="AM20" s="231">
        <f>IF('Wtr-Gas'!AB22&lt;0,"0",('Wtr-Gas'!AB22)*0.0038)</f>
        <v>7752</v>
      </c>
      <c r="AN20" s="231">
        <f>IF('Wtr-Gas'!AD22&lt;0,"0",('Wtr-Gas'!AD22)*0.0038)</f>
        <v>2097.3719999999998</v>
      </c>
      <c r="AO20" s="231">
        <f>IF('Wtr-Gas'!AF22&lt;0,"0",('Wtr-Gas'!AF22)*0.0038)</f>
        <v>7.3339999999999996</v>
      </c>
      <c r="AP20" s="231">
        <f>IF('Wtr-Gas'!AH22&lt;0,"0",('Wtr-Gas'!AH22)*0.0038)</f>
        <v>636.88</v>
      </c>
      <c r="AQ20" s="231">
        <f>IF('Wtr-Gas'!AJ22&lt;0,"0",('Wtr-Gas'!AJ22)*0.0038)</f>
        <v>11.430400000000001</v>
      </c>
      <c r="AR20" s="231">
        <f>IF('Wtr-Gas'!AL22&lt;0,"0",('Wtr-Gas'!AL22)*0.0038)</f>
        <v>349.6</v>
      </c>
      <c r="AS20" s="231">
        <f>IF('Wtr-Gas'!AN22&lt;0,"0",('Wtr-Gas'!AN22)*0.0038)</f>
        <v>9.5000000000000001E-2</v>
      </c>
      <c r="AT20" s="231">
        <f>IF('Wtr-Gas'!AP22&lt;0,"0",('Wtr-Gas'!AP22)*0.0038)</f>
        <v>18.239999999999998</v>
      </c>
      <c r="AU20" s="252">
        <f>IF('Wtr-Gas'!AT22&lt;0,"0",('Wtr-Gas'!AT22)*0.0038)</f>
        <v>0.35720000000000002</v>
      </c>
      <c r="AV20" s="231">
        <f>IF('Wtr-Gas'!AW22&lt;0,"0",('Wtr-Gas'!AW22)*0.0038)</f>
        <v>189.77199999999999</v>
      </c>
      <c r="AW20" s="231">
        <f>IF('Wtr-Gas'!AY22&lt;0,"0",('Wtr-Gas'!AY22)*0.0038)</f>
        <v>151.9126</v>
      </c>
      <c r="AX20" s="231">
        <f>IF('Wtr-Gas'!AZ22&lt;0,"0",('Wtr-Gas'!AZ22)*0.0038)</f>
        <v>37.860996</v>
      </c>
      <c r="AY20" s="231">
        <f>IF('Wtr-Gas'!BB22&lt;0,"0",('Wtr-Gas'!BB22)*0.0038)</f>
        <v>6.08</v>
      </c>
      <c r="AZ20" s="231">
        <f>IF('Wtr-Gas'!BD22&lt;0,"0",('Wtr-Gas'!BD22)*0.0038)</f>
        <v>1.9</v>
      </c>
      <c r="BA20" s="231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316</v>
      </c>
      <c r="F21" s="49">
        <f>IF(Elect!I23&lt;0,"0",Elect!I23)</f>
        <v>34720</v>
      </c>
      <c r="G21" s="49">
        <f>Elect!H23</f>
        <v>2.1720000000000002</v>
      </c>
      <c r="H21" s="49">
        <f>IF(Elect!F23&lt;0,"0",Elect!F23)</f>
        <v>29440</v>
      </c>
      <c r="I21" s="49">
        <f>Elect!E23</f>
        <v>1.901</v>
      </c>
      <c r="J21" s="49">
        <f>IF(Elect!U23&lt;0,"0",Elect!U23)</f>
        <v>39900</v>
      </c>
      <c r="K21" s="49">
        <f>Elect!T23</f>
        <v>2.4820000000000002</v>
      </c>
      <c r="L21" s="49">
        <f>IF(Elect!AJ23&lt;0,"0",Elect!AJ23)</f>
        <v>1120</v>
      </c>
      <c r="M21" s="49">
        <f>Elect!AI23</f>
        <v>0.32</v>
      </c>
      <c r="N21" s="49">
        <f>IF(Elect!X23&lt;0,"0",Elect!X23)</f>
        <v>45600</v>
      </c>
      <c r="O21" s="49">
        <f>Elect!W23</f>
        <v>1.931</v>
      </c>
      <c r="P21" s="49">
        <f>IF(Elect!O23&lt;0,"0",Elect!O23)</f>
        <v>9200</v>
      </c>
      <c r="Q21" s="49">
        <f>Elect!N23</f>
        <v>1.75</v>
      </c>
      <c r="R21" s="49">
        <f>IF(Elect!L23&lt;0,"0",Elect!L23)</f>
        <v>6400</v>
      </c>
      <c r="S21" s="49">
        <f>Elect!K23</f>
        <v>1.88</v>
      </c>
      <c r="T21" s="49">
        <f>IF(Elect!R23&lt;0,"0",Elect!R23)</f>
        <v>6000</v>
      </c>
      <c r="U21" s="49">
        <f>Elect!Q23</f>
        <v>1.66</v>
      </c>
      <c r="V21" s="49">
        <f>IF(Elect!AA23&lt;0,"0",Elect!AA23)</f>
        <v>4800</v>
      </c>
      <c r="W21" s="49">
        <f>Elect!Z23</f>
        <v>3.21</v>
      </c>
      <c r="X21" s="49">
        <f>IF(Elect!AD23&lt;0,"0",Elect!AD23)</f>
        <v>2560</v>
      </c>
      <c r="Y21" s="49">
        <f>Elect!AC23</f>
        <v>2.23</v>
      </c>
      <c r="Z21" s="49">
        <f>IF(Elect!AG23&lt;0,"0",Elect!AG23)</f>
        <v>34600</v>
      </c>
      <c r="AA21" s="49">
        <f>Elect!AF23</f>
        <v>1.7529999999999999</v>
      </c>
      <c r="AB21" s="49">
        <f>IF(Elect!AX23&lt;0,"0",Elect!AX23)</f>
        <v>1400</v>
      </c>
      <c r="AC21" s="49">
        <f>IF(Elect!AV23&lt;0,"0",Elect!AV23)</f>
        <v>10600</v>
      </c>
      <c r="AD21" s="49">
        <f>IF(Elect!AZ23&lt;0,"0",Elect!AZ23)</f>
        <v>636</v>
      </c>
      <c r="AE21" s="49">
        <f>IF(Elect!BB23&lt;0,"0",Elect!BB23)</f>
        <v>2360</v>
      </c>
      <c r="AF21" s="231">
        <f>IF('Wtr-Gas'!E23&lt;0,"0",('Wtr-Gas'!E23)*0.0038)</f>
        <v>3401.3040000000001</v>
      </c>
      <c r="AG21" s="231">
        <f>IF('Wtr-Gas'!H23&lt;0,"0",('Wtr-Gas'!H23)*0.0038)</f>
        <v>809.85599999999999</v>
      </c>
      <c r="AH21" s="231">
        <f>IF('Wtr-Gas'!K23&lt;0,"0",('Wtr-Gas'!K23)*0.0038)</f>
        <v>0.68400000000000005</v>
      </c>
      <c r="AI21" s="231">
        <f>IF('Wtr-Gas'!N23&lt;0,"0",('Wtr-Gas'!N23)*0.0038)</f>
        <v>2280</v>
      </c>
      <c r="AJ21" s="231">
        <f>IF('Wtr-Gas'!Q23&lt;0,"0",('Wtr-Gas'!Q23)*0.0038)</f>
        <v>84.36</v>
      </c>
      <c r="AK21" s="232">
        <f>IF('Wtr-Gas'!U23&lt;0,"0",('Wtr-Gas'!U23)*0.0038)</f>
        <v>583.29999999999995</v>
      </c>
      <c r="AL21" s="232">
        <f>IF('Wtr-Gas'!X23&lt;0,"0",('Wtr-Gas'!X23)*0.0038)</f>
        <v>1854.4</v>
      </c>
      <c r="AM21" s="231">
        <f>IF('Wtr-Gas'!AB23&lt;0,"0",('Wtr-Gas'!AB23)*0.0038)</f>
        <v>6574</v>
      </c>
      <c r="AN21" s="231">
        <f>IF('Wtr-Gas'!AD23&lt;0,"0",('Wtr-Gas'!AD23)*0.0038)</f>
        <v>1615.4632200000001</v>
      </c>
      <c r="AO21" s="231">
        <f>IF('Wtr-Gas'!AF23&lt;0,"0",('Wtr-Gas'!AF23)*0.0038)</f>
        <v>0.98799999999999999</v>
      </c>
      <c r="AP21" s="231">
        <f>IF('Wtr-Gas'!AH23&lt;0,"0",('Wtr-Gas'!AH23)*0.0038)</f>
        <v>365.63600000000002</v>
      </c>
      <c r="AQ21" s="231">
        <f>IF('Wtr-Gas'!AJ23&lt;0,"0",('Wtr-Gas'!AJ23)*0.0038)</f>
        <v>17.400200000000002</v>
      </c>
      <c r="AR21" s="231">
        <f>IF('Wtr-Gas'!AL23&lt;0,"0",('Wtr-Gas'!AL23)*0.0038)</f>
        <v>471.2</v>
      </c>
      <c r="AS21" s="231">
        <f>IF('Wtr-Gas'!AN23&lt;0,"0",('Wtr-Gas'!AN23)*0.0038)</f>
        <v>8.7400000000000005E-2</v>
      </c>
      <c r="AT21" s="231">
        <f>IF('Wtr-Gas'!AP23&lt;0,"0",('Wtr-Gas'!AP23)*0.0038)</f>
        <v>6.84</v>
      </c>
      <c r="AU21" s="252">
        <f>IF('Wtr-Gas'!AT23&lt;0,"0",('Wtr-Gas'!AT23)*0.0038)</f>
        <v>0.22800000000000001</v>
      </c>
      <c r="AV21" s="231">
        <f>IF('Wtr-Gas'!AW23&lt;0,"0",('Wtr-Gas'!AW23)*0.0038)</f>
        <v>132.30840000000001</v>
      </c>
      <c r="AW21" s="231">
        <f>IF('Wtr-Gas'!AY23&lt;0,"0",('Wtr-Gas'!AY23)*0.0038)</f>
        <v>107.0916</v>
      </c>
      <c r="AX21" s="231">
        <f>IF('Wtr-Gas'!AZ23&lt;0,"0",('Wtr-Gas'!AZ23)*0.0038)</f>
        <v>25.216382000000003</v>
      </c>
      <c r="AY21" s="231">
        <f>IF('Wtr-Gas'!BB23&lt;0,"0",('Wtr-Gas'!BB23)*0.0038)</f>
        <v>10.64</v>
      </c>
      <c r="AZ21" s="231">
        <f>IF('Wtr-Gas'!BD23&lt;0,"0",('Wtr-Gas'!BD23)*0.0038)</f>
        <v>0.76</v>
      </c>
      <c r="BA21" s="231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123</v>
      </c>
      <c r="F22" s="49">
        <f>IF(Elect!I24&lt;0,"0",Elect!I24)</f>
        <v>11840</v>
      </c>
      <c r="G22" s="49">
        <f>Elect!H24</f>
        <v>2.1720000000000002</v>
      </c>
      <c r="H22" s="49">
        <f>IF(Elect!F24&lt;0,"0",Elect!F24)</f>
        <v>10080</v>
      </c>
      <c r="I22" s="49">
        <f>Elect!E24</f>
        <v>1.901</v>
      </c>
      <c r="J22" s="49">
        <f>IF(Elect!U24&lt;0,"0",Elect!U24)</f>
        <v>16800</v>
      </c>
      <c r="K22" s="49">
        <f>Elect!T24</f>
        <v>2.4820000000000002</v>
      </c>
      <c r="L22" s="49">
        <f>IF(Elect!AJ24&lt;0,"0",Elect!AJ24)</f>
        <v>400</v>
      </c>
      <c r="M22" s="49">
        <f>Elect!AI24</f>
        <v>0.32</v>
      </c>
      <c r="N22" s="49">
        <f>IF(Elect!X24&lt;0,"0",Elect!X24)</f>
        <v>17100</v>
      </c>
      <c r="O22" s="49">
        <f>Elect!W24</f>
        <v>1.998</v>
      </c>
      <c r="P22" s="49">
        <f>IF(Elect!O24&lt;0,"0",Elect!O24)</f>
        <v>2400</v>
      </c>
      <c r="Q22" s="49">
        <f>Elect!N24</f>
        <v>1.79</v>
      </c>
      <c r="R22" s="49">
        <f>IF(Elect!L24&lt;0,"0",Elect!L24)</f>
        <v>2400</v>
      </c>
      <c r="S22" s="49">
        <f>Elect!K24</f>
        <v>1.88</v>
      </c>
      <c r="T22" s="49">
        <f>IF(Elect!R24&lt;0,"0",Elect!R24)</f>
        <v>2400</v>
      </c>
      <c r="U22" s="49">
        <f>Elect!Q24</f>
        <v>1.76</v>
      </c>
      <c r="V22" s="49">
        <f>IF(Elect!AA24&lt;0,"0",Elect!AA24)</f>
        <v>1920</v>
      </c>
      <c r="W22" s="49">
        <f>Elect!Z24</f>
        <v>4.24</v>
      </c>
      <c r="X22" s="49">
        <f>IF(Elect!AD24&lt;0,"0",Elect!AD24)</f>
        <v>800</v>
      </c>
      <c r="Y22" s="49">
        <f>Elect!AC24</f>
        <v>2.23</v>
      </c>
      <c r="Z22" s="49">
        <f>IF(Elect!AG24&lt;0,"0",Elect!AG24)</f>
        <v>12000</v>
      </c>
      <c r="AA22" s="49">
        <f>Elect!AF24</f>
        <v>1.8320000000000001</v>
      </c>
      <c r="AB22" s="49">
        <f>IF(Elect!AX24&lt;0,"0",Elect!AX24)</f>
        <v>500</v>
      </c>
      <c r="AC22" s="49">
        <f>IF(Elect!AV24&lt;0,"0",Elect!AV24)</f>
        <v>4400</v>
      </c>
      <c r="AD22" s="49">
        <f>IF(Elect!AZ24&lt;0,"0",Elect!AZ24)</f>
        <v>256</v>
      </c>
      <c r="AE22" s="49">
        <f>IF(Elect!BB24&lt;0,"0",Elect!BB24)</f>
        <v>1280</v>
      </c>
      <c r="AF22" s="231">
        <f>IF('Wtr-Gas'!E24&lt;0,"0",('Wtr-Gas'!E24)*0.0038)</f>
        <v>1229.1099999999999</v>
      </c>
      <c r="AG22" s="231">
        <f>IF('Wtr-Gas'!H24&lt;0,"0",('Wtr-Gas'!H24)*0.0038)</f>
        <v>348.38400000000001</v>
      </c>
      <c r="AH22" s="231">
        <f>IF('Wtr-Gas'!K24&lt;0,"0",('Wtr-Gas'!K24)*0.0038)</f>
        <v>0.114</v>
      </c>
      <c r="AI22" s="231">
        <f>IF('Wtr-Gas'!N24&lt;0,"0",('Wtr-Gas'!N24)*0.0038)</f>
        <v>904.4</v>
      </c>
      <c r="AJ22" s="231">
        <f>IF('Wtr-Gas'!Q24&lt;0,"0",('Wtr-Gas'!Q24)*0.0038)</f>
        <v>28.88</v>
      </c>
      <c r="AK22" s="232">
        <f>IF('Wtr-Gas'!U24&lt;0,"0",('Wtr-Gas'!U24)*0.0038)</f>
        <v>227.24</v>
      </c>
      <c r="AL22" s="232">
        <f>IF('Wtr-Gas'!X24&lt;0,"0",('Wtr-Gas'!X24)*0.0038)</f>
        <v>288.8</v>
      </c>
      <c r="AM22" s="231">
        <f>IF('Wtr-Gas'!AB24&lt;0,"0",('Wtr-Gas'!AB24)*0.0038)</f>
        <v>2698</v>
      </c>
      <c r="AN22" s="231">
        <f>IF('Wtr-Gas'!AD24&lt;0,"0",('Wtr-Gas'!AD24)*0.0038)</f>
        <v>648.23478</v>
      </c>
      <c r="AO22" s="231">
        <f>IF('Wtr-Gas'!AF24&lt;0,"0",('Wtr-Gas'!AF24)*0.0038)</f>
        <v>3.42</v>
      </c>
      <c r="AP22" s="231">
        <f>IF('Wtr-Gas'!AH24&lt;0,"0",('Wtr-Gas'!AH24)*0.0038)</f>
        <v>175.10400000000001</v>
      </c>
      <c r="AQ22" s="231">
        <f>IF('Wtr-Gas'!AJ24&lt;0,"0",('Wtr-Gas'!AJ24)*0.0038)</f>
        <v>5.681</v>
      </c>
      <c r="AR22" s="231">
        <f>IF('Wtr-Gas'!AL24&lt;0,"0",('Wtr-Gas'!AL24)*0.0038)</f>
        <v>102.6</v>
      </c>
      <c r="AS22" s="231">
        <f>IF('Wtr-Gas'!AN24&lt;0,"0",('Wtr-Gas'!AN24)*0.0038)</f>
        <v>7.6E-3</v>
      </c>
      <c r="AT22" s="231">
        <f>IF('Wtr-Gas'!AP24&lt;0,"0",('Wtr-Gas'!AP24)*0.0038)</f>
        <v>1.9</v>
      </c>
      <c r="AU22" s="252">
        <f>IF('Wtr-Gas'!AT24&lt;0,"0",('Wtr-Gas'!AT24)*0.0038)</f>
        <v>8.7400000000000005E-2</v>
      </c>
      <c r="AV22" s="231">
        <f>IF('Wtr-Gas'!AW24&lt;0,"0",('Wtr-Gas'!AW24)*0.0038)</f>
        <v>54.480600000000003</v>
      </c>
      <c r="AW22" s="231">
        <f>IF('Wtr-Gas'!AY24&lt;0,"0",('Wtr-Gas'!AY24)*0.0038)</f>
        <v>42.540999999999997</v>
      </c>
      <c r="AX22" s="231">
        <f>IF('Wtr-Gas'!AZ24&lt;0,"0",('Wtr-Gas'!AZ24)*0.0038)</f>
        <v>11.940398</v>
      </c>
      <c r="AY22" s="231">
        <f>IF('Wtr-Gas'!BB24&lt;0,"0",('Wtr-Gas'!BB24)*0.0038)</f>
        <v>0.38</v>
      </c>
      <c r="AZ22" s="231">
        <f>IF('Wtr-Gas'!BD24&lt;0,"0",('Wtr-Gas'!BD24)*0.0038)</f>
        <v>0.38</v>
      </c>
      <c r="BA22" s="231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422</v>
      </c>
      <c r="F23" s="49">
        <f>IF(Elect!I25&lt;0,"0",Elect!I25)</f>
        <v>48480</v>
      </c>
      <c r="G23" s="49">
        <f>Elect!H25</f>
        <v>2.2650000000000001</v>
      </c>
      <c r="H23" s="49">
        <f>IF(Elect!F25&lt;0,"0",Elect!F25)</f>
        <v>40640</v>
      </c>
      <c r="I23" s="49">
        <f>Elect!E25</f>
        <v>1.901</v>
      </c>
      <c r="J23" s="49">
        <f>IF(Elect!U25&lt;0,"0",Elect!U25)</f>
        <v>75600</v>
      </c>
      <c r="K23" s="49">
        <f>Elect!T25</f>
        <v>2.6459999999999999</v>
      </c>
      <c r="L23" s="49">
        <f>IF(Elect!AJ25&lt;0,"0",Elect!AJ25)</f>
        <v>1520</v>
      </c>
      <c r="M23" s="49">
        <f>Elect!AI25</f>
        <v>0.32</v>
      </c>
      <c r="N23" s="49">
        <f>IF(Elect!X25&lt;0,"0",Elect!X25)</f>
        <v>64200</v>
      </c>
      <c r="O23" s="49">
        <f>Elect!W25</f>
        <v>2.306</v>
      </c>
      <c r="P23" s="49">
        <f>IF(Elect!O25&lt;0,"0",Elect!O25)</f>
        <v>10400</v>
      </c>
      <c r="Q23" s="49">
        <f>Elect!N25</f>
        <v>2.06</v>
      </c>
      <c r="R23" s="49">
        <f>IF(Elect!L25&lt;0,"0",Elect!L25)</f>
        <v>10400</v>
      </c>
      <c r="S23" s="49">
        <f>Elect!K25</f>
        <v>2.13</v>
      </c>
      <c r="T23" s="49">
        <f>IF(Elect!R25&lt;0,"0",Elect!R25)</f>
        <v>9600</v>
      </c>
      <c r="U23" s="49">
        <f>Elect!Q25</f>
        <v>1.99</v>
      </c>
      <c r="V23" s="49">
        <f>IF(Elect!AA25&lt;0,"0",Elect!AA25)</f>
        <v>9280</v>
      </c>
      <c r="W23" s="49">
        <f>Elect!Z25</f>
        <v>6.13</v>
      </c>
      <c r="X23" s="49">
        <f>IF(Elect!AD25&lt;0,"0",Elect!AD25)</f>
        <v>3040</v>
      </c>
      <c r="Y23" s="49">
        <f>Elect!AC25</f>
        <v>2.23</v>
      </c>
      <c r="Z23" s="49">
        <f>IF(Elect!AG25&lt;0,"0",Elect!AG25)</f>
        <v>48200</v>
      </c>
      <c r="AA23" s="49">
        <f>Elect!AF25</f>
        <v>1.87</v>
      </c>
      <c r="AB23" s="49">
        <f>IF(Elect!AX25&lt;0,"0",Elect!AX25)</f>
        <v>2200</v>
      </c>
      <c r="AC23" s="49">
        <f>IF(Elect!AV25&lt;0,"0",Elect!AV25)</f>
        <v>7900</v>
      </c>
      <c r="AD23" s="49">
        <f>IF(Elect!AZ25&lt;0,"0",Elect!AZ25)</f>
        <v>1020</v>
      </c>
      <c r="AE23" s="49">
        <f>IF(Elect!BB25&lt;0,"0",Elect!BB25)</f>
        <v>6120</v>
      </c>
      <c r="AF23" s="231">
        <f>IF('Wtr-Gas'!E25&lt;0,"0",('Wtr-Gas'!E25)*0.0038)</f>
        <v>5643.152</v>
      </c>
      <c r="AG23" s="231">
        <f>IF('Wtr-Gas'!H25&lt;0,"0",('Wtr-Gas'!H25)*0.0038)</f>
        <v>373.35</v>
      </c>
      <c r="AH23" s="231">
        <f>IF('Wtr-Gas'!K25&lt;0,"0",('Wtr-Gas'!K25)*0.0038)</f>
        <v>0.68400000000000005</v>
      </c>
      <c r="AI23" s="231">
        <f>IF('Wtr-Gas'!N25&lt;0,"0",('Wtr-Gas'!N25)*0.0038)</f>
        <v>3974.8</v>
      </c>
      <c r="AJ23" s="231">
        <f>IF('Wtr-Gas'!Q25&lt;0,"0",('Wtr-Gas'!Q25)*0.0038)</f>
        <v>108.3</v>
      </c>
      <c r="AK23" s="232">
        <f>IF('Wtr-Gas'!U25&lt;0,"0",('Wtr-Gas'!U25)*0.0038)</f>
        <v>841.32</v>
      </c>
      <c r="AL23" s="232">
        <f>IF('Wtr-Gas'!X25&lt;0,"0",('Wtr-Gas'!X25)*0.0038)</f>
        <v>1578.9</v>
      </c>
      <c r="AM23" s="231">
        <f>IF('Wtr-Gas'!AB25&lt;0,"0",('Wtr-Gas'!AB25)*0.0038)</f>
        <v>10830</v>
      </c>
      <c r="AN23" s="231">
        <f>IF('Wtr-Gas'!AD25&lt;0,"0",('Wtr-Gas'!AD25)*0.0038)</f>
        <v>2731.9720000000002</v>
      </c>
      <c r="AO23" s="231">
        <f>IF('Wtr-Gas'!AF25&lt;0,"0",('Wtr-Gas'!AF25)*0.0038)</f>
        <v>18.012</v>
      </c>
      <c r="AP23" s="231">
        <f>IF('Wtr-Gas'!AH25&lt;0,"0",('Wtr-Gas'!AH25)*0.0038)</f>
        <v>537.05399999999997</v>
      </c>
      <c r="AQ23" s="231">
        <f>IF('Wtr-Gas'!AJ25&lt;0,"0",('Wtr-Gas'!AJ25)*0.0038)</f>
        <v>74.423000000000002</v>
      </c>
      <c r="AR23" s="231">
        <f>IF('Wtr-Gas'!AL25&lt;0,"0",('Wtr-Gas'!AL25)*0.0038)</f>
        <v>266</v>
      </c>
      <c r="AS23" s="231">
        <f>IF('Wtr-Gas'!AN25&lt;0,"0",('Wtr-Gas'!AN25)*0.0038)</f>
        <v>4.9399999999999999E-2</v>
      </c>
      <c r="AT23" s="231">
        <f>IF('Wtr-Gas'!AP25&lt;0,"0",('Wtr-Gas'!AP25)*0.0038)</f>
        <v>24.32</v>
      </c>
      <c r="AU23" s="252">
        <f>IF('Wtr-Gas'!AT25&lt;0,"0",('Wtr-Gas'!AT25)*0.0038)</f>
        <v>0.3458</v>
      </c>
      <c r="AV23" s="231">
        <f>IF('Wtr-Gas'!AW25&lt;0,"0",('Wtr-Gas'!AW25)*0.0038)</f>
        <v>214.3922</v>
      </c>
      <c r="AW23" s="231">
        <f>IF('Wtr-Gas'!AY25&lt;0,"0",('Wtr-Gas'!AY25)*0.0038)</f>
        <v>170.66560000000001</v>
      </c>
      <c r="AX23" s="231">
        <f>IF('Wtr-Gas'!AZ25&lt;0,"0",('Wtr-Gas'!AZ25)*0.0038)</f>
        <v>43.727246000000001</v>
      </c>
      <c r="AY23" s="231">
        <f>IF('Wtr-Gas'!BB25&lt;0,"0",('Wtr-Gas'!BB25)*0.0038)</f>
        <v>12.16</v>
      </c>
      <c r="AZ23" s="231">
        <f>IF('Wtr-Gas'!BD25&lt;0,"0",('Wtr-Gas'!BD25)*0.0038)</f>
        <v>0.76</v>
      </c>
      <c r="BA23" s="231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440</v>
      </c>
      <c r="F24" s="49">
        <f>IF(Elect!I26&lt;0,"0",Elect!I26)</f>
        <v>46720</v>
      </c>
      <c r="G24" s="49">
        <f>Elect!H26</f>
        <v>2.2650000000000001</v>
      </c>
      <c r="H24" s="49">
        <f>IF(Elect!F26&lt;0,"0",Elect!F26)</f>
        <v>39040</v>
      </c>
      <c r="I24" s="49">
        <f>Elect!E26</f>
        <v>1.901</v>
      </c>
      <c r="J24" s="49">
        <f>IF(Elect!U26&lt;0,"0",Elect!U26)</f>
        <v>55800</v>
      </c>
      <c r="K24" s="49">
        <f>Elect!T26</f>
        <v>2.6459999999999999</v>
      </c>
      <c r="L24" s="49">
        <f>IF(Elect!AJ26&lt;0,"0",Elect!AJ26)</f>
        <v>1440</v>
      </c>
      <c r="M24" s="49">
        <f>Elect!AI26</f>
        <v>0.32</v>
      </c>
      <c r="N24" s="49">
        <f>IF(Elect!X26&lt;0,"0",Elect!X26)</f>
        <v>58800</v>
      </c>
      <c r="O24" s="49">
        <f>Elect!W26</f>
        <v>2.306</v>
      </c>
      <c r="P24" s="49">
        <f>IF(Elect!O26&lt;0,"0",Elect!O26)</f>
        <v>8800</v>
      </c>
      <c r="Q24" s="49">
        <f>Elect!N26</f>
        <v>2.06</v>
      </c>
      <c r="R24" s="49">
        <f>IF(Elect!L26&lt;0,"0",Elect!L26)</f>
        <v>9600</v>
      </c>
      <c r="S24" s="49">
        <f>Elect!K26</f>
        <v>2.13</v>
      </c>
      <c r="T24" s="49">
        <f>IF(Elect!R26&lt;0,"0",Elect!R26)</f>
        <v>9200</v>
      </c>
      <c r="U24" s="49">
        <f>Elect!Q26</f>
        <v>1.99</v>
      </c>
      <c r="V24" s="49">
        <f>IF(Elect!AA26&lt;0,"0",Elect!AA26)</f>
        <v>6240</v>
      </c>
      <c r="W24" s="49">
        <f>Elect!Z26</f>
        <v>6.13</v>
      </c>
      <c r="X24" s="49">
        <f>IF(Elect!AD26&lt;0,"0",Elect!AD26)</f>
        <v>3680</v>
      </c>
      <c r="Y24" s="49">
        <f>Elect!AC26</f>
        <v>2.23</v>
      </c>
      <c r="Z24" s="49">
        <f>IF(Elect!AG26&lt;0,"0",Elect!AG26)</f>
        <v>48200</v>
      </c>
      <c r="AA24" s="49">
        <f>Elect!AF26</f>
        <v>1.87</v>
      </c>
      <c r="AB24" s="49">
        <f>IF(Elect!AX26&lt;0,"0",Elect!AX26)</f>
        <v>1700</v>
      </c>
      <c r="AC24" s="49">
        <f>IF(Elect!AV26&lt;0,"0",Elect!AV26)</f>
        <v>20500</v>
      </c>
      <c r="AD24" s="49">
        <f>IF(Elect!AZ26&lt;0,"0",Elect!AZ26)</f>
        <v>758</v>
      </c>
      <c r="AE24" s="49">
        <f>IF(Elect!BB26&lt;0,"0",Elect!BB26)</f>
        <v>4880</v>
      </c>
      <c r="AF24" s="231">
        <f>IF('Wtr-Gas'!E26&lt;0,"0",('Wtr-Gas'!E26)*0.0038)</f>
        <v>4900.1379999999999</v>
      </c>
      <c r="AG24" s="231">
        <f>IF('Wtr-Gas'!H26&lt;0,"0",('Wtr-Gas'!H26)*0.0038)</f>
        <v>465.19600000000003</v>
      </c>
      <c r="AH24" s="231">
        <f>IF('Wtr-Gas'!K26&lt;0,"0",('Wtr-Gas'!K26)*0.0038)</f>
        <v>0.68400000000000005</v>
      </c>
      <c r="AI24" s="231">
        <f>IF('Wtr-Gas'!N26&lt;0,"0",('Wtr-Gas'!N26)*0.0038)</f>
        <v>3442.8</v>
      </c>
      <c r="AJ24" s="231">
        <f>IF('Wtr-Gas'!Q26&lt;0,"0",('Wtr-Gas'!Q26)*0.0038)</f>
        <v>104.12</v>
      </c>
      <c r="AK24" s="232">
        <f>IF('Wtr-Gas'!U26&lt;0,"0",('Wtr-Gas'!U26)*0.0038)</f>
        <v>775.2</v>
      </c>
      <c r="AL24" s="232">
        <f>IF('Wtr-Gas'!X26&lt;0,"0",('Wtr-Gas'!X26)*0.0038)</f>
        <v>2346.5</v>
      </c>
      <c r="AM24" s="231">
        <f>IF('Wtr-Gas'!AB26&lt;0,"0",('Wtr-Gas'!AB26)*0.0038)</f>
        <v>8702</v>
      </c>
      <c r="AN24" s="231">
        <f>IF('Wtr-Gas'!AD26&lt;0,"0",('Wtr-Gas'!AD26)*0.0038)</f>
        <v>2237.8580000000002</v>
      </c>
      <c r="AO24" s="231">
        <f>IF('Wtr-Gas'!AF26&lt;0,"0",('Wtr-Gas'!AF26)*0.0038)</f>
        <v>10.222</v>
      </c>
      <c r="AP24" s="231">
        <f>IF('Wtr-Gas'!AH26&lt;0,"0",('Wtr-Gas'!AH26)*0.0038)</f>
        <v>519.91600000000005</v>
      </c>
      <c r="AQ24" s="231">
        <f>IF('Wtr-Gas'!AJ26&lt;0,"0",('Wtr-Gas'!AJ26)*0.0038)</f>
        <v>37.673200000000001</v>
      </c>
      <c r="AR24" s="231">
        <f>IF('Wtr-Gas'!AL26&lt;0,"0",('Wtr-Gas'!AL26)*0.0038)</f>
        <v>1155.2</v>
      </c>
      <c r="AS24" s="231">
        <f>IF('Wtr-Gas'!AN26&lt;0,"0",('Wtr-Gas'!AN26)*0.0038)</f>
        <v>9.1200000000000003E-2</v>
      </c>
      <c r="AT24" s="231">
        <f>IF('Wtr-Gas'!AP26&lt;0,"0",('Wtr-Gas'!AP26)*0.0038)</f>
        <v>25.08</v>
      </c>
      <c r="AU24" s="252">
        <f>IF('Wtr-Gas'!AT26&lt;0,"0",('Wtr-Gas'!AT26)*0.0038)</f>
        <v>0.30020000000000002</v>
      </c>
      <c r="AV24" s="231">
        <f>IF('Wtr-Gas'!AW26&lt;0,"0",('Wtr-Gas'!AW26)*0.0038)</f>
        <v>152.095</v>
      </c>
      <c r="AW24" s="231">
        <f>IF('Wtr-Gas'!AY26&lt;0,"0",('Wtr-Gas'!AY26)*0.0038)</f>
        <v>128.9796</v>
      </c>
      <c r="AX24" s="231">
        <f>IF('Wtr-Gas'!AZ26&lt;0,"0",('Wtr-Gas'!AZ26)*0.0038)</f>
        <v>23.116388000000001</v>
      </c>
      <c r="AY24" s="231">
        <f>IF('Wtr-Gas'!BB26&lt;0,"0",('Wtr-Gas'!BB26)*0.0038)</f>
        <v>8.74</v>
      </c>
      <c r="AZ24" s="231">
        <f>IF('Wtr-Gas'!BD26&lt;0,"0",('Wtr-Gas'!BD26)*0.0038)</f>
        <v>1.1399999999999999</v>
      </c>
      <c r="BA24" s="231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394</v>
      </c>
      <c r="F25" s="49">
        <f>IF(Elect!I27&lt;0,"0",Elect!I27)</f>
        <v>47840</v>
      </c>
      <c r="G25" s="49">
        <f>Elect!H27</f>
        <v>2.1829999999999998</v>
      </c>
      <c r="H25" s="49">
        <f>IF(Elect!F27&lt;0,"0",Elect!F27)</f>
        <v>39360</v>
      </c>
      <c r="I25" s="49">
        <f>Elect!E27</f>
        <v>1.93</v>
      </c>
      <c r="J25" s="49">
        <f>IF(Elect!U27&lt;0,"0",Elect!U27)</f>
        <v>56100</v>
      </c>
      <c r="K25" s="49">
        <f>Elect!T27</f>
        <v>1.774</v>
      </c>
      <c r="L25" s="49">
        <f>IF(Elect!AJ27&lt;0,"0",Elect!AJ27)</f>
        <v>1440</v>
      </c>
      <c r="M25" s="49">
        <f>Elect!AI27</f>
        <v>0.28599999999999998</v>
      </c>
      <c r="N25" s="49">
        <f>IF(Elect!X27&lt;0,"0",Elect!X27)</f>
        <v>59700</v>
      </c>
      <c r="O25" s="49">
        <f>Elect!W27</f>
        <v>1.5109999999999999</v>
      </c>
      <c r="P25" s="49">
        <f>IF(Elect!O27&lt;0,"0",Elect!O27)</f>
        <v>10000</v>
      </c>
      <c r="Q25" s="49">
        <f>Elect!N27</f>
        <v>1.84</v>
      </c>
      <c r="R25" s="49">
        <f>IF(Elect!L27&lt;0,"0",Elect!L27)</f>
        <v>10000</v>
      </c>
      <c r="S25" s="49">
        <f>Elect!K27</f>
        <v>2.09</v>
      </c>
      <c r="T25" s="49">
        <f>IF(Elect!R27&lt;0,"0",Elect!R27)</f>
        <v>9200</v>
      </c>
      <c r="U25" s="49">
        <f>Elect!Q27</f>
        <v>1.83</v>
      </c>
      <c r="V25" s="49">
        <f>IF(Elect!AA27&lt;0,"0",Elect!AA27)</f>
        <v>6560</v>
      </c>
      <c r="W25" s="49">
        <f>Elect!Z27</f>
        <v>2.87</v>
      </c>
      <c r="X25" s="49">
        <f>IF(Elect!AD27&lt;0,"0",Elect!AD27)</f>
        <v>3040</v>
      </c>
      <c r="Y25" s="49">
        <f>Elect!AC27</f>
        <v>1.44</v>
      </c>
      <c r="Z25" s="49">
        <f>IF(Elect!AG27&lt;0,"0",Elect!AG27)</f>
        <v>50000</v>
      </c>
      <c r="AA25" s="49">
        <f>Elect!AF27</f>
        <v>1.9890000000000001</v>
      </c>
      <c r="AB25" s="49">
        <f>IF(Elect!AX27&lt;0,"0",Elect!AX27)</f>
        <v>1800</v>
      </c>
      <c r="AC25" s="49">
        <f>IF(Elect!AV27&lt;0,"0",Elect!AV27)</f>
        <v>14000</v>
      </c>
      <c r="AD25" s="49">
        <f>IF(Elect!AZ27&lt;0,"0",Elect!AZ27)</f>
        <v>893</v>
      </c>
      <c r="AE25" s="49">
        <f>IF(Elect!BB27&lt;0,"0",Elect!BB27)</f>
        <v>5840</v>
      </c>
      <c r="AF25" s="231">
        <f>IF('Wtr-Gas'!E27&lt;0,"0",('Wtr-Gas'!E27)*0.0038)</f>
        <v>5332.9960000000001</v>
      </c>
      <c r="AG25" s="231">
        <f>IF('Wtr-Gas'!H27&lt;0,"0",('Wtr-Gas'!H27)*0.0038)</f>
        <v>807.80399999999997</v>
      </c>
      <c r="AH25" s="231">
        <f>IF('Wtr-Gas'!K27&lt;0,"0",('Wtr-Gas'!K27)*0.0038)</f>
        <v>0.68400000000000005</v>
      </c>
      <c r="AI25" s="231">
        <f>IF('Wtr-Gas'!N27&lt;0,"0",('Wtr-Gas'!N27)*0.0038)</f>
        <v>3731.6</v>
      </c>
      <c r="AJ25" s="231">
        <f>IF('Wtr-Gas'!Q27&lt;0,"0",('Wtr-Gas'!Q27)*0.0038)</f>
        <v>114.38</v>
      </c>
      <c r="AK25" s="232">
        <f>IF('Wtr-Gas'!U27&lt;0,"0",('Wtr-Gas'!U27)*0.0038)</f>
        <v>859.18</v>
      </c>
      <c r="AL25" s="232">
        <f>IF('Wtr-Gas'!X27&lt;0,"0",('Wtr-Gas'!X27)*0.0038)</f>
        <v>3104.6</v>
      </c>
      <c r="AM25" s="231">
        <f>IF('Wtr-Gas'!AB27&lt;0,"0",('Wtr-Gas'!AB27)*0.0038)</f>
        <v>9272</v>
      </c>
      <c r="AN25" s="231">
        <f>IF('Wtr-Gas'!AD27&lt;0,"0",('Wtr-Gas'!AD27)*0.0038)</f>
        <v>2447.694</v>
      </c>
      <c r="AO25" s="231">
        <f>IF('Wtr-Gas'!AF27&lt;0,"0",('Wtr-Gas'!AF27)*0.0038)</f>
        <v>3.952</v>
      </c>
      <c r="AP25" s="231">
        <f>IF('Wtr-Gas'!AH27&lt;0,"0",('Wtr-Gas'!AH27)*0.0038)</f>
        <v>567.37800000000004</v>
      </c>
      <c r="AQ25" s="231">
        <f>IF('Wtr-Gas'!AJ27&lt;0,"0",('Wtr-Gas'!AJ27)*0.0038)</f>
        <v>38.934800000000003</v>
      </c>
      <c r="AR25" s="231">
        <f>IF('Wtr-Gas'!AL27&lt;0,"0",('Wtr-Gas'!AL27)*0.0038)</f>
        <v>691.6</v>
      </c>
      <c r="AS25" s="231">
        <f>IF('Wtr-Gas'!AN27&lt;0,"0",('Wtr-Gas'!AN27)*0.0038)</f>
        <v>0.15959999999999999</v>
      </c>
      <c r="AT25" s="231">
        <f>IF('Wtr-Gas'!AP27&lt;0,"0",('Wtr-Gas'!AP27)*0.0038)</f>
        <v>5.32</v>
      </c>
      <c r="AU25" s="252">
        <f>IF('Wtr-Gas'!AT27&lt;0,"0",('Wtr-Gas'!AT27)*0.0038)</f>
        <v>0.30020000000000002</v>
      </c>
      <c r="AV25" s="231">
        <f>IF('Wtr-Gas'!AW27&lt;0,"0",('Wtr-Gas'!AW27)*0.0038)</f>
        <v>184.76740000000001</v>
      </c>
      <c r="AW25" s="231">
        <f>IF('Wtr-Gas'!AY27&lt;0,"0",('Wtr-Gas'!AY27)*0.0038)</f>
        <v>149.5718</v>
      </c>
      <c r="AX25" s="231">
        <f>IF('Wtr-Gas'!AZ27&lt;0,"0",('Wtr-Gas'!AZ27)*0.0038)</f>
        <v>35.197234000000002</v>
      </c>
      <c r="AY25" s="231">
        <f>IF('Wtr-Gas'!BB27&lt;0,"0",('Wtr-Gas'!BB27)*0.0038)</f>
        <v>20.52</v>
      </c>
      <c r="AZ25" s="231">
        <f>IF('Wtr-Gas'!BD27&lt;0,"0",('Wtr-Gas'!BD27)*0.0038)</f>
        <v>1.1399999999999999</v>
      </c>
      <c r="BA25" s="231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417</v>
      </c>
      <c r="F26" s="49">
        <f>IF(Elect!I28&lt;0,"0",Elect!I28)</f>
        <v>46560</v>
      </c>
      <c r="G26" s="49">
        <f>Elect!H28</f>
        <v>2.1829999999999998</v>
      </c>
      <c r="H26" s="49">
        <f>IF(Elect!F28&lt;0,"0",Elect!F28)</f>
        <v>39040</v>
      </c>
      <c r="I26" s="49">
        <f>Elect!E28</f>
        <v>1.93</v>
      </c>
      <c r="J26" s="49">
        <f>IF(Elect!U28&lt;0,"0",Elect!U28)</f>
        <v>52800</v>
      </c>
      <c r="K26" s="49">
        <f>Elect!T28</f>
        <v>1.774</v>
      </c>
      <c r="L26" s="49">
        <f>IF(Elect!AJ28&lt;0,"0",Elect!AJ28)</f>
        <v>1400</v>
      </c>
      <c r="M26" s="49">
        <f>Elect!AI28</f>
        <v>0.29799999999999999</v>
      </c>
      <c r="N26" s="49">
        <f>IF(Elect!X28&lt;0,"0",Elect!X28)</f>
        <v>60000</v>
      </c>
      <c r="O26" s="49">
        <f>Elect!W28</f>
        <v>1.8560000000000001</v>
      </c>
      <c r="P26" s="49">
        <f>IF(Elect!O28&lt;0,"0",Elect!O28)</f>
        <v>8800</v>
      </c>
      <c r="Q26" s="49">
        <f>Elect!N28</f>
        <v>1.84</v>
      </c>
      <c r="R26" s="49">
        <f>IF(Elect!L28&lt;0,"0",Elect!L28)</f>
        <v>9200</v>
      </c>
      <c r="S26" s="49">
        <f>Elect!K28</f>
        <v>2.09</v>
      </c>
      <c r="T26" s="49">
        <f>IF(Elect!R28&lt;0,"0",Elect!R28)</f>
        <v>9600</v>
      </c>
      <c r="U26" s="49">
        <f>Elect!Q28</f>
        <v>1.86</v>
      </c>
      <c r="V26" s="49">
        <f>IF(Elect!AA28&lt;0,"0",Elect!AA28)</f>
        <v>5760</v>
      </c>
      <c r="W26" s="49">
        <f>Elect!Z28</f>
        <v>2.9</v>
      </c>
      <c r="X26" s="49">
        <f>IF(Elect!AD28&lt;0,"0",Elect!AD28)</f>
        <v>2720</v>
      </c>
      <c r="Y26" s="49">
        <f>Elect!AC28</f>
        <v>1.54</v>
      </c>
      <c r="Z26" s="49">
        <f>IF(Elect!AG28&lt;0,"0",Elect!AG28)</f>
        <v>48800</v>
      </c>
      <c r="AA26" s="49">
        <f>Elect!AF28</f>
        <v>1.9890000000000001</v>
      </c>
      <c r="AB26" s="49">
        <f>IF(Elect!AX28&lt;0,"0",Elect!AX28)</f>
        <v>1900</v>
      </c>
      <c r="AC26" s="49">
        <f>IF(Elect!AV28&lt;0,"0",Elect!AV28)</f>
        <v>15000</v>
      </c>
      <c r="AD26" s="49">
        <f>IF(Elect!AZ28&lt;0,"0",Elect!AZ28)</f>
        <v>891</v>
      </c>
      <c r="AE26" s="49">
        <f>IF(Elect!BB28&lt;0,"0",Elect!BB28)</f>
        <v>5960</v>
      </c>
      <c r="AF26" s="231">
        <f>IF('Wtr-Gas'!E28&lt;0,"0",('Wtr-Gas'!E28)*0.0038)</f>
        <v>4849.826</v>
      </c>
      <c r="AG26" s="231">
        <f>IF('Wtr-Gas'!H28&lt;0,"0",('Wtr-Gas'!H28)*0.0038)</f>
        <v>1001.186</v>
      </c>
      <c r="AH26" s="231">
        <f>IF('Wtr-Gas'!K28&lt;0,"0",('Wtr-Gas'!K28)*0.0038)</f>
        <v>0.68400000000000005</v>
      </c>
      <c r="AI26" s="231">
        <f>IF('Wtr-Gas'!N28&lt;0,"0",('Wtr-Gas'!N28)*0.0038)</f>
        <v>3465.6</v>
      </c>
      <c r="AJ26" s="231">
        <f>IF('Wtr-Gas'!Q28&lt;0,"0",('Wtr-Gas'!Q28)*0.0038)</f>
        <v>109.06</v>
      </c>
      <c r="AK26" s="232">
        <f>IF('Wtr-Gas'!U28&lt;0,"0",('Wtr-Gas'!U28)*0.0038)</f>
        <v>786.6</v>
      </c>
      <c r="AL26" s="232">
        <f>IF('Wtr-Gas'!X28&lt;0,"0",('Wtr-Gas'!X28)*0.0038)</f>
        <v>1447.8</v>
      </c>
      <c r="AM26" s="231">
        <f>IF('Wtr-Gas'!AB28&lt;0,"0",('Wtr-Gas'!AB28)*0.0038)</f>
        <v>9728</v>
      </c>
      <c r="AN26" s="231">
        <f>IF('Wtr-Gas'!AD28&lt;0,"0",('Wtr-Gas'!AD28)*0.0038)</f>
        <v>2533.0419999999999</v>
      </c>
      <c r="AO26" s="231">
        <f>IF('Wtr-Gas'!AF28&lt;0,"0",('Wtr-Gas'!AF28)*0.0038)</f>
        <v>205.732</v>
      </c>
      <c r="AP26" s="231">
        <f>IF('Wtr-Gas'!AH28&lt;0,"0",('Wtr-Gas'!AH28)*0.0038)</f>
        <v>586.87199999999996</v>
      </c>
      <c r="AQ26" s="231">
        <f>IF('Wtr-Gas'!AJ28&lt;0,"0",('Wtr-Gas'!AJ28)*0.0038)</f>
        <v>39.698599999999999</v>
      </c>
      <c r="AR26" s="231">
        <f>IF('Wtr-Gas'!AL28&lt;0,"0",('Wtr-Gas'!AL28)*0.0038)</f>
        <v>395.2</v>
      </c>
      <c r="AS26" s="231">
        <f>IF('Wtr-Gas'!AN28&lt;0,"0",('Wtr-Gas'!AN28)*0.0038)</f>
        <v>0.1444</v>
      </c>
      <c r="AT26" s="231">
        <f>IF('Wtr-Gas'!AP28&lt;0,"0",('Wtr-Gas'!AP28)*0.0038)</f>
        <v>14.82</v>
      </c>
      <c r="AU26" s="252">
        <f>IF('Wtr-Gas'!AT28&lt;0,"0",('Wtr-Gas'!AT28)*0.0038)</f>
        <v>0.34960000000000002</v>
      </c>
      <c r="AV26" s="231">
        <f>IF('Wtr-Gas'!AW28&lt;0,"0",('Wtr-Gas'!AW28)*0.0038)</f>
        <v>200.17259999999999</v>
      </c>
      <c r="AW26" s="231">
        <f>IF('Wtr-Gas'!AY28&lt;0,"0",('Wtr-Gas'!AY28)*0.0038)</f>
        <v>149.27539999999999</v>
      </c>
      <c r="AX26" s="231">
        <f>IF('Wtr-Gas'!AZ28&lt;0,"0",('Wtr-Gas'!AZ28)*0.0038)</f>
        <v>50.895831999999999</v>
      </c>
      <c r="AY26" s="231">
        <f>IF('Wtr-Gas'!BB28&lt;0,"0",('Wtr-Gas'!BB28)*0.0038)</f>
        <v>8.74</v>
      </c>
      <c r="AZ26" s="231">
        <f>IF('Wtr-Gas'!BD28&lt;0,"0",('Wtr-Gas'!BD28)*0.0038)</f>
        <v>1.52</v>
      </c>
      <c r="BA26" s="231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389</v>
      </c>
      <c r="F27" s="49">
        <f>IF(Elect!I29&lt;0,"0",Elect!I29)</f>
        <v>46880</v>
      </c>
      <c r="G27" s="49">
        <f>Elect!H29</f>
        <v>2.1909999999999998</v>
      </c>
      <c r="H27" s="49">
        <f>IF(Elect!F29&lt;0,"0",Elect!F29)</f>
        <v>39840</v>
      </c>
      <c r="I27" s="49">
        <f>Elect!E29</f>
        <v>1.9319999999999999</v>
      </c>
      <c r="J27" s="49">
        <f>IF(Elect!U29&lt;0,"0",Elect!U29)</f>
        <v>75600</v>
      </c>
      <c r="K27" s="49">
        <f>Elect!T29</f>
        <v>2.778</v>
      </c>
      <c r="L27" s="49">
        <f>IF(Elect!AJ29&lt;0,"0",Elect!AJ29)</f>
        <v>1400</v>
      </c>
      <c r="M27" s="49">
        <f>Elect!AI29</f>
        <v>0.3</v>
      </c>
      <c r="N27" s="49">
        <f>IF(Elect!X29&lt;0,"0",Elect!X29)</f>
        <v>74400</v>
      </c>
      <c r="O27" s="49">
        <f>Elect!W29</f>
        <v>2.2109999999999999</v>
      </c>
      <c r="P27" s="49">
        <f>IF(Elect!O29&lt;0,"0",Elect!O29)</f>
        <v>9200</v>
      </c>
      <c r="Q27" s="49">
        <f>Elect!N29</f>
        <v>1.84</v>
      </c>
      <c r="R27" s="49">
        <f>IF(Elect!L29&lt;0,"0",Elect!L29)</f>
        <v>10400</v>
      </c>
      <c r="S27" s="49">
        <f>Elect!K29</f>
        <v>2.09</v>
      </c>
      <c r="T27" s="49">
        <f>IF(Elect!R29&lt;0,"0",Elect!R29)</f>
        <v>9200</v>
      </c>
      <c r="U27" s="49">
        <f>Elect!Q29</f>
        <v>1.94</v>
      </c>
      <c r="V27" s="49">
        <f>IF(Elect!AA29&lt;0,"0",Elect!AA29)</f>
        <v>5920</v>
      </c>
      <c r="W27" s="49">
        <f>Elect!Z29</f>
        <v>3.28</v>
      </c>
      <c r="X27" s="49">
        <f>IF(Elect!AD29&lt;0,"0",Elect!AD29)</f>
        <v>3200</v>
      </c>
      <c r="Y27" s="49">
        <f>Elect!AC29</f>
        <v>2.4900000000000002</v>
      </c>
      <c r="Z27" s="49">
        <f>IF(Elect!AG29&lt;0,"0",Elect!AG29)</f>
        <v>49600</v>
      </c>
      <c r="AA27" s="49">
        <f>Elect!AF29</f>
        <v>2</v>
      </c>
      <c r="AB27" s="49">
        <f>IF(Elect!AX29&lt;0,"0",Elect!AX29)</f>
        <v>1900</v>
      </c>
      <c r="AC27" s="49">
        <f>IF(Elect!AV29&lt;0,"0",Elect!AV29)</f>
        <v>15500</v>
      </c>
      <c r="AD27" s="49">
        <f>IF(Elect!AZ29&lt;0,"0",Elect!AZ29)</f>
        <v>882</v>
      </c>
      <c r="AE27" s="49">
        <f>IF(Elect!BB29&lt;0,"0",Elect!BB29)</f>
        <v>3920</v>
      </c>
      <c r="AF27" s="231">
        <f>IF('Wtr-Gas'!E29&lt;0,"0",('Wtr-Gas'!E29)*0.0038)</f>
        <v>5188.558</v>
      </c>
      <c r="AG27" s="231">
        <f>IF('Wtr-Gas'!H29&lt;0,"0",('Wtr-Gas'!H29)*0.0038)</f>
        <v>904.05799999999999</v>
      </c>
      <c r="AH27" s="231">
        <f>IF('Wtr-Gas'!K29&lt;0,"0",('Wtr-Gas'!K29)*0.0038)</f>
        <v>0.83599999999999997</v>
      </c>
      <c r="AI27" s="231">
        <f>IF('Wtr-Gas'!N29&lt;0,"0",('Wtr-Gas'!N29)*0.0038)</f>
        <v>3944.4</v>
      </c>
      <c r="AJ27" s="231">
        <f>IF('Wtr-Gas'!Q29&lt;0,"0",('Wtr-Gas'!Q29)*0.0038)</f>
        <v>110.2</v>
      </c>
      <c r="AK27" s="232">
        <f>IF('Wtr-Gas'!U29&lt;0,"0",('Wtr-Gas'!U29)*0.0038)</f>
        <v>766.46</v>
      </c>
      <c r="AL27" s="232">
        <f>IF('Wtr-Gas'!X29&lt;0,"0",('Wtr-Gas'!X29)*0.0038)</f>
        <v>1026</v>
      </c>
      <c r="AM27" s="231">
        <f>IF('Wtr-Gas'!AB29&lt;0,"0",('Wtr-Gas'!AB29)*0.0038)</f>
        <v>10792</v>
      </c>
      <c r="AN27" s="231">
        <f>IF('Wtr-Gas'!AD29&lt;0,"0",('Wtr-Gas'!AD29)*0.0038)</f>
        <v>2936.64</v>
      </c>
      <c r="AO27" s="231">
        <f>IF('Wtr-Gas'!AF29&lt;0,"0",('Wtr-Gas'!AF29)*0.0038)</f>
        <v>7.6379999999999999</v>
      </c>
      <c r="AP27" s="231">
        <f>IF('Wtr-Gas'!AH29&lt;0,"0",('Wtr-Gas'!AH29)*0.0038)</f>
        <v>508.25</v>
      </c>
      <c r="AQ27" s="231">
        <f>IF('Wtr-Gas'!AJ29&lt;0,"0",('Wtr-Gas'!AJ29)*0.0038)</f>
        <v>38.2926</v>
      </c>
      <c r="AR27" s="231">
        <f>IF('Wtr-Gas'!AL29&lt;0,"0",('Wtr-Gas'!AL29)*0.0038)</f>
        <v>292.60000000000002</v>
      </c>
      <c r="AS27" s="231">
        <f>IF('Wtr-Gas'!AN29&lt;0,"0",('Wtr-Gas'!AN29)*0.0038)</f>
        <v>0.10639999999999999</v>
      </c>
      <c r="AT27" s="231">
        <f>IF('Wtr-Gas'!AP29&lt;0,"0",('Wtr-Gas'!AP29)*0.0038)</f>
        <v>15.96</v>
      </c>
      <c r="AU27" s="252">
        <f>IF('Wtr-Gas'!AT29&lt;0,"0",('Wtr-Gas'!AT29)*0.0038)</f>
        <v>0.4446</v>
      </c>
      <c r="AV27" s="231">
        <f>IF('Wtr-Gas'!AW29&lt;0,"0",('Wtr-Gas'!AW29)*0.0038)</f>
        <v>192.9298</v>
      </c>
      <c r="AW27" s="231">
        <f>IF('Wtr-Gas'!AY29&lt;0,"0",('Wtr-Gas'!AY29)*0.0038)</f>
        <v>150.95500000000001</v>
      </c>
      <c r="AX27" s="231">
        <f>IF('Wtr-Gas'!AZ29&lt;0,"0",('Wtr-Gas'!AZ29)*0.0038)</f>
        <v>41.975939999999994</v>
      </c>
      <c r="AY27" s="231">
        <f>IF('Wtr-Gas'!BB29&lt;0,"0",('Wtr-Gas'!BB29)*0.0038)</f>
        <v>6.84</v>
      </c>
      <c r="AZ27" s="231">
        <f>IF('Wtr-Gas'!BD29&lt;0,"0",('Wtr-Gas'!BD29)*0.0038)</f>
        <v>1.1399999999999999</v>
      </c>
      <c r="BA27" s="231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449</v>
      </c>
      <c r="F28" s="49">
        <f>IF(Elect!I30&lt;0,"0",Elect!I30)</f>
        <v>48640</v>
      </c>
      <c r="G28" s="49">
        <f>Elect!H30</f>
        <v>2.202</v>
      </c>
      <c r="H28" s="49">
        <f>IF(Elect!F30&lt;0,"0",Elect!F30)</f>
        <v>40000</v>
      </c>
      <c r="I28" s="49">
        <f>Elect!E30</f>
        <v>1.9319999999999999</v>
      </c>
      <c r="J28" s="49">
        <f>IF(Elect!U30&lt;0,"0",Elect!U30)</f>
        <v>78300</v>
      </c>
      <c r="K28" s="49">
        <f>Elect!T30</f>
        <v>2.778</v>
      </c>
      <c r="L28" s="49">
        <f>IF(Elect!AJ30&lt;0,"0",Elect!AJ30)</f>
        <v>1480</v>
      </c>
      <c r="M28" s="49">
        <f>Elect!AI30</f>
        <v>0.3</v>
      </c>
      <c r="N28" s="49">
        <f>IF(Elect!X30&lt;0,"0",Elect!X30)</f>
        <v>76800</v>
      </c>
      <c r="O28" s="49">
        <f>Elect!W30</f>
        <v>2.2109999999999999</v>
      </c>
      <c r="P28" s="49">
        <f>IF(Elect!O30&lt;0,"0",Elect!O30)</f>
        <v>10000</v>
      </c>
      <c r="Q28" s="49">
        <f>Elect!N30</f>
        <v>1.87</v>
      </c>
      <c r="R28" s="49">
        <f>IF(Elect!L30&lt;0,"0",Elect!L30)</f>
        <v>10400</v>
      </c>
      <c r="S28" s="49">
        <f>Elect!K30</f>
        <v>2.09</v>
      </c>
      <c r="T28" s="49">
        <f>IF(Elect!R30&lt;0,"0",Elect!R30)</f>
        <v>10400</v>
      </c>
      <c r="U28" s="49">
        <f>Elect!Q30</f>
        <v>1.94</v>
      </c>
      <c r="V28" s="49">
        <f>IF(Elect!AA30&lt;0,"0",Elect!AA30)</f>
        <v>6240</v>
      </c>
      <c r="W28" s="49">
        <f>Elect!Z30</f>
        <v>3.33</v>
      </c>
      <c r="X28" s="49">
        <f>IF(Elect!AD30&lt;0,"0",Elect!AD30)</f>
        <v>3520</v>
      </c>
      <c r="Y28" s="49">
        <f>Elect!AC30</f>
        <v>2.4900000000000002</v>
      </c>
      <c r="Z28" s="49">
        <f>IF(Elect!AG30&lt;0,"0",Elect!AG30)</f>
        <v>53000</v>
      </c>
      <c r="AA28" s="49">
        <f>Elect!AF30</f>
        <v>2.0009999999999999</v>
      </c>
      <c r="AB28" s="49">
        <f>IF(Elect!AX30&lt;0,"0",Elect!AX30)</f>
        <v>1200</v>
      </c>
      <c r="AC28" s="49">
        <f>IF(Elect!AV30&lt;0,"0",Elect!AV30)</f>
        <v>21400</v>
      </c>
      <c r="AD28" s="49">
        <f>IF(Elect!AZ30&lt;0,"0",Elect!AZ30)</f>
        <v>894</v>
      </c>
      <c r="AE28" s="49">
        <f>IF(Elect!BB30&lt;0,"0",Elect!BB30)</f>
        <v>3680</v>
      </c>
      <c r="AF28" s="231">
        <f>IF('Wtr-Gas'!E30&lt;0,"0",('Wtr-Gas'!E30)*0.0038)</f>
        <v>5140.5259999999998</v>
      </c>
      <c r="AG28" s="231">
        <f>IF('Wtr-Gas'!H30&lt;0,"0",('Wtr-Gas'!H30)*0.0038)</f>
        <v>1621.8019999999999</v>
      </c>
      <c r="AH28" s="231">
        <f>IF('Wtr-Gas'!K30&lt;0,"0",('Wtr-Gas'!K30)*0.0038)</f>
        <v>2.09</v>
      </c>
      <c r="AI28" s="231">
        <f>IF('Wtr-Gas'!N30&lt;0,"0",('Wtr-Gas'!N30)*0.0038)</f>
        <v>4016.6</v>
      </c>
      <c r="AJ28" s="231">
        <f>IF('Wtr-Gas'!Q30&lt;0,"0",('Wtr-Gas'!Q30)*0.0038)</f>
        <v>104.5</v>
      </c>
      <c r="AK28" s="232">
        <f>IF('Wtr-Gas'!U30&lt;0,"0",('Wtr-Gas'!U30)*0.0038)</f>
        <v>759.24</v>
      </c>
      <c r="AL28" s="232">
        <f>IF('Wtr-Gas'!X30&lt;0,"0",('Wtr-Gas'!X30)*0.0038)</f>
        <v>984.2</v>
      </c>
      <c r="AM28" s="231">
        <f>IF('Wtr-Gas'!AB30&lt;0,"0",('Wtr-Gas'!AB30)*0.0038)</f>
        <v>11780</v>
      </c>
      <c r="AN28" s="231">
        <f>IF('Wtr-Gas'!AD30&lt;0,"0",('Wtr-Gas'!AD30)*0.0038)</f>
        <v>3026.2820000000002</v>
      </c>
      <c r="AO28" s="231">
        <f>IF('Wtr-Gas'!AF30&lt;0,"0",('Wtr-Gas'!AF30)*0.0038)</f>
        <v>6.992</v>
      </c>
      <c r="AP28" s="231">
        <f>IF('Wtr-Gas'!AH30&lt;0,"0",('Wtr-Gas'!AH30)*0.0038)</f>
        <v>591.81200000000001</v>
      </c>
      <c r="AQ28" s="231">
        <f>IF('Wtr-Gas'!AJ30&lt;0,"0",('Wtr-Gas'!AJ30)*0.0038)</f>
        <v>27.113</v>
      </c>
      <c r="AR28" s="231">
        <f>IF('Wtr-Gas'!AL30&lt;0,"0",('Wtr-Gas'!AL30)*0.0038)</f>
        <v>205.2</v>
      </c>
      <c r="AS28" s="231">
        <f>IF('Wtr-Gas'!AN30&lt;0,"0",('Wtr-Gas'!AN30)*0.0038)</f>
        <v>3.7999999999999999E-2</v>
      </c>
      <c r="AT28" s="231">
        <f>IF('Wtr-Gas'!AP30&lt;0,"0",('Wtr-Gas'!AP30)*0.0038)</f>
        <v>13.68</v>
      </c>
      <c r="AU28" s="252">
        <f>IF('Wtr-Gas'!AT30&lt;0,"0",('Wtr-Gas'!AT30)*0.0038)</f>
        <v>0.38379999999999997</v>
      </c>
      <c r="AV28" s="231">
        <f>IF('Wtr-Gas'!AW30&lt;0,"0",('Wtr-Gas'!AW30)*0.0038)</f>
        <v>187.32480000000001</v>
      </c>
      <c r="AW28" s="231">
        <f>IF('Wtr-Gas'!AY30&lt;0,"0",('Wtr-Gas'!AY30)*0.0038)</f>
        <v>150.8904</v>
      </c>
      <c r="AX28" s="231">
        <f>IF('Wtr-Gas'!AZ30&lt;0,"0",('Wtr-Gas'!AZ30)*0.0038)</f>
        <v>36.435881999999999</v>
      </c>
      <c r="AY28" s="231">
        <f>IF('Wtr-Gas'!BB30&lt;0,"0",('Wtr-Gas'!BB30)*0.0038)</f>
        <v>5.32</v>
      </c>
      <c r="AZ28" s="231">
        <f>IF('Wtr-Gas'!BD30&lt;0,"0",('Wtr-Gas'!BD30)*0.0038)</f>
        <v>1.1399999999999999</v>
      </c>
      <c r="BA28" s="231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452</v>
      </c>
      <c r="F29" s="49">
        <f>IF(Elect!I31&lt;0,"0",Elect!I31)</f>
        <v>46720</v>
      </c>
      <c r="G29" s="49">
        <f>Elect!H31</f>
        <v>2.222</v>
      </c>
      <c r="H29" s="49">
        <f>IF(Elect!F31&lt;0,"0",Elect!F31)</f>
        <v>38560</v>
      </c>
      <c r="I29" s="49">
        <f>Elect!E31</f>
        <v>1.9319999999999999</v>
      </c>
      <c r="J29" s="49">
        <f>IF(Elect!U31&lt;0,"0",Elect!U31)</f>
        <v>73200</v>
      </c>
      <c r="K29" s="49">
        <f>Elect!T31</f>
        <v>2.778</v>
      </c>
      <c r="L29" s="49">
        <f>IF(Elect!AJ31&lt;0,"0",Elect!AJ31)</f>
        <v>1400</v>
      </c>
      <c r="M29" s="49">
        <f>Elect!AI31</f>
        <v>0.3</v>
      </c>
      <c r="N29" s="49">
        <f>IF(Elect!X31&lt;0,"0",Elect!X31)</f>
        <v>72600</v>
      </c>
      <c r="O29" s="49">
        <f>Elect!W31</f>
        <v>2.2109999999999999</v>
      </c>
      <c r="P29" s="49">
        <f>IF(Elect!O31&lt;0,"0",Elect!O31)</f>
        <v>10000</v>
      </c>
      <c r="Q29" s="49">
        <f>Elect!N31</f>
        <v>2.02</v>
      </c>
      <c r="R29" s="49">
        <f>IF(Elect!L31&lt;0,"0",Elect!L31)</f>
        <v>12400</v>
      </c>
      <c r="S29" s="49">
        <f>Elect!K31</f>
        <v>2.34</v>
      </c>
      <c r="T29" s="49">
        <f>IF(Elect!R31&lt;0,"0",Elect!R31)</f>
        <v>10400</v>
      </c>
      <c r="U29" s="49">
        <f>Elect!Q31</f>
        <v>2.14</v>
      </c>
      <c r="V29" s="49">
        <f>IF(Elect!AA31&lt;0,"0",Elect!AA31)</f>
        <v>5600</v>
      </c>
      <c r="W29" s="49">
        <f>Elect!Z31</f>
        <v>3.33</v>
      </c>
      <c r="X29" s="49">
        <f>IF(Elect!AD31&lt;0,"0",Elect!AD31)</f>
        <v>3200</v>
      </c>
      <c r="Y29" s="49">
        <f>Elect!AC31</f>
        <v>2.4900000000000002</v>
      </c>
      <c r="Z29" s="49">
        <f>IF(Elect!AG31&lt;0,"0",Elect!AG31)</f>
        <v>51200</v>
      </c>
      <c r="AA29" s="49">
        <f>Elect!AF31</f>
        <v>2.032</v>
      </c>
      <c r="AB29" s="49">
        <f>IF(Elect!AX31&lt;0,"0",Elect!AX31)</f>
        <v>3100</v>
      </c>
      <c r="AC29" s="49">
        <f>IF(Elect!AV31&lt;0,"0",Elect!AV31)</f>
        <v>12100</v>
      </c>
      <c r="AD29" s="49">
        <f>IF(Elect!AZ31&lt;0,"0",Elect!AZ31)</f>
        <v>902</v>
      </c>
      <c r="AE29" s="49">
        <f>IF(Elect!BB31&lt;0,"0",Elect!BB31)</f>
        <v>880</v>
      </c>
      <c r="AF29" s="231">
        <f>IF('Wtr-Gas'!E31&lt;0,"0",('Wtr-Gas'!E31)*0.0038)</f>
        <v>4738.1059999999998</v>
      </c>
      <c r="AG29" s="231">
        <f>IF('Wtr-Gas'!H31&lt;0,"0",('Wtr-Gas'!H31)*0.0038)</f>
        <v>608.72199999999998</v>
      </c>
      <c r="AH29" s="231">
        <f>IF('Wtr-Gas'!K31&lt;0,"0",('Wtr-Gas'!K31)*0.0038)</f>
        <v>0.60799999999999998</v>
      </c>
      <c r="AI29" s="231">
        <f>IF('Wtr-Gas'!N31&lt;0,"0",('Wtr-Gas'!N31)*0.0038)</f>
        <v>3883.6</v>
      </c>
      <c r="AJ29" s="231">
        <f>IF('Wtr-Gas'!Q31&lt;0,"0",('Wtr-Gas'!Q31)*0.0038)</f>
        <v>101.84</v>
      </c>
      <c r="AK29" s="232">
        <f>IF('Wtr-Gas'!U31&lt;0,"0",('Wtr-Gas'!U31)*0.0038)</f>
        <v>719.34</v>
      </c>
      <c r="AL29" s="232">
        <f>IF('Wtr-Gas'!X31&lt;0,"0",('Wtr-Gas'!X31)*0.0038)</f>
        <v>991.8</v>
      </c>
      <c r="AM29" s="231">
        <f>IF('Wtr-Gas'!AB31&lt;0,"0",('Wtr-Gas'!AB31)*0.0038)</f>
        <v>10716</v>
      </c>
      <c r="AN29" s="231">
        <f>IF('Wtr-Gas'!AD31&lt;0,"0",('Wtr-Gas'!AD31)*0.0038)</f>
        <v>2873.598</v>
      </c>
      <c r="AO29" s="231">
        <f>IF('Wtr-Gas'!AF31&lt;0,"0",('Wtr-Gas'!AF31)*0.0038)</f>
        <v>1.5960000000000001</v>
      </c>
      <c r="AP29" s="231">
        <f>IF('Wtr-Gas'!AH31&lt;0,"0",('Wtr-Gas'!AH31)*0.0038)</f>
        <v>429.97</v>
      </c>
      <c r="AQ29" s="231">
        <f>IF('Wtr-Gas'!AJ31&lt;0,"0",('Wtr-Gas'!AJ31)*0.0038)</f>
        <v>23.301600000000001</v>
      </c>
      <c r="AR29" s="231">
        <f>IF('Wtr-Gas'!AL31&lt;0,"0",('Wtr-Gas'!AL31)*0.0038)</f>
        <v>110.2</v>
      </c>
      <c r="AS29" s="231">
        <f>IF('Wtr-Gas'!AN31&lt;0,"0",('Wtr-Gas'!AN31)*0.0038)</f>
        <v>5.7000000000000002E-2</v>
      </c>
      <c r="AT29" s="231">
        <f>IF('Wtr-Gas'!AP31&lt;0,"0",('Wtr-Gas'!AP31)*0.0038)</f>
        <v>7.98</v>
      </c>
      <c r="AU29" s="252">
        <f>IF('Wtr-Gas'!AT31&lt;0,"0",('Wtr-Gas'!AT31)*0.0038)</f>
        <v>0.35339999999999999</v>
      </c>
      <c r="AV29" s="231">
        <f>IF('Wtr-Gas'!AW31&lt;0,"0",('Wtr-Gas'!AW31)*0.0038)</f>
        <v>187.48439999999999</v>
      </c>
      <c r="AW29" s="231">
        <f>IF('Wtr-Gas'!AY31&lt;0,"0",('Wtr-Gas'!AY31)*0.0038)</f>
        <v>151.25899999999999</v>
      </c>
      <c r="AX29" s="231">
        <f>IF('Wtr-Gas'!AZ31&lt;0,"0",('Wtr-Gas'!AZ31)*0.0038)</f>
        <v>36.223728000000001</v>
      </c>
      <c r="AY29" s="231">
        <f>IF('Wtr-Gas'!BB31&lt;0,"0",('Wtr-Gas'!BB31)*0.0038)</f>
        <v>30.02</v>
      </c>
      <c r="AZ29" s="231">
        <f>IF('Wtr-Gas'!BD31&lt;0,"0",('Wtr-Gas'!BD31)*0.0038)</f>
        <v>1.52</v>
      </c>
      <c r="BA29" s="231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418</v>
      </c>
      <c r="F30" s="49">
        <f>IF(Elect!I32&lt;0,"0",Elect!I32)</f>
        <v>47840</v>
      </c>
      <c r="G30" s="49">
        <f>Elect!H32</f>
        <v>2.222</v>
      </c>
      <c r="H30" s="49">
        <f>IF(Elect!F32&lt;0,"0",Elect!F32)</f>
        <v>41120</v>
      </c>
      <c r="I30" s="49">
        <f>Elect!E32</f>
        <v>1.9330000000000001</v>
      </c>
      <c r="J30" s="49">
        <f>IF(Elect!U32&lt;0,"0",Elect!U32)</f>
        <v>78000</v>
      </c>
      <c r="K30" s="49">
        <f>Elect!T32</f>
        <v>2.4910000000000001</v>
      </c>
      <c r="L30" s="49">
        <f>IF(Elect!AJ32&lt;0,"0",Elect!AJ32)</f>
        <v>1440</v>
      </c>
      <c r="M30" s="49">
        <f>Elect!AI32</f>
        <v>0.29799999999999999</v>
      </c>
      <c r="N30" s="49">
        <f>IF(Elect!X32&lt;0,"0",Elect!X32)</f>
        <v>70800</v>
      </c>
      <c r="O30" s="49">
        <f>Elect!W32</f>
        <v>2.2290000000000001</v>
      </c>
      <c r="P30" s="49">
        <f>IF(Elect!O32&lt;0,"0",Elect!O32)</f>
        <v>10400</v>
      </c>
      <c r="Q30" s="49">
        <f>Elect!N32</f>
        <v>1.99</v>
      </c>
      <c r="R30" s="49">
        <f>IF(Elect!L32&lt;0,"0",Elect!L32)</f>
        <v>12800</v>
      </c>
      <c r="S30" s="49">
        <f>Elect!K32</f>
        <v>2.67</v>
      </c>
      <c r="T30" s="49">
        <f>IF(Elect!R32&lt;0,"0",Elect!R32)</f>
        <v>10800</v>
      </c>
      <c r="U30" s="49">
        <f>Elect!Q32</f>
        <v>2.1800000000000002</v>
      </c>
      <c r="V30" s="49">
        <f>IF(Elect!AA32&lt;0,"0",Elect!AA32)</f>
        <v>5600</v>
      </c>
      <c r="W30" s="49">
        <f>Elect!Z32</f>
        <v>3.29</v>
      </c>
      <c r="X30" s="49">
        <f>IF(Elect!AD32&lt;0,"0",Elect!AD32)</f>
        <v>2880</v>
      </c>
      <c r="Y30" s="49">
        <f>Elect!AC32</f>
        <v>1.7</v>
      </c>
      <c r="Z30" s="49">
        <f>IF(Elect!AG32&lt;0,"0",Elect!AG32)</f>
        <v>53600</v>
      </c>
      <c r="AA30" s="49">
        <f>Elect!AF32</f>
        <v>2.0270000000000001</v>
      </c>
      <c r="AB30" s="49">
        <f>IF(Elect!AX32&lt;0,"0",Elect!AX32)</f>
        <v>1900</v>
      </c>
      <c r="AC30" s="49">
        <f>IF(Elect!AV32&lt;0,"0",Elect!AV32)</f>
        <v>20400</v>
      </c>
      <c r="AD30" s="49">
        <f>IF(Elect!AZ32&lt;0,"0",Elect!AZ32)</f>
        <v>883</v>
      </c>
      <c r="AE30" s="49">
        <f>IF(Elect!BB32&lt;0,"0",Elect!BB32)</f>
        <v>1640</v>
      </c>
      <c r="AF30" s="231">
        <f>IF('Wtr-Gas'!E32&lt;0,"0",('Wtr-Gas'!E32)*0.0038)</f>
        <v>4868.37</v>
      </c>
      <c r="AG30" s="231">
        <f>IF('Wtr-Gas'!H32&lt;0,"0",('Wtr-Gas'!H32)*0.0038)</f>
        <v>132.43</v>
      </c>
      <c r="AH30" s="231">
        <f>IF('Wtr-Gas'!K32&lt;0,"0",('Wtr-Gas'!K32)*0.0038)</f>
        <v>0.60799999999999998</v>
      </c>
      <c r="AI30" s="231">
        <f>IF('Wtr-Gas'!N32&lt;0,"0",('Wtr-Gas'!N32)*0.0038)</f>
        <v>4107.8</v>
      </c>
      <c r="AJ30" s="231">
        <f>IF('Wtr-Gas'!Q32&lt;0,"0",('Wtr-Gas'!Q32)*0.0038)</f>
        <v>0.49020000000000002</v>
      </c>
      <c r="AK30" s="232">
        <f>IF('Wtr-Gas'!U32&lt;0,"0",('Wtr-Gas'!U32)*0.0038)</f>
        <v>775.2</v>
      </c>
      <c r="AL30" s="232">
        <f>IF('Wtr-Gas'!X32&lt;0,"0",('Wtr-Gas'!X32)*0.0038)</f>
        <v>1147.5999999999999</v>
      </c>
      <c r="AM30" s="231">
        <f>IF('Wtr-Gas'!AB32&lt;0,"0",('Wtr-Gas'!AB32)*0.0038)</f>
        <v>10526</v>
      </c>
      <c r="AN30" s="231">
        <f>IF('Wtr-Gas'!AD32&lt;0,"0",('Wtr-Gas'!AD32)*0.0038)</f>
        <v>2679.76</v>
      </c>
      <c r="AO30" s="231">
        <f>IF('Wtr-Gas'!AF32&lt;0,"0",('Wtr-Gas'!AF32)*0.0038)</f>
        <v>2.6219999999999999</v>
      </c>
      <c r="AP30" s="231">
        <f>IF('Wtr-Gas'!AH32&lt;0,"0",('Wtr-Gas'!AH32)*0.0038)</f>
        <v>522.27200000000005</v>
      </c>
      <c r="AQ30" s="231">
        <f>IF('Wtr-Gas'!AJ32&lt;0,"0",('Wtr-Gas'!AJ32)*0.0038)</f>
        <v>12.270199999999999</v>
      </c>
      <c r="AR30" s="231">
        <f>IF('Wtr-Gas'!AL32&lt;0,"0",('Wtr-Gas'!AL32)*0.0038)</f>
        <v>11.4</v>
      </c>
      <c r="AS30" s="231">
        <f>IF('Wtr-Gas'!AN32&lt;0,"0",('Wtr-Gas'!AN32)*0.0038)</f>
        <v>6.08E-2</v>
      </c>
      <c r="AT30" s="231">
        <f>IF('Wtr-Gas'!AP32&lt;0,"0",('Wtr-Gas'!AP32)*0.0038)</f>
        <v>31.16</v>
      </c>
      <c r="AU30" s="252">
        <f>IF('Wtr-Gas'!AT32&lt;0,"0",('Wtr-Gas'!AT32)*0.0038)</f>
        <v>0.3458</v>
      </c>
      <c r="AV30" s="231">
        <f>IF('Wtr-Gas'!AW32&lt;0,"0",('Wtr-Gas'!AW32)*0.0038)</f>
        <v>218.41640000000001</v>
      </c>
      <c r="AW30" s="231">
        <f>IF('Wtr-Gas'!AY32&lt;0,"0",('Wtr-Gas'!AY32)*0.0038)</f>
        <v>170.11840000000001</v>
      </c>
      <c r="AX30" s="231">
        <f>IF('Wtr-Gas'!AZ32&lt;0,"0",('Wtr-Gas'!AZ32)*0.0038)</f>
        <v>48.298418000000005</v>
      </c>
      <c r="AY30" s="231">
        <f>IF('Wtr-Gas'!BB32&lt;0,"0",('Wtr-Gas'!BB32)*0.0038)</f>
        <v>14.44</v>
      </c>
      <c r="AZ30" s="231">
        <f>IF('Wtr-Gas'!BD32&lt;0,"0",('Wtr-Gas'!BD32)*0.0038)</f>
        <v>1.52</v>
      </c>
      <c r="BA30" s="231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>
        <f>IF(Elect!AM33&lt;0,"0",Elect!AM33)</f>
        <v>443</v>
      </c>
      <c r="F31" s="49">
        <f>IF(Elect!I33&lt;0,"0",Elect!I33)</f>
        <v>34720</v>
      </c>
      <c r="G31" s="49">
        <f>Elect!H33</f>
        <v>2.222</v>
      </c>
      <c r="H31" s="49">
        <f>IF(Elect!F33&lt;0,"0",Elect!F33)</f>
        <v>29120</v>
      </c>
      <c r="I31" s="49">
        <f>Elect!E33</f>
        <v>1.9330000000000001</v>
      </c>
      <c r="J31" s="49">
        <f>IF(Elect!U33&lt;0,"0",Elect!U33)</f>
        <v>49200</v>
      </c>
      <c r="K31" s="49">
        <f>Elect!T33</f>
        <v>2.8530000000000002</v>
      </c>
      <c r="L31" s="49">
        <f>IF(Elect!AJ33&lt;0,"0",Elect!AJ33)</f>
        <v>1080</v>
      </c>
      <c r="M31" s="49">
        <f>Elect!AI33</f>
        <v>0.29799999999999999</v>
      </c>
      <c r="N31" s="49">
        <f>IF(Elect!X33&lt;0,"0",Elect!X33)</f>
        <v>52500</v>
      </c>
      <c r="O31" s="49">
        <f>Elect!W33</f>
        <v>2.2290000000000001</v>
      </c>
      <c r="P31" s="49">
        <f>IF(Elect!O33&lt;0,"0",Elect!O33)</f>
        <v>7600</v>
      </c>
      <c r="Q31" s="49">
        <f>Elect!N33</f>
        <v>2.0499999999999998</v>
      </c>
      <c r="R31" s="49">
        <f>IF(Elect!L33&lt;0,"0",Elect!L33)</f>
        <v>8400</v>
      </c>
      <c r="S31" s="49">
        <f>Elect!K33</f>
        <v>2.67</v>
      </c>
      <c r="T31" s="49">
        <f>IF(Elect!R33&lt;0,"0",Elect!R33)</f>
        <v>7600</v>
      </c>
      <c r="U31" s="49">
        <f>Elect!Q33</f>
        <v>2.1800000000000002</v>
      </c>
      <c r="V31" s="49">
        <f>IF(Elect!AA33&lt;0,"0",Elect!AA33)</f>
        <v>4160</v>
      </c>
      <c r="W31" s="49">
        <f>Elect!Z33</f>
        <v>3.29</v>
      </c>
      <c r="X31" s="49">
        <f>IF(Elect!AD33&lt;0,"0",Elect!AD33)</f>
        <v>2080</v>
      </c>
      <c r="Y31" s="49">
        <f>Elect!AC33</f>
        <v>1.7</v>
      </c>
      <c r="Z31" s="49">
        <f>IF(Elect!AG33&lt;0,"0",Elect!AG33)</f>
        <v>36200</v>
      </c>
      <c r="AA31" s="49">
        <f>Elect!AF33</f>
        <v>2.0270000000000001</v>
      </c>
      <c r="AB31" s="49">
        <f>IF(Elect!AX33&lt;0,"0",Elect!AX33)</f>
        <v>1200</v>
      </c>
      <c r="AC31" s="49">
        <f>IF(Elect!AV33&lt;0,"0",Elect!AV33)</f>
        <v>8600</v>
      </c>
      <c r="AD31" s="49">
        <f>IF(Elect!AZ33&lt;0,"0",Elect!AZ33)</f>
        <v>514</v>
      </c>
      <c r="AE31" s="49">
        <f>IF(Elect!BB33&lt;0,"0",Elect!BB33)</f>
        <v>600</v>
      </c>
      <c r="AF31" s="231">
        <f>IF('Wtr-Gas'!E33&lt;0,"0",('Wtr-Gas'!E33)*0.0038)</f>
        <v>1404.8979999999999</v>
      </c>
      <c r="AG31" s="231">
        <f>IF('Wtr-Gas'!H33&lt;0,"0",('Wtr-Gas'!H33)*0.0038)</f>
        <v>200.22200000000001</v>
      </c>
      <c r="AH31" s="231">
        <f>IF('Wtr-Gas'!K33&lt;0,"0",('Wtr-Gas'!K33)*0.0038)</f>
        <v>0.49399999999999999</v>
      </c>
      <c r="AI31" s="231">
        <f>IF('Wtr-Gas'!N33&lt;0,"0",('Wtr-Gas'!N33)*0.0038)</f>
        <v>1105.8</v>
      </c>
      <c r="AJ31" s="231">
        <f>IF('Wtr-Gas'!Q33&lt;0,"0",('Wtr-Gas'!Q33)*0.0038)</f>
        <v>32.68</v>
      </c>
      <c r="AK31" s="232">
        <f>IF('Wtr-Gas'!U33&lt;0,"0",('Wtr-Gas'!U33)*0.0038)</f>
        <v>210.14</v>
      </c>
      <c r="AL31" s="232">
        <f>IF('Wtr-Gas'!X33&lt;0,"0",('Wtr-Gas'!X33)*0.0038)</f>
        <v>589</v>
      </c>
      <c r="AM31" s="231">
        <f>IF('Wtr-Gas'!AB33&lt;0,"0",('Wtr-Gas'!AB33)*0.0038)</f>
        <v>3154</v>
      </c>
      <c r="AN31" s="231">
        <f>IF('Wtr-Gas'!AD33&lt;0,"0",('Wtr-Gas'!AD33)*0.0038)</f>
        <v>846.86800000000005</v>
      </c>
      <c r="AO31" s="231">
        <f>IF('Wtr-Gas'!AF33&lt;0,"0",('Wtr-Gas'!AF33)*0.0038)</f>
        <v>0.30399999999999999</v>
      </c>
      <c r="AP31" s="231">
        <f>IF('Wtr-Gas'!AH33&lt;0,"0",('Wtr-Gas'!AH33)*0.0038)</f>
        <v>311.37200000000001</v>
      </c>
      <c r="AQ31" s="231">
        <f>IF('Wtr-Gas'!AJ33&lt;0,"0",('Wtr-Gas'!AJ33)*0.0038)</f>
        <v>6.5549999999999997</v>
      </c>
      <c r="AR31" s="231">
        <f>IF('Wtr-Gas'!AL33&lt;0,"0",('Wtr-Gas'!AL33)*0.0038)</f>
        <v>30.4</v>
      </c>
      <c r="AS31" s="231">
        <f>IF('Wtr-Gas'!AN33&lt;0,"0",('Wtr-Gas'!AN33)*0.0038)</f>
        <v>4.1799999999999997E-2</v>
      </c>
      <c r="AT31" s="231">
        <f>IF('Wtr-Gas'!AP33&lt;0,"0",('Wtr-Gas'!AP33)*0.0038)</f>
        <v>1.1399999999999999</v>
      </c>
      <c r="AU31" s="252">
        <f>IF('Wtr-Gas'!AT33&lt;0,"0",('Wtr-Gas'!AT33)*0.0038)</f>
        <v>0.1444</v>
      </c>
      <c r="AV31" s="231">
        <f>IF('Wtr-Gas'!AW33&lt;0,"0",('Wtr-Gas'!AW33)*0.0038)</f>
        <v>58.823999999999998</v>
      </c>
      <c r="AW31" s="231">
        <f>IF('Wtr-Gas'!AY33&lt;0,"0",('Wtr-Gas'!AY33)*0.0038)</f>
        <v>45.567092000000002</v>
      </c>
      <c r="AX31" s="231">
        <f>IF('Wtr-Gas'!AZ33&lt;0,"0",('Wtr-Gas'!AZ33)*0.0038)</f>
        <v>13.256907999999999</v>
      </c>
      <c r="AY31" s="231">
        <f>IF('Wtr-Gas'!BB33&lt;0,"0",('Wtr-Gas'!BB33)*0.0038)</f>
        <v>8.74</v>
      </c>
      <c r="AZ31" s="231">
        <f>IF('Wtr-Gas'!BD33&lt;0,"0",('Wtr-Gas'!BD33)*0.0038)</f>
        <v>0.38</v>
      </c>
      <c r="BA31" s="231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34720</v>
      </c>
      <c r="G32" s="49">
        <f>Elect!H34</f>
        <v>2.222</v>
      </c>
      <c r="H32" s="49">
        <f>IF(Elect!F34&lt;0,"0",Elect!F34)</f>
        <v>29120</v>
      </c>
      <c r="I32" s="49">
        <f>Elect!E34</f>
        <v>1.9330000000000001</v>
      </c>
      <c r="J32" s="49">
        <f>IF(Elect!U34&lt;0,"0",Elect!U34)</f>
        <v>49200</v>
      </c>
      <c r="K32" s="49">
        <f>Elect!T34</f>
        <v>2.8530000000000002</v>
      </c>
      <c r="L32" s="49">
        <f>IF(Elect!AJ34&lt;0,"0",Elect!AJ34)</f>
        <v>1080</v>
      </c>
      <c r="M32" s="49">
        <f>Elect!AI34</f>
        <v>0.29799999999999999</v>
      </c>
      <c r="N32" s="49">
        <f>IF(Elect!X34&lt;0,"0",Elect!X34)</f>
        <v>52500</v>
      </c>
      <c r="O32" s="49">
        <f>Elect!W34</f>
        <v>2.2290000000000001</v>
      </c>
      <c r="P32" s="49">
        <f>IF(Elect!O34&lt;0,"0",Elect!O34)</f>
        <v>7600</v>
      </c>
      <c r="Q32" s="49">
        <f>Elect!N34</f>
        <v>2.0499999999999998</v>
      </c>
      <c r="R32" s="49">
        <f>IF(Elect!L34&lt;0,"0",Elect!L34)</f>
        <v>8400</v>
      </c>
      <c r="S32" s="49">
        <f>Elect!K34</f>
        <v>2.67</v>
      </c>
      <c r="T32" s="49">
        <f>IF(Elect!R34&lt;0,"0",Elect!R34)</f>
        <v>7600</v>
      </c>
      <c r="U32" s="49">
        <f>Elect!Q34</f>
        <v>2.1800000000000002</v>
      </c>
      <c r="V32" s="49">
        <f>IF(Elect!AA34&lt;0,"0",Elect!AA34)</f>
        <v>4160</v>
      </c>
      <c r="W32" s="49">
        <f>Elect!Z34</f>
        <v>3.29</v>
      </c>
      <c r="X32" s="49">
        <f>IF(Elect!AD34&lt;0,"0",Elect!AD34)</f>
        <v>2080</v>
      </c>
      <c r="Y32" s="49">
        <f>Elect!AC34</f>
        <v>1.7</v>
      </c>
      <c r="Z32" s="49">
        <f>IF(Elect!AG34&lt;0,"0",Elect!AG34)</f>
        <v>36200</v>
      </c>
      <c r="AA32" s="49">
        <f>Elect!AF34</f>
        <v>2.0270000000000001</v>
      </c>
      <c r="AB32" s="49">
        <f>IF(Elect!AX34&lt;0,"0",Elect!AX34)</f>
        <v>1200</v>
      </c>
      <c r="AC32" s="49">
        <f>IF(Elect!AV34&lt;0,"0",Elect!AV34)</f>
        <v>8600</v>
      </c>
      <c r="AD32" s="49">
        <f>IF(Elect!AZ34&lt;0,"0",Elect!AZ34)</f>
        <v>514</v>
      </c>
      <c r="AE32" s="49">
        <f>IF(Elect!BB34&lt;0,"0",Elect!BB34)</f>
        <v>600</v>
      </c>
      <c r="AF32" s="231">
        <f>IF('Wtr-Gas'!E34&lt;0,"0",('Wtr-Gas'!E34)*0.0038)</f>
        <v>3362.886</v>
      </c>
      <c r="AG32" s="231">
        <f>IF('Wtr-Gas'!H34&lt;0,"0",('Wtr-Gas'!H34)*0.0038)</f>
        <v>0.114</v>
      </c>
      <c r="AH32" s="231">
        <f>IF('Wtr-Gas'!K34&lt;0,"0",('Wtr-Gas'!K34)*0.0038)</f>
        <v>0.152</v>
      </c>
      <c r="AI32" s="231">
        <f>IF('Wtr-Gas'!N34&lt;0,"0",('Wtr-Gas'!N34)*0.0038)</f>
        <v>2812</v>
      </c>
      <c r="AJ32" s="231">
        <f>IF('Wtr-Gas'!Q34&lt;0,"0",('Wtr-Gas'!Q34)*0.0038)</f>
        <v>80.180000000000007</v>
      </c>
      <c r="AK32" s="232">
        <f>IF('Wtr-Gas'!U34&lt;0,"0",('Wtr-Gas'!U34)*0.0038)</f>
        <v>534.28</v>
      </c>
      <c r="AL32" s="232">
        <f>IF('Wtr-Gas'!X34&lt;0,"0",('Wtr-Gas'!X34)*0.0038)</f>
        <v>1238.8</v>
      </c>
      <c r="AM32" s="231">
        <f>IF('Wtr-Gas'!AB34&lt;0,"0",('Wtr-Gas'!AB34)*0.0038)</f>
        <v>7030</v>
      </c>
      <c r="AN32" s="231">
        <f>IF('Wtr-Gas'!AD34&lt;0,"0",('Wtr-Gas'!AD34)*0.0038)</f>
        <v>1880.126</v>
      </c>
      <c r="AO32" s="231">
        <f>IF('Wtr-Gas'!AF34&lt;0,"0",('Wtr-Gas'!AF34)*0.0038)</f>
        <v>0.22800000000000001</v>
      </c>
      <c r="AP32" s="231">
        <f>IF('Wtr-Gas'!AH34&lt;0,"0",('Wtr-Gas'!AH34)*0.0038)</f>
        <v>195.89</v>
      </c>
      <c r="AQ32" s="231">
        <f>IF('Wtr-Gas'!AJ34&lt;0,"0",('Wtr-Gas'!AJ34)*0.0038)</f>
        <v>4.8944000000000001</v>
      </c>
      <c r="AR32" s="231">
        <f>IF('Wtr-Gas'!AL34&lt;0,"0",('Wtr-Gas'!AL34)*0.0038)</f>
        <v>49.4</v>
      </c>
      <c r="AS32" s="231">
        <f>IF('Wtr-Gas'!AN34&lt;0,"0",('Wtr-Gas'!AN34)*0.0038)</f>
        <v>0.1862</v>
      </c>
      <c r="AT32" s="231">
        <f>IF('Wtr-Gas'!AP34&lt;0,"0",('Wtr-Gas'!AP34)*0.0038)</f>
        <v>18.239999999999998</v>
      </c>
      <c r="AU32" s="252">
        <f>IF('Wtr-Gas'!AT34&lt;0,"0",('Wtr-Gas'!AT34)*0.0038)</f>
        <v>0.2014</v>
      </c>
      <c r="AV32" s="231">
        <f>IF('Wtr-Gas'!AW34&lt;0,"0",('Wtr-Gas'!AW34)*0.0038)</f>
        <v>108.6344</v>
      </c>
      <c r="AW32" s="231">
        <f>IF('Wtr-Gas'!AY34&lt;0,"0",('Wtr-Gas'!AY34)*0.0038)</f>
        <v>86.776799999999994</v>
      </c>
      <c r="AX32" s="231">
        <f>IF('Wtr-Gas'!AZ34&lt;0,"0",('Wtr-Gas'!AZ34)*0.0038)</f>
        <v>21.855813999999999</v>
      </c>
      <c r="AY32" s="231">
        <f>IF('Wtr-Gas'!BB34&lt;0,"0",('Wtr-Gas'!BB34)*0.0038)</f>
        <v>1.9</v>
      </c>
      <c r="AZ32" s="231">
        <f>IF('Wtr-Gas'!BD34&lt;0,"0",('Wtr-Gas'!BD34)*0.0038)</f>
        <v>0.38</v>
      </c>
      <c r="BA32" s="231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439</v>
      </c>
      <c r="F33" s="49">
        <f>IF(Elect!I35&lt;0,"0",Elect!I35)</f>
        <v>47360</v>
      </c>
      <c r="G33" s="49">
        <f>Elect!H35</f>
        <v>2.222</v>
      </c>
      <c r="H33" s="49">
        <f>IF(Elect!F35&lt;0,"0",Elect!F35)</f>
        <v>40160</v>
      </c>
      <c r="I33" s="49">
        <f>Elect!E35</f>
        <v>1.9470000000000001</v>
      </c>
      <c r="J33" s="49">
        <f>IF(Elect!U35&lt;0,"0",Elect!U35)</f>
        <v>83100</v>
      </c>
      <c r="K33" s="49">
        <f>Elect!T35</f>
        <v>3.0529999999999999</v>
      </c>
      <c r="L33" s="49">
        <f>IF(Elect!AJ35&lt;0,"0",Elect!AJ35)</f>
        <v>1440</v>
      </c>
      <c r="M33" s="49">
        <f>Elect!AI35</f>
        <v>0.30399999999999999</v>
      </c>
      <c r="N33" s="49">
        <f>IF(Elect!X35&lt;0,"0",Elect!X35)</f>
        <v>78000</v>
      </c>
      <c r="O33" s="49">
        <f>Elect!W35</f>
        <v>2.298</v>
      </c>
      <c r="P33" s="49">
        <f>IF(Elect!O35&lt;0,"0",Elect!O35)</f>
        <v>10000</v>
      </c>
      <c r="Q33" s="49">
        <f>Elect!N35</f>
        <v>2.0499999999999998</v>
      </c>
      <c r="R33" s="49">
        <f>IF(Elect!L35&lt;0,"0",Elect!L35)</f>
        <v>11600</v>
      </c>
      <c r="S33" s="49">
        <f>Elect!K35</f>
        <v>2.67</v>
      </c>
      <c r="T33" s="49">
        <f>IF(Elect!R35&lt;0,"0",Elect!R35)</f>
        <v>10400</v>
      </c>
      <c r="U33" s="49">
        <f>Elect!Q35</f>
        <v>2.1800000000000002</v>
      </c>
      <c r="V33" s="49">
        <f>IF(Elect!AA35&lt;0,"0",Elect!AA35)</f>
        <v>6560</v>
      </c>
      <c r="W33" s="49">
        <f>Elect!Z35</f>
        <v>3.87</v>
      </c>
      <c r="X33" s="49">
        <f>IF(Elect!AD35&lt;0,"0",Elect!AD35)</f>
        <v>3200</v>
      </c>
      <c r="Y33" s="49">
        <f>Elect!AC35</f>
        <v>2.29</v>
      </c>
      <c r="Z33" s="49">
        <f>IF(Elect!AG35&lt;0,"0",Elect!AG35)</f>
        <v>52200</v>
      </c>
      <c r="AA33" s="49">
        <f>Elect!AF35</f>
        <v>2.0760000000000001</v>
      </c>
      <c r="AB33" s="49">
        <f>IF(Elect!AX35&lt;0,"0",Elect!AX35)</f>
        <v>2000</v>
      </c>
      <c r="AC33" s="49">
        <f>IF(Elect!AV35&lt;0,"0",Elect!AV35)</f>
        <v>15700</v>
      </c>
      <c r="AD33" s="49">
        <f>IF(Elect!AZ35&lt;0,"0",Elect!AZ35)</f>
        <v>937</v>
      </c>
      <c r="AE33" s="49">
        <f>IF(Elect!BB35&lt;0,"0",Elect!BB35)</f>
        <v>1480</v>
      </c>
      <c r="AF33" s="231">
        <f>IF('Wtr-Gas'!E35&lt;0,"0",('Wtr-Gas'!E35)*0.0038)</f>
        <v>4648.5780000000004</v>
      </c>
      <c r="AG33" s="231">
        <f>IF('Wtr-Gas'!H35&lt;0,"0",('Wtr-Gas'!H35)*0.0038)</f>
        <v>26.257999999999999</v>
      </c>
      <c r="AH33" s="231">
        <f>IF('Wtr-Gas'!K35&lt;0,"0",('Wtr-Gas'!K35)*0.0038)</f>
        <v>0.60799999999999998</v>
      </c>
      <c r="AI33" s="231">
        <f>IF('Wtr-Gas'!N35&lt;0,"0",('Wtr-Gas'!N35)*0.0038)</f>
        <v>3648</v>
      </c>
      <c r="AJ33" s="231">
        <f>IF('Wtr-Gas'!Q35&lt;0,"0",('Wtr-Gas'!Q35)*0.0038)</f>
        <v>115.52</v>
      </c>
      <c r="AK33" s="232">
        <f>IF('Wtr-Gas'!U35&lt;0,"0",('Wtr-Gas'!U35)*0.0038)</f>
        <v>773.68</v>
      </c>
      <c r="AL33" s="232">
        <f>IF('Wtr-Gas'!X35&lt;0,"0",('Wtr-Gas'!X35)*0.0038)</f>
        <v>881.6</v>
      </c>
      <c r="AM33" s="231">
        <f>IF('Wtr-Gas'!AB35&lt;0,"0",('Wtr-Gas'!AB35)*0.0038)</f>
        <v>11438</v>
      </c>
      <c r="AN33" s="231">
        <f>IF('Wtr-Gas'!AD35&lt;0,"0",('Wtr-Gas'!AD35)*0.0038)</f>
        <v>2823.7040000000002</v>
      </c>
      <c r="AO33" s="231">
        <f>IF('Wtr-Gas'!AF35&lt;0,"0",('Wtr-Gas'!AF35)*0.0038)</f>
        <v>0.60799999999999998</v>
      </c>
      <c r="AP33" s="231">
        <f>IF('Wtr-Gas'!AH35&lt;0,"0",('Wtr-Gas'!AH35)*0.0038)</f>
        <v>252.434</v>
      </c>
      <c r="AQ33" s="231">
        <f>IF('Wtr-Gas'!AJ35&lt;0,"0",('Wtr-Gas'!AJ35)*0.0038)</f>
        <v>33.679400000000001</v>
      </c>
      <c r="AR33" s="231">
        <f>IF('Wtr-Gas'!AL35&lt;0,"0",('Wtr-Gas'!AL35)*0.0038)</f>
        <v>467.4</v>
      </c>
      <c r="AS33" s="231">
        <f>IF('Wtr-Gas'!AN35&lt;0,"0",('Wtr-Gas'!AN35)*0.0038)</f>
        <v>2.6599999999999999E-2</v>
      </c>
      <c r="AT33" s="231">
        <f>IF('Wtr-Gas'!AP35&lt;0,"0",('Wtr-Gas'!AP35)*0.0038)</f>
        <v>3.42</v>
      </c>
      <c r="AU33" s="252">
        <f>IF('Wtr-Gas'!AT35&lt;0,"0",('Wtr-Gas'!AT35)*0.0038)</f>
        <v>0.31919999999999998</v>
      </c>
      <c r="AV33" s="231">
        <f>IF('Wtr-Gas'!AW35&lt;0,"0",('Wtr-Gas'!AW35)*0.0038)</f>
        <v>180.8914</v>
      </c>
      <c r="AW33" s="231">
        <f>IF('Wtr-Gas'!AY35&lt;0,"0",('Wtr-Gas'!AY35)*0.0038)</f>
        <v>150.96639999999999</v>
      </c>
      <c r="AX33" s="231">
        <f>IF('Wtr-Gas'!AZ35&lt;0,"0",('Wtr-Gas'!AZ35)*0.0038)</f>
        <v>29.923973999999998</v>
      </c>
      <c r="AY33" s="231">
        <f>IF('Wtr-Gas'!BB35&lt;0,"0",('Wtr-Gas'!BB35)*0.0038)</f>
        <v>3.8</v>
      </c>
      <c r="AZ33" s="231">
        <f>IF('Wtr-Gas'!BD35&lt;0,"0",('Wtr-Gas'!BD35)*0.0038)</f>
        <v>1.1399999999999999</v>
      </c>
      <c r="BA33" s="231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 t="str">
        <f>IF(Elect!AM36&lt;0,"0",Elect!AM36)</f>
        <v>0</v>
      </c>
      <c r="F34" s="49" t="str">
        <f>IF(Elect!I36&lt;0,"0",Elect!I36)</f>
        <v>0</v>
      </c>
      <c r="G34" s="49">
        <f>Elect!H36</f>
        <v>0</v>
      </c>
      <c r="H34" s="49" t="str">
        <f>IF(Elect!F36&lt;0,"0",Elect!F36)</f>
        <v>0</v>
      </c>
      <c r="I34" s="49">
        <f>Elect!E36</f>
        <v>0</v>
      </c>
      <c r="J34" s="49" t="str">
        <f>IF(Elect!U36&lt;0,"0",Elect!U36)</f>
        <v>0</v>
      </c>
      <c r="K34" s="49">
        <f>Elect!T36</f>
        <v>0</v>
      </c>
      <c r="L34" s="49" t="str">
        <f>IF(Elect!AJ36&lt;0,"0",Elect!AJ36)</f>
        <v>0</v>
      </c>
      <c r="M34" s="49">
        <f>Elect!AI36</f>
        <v>0</v>
      </c>
      <c r="N34" s="49" t="str">
        <f>IF(Elect!X36&lt;0,"0",Elect!X36)</f>
        <v>0</v>
      </c>
      <c r="O34" s="49">
        <f>Elect!W36</f>
        <v>0</v>
      </c>
      <c r="P34" s="49" t="str">
        <f>IF(Elect!O36&lt;0,"0",Elect!O36)</f>
        <v>0</v>
      </c>
      <c r="Q34" s="49">
        <f>Elect!N36</f>
        <v>0</v>
      </c>
      <c r="R34" s="49" t="str">
        <f>IF(Elect!L36&lt;0,"0",Elect!L36)</f>
        <v>0</v>
      </c>
      <c r="S34" s="49">
        <f>Elect!K36</f>
        <v>0</v>
      </c>
      <c r="T34" s="49" t="str">
        <f>IF(Elect!R36&lt;0,"0",Elect!R36)</f>
        <v>0</v>
      </c>
      <c r="U34" s="49">
        <f>Elect!Q36</f>
        <v>0</v>
      </c>
      <c r="V34" s="49" t="str">
        <f>IF(Elect!AA36&lt;0,"0",Elect!AA36)</f>
        <v>0</v>
      </c>
      <c r="W34" s="49">
        <f>Elect!Z36</f>
        <v>0</v>
      </c>
      <c r="X34" s="49" t="str">
        <f>IF(Elect!AD36&lt;0,"0",Elect!AD36)</f>
        <v>0</v>
      </c>
      <c r="Y34" s="49">
        <f>Elect!AC36</f>
        <v>0</v>
      </c>
      <c r="Z34" s="49" t="str">
        <f>IF(Elect!AG36&lt;0,"0",Elect!AG36)</f>
        <v>0</v>
      </c>
      <c r="AA34" s="49">
        <f>Elect!AF36</f>
        <v>0</v>
      </c>
      <c r="AB34" s="49" t="str">
        <f>IF(Elect!AX36&lt;0,"0",Elect!AX36)</f>
        <v>0</v>
      </c>
      <c r="AC34" s="49" t="str">
        <f>IF(Elect!AV36&lt;0,"0",Elect!AV36)</f>
        <v>0</v>
      </c>
      <c r="AD34" s="49" t="str">
        <f>IF(Elect!AZ36&lt;0,"0",Elect!AZ36)</f>
        <v>0</v>
      </c>
      <c r="AE34" s="49" t="str">
        <f>IF(Elect!BB36&lt;0,"0",Elect!BB36)</f>
        <v>0</v>
      </c>
      <c r="AF34" s="231" t="str">
        <f>IF('Wtr-Gas'!E36&lt;0,"0",('Wtr-Gas'!E36)*0.0038)</f>
        <v>0</v>
      </c>
      <c r="AG34" s="231" t="str">
        <f>IF('Wtr-Gas'!H36&lt;0,"0",('Wtr-Gas'!H36)*0.0038)</f>
        <v>0</v>
      </c>
      <c r="AH34" s="231" t="str">
        <f>IF('Wtr-Gas'!K36&lt;0,"0",('Wtr-Gas'!K36)*0.0038)</f>
        <v>0</v>
      </c>
      <c r="AI34" s="231" t="str">
        <f>IF('Wtr-Gas'!N36&lt;0,"0",('Wtr-Gas'!N36)*0.0038)</f>
        <v>0</v>
      </c>
      <c r="AJ34" s="231" t="str">
        <f>IF('Wtr-Gas'!Q36&lt;0,"0",('Wtr-Gas'!Q36)*0.0038)</f>
        <v>0</v>
      </c>
      <c r="AK34" s="232" t="str">
        <f>IF('Wtr-Gas'!U36&lt;0,"0",('Wtr-Gas'!U36)*0.0038)</f>
        <v>0</v>
      </c>
      <c r="AL34" s="232" t="str">
        <f>IF('Wtr-Gas'!X36&lt;0,"0",('Wtr-Gas'!X36)*0.0038)</f>
        <v>0</v>
      </c>
      <c r="AM34" s="231" t="str">
        <f>IF('Wtr-Gas'!AB36&lt;0,"0",('Wtr-Gas'!AB36)*0.0038)</f>
        <v>0</v>
      </c>
      <c r="AN34" s="231" t="str">
        <f>IF('Wtr-Gas'!AD36&lt;0,"0",('Wtr-Gas'!AD36)*0.0038)</f>
        <v>0</v>
      </c>
      <c r="AO34" s="231" t="str">
        <f>IF('Wtr-Gas'!AF36&lt;0,"0",('Wtr-Gas'!AF36)*0.0038)</f>
        <v>0</v>
      </c>
      <c r="AP34" s="231" t="str">
        <f>IF('Wtr-Gas'!AH36&lt;0,"0",('Wtr-Gas'!AH36)*0.0038)</f>
        <v>0</v>
      </c>
      <c r="AQ34" s="231" t="str">
        <f>IF('Wtr-Gas'!AJ36&lt;0,"0",('Wtr-Gas'!AJ36)*0.0038)</f>
        <v>0</v>
      </c>
      <c r="AR34" s="231" t="str">
        <f>IF('Wtr-Gas'!AL36&lt;0,"0",('Wtr-Gas'!AL36)*0.0038)</f>
        <v>0</v>
      </c>
      <c r="AS34" s="231" t="str">
        <f>IF('Wtr-Gas'!AN36&lt;0,"0",('Wtr-Gas'!AN36)*0.0038)</f>
        <v>0</v>
      </c>
      <c r="AT34" s="231" t="str">
        <f>IF('Wtr-Gas'!AP36&lt;0,"0",('Wtr-Gas'!AP36)*0.0038)</f>
        <v>0</v>
      </c>
      <c r="AU34" s="252" t="str">
        <f>IF('Wtr-Gas'!AT36&lt;0,"0",('Wtr-Gas'!AT36)*0.0038)</f>
        <v>0</v>
      </c>
      <c r="AV34" s="231" t="str">
        <f>IF('Wtr-Gas'!AW36&lt;0,"0",('Wtr-Gas'!AW36)*0.0038)</f>
        <v>0</v>
      </c>
      <c r="AW34" s="231" t="str">
        <f>IF('Wtr-Gas'!AY36&lt;0,"0",('Wtr-Gas'!AY36)*0.0038)</f>
        <v>0</v>
      </c>
      <c r="AX34" s="231">
        <f>IF('Wtr-Gas'!AZ36&lt;0,"0",('Wtr-Gas'!AZ36)*0.0038)</f>
        <v>17758.759753999999</v>
      </c>
      <c r="AY34" s="231" t="str">
        <f>IF('Wtr-Gas'!BB36&lt;0,"0",('Wtr-Gas'!BB36)*0.0038)</f>
        <v>0</v>
      </c>
      <c r="AZ34" s="231" t="str">
        <f>IF('Wtr-Gas'!BD36&lt;0,"0",('Wtr-Gas'!BD36)*0.0038)</f>
        <v>0</v>
      </c>
      <c r="BA34" s="231" t="str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0</v>
      </c>
      <c r="F35" s="49">
        <f>IF(Elect!I37&lt;0,"0",Elect!I37)</f>
        <v>0</v>
      </c>
      <c r="G35" s="49">
        <f>Elect!H37</f>
        <v>0</v>
      </c>
      <c r="H35" s="49">
        <f>IF(Elect!F37&lt;0,"0",Elect!F37)</f>
        <v>0</v>
      </c>
      <c r="I35" s="49">
        <f>Elect!E37</f>
        <v>0</v>
      </c>
      <c r="J35" s="49">
        <f>IF(Elect!U37&lt;0,"0",Elect!U37)</f>
        <v>0</v>
      </c>
      <c r="K35" s="49">
        <f>Elect!T37</f>
        <v>0</v>
      </c>
      <c r="L35" s="49">
        <f>IF(Elect!AJ37&lt;0,"0",Elect!AJ37)</f>
        <v>0</v>
      </c>
      <c r="M35" s="49">
        <f>Elect!AI37</f>
        <v>0</v>
      </c>
      <c r="N35" s="49">
        <f>IF(Elect!X37&lt;0,"0",Elect!X37)</f>
        <v>0</v>
      </c>
      <c r="O35" s="49">
        <f>Elect!W37</f>
        <v>0</v>
      </c>
      <c r="P35" s="49">
        <f>IF(Elect!O37&lt;0,"0",Elect!O37)</f>
        <v>0</v>
      </c>
      <c r="Q35" s="49">
        <f>Elect!N37</f>
        <v>0</v>
      </c>
      <c r="R35" s="49">
        <f>IF(Elect!L37&lt;0,"0",Elect!L37)</f>
        <v>0</v>
      </c>
      <c r="S35" s="49">
        <f>Elect!K37</f>
        <v>0</v>
      </c>
      <c r="T35" s="49">
        <f>IF(Elect!R37&lt;0,"0",Elect!R37)</f>
        <v>0</v>
      </c>
      <c r="U35" s="49">
        <f>Elect!Q37</f>
        <v>0</v>
      </c>
      <c r="V35" s="49">
        <f>IF(Elect!AA37&lt;0,"0",Elect!AA37)</f>
        <v>0</v>
      </c>
      <c r="W35" s="49">
        <f>Elect!Z37</f>
        <v>0</v>
      </c>
      <c r="X35" s="49">
        <f>IF(Elect!AD37&lt;0,"0",Elect!AD37)</f>
        <v>0</v>
      </c>
      <c r="Y35" s="49">
        <f>Elect!AC37</f>
        <v>0</v>
      </c>
      <c r="Z35" s="49">
        <f>IF(Elect!AG37&lt;0,"0",Elect!AG37)</f>
        <v>0</v>
      </c>
      <c r="AA35" s="49">
        <f>Elect!AF37</f>
        <v>0</v>
      </c>
      <c r="AB35" s="49">
        <f>IF(Elect!AX37&lt;0,"0",Elect!AX37)</f>
        <v>0</v>
      </c>
      <c r="AC35" s="49">
        <f>IF(Elect!AV37&lt;0,"0",Elect!AV37)</f>
        <v>0</v>
      </c>
      <c r="AD35" s="49">
        <f>IF(Elect!AZ37&lt;0,"0",Elect!AZ37)</f>
        <v>0</v>
      </c>
      <c r="AE35" s="49">
        <f>IF(Elect!BB37&lt;0,"0",Elect!BB37)</f>
        <v>0</v>
      </c>
      <c r="AF35" s="231">
        <f>IF('Wtr-Gas'!E37&lt;0,"0",('Wtr-Gas'!E37)*0.0038)</f>
        <v>0</v>
      </c>
      <c r="AG35" s="231">
        <f>IF('Wtr-Gas'!H37&lt;0,"0",('Wtr-Gas'!H37)*0.0038)</f>
        <v>0</v>
      </c>
      <c r="AH35" s="231">
        <f>IF('Wtr-Gas'!K37&lt;0,"0",('Wtr-Gas'!K37)*0.0038)</f>
        <v>0</v>
      </c>
      <c r="AI35" s="231">
        <f>IF('Wtr-Gas'!N37&lt;0,"0",('Wtr-Gas'!N37)*0.0038)</f>
        <v>0</v>
      </c>
      <c r="AJ35" s="231">
        <f>IF('Wtr-Gas'!Q37&lt;0,"0",('Wtr-Gas'!Q37)*0.0038)</f>
        <v>0</v>
      </c>
      <c r="AK35" s="232">
        <f>IF('Wtr-Gas'!U37&lt;0,"0",('Wtr-Gas'!U37)*0.0038)</f>
        <v>0</v>
      </c>
      <c r="AL35" s="232">
        <f>IF('Wtr-Gas'!X37&lt;0,"0",('Wtr-Gas'!X37)*0.0038)</f>
        <v>0</v>
      </c>
      <c r="AM35" s="231">
        <f>IF('Wtr-Gas'!AB37&lt;0,"0",('Wtr-Gas'!AB37)*0.0038)</f>
        <v>0</v>
      </c>
      <c r="AN35" s="231">
        <f>IF('Wtr-Gas'!AD37&lt;0,"0",('Wtr-Gas'!AD37)*0.0038)</f>
        <v>0</v>
      </c>
      <c r="AO35" s="231">
        <f>IF('Wtr-Gas'!AF37&lt;0,"0",('Wtr-Gas'!AF37)*0.0038)</f>
        <v>0</v>
      </c>
      <c r="AP35" s="231">
        <f>IF('Wtr-Gas'!AH37&lt;0,"0",('Wtr-Gas'!AH37)*0.0038)</f>
        <v>0</v>
      </c>
      <c r="AQ35" s="231">
        <f>IF('Wtr-Gas'!AJ37&lt;0,"0",('Wtr-Gas'!AJ37)*0.0038)</f>
        <v>0</v>
      </c>
      <c r="AR35" s="231">
        <f>IF('Wtr-Gas'!AL37&lt;0,"0",('Wtr-Gas'!AL37)*0.0038)</f>
        <v>0</v>
      </c>
      <c r="AS35" s="231">
        <f>IF('Wtr-Gas'!AN37&lt;0,"0",('Wtr-Gas'!AN37)*0.0038)</f>
        <v>0</v>
      </c>
      <c r="AT35" s="231">
        <f>IF('Wtr-Gas'!AP37&lt;0,"0",('Wtr-Gas'!AP37)*0.0038)</f>
        <v>0</v>
      </c>
      <c r="AU35" s="252">
        <f>IF('Wtr-Gas'!AT37&lt;0,"0",('Wtr-Gas'!AT37)*0.0038)</f>
        <v>0</v>
      </c>
      <c r="AV35" s="231">
        <f>IF('Wtr-Gas'!AW37&lt;0,"0",('Wtr-Gas'!AW37)*0.0038)</f>
        <v>0</v>
      </c>
      <c r="AW35" s="231">
        <f>IF('Wtr-Gas'!AY37&lt;0,"0",('Wtr-Gas'!AY37)*0.0038)</f>
        <v>0</v>
      </c>
      <c r="AX35" s="231">
        <f>IF('Wtr-Gas'!AZ37&lt;0,"0",('Wtr-Gas'!AZ37)*0.0038)</f>
        <v>0</v>
      </c>
      <c r="AY35" s="231">
        <f>IF('Wtr-Gas'!BB37&lt;0,"0",('Wtr-Gas'!BB37)*0.0038)</f>
        <v>0</v>
      </c>
      <c r="AZ35" s="231">
        <f>IF('Wtr-Gas'!BD37&lt;0,"0",('Wtr-Gas'!BD37)*0.0038)</f>
        <v>0</v>
      </c>
      <c r="BA35" s="231">
        <f>IF('Wtr-Gas'!BF37&lt;0,"0",('Wtr-Gas'!BF37)*0.0038)</f>
        <v>0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0</v>
      </c>
      <c r="F36" s="49">
        <f>IF(Elect!I38&lt;0,"0",Elect!I38)</f>
        <v>0</v>
      </c>
      <c r="G36" s="49">
        <f>Elect!H38</f>
        <v>0</v>
      </c>
      <c r="H36" s="49">
        <f>IF(Elect!F38&lt;0,"0",Elect!F38)</f>
        <v>0</v>
      </c>
      <c r="I36" s="49">
        <f>Elect!E38</f>
        <v>0</v>
      </c>
      <c r="J36" s="49">
        <f>IF(Elect!U38&lt;0,"0",Elect!U38)</f>
        <v>0</v>
      </c>
      <c r="K36" s="49">
        <f>Elect!T38</f>
        <v>0</v>
      </c>
      <c r="L36" s="49">
        <f>IF(Elect!AJ38&lt;0,"0",Elect!AJ38)</f>
        <v>0</v>
      </c>
      <c r="M36" s="49">
        <f>Elect!AI38</f>
        <v>0</v>
      </c>
      <c r="N36" s="49">
        <f>IF(Elect!X38&lt;0,"0",Elect!X38)</f>
        <v>0</v>
      </c>
      <c r="O36" s="49">
        <f>Elect!W38</f>
        <v>0</v>
      </c>
      <c r="P36" s="49">
        <f>IF(Elect!O38&lt;0,"0",Elect!O38)</f>
        <v>0</v>
      </c>
      <c r="Q36" s="49">
        <f>Elect!N38</f>
        <v>0</v>
      </c>
      <c r="R36" s="49">
        <f>IF(Elect!L38&lt;0,"0",Elect!L38)</f>
        <v>0</v>
      </c>
      <c r="S36" s="49">
        <f>Elect!K38</f>
        <v>0</v>
      </c>
      <c r="T36" s="49">
        <f>IF(Elect!R38&lt;0,"0",Elect!R38)</f>
        <v>0</v>
      </c>
      <c r="U36" s="49">
        <f>Elect!Q38</f>
        <v>0</v>
      </c>
      <c r="V36" s="49">
        <f>IF(Elect!AA38&lt;0,"0",Elect!AA38)</f>
        <v>0</v>
      </c>
      <c r="W36" s="49">
        <f>Elect!Z38</f>
        <v>0</v>
      </c>
      <c r="X36" s="49">
        <f>IF(Elect!AD38&lt;0,"0",Elect!AD38)</f>
        <v>0</v>
      </c>
      <c r="Y36" s="49">
        <f>Elect!AC38</f>
        <v>0</v>
      </c>
      <c r="Z36" s="49">
        <f>IF(Elect!AG38&lt;0,"0",Elect!AG38)</f>
        <v>0</v>
      </c>
      <c r="AA36" s="49">
        <f>Elect!AF38</f>
        <v>0</v>
      </c>
      <c r="AB36" s="49">
        <f>IF(Elect!AX38&lt;0,"0",Elect!AX38)</f>
        <v>0</v>
      </c>
      <c r="AC36" s="49">
        <f>IF(Elect!AV38&lt;0,"0",Elect!AV38)</f>
        <v>0</v>
      </c>
      <c r="AD36" s="49">
        <f>IF(Elect!AZ38&lt;0,"0",Elect!AZ38)</f>
        <v>0</v>
      </c>
      <c r="AE36" s="49">
        <f>IF(Elect!BB38&lt;0,"0",Elect!BB38)</f>
        <v>0</v>
      </c>
      <c r="AF36" s="231">
        <f>IF('Wtr-Gas'!E38&lt;0,"0",('Wtr-Gas'!E38)*0.0038)</f>
        <v>0</v>
      </c>
      <c r="AG36" s="231">
        <f>IF('Wtr-Gas'!H38&lt;0,"0",('Wtr-Gas'!H38)*0.0038)</f>
        <v>0</v>
      </c>
      <c r="AH36" s="231">
        <f>IF('Wtr-Gas'!K38&lt;0,"0",('Wtr-Gas'!K38)*0.0038)</f>
        <v>0</v>
      </c>
      <c r="AI36" s="231">
        <f>IF('Wtr-Gas'!N38&lt;0,"0",('Wtr-Gas'!N38)*0.0038)</f>
        <v>0</v>
      </c>
      <c r="AJ36" s="231">
        <f>IF('Wtr-Gas'!Q38&lt;0,"0",('Wtr-Gas'!Q38)*0.0038)</f>
        <v>0</v>
      </c>
      <c r="AK36" s="232">
        <f>IF('Wtr-Gas'!U38&lt;0,"0",('Wtr-Gas'!U38)*0.0038)</f>
        <v>0</v>
      </c>
      <c r="AL36" s="232">
        <f>IF('Wtr-Gas'!X38&lt;0,"0",('Wtr-Gas'!X38)*0.0038)</f>
        <v>0</v>
      </c>
      <c r="AM36" s="231">
        <f>IF('Wtr-Gas'!AB38&lt;0,"0",('Wtr-Gas'!AB38)*0.0038)</f>
        <v>0</v>
      </c>
      <c r="AN36" s="231">
        <f>IF('Wtr-Gas'!AD38&lt;0,"0",('Wtr-Gas'!AD38)*0.0038)</f>
        <v>0</v>
      </c>
      <c r="AO36" s="231">
        <f>IF('Wtr-Gas'!AF38&lt;0,"0",('Wtr-Gas'!AF38)*0.0038)</f>
        <v>0</v>
      </c>
      <c r="AP36" s="231">
        <f>IF('Wtr-Gas'!AH38&lt;0,"0",('Wtr-Gas'!AH38)*0.0038)</f>
        <v>0</v>
      </c>
      <c r="AQ36" s="231">
        <f>IF('Wtr-Gas'!AJ38&lt;0,"0",('Wtr-Gas'!AJ38)*0.0038)</f>
        <v>0</v>
      </c>
      <c r="AR36" s="231">
        <f>IF('Wtr-Gas'!AL38&lt;0,"0",('Wtr-Gas'!AL38)*0.0038)</f>
        <v>0</v>
      </c>
      <c r="AS36" s="231">
        <f>IF('Wtr-Gas'!AN38&lt;0,"0",('Wtr-Gas'!AN38)*0.0038)</f>
        <v>0</v>
      </c>
      <c r="AT36" s="231">
        <f>IF('Wtr-Gas'!AP38&lt;0,"0",('Wtr-Gas'!AP38)*0.0038)</f>
        <v>0</v>
      </c>
      <c r="AU36" s="252">
        <f>IF('Wtr-Gas'!AT38&lt;0,"0",('Wtr-Gas'!AT38)*0.0038)</f>
        <v>0</v>
      </c>
      <c r="AV36" s="231">
        <f>IF('Wtr-Gas'!AW38&lt;0,"0",('Wtr-Gas'!AW38)*0.0038)</f>
        <v>0</v>
      </c>
      <c r="AW36" s="231">
        <f>IF('Wtr-Gas'!AY38&lt;0,"0",('Wtr-Gas'!AY38)*0.0038)</f>
        <v>0</v>
      </c>
      <c r="AX36" s="231">
        <f>IF('Wtr-Gas'!AZ38&lt;0,"0",('Wtr-Gas'!AZ38)*0.0038)</f>
        <v>0</v>
      </c>
      <c r="AY36" s="231">
        <f>IF('Wtr-Gas'!BB38&lt;0,"0",('Wtr-Gas'!BB38)*0.0038)</f>
        <v>0</v>
      </c>
      <c r="AZ36" s="231">
        <f>IF('Wtr-Gas'!BD38&lt;0,"0",('Wtr-Gas'!BD38)*0.0038)</f>
        <v>0</v>
      </c>
      <c r="BA36" s="231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0</v>
      </c>
      <c r="H37" s="49">
        <f>IF(Elect!F39&lt;0,"0",Elect!F39)</f>
        <v>0</v>
      </c>
      <c r="I37" s="49">
        <f>Elect!E39</f>
        <v>0</v>
      </c>
      <c r="J37" s="49">
        <f>IF(Elect!U39&lt;0,"0",Elect!U39)</f>
        <v>0</v>
      </c>
      <c r="K37" s="49">
        <f>Elect!T39</f>
        <v>0</v>
      </c>
      <c r="L37" s="49">
        <f>IF(Elect!AJ39&lt;0,"0",Elect!AJ39)</f>
        <v>0</v>
      </c>
      <c r="M37" s="49">
        <f>Elect!AI39</f>
        <v>0</v>
      </c>
      <c r="N37" s="49">
        <f>IF(Elect!X39&lt;0,"0",Elect!X39)</f>
        <v>0</v>
      </c>
      <c r="O37" s="49">
        <f>Elect!W39</f>
        <v>0</v>
      </c>
      <c r="P37" s="49">
        <f>IF(Elect!O39&lt;0,"0",Elect!O39)</f>
        <v>0</v>
      </c>
      <c r="Q37" s="49">
        <f>Elect!N39</f>
        <v>0</v>
      </c>
      <c r="R37" s="49">
        <f>IF(Elect!L39&lt;0,"0",Elect!L39)</f>
        <v>0</v>
      </c>
      <c r="S37" s="49">
        <f>Elect!K39</f>
        <v>0</v>
      </c>
      <c r="T37" s="49">
        <f>IF(Elect!R39&lt;0,"0",Elect!R39)</f>
        <v>0</v>
      </c>
      <c r="U37" s="49">
        <f>Elect!Q39</f>
        <v>0</v>
      </c>
      <c r="V37" s="49">
        <f>IF(Elect!AA39&lt;0,"0",Elect!AA39)</f>
        <v>0</v>
      </c>
      <c r="W37" s="49">
        <f>Elect!Z39</f>
        <v>0</v>
      </c>
      <c r="X37" s="49">
        <f>IF(Elect!AD39&lt;0,"0",Elect!AD39)</f>
        <v>0</v>
      </c>
      <c r="Y37" s="49">
        <f>Elect!AC39</f>
        <v>0</v>
      </c>
      <c r="Z37" s="49">
        <f>IF(Elect!AG39&lt;0,"0",Elect!AG39)</f>
        <v>0</v>
      </c>
      <c r="AA37" s="49">
        <f>Elect!AF39</f>
        <v>0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1">
        <f>IF('Wtr-Gas'!E39&lt;0,"0",('Wtr-Gas'!E39)*0.0038)</f>
        <v>0</v>
      </c>
      <c r="AG37" s="231">
        <f>IF('Wtr-Gas'!H39&lt;0,"0",('Wtr-Gas'!H39)*0.0038)</f>
        <v>0</v>
      </c>
      <c r="AH37" s="231">
        <f>IF('Wtr-Gas'!K39&lt;0,"0",('Wtr-Gas'!K39)*0.0038)</f>
        <v>0</v>
      </c>
      <c r="AI37" s="231">
        <f>IF('Wtr-Gas'!N39&lt;0,"0",('Wtr-Gas'!N39)*0.0038)</f>
        <v>0</v>
      </c>
      <c r="AJ37" s="231">
        <f>IF('Wtr-Gas'!Q39&lt;0,"0",('Wtr-Gas'!Q39)*0.0038)</f>
        <v>0</v>
      </c>
      <c r="AK37" s="232">
        <f>IF('Wtr-Gas'!U39&lt;0,"0",('Wtr-Gas'!U39)*0.0038)</f>
        <v>0</v>
      </c>
      <c r="AL37" s="232">
        <f>IF('Wtr-Gas'!X39&lt;0,"0",('Wtr-Gas'!X39)*0.0038)</f>
        <v>0</v>
      </c>
      <c r="AM37" s="231">
        <f>IF('Wtr-Gas'!AB39&lt;0,"0",('Wtr-Gas'!AB39)*0.0038)</f>
        <v>0</v>
      </c>
      <c r="AN37" s="231">
        <f>IF('Wtr-Gas'!AD39&lt;0,"0",('Wtr-Gas'!AD39)*0.0038)</f>
        <v>0</v>
      </c>
      <c r="AO37" s="231">
        <f>IF('Wtr-Gas'!AF39&lt;0,"0",('Wtr-Gas'!AF39)*0.0038)</f>
        <v>0</v>
      </c>
      <c r="AP37" s="231">
        <f>IF('Wtr-Gas'!AH39&lt;0,"0",('Wtr-Gas'!AH39)*0.0038)</f>
        <v>0</v>
      </c>
      <c r="AQ37" s="231">
        <f>IF('Wtr-Gas'!AJ39&lt;0,"0",('Wtr-Gas'!AJ39)*0.0038)</f>
        <v>0</v>
      </c>
      <c r="AR37" s="231">
        <f>IF('Wtr-Gas'!AL39&lt;0,"0",('Wtr-Gas'!AL39)*0.0038)</f>
        <v>0</v>
      </c>
      <c r="AS37" s="231">
        <f>IF('Wtr-Gas'!AN39&lt;0,"0",('Wtr-Gas'!AN39)*0.0038)</f>
        <v>0</v>
      </c>
      <c r="AT37" s="231">
        <f>IF('Wtr-Gas'!AP39&lt;0,"0",('Wtr-Gas'!AP39)*0.0038)</f>
        <v>0</v>
      </c>
      <c r="AU37" s="252">
        <f>IF('Wtr-Gas'!AT39&lt;0,"0",('Wtr-Gas'!AT39)*0.0038)</f>
        <v>0</v>
      </c>
      <c r="AV37" s="231">
        <f>IF('Wtr-Gas'!AW39&lt;0,"0",('Wtr-Gas'!AW39)*0.0038)</f>
        <v>0</v>
      </c>
      <c r="AW37" s="231">
        <f>IF('Wtr-Gas'!AY39&lt;0,"0",('Wtr-Gas'!AY39)*0.0038)</f>
        <v>0</v>
      </c>
      <c r="AX37" s="231">
        <f>IF('Wtr-Gas'!AZ39&lt;0,"0",('Wtr-Gas'!AZ39)*0.0038)</f>
        <v>0</v>
      </c>
      <c r="AY37" s="231">
        <f>IF('Wtr-Gas'!BB39&lt;0,"0",('Wtr-Gas'!BB39)*0.0038)</f>
        <v>0</v>
      </c>
      <c r="AZ37" s="231">
        <f>IF('Wtr-Gas'!BD39&lt;0,"0",('Wtr-Gas'!BD39)*0.0038)</f>
        <v>0</v>
      </c>
      <c r="BA37" s="231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0</v>
      </c>
      <c r="F38" s="49">
        <f>IF(Elect!I40&lt;0,"0",Elect!I40)</f>
        <v>0</v>
      </c>
      <c r="G38" s="49">
        <f>Elect!H40</f>
        <v>0</v>
      </c>
      <c r="H38" s="49">
        <f>IF(Elect!F40&lt;0,"0",Elect!F40)</f>
        <v>0</v>
      </c>
      <c r="I38" s="49">
        <f>Elect!E40</f>
        <v>0</v>
      </c>
      <c r="J38" s="49">
        <f>IF(Elect!U40&lt;0,"0",Elect!U40)</f>
        <v>0</v>
      </c>
      <c r="K38" s="49">
        <f>Elect!T40</f>
        <v>0</v>
      </c>
      <c r="L38" s="49">
        <f>IF(Elect!AJ40&lt;0,"0",Elect!AJ40)</f>
        <v>0</v>
      </c>
      <c r="M38" s="49">
        <f>Elect!AI40</f>
        <v>0</v>
      </c>
      <c r="N38" s="49">
        <f>IF(Elect!X40&lt;0,"0",Elect!X40)</f>
        <v>0</v>
      </c>
      <c r="O38" s="49">
        <f>Elect!W40</f>
        <v>0</v>
      </c>
      <c r="P38" s="49">
        <f>IF(Elect!O40&lt;0,"0",Elect!O40)</f>
        <v>0</v>
      </c>
      <c r="Q38" s="49">
        <f>Elect!N40</f>
        <v>0</v>
      </c>
      <c r="R38" s="49">
        <f>IF(Elect!L40&lt;0,"0",Elect!L40)</f>
        <v>0</v>
      </c>
      <c r="S38" s="49">
        <f>Elect!K40</f>
        <v>0</v>
      </c>
      <c r="T38" s="49">
        <f>IF(Elect!R40&lt;0,"0",Elect!R40)</f>
        <v>0</v>
      </c>
      <c r="U38" s="49">
        <f>Elect!Q40</f>
        <v>0</v>
      </c>
      <c r="V38" s="49">
        <f>IF(Elect!AA40&lt;0,"0",Elect!AA40)</f>
        <v>0</v>
      </c>
      <c r="W38" s="49">
        <f>Elect!Z40</f>
        <v>0</v>
      </c>
      <c r="X38" s="49">
        <f>IF(Elect!AD40&lt;0,"0",Elect!AD40)</f>
        <v>0</v>
      </c>
      <c r="Y38" s="49">
        <f>Elect!AC40</f>
        <v>0</v>
      </c>
      <c r="Z38" s="49">
        <f>IF(Elect!AG40&lt;0,"0",Elect!AG40)</f>
        <v>0</v>
      </c>
      <c r="AA38" s="49">
        <f>Elect!AF40</f>
        <v>0</v>
      </c>
      <c r="AB38" s="49">
        <f>IF(Elect!AX40&lt;0,"0",Elect!AX40)</f>
        <v>0</v>
      </c>
      <c r="AC38" s="49">
        <f>IF(Elect!AV40&lt;0,"0",Elect!AV40)</f>
        <v>0</v>
      </c>
      <c r="AD38" s="49">
        <f>IF(Elect!AZ40&lt;0,"0",Elect!AZ40)</f>
        <v>0</v>
      </c>
      <c r="AE38" s="49">
        <f>IF(Elect!BB40&lt;0,"0",Elect!BB40)</f>
        <v>0</v>
      </c>
      <c r="AF38" s="231">
        <f>IF('Wtr-Gas'!E40&lt;0,"0",('Wtr-Gas'!E40)*0.0038)</f>
        <v>0</v>
      </c>
      <c r="AG38" s="231">
        <f>IF('Wtr-Gas'!H40&lt;0,"0",('Wtr-Gas'!H40)*0.0038)</f>
        <v>0</v>
      </c>
      <c r="AH38" s="231">
        <f>IF('Wtr-Gas'!K40&lt;0,"0",('Wtr-Gas'!K40)*0.0038)</f>
        <v>0</v>
      </c>
      <c r="AI38" s="231">
        <f>IF('Wtr-Gas'!N40&lt;0,"0",('Wtr-Gas'!N40)*0.0038)</f>
        <v>0</v>
      </c>
      <c r="AJ38" s="231">
        <f>IF('Wtr-Gas'!Q40&lt;0,"0",('Wtr-Gas'!Q40)*0.0038)</f>
        <v>0</v>
      </c>
      <c r="AK38" s="232">
        <f>IF('Wtr-Gas'!U40&lt;0,"0",('Wtr-Gas'!U40)*0.0038)</f>
        <v>0</v>
      </c>
      <c r="AL38" s="232">
        <f>IF('Wtr-Gas'!X40&lt;0,"0",('Wtr-Gas'!X40)*0.0038)</f>
        <v>0</v>
      </c>
      <c r="AM38" s="231">
        <f>IF('Wtr-Gas'!AB40&lt;0,"0",('Wtr-Gas'!AB40)*0.0038)</f>
        <v>0</v>
      </c>
      <c r="AN38" s="231">
        <f>IF('Wtr-Gas'!AD40&lt;0,"0",('Wtr-Gas'!AD40)*0.0038)</f>
        <v>0</v>
      </c>
      <c r="AO38" s="231">
        <f>IF('Wtr-Gas'!AF40&lt;0,"0",('Wtr-Gas'!AF40)*0.0038)</f>
        <v>0</v>
      </c>
      <c r="AP38" s="231">
        <f>IF('Wtr-Gas'!AH40&lt;0,"0",('Wtr-Gas'!AH40)*0.0038)</f>
        <v>0</v>
      </c>
      <c r="AQ38" s="231">
        <f>IF('Wtr-Gas'!AJ40&lt;0,"0",('Wtr-Gas'!AJ40)*0.0038)</f>
        <v>0</v>
      </c>
      <c r="AR38" s="231">
        <f>IF('Wtr-Gas'!AL40&lt;0,"0",('Wtr-Gas'!AL40)*0.0038)</f>
        <v>0</v>
      </c>
      <c r="AS38" s="231">
        <f>IF('Wtr-Gas'!AN40&lt;0,"0",('Wtr-Gas'!AN40)*0.0038)</f>
        <v>0</v>
      </c>
      <c r="AT38" s="231">
        <f>IF('Wtr-Gas'!AP40&lt;0,"0",('Wtr-Gas'!AP40)*0.0038)</f>
        <v>0</v>
      </c>
      <c r="AU38" s="252">
        <f>IF('Wtr-Gas'!AT40&lt;0,"0",('Wtr-Gas'!AT40)*0.0038)</f>
        <v>0</v>
      </c>
      <c r="AV38" s="231">
        <f>IF('Wtr-Gas'!AW40&lt;0,"0",('Wtr-Gas'!AW40)*0.0038)</f>
        <v>0</v>
      </c>
      <c r="AW38" s="231">
        <f>IF('Wtr-Gas'!AY40&lt;0,"0",('Wtr-Gas'!AY40)*0.0038)</f>
        <v>0</v>
      </c>
      <c r="AX38" s="231">
        <f>IF('Wtr-Gas'!AZ40&lt;0,"0",('Wtr-Gas'!AZ40)*0.0038)</f>
        <v>0</v>
      </c>
      <c r="AY38" s="231">
        <f>IF('Wtr-Gas'!BB40&lt;0,"0",('Wtr-Gas'!BB40)*0.0038)</f>
        <v>0</v>
      </c>
      <c r="AZ38" s="231">
        <f>IF('Wtr-Gas'!BD40&lt;0,"0",('Wtr-Gas'!BD40)*0.0038)</f>
        <v>0</v>
      </c>
      <c r="BA38" s="231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231">
        <f>IF('Wtr-Gas'!E41&lt;0,"0",('Wtr-Gas'!E41)*0.0038)</f>
        <v>0</v>
      </c>
      <c r="AG39" s="231">
        <f>IF('Wtr-Gas'!H41&lt;0,"0",('Wtr-Gas'!H41)*0.0038)</f>
        <v>0</v>
      </c>
      <c r="AH39" s="231">
        <f>IF('Wtr-Gas'!K41&lt;0,"0",('Wtr-Gas'!K41)*0.0038)</f>
        <v>0</v>
      </c>
      <c r="AI39" s="231">
        <f>IF('Wtr-Gas'!N41&lt;0,"0",('Wtr-Gas'!N41)*0.0038)</f>
        <v>0</v>
      </c>
      <c r="AJ39" s="231">
        <f>IF('Wtr-Gas'!Q41&lt;0,"0",('Wtr-Gas'!Q41)*0.0038)</f>
        <v>0</v>
      </c>
      <c r="AK39" s="232">
        <f>IF('Wtr-Gas'!U41&lt;0,"0",('Wtr-Gas'!U41)*0.0038)</f>
        <v>0</v>
      </c>
      <c r="AL39" s="232">
        <f>IF('Wtr-Gas'!X41&lt;0,"0",('Wtr-Gas'!X41)*0.0038)</f>
        <v>0</v>
      </c>
      <c r="AM39" s="231">
        <f>IF('Wtr-Gas'!AB41&lt;0,"0",('Wtr-Gas'!AB41)*0.0038)</f>
        <v>0</v>
      </c>
      <c r="AN39" s="231">
        <f>IF('Wtr-Gas'!AD41&lt;0,"0",('Wtr-Gas'!AD41)*0.0038)</f>
        <v>0</v>
      </c>
      <c r="AO39" s="231">
        <f>IF('Wtr-Gas'!AF41&lt;0,"0",('Wtr-Gas'!AF41)*0.0038)</f>
        <v>0</v>
      </c>
      <c r="AP39" s="231">
        <f>IF('Wtr-Gas'!AH41&lt;0,"0",('Wtr-Gas'!AH41)*0.0038)</f>
        <v>0</v>
      </c>
      <c r="AQ39" s="231">
        <f>IF('Wtr-Gas'!AJ41&lt;0,"0",('Wtr-Gas'!AJ41)*0.0038)</f>
        <v>0</v>
      </c>
      <c r="AR39" s="231">
        <f>IF('Wtr-Gas'!AL41&lt;0,"0",('Wtr-Gas'!AL41)*0.0038)</f>
        <v>0</v>
      </c>
      <c r="AS39" s="231">
        <f>IF('Wtr-Gas'!AN41&lt;0,"0",('Wtr-Gas'!AN41)*0.0038)</f>
        <v>0</v>
      </c>
      <c r="AT39" s="231">
        <f>IF('Wtr-Gas'!AP41&lt;0,"0",('Wtr-Gas'!AP41)*0.0038)</f>
        <v>0</v>
      </c>
      <c r="AU39" s="252">
        <f>IF('Wtr-Gas'!AT41&lt;0,"0",('Wtr-Gas'!AT41)*0.0038)</f>
        <v>0</v>
      </c>
      <c r="AV39" s="231">
        <f>IF('Wtr-Gas'!AW41&lt;0,"0",('Wtr-Gas'!AW41)*0.0038)</f>
        <v>0</v>
      </c>
      <c r="AW39" s="231">
        <f>IF('Wtr-Gas'!AY41&lt;0,"0",('Wtr-Gas'!AY41)*0.0038)</f>
        <v>0</v>
      </c>
      <c r="AX39" s="231">
        <f>IF('Wtr-Gas'!AZ41&lt;0,"0",('Wtr-Gas'!AZ41)*0.0038)</f>
        <v>0</v>
      </c>
      <c r="AY39" s="231">
        <f>IF('Wtr-Gas'!BB41&lt;0,"0",('Wtr-Gas'!BB41)*0.0038)</f>
        <v>0</v>
      </c>
      <c r="AZ39" s="231">
        <f>IF('Wtr-Gas'!BD41&lt;0,"0",('Wtr-Gas'!BD41)*0.0038)</f>
        <v>0</v>
      </c>
      <c r="BA39" s="231">
        <f>IF('Wtr-Gas'!BF41&lt;0,"0",('Wtr-Gas'!BF41)*0.0038)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231">
        <f>IF('Wtr-Gas'!E42&lt;0,"0",('Wtr-Gas'!E42)*0.0038)</f>
        <v>0</v>
      </c>
      <c r="AG40" s="231">
        <f>IF('Wtr-Gas'!H42&lt;0,"0",('Wtr-Gas'!H42)*0.0038)</f>
        <v>0</v>
      </c>
      <c r="AH40" s="231">
        <f>IF('Wtr-Gas'!K42&lt;0,"0",('Wtr-Gas'!K42)*0.0038)</f>
        <v>0</v>
      </c>
      <c r="AI40" s="231">
        <f>IF('Wtr-Gas'!N42&lt;0,"0",('Wtr-Gas'!N42)*0.0038)</f>
        <v>0</v>
      </c>
      <c r="AJ40" s="231">
        <f>IF('Wtr-Gas'!Q42&lt;0,"0",('Wtr-Gas'!Q42)*0.0038)</f>
        <v>0</v>
      </c>
      <c r="AK40" s="232">
        <f>IF('Wtr-Gas'!U42&lt;0,"0",('Wtr-Gas'!U42)*0.0038)</f>
        <v>0</v>
      </c>
      <c r="AL40" s="232">
        <f>IF('Wtr-Gas'!X42&lt;0,"0",('Wtr-Gas'!X42)*0.0038)</f>
        <v>0</v>
      </c>
      <c r="AM40" s="231">
        <f>IF('Wtr-Gas'!AB42&lt;0,"0",('Wtr-Gas'!AB42)*0.0038)</f>
        <v>0</v>
      </c>
      <c r="AN40" s="231">
        <f>IF('Wtr-Gas'!AD42&lt;0,"0",('Wtr-Gas'!AD42)*0.0038)</f>
        <v>0</v>
      </c>
      <c r="AO40" s="231">
        <f>IF('Wtr-Gas'!AF42&lt;0,"0",('Wtr-Gas'!AF42)*0.0038)</f>
        <v>0</v>
      </c>
      <c r="AP40" s="231">
        <f>IF('Wtr-Gas'!AH42&lt;0,"0",('Wtr-Gas'!AH42)*0.0038)</f>
        <v>0</v>
      </c>
      <c r="AQ40" s="231">
        <f>IF('Wtr-Gas'!AJ42&lt;0,"0",('Wtr-Gas'!AJ42)*0.0038)</f>
        <v>0</v>
      </c>
      <c r="AR40" s="231">
        <f>IF('Wtr-Gas'!AL42&lt;0,"0",('Wtr-Gas'!AL42)*0.0038)</f>
        <v>0</v>
      </c>
      <c r="AS40" s="231">
        <f>IF('Wtr-Gas'!AN42&lt;0,"0",('Wtr-Gas'!AN42)*0.0038)</f>
        <v>0</v>
      </c>
      <c r="AT40" s="231">
        <f>IF('Wtr-Gas'!AP42&lt;0,"0",('Wtr-Gas'!AP42)*0.0038)</f>
        <v>0</v>
      </c>
      <c r="AU40" s="252">
        <f>IF('Wtr-Gas'!AT42&lt;0,"0",('Wtr-Gas'!AT42)*0.0038)</f>
        <v>0</v>
      </c>
      <c r="AV40" s="231">
        <f>IF('Wtr-Gas'!AW42&lt;0,"0",('Wtr-Gas'!AW42)*0.0038)</f>
        <v>0</v>
      </c>
      <c r="AW40" s="231">
        <f>IF('Wtr-Gas'!AY42&lt;0,"0",('Wtr-Gas'!AY42)*0.0038)</f>
        <v>0</v>
      </c>
      <c r="AX40" s="231">
        <f>IF('Wtr-Gas'!AZ42&lt;0,"0",('Wtr-Gas'!AZ42)*0.0038)</f>
        <v>0</v>
      </c>
      <c r="AY40" s="231">
        <f>IF('Wtr-Gas'!BB42&lt;0,"0",('Wtr-Gas'!BB42)*0.0038)</f>
        <v>0</v>
      </c>
      <c r="AZ40" s="231">
        <f>IF('Wtr-Gas'!BD42&lt;0,"0",('Wtr-Gas'!BD42)*0.0038)</f>
        <v>0</v>
      </c>
      <c r="BA40" s="231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1">
        <f>IF('Wtr-Gas'!E43&lt;0,"0",('Wtr-Gas'!E43)*0.0038)</f>
        <v>0</v>
      </c>
      <c r="AG41" s="231">
        <f>IF('Wtr-Gas'!H43&lt;0,"0",('Wtr-Gas'!H43)*0.0038)</f>
        <v>0</v>
      </c>
      <c r="AH41" s="231">
        <f>IF('Wtr-Gas'!K43&lt;0,"0",('Wtr-Gas'!K43)*0.0038)</f>
        <v>0</v>
      </c>
      <c r="AI41" s="231">
        <f>IF('Wtr-Gas'!N43&lt;0,"0",('Wtr-Gas'!N43)*0.0038)</f>
        <v>0</v>
      </c>
      <c r="AJ41" s="231">
        <f>IF('Wtr-Gas'!Q43&lt;0,"0",('Wtr-Gas'!Q43)*0.0038)</f>
        <v>0</v>
      </c>
      <c r="AK41" s="232">
        <f>IF('Wtr-Gas'!U43&lt;0,"0",('Wtr-Gas'!U43)*0.0038)</f>
        <v>0</v>
      </c>
      <c r="AL41" s="232">
        <f>IF('Wtr-Gas'!X43&lt;0,"0",('Wtr-Gas'!X43)*0.0038)</f>
        <v>0</v>
      </c>
      <c r="AM41" s="231">
        <f>IF('Wtr-Gas'!AB43&lt;0,"0",('Wtr-Gas'!AB43)*0.0038)</f>
        <v>0</v>
      </c>
      <c r="AN41" s="231">
        <f>IF('Wtr-Gas'!AD43&lt;0,"0",('Wtr-Gas'!AD43)*0.0038)</f>
        <v>0</v>
      </c>
      <c r="AO41" s="231">
        <f>IF('Wtr-Gas'!AF43&lt;0,"0",('Wtr-Gas'!AF43)*0.0038)</f>
        <v>0</v>
      </c>
      <c r="AP41" s="231">
        <f>IF('Wtr-Gas'!AH43&lt;0,"0",('Wtr-Gas'!AH43)*0.0038)</f>
        <v>0</v>
      </c>
      <c r="AQ41" s="231">
        <f>IF('Wtr-Gas'!AJ43&lt;0,"0",('Wtr-Gas'!AJ43)*0.0038)</f>
        <v>0</v>
      </c>
      <c r="AR41" s="231">
        <f>IF('Wtr-Gas'!AL43&lt;0,"0",('Wtr-Gas'!AL43)*0.0038)</f>
        <v>0</v>
      </c>
      <c r="AS41" s="231">
        <f>IF('Wtr-Gas'!AN43&lt;0,"0",('Wtr-Gas'!AN43)*0.0038)</f>
        <v>0</v>
      </c>
      <c r="AT41" s="231">
        <f>IF('Wtr-Gas'!AP43&lt;0,"0",('Wtr-Gas'!AP43)*0.0038)</f>
        <v>0</v>
      </c>
      <c r="AU41" s="252">
        <f>IF('Wtr-Gas'!AT43&lt;0,"0",('Wtr-Gas'!AT43)*0.0038)</f>
        <v>0</v>
      </c>
      <c r="AV41" s="231">
        <f>IF('Wtr-Gas'!AW43&lt;0,"0",('Wtr-Gas'!AW43)*0.0038)</f>
        <v>0</v>
      </c>
      <c r="AW41" s="231">
        <f>IF('Wtr-Gas'!AY43&lt;0,"0",('Wtr-Gas'!AY43)*0.0038)</f>
        <v>0</v>
      </c>
      <c r="AX41" s="231">
        <f>IF('Wtr-Gas'!AZ43&lt;0,"0",('Wtr-Gas'!AZ43)*0.0038)</f>
        <v>0</v>
      </c>
      <c r="AY41" s="231">
        <f>IF('Wtr-Gas'!BB43&lt;0,"0",('Wtr-Gas'!BB43)*0.0038)</f>
        <v>0</v>
      </c>
      <c r="AZ41" s="231">
        <f>IF('Wtr-Gas'!BD43&lt;0,"0",('Wtr-Gas'!BD43)*0.0038)</f>
        <v>0</v>
      </c>
      <c r="BA41" s="231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1">
        <f>IF('Wtr-Gas'!E44&lt;0,"0",('Wtr-Gas'!E44)*0.0038)</f>
        <v>0</v>
      </c>
      <c r="AG42" s="231">
        <f>IF('Wtr-Gas'!H44&lt;0,"0",('Wtr-Gas'!H44)*0.0038)</f>
        <v>0</v>
      </c>
      <c r="AH42" s="231">
        <f>IF('Wtr-Gas'!K44&lt;0,"0",('Wtr-Gas'!K44)*0.0038)</f>
        <v>0</v>
      </c>
      <c r="AI42" s="231">
        <f>IF('Wtr-Gas'!N44&lt;0,"0",('Wtr-Gas'!N44)*0.0038)</f>
        <v>0</v>
      </c>
      <c r="AJ42" s="231">
        <f>IF('Wtr-Gas'!Q44&lt;0,"0",('Wtr-Gas'!Q44)*0.0038)</f>
        <v>0</v>
      </c>
      <c r="AK42" s="232">
        <f>IF('Wtr-Gas'!U44&lt;0,"0",('Wtr-Gas'!U44)*0.0038)</f>
        <v>0</v>
      </c>
      <c r="AL42" s="232">
        <f>IF('Wtr-Gas'!X44&lt;0,"0",('Wtr-Gas'!X44)*0.0038)</f>
        <v>0</v>
      </c>
      <c r="AM42" s="231">
        <f>IF('Wtr-Gas'!AB44&lt;0,"0",('Wtr-Gas'!AB44)*0.0038)</f>
        <v>0</v>
      </c>
      <c r="AN42" s="231">
        <f>IF('Wtr-Gas'!AD44&lt;0,"0",('Wtr-Gas'!AD44)*0.0038)</f>
        <v>0</v>
      </c>
      <c r="AO42" s="231">
        <f>IF('Wtr-Gas'!AF44&lt;0,"0",('Wtr-Gas'!AF44)*0.0038)</f>
        <v>0</v>
      </c>
      <c r="AP42" s="231">
        <f>IF('Wtr-Gas'!AH44&lt;0,"0",('Wtr-Gas'!AH44)*0.0038)</f>
        <v>0</v>
      </c>
      <c r="AQ42" s="231">
        <f>IF('Wtr-Gas'!AJ44&lt;0,"0",('Wtr-Gas'!AJ44)*0.0038)</f>
        <v>0</v>
      </c>
      <c r="AR42" s="231">
        <f>IF('Wtr-Gas'!AL44&lt;0,"0",('Wtr-Gas'!AL44)*0.0038)</f>
        <v>0</v>
      </c>
      <c r="AS42" s="231">
        <f>IF('Wtr-Gas'!AN44&lt;0,"0",('Wtr-Gas'!AN44)*0.0038)</f>
        <v>0</v>
      </c>
      <c r="AT42" s="231">
        <f>IF('Wtr-Gas'!AP44&lt;0,"0",('Wtr-Gas'!AP44)*0.0038)</f>
        <v>0</v>
      </c>
      <c r="AU42" s="252">
        <f>IF('Wtr-Gas'!AT44&lt;0,"0",('Wtr-Gas'!AT44)*0.0038)</f>
        <v>0</v>
      </c>
      <c r="AV42" s="231">
        <f>IF('Wtr-Gas'!AW44&lt;0,"0",('Wtr-Gas'!AW44)*0.0038)</f>
        <v>0</v>
      </c>
      <c r="AW42" s="231">
        <f>IF('Wtr-Gas'!AY44&lt;0,"0",('Wtr-Gas'!AY44)*0.0038)</f>
        <v>0</v>
      </c>
      <c r="AX42" s="231">
        <f>IF('Wtr-Gas'!AZ44&lt;0,"0",('Wtr-Gas'!AZ44)*0.0038)</f>
        <v>0</v>
      </c>
      <c r="AY42" s="231">
        <f>IF('Wtr-Gas'!BB44&lt;0,"0",('Wtr-Gas'!BB44)*0.0038)</f>
        <v>0</v>
      </c>
      <c r="AZ42" s="231">
        <f>IF('Wtr-Gas'!BD44&lt;0,"0",('Wtr-Gas'!BD44)*0.0038)</f>
        <v>0</v>
      </c>
      <c r="BA42" s="231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1">
        <f>IF('Wtr-Gas'!E45&lt;0,"0",('Wtr-Gas'!E45)*0.0038)</f>
        <v>0</v>
      </c>
      <c r="AG43" s="231">
        <f>IF('Wtr-Gas'!H45&lt;0,"0",('Wtr-Gas'!H45)*0.0038)</f>
        <v>0</v>
      </c>
      <c r="AH43" s="231">
        <f>IF('Wtr-Gas'!K45&lt;0,"0",('Wtr-Gas'!K45)*0.0038)</f>
        <v>0</v>
      </c>
      <c r="AI43" s="231">
        <f>IF('Wtr-Gas'!N45&lt;0,"0",('Wtr-Gas'!N45)*0.0038)</f>
        <v>0</v>
      </c>
      <c r="AJ43" s="231">
        <f>IF('Wtr-Gas'!Q45&lt;0,"0",('Wtr-Gas'!Q45)*0.0038)</f>
        <v>0</v>
      </c>
      <c r="AK43" s="232">
        <f>IF('Wtr-Gas'!U45&lt;0,"0",('Wtr-Gas'!U45)*0.0038)</f>
        <v>0</v>
      </c>
      <c r="AL43" s="232">
        <f>IF('Wtr-Gas'!X45&lt;0,"0",('Wtr-Gas'!X45)*0.0038)</f>
        <v>0</v>
      </c>
      <c r="AM43" s="231">
        <f>IF('Wtr-Gas'!AB45&lt;0,"0",('Wtr-Gas'!AB45)*0.0038)</f>
        <v>0</v>
      </c>
      <c r="AN43" s="231">
        <f>IF('Wtr-Gas'!AD45&lt;0,"0",('Wtr-Gas'!AD45)*0.0038)</f>
        <v>0</v>
      </c>
      <c r="AO43" s="231">
        <f>IF('Wtr-Gas'!AF45&lt;0,"0",('Wtr-Gas'!AF45)*0.0038)</f>
        <v>0</v>
      </c>
      <c r="AP43" s="231">
        <f>IF('Wtr-Gas'!AH45&lt;0,"0",('Wtr-Gas'!AH45)*0.0038)</f>
        <v>0</v>
      </c>
      <c r="AQ43" s="231">
        <f>IF('Wtr-Gas'!AJ45&lt;0,"0",('Wtr-Gas'!AJ45)*0.0038)</f>
        <v>0</v>
      </c>
      <c r="AR43" s="231">
        <f>IF('Wtr-Gas'!AL45&lt;0,"0",('Wtr-Gas'!AL45)*0.0038)</f>
        <v>0</v>
      </c>
      <c r="AS43" s="231">
        <f>IF('Wtr-Gas'!AN45&lt;0,"0",('Wtr-Gas'!AN45)*0.0038)</f>
        <v>0</v>
      </c>
      <c r="AT43" s="231">
        <f>IF('Wtr-Gas'!AP45&lt;0,"0",('Wtr-Gas'!AP45)*0.0038)</f>
        <v>0</v>
      </c>
      <c r="AU43" s="252">
        <f>IF('Wtr-Gas'!AT45&lt;0,"0",('Wtr-Gas'!AT45)*0.0038)</f>
        <v>0</v>
      </c>
      <c r="AV43" s="231">
        <f>IF('Wtr-Gas'!AW45&lt;0,"0",('Wtr-Gas'!AW45)*0.0038)</f>
        <v>0</v>
      </c>
      <c r="AW43" s="231">
        <f>IF('Wtr-Gas'!AY45&lt;0,"0",('Wtr-Gas'!AY45)*0.0038)</f>
        <v>0</v>
      </c>
      <c r="AX43" s="231">
        <f>IF('Wtr-Gas'!AZ45&lt;0,"0",('Wtr-Gas'!AZ45)*0.0038)</f>
        <v>0</v>
      </c>
      <c r="AY43" s="231">
        <f>IF('Wtr-Gas'!BB45&lt;0,"0",('Wtr-Gas'!BB45)*0.0038)</f>
        <v>0</v>
      </c>
      <c r="AZ43" s="231">
        <f>IF('Wtr-Gas'!BD45&lt;0,"0",('Wtr-Gas'!BD45)*0.0038)</f>
        <v>0</v>
      </c>
      <c r="BA43" s="231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1">
        <f>IF('Wtr-Gas'!E46&lt;0,"0",('Wtr-Gas'!E46)*0.0038)</f>
        <v>0</v>
      </c>
      <c r="AG44" s="231">
        <f>IF('Wtr-Gas'!H46&lt;0,"0",('Wtr-Gas'!H46)*0.0038)</f>
        <v>0</v>
      </c>
      <c r="AH44" s="231">
        <f>IF('Wtr-Gas'!K46&lt;0,"0",('Wtr-Gas'!K46)*0.0038)</f>
        <v>0</v>
      </c>
      <c r="AI44" s="231">
        <f>IF('Wtr-Gas'!N46&lt;0,"0",('Wtr-Gas'!N46)*0.0038)</f>
        <v>0</v>
      </c>
      <c r="AJ44" s="231">
        <f>IF('Wtr-Gas'!Q46&lt;0,"0",('Wtr-Gas'!Q46)*0.0038)</f>
        <v>0</v>
      </c>
      <c r="AK44" s="232">
        <f>IF('Wtr-Gas'!U46&lt;0,"0",('Wtr-Gas'!U46)*0.0038)</f>
        <v>0</v>
      </c>
      <c r="AL44" s="232">
        <f>IF('Wtr-Gas'!X46&lt;0,"0",('Wtr-Gas'!X46)*0.0038)</f>
        <v>0</v>
      </c>
      <c r="AM44" s="231">
        <f>IF('Wtr-Gas'!AB46&lt;0,"0",('Wtr-Gas'!AB46)*0.0038)</f>
        <v>0</v>
      </c>
      <c r="AN44" s="231">
        <f>IF('Wtr-Gas'!AD46&lt;0,"0",('Wtr-Gas'!AD46)*0.0038)</f>
        <v>0</v>
      </c>
      <c r="AO44" s="231">
        <f>IF('Wtr-Gas'!AF46&lt;0,"0",('Wtr-Gas'!AF46)*0.0038)</f>
        <v>0</v>
      </c>
      <c r="AP44" s="231">
        <f>IF('Wtr-Gas'!AH46&lt;0,"0",('Wtr-Gas'!AH46)*0.0038)</f>
        <v>0</v>
      </c>
      <c r="AQ44" s="231">
        <f>IF('Wtr-Gas'!AJ46&lt;0,"0",('Wtr-Gas'!AJ46)*0.0038)</f>
        <v>0</v>
      </c>
      <c r="AR44" s="231">
        <f>IF('Wtr-Gas'!AL46&lt;0,"0",('Wtr-Gas'!AL46)*0.0038)</f>
        <v>0</v>
      </c>
      <c r="AS44" s="231">
        <f>IF('Wtr-Gas'!AN46&lt;0,"0",('Wtr-Gas'!AN46)*0.0038)</f>
        <v>0</v>
      </c>
      <c r="AT44" s="231">
        <f>IF('Wtr-Gas'!AP46&lt;0,"0",('Wtr-Gas'!AP46)*0.0038)</f>
        <v>0</v>
      </c>
      <c r="AU44" s="252">
        <f>IF('Wtr-Gas'!AT46&lt;0,"0",('Wtr-Gas'!AT46)*0.0038)</f>
        <v>0</v>
      </c>
      <c r="AV44" s="231">
        <f>IF('Wtr-Gas'!AW46&lt;0,"0",('Wtr-Gas'!AW46)*0.0038)</f>
        <v>0</v>
      </c>
      <c r="AW44" s="231">
        <f>IF('Wtr-Gas'!AY46&lt;0,"0",('Wtr-Gas'!AY46)*0.0038)</f>
        <v>0</v>
      </c>
      <c r="AX44" s="231">
        <f>IF('Wtr-Gas'!AZ46&lt;0,"0",('Wtr-Gas'!AZ46)*0.0038)</f>
        <v>0</v>
      </c>
      <c r="AY44" s="231">
        <f>IF('Wtr-Gas'!BB46&lt;0,"0",('Wtr-Gas'!BB46)*0.0038)</f>
        <v>0</v>
      </c>
      <c r="AZ44" s="231">
        <f>IF('Wtr-Gas'!BD46&lt;0,"0",('Wtr-Gas'!BD46)*0.0038)</f>
        <v>0</v>
      </c>
      <c r="BA44" s="231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1">
        <f>IF('Wtr-Gas'!E47&lt;0,"0",('Wtr-Gas'!E47)*0.0038)</f>
        <v>0</v>
      </c>
      <c r="AG45" s="231">
        <f>IF('Wtr-Gas'!H47&lt;0,"0",('Wtr-Gas'!H47)*0.0038)</f>
        <v>0</v>
      </c>
      <c r="AH45" s="231">
        <f>IF('Wtr-Gas'!K47&lt;0,"0",('Wtr-Gas'!K47)*0.0038)</f>
        <v>0</v>
      </c>
      <c r="AI45" s="231">
        <f>IF('Wtr-Gas'!N47&lt;0,"0",('Wtr-Gas'!N47)*0.0038)</f>
        <v>0</v>
      </c>
      <c r="AJ45" s="231">
        <f>IF('Wtr-Gas'!Q47&lt;0,"0",('Wtr-Gas'!Q47)*0.0038)</f>
        <v>0</v>
      </c>
      <c r="AK45" s="232">
        <f>IF('Wtr-Gas'!U47&lt;0,"0",('Wtr-Gas'!U47)*0.0038)</f>
        <v>0</v>
      </c>
      <c r="AL45" s="232">
        <f>IF('Wtr-Gas'!X47&lt;0,"0",('Wtr-Gas'!X47)*0.0038)</f>
        <v>0</v>
      </c>
      <c r="AM45" s="231">
        <f>IF('Wtr-Gas'!AB47&lt;0,"0",('Wtr-Gas'!AB47)*0.0038)</f>
        <v>0</v>
      </c>
      <c r="AN45" s="231">
        <f>IF('Wtr-Gas'!AD47&lt;0,"0",('Wtr-Gas'!AD47)*0.0038)</f>
        <v>0</v>
      </c>
      <c r="AO45" s="231">
        <f>IF('Wtr-Gas'!AF47&lt;0,"0",('Wtr-Gas'!AF47)*0.0038)</f>
        <v>0</v>
      </c>
      <c r="AP45" s="231">
        <f>IF('Wtr-Gas'!AH47&lt;0,"0",('Wtr-Gas'!AH47)*0.0038)</f>
        <v>0</v>
      </c>
      <c r="AQ45" s="231">
        <f>IF('Wtr-Gas'!AJ47&lt;0,"0",('Wtr-Gas'!AJ47)*0.0038)</f>
        <v>0</v>
      </c>
      <c r="AR45" s="231">
        <f>IF('Wtr-Gas'!AL47&lt;0,"0",('Wtr-Gas'!AL47)*0.0038)</f>
        <v>0</v>
      </c>
      <c r="AS45" s="231">
        <f>IF('Wtr-Gas'!AN47&lt;0,"0",('Wtr-Gas'!AN47)*0.0038)</f>
        <v>0</v>
      </c>
      <c r="AT45" s="231">
        <f>IF('Wtr-Gas'!AP47&lt;0,"0",('Wtr-Gas'!AP47)*0.0038)</f>
        <v>0</v>
      </c>
      <c r="AU45" s="252">
        <f>IF('Wtr-Gas'!AT47&lt;0,"0",('Wtr-Gas'!AT47)*0.0038)</f>
        <v>0</v>
      </c>
      <c r="AV45" s="231">
        <f>IF('Wtr-Gas'!AW47&lt;0,"0",('Wtr-Gas'!AW47)*0.0038)</f>
        <v>0</v>
      </c>
      <c r="AW45" s="231">
        <f>IF('Wtr-Gas'!AY47&lt;0,"0",('Wtr-Gas'!AY47)*0.0038)</f>
        <v>0</v>
      </c>
      <c r="AX45" s="231">
        <f>IF('Wtr-Gas'!AZ47&lt;0,"0",('Wtr-Gas'!AZ47)*0.0038)</f>
        <v>0</v>
      </c>
      <c r="AY45" s="231">
        <f>IF('Wtr-Gas'!BB47&lt;0,"0",('Wtr-Gas'!BB47)*0.0038)</f>
        <v>0</v>
      </c>
      <c r="AZ45" s="231">
        <f>IF('Wtr-Gas'!BD47&lt;0,"0",('Wtr-Gas'!BD47)*0.0038)</f>
        <v>0</v>
      </c>
      <c r="BA45" s="231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1">
        <f>IF('Wtr-Gas'!E48&lt;0,"0",('Wtr-Gas'!E48)*0.0038)</f>
        <v>0</v>
      </c>
      <c r="AG46" s="231">
        <f>IF('Wtr-Gas'!H48&lt;0,"0",('Wtr-Gas'!H48)*0.0038)</f>
        <v>0</v>
      </c>
      <c r="AH46" s="231">
        <f>IF('Wtr-Gas'!K48&lt;0,"0",('Wtr-Gas'!K48)*0.0038)</f>
        <v>0</v>
      </c>
      <c r="AI46" s="231">
        <f>IF('Wtr-Gas'!N48&lt;0,"0",('Wtr-Gas'!N48)*0.0038)</f>
        <v>0</v>
      </c>
      <c r="AJ46" s="231">
        <f>IF('Wtr-Gas'!Q48&lt;0,"0",('Wtr-Gas'!Q48)*0.0038)</f>
        <v>0</v>
      </c>
      <c r="AK46" s="232">
        <f>IF('Wtr-Gas'!U48&lt;0,"0",('Wtr-Gas'!U48)*0.0038)</f>
        <v>0</v>
      </c>
      <c r="AL46" s="232">
        <f>IF('Wtr-Gas'!X48&lt;0,"0",('Wtr-Gas'!X48)*0.0038)</f>
        <v>0</v>
      </c>
      <c r="AM46" s="231">
        <f>IF('Wtr-Gas'!AB48&lt;0,"0",('Wtr-Gas'!AB48)*0.0038)</f>
        <v>0</v>
      </c>
      <c r="AN46" s="231">
        <f>IF('Wtr-Gas'!AD48&lt;0,"0",('Wtr-Gas'!AD48)*0.0038)</f>
        <v>0</v>
      </c>
      <c r="AO46" s="231">
        <f>IF('Wtr-Gas'!AF48&lt;0,"0",('Wtr-Gas'!AF48)*0.0038)</f>
        <v>0</v>
      </c>
      <c r="AP46" s="231">
        <f>IF('Wtr-Gas'!AH48&lt;0,"0",('Wtr-Gas'!AH48)*0.0038)</f>
        <v>0</v>
      </c>
      <c r="AQ46" s="231">
        <f>IF('Wtr-Gas'!AJ48&lt;0,"0",('Wtr-Gas'!AJ48)*0.0038)</f>
        <v>0</v>
      </c>
      <c r="AR46" s="231">
        <f>IF('Wtr-Gas'!AL48&lt;0,"0",('Wtr-Gas'!AL48)*0.0038)</f>
        <v>0</v>
      </c>
      <c r="AS46" s="231">
        <f>IF('Wtr-Gas'!AN48&lt;0,"0",('Wtr-Gas'!AN48)*0.0038)</f>
        <v>0</v>
      </c>
      <c r="AT46" s="231">
        <f>IF('Wtr-Gas'!AP48&lt;0,"0",('Wtr-Gas'!AP48)*0.0038)</f>
        <v>0</v>
      </c>
      <c r="AU46" s="252">
        <f>IF('Wtr-Gas'!AT48&lt;0,"0",('Wtr-Gas'!AT48)*0.0038)</f>
        <v>0</v>
      </c>
      <c r="AV46" s="231">
        <f>IF('Wtr-Gas'!AW48&lt;0,"0",('Wtr-Gas'!AW48)*0.0038)</f>
        <v>0</v>
      </c>
      <c r="AW46" s="231">
        <f>IF('Wtr-Gas'!AY48&lt;0,"0",('Wtr-Gas'!AY48)*0.0038)</f>
        <v>0</v>
      </c>
      <c r="AX46" s="231">
        <f>IF('Wtr-Gas'!AZ48&lt;0,"0",('Wtr-Gas'!AZ48)*0.0038)</f>
        <v>0</v>
      </c>
      <c r="AY46" s="231">
        <f>IF('Wtr-Gas'!BB48&lt;0,"0",('Wtr-Gas'!BB48)*0.0038)</f>
        <v>0</v>
      </c>
      <c r="AZ46" s="231">
        <f>IF('Wtr-Gas'!BD48&lt;0,"0",('Wtr-Gas'!BD48)*0.0038)</f>
        <v>0</v>
      </c>
      <c r="BA46" s="231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1">
        <f>IF('Wtr-Gas'!E49&lt;0,"0",('Wtr-Gas'!E49)*0.0038)</f>
        <v>0</v>
      </c>
      <c r="AG47" s="231">
        <f>IF('Wtr-Gas'!H49&lt;0,"0",('Wtr-Gas'!H49)*0.0038)</f>
        <v>0</v>
      </c>
      <c r="AH47" s="231">
        <f>IF('Wtr-Gas'!K49&lt;0,"0",('Wtr-Gas'!K49)*0.0038)</f>
        <v>0</v>
      </c>
      <c r="AI47" s="231">
        <f>IF('Wtr-Gas'!N49&lt;0,"0",('Wtr-Gas'!N49)*0.0038)</f>
        <v>0</v>
      </c>
      <c r="AJ47" s="231">
        <f>IF('Wtr-Gas'!Q49&lt;0,"0",('Wtr-Gas'!Q49)*0.0038)</f>
        <v>0</v>
      </c>
      <c r="AK47" s="232">
        <f>IF('Wtr-Gas'!U49&lt;0,"0",('Wtr-Gas'!U49)*0.0038)</f>
        <v>0</v>
      </c>
      <c r="AL47" s="232">
        <f>IF('Wtr-Gas'!X49&lt;0,"0",('Wtr-Gas'!X49)*0.0038)</f>
        <v>0</v>
      </c>
      <c r="AM47" s="231">
        <f>IF('Wtr-Gas'!AB49&lt;0,"0",('Wtr-Gas'!AB49)*0.0038)</f>
        <v>0</v>
      </c>
      <c r="AN47" s="231">
        <f>IF('Wtr-Gas'!AD49&lt;0,"0",('Wtr-Gas'!AD49)*0.0038)</f>
        <v>0</v>
      </c>
      <c r="AO47" s="231">
        <f>IF('Wtr-Gas'!AF49&lt;0,"0",('Wtr-Gas'!AF49)*0.0038)</f>
        <v>0</v>
      </c>
      <c r="AP47" s="231">
        <f>IF('Wtr-Gas'!AH49&lt;0,"0",('Wtr-Gas'!AH49)*0.0038)</f>
        <v>0</v>
      </c>
      <c r="AQ47" s="231">
        <f>IF('Wtr-Gas'!AJ49&lt;0,"0",('Wtr-Gas'!AJ49)*0.0038)</f>
        <v>0</v>
      </c>
      <c r="AR47" s="231">
        <f>IF('Wtr-Gas'!AL49&lt;0,"0",('Wtr-Gas'!AL49)*0.0038)</f>
        <v>0</v>
      </c>
      <c r="AS47" s="231">
        <f>IF('Wtr-Gas'!AN49&lt;0,"0",('Wtr-Gas'!AN49)*0.0038)</f>
        <v>0</v>
      </c>
      <c r="AT47" s="231">
        <f>IF('Wtr-Gas'!AP49&lt;0,"0",('Wtr-Gas'!AP49)*0.0038)</f>
        <v>0</v>
      </c>
      <c r="AU47" s="252">
        <f>IF('Wtr-Gas'!AT49&lt;0,"0",('Wtr-Gas'!AT49)*0.0038)</f>
        <v>0</v>
      </c>
      <c r="AV47" s="231">
        <f>IF('Wtr-Gas'!AW49&lt;0,"0",('Wtr-Gas'!AW49)*0.0038)</f>
        <v>0</v>
      </c>
      <c r="AW47" s="231">
        <f>IF('Wtr-Gas'!AY49&lt;0,"0",('Wtr-Gas'!AY49)*0.0038)</f>
        <v>0</v>
      </c>
      <c r="AX47" s="231">
        <f>IF('Wtr-Gas'!AZ49&lt;0,"0",('Wtr-Gas'!AZ49)*0.0038)</f>
        <v>0</v>
      </c>
      <c r="AY47" s="231">
        <f>IF('Wtr-Gas'!BB49&lt;0,"0",('Wtr-Gas'!BB49)*0.0038)</f>
        <v>0</v>
      </c>
      <c r="AZ47" s="231">
        <f>IF('Wtr-Gas'!BD49&lt;0,"0",('Wtr-Gas'!BD49)*0.0038)</f>
        <v>0</v>
      </c>
      <c r="BA47" s="231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1">
        <f>IF('Wtr-Gas'!E50&lt;0,"0",('Wtr-Gas'!E50)*0.0038)</f>
        <v>0</v>
      </c>
      <c r="AG48" s="231">
        <f>IF('Wtr-Gas'!H50&lt;0,"0",('Wtr-Gas'!H50)*0.0038)</f>
        <v>0</v>
      </c>
      <c r="AH48" s="231">
        <f>IF('Wtr-Gas'!K50&lt;0,"0",('Wtr-Gas'!K50)*0.0038)</f>
        <v>0</v>
      </c>
      <c r="AI48" s="231">
        <f>IF('Wtr-Gas'!N50&lt;0,"0",('Wtr-Gas'!N50)*0.0038)</f>
        <v>0</v>
      </c>
      <c r="AJ48" s="231">
        <f>IF('Wtr-Gas'!Q50&lt;0,"0",('Wtr-Gas'!Q50)*0.0038)</f>
        <v>0</v>
      </c>
      <c r="AK48" s="232">
        <f>IF('Wtr-Gas'!U50&lt;0,"0",('Wtr-Gas'!U50)*0.0038)</f>
        <v>0</v>
      </c>
      <c r="AL48" s="232">
        <f>IF('Wtr-Gas'!X50&lt;0,"0",('Wtr-Gas'!X50)*0.0038)</f>
        <v>0</v>
      </c>
      <c r="AM48" s="231">
        <f>IF('Wtr-Gas'!AB50&lt;0,"0",('Wtr-Gas'!AB50)*0.0038)</f>
        <v>0</v>
      </c>
      <c r="AN48" s="231">
        <f>IF('Wtr-Gas'!AD50&lt;0,"0",('Wtr-Gas'!AD50)*0.0038)</f>
        <v>0</v>
      </c>
      <c r="AO48" s="231">
        <f>IF('Wtr-Gas'!AF50&lt;0,"0",('Wtr-Gas'!AF50)*0.0038)</f>
        <v>0</v>
      </c>
      <c r="AP48" s="231">
        <f>IF('Wtr-Gas'!AH50&lt;0,"0",('Wtr-Gas'!AH50)*0.0038)</f>
        <v>0</v>
      </c>
      <c r="AQ48" s="231">
        <f>IF('Wtr-Gas'!AJ50&lt;0,"0",('Wtr-Gas'!AJ50)*0.0038)</f>
        <v>0</v>
      </c>
      <c r="AR48" s="231">
        <f>IF('Wtr-Gas'!AL50&lt;0,"0",('Wtr-Gas'!AL50)*0.0038)</f>
        <v>0</v>
      </c>
      <c r="AS48" s="231">
        <f>IF('Wtr-Gas'!AN50&lt;0,"0",('Wtr-Gas'!AN50)*0.0038)</f>
        <v>0</v>
      </c>
      <c r="AT48" s="231">
        <f>IF('Wtr-Gas'!AP50&lt;0,"0",('Wtr-Gas'!AP50)*0.0038)</f>
        <v>0</v>
      </c>
      <c r="AU48" s="252">
        <f>IF('Wtr-Gas'!AT50&lt;0,"0",('Wtr-Gas'!AT50)*0.0038)</f>
        <v>0</v>
      </c>
      <c r="AV48" s="231">
        <f>IF('Wtr-Gas'!AW50&lt;0,"0",('Wtr-Gas'!AW50)*0.0038)</f>
        <v>0</v>
      </c>
      <c r="AW48" s="231">
        <f>IF('Wtr-Gas'!AY50&lt;0,"0",('Wtr-Gas'!AY50)*0.0038)</f>
        <v>0</v>
      </c>
      <c r="AX48" s="231">
        <f>IF('Wtr-Gas'!AZ50&lt;0,"0",('Wtr-Gas'!AZ50)*0.0038)</f>
        <v>0</v>
      </c>
      <c r="AY48" s="231">
        <f>IF('Wtr-Gas'!BB50&lt;0,"0",('Wtr-Gas'!BB50)*0.0038)</f>
        <v>0</v>
      </c>
      <c r="AZ48" s="231">
        <f>IF('Wtr-Gas'!BD50&lt;0,"0",('Wtr-Gas'!BD50)*0.0038)</f>
        <v>0</v>
      </c>
      <c r="BA48" s="231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1">
        <f>IF('Wtr-Gas'!E51&lt;0,"0",('Wtr-Gas'!E51)*0.0038)</f>
        <v>0</v>
      </c>
      <c r="AG49" s="231">
        <f>IF('Wtr-Gas'!H51&lt;0,"0",('Wtr-Gas'!H51)*0.0038)</f>
        <v>0</v>
      </c>
      <c r="AH49" s="231">
        <f>IF('Wtr-Gas'!K51&lt;0,"0",('Wtr-Gas'!K51)*0.0038)</f>
        <v>0</v>
      </c>
      <c r="AI49" s="231">
        <f>IF('Wtr-Gas'!N51&lt;0,"0",('Wtr-Gas'!N51)*0.0038)</f>
        <v>0</v>
      </c>
      <c r="AJ49" s="231">
        <f>IF('Wtr-Gas'!Q51&lt;0,"0",('Wtr-Gas'!Q51)*0.0038)</f>
        <v>0</v>
      </c>
      <c r="AK49" s="232">
        <f>IF('Wtr-Gas'!U51&lt;0,"0",('Wtr-Gas'!U51)*0.0038)</f>
        <v>0</v>
      </c>
      <c r="AL49" s="232">
        <f>IF('Wtr-Gas'!X51&lt;0,"0",('Wtr-Gas'!X51)*0.0038)</f>
        <v>0</v>
      </c>
      <c r="AM49" s="231">
        <f>IF('Wtr-Gas'!AB51&lt;0,"0",('Wtr-Gas'!AB51)*0.0038)</f>
        <v>0</v>
      </c>
      <c r="AN49" s="231">
        <f>IF('Wtr-Gas'!AD51&lt;0,"0",('Wtr-Gas'!AD51)*0.0038)</f>
        <v>0</v>
      </c>
      <c r="AO49" s="231">
        <f>IF('Wtr-Gas'!AF51&lt;0,"0",('Wtr-Gas'!AF51)*0.0038)</f>
        <v>0</v>
      </c>
      <c r="AP49" s="231">
        <f>IF('Wtr-Gas'!AH51&lt;0,"0",('Wtr-Gas'!AH51)*0.0038)</f>
        <v>0</v>
      </c>
      <c r="AQ49" s="231">
        <f>IF('Wtr-Gas'!AJ51&lt;0,"0",('Wtr-Gas'!AJ51)*0.0038)</f>
        <v>0</v>
      </c>
      <c r="AR49" s="231">
        <f>IF('Wtr-Gas'!AL51&lt;0,"0",('Wtr-Gas'!AL51)*0.0038)</f>
        <v>0</v>
      </c>
      <c r="AS49" s="231">
        <f>IF('Wtr-Gas'!AN51&lt;0,"0",('Wtr-Gas'!AN51)*0.0038)</f>
        <v>0</v>
      </c>
      <c r="AT49" s="231">
        <f>IF('Wtr-Gas'!AP51&lt;0,"0",('Wtr-Gas'!AP51)*0.0038)</f>
        <v>0</v>
      </c>
      <c r="AU49" s="252">
        <f>IF('Wtr-Gas'!AT51&lt;0,"0",('Wtr-Gas'!AT51)*0.0038)</f>
        <v>0</v>
      </c>
      <c r="AV49" s="231">
        <f>IF('Wtr-Gas'!AW51&lt;0,"0",('Wtr-Gas'!AW51)*0.0038)</f>
        <v>0</v>
      </c>
      <c r="AW49" s="231">
        <f>IF('Wtr-Gas'!AY51&lt;0,"0",('Wtr-Gas'!AY51)*0.0038)</f>
        <v>0</v>
      </c>
      <c r="AX49" s="231">
        <f>IF('Wtr-Gas'!AZ51&lt;0,"0",('Wtr-Gas'!AZ51)*0.0038)</f>
        <v>0</v>
      </c>
      <c r="AY49" s="231">
        <f>IF('Wtr-Gas'!BB51&lt;0,"0",('Wtr-Gas'!BB51)*0.0038)</f>
        <v>0</v>
      </c>
      <c r="AZ49" s="231">
        <f>IF('Wtr-Gas'!BD51&lt;0,"0",('Wtr-Gas'!BD51)*0.0038)</f>
        <v>0</v>
      </c>
      <c r="BA49" s="231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1">
        <f>IF('Wtr-Gas'!E52&lt;0,"0",('Wtr-Gas'!E52)*0.0038)</f>
        <v>0</v>
      </c>
      <c r="AG50" s="231">
        <f>IF('Wtr-Gas'!H52&lt;0,"0",('Wtr-Gas'!H52)*0.0038)</f>
        <v>0</v>
      </c>
      <c r="AH50" s="231">
        <f>IF('Wtr-Gas'!K52&lt;0,"0",('Wtr-Gas'!K52)*0.0038)</f>
        <v>0</v>
      </c>
      <c r="AI50" s="231">
        <f>IF('Wtr-Gas'!N52&lt;0,"0",('Wtr-Gas'!N52)*0.0038)</f>
        <v>0</v>
      </c>
      <c r="AJ50" s="231">
        <f>IF('Wtr-Gas'!Q52&lt;0,"0",('Wtr-Gas'!Q52)*0.0038)</f>
        <v>0</v>
      </c>
      <c r="AK50" s="232">
        <f>IF('Wtr-Gas'!U52&lt;0,"0",('Wtr-Gas'!U52)*0.0038)</f>
        <v>0</v>
      </c>
      <c r="AL50" s="232">
        <f>IF('Wtr-Gas'!X52&lt;0,"0",('Wtr-Gas'!X52)*0.0038)</f>
        <v>0</v>
      </c>
      <c r="AM50" s="231">
        <f>IF('Wtr-Gas'!AB52&lt;0,"0",('Wtr-Gas'!AB52)*0.0038)</f>
        <v>0</v>
      </c>
      <c r="AN50" s="231">
        <f>IF('Wtr-Gas'!AD52&lt;0,"0",('Wtr-Gas'!AD52)*0.0038)</f>
        <v>0</v>
      </c>
      <c r="AO50" s="231">
        <f>IF('Wtr-Gas'!AF52&lt;0,"0",('Wtr-Gas'!AF52)*0.0038)</f>
        <v>0</v>
      </c>
      <c r="AP50" s="231">
        <f>IF('Wtr-Gas'!AH52&lt;0,"0",('Wtr-Gas'!AH52)*0.0038)</f>
        <v>0</v>
      </c>
      <c r="AQ50" s="231">
        <f>IF('Wtr-Gas'!AJ52&lt;0,"0",('Wtr-Gas'!AJ52)*0.0038)</f>
        <v>0</v>
      </c>
      <c r="AR50" s="231">
        <f>IF('Wtr-Gas'!AL52&lt;0,"0",('Wtr-Gas'!AL52)*0.0038)</f>
        <v>0</v>
      </c>
      <c r="AS50" s="231">
        <f>IF('Wtr-Gas'!AN52&lt;0,"0",('Wtr-Gas'!AN52)*0.0038)</f>
        <v>0</v>
      </c>
      <c r="AT50" s="231">
        <f>IF('Wtr-Gas'!AP52&lt;0,"0",('Wtr-Gas'!AP52)*0.0038)</f>
        <v>0</v>
      </c>
      <c r="AU50" s="252">
        <f>IF('Wtr-Gas'!AT52&lt;0,"0",('Wtr-Gas'!AT52)*0.0038)</f>
        <v>0</v>
      </c>
      <c r="AV50" s="231">
        <f>IF('Wtr-Gas'!AW52&lt;0,"0",('Wtr-Gas'!AW52)*0.0038)</f>
        <v>0</v>
      </c>
      <c r="AW50" s="231">
        <f>IF('Wtr-Gas'!AY52&lt;0,"0",('Wtr-Gas'!AY52)*0.0038)</f>
        <v>0</v>
      </c>
      <c r="AX50" s="231">
        <f>IF('Wtr-Gas'!AZ52&lt;0,"0",('Wtr-Gas'!AZ52)*0.0038)</f>
        <v>0</v>
      </c>
      <c r="AY50" s="231">
        <f>IF('Wtr-Gas'!BB52&lt;0,"0",('Wtr-Gas'!BB52)*0.0038)</f>
        <v>0</v>
      </c>
      <c r="AZ50" s="231">
        <f>IF('Wtr-Gas'!BD52&lt;0,"0",('Wtr-Gas'!BD52)*0.0038)</f>
        <v>0</v>
      </c>
      <c r="BA50" s="231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1">
        <f>IF('Wtr-Gas'!E53&lt;0,"0",('Wtr-Gas'!E53)*0.0038)</f>
        <v>0</v>
      </c>
      <c r="AG51" s="231">
        <f>IF('Wtr-Gas'!H53&lt;0,"0",('Wtr-Gas'!H53)*0.0038)</f>
        <v>0</v>
      </c>
      <c r="AH51" s="231">
        <f>IF('Wtr-Gas'!K53&lt;0,"0",('Wtr-Gas'!K53)*0.0038)</f>
        <v>0</v>
      </c>
      <c r="AI51" s="231">
        <f>IF('Wtr-Gas'!N53&lt;0,"0",('Wtr-Gas'!N53)*0.0038)</f>
        <v>0</v>
      </c>
      <c r="AJ51" s="231">
        <f>IF('Wtr-Gas'!Q53&lt;0,"0",('Wtr-Gas'!Q53)*0.0038)</f>
        <v>0</v>
      </c>
      <c r="AK51" s="232">
        <f>IF('Wtr-Gas'!U53&lt;0,"0",('Wtr-Gas'!U53)*0.0038)</f>
        <v>0</v>
      </c>
      <c r="AL51" s="232">
        <f>IF('Wtr-Gas'!X53&lt;0,"0",('Wtr-Gas'!X53)*0.0038)</f>
        <v>0</v>
      </c>
      <c r="AM51" s="231">
        <f>IF('Wtr-Gas'!AB53&lt;0,"0",('Wtr-Gas'!AB53)*0.0038)</f>
        <v>0</v>
      </c>
      <c r="AN51" s="231">
        <f>IF('Wtr-Gas'!AD53&lt;0,"0",('Wtr-Gas'!AD53)*0.0038)</f>
        <v>0</v>
      </c>
      <c r="AO51" s="231">
        <f>IF('Wtr-Gas'!AF53&lt;0,"0",('Wtr-Gas'!AF53)*0.0038)</f>
        <v>0</v>
      </c>
      <c r="AP51" s="231">
        <f>IF('Wtr-Gas'!AH53&lt;0,"0",('Wtr-Gas'!AH53)*0.0038)</f>
        <v>0</v>
      </c>
      <c r="AQ51" s="231">
        <f>IF('Wtr-Gas'!AJ53&lt;0,"0",('Wtr-Gas'!AJ53)*0.0038)</f>
        <v>0</v>
      </c>
      <c r="AR51" s="231">
        <f>IF('Wtr-Gas'!AL53&lt;0,"0",('Wtr-Gas'!AL53)*0.0038)</f>
        <v>0</v>
      </c>
      <c r="AS51" s="231">
        <f>IF('Wtr-Gas'!AN53&lt;0,"0",('Wtr-Gas'!AN53)*0.0038)</f>
        <v>0</v>
      </c>
      <c r="AT51" s="231">
        <f>IF('Wtr-Gas'!AP53&lt;0,"0",('Wtr-Gas'!AP53)*0.0038)</f>
        <v>0</v>
      </c>
      <c r="AU51" s="252">
        <f>IF('Wtr-Gas'!AT53&lt;0,"0",('Wtr-Gas'!AT53)*0.0038)</f>
        <v>0</v>
      </c>
      <c r="AV51" s="231">
        <f>IF('Wtr-Gas'!AW53&lt;0,"0",('Wtr-Gas'!AW53)*0.0038)</f>
        <v>0</v>
      </c>
      <c r="AW51" s="231">
        <f>IF('Wtr-Gas'!AY53&lt;0,"0",('Wtr-Gas'!AY53)*0.0038)</f>
        <v>0</v>
      </c>
      <c r="AX51" s="231">
        <f>IF('Wtr-Gas'!AZ53&lt;0,"0",('Wtr-Gas'!AZ53)*0.0038)</f>
        <v>0</v>
      </c>
      <c r="AY51" s="231">
        <f>IF('Wtr-Gas'!BB53&lt;0,"0",('Wtr-Gas'!BB53)*0.0038)</f>
        <v>0</v>
      </c>
      <c r="AZ51" s="231">
        <f>IF('Wtr-Gas'!BD53&lt;0,"0",('Wtr-Gas'!BD53)*0.0038)</f>
        <v>0</v>
      </c>
      <c r="BA51" s="231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1">
        <f>IF('Wtr-Gas'!E54&lt;0,"0",('Wtr-Gas'!E54)*0.0038)</f>
        <v>0</v>
      </c>
      <c r="AG52" s="231">
        <f>IF('Wtr-Gas'!H54&lt;0,"0",('Wtr-Gas'!H54)*0.0038)</f>
        <v>0</v>
      </c>
      <c r="AH52" s="231">
        <f>IF('Wtr-Gas'!K54&lt;0,"0",('Wtr-Gas'!K54)*0.0038)</f>
        <v>0</v>
      </c>
      <c r="AI52" s="231">
        <f>IF('Wtr-Gas'!N54&lt;0,"0",('Wtr-Gas'!N54)*0.0038)</f>
        <v>0</v>
      </c>
      <c r="AJ52" s="231">
        <f>IF('Wtr-Gas'!Q54&lt;0,"0",('Wtr-Gas'!Q54)*0.0038)</f>
        <v>0</v>
      </c>
      <c r="AK52" s="232">
        <f>IF('Wtr-Gas'!U54&lt;0,"0",('Wtr-Gas'!U54)*0.0038)</f>
        <v>0</v>
      </c>
      <c r="AL52" s="232">
        <f>IF('Wtr-Gas'!X54&lt;0,"0",('Wtr-Gas'!X54)*0.0038)</f>
        <v>0</v>
      </c>
      <c r="AM52" s="231">
        <f>IF('Wtr-Gas'!AB54&lt;0,"0",('Wtr-Gas'!AB54)*0.0038)</f>
        <v>0</v>
      </c>
      <c r="AN52" s="231">
        <f>IF('Wtr-Gas'!AD54&lt;0,"0",('Wtr-Gas'!AD54)*0.0038)</f>
        <v>0</v>
      </c>
      <c r="AO52" s="231">
        <f>IF('Wtr-Gas'!AF54&lt;0,"0",('Wtr-Gas'!AF54)*0.0038)</f>
        <v>0</v>
      </c>
      <c r="AP52" s="231">
        <f>IF('Wtr-Gas'!AH54&lt;0,"0",('Wtr-Gas'!AH54)*0.0038)</f>
        <v>0</v>
      </c>
      <c r="AQ52" s="231">
        <f>IF('Wtr-Gas'!AJ54&lt;0,"0",('Wtr-Gas'!AJ54)*0.0038)</f>
        <v>0</v>
      </c>
      <c r="AR52" s="231">
        <f>IF('Wtr-Gas'!AL54&lt;0,"0",('Wtr-Gas'!AL54)*0.0038)</f>
        <v>0</v>
      </c>
      <c r="AS52" s="231">
        <f>IF('Wtr-Gas'!AN54&lt;0,"0",('Wtr-Gas'!AN54)*0.0038)</f>
        <v>0</v>
      </c>
      <c r="AT52" s="231">
        <f>IF('Wtr-Gas'!AP54&lt;0,"0",('Wtr-Gas'!AP54)*0.0038)</f>
        <v>0</v>
      </c>
      <c r="AU52" s="252">
        <f>IF('Wtr-Gas'!AT54&lt;0,"0",('Wtr-Gas'!AT54)*0.0038)</f>
        <v>0</v>
      </c>
      <c r="AV52" s="231">
        <f>IF('Wtr-Gas'!AW54&lt;0,"0",('Wtr-Gas'!AW54)*0.0038)</f>
        <v>0</v>
      </c>
      <c r="AW52" s="231">
        <f>IF('Wtr-Gas'!AY54&lt;0,"0",('Wtr-Gas'!AY54)*0.0038)</f>
        <v>0</v>
      </c>
      <c r="AX52" s="231">
        <f>IF('Wtr-Gas'!AZ54&lt;0,"0",('Wtr-Gas'!AZ54)*0.0038)</f>
        <v>0</v>
      </c>
      <c r="AY52" s="231">
        <f>IF('Wtr-Gas'!BB54&lt;0,"0",('Wtr-Gas'!BB54)*0.0038)</f>
        <v>0</v>
      </c>
      <c r="AZ52" s="231">
        <f>IF('Wtr-Gas'!BD54&lt;0,"0",('Wtr-Gas'!BD54)*0.0038)</f>
        <v>0</v>
      </c>
      <c r="BA52" s="231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1">
        <f>IF('Wtr-Gas'!E55&lt;0,"0",('Wtr-Gas'!E55)*0.0038)</f>
        <v>0</v>
      </c>
      <c r="AG53" s="231">
        <f>IF('Wtr-Gas'!H55&lt;0,"0",('Wtr-Gas'!H55)*0.0038)</f>
        <v>0</v>
      </c>
      <c r="AH53" s="231">
        <f>IF('Wtr-Gas'!K55&lt;0,"0",('Wtr-Gas'!K55)*0.0038)</f>
        <v>0</v>
      </c>
      <c r="AI53" s="231">
        <f>IF('Wtr-Gas'!N55&lt;0,"0",('Wtr-Gas'!N55)*0.0038)</f>
        <v>0</v>
      </c>
      <c r="AJ53" s="231">
        <f>IF('Wtr-Gas'!Q55&lt;0,"0",('Wtr-Gas'!Q55)*0.0038)</f>
        <v>0</v>
      </c>
      <c r="AK53" s="232">
        <f>IF('Wtr-Gas'!U55&lt;0,"0",('Wtr-Gas'!U55)*0.0038)</f>
        <v>0</v>
      </c>
      <c r="AL53" s="232">
        <f>IF('Wtr-Gas'!X55&lt;0,"0",('Wtr-Gas'!X55)*0.0038)</f>
        <v>0</v>
      </c>
      <c r="AM53" s="231">
        <f>IF('Wtr-Gas'!AB55&lt;0,"0",('Wtr-Gas'!AB55)*0.0038)</f>
        <v>0</v>
      </c>
      <c r="AN53" s="231">
        <f>IF('Wtr-Gas'!AD55&lt;0,"0",('Wtr-Gas'!AD55)*0.0038)</f>
        <v>0</v>
      </c>
      <c r="AO53" s="231">
        <f>IF('Wtr-Gas'!AF55&lt;0,"0",('Wtr-Gas'!AF55)*0.0038)</f>
        <v>0</v>
      </c>
      <c r="AP53" s="231">
        <f>IF('Wtr-Gas'!AH55&lt;0,"0",('Wtr-Gas'!AH55)*0.0038)</f>
        <v>0</v>
      </c>
      <c r="AQ53" s="231">
        <f>IF('Wtr-Gas'!AJ55&lt;0,"0",('Wtr-Gas'!AJ55)*0.0038)</f>
        <v>0</v>
      </c>
      <c r="AR53" s="231">
        <f>IF('Wtr-Gas'!AL55&lt;0,"0",('Wtr-Gas'!AL55)*0.0038)</f>
        <v>0</v>
      </c>
      <c r="AS53" s="231">
        <f>IF('Wtr-Gas'!AN55&lt;0,"0",('Wtr-Gas'!AN55)*0.0038)</f>
        <v>0</v>
      </c>
      <c r="AT53" s="231">
        <f>IF('Wtr-Gas'!AP55&lt;0,"0",('Wtr-Gas'!AP55)*0.0038)</f>
        <v>0</v>
      </c>
      <c r="AU53" s="252">
        <f>IF('Wtr-Gas'!AT55&lt;0,"0",('Wtr-Gas'!AT55)*0.0038)</f>
        <v>0</v>
      </c>
      <c r="AV53" s="231">
        <f>IF('Wtr-Gas'!AW55&lt;0,"0",('Wtr-Gas'!AW55)*0.0038)</f>
        <v>0</v>
      </c>
      <c r="AW53" s="231">
        <f>IF('Wtr-Gas'!AY55&lt;0,"0",('Wtr-Gas'!AY55)*0.0038)</f>
        <v>0</v>
      </c>
      <c r="AX53" s="231">
        <f>IF('Wtr-Gas'!AZ55&lt;0,"0",('Wtr-Gas'!AZ55)*0.0038)</f>
        <v>0</v>
      </c>
      <c r="AY53" s="231">
        <f>IF('Wtr-Gas'!BB55&lt;0,"0",('Wtr-Gas'!BB55)*0.0038)</f>
        <v>0</v>
      </c>
      <c r="AZ53" s="231">
        <f>IF('Wtr-Gas'!BD55&lt;0,"0",('Wtr-Gas'!BD55)*0.0038)</f>
        <v>0</v>
      </c>
      <c r="BA53" s="231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1">
        <f>IF('Wtr-Gas'!E56&lt;0,"0",('Wtr-Gas'!E56)*0.0038)</f>
        <v>0</v>
      </c>
      <c r="AG54" s="231">
        <f>IF('Wtr-Gas'!H56&lt;0,"0",('Wtr-Gas'!H56)*0.0038)</f>
        <v>0</v>
      </c>
      <c r="AH54" s="231">
        <f>IF('Wtr-Gas'!K56&lt;0,"0",('Wtr-Gas'!K56)*0.0038)</f>
        <v>0</v>
      </c>
      <c r="AI54" s="231">
        <f>IF('Wtr-Gas'!N56&lt;0,"0",('Wtr-Gas'!N56)*0.0038)</f>
        <v>0</v>
      </c>
      <c r="AJ54" s="231">
        <f>IF('Wtr-Gas'!Q56&lt;0,"0",('Wtr-Gas'!Q56)*0.0038)</f>
        <v>0</v>
      </c>
      <c r="AK54" s="232">
        <f>IF('Wtr-Gas'!U56&lt;0,"0",('Wtr-Gas'!U56)*0.0038)</f>
        <v>0</v>
      </c>
      <c r="AL54" s="232">
        <f>IF('Wtr-Gas'!X56&lt;0,"0",('Wtr-Gas'!X56)*0.0038)</f>
        <v>0</v>
      </c>
      <c r="AM54" s="231">
        <f>IF('Wtr-Gas'!AB56&lt;0,"0",('Wtr-Gas'!AB56)*0.0038)</f>
        <v>0</v>
      </c>
      <c r="AN54" s="231">
        <f>IF('Wtr-Gas'!AD56&lt;0,"0",('Wtr-Gas'!AD56)*0.0038)</f>
        <v>0</v>
      </c>
      <c r="AO54" s="231">
        <f>IF('Wtr-Gas'!AF56&lt;0,"0",('Wtr-Gas'!AF56)*0.0038)</f>
        <v>0</v>
      </c>
      <c r="AP54" s="231">
        <f>IF('Wtr-Gas'!AH56&lt;0,"0",('Wtr-Gas'!AH56)*0.0038)</f>
        <v>0</v>
      </c>
      <c r="AQ54" s="231">
        <f>IF('Wtr-Gas'!AJ56&lt;0,"0",('Wtr-Gas'!AJ56)*0.0038)</f>
        <v>0</v>
      </c>
      <c r="AR54" s="231">
        <f>IF('Wtr-Gas'!AL56&lt;0,"0",('Wtr-Gas'!AL56)*0.0038)</f>
        <v>0</v>
      </c>
      <c r="AS54" s="231">
        <f>IF('Wtr-Gas'!AN56&lt;0,"0",('Wtr-Gas'!AN56)*0.0038)</f>
        <v>0</v>
      </c>
      <c r="AT54" s="231">
        <f>IF('Wtr-Gas'!AP56&lt;0,"0",('Wtr-Gas'!AP56)*0.0038)</f>
        <v>0</v>
      </c>
      <c r="AU54" s="252">
        <f>IF('Wtr-Gas'!AT56&lt;0,"0",('Wtr-Gas'!AT56)*0.0038)</f>
        <v>0</v>
      </c>
      <c r="AV54" s="231">
        <f>IF('Wtr-Gas'!AW56&lt;0,"0",('Wtr-Gas'!AW56)*0.0038)</f>
        <v>0</v>
      </c>
      <c r="AW54" s="231">
        <f>IF('Wtr-Gas'!AY56&lt;0,"0",('Wtr-Gas'!AY56)*0.0038)</f>
        <v>0</v>
      </c>
      <c r="AX54" s="231">
        <f>IF('Wtr-Gas'!AZ56&lt;0,"0",('Wtr-Gas'!AZ56)*0.0038)</f>
        <v>0</v>
      </c>
      <c r="AY54" s="231">
        <f>IF('Wtr-Gas'!BB56&lt;0,"0",('Wtr-Gas'!BB56)*0.0038)</f>
        <v>0</v>
      </c>
      <c r="AZ54" s="231">
        <f>IF('Wtr-Gas'!BD56&lt;0,"0",('Wtr-Gas'!BD56)*0.0038)</f>
        <v>0</v>
      </c>
      <c r="BA54" s="231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1">
        <f>IF('Wtr-Gas'!E57&lt;0,"0",('Wtr-Gas'!E57)*0.0038)</f>
        <v>0</v>
      </c>
      <c r="AG55" s="231">
        <f>IF('Wtr-Gas'!H57&lt;0,"0",('Wtr-Gas'!H57)*0.0038)</f>
        <v>0</v>
      </c>
      <c r="AH55" s="231">
        <f>IF('Wtr-Gas'!K57&lt;0,"0",('Wtr-Gas'!K57)*0.0038)</f>
        <v>0</v>
      </c>
      <c r="AI55" s="231">
        <f>IF('Wtr-Gas'!N57&lt;0,"0",('Wtr-Gas'!N57)*0.0038)</f>
        <v>0</v>
      </c>
      <c r="AJ55" s="231">
        <f>IF('Wtr-Gas'!Q57&lt;0,"0",('Wtr-Gas'!Q57)*0.0038)</f>
        <v>0</v>
      </c>
      <c r="AK55" s="232">
        <f>IF('Wtr-Gas'!U57&lt;0,"0",('Wtr-Gas'!U57)*0.0038)</f>
        <v>0</v>
      </c>
      <c r="AL55" s="232">
        <f>IF('Wtr-Gas'!X57&lt;0,"0",('Wtr-Gas'!X57)*0.0038)</f>
        <v>0</v>
      </c>
      <c r="AM55" s="231">
        <f>IF('Wtr-Gas'!AB57&lt;0,"0",('Wtr-Gas'!AB57)*0.0038)</f>
        <v>0</v>
      </c>
      <c r="AN55" s="231">
        <f>IF('Wtr-Gas'!AD57&lt;0,"0",('Wtr-Gas'!AD57)*0.0038)</f>
        <v>0</v>
      </c>
      <c r="AO55" s="231">
        <f>IF('Wtr-Gas'!AF57&lt;0,"0",('Wtr-Gas'!AF57)*0.0038)</f>
        <v>0</v>
      </c>
      <c r="AP55" s="231">
        <f>IF('Wtr-Gas'!AH57&lt;0,"0",('Wtr-Gas'!AH57)*0.0038)</f>
        <v>0</v>
      </c>
      <c r="AQ55" s="231">
        <f>IF('Wtr-Gas'!AJ57&lt;0,"0",('Wtr-Gas'!AJ57)*0.0038)</f>
        <v>0</v>
      </c>
      <c r="AR55" s="231">
        <f>IF('Wtr-Gas'!AL57&lt;0,"0",('Wtr-Gas'!AL57)*0.0038)</f>
        <v>0</v>
      </c>
      <c r="AS55" s="231">
        <f>IF('Wtr-Gas'!AN57&lt;0,"0",('Wtr-Gas'!AN57)*0.0038)</f>
        <v>0</v>
      </c>
      <c r="AT55" s="231">
        <f>IF('Wtr-Gas'!AP57&lt;0,"0",('Wtr-Gas'!AP57)*0.0038)</f>
        <v>0</v>
      </c>
      <c r="AU55" s="252">
        <f>IF('Wtr-Gas'!AT57&lt;0,"0",('Wtr-Gas'!AT57)*0.0038)</f>
        <v>0</v>
      </c>
      <c r="AV55" s="231">
        <f>IF('Wtr-Gas'!AW57&lt;0,"0",('Wtr-Gas'!AW57)*0.0038)</f>
        <v>0</v>
      </c>
      <c r="AW55" s="231">
        <f>IF('Wtr-Gas'!AY57&lt;0,"0",('Wtr-Gas'!AY57)*0.0038)</f>
        <v>0</v>
      </c>
      <c r="AX55" s="231">
        <f>IF('Wtr-Gas'!AZ57&lt;0,"0",('Wtr-Gas'!AZ57)*0.0038)</f>
        <v>0</v>
      </c>
      <c r="AY55" s="231">
        <f>IF('Wtr-Gas'!BB57&lt;0,"0",('Wtr-Gas'!BB57)*0.0038)</f>
        <v>0</v>
      </c>
      <c r="AZ55" s="231">
        <f>IF('Wtr-Gas'!BD57&lt;0,"0",('Wtr-Gas'!BD57)*0.0038)</f>
        <v>0</v>
      </c>
      <c r="BA55" s="231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1">
        <f>IF('Wtr-Gas'!E58&lt;0,"0",('Wtr-Gas'!E58)*0.0038)</f>
        <v>0</v>
      </c>
      <c r="AG56" s="231">
        <f>IF('Wtr-Gas'!H58&lt;0,"0",('Wtr-Gas'!H58)*0.0038)</f>
        <v>0</v>
      </c>
      <c r="AH56" s="231">
        <f>IF('Wtr-Gas'!K58&lt;0,"0",('Wtr-Gas'!K58)*0.0038)</f>
        <v>0</v>
      </c>
      <c r="AI56" s="231">
        <f>IF('Wtr-Gas'!N58&lt;0,"0",('Wtr-Gas'!N58)*0.0038)</f>
        <v>0</v>
      </c>
      <c r="AJ56" s="231">
        <f>IF('Wtr-Gas'!Q58&lt;0,"0",('Wtr-Gas'!Q58)*0.0038)</f>
        <v>0</v>
      </c>
      <c r="AK56" s="232">
        <f>IF('Wtr-Gas'!U58&lt;0,"0",('Wtr-Gas'!U58)*0.0038)</f>
        <v>0</v>
      </c>
      <c r="AL56" s="232">
        <f>IF('Wtr-Gas'!X58&lt;0,"0",('Wtr-Gas'!X58)*0.0038)</f>
        <v>0</v>
      </c>
      <c r="AM56" s="231">
        <f>IF('Wtr-Gas'!AB58&lt;0,"0",('Wtr-Gas'!AB58)*0.0038)</f>
        <v>0</v>
      </c>
      <c r="AN56" s="231">
        <f>IF('Wtr-Gas'!AD58&lt;0,"0",('Wtr-Gas'!AD58)*0.0038)</f>
        <v>0</v>
      </c>
      <c r="AO56" s="231">
        <f>IF('Wtr-Gas'!AF58&lt;0,"0",('Wtr-Gas'!AF58)*0.0038)</f>
        <v>0</v>
      </c>
      <c r="AP56" s="231">
        <f>IF('Wtr-Gas'!AH58&lt;0,"0",('Wtr-Gas'!AH58)*0.0038)</f>
        <v>0</v>
      </c>
      <c r="AQ56" s="231">
        <f>IF('Wtr-Gas'!AJ58&lt;0,"0",('Wtr-Gas'!AJ58)*0.0038)</f>
        <v>0</v>
      </c>
      <c r="AR56" s="231">
        <f>IF('Wtr-Gas'!AL58&lt;0,"0",('Wtr-Gas'!AL58)*0.0038)</f>
        <v>0</v>
      </c>
      <c r="AS56" s="231">
        <f>IF('Wtr-Gas'!AN58&lt;0,"0",('Wtr-Gas'!AN58)*0.0038)</f>
        <v>0</v>
      </c>
      <c r="AT56" s="231">
        <f>IF('Wtr-Gas'!AP58&lt;0,"0",('Wtr-Gas'!AP58)*0.0038)</f>
        <v>0</v>
      </c>
      <c r="AU56" s="252">
        <f>IF('Wtr-Gas'!AT58&lt;0,"0",('Wtr-Gas'!AT58)*0.0038)</f>
        <v>0</v>
      </c>
      <c r="AV56" s="231">
        <f>IF('Wtr-Gas'!AW58&lt;0,"0",('Wtr-Gas'!AW58)*0.0038)</f>
        <v>0</v>
      </c>
      <c r="AW56" s="231">
        <f>IF('Wtr-Gas'!AY58&lt;0,"0",('Wtr-Gas'!AY58)*0.0038)</f>
        <v>0</v>
      </c>
      <c r="AX56" s="231">
        <f>IF('Wtr-Gas'!AZ58&lt;0,"0",('Wtr-Gas'!AZ58)*0.0038)</f>
        <v>0</v>
      </c>
      <c r="AY56" s="231">
        <f>IF('Wtr-Gas'!BB58&lt;0,"0",('Wtr-Gas'!BB58)*0.0038)</f>
        <v>0</v>
      </c>
      <c r="AZ56" s="231">
        <f>IF('Wtr-Gas'!BD58&lt;0,"0",('Wtr-Gas'!BD58)*0.0038)</f>
        <v>0</v>
      </c>
      <c r="BA56" s="231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1">
        <f>IF('Wtr-Gas'!E59&lt;0,"0",('Wtr-Gas'!E59)*0.0038)</f>
        <v>0</v>
      </c>
      <c r="AG57" s="231">
        <f>IF('Wtr-Gas'!H59&lt;0,"0",('Wtr-Gas'!H59)*0.0038)</f>
        <v>0</v>
      </c>
      <c r="AH57" s="231">
        <f>IF('Wtr-Gas'!K59&lt;0,"0",('Wtr-Gas'!K59)*0.0038)</f>
        <v>0</v>
      </c>
      <c r="AI57" s="231">
        <f>IF('Wtr-Gas'!N59&lt;0,"0",('Wtr-Gas'!N59)*0.0038)</f>
        <v>0</v>
      </c>
      <c r="AJ57" s="231">
        <f>IF('Wtr-Gas'!Q59&lt;0,"0",('Wtr-Gas'!Q59)*0.0038)</f>
        <v>0</v>
      </c>
      <c r="AK57" s="232">
        <f>IF('Wtr-Gas'!U59&lt;0,"0",('Wtr-Gas'!U59)*0.0038)</f>
        <v>0</v>
      </c>
      <c r="AL57" s="232">
        <f>IF('Wtr-Gas'!X59&lt;0,"0",('Wtr-Gas'!X59)*0.0038)</f>
        <v>0</v>
      </c>
      <c r="AM57" s="231">
        <f>IF('Wtr-Gas'!AB59&lt;0,"0",('Wtr-Gas'!AB59)*0.0038)</f>
        <v>0</v>
      </c>
      <c r="AN57" s="231">
        <f>IF('Wtr-Gas'!AD59&lt;0,"0",('Wtr-Gas'!AD59)*0.0038)</f>
        <v>0</v>
      </c>
      <c r="AO57" s="231">
        <f>IF('Wtr-Gas'!AF59&lt;0,"0",('Wtr-Gas'!AF59)*0.0038)</f>
        <v>0</v>
      </c>
      <c r="AP57" s="231">
        <f>IF('Wtr-Gas'!AH59&lt;0,"0",('Wtr-Gas'!AH59)*0.0038)</f>
        <v>0</v>
      </c>
      <c r="AQ57" s="231">
        <f>IF('Wtr-Gas'!AJ59&lt;0,"0",('Wtr-Gas'!AJ59)*0.0038)</f>
        <v>0</v>
      </c>
      <c r="AR57" s="231">
        <f>IF('Wtr-Gas'!AL59&lt;0,"0",('Wtr-Gas'!AL59)*0.0038)</f>
        <v>0</v>
      </c>
      <c r="AS57" s="231">
        <f>IF('Wtr-Gas'!AN59&lt;0,"0",('Wtr-Gas'!AN59)*0.0038)</f>
        <v>0</v>
      </c>
      <c r="AT57" s="231">
        <f>IF('Wtr-Gas'!AP59&lt;0,"0",('Wtr-Gas'!AP59)*0.0038)</f>
        <v>0</v>
      </c>
      <c r="AU57" s="252">
        <f>IF('Wtr-Gas'!AT59&lt;0,"0",('Wtr-Gas'!AT59)*0.0038)</f>
        <v>0</v>
      </c>
      <c r="AV57" s="231">
        <f>IF('Wtr-Gas'!AW59&lt;0,"0",('Wtr-Gas'!AW59)*0.0038)</f>
        <v>0</v>
      </c>
      <c r="AW57" s="231">
        <f>IF('Wtr-Gas'!AY59&lt;0,"0",('Wtr-Gas'!AY59)*0.0038)</f>
        <v>0</v>
      </c>
      <c r="AX57" s="231">
        <f>IF('Wtr-Gas'!AZ59&lt;0,"0",('Wtr-Gas'!AZ59)*0.0038)</f>
        <v>0</v>
      </c>
      <c r="AY57" s="231">
        <f>IF('Wtr-Gas'!BB59&lt;0,"0",('Wtr-Gas'!BB59)*0.0038)</f>
        <v>0</v>
      </c>
      <c r="AZ57" s="231">
        <f>IF('Wtr-Gas'!BD59&lt;0,"0",('Wtr-Gas'!BD59)*0.0038)</f>
        <v>0</v>
      </c>
      <c r="BA57" s="231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1">
        <f>IF('Wtr-Gas'!E60&lt;0,"0",('Wtr-Gas'!E60)*0.0038)</f>
        <v>0</v>
      </c>
      <c r="AG58" s="231">
        <f>IF('Wtr-Gas'!H60&lt;0,"0",('Wtr-Gas'!H60)*0.0038)</f>
        <v>0</v>
      </c>
      <c r="AH58" s="231">
        <f>IF('Wtr-Gas'!K60&lt;0,"0",('Wtr-Gas'!K60)*0.0038)</f>
        <v>0</v>
      </c>
      <c r="AI58" s="231">
        <f>IF('Wtr-Gas'!N60&lt;0,"0",('Wtr-Gas'!N60)*0.0038)</f>
        <v>0</v>
      </c>
      <c r="AJ58" s="231">
        <f>IF('Wtr-Gas'!Q60&lt;0,"0",('Wtr-Gas'!Q60)*0.0038)</f>
        <v>0</v>
      </c>
      <c r="AK58" s="232">
        <f>IF('Wtr-Gas'!U60&lt;0,"0",('Wtr-Gas'!U60)*0.0038)</f>
        <v>0</v>
      </c>
      <c r="AL58" s="232">
        <f>IF('Wtr-Gas'!X60&lt;0,"0",('Wtr-Gas'!X60)*0.0038)</f>
        <v>0</v>
      </c>
      <c r="AM58" s="231">
        <f>IF('Wtr-Gas'!AB60&lt;0,"0",('Wtr-Gas'!AB60)*0.0038)</f>
        <v>0</v>
      </c>
      <c r="AN58" s="231">
        <f>IF('Wtr-Gas'!AD60&lt;0,"0",('Wtr-Gas'!AD60)*0.0038)</f>
        <v>0</v>
      </c>
      <c r="AO58" s="231">
        <f>IF('Wtr-Gas'!AF60&lt;0,"0",('Wtr-Gas'!AF60)*0.0038)</f>
        <v>0</v>
      </c>
      <c r="AP58" s="231">
        <f>IF('Wtr-Gas'!AH60&lt;0,"0",('Wtr-Gas'!AH60)*0.0038)</f>
        <v>0</v>
      </c>
      <c r="AQ58" s="231">
        <f>IF('Wtr-Gas'!AJ60&lt;0,"0",('Wtr-Gas'!AJ60)*0.0038)</f>
        <v>0</v>
      </c>
      <c r="AR58" s="231">
        <f>IF('Wtr-Gas'!AL60&lt;0,"0",('Wtr-Gas'!AL60)*0.0038)</f>
        <v>0</v>
      </c>
      <c r="AS58" s="231">
        <f>IF('Wtr-Gas'!AN60&lt;0,"0",('Wtr-Gas'!AN60)*0.0038)</f>
        <v>0</v>
      </c>
      <c r="AT58" s="231">
        <f>IF('Wtr-Gas'!AP60&lt;0,"0",('Wtr-Gas'!AP60)*0.0038)</f>
        <v>0</v>
      </c>
      <c r="AU58" s="252">
        <f>IF('Wtr-Gas'!AT60&lt;0,"0",('Wtr-Gas'!AT60)*0.0038)</f>
        <v>0</v>
      </c>
      <c r="AV58" s="231">
        <f>IF('Wtr-Gas'!AW60&lt;0,"0",('Wtr-Gas'!AW60)*0.0038)</f>
        <v>0</v>
      </c>
      <c r="AW58" s="231">
        <f>IF('Wtr-Gas'!AY60&lt;0,"0",('Wtr-Gas'!AY60)*0.0038)</f>
        <v>0</v>
      </c>
      <c r="AX58" s="231">
        <f>IF('Wtr-Gas'!AZ60&lt;0,"0",('Wtr-Gas'!AZ60)*0.0038)</f>
        <v>0</v>
      </c>
      <c r="AY58" s="231">
        <f>IF('Wtr-Gas'!BB60&lt;0,"0",('Wtr-Gas'!BB60)*0.0038)</f>
        <v>0</v>
      </c>
      <c r="AZ58" s="231">
        <f>IF('Wtr-Gas'!BD60&lt;0,"0",('Wtr-Gas'!BD60)*0.0038)</f>
        <v>0</v>
      </c>
      <c r="BA58" s="231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1">
        <f>IF('Wtr-Gas'!E61&lt;0,"0",('Wtr-Gas'!E61)*0.0038)</f>
        <v>0</v>
      </c>
      <c r="AG59" s="231">
        <f>IF('Wtr-Gas'!H61&lt;0,"0",('Wtr-Gas'!H61)*0.0038)</f>
        <v>0</v>
      </c>
      <c r="AH59" s="231">
        <f>IF('Wtr-Gas'!K61&lt;0,"0",('Wtr-Gas'!K61)*0.0038)</f>
        <v>0</v>
      </c>
      <c r="AI59" s="231">
        <f>IF('Wtr-Gas'!N61&lt;0,"0",('Wtr-Gas'!N61)*0.0038)</f>
        <v>0</v>
      </c>
      <c r="AJ59" s="231">
        <f>IF('Wtr-Gas'!Q61&lt;0,"0",('Wtr-Gas'!Q61)*0.0038)</f>
        <v>0</v>
      </c>
      <c r="AK59" s="232">
        <f>IF('Wtr-Gas'!U61&lt;0,"0",('Wtr-Gas'!U61)*0.0038)</f>
        <v>0</v>
      </c>
      <c r="AL59" s="232">
        <f>IF('Wtr-Gas'!X61&lt;0,"0",('Wtr-Gas'!X61)*0.0038)</f>
        <v>0</v>
      </c>
      <c r="AM59" s="231">
        <f>IF('Wtr-Gas'!AB61&lt;0,"0",('Wtr-Gas'!AB61)*0.0038)</f>
        <v>0</v>
      </c>
      <c r="AN59" s="231">
        <f>IF('Wtr-Gas'!AD61&lt;0,"0",('Wtr-Gas'!AD61)*0.0038)</f>
        <v>0</v>
      </c>
      <c r="AO59" s="231">
        <f>IF('Wtr-Gas'!AF61&lt;0,"0",('Wtr-Gas'!AF61)*0.0038)</f>
        <v>0</v>
      </c>
      <c r="AP59" s="231">
        <f>IF('Wtr-Gas'!AH61&lt;0,"0",('Wtr-Gas'!AH61)*0.0038)</f>
        <v>0</v>
      </c>
      <c r="AQ59" s="231">
        <f>IF('Wtr-Gas'!AJ61&lt;0,"0",('Wtr-Gas'!AJ61)*0.0038)</f>
        <v>0</v>
      </c>
      <c r="AR59" s="231">
        <f>IF('Wtr-Gas'!AL61&lt;0,"0",('Wtr-Gas'!AL61)*0.0038)</f>
        <v>0</v>
      </c>
      <c r="AS59" s="231">
        <f>IF('Wtr-Gas'!AN61&lt;0,"0",('Wtr-Gas'!AN61)*0.0038)</f>
        <v>0</v>
      </c>
      <c r="AT59" s="231">
        <f>IF('Wtr-Gas'!AP61&lt;0,"0",('Wtr-Gas'!AP61)*0.0038)</f>
        <v>0</v>
      </c>
      <c r="AU59" s="252">
        <f>IF('Wtr-Gas'!AT61&lt;0,"0",('Wtr-Gas'!AT61)*0.0038)</f>
        <v>0</v>
      </c>
      <c r="AV59" s="231">
        <f>IF('Wtr-Gas'!AW61&lt;0,"0",('Wtr-Gas'!AW61)*0.0038)</f>
        <v>0</v>
      </c>
      <c r="AW59" s="231">
        <f>IF('Wtr-Gas'!AY61&lt;0,"0",('Wtr-Gas'!AY61)*0.0038)</f>
        <v>0</v>
      </c>
      <c r="AX59" s="231">
        <f>IF('Wtr-Gas'!AZ61&lt;0,"0",('Wtr-Gas'!AZ61)*0.0038)</f>
        <v>0</v>
      </c>
      <c r="AY59" s="231">
        <f>IF('Wtr-Gas'!BB61&lt;0,"0",('Wtr-Gas'!BB61)*0.0038)</f>
        <v>0</v>
      </c>
      <c r="AZ59" s="231">
        <f>IF('Wtr-Gas'!BD61&lt;0,"0",('Wtr-Gas'!BD61)*0.0038)</f>
        <v>0</v>
      </c>
      <c r="BA59" s="231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1">
        <f>IF('Wtr-Gas'!E62&lt;0,"0",('Wtr-Gas'!E62)*0.0038)</f>
        <v>0</v>
      </c>
      <c r="AG60" s="231">
        <f>IF('Wtr-Gas'!H62&lt;0,"0",('Wtr-Gas'!H62)*0.0038)</f>
        <v>0</v>
      </c>
      <c r="AH60" s="231">
        <f>IF('Wtr-Gas'!K62&lt;0,"0",('Wtr-Gas'!K62)*0.0038)</f>
        <v>0</v>
      </c>
      <c r="AI60" s="231">
        <f>IF('Wtr-Gas'!N62&lt;0,"0",('Wtr-Gas'!N62)*0.0038)</f>
        <v>0</v>
      </c>
      <c r="AJ60" s="231">
        <f>IF('Wtr-Gas'!Q62&lt;0,"0",('Wtr-Gas'!Q62)*0.0038)</f>
        <v>0</v>
      </c>
      <c r="AK60" s="232">
        <f>IF('Wtr-Gas'!U62&lt;0,"0",('Wtr-Gas'!U62)*0.0038)</f>
        <v>0</v>
      </c>
      <c r="AL60" s="232">
        <f>IF('Wtr-Gas'!X62&lt;0,"0",('Wtr-Gas'!X62)*0.0038)</f>
        <v>0</v>
      </c>
      <c r="AM60" s="231">
        <f>IF('Wtr-Gas'!AB62&lt;0,"0",('Wtr-Gas'!AB62)*0.0038)</f>
        <v>0</v>
      </c>
      <c r="AN60" s="231">
        <f>IF('Wtr-Gas'!AD62&lt;0,"0",('Wtr-Gas'!AD62)*0.0038)</f>
        <v>0</v>
      </c>
      <c r="AO60" s="231">
        <f>IF('Wtr-Gas'!AF62&lt;0,"0",('Wtr-Gas'!AF62)*0.0038)</f>
        <v>0</v>
      </c>
      <c r="AP60" s="231">
        <f>IF('Wtr-Gas'!AH62&lt;0,"0",('Wtr-Gas'!AH62)*0.0038)</f>
        <v>0</v>
      </c>
      <c r="AQ60" s="231">
        <f>IF('Wtr-Gas'!AJ62&lt;0,"0",('Wtr-Gas'!AJ62)*0.0038)</f>
        <v>0</v>
      </c>
      <c r="AR60" s="231">
        <f>IF('Wtr-Gas'!AL62&lt;0,"0",('Wtr-Gas'!AL62)*0.0038)</f>
        <v>0</v>
      </c>
      <c r="AS60" s="231">
        <f>IF('Wtr-Gas'!AN62&lt;0,"0",('Wtr-Gas'!AN62)*0.0038)</f>
        <v>0</v>
      </c>
      <c r="AT60" s="231">
        <f>IF('Wtr-Gas'!AP62&lt;0,"0",('Wtr-Gas'!AP62)*0.0038)</f>
        <v>0</v>
      </c>
      <c r="AU60" s="252">
        <f>IF('Wtr-Gas'!AT62&lt;0,"0",('Wtr-Gas'!AT62)*0.0038)</f>
        <v>0</v>
      </c>
      <c r="AV60" s="231">
        <f>IF('Wtr-Gas'!AW62&lt;0,"0",('Wtr-Gas'!AW62)*0.0038)</f>
        <v>0</v>
      </c>
      <c r="AW60" s="231">
        <f>IF('Wtr-Gas'!AY62&lt;0,"0",('Wtr-Gas'!AY62)*0.0038)</f>
        <v>0</v>
      </c>
      <c r="AX60" s="231">
        <f>IF('Wtr-Gas'!AZ62&lt;0,"0",('Wtr-Gas'!AZ62)*0.0038)</f>
        <v>0</v>
      </c>
      <c r="AY60" s="231">
        <f>IF('Wtr-Gas'!BB62&lt;0,"0",('Wtr-Gas'!BB62)*0.0038)</f>
        <v>0</v>
      </c>
      <c r="AZ60" s="231">
        <f>IF('Wtr-Gas'!BD62&lt;0,"0",('Wtr-Gas'!BD62)*0.0038)</f>
        <v>0</v>
      </c>
      <c r="BA60" s="231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1">
        <f>IF('Wtr-Gas'!E63&lt;0,"0",('Wtr-Gas'!E63)*0.0038)</f>
        <v>0</v>
      </c>
      <c r="AG61" s="231">
        <f>IF('Wtr-Gas'!H63&lt;0,"0",('Wtr-Gas'!H63)*0.0038)</f>
        <v>0</v>
      </c>
      <c r="AH61" s="231">
        <f>IF('Wtr-Gas'!K63&lt;0,"0",('Wtr-Gas'!K63)*0.0038)</f>
        <v>0</v>
      </c>
      <c r="AI61" s="231">
        <f>IF('Wtr-Gas'!N63&lt;0,"0",('Wtr-Gas'!N63)*0.0038)</f>
        <v>0</v>
      </c>
      <c r="AJ61" s="231">
        <f>IF('Wtr-Gas'!Q63&lt;0,"0",('Wtr-Gas'!Q63)*0.0038)</f>
        <v>0</v>
      </c>
      <c r="AK61" s="232">
        <f>IF('Wtr-Gas'!U63&lt;0,"0",('Wtr-Gas'!U63)*0.0038)</f>
        <v>0</v>
      </c>
      <c r="AL61" s="232">
        <f>IF('Wtr-Gas'!X63&lt;0,"0",('Wtr-Gas'!X63)*0.0038)</f>
        <v>0</v>
      </c>
      <c r="AM61" s="231">
        <f>IF('Wtr-Gas'!AB63&lt;0,"0",('Wtr-Gas'!AB63)*0.0038)</f>
        <v>0</v>
      </c>
      <c r="AN61" s="231">
        <f>IF('Wtr-Gas'!AD63&lt;0,"0",('Wtr-Gas'!AD63)*0.0038)</f>
        <v>0</v>
      </c>
      <c r="AO61" s="231">
        <f>IF('Wtr-Gas'!AF63&lt;0,"0",('Wtr-Gas'!AF63)*0.0038)</f>
        <v>0</v>
      </c>
      <c r="AP61" s="231">
        <f>IF('Wtr-Gas'!AH63&lt;0,"0",('Wtr-Gas'!AH63)*0.0038)</f>
        <v>0</v>
      </c>
      <c r="AQ61" s="231">
        <f>IF('Wtr-Gas'!AJ63&lt;0,"0",('Wtr-Gas'!AJ63)*0.0038)</f>
        <v>0</v>
      </c>
      <c r="AR61" s="231">
        <f>IF('Wtr-Gas'!AL63&lt;0,"0",('Wtr-Gas'!AL63)*0.0038)</f>
        <v>0</v>
      </c>
      <c r="AS61" s="231">
        <f>IF('Wtr-Gas'!AN63&lt;0,"0",('Wtr-Gas'!AN63)*0.0038)</f>
        <v>0</v>
      </c>
      <c r="AT61" s="231">
        <f>IF('Wtr-Gas'!AP63&lt;0,"0",('Wtr-Gas'!AP63)*0.0038)</f>
        <v>0</v>
      </c>
      <c r="AU61" s="252">
        <f>IF('Wtr-Gas'!AT63&lt;0,"0",('Wtr-Gas'!AT63)*0.0038)</f>
        <v>0</v>
      </c>
      <c r="AV61" s="231">
        <f>IF('Wtr-Gas'!AW63&lt;0,"0",('Wtr-Gas'!AW63)*0.0038)</f>
        <v>0</v>
      </c>
      <c r="AW61" s="231">
        <f>IF('Wtr-Gas'!AY63&lt;0,"0",('Wtr-Gas'!AY63)*0.0038)</f>
        <v>0</v>
      </c>
      <c r="AX61" s="231">
        <f>IF('Wtr-Gas'!AZ63&lt;0,"0",('Wtr-Gas'!AZ63)*0.0038)</f>
        <v>0</v>
      </c>
      <c r="AY61" s="231">
        <f>IF('Wtr-Gas'!BB63&lt;0,"0",('Wtr-Gas'!BB63)*0.0038)</f>
        <v>0</v>
      </c>
      <c r="AZ61" s="231">
        <f>IF('Wtr-Gas'!BD63&lt;0,"0",('Wtr-Gas'!BD63)*0.0038)</f>
        <v>0</v>
      </c>
      <c r="BA61" s="231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1">
        <f>IF('Wtr-Gas'!E64&lt;0,"0",('Wtr-Gas'!E64)*0.0038)</f>
        <v>0</v>
      </c>
      <c r="AG62" s="231">
        <f>IF('Wtr-Gas'!H64&lt;0,"0",('Wtr-Gas'!H64)*0.0038)</f>
        <v>0</v>
      </c>
      <c r="AH62" s="231">
        <f>IF('Wtr-Gas'!K64&lt;0,"0",('Wtr-Gas'!K64)*0.0038)</f>
        <v>0</v>
      </c>
      <c r="AI62" s="231">
        <f>IF('Wtr-Gas'!N64&lt;0,"0",('Wtr-Gas'!N64)*0.0038)</f>
        <v>0</v>
      </c>
      <c r="AJ62" s="231">
        <f>IF('Wtr-Gas'!Q64&lt;0,"0",('Wtr-Gas'!Q64)*0.0038)</f>
        <v>0</v>
      </c>
      <c r="AK62" s="232">
        <f>IF('Wtr-Gas'!U64&lt;0,"0",('Wtr-Gas'!U64)*0.0038)</f>
        <v>0</v>
      </c>
      <c r="AL62" s="232">
        <f>IF('Wtr-Gas'!X64&lt;0,"0",('Wtr-Gas'!X64)*0.0038)</f>
        <v>0</v>
      </c>
      <c r="AM62" s="231">
        <f>IF('Wtr-Gas'!AB64&lt;0,"0",('Wtr-Gas'!AB64)*0.0038)</f>
        <v>0</v>
      </c>
      <c r="AN62" s="231">
        <f>IF('Wtr-Gas'!AD64&lt;0,"0",('Wtr-Gas'!AD64)*0.0038)</f>
        <v>0</v>
      </c>
      <c r="AO62" s="231">
        <f>IF('Wtr-Gas'!AF64&lt;0,"0",('Wtr-Gas'!AF64)*0.0038)</f>
        <v>0</v>
      </c>
      <c r="AP62" s="231">
        <f>IF('Wtr-Gas'!AH64&lt;0,"0",('Wtr-Gas'!AH64)*0.0038)</f>
        <v>0</v>
      </c>
      <c r="AQ62" s="231">
        <f>IF('Wtr-Gas'!AJ64&lt;0,"0",('Wtr-Gas'!AJ64)*0.0038)</f>
        <v>0</v>
      </c>
      <c r="AR62" s="231">
        <f>IF('Wtr-Gas'!AL64&lt;0,"0",('Wtr-Gas'!AL64)*0.0038)</f>
        <v>0</v>
      </c>
      <c r="AS62" s="231">
        <f>IF('Wtr-Gas'!AN64&lt;0,"0",('Wtr-Gas'!AN64)*0.0038)</f>
        <v>0</v>
      </c>
      <c r="AT62" s="231">
        <f>IF('Wtr-Gas'!AP64&lt;0,"0",('Wtr-Gas'!AP64)*0.0038)</f>
        <v>0</v>
      </c>
      <c r="AU62" s="252">
        <f>IF('Wtr-Gas'!AT64&lt;0,"0",('Wtr-Gas'!AT64)*0.0038)</f>
        <v>0</v>
      </c>
      <c r="AV62" s="231">
        <f>IF('Wtr-Gas'!AW64&lt;0,"0",('Wtr-Gas'!AW64)*0.0038)</f>
        <v>0</v>
      </c>
      <c r="AW62" s="231">
        <f>IF('Wtr-Gas'!AY64&lt;0,"0",('Wtr-Gas'!AY64)*0.0038)</f>
        <v>0</v>
      </c>
      <c r="AX62" s="231">
        <f>IF('Wtr-Gas'!AZ64&lt;0,"0",('Wtr-Gas'!AZ64)*0.0038)</f>
        <v>0</v>
      </c>
      <c r="AY62" s="231">
        <f>IF('Wtr-Gas'!BB64&lt;0,"0",('Wtr-Gas'!BB64)*0.0038)</f>
        <v>0</v>
      </c>
      <c r="AZ62" s="231">
        <f>IF('Wtr-Gas'!BD64&lt;0,"0",('Wtr-Gas'!BD64)*0.0038)</f>
        <v>0</v>
      </c>
      <c r="BA62" s="231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92">
        <v>74860172</v>
      </c>
      <c r="C4" s="293"/>
      <c r="D4" s="292">
        <v>74860173</v>
      </c>
      <c r="E4" s="293"/>
      <c r="F4" s="292">
        <v>44553004</v>
      </c>
      <c r="G4" s="293"/>
      <c r="H4" s="292">
        <v>70275191</v>
      </c>
      <c r="I4" s="293"/>
      <c r="J4" s="292">
        <v>2130521</v>
      </c>
      <c r="K4" s="293"/>
      <c r="L4" s="292" t="s">
        <v>169</v>
      </c>
      <c r="M4" s="293"/>
      <c r="N4" s="300">
        <v>93477704</v>
      </c>
      <c r="O4" s="301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76" t="s">
        <v>183</v>
      </c>
      <c r="C6" s="277"/>
      <c r="D6" s="276" t="s">
        <v>184</v>
      </c>
      <c r="E6" s="277"/>
      <c r="F6" s="276" t="s">
        <v>185</v>
      </c>
      <c r="G6" s="277"/>
      <c r="H6" s="276" t="s">
        <v>186</v>
      </c>
      <c r="I6" s="277"/>
      <c r="J6" s="276" t="s">
        <v>187</v>
      </c>
      <c r="K6" s="277"/>
      <c r="L6" s="276" t="s">
        <v>188</v>
      </c>
      <c r="M6" s="277"/>
      <c r="N6" s="141" t="s">
        <v>189</v>
      </c>
      <c r="O6" s="142"/>
      <c r="S6" s="143"/>
    </row>
    <row r="7" spans="1:19" ht="26.25" customHeight="1" x14ac:dyDescent="0.5">
      <c r="A7" s="144"/>
      <c r="B7" s="278"/>
      <c r="C7" s="278"/>
      <c r="D7" s="278"/>
      <c r="E7" s="278"/>
      <c r="F7" s="278"/>
      <c r="G7" s="278"/>
      <c r="H7" s="278"/>
      <c r="I7" s="278"/>
      <c r="J7" s="270"/>
      <c r="K7" s="271"/>
      <c r="L7" s="270"/>
      <c r="M7" s="271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83">
        <v>85492530</v>
      </c>
      <c r="C9" s="284"/>
      <c r="D9" s="283">
        <v>79305675</v>
      </c>
      <c r="E9" s="284"/>
      <c r="F9" s="283">
        <v>79190041</v>
      </c>
      <c r="G9" s="284"/>
      <c r="H9" s="283" t="s">
        <v>49</v>
      </c>
      <c r="I9" s="284"/>
      <c r="J9" s="283">
        <v>79190039</v>
      </c>
      <c r="K9" s="284"/>
      <c r="L9" s="283">
        <v>79324776</v>
      </c>
      <c r="M9" s="284"/>
      <c r="N9" s="150"/>
      <c r="O9" s="151"/>
    </row>
    <row r="10" spans="1:19" x14ac:dyDescent="0.25">
      <c r="B10" s="292" t="s">
        <v>146</v>
      </c>
      <c r="C10" s="293"/>
      <c r="D10" s="292" t="s">
        <v>146</v>
      </c>
      <c r="E10" s="293"/>
      <c r="F10" s="292" t="s">
        <v>150</v>
      </c>
      <c r="G10" s="293"/>
      <c r="H10" s="292" t="s">
        <v>150</v>
      </c>
      <c r="I10" s="293"/>
      <c r="J10" s="292" t="s">
        <v>154</v>
      </c>
      <c r="K10" s="293"/>
      <c r="L10" s="292" t="s">
        <v>155</v>
      </c>
      <c r="M10" s="293"/>
      <c r="N10" s="296" t="s">
        <v>190</v>
      </c>
      <c r="O10" s="297"/>
    </row>
    <row r="11" spans="1:19" x14ac:dyDescent="0.25">
      <c r="B11" s="276" t="s">
        <v>191</v>
      </c>
      <c r="C11" s="277"/>
      <c r="D11" s="276" t="s">
        <v>192</v>
      </c>
      <c r="E11" s="277"/>
      <c r="F11" s="276" t="s">
        <v>153</v>
      </c>
      <c r="G11" s="277"/>
      <c r="H11" s="276" t="s">
        <v>193</v>
      </c>
      <c r="I11" s="277"/>
      <c r="J11" s="276" t="s">
        <v>193</v>
      </c>
      <c r="K11" s="277"/>
      <c r="L11" s="276" t="s">
        <v>153</v>
      </c>
      <c r="M11" s="277"/>
      <c r="N11" s="298" t="s">
        <v>194</v>
      </c>
      <c r="O11" s="299"/>
    </row>
    <row r="12" spans="1:19" ht="29.25" customHeight="1" x14ac:dyDescent="0.5">
      <c r="A12" s="144"/>
      <c r="B12" s="278"/>
      <c r="C12" s="278"/>
      <c r="D12" s="278"/>
      <c r="E12" s="278"/>
      <c r="F12" s="278"/>
      <c r="G12" s="278"/>
      <c r="H12" s="278"/>
      <c r="I12" s="278"/>
      <c r="J12" s="270"/>
      <c r="K12" s="271"/>
      <c r="L12" s="270"/>
      <c r="M12" s="271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94" t="s">
        <v>195</v>
      </c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137"/>
      <c r="O14" s="138"/>
    </row>
    <row r="15" spans="1:19" x14ac:dyDescent="0.25">
      <c r="B15" s="292" t="s">
        <v>72</v>
      </c>
      <c r="C15" s="293"/>
      <c r="D15" s="292" t="s">
        <v>76</v>
      </c>
      <c r="E15" s="293"/>
      <c r="F15" s="292" t="s">
        <v>80</v>
      </c>
      <c r="G15" s="293"/>
      <c r="H15" s="292" t="s">
        <v>84</v>
      </c>
      <c r="I15" s="293"/>
      <c r="J15" s="292" t="s">
        <v>88</v>
      </c>
      <c r="K15" s="293"/>
      <c r="L15" s="285"/>
      <c r="M15" s="286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87" t="s">
        <v>198</v>
      </c>
      <c r="C20" s="288"/>
      <c r="D20" s="288"/>
      <c r="E20" s="288"/>
      <c r="F20" s="288"/>
      <c r="G20" s="288"/>
      <c r="H20" s="288"/>
      <c r="I20" s="289"/>
      <c r="J20" s="290" t="s">
        <v>150</v>
      </c>
      <c r="K20" s="288"/>
      <c r="L20" s="288"/>
      <c r="M20" s="288"/>
      <c r="N20" s="288"/>
      <c r="O20" s="163"/>
    </row>
    <row r="21" spans="1:15" x14ac:dyDescent="0.25">
      <c r="B21" s="283" t="s">
        <v>93</v>
      </c>
      <c r="C21" s="284"/>
      <c r="D21" s="283" t="s">
        <v>97</v>
      </c>
      <c r="E21" s="284"/>
      <c r="F21" s="283" t="s">
        <v>100</v>
      </c>
      <c r="G21" s="284"/>
      <c r="H21" s="283" t="s">
        <v>104</v>
      </c>
      <c r="I21" s="284"/>
      <c r="J21" s="291" t="s">
        <v>108</v>
      </c>
      <c r="K21" s="291"/>
      <c r="L21" s="283" t="s">
        <v>112</v>
      </c>
      <c r="M21" s="284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79" t="s">
        <v>199</v>
      </c>
      <c r="C26" s="280"/>
      <c r="D26" s="279" t="s">
        <v>200</v>
      </c>
      <c r="E26" s="280"/>
      <c r="F26" s="166"/>
      <c r="G26" s="166"/>
      <c r="H26" s="166"/>
      <c r="I26" s="166"/>
      <c r="J26" s="281">
        <v>112014001775</v>
      </c>
      <c r="K26" s="282"/>
      <c r="L26" s="281">
        <v>112014001771</v>
      </c>
      <c r="M26" s="282"/>
      <c r="N26" s="164"/>
      <c r="O26" s="165"/>
    </row>
    <row r="27" spans="1:15" x14ac:dyDescent="0.25">
      <c r="B27" s="283" t="s">
        <v>117</v>
      </c>
      <c r="C27" s="284"/>
      <c r="D27" s="283" t="s">
        <v>201</v>
      </c>
      <c r="E27" s="284"/>
      <c r="F27" s="149"/>
      <c r="G27" s="149"/>
      <c r="H27" s="149"/>
      <c r="I27" s="149"/>
      <c r="J27" s="283" t="s">
        <v>158</v>
      </c>
      <c r="K27" s="284"/>
      <c r="L27" s="283" t="s">
        <v>69</v>
      </c>
      <c r="M27" s="284"/>
      <c r="N27" s="167"/>
      <c r="O27" s="168"/>
    </row>
    <row r="28" spans="1:15" x14ac:dyDescent="0.25">
      <c r="B28" s="261" t="s">
        <v>116</v>
      </c>
      <c r="C28" s="261" t="s">
        <v>115</v>
      </c>
      <c r="D28" s="272" t="s">
        <v>202</v>
      </c>
      <c r="E28" s="273"/>
      <c r="F28" s="149"/>
      <c r="G28" s="149"/>
      <c r="H28" s="149"/>
      <c r="I28" s="149"/>
      <c r="J28" s="274" t="s">
        <v>203</v>
      </c>
      <c r="K28" s="275"/>
      <c r="L28" s="276" t="s">
        <v>204</v>
      </c>
      <c r="M28" s="277"/>
      <c r="N28" s="156"/>
      <c r="O28" s="157"/>
    </row>
    <row r="29" spans="1:15" x14ac:dyDescent="0.25">
      <c r="B29" s="272" t="s">
        <v>196</v>
      </c>
      <c r="C29" s="273"/>
      <c r="D29" s="272" t="s">
        <v>205</v>
      </c>
      <c r="E29" s="273"/>
      <c r="F29" s="149"/>
      <c r="G29" s="149"/>
      <c r="H29" s="149"/>
      <c r="I29" s="149"/>
      <c r="J29" s="278" t="s">
        <v>206</v>
      </c>
      <c r="K29" s="278"/>
      <c r="L29" s="278" t="s">
        <v>206</v>
      </c>
      <c r="M29" s="278"/>
      <c r="N29" s="164"/>
      <c r="O29" s="165"/>
    </row>
    <row r="30" spans="1:15" ht="33.75" x14ac:dyDescent="0.5">
      <c r="A30" s="144"/>
      <c r="B30" s="270"/>
      <c r="C30" s="271"/>
      <c r="D30" s="270"/>
      <c r="E30" s="271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0" t="s">
        <v>207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</row>
    <row r="3" spans="1:13" x14ac:dyDescent="0.25">
      <c r="B3" s="311">
        <v>73337589</v>
      </c>
      <c r="C3" s="312"/>
      <c r="D3" s="311">
        <v>65956268</v>
      </c>
      <c r="E3" s="312"/>
      <c r="F3" s="311">
        <v>1334021</v>
      </c>
      <c r="G3" s="312"/>
      <c r="H3" s="311">
        <v>63265094</v>
      </c>
      <c r="I3" s="312"/>
      <c r="J3" s="311">
        <v>80606729</v>
      </c>
      <c r="K3" s="312"/>
      <c r="L3" s="311" t="s">
        <v>113</v>
      </c>
      <c r="M3" s="312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2" t="s">
        <v>208</v>
      </c>
      <c r="C5" s="303"/>
      <c r="D5" s="302" t="s">
        <v>209</v>
      </c>
      <c r="E5" s="303"/>
      <c r="F5" s="302" t="s">
        <v>119</v>
      </c>
      <c r="G5" s="303"/>
      <c r="H5" s="302" t="s">
        <v>126</v>
      </c>
      <c r="I5" s="303"/>
      <c r="J5" s="302" t="s">
        <v>210</v>
      </c>
      <c r="K5" s="303"/>
      <c r="L5" s="302" t="s">
        <v>113</v>
      </c>
      <c r="M5" s="303"/>
    </row>
    <row r="6" spans="1:13" ht="33.75" x14ac:dyDescent="0.5">
      <c r="A6" s="144"/>
      <c r="B6" s="304"/>
      <c r="C6" s="304"/>
      <c r="D6" s="304"/>
      <c r="E6" s="304"/>
      <c r="F6" s="304"/>
      <c r="G6" s="304"/>
      <c r="H6" s="304"/>
      <c r="I6" s="304"/>
      <c r="J6" s="306"/>
      <c r="K6" s="307"/>
      <c r="L6" s="306"/>
      <c r="M6" s="307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10" t="s">
        <v>211</v>
      </c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</row>
    <row r="9" spans="1:13" x14ac:dyDescent="0.25">
      <c r="B9" s="311" t="s">
        <v>123</v>
      </c>
      <c r="C9" s="312"/>
      <c r="D9" s="311" t="s">
        <v>120</v>
      </c>
      <c r="E9" s="312"/>
      <c r="F9" s="311"/>
      <c r="G9" s="312"/>
      <c r="H9" s="311" t="s">
        <v>212</v>
      </c>
      <c r="I9" s="312"/>
      <c r="J9" s="311" t="s">
        <v>128</v>
      </c>
      <c r="K9" s="312"/>
      <c r="L9" s="311" t="s">
        <v>113</v>
      </c>
      <c r="M9" s="312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08" t="s">
        <v>216</v>
      </c>
      <c r="K10" s="309"/>
      <c r="L10" s="30" t="s">
        <v>113</v>
      </c>
      <c r="M10" s="31" t="s">
        <v>113</v>
      </c>
    </row>
    <row r="11" spans="1:13" x14ac:dyDescent="0.25">
      <c r="B11" s="302" t="s">
        <v>208</v>
      </c>
      <c r="C11" s="303"/>
      <c r="D11" s="302" t="s">
        <v>119</v>
      </c>
      <c r="E11" s="303"/>
      <c r="F11" s="302"/>
      <c r="G11" s="303"/>
      <c r="H11" s="302" t="s">
        <v>126</v>
      </c>
      <c r="I11" s="303"/>
      <c r="J11" s="302" t="s">
        <v>129</v>
      </c>
      <c r="K11" s="303"/>
      <c r="L11" s="302" t="s">
        <v>113</v>
      </c>
      <c r="M11" s="303"/>
    </row>
    <row r="12" spans="1:13" ht="33.75" x14ac:dyDescent="0.5">
      <c r="A12" s="144"/>
      <c r="B12" s="304"/>
      <c r="C12" s="304"/>
      <c r="D12" s="304"/>
      <c r="E12" s="304"/>
      <c r="F12" s="304"/>
      <c r="G12" s="304"/>
      <c r="H12" s="305"/>
      <c r="I12" s="305"/>
      <c r="J12" s="306"/>
      <c r="K12" s="307"/>
      <c r="L12" s="306"/>
      <c r="M12" s="307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10" t="s">
        <v>217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</row>
    <row r="15" spans="1:13" x14ac:dyDescent="0.25">
      <c r="B15" s="311" t="s">
        <v>218</v>
      </c>
      <c r="C15" s="312"/>
      <c r="D15" s="311" t="s">
        <v>219</v>
      </c>
      <c r="E15" s="312"/>
      <c r="F15" s="311" t="s">
        <v>220</v>
      </c>
      <c r="G15" s="312"/>
      <c r="H15" s="311" t="s">
        <v>221</v>
      </c>
      <c r="I15" s="312"/>
      <c r="J15" s="311" t="s">
        <v>222</v>
      </c>
      <c r="K15" s="312"/>
      <c r="L15" s="311" t="s">
        <v>223</v>
      </c>
      <c r="M15" s="312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08" t="s">
        <v>113</v>
      </c>
      <c r="K16" s="309"/>
      <c r="L16" s="30" t="s">
        <v>113</v>
      </c>
      <c r="M16" s="31" t="s">
        <v>113</v>
      </c>
    </row>
    <row r="17" spans="1:13" x14ac:dyDescent="0.25">
      <c r="B17" s="302" t="s">
        <v>224</v>
      </c>
      <c r="C17" s="303"/>
      <c r="D17" s="302" t="s">
        <v>119</v>
      </c>
      <c r="E17" s="303"/>
      <c r="F17" s="302" t="s">
        <v>119</v>
      </c>
      <c r="G17" s="303"/>
      <c r="H17" s="302" t="s">
        <v>225</v>
      </c>
      <c r="I17" s="303"/>
      <c r="J17" s="302" t="s">
        <v>119</v>
      </c>
      <c r="K17" s="303"/>
      <c r="L17" s="302" t="s">
        <v>119</v>
      </c>
      <c r="M17" s="303"/>
    </row>
    <row r="18" spans="1:13" ht="33.75" x14ac:dyDescent="0.5">
      <c r="A18" s="144"/>
      <c r="B18" s="304"/>
      <c r="C18" s="304"/>
      <c r="D18" s="304"/>
      <c r="E18" s="304"/>
      <c r="F18" s="304"/>
      <c r="G18" s="304"/>
      <c r="H18" s="305"/>
      <c r="I18" s="305"/>
      <c r="J18" s="306"/>
      <c r="K18" s="307"/>
      <c r="L18" s="306"/>
      <c r="M18" s="307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19">
        <v>73337589</v>
      </c>
      <c r="BZ20" s="319"/>
      <c r="CA20" s="319"/>
      <c r="CB20" s="319"/>
      <c r="CC20" s="319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17">
        <v>44553004</v>
      </c>
      <c r="AZ21" s="317"/>
      <c r="BA21" s="317"/>
      <c r="BB21" s="317"/>
      <c r="BC21" s="317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17">
        <v>65956268</v>
      </c>
      <c r="CM21" s="317"/>
      <c r="CN21" s="317"/>
      <c r="CO21" s="317"/>
      <c r="CP21" s="317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18">
        <v>74860172</v>
      </c>
      <c r="AB24" s="318"/>
      <c r="AC24" s="318"/>
      <c r="AD24" s="318"/>
      <c r="AE24" s="318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18">
        <v>70275191</v>
      </c>
      <c r="AZ27" s="318"/>
      <c r="BA27" s="318"/>
      <c r="BB27" s="318"/>
      <c r="BC27" s="318"/>
      <c r="BD27" s="31"/>
      <c r="BS27" s="31"/>
      <c r="BX27" s="30"/>
      <c r="BY27" s="319">
        <v>1334021</v>
      </c>
      <c r="BZ27" s="319"/>
      <c r="CA27" s="319"/>
      <c r="CB27" s="319"/>
      <c r="CC27" s="319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19">
        <v>67327447</v>
      </c>
      <c r="CL30" s="319"/>
      <c r="CM30" s="319"/>
      <c r="CN30" s="319"/>
      <c r="CO30" s="319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18">
        <v>74860173</v>
      </c>
      <c r="AB31" s="318"/>
      <c r="AC31" s="318"/>
      <c r="AD31" s="318"/>
      <c r="AE31" s="318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19">
        <v>63265094</v>
      </c>
      <c r="BZ34" s="319"/>
      <c r="CA34" s="319"/>
      <c r="CB34" s="319"/>
      <c r="CC34" s="319"/>
      <c r="CD34" s="31"/>
    </row>
    <row r="35" spans="3:82" x14ac:dyDescent="0.25">
      <c r="AL35" s="31"/>
      <c r="AS35" s="31"/>
      <c r="AW35" s="31"/>
      <c r="AY35" s="318">
        <v>2130521</v>
      </c>
      <c r="AZ35" s="318"/>
      <c r="BA35" s="318"/>
      <c r="BB35" s="318"/>
      <c r="BC35" s="318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13"/>
      <c r="E36" s="313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18">
        <v>79177804</v>
      </c>
      <c r="AZ42" s="318"/>
      <c r="BA42" s="318"/>
      <c r="BB42" s="318"/>
      <c r="BC42" s="318"/>
      <c r="BD42" s="31"/>
      <c r="BJ42" s="31"/>
      <c r="BL42" t="s">
        <v>277</v>
      </c>
      <c r="BP42" s="31"/>
    </row>
    <row r="43" spans="3:82" x14ac:dyDescent="0.25">
      <c r="V43" s="31"/>
      <c r="Z43" s="30"/>
      <c r="AA43" s="315">
        <v>93477704</v>
      </c>
      <c r="AB43" s="316"/>
      <c r="AC43" s="316"/>
      <c r="AD43" s="316"/>
      <c r="AE43" s="316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17">
        <v>79305675</v>
      </c>
      <c r="BM43" s="317"/>
      <c r="BN43" s="317"/>
      <c r="BO43" s="317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18">
        <v>79190041</v>
      </c>
      <c r="AZ49" s="318"/>
      <c r="BA49" s="318"/>
      <c r="BB49" s="318"/>
      <c r="BC49" s="318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18">
        <v>79190039</v>
      </c>
      <c r="AZ56" s="318"/>
      <c r="BA56" s="318"/>
      <c r="BB56" s="318"/>
      <c r="BC56" s="318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18">
        <v>79324776</v>
      </c>
      <c r="AZ63" s="318"/>
      <c r="BA63" s="318"/>
      <c r="BB63" s="318"/>
      <c r="BC63" s="318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14" t="s">
        <v>160</v>
      </c>
      <c r="AZ71" s="314"/>
      <c r="BA71" s="314"/>
      <c r="BB71" s="314"/>
      <c r="BC71" s="314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14" t="s">
        <v>162</v>
      </c>
      <c r="AZ78" s="314"/>
      <c r="BA78" s="314"/>
      <c r="BB78" s="314"/>
      <c r="BC78" s="314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B13" zoomScale="115" zoomScaleNormal="115" workbookViewId="0">
      <selection activeCell="AU34" sqref="AU34:BB35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22" t="s">
        <v>72</v>
      </c>
      <c r="E1" s="323"/>
      <c r="F1" s="323"/>
      <c r="G1" s="322" t="s">
        <v>76</v>
      </c>
      <c r="H1" s="323"/>
      <c r="I1" s="323"/>
      <c r="J1" s="322" t="s">
        <v>80</v>
      </c>
      <c r="K1" s="323"/>
      <c r="L1" s="323"/>
      <c r="M1" s="322" t="s">
        <v>84</v>
      </c>
      <c r="N1" s="323"/>
      <c r="O1" s="323"/>
      <c r="P1" s="322" t="s">
        <v>88</v>
      </c>
      <c r="Q1" s="323"/>
      <c r="R1" s="323"/>
      <c r="S1" s="322" t="s">
        <v>93</v>
      </c>
      <c r="T1" s="323"/>
      <c r="U1" s="323"/>
      <c r="V1" s="322" t="s">
        <v>97</v>
      </c>
      <c r="W1" s="323"/>
      <c r="X1" s="323"/>
      <c r="Y1" s="322" t="s">
        <v>100</v>
      </c>
      <c r="Z1" s="323"/>
      <c r="AA1" s="323"/>
      <c r="AB1" s="322" t="s">
        <v>104</v>
      </c>
      <c r="AC1" s="323"/>
      <c r="AD1" s="323"/>
      <c r="AE1" s="322" t="s">
        <v>108</v>
      </c>
      <c r="AF1" s="323"/>
      <c r="AG1" s="323"/>
      <c r="AH1" s="322" t="s">
        <v>112</v>
      </c>
      <c r="AI1" s="323"/>
      <c r="AJ1" s="323"/>
      <c r="AK1" s="322" t="s">
        <v>117</v>
      </c>
      <c r="AL1" s="323"/>
      <c r="AM1" s="323"/>
      <c r="AN1" s="83"/>
      <c r="AO1" s="83"/>
      <c r="AP1" s="84" t="s">
        <v>359</v>
      </c>
      <c r="AQ1" s="84" t="s">
        <v>360</v>
      </c>
      <c r="AR1" s="84"/>
      <c r="AS1" s="83"/>
      <c r="AT1" s="83"/>
      <c r="AU1" s="322" t="s">
        <v>123</v>
      </c>
      <c r="AV1" s="323"/>
      <c r="AW1" s="322" t="s">
        <v>120</v>
      </c>
      <c r="AX1" s="323"/>
      <c r="AY1" s="322" t="s">
        <v>125</v>
      </c>
      <c r="AZ1" s="323"/>
      <c r="BA1" s="322" t="s">
        <v>361</v>
      </c>
      <c r="BB1" s="323"/>
      <c r="BC1" s="79"/>
      <c r="BD1" s="79"/>
      <c r="BE1" s="79"/>
      <c r="BF1" s="15" t="s">
        <v>196</v>
      </c>
      <c r="BG1" s="79"/>
      <c r="BJ1" s="324" t="s">
        <v>362</v>
      </c>
      <c r="BK1" s="325"/>
      <c r="BL1" s="325"/>
      <c r="BM1" s="326"/>
      <c r="BN1" s="324" t="s">
        <v>363</v>
      </c>
      <c r="BO1" s="325"/>
      <c r="BP1" s="325"/>
      <c r="BQ1" s="325"/>
      <c r="BR1" s="325"/>
      <c r="BS1" s="325"/>
      <c r="BT1" s="325"/>
      <c r="BU1" s="325"/>
      <c r="BV1" s="326"/>
      <c r="BW1" s="324" t="s">
        <v>364</v>
      </c>
      <c r="BX1" s="325"/>
      <c r="BY1" s="325"/>
      <c r="BZ1" s="325"/>
      <c r="CA1" s="325"/>
      <c r="CB1" s="325"/>
      <c r="CC1" s="325"/>
      <c r="CD1" s="325"/>
      <c r="CE1" s="326"/>
      <c r="CF1" s="324" t="s">
        <v>365</v>
      </c>
      <c r="CG1" s="325"/>
      <c r="CH1" s="325"/>
      <c r="CI1" s="325"/>
      <c r="CJ1" s="325"/>
      <c r="CK1" s="325"/>
      <c r="CL1" s="325"/>
      <c r="CM1" s="325"/>
      <c r="CN1" s="326"/>
      <c r="CO1" s="324" t="s">
        <v>366</v>
      </c>
      <c r="CP1" s="325"/>
      <c r="CQ1" s="325"/>
      <c r="CR1" s="325"/>
      <c r="CS1" s="325"/>
      <c r="CT1" s="325"/>
      <c r="CU1" s="325"/>
      <c r="CV1" s="325"/>
      <c r="CW1" s="326"/>
      <c r="CX1" s="324" t="s">
        <v>367</v>
      </c>
      <c r="CY1" s="325"/>
      <c r="CZ1" s="325"/>
      <c r="DA1" s="325"/>
      <c r="DB1" s="325"/>
      <c r="DC1" s="325"/>
      <c r="DD1" s="325"/>
      <c r="DE1" s="325"/>
      <c r="DF1" s="326"/>
      <c r="DG1" s="324" t="s">
        <v>368</v>
      </c>
      <c r="DH1" s="325"/>
      <c r="DI1" s="325"/>
      <c r="DJ1" s="325"/>
      <c r="DK1" s="325"/>
      <c r="DL1" s="325"/>
      <c r="DM1" s="325"/>
      <c r="DN1" s="325"/>
      <c r="DO1" s="326"/>
      <c r="DP1" s="324" t="s">
        <v>369</v>
      </c>
      <c r="DQ1" s="325"/>
      <c r="DR1" s="325"/>
      <c r="DS1" s="325"/>
      <c r="DT1" s="325"/>
      <c r="DU1" s="325"/>
      <c r="DV1" s="325"/>
      <c r="DW1" s="325"/>
      <c r="DX1" s="326"/>
      <c r="DY1" s="324" t="s">
        <v>370</v>
      </c>
      <c r="DZ1" s="325"/>
      <c r="EA1" s="325"/>
      <c r="EB1" s="325"/>
      <c r="EC1" s="325"/>
      <c r="ED1" s="325"/>
      <c r="EE1" s="325"/>
      <c r="EF1" s="325"/>
      <c r="EG1" s="326"/>
      <c r="EH1" s="324" t="s">
        <v>371</v>
      </c>
      <c r="EI1" s="325"/>
      <c r="EJ1" s="325"/>
      <c r="EK1" s="325"/>
      <c r="EL1" s="325"/>
      <c r="EM1" s="325"/>
      <c r="EN1" s="325"/>
      <c r="EO1" s="325"/>
      <c r="EP1" s="326"/>
      <c r="EQ1" s="324" t="s">
        <v>372</v>
      </c>
      <c r="ER1" s="325"/>
      <c r="ES1" s="325"/>
      <c r="ET1" s="325"/>
      <c r="EU1" s="325"/>
      <c r="EV1" s="325"/>
      <c r="EW1" s="325"/>
      <c r="EX1" s="325"/>
      <c r="EY1" s="326"/>
      <c r="EZ1" s="324" t="s">
        <v>373</v>
      </c>
      <c r="FA1" s="325"/>
      <c r="FB1" s="325"/>
      <c r="FC1" s="325"/>
      <c r="FD1" s="325"/>
      <c r="FE1" s="325"/>
      <c r="FF1" s="325"/>
      <c r="FG1" s="325"/>
      <c r="FH1" s="326"/>
      <c r="FI1" s="59"/>
      <c r="FJ1" s="85"/>
      <c r="FK1" s="86" t="s">
        <v>374</v>
      </c>
      <c r="FL1" s="86" t="s">
        <v>113</v>
      </c>
      <c r="FM1" s="86"/>
      <c r="FN1" s="14"/>
      <c r="FO1" s="86"/>
      <c r="FP1" s="324" t="s">
        <v>375</v>
      </c>
      <c r="FQ1" s="325"/>
      <c r="FR1" s="325"/>
      <c r="FS1" s="325"/>
      <c r="FT1" s="325"/>
      <c r="FU1" s="325"/>
      <c r="FV1" s="325"/>
      <c r="FW1" s="325"/>
      <c r="FX1" s="326"/>
      <c r="FY1" s="324" t="s">
        <v>376</v>
      </c>
      <c r="FZ1" s="325"/>
      <c r="GA1" s="325"/>
      <c r="GB1" s="325"/>
      <c r="GC1" s="325"/>
      <c r="GD1" s="325"/>
      <c r="GE1" s="325"/>
      <c r="GF1" s="325"/>
      <c r="GG1" s="326"/>
      <c r="GH1" s="324" t="s">
        <v>377</v>
      </c>
      <c r="GI1" s="325"/>
      <c r="GJ1" s="325"/>
      <c r="GK1" s="325"/>
      <c r="GL1" s="325"/>
      <c r="GM1" s="326"/>
      <c r="GN1" s="324" t="s">
        <v>378</v>
      </c>
      <c r="GO1" s="325"/>
      <c r="GP1" s="325"/>
      <c r="GQ1" s="325"/>
      <c r="GR1" s="325"/>
      <c r="GS1" s="325"/>
      <c r="GT1" s="325"/>
      <c r="GU1" s="325"/>
      <c r="GV1" s="326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66" t="s">
        <v>70</v>
      </c>
      <c r="F2" s="62" t="s">
        <v>381</v>
      </c>
      <c r="G2" s="264" t="s">
        <v>75</v>
      </c>
      <c r="H2" s="266" t="s">
        <v>74</v>
      </c>
      <c r="I2" s="62" t="s">
        <v>381</v>
      </c>
      <c r="J2" s="266" t="s">
        <v>79</v>
      </c>
      <c r="K2" s="266" t="s">
        <v>78</v>
      </c>
      <c r="L2" s="62" t="s">
        <v>381</v>
      </c>
      <c r="M2" s="266" t="s">
        <v>83</v>
      </c>
      <c r="N2" s="266" t="s">
        <v>82</v>
      </c>
      <c r="O2" s="62" t="s">
        <v>381</v>
      </c>
      <c r="P2" s="266" t="s">
        <v>87</v>
      </c>
      <c r="Q2" s="266" t="s">
        <v>86</v>
      </c>
      <c r="R2" s="62" t="s">
        <v>381</v>
      </c>
      <c r="S2" s="266" t="s">
        <v>92</v>
      </c>
      <c r="T2" s="266" t="s">
        <v>91</v>
      </c>
      <c r="U2" s="62" t="s">
        <v>381</v>
      </c>
      <c r="V2" s="266" t="s">
        <v>96</v>
      </c>
      <c r="W2" s="266" t="s">
        <v>95</v>
      </c>
      <c r="X2" s="62" t="s">
        <v>381</v>
      </c>
      <c r="Y2" s="266" t="s">
        <v>99</v>
      </c>
      <c r="Z2" s="266" t="s">
        <v>98</v>
      </c>
      <c r="AA2" s="62" t="s">
        <v>381</v>
      </c>
      <c r="AB2" s="266" t="s">
        <v>103</v>
      </c>
      <c r="AC2" s="266" t="s">
        <v>102</v>
      </c>
      <c r="AD2" s="62" t="s">
        <v>381</v>
      </c>
      <c r="AE2" s="266" t="s">
        <v>107</v>
      </c>
      <c r="AF2" s="266" t="s">
        <v>106</v>
      </c>
      <c r="AG2" s="62" t="s">
        <v>381</v>
      </c>
      <c r="AH2" s="266" t="s">
        <v>111</v>
      </c>
      <c r="AI2" s="266" t="s">
        <v>110</v>
      </c>
      <c r="AJ2" s="62" t="s">
        <v>381</v>
      </c>
      <c r="AK2" s="306" t="s">
        <v>116</v>
      </c>
      <c r="AL2" s="307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63" t="s">
        <v>213</v>
      </c>
      <c r="AV2" s="62" t="s">
        <v>381</v>
      </c>
      <c r="AW2" s="263" t="s">
        <v>214</v>
      </c>
      <c r="AX2" s="62" t="s">
        <v>381</v>
      </c>
      <c r="AY2" s="263" t="s">
        <v>215</v>
      </c>
      <c r="AZ2" s="62" t="s">
        <v>381</v>
      </c>
      <c r="BA2" s="263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27" t="s">
        <v>385</v>
      </c>
      <c r="BK2" s="328"/>
      <c r="BL2" s="328"/>
      <c r="BM2" s="328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66" t="s">
        <v>196</v>
      </c>
      <c r="E3" s="263" t="s">
        <v>197</v>
      </c>
      <c r="F3" s="22" t="s">
        <v>389</v>
      </c>
      <c r="G3" s="264" t="s">
        <v>196</v>
      </c>
      <c r="H3" s="266" t="s">
        <v>197</v>
      </c>
      <c r="I3" s="22" t="s">
        <v>389</v>
      </c>
      <c r="J3" s="266" t="s">
        <v>196</v>
      </c>
      <c r="K3" s="266" t="s">
        <v>197</v>
      </c>
      <c r="L3" s="22" t="s">
        <v>390</v>
      </c>
      <c r="M3" s="266" t="s">
        <v>196</v>
      </c>
      <c r="N3" s="266" t="s">
        <v>197</v>
      </c>
      <c r="O3" s="22" t="s">
        <v>390</v>
      </c>
      <c r="P3" s="266" t="s">
        <v>196</v>
      </c>
      <c r="Q3" s="266" t="s">
        <v>197</v>
      </c>
      <c r="R3" s="22" t="s">
        <v>390</v>
      </c>
      <c r="S3" s="266" t="s">
        <v>196</v>
      </c>
      <c r="T3" s="266" t="s">
        <v>197</v>
      </c>
      <c r="U3" s="22" t="s">
        <v>391</v>
      </c>
      <c r="V3" s="266" t="s">
        <v>196</v>
      </c>
      <c r="W3" s="266" t="s">
        <v>197</v>
      </c>
      <c r="X3" s="22" t="s">
        <v>391</v>
      </c>
      <c r="Y3" s="266" t="s">
        <v>196</v>
      </c>
      <c r="Z3" s="266" t="s">
        <v>197</v>
      </c>
      <c r="AA3" s="22" t="s">
        <v>389</v>
      </c>
      <c r="AB3" s="266" t="s">
        <v>196</v>
      </c>
      <c r="AC3" s="266" t="s">
        <v>197</v>
      </c>
      <c r="AD3" s="22" t="s">
        <v>389</v>
      </c>
      <c r="AE3" s="266" t="s">
        <v>196</v>
      </c>
      <c r="AF3" s="266" t="s">
        <v>197</v>
      </c>
      <c r="AG3" s="22" t="s">
        <v>392</v>
      </c>
      <c r="AH3" s="266" t="s">
        <v>196</v>
      </c>
      <c r="AI3" s="266" t="s">
        <v>197</v>
      </c>
      <c r="AJ3" s="22" t="s">
        <v>393</v>
      </c>
      <c r="AK3" s="306" t="s">
        <v>196</v>
      </c>
      <c r="AL3" s="307"/>
      <c r="AM3" s="22" t="s">
        <v>394</v>
      </c>
      <c r="AR3" s="60" t="s">
        <v>196</v>
      </c>
      <c r="AS3" s="14"/>
      <c r="AU3" s="263" t="s">
        <v>196</v>
      </c>
      <c r="AV3" s="22" t="s">
        <v>395</v>
      </c>
      <c r="AW3" s="263" t="s">
        <v>196</v>
      </c>
      <c r="AX3" s="22" t="s">
        <v>395</v>
      </c>
      <c r="AY3" s="263" t="s">
        <v>196</v>
      </c>
      <c r="AZ3" s="22" t="s">
        <v>394</v>
      </c>
      <c r="BA3" s="263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0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748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941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1427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1082</v>
      </c>
      <c r="D14" s="209">
        <v>100582</v>
      </c>
      <c r="E14" s="209">
        <v>1.9339999999999999</v>
      </c>
      <c r="F14" s="210">
        <v>41920</v>
      </c>
      <c r="G14" s="209">
        <v>97442</v>
      </c>
      <c r="H14" s="209">
        <v>2.3780000000000001</v>
      </c>
      <c r="I14" s="210">
        <v>47520</v>
      </c>
      <c r="J14" s="209">
        <v>11118</v>
      </c>
      <c r="K14" s="209">
        <v>2.2400000000000002</v>
      </c>
      <c r="L14" s="210">
        <v>9600</v>
      </c>
      <c r="M14" s="209">
        <v>11002</v>
      </c>
      <c r="N14" s="209">
        <v>1.95</v>
      </c>
      <c r="O14" s="210">
        <v>9600</v>
      </c>
      <c r="P14" s="209">
        <v>11638</v>
      </c>
      <c r="Q14" s="209">
        <v>1.96</v>
      </c>
      <c r="R14" s="210">
        <v>8800</v>
      </c>
      <c r="S14" s="209">
        <v>78232</v>
      </c>
      <c r="T14" s="209">
        <v>2.5830000000000002</v>
      </c>
      <c r="U14" s="210">
        <v>29700</v>
      </c>
      <c r="V14" s="209">
        <v>74759</v>
      </c>
      <c r="W14" s="209">
        <v>1.9690000000000001</v>
      </c>
      <c r="X14" s="210">
        <v>57000</v>
      </c>
      <c r="Y14" s="209">
        <v>18156</v>
      </c>
      <c r="Z14" s="209">
        <v>3.79</v>
      </c>
      <c r="AA14" s="210">
        <v>6400</v>
      </c>
      <c r="AB14" s="209">
        <v>11985</v>
      </c>
      <c r="AC14" s="209">
        <v>2.06</v>
      </c>
      <c r="AD14" s="210">
        <v>3040</v>
      </c>
      <c r="AE14" s="209">
        <v>95578</v>
      </c>
      <c r="AF14" s="209">
        <v>1.994</v>
      </c>
      <c r="AG14" s="210">
        <v>49600</v>
      </c>
      <c r="AH14" s="209">
        <v>17818</v>
      </c>
      <c r="AI14" s="209">
        <v>0.30099999999999999</v>
      </c>
      <c r="AJ14" s="210">
        <v>1480</v>
      </c>
      <c r="AK14" s="209">
        <v>75414</v>
      </c>
      <c r="AL14" s="210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09">
        <v>64250</v>
      </c>
      <c r="AV14" s="210">
        <v>12800</v>
      </c>
      <c r="AW14" s="209">
        <v>8212</v>
      </c>
      <c r="AX14" s="210">
        <v>1600</v>
      </c>
      <c r="AY14" s="211">
        <v>37123</v>
      </c>
      <c r="AZ14" s="212">
        <v>901</v>
      </c>
      <c r="BA14" s="209">
        <v>439</v>
      </c>
      <c r="BB14" s="210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1285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1842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1504</v>
      </c>
      <c r="D17" s="189">
        <v>1373</v>
      </c>
      <c r="E17" s="189">
        <v>2.0430000000000001</v>
      </c>
      <c r="F17" s="196">
        <v>42560</v>
      </c>
      <c r="G17" s="189">
        <v>98343</v>
      </c>
      <c r="H17" s="189">
        <v>2.331</v>
      </c>
      <c r="I17" s="196">
        <v>48480</v>
      </c>
      <c r="J17" s="189">
        <v>11195</v>
      </c>
      <c r="K17" s="189">
        <v>2.31</v>
      </c>
      <c r="L17" s="196">
        <v>10000</v>
      </c>
      <c r="M17" s="189">
        <v>11077</v>
      </c>
      <c r="N17" s="189">
        <v>2.27</v>
      </c>
      <c r="O17" s="196">
        <v>10400</v>
      </c>
      <c r="P17" s="189">
        <v>11710</v>
      </c>
      <c r="Q17" s="189">
        <v>2.33</v>
      </c>
      <c r="R17" s="196">
        <v>9600</v>
      </c>
      <c r="S17" s="189">
        <v>78764</v>
      </c>
      <c r="T17" s="189">
        <v>2.4350000000000001</v>
      </c>
      <c r="U17" s="196">
        <v>62700</v>
      </c>
      <c r="V17" s="189">
        <v>75151</v>
      </c>
      <c r="W17" s="189">
        <v>1.694</v>
      </c>
      <c r="X17" s="196">
        <v>42300</v>
      </c>
      <c r="Y17" s="189">
        <v>18266</v>
      </c>
      <c r="Z17" s="189">
        <v>3.13</v>
      </c>
      <c r="AA17" s="196">
        <v>6080</v>
      </c>
      <c r="AB17" s="189">
        <v>12042</v>
      </c>
      <c r="AC17" s="189">
        <v>2.46</v>
      </c>
      <c r="AD17" s="196">
        <v>3360</v>
      </c>
      <c r="AE17" s="189">
        <v>96322</v>
      </c>
      <c r="AF17" s="189">
        <v>1.9450000000000001</v>
      </c>
      <c r="AG17" s="196">
        <v>49400</v>
      </c>
      <c r="AH17" s="189">
        <v>17929</v>
      </c>
      <c r="AI17" s="189">
        <v>0.30099999999999999</v>
      </c>
      <c r="AJ17" s="196">
        <v>1480</v>
      </c>
      <c r="AK17" s="200">
        <v>76926</v>
      </c>
      <c r="AL17" s="196">
        <v>563</v>
      </c>
      <c r="AM17" s="43">
        <f t="shared" si="17"/>
        <v>563</v>
      </c>
      <c r="AO17" s="43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80">
        <f t="shared" si="0"/>
        <v>44284</v>
      </c>
      <c r="AU17" s="189">
        <v>64637</v>
      </c>
      <c r="AV17" s="196">
        <v>13900</v>
      </c>
      <c r="AW17" s="189">
        <v>8263</v>
      </c>
      <c r="AX17" s="196">
        <v>1800</v>
      </c>
      <c r="AY17" s="190">
        <v>39656</v>
      </c>
      <c r="AZ17" s="199">
        <v>815</v>
      </c>
      <c r="BA17" s="189">
        <v>805</v>
      </c>
      <c r="BB17" s="196">
        <v>5000</v>
      </c>
      <c r="BC17" s="74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75151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11077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96322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39656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26">(FJ17+GW17)</f>
        <v>0</v>
      </c>
      <c r="HC17" s="93">
        <f t="shared" si="26"/>
        <v>291.2244</v>
      </c>
      <c r="HD17" s="93">
        <f t="shared" si="26"/>
        <v>0</v>
      </c>
      <c r="HE17" s="93">
        <f t="shared" ref="HE17" si="27">(HC17+HD17)</f>
        <v>291.2244</v>
      </c>
    </row>
    <row r="18" spans="2:217" x14ac:dyDescent="0.25">
      <c r="B18" s="73">
        <v>44287</v>
      </c>
      <c r="C18" s="207">
        <f>SUM(Essbase!J97:J99)</f>
        <v>650</v>
      </c>
      <c r="D18" s="189">
        <v>1489</v>
      </c>
      <c r="E18" s="189">
        <v>2.0430000000000001</v>
      </c>
      <c r="F18" s="196">
        <v>18560</v>
      </c>
      <c r="G18" s="189">
        <v>98471</v>
      </c>
      <c r="H18" s="189">
        <v>2.331</v>
      </c>
      <c r="I18" s="196">
        <v>20480</v>
      </c>
      <c r="J18" s="189">
        <v>11288</v>
      </c>
      <c r="K18" s="189">
        <v>2.27</v>
      </c>
      <c r="L18" s="196">
        <v>37200</v>
      </c>
      <c r="M18" s="189">
        <v>11120</v>
      </c>
      <c r="N18" s="189">
        <v>2.27</v>
      </c>
      <c r="O18" s="196">
        <v>17200</v>
      </c>
      <c r="P18" s="189">
        <v>11720</v>
      </c>
      <c r="Q18" s="189">
        <v>2.33</v>
      </c>
      <c r="R18" s="196">
        <v>4000</v>
      </c>
      <c r="S18" s="189">
        <v>78839</v>
      </c>
      <c r="T18" s="189">
        <v>2.496</v>
      </c>
      <c r="U18" s="196">
        <v>22500</v>
      </c>
      <c r="V18" s="189">
        <v>75243</v>
      </c>
      <c r="W18" s="189">
        <v>1.732</v>
      </c>
      <c r="X18" s="196">
        <v>27600</v>
      </c>
      <c r="Y18" s="189">
        <v>18280</v>
      </c>
      <c r="Z18" s="189">
        <v>2.31</v>
      </c>
      <c r="AA18" s="196">
        <v>2240</v>
      </c>
      <c r="AB18" s="189">
        <v>12050</v>
      </c>
      <c r="AC18" s="189">
        <v>2.46</v>
      </c>
      <c r="AD18" s="196">
        <v>1280</v>
      </c>
      <c r="AE18" s="189">
        <v>96437</v>
      </c>
      <c r="AF18" s="189">
        <v>1.9450000000000001</v>
      </c>
      <c r="AG18" s="196">
        <v>23000</v>
      </c>
      <c r="AH18" s="189">
        <v>17944</v>
      </c>
      <c r="AI18" s="189">
        <v>0.32500000000000001</v>
      </c>
      <c r="AJ18" s="196">
        <v>600</v>
      </c>
      <c r="AK18" s="200">
        <v>77130</v>
      </c>
      <c r="AL18" s="196">
        <v>204</v>
      </c>
      <c r="AM18" s="43">
        <f t="shared" si="17"/>
        <v>204</v>
      </c>
      <c r="AO18" s="43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80">
        <f t="shared" si="0"/>
        <v>44287</v>
      </c>
      <c r="AU18" s="189">
        <v>64676</v>
      </c>
      <c r="AV18" s="196">
        <v>3900</v>
      </c>
      <c r="AW18" s="189">
        <v>8268</v>
      </c>
      <c r="AX18" s="196">
        <v>500</v>
      </c>
      <c r="AY18" s="190">
        <v>39880</v>
      </c>
      <c r="AZ18" s="199">
        <v>224</v>
      </c>
      <c r="BA18" s="189">
        <v>837</v>
      </c>
      <c r="BB18" s="196">
        <v>1280</v>
      </c>
      <c r="BC18" s="74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6">
        <f t="shared" si="2"/>
        <v>98471</v>
      </c>
      <c r="BW18" s="76">
        <f t="shared" si="3"/>
        <v>1489</v>
      </c>
      <c r="CF18" s="76">
        <f t="shared" si="4"/>
        <v>78839</v>
      </c>
      <c r="CO18" s="76">
        <f t="shared" si="5"/>
        <v>17944</v>
      </c>
      <c r="CX18" s="76">
        <f t="shared" si="6"/>
        <v>75243</v>
      </c>
      <c r="DG18" s="76">
        <f t="shared" si="7"/>
        <v>11120</v>
      </c>
      <c r="DP18" s="76">
        <f t="shared" si="8"/>
        <v>78839</v>
      </c>
      <c r="DY18" s="76">
        <f t="shared" si="9"/>
        <v>11720</v>
      </c>
      <c r="EH18" s="76">
        <f t="shared" si="10"/>
        <v>18280</v>
      </c>
      <c r="EQ18" s="76">
        <f t="shared" si="11"/>
        <v>12050</v>
      </c>
      <c r="EZ18" s="19">
        <f t="shared" si="12"/>
        <v>96437</v>
      </c>
      <c r="FI18" s="59"/>
      <c r="FN18" s="14"/>
      <c r="FP18" s="76">
        <f t="shared" si="13"/>
        <v>8268</v>
      </c>
      <c r="FY18" s="76">
        <f t="shared" si="14"/>
        <v>64676</v>
      </c>
      <c r="GH18" s="76">
        <f t="shared" si="15"/>
        <v>39880</v>
      </c>
      <c r="GN18" s="76">
        <f t="shared" si="16"/>
        <v>837</v>
      </c>
      <c r="HA18" s="18"/>
    </row>
    <row r="19" spans="2:217" x14ac:dyDescent="0.25">
      <c r="B19" s="73">
        <v>44291</v>
      </c>
      <c r="C19" s="207">
        <f>SUM(Essbase!J100:J103)</f>
        <v>825</v>
      </c>
      <c r="D19" s="189">
        <v>1643</v>
      </c>
      <c r="E19" s="189">
        <v>2.0430000000000001</v>
      </c>
      <c r="F19" s="196">
        <v>24640</v>
      </c>
      <c r="G19" s="189">
        <v>98650</v>
      </c>
      <c r="H19" s="189">
        <v>2.331</v>
      </c>
      <c r="I19" s="196">
        <v>28640</v>
      </c>
      <c r="J19" s="189">
        <v>11225</v>
      </c>
      <c r="K19" s="189">
        <v>2.331</v>
      </c>
      <c r="L19" s="196">
        <v>6800</v>
      </c>
      <c r="M19" s="189">
        <v>11225</v>
      </c>
      <c r="N19" s="189">
        <v>2.98</v>
      </c>
      <c r="O19" s="196">
        <v>42000</v>
      </c>
      <c r="P19" s="189">
        <v>11736</v>
      </c>
      <c r="Q19" s="189">
        <v>2.54</v>
      </c>
      <c r="R19" s="196">
        <v>6400</v>
      </c>
      <c r="S19" s="189">
        <v>78914</v>
      </c>
      <c r="T19" s="189">
        <v>2.4350000000000001</v>
      </c>
      <c r="U19" s="196">
        <v>22500</v>
      </c>
      <c r="V19" s="189">
        <v>75292</v>
      </c>
      <c r="W19" s="189">
        <v>1.732</v>
      </c>
      <c r="X19" s="196">
        <v>14700</v>
      </c>
      <c r="Y19" s="189">
        <v>18299</v>
      </c>
      <c r="Z19" s="189">
        <v>3.13</v>
      </c>
      <c r="AA19" s="196">
        <v>3040</v>
      </c>
      <c r="AB19" s="189">
        <v>12060</v>
      </c>
      <c r="AC19" s="189">
        <v>2.46</v>
      </c>
      <c r="AD19" s="196">
        <v>1600</v>
      </c>
      <c r="AE19" s="189">
        <v>96569</v>
      </c>
      <c r="AF19" s="189">
        <v>1.9450000000000001</v>
      </c>
      <c r="AG19" s="196">
        <v>26400</v>
      </c>
      <c r="AH19" s="189">
        <v>17967</v>
      </c>
      <c r="AI19" s="189">
        <v>0.32500000000000001</v>
      </c>
      <c r="AJ19" s="196">
        <v>920</v>
      </c>
      <c r="AK19" s="200">
        <v>77398</v>
      </c>
      <c r="AL19" s="196">
        <v>268</v>
      </c>
      <c r="AM19" s="43">
        <f t="shared" si="17"/>
        <v>268</v>
      </c>
      <c r="AO19" s="43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80">
        <f t="shared" si="0"/>
        <v>44291</v>
      </c>
      <c r="AU19" s="189">
        <v>64782</v>
      </c>
      <c r="AV19" s="196">
        <v>10600</v>
      </c>
      <c r="AW19" s="189">
        <v>8282</v>
      </c>
      <c r="AX19" s="196">
        <v>1400</v>
      </c>
      <c r="AY19" s="190">
        <v>40565</v>
      </c>
      <c r="AZ19" s="199">
        <v>685</v>
      </c>
      <c r="BA19" s="189">
        <v>958</v>
      </c>
      <c r="BB19" s="196">
        <v>4840</v>
      </c>
      <c r="BC19" s="74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6">
        <f t="shared" si="2"/>
        <v>98650</v>
      </c>
      <c r="BW19" s="76">
        <f t="shared" si="3"/>
        <v>1643</v>
      </c>
      <c r="CF19" s="76">
        <f t="shared" si="4"/>
        <v>78914</v>
      </c>
      <c r="CO19" s="76">
        <f t="shared" si="5"/>
        <v>17967</v>
      </c>
      <c r="CX19" s="76">
        <f t="shared" si="6"/>
        <v>75292</v>
      </c>
      <c r="DG19" s="76">
        <f t="shared" si="7"/>
        <v>11225</v>
      </c>
      <c r="DP19" s="76">
        <f t="shared" si="8"/>
        <v>78914</v>
      </c>
      <c r="DY19" s="76">
        <f t="shared" si="9"/>
        <v>11736</v>
      </c>
      <c r="EH19" s="76">
        <f t="shared" si="10"/>
        <v>18299</v>
      </c>
      <c r="EQ19" s="76">
        <f t="shared" si="11"/>
        <v>12060</v>
      </c>
      <c r="EZ19" s="19">
        <f t="shared" si="12"/>
        <v>96569</v>
      </c>
      <c r="FI19" s="59"/>
      <c r="FN19" s="14"/>
      <c r="FP19" s="76">
        <f t="shared" si="13"/>
        <v>8282</v>
      </c>
      <c r="FY19" s="76">
        <f t="shared" si="14"/>
        <v>64782</v>
      </c>
      <c r="GH19" s="76">
        <f t="shared" si="15"/>
        <v>40565</v>
      </c>
      <c r="GN19" s="76">
        <f t="shared" si="16"/>
        <v>958</v>
      </c>
      <c r="HA19" s="18"/>
    </row>
    <row r="20" spans="2:217" x14ac:dyDescent="0.25">
      <c r="B20" s="73">
        <v>44298</v>
      </c>
      <c r="C20" s="207">
        <f>SUM(Essbase!J104:J110)</f>
        <v>1373</v>
      </c>
      <c r="D20" s="189">
        <v>1899</v>
      </c>
      <c r="E20" s="189">
        <v>2.0430000000000001</v>
      </c>
      <c r="F20" s="196">
        <v>40960</v>
      </c>
      <c r="G20" s="189">
        <v>98946</v>
      </c>
      <c r="H20" s="189">
        <v>2.331</v>
      </c>
      <c r="I20" s="196">
        <v>47360</v>
      </c>
      <c r="J20" s="189">
        <v>11249</v>
      </c>
      <c r="K20" s="189">
        <v>2.98</v>
      </c>
      <c r="L20" s="196">
        <v>9600</v>
      </c>
      <c r="M20" s="189">
        <v>11249</v>
      </c>
      <c r="N20" s="189">
        <v>2.98</v>
      </c>
      <c r="O20" s="196">
        <v>9600</v>
      </c>
      <c r="P20" s="189">
        <v>11758</v>
      </c>
      <c r="Q20" s="189">
        <v>2.54</v>
      </c>
      <c r="R20" s="196">
        <v>8800</v>
      </c>
      <c r="S20" s="189">
        <v>79060</v>
      </c>
      <c r="T20" s="189">
        <v>2.4350000000000001</v>
      </c>
      <c r="U20" s="196">
        <v>43800</v>
      </c>
      <c r="V20" s="189">
        <v>75414</v>
      </c>
      <c r="W20" s="189">
        <v>1.8380000000000001</v>
      </c>
      <c r="X20" s="196">
        <v>36600</v>
      </c>
      <c r="Y20" s="189">
        <v>18335</v>
      </c>
      <c r="Z20" s="189">
        <v>3.18</v>
      </c>
      <c r="AA20" s="196">
        <v>5760</v>
      </c>
      <c r="AB20" s="189">
        <v>12079</v>
      </c>
      <c r="AC20" s="189">
        <v>2.91</v>
      </c>
      <c r="AD20" s="196">
        <v>3040</v>
      </c>
      <c r="AE20" s="189">
        <v>96812</v>
      </c>
      <c r="AF20" s="189">
        <v>1.9710000000000001</v>
      </c>
      <c r="AG20" s="196">
        <v>48600</v>
      </c>
      <c r="AH20" s="189">
        <v>18001</v>
      </c>
      <c r="AI20" s="189">
        <v>0.32500000000000001</v>
      </c>
      <c r="AJ20" s="196">
        <v>1360</v>
      </c>
      <c r="AK20" s="200">
        <v>77841</v>
      </c>
      <c r="AL20" s="196">
        <v>443</v>
      </c>
      <c r="AM20" s="43">
        <f t="shared" si="17"/>
        <v>443</v>
      </c>
      <c r="AO20" s="43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80">
        <f t="shared" si="0"/>
        <v>44298</v>
      </c>
      <c r="AU20" s="189">
        <v>64891</v>
      </c>
      <c r="AV20" s="196">
        <v>10900</v>
      </c>
      <c r="AW20" s="189">
        <v>8296</v>
      </c>
      <c r="AX20" s="196">
        <v>1400</v>
      </c>
      <c r="AY20" s="190">
        <v>41258</v>
      </c>
      <c r="AZ20" s="199">
        <v>693</v>
      </c>
      <c r="BA20" s="189">
        <v>1037</v>
      </c>
      <c r="BB20" s="196">
        <v>3160</v>
      </c>
      <c r="BC20" s="74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6">
        <f t="shared" si="2"/>
        <v>98946</v>
      </c>
      <c r="BW20" s="76">
        <f t="shared" si="3"/>
        <v>1899</v>
      </c>
      <c r="CF20" s="76">
        <f t="shared" si="4"/>
        <v>79060</v>
      </c>
      <c r="CO20" s="76">
        <f t="shared" si="5"/>
        <v>18001</v>
      </c>
      <c r="CX20" s="76">
        <f t="shared" si="6"/>
        <v>75414</v>
      </c>
      <c r="DG20" s="76">
        <f t="shared" si="7"/>
        <v>11249</v>
      </c>
      <c r="DP20" s="76">
        <f t="shared" si="8"/>
        <v>79060</v>
      </c>
      <c r="DY20" s="76">
        <f t="shared" si="9"/>
        <v>11758</v>
      </c>
      <c r="EH20" s="76">
        <f t="shared" si="10"/>
        <v>18335</v>
      </c>
      <c r="EQ20" s="76">
        <f t="shared" si="11"/>
        <v>12079</v>
      </c>
      <c r="EZ20" s="19">
        <f t="shared" si="12"/>
        <v>96812</v>
      </c>
      <c r="FI20" s="59"/>
      <c r="FN20" s="14"/>
      <c r="FP20" s="76">
        <f t="shared" si="13"/>
        <v>8296</v>
      </c>
      <c r="FY20" s="76">
        <f t="shared" si="14"/>
        <v>64891</v>
      </c>
      <c r="GH20" s="76">
        <f t="shared" si="15"/>
        <v>41258</v>
      </c>
      <c r="GN20" s="76">
        <f t="shared" si="16"/>
        <v>1037</v>
      </c>
      <c r="HA20" s="18"/>
    </row>
    <row r="21" spans="2:217" x14ac:dyDescent="0.25">
      <c r="B21" s="73">
        <v>44305</v>
      </c>
      <c r="C21" s="207">
        <f>SUM(Essbase!J111:J117)</f>
        <v>1114</v>
      </c>
      <c r="D21" s="189">
        <v>2155</v>
      </c>
      <c r="E21" s="189">
        <v>2.0430000000000001</v>
      </c>
      <c r="F21" s="196">
        <v>40960</v>
      </c>
      <c r="G21" s="189">
        <v>99245</v>
      </c>
      <c r="H21" s="189">
        <v>2.331</v>
      </c>
      <c r="I21" s="196">
        <v>47840</v>
      </c>
      <c r="J21" s="189">
        <v>11272</v>
      </c>
      <c r="K21" s="189">
        <v>2.98</v>
      </c>
      <c r="L21" s="196">
        <v>9200</v>
      </c>
      <c r="M21" s="189">
        <v>11249</v>
      </c>
      <c r="N21" s="189">
        <v>2.98</v>
      </c>
      <c r="O21" s="196">
        <v>0</v>
      </c>
      <c r="P21" s="189">
        <v>11781</v>
      </c>
      <c r="Q21" s="189">
        <v>2.54</v>
      </c>
      <c r="R21" s="196">
        <v>9200</v>
      </c>
      <c r="S21" s="189">
        <v>79210</v>
      </c>
      <c r="T21" s="189">
        <v>2.4350000000000001</v>
      </c>
      <c r="U21" s="196">
        <v>45000</v>
      </c>
      <c r="V21" s="189">
        <v>75632</v>
      </c>
      <c r="W21" s="189">
        <v>1.8380000000000001</v>
      </c>
      <c r="X21" s="196">
        <v>65400</v>
      </c>
      <c r="Y21" s="189">
        <v>18371</v>
      </c>
      <c r="Z21" s="189">
        <v>3.18</v>
      </c>
      <c r="AA21" s="196">
        <v>5760</v>
      </c>
      <c r="AB21" s="189">
        <v>12097</v>
      </c>
      <c r="AC21" s="189">
        <v>2.91</v>
      </c>
      <c r="AD21" s="196">
        <v>2880</v>
      </c>
      <c r="AE21" s="189">
        <v>97060</v>
      </c>
      <c r="AF21" s="189">
        <v>1.9710000000000001</v>
      </c>
      <c r="AG21" s="196">
        <v>49600</v>
      </c>
      <c r="AH21" s="189">
        <v>18038</v>
      </c>
      <c r="AI21" s="189">
        <v>0.32500000000000001</v>
      </c>
      <c r="AJ21" s="196">
        <v>1480</v>
      </c>
      <c r="AK21" s="200">
        <v>78231</v>
      </c>
      <c r="AL21" s="196">
        <v>390</v>
      </c>
      <c r="AM21" s="43">
        <f t="shared" si="17"/>
        <v>390</v>
      </c>
      <c r="AO21" s="43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80">
        <f t="shared" si="0"/>
        <v>44305</v>
      </c>
      <c r="AU21" s="189">
        <v>65036</v>
      </c>
      <c r="AV21" s="196">
        <v>14500</v>
      </c>
      <c r="AW21" s="189">
        <v>8314</v>
      </c>
      <c r="AX21" s="196">
        <v>1800</v>
      </c>
      <c r="AY21" s="190">
        <v>42069</v>
      </c>
      <c r="AZ21" s="199">
        <v>811</v>
      </c>
      <c r="BA21" s="189">
        <v>1107</v>
      </c>
      <c r="BB21" s="196">
        <v>2800</v>
      </c>
      <c r="BC21" s="74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6">
        <f t="shared" si="2"/>
        <v>99245</v>
      </c>
      <c r="BW21" s="76">
        <f t="shared" si="3"/>
        <v>2155</v>
      </c>
      <c r="CF21" s="76">
        <f t="shared" si="4"/>
        <v>79210</v>
      </c>
      <c r="CO21" s="76">
        <f t="shared" si="5"/>
        <v>18038</v>
      </c>
      <c r="CX21" s="76">
        <f t="shared" si="6"/>
        <v>75632</v>
      </c>
      <c r="DG21" s="76">
        <f t="shared" si="7"/>
        <v>11249</v>
      </c>
      <c r="DP21" s="76">
        <f t="shared" si="8"/>
        <v>79210</v>
      </c>
      <c r="DY21" s="76">
        <f t="shared" si="9"/>
        <v>11781</v>
      </c>
      <c r="EH21" s="76">
        <f t="shared" si="10"/>
        <v>18371</v>
      </c>
      <c r="EQ21" s="76">
        <f t="shared" si="11"/>
        <v>12097</v>
      </c>
      <c r="EZ21" s="19">
        <f t="shared" si="12"/>
        <v>97060</v>
      </c>
      <c r="FI21" s="59"/>
      <c r="FN21" s="14"/>
      <c r="FP21" s="76">
        <f t="shared" si="13"/>
        <v>8314</v>
      </c>
      <c r="FY21" s="76">
        <f t="shared" si="14"/>
        <v>65036</v>
      </c>
      <c r="GH21" s="76">
        <f t="shared" si="15"/>
        <v>42069</v>
      </c>
      <c r="GN21" s="76">
        <f t="shared" si="16"/>
        <v>1107</v>
      </c>
      <c r="HA21" s="18"/>
    </row>
    <row r="22" spans="2:217" x14ac:dyDescent="0.25">
      <c r="B22" s="73">
        <v>44312</v>
      </c>
      <c r="C22" s="207">
        <f>SUM(Essbase!J118:J124)</f>
        <v>1175</v>
      </c>
      <c r="D22" s="189">
        <v>2403</v>
      </c>
      <c r="E22" s="189">
        <v>1.901</v>
      </c>
      <c r="F22" s="196">
        <v>39680</v>
      </c>
      <c r="G22" s="189">
        <v>99528</v>
      </c>
      <c r="H22" s="189">
        <v>2.1720000000000002</v>
      </c>
      <c r="I22" s="196">
        <v>45280</v>
      </c>
      <c r="J22" s="189">
        <v>11294</v>
      </c>
      <c r="K22" s="189">
        <v>1.88</v>
      </c>
      <c r="L22" s="196">
        <v>8800</v>
      </c>
      <c r="M22" s="189">
        <v>11294</v>
      </c>
      <c r="N22" s="189">
        <v>1.88</v>
      </c>
      <c r="O22" s="196">
        <v>18000</v>
      </c>
      <c r="P22" s="189">
        <v>11802</v>
      </c>
      <c r="Q22" s="189">
        <v>1.56</v>
      </c>
      <c r="R22" s="196">
        <v>8400</v>
      </c>
      <c r="S22" s="189">
        <v>79392</v>
      </c>
      <c r="T22" s="189">
        <v>2.4820000000000002</v>
      </c>
      <c r="U22" s="196">
        <v>54600</v>
      </c>
      <c r="V22" s="189">
        <v>75796</v>
      </c>
      <c r="W22" s="189">
        <v>1.931</v>
      </c>
      <c r="X22" s="196">
        <v>49200</v>
      </c>
      <c r="Y22" s="189">
        <v>18407</v>
      </c>
      <c r="Z22" s="189">
        <v>3.17</v>
      </c>
      <c r="AA22" s="196">
        <v>5760</v>
      </c>
      <c r="AB22" s="189">
        <v>12116</v>
      </c>
      <c r="AC22" s="189">
        <v>1.56</v>
      </c>
      <c r="AD22" s="196">
        <v>3040</v>
      </c>
      <c r="AE22" s="189">
        <v>97280</v>
      </c>
      <c r="AF22" s="189">
        <v>1.7470000000000001</v>
      </c>
      <c r="AG22" s="196">
        <v>44000</v>
      </c>
      <c r="AH22" s="189">
        <v>18072</v>
      </c>
      <c r="AI22" s="189">
        <v>0.29299999999999998</v>
      </c>
      <c r="AJ22" s="196">
        <v>1360</v>
      </c>
      <c r="AK22" s="200">
        <v>78799</v>
      </c>
      <c r="AL22" s="196">
        <v>568</v>
      </c>
      <c r="AM22" s="43">
        <f t="shared" si="17"/>
        <v>568</v>
      </c>
      <c r="AO22" s="43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80">
        <f t="shared" si="0"/>
        <v>44312</v>
      </c>
      <c r="AU22" s="189">
        <v>65178</v>
      </c>
      <c r="AV22" s="196">
        <v>14200</v>
      </c>
      <c r="AW22" s="189">
        <v>8332</v>
      </c>
      <c r="AX22" s="196">
        <v>1800</v>
      </c>
      <c r="AY22" s="190">
        <v>42932</v>
      </c>
      <c r="AZ22" s="199">
        <v>863</v>
      </c>
      <c r="BA22" s="189">
        <v>1171</v>
      </c>
      <c r="BB22" s="196">
        <v>2560</v>
      </c>
      <c r="BC22" s="74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6">
        <f t="shared" si="2"/>
        <v>99528</v>
      </c>
      <c r="BW22" s="76">
        <f t="shared" si="3"/>
        <v>2403</v>
      </c>
      <c r="CF22" s="76">
        <f t="shared" si="4"/>
        <v>79392</v>
      </c>
      <c r="CO22" s="76">
        <f t="shared" si="5"/>
        <v>18072</v>
      </c>
      <c r="CX22" s="76">
        <f t="shared" si="6"/>
        <v>75796</v>
      </c>
      <c r="DG22" s="76">
        <f t="shared" si="7"/>
        <v>11294</v>
      </c>
      <c r="DP22" s="76">
        <f t="shared" si="8"/>
        <v>79392</v>
      </c>
      <c r="DY22" s="76">
        <f t="shared" si="9"/>
        <v>11802</v>
      </c>
      <c r="EH22" s="76">
        <f t="shared" si="10"/>
        <v>18407</v>
      </c>
      <c r="EQ22" s="76">
        <f t="shared" si="11"/>
        <v>12116</v>
      </c>
      <c r="EZ22" s="19">
        <f t="shared" si="12"/>
        <v>97280</v>
      </c>
      <c r="FI22" s="59"/>
      <c r="FN22" s="14"/>
      <c r="FP22" s="76">
        <f t="shared" si="13"/>
        <v>8332</v>
      </c>
      <c r="FY22" s="76">
        <f t="shared" si="14"/>
        <v>65178</v>
      </c>
      <c r="GH22" s="76">
        <f t="shared" si="15"/>
        <v>42932</v>
      </c>
      <c r="GN22" s="76">
        <f t="shared" si="16"/>
        <v>1171</v>
      </c>
      <c r="HA22" s="18"/>
    </row>
    <row r="23" spans="2:217" x14ac:dyDescent="0.25">
      <c r="B23" s="73">
        <v>44317</v>
      </c>
      <c r="C23" s="207">
        <f>SUM(Essbase!J125:J129)</f>
        <v>877</v>
      </c>
      <c r="D23" s="189">
        <v>2587</v>
      </c>
      <c r="E23" s="189">
        <v>1.901</v>
      </c>
      <c r="F23" s="196">
        <v>29440</v>
      </c>
      <c r="G23" s="189">
        <v>99745</v>
      </c>
      <c r="H23" s="189">
        <v>2.1720000000000002</v>
      </c>
      <c r="I23" s="196">
        <v>34720</v>
      </c>
      <c r="J23" s="189">
        <v>11310</v>
      </c>
      <c r="K23" s="189">
        <v>1.88</v>
      </c>
      <c r="L23" s="196">
        <v>6400</v>
      </c>
      <c r="M23" s="189">
        <v>11187</v>
      </c>
      <c r="N23" s="189">
        <v>1.75</v>
      </c>
      <c r="O23" s="196">
        <v>9200</v>
      </c>
      <c r="P23" s="189">
        <v>11817</v>
      </c>
      <c r="Q23" s="189">
        <v>1.66</v>
      </c>
      <c r="R23" s="196">
        <v>6000</v>
      </c>
      <c r="S23" s="189">
        <v>79525</v>
      </c>
      <c r="T23" s="189">
        <v>2.4820000000000002</v>
      </c>
      <c r="U23" s="196">
        <v>39900</v>
      </c>
      <c r="V23" s="189">
        <v>75948</v>
      </c>
      <c r="W23" s="189">
        <v>1.931</v>
      </c>
      <c r="X23" s="196">
        <v>45600</v>
      </c>
      <c r="Y23" s="189">
        <v>18437</v>
      </c>
      <c r="Z23" s="189">
        <v>3.21</v>
      </c>
      <c r="AA23" s="196">
        <v>4800</v>
      </c>
      <c r="AB23" s="189">
        <v>12132</v>
      </c>
      <c r="AC23" s="189">
        <v>2.23</v>
      </c>
      <c r="AD23" s="196">
        <v>2560</v>
      </c>
      <c r="AE23" s="189">
        <v>97453</v>
      </c>
      <c r="AF23" s="189">
        <v>1.7529999999999999</v>
      </c>
      <c r="AG23" s="196">
        <v>34600</v>
      </c>
      <c r="AH23" s="189">
        <v>18100</v>
      </c>
      <c r="AI23" s="189">
        <v>0.32</v>
      </c>
      <c r="AJ23" s="196">
        <v>1120</v>
      </c>
      <c r="AK23" s="200">
        <v>79115</v>
      </c>
      <c r="AL23" s="196">
        <v>316</v>
      </c>
      <c r="AM23" s="43">
        <f t="shared" si="17"/>
        <v>316</v>
      </c>
      <c r="AO23" s="43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80">
        <f t="shared" si="0"/>
        <v>44317</v>
      </c>
      <c r="AU23" s="189">
        <v>65284</v>
      </c>
      <c r="AV23" s="196">
        <v>10600</v>
      </c>
      <c r="AW23" s="189">
        <v>8346</v>
      </c>
      <c r="AX23" s="196">
        <v>1400</v>
      </c>
      <c r="AY23" s="190">
        <v>43568</v>
      </c>
      <c r="AZ23" s="199">
        <v>636</v>
      </c>
      <c r="BA23" s="189">
        <v>1230</v>
      </c>
      <c r="BB23" s="196">
        <v>2360</v>
      </c>
      <c r="BC23" s="74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75948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11187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97453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43568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28">(FJ23+GW23)</f>
        <v>0</v>
      </c>
      <c r="HC23" s="93">
        <f t="shared" si="28"/>
        <v>296.92440000000005</v>
      </c>
      <c r="HD23" s="93">
        <f t="shared" si="28"/>
        <v>0</v>
      </c>
      <c r="HE23" s="93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>
        <f>SUM(Essbase!J130:J131)</f>
        <v>500</v>
      </c>
      <c r="D24" s="189">
        <v>2650</v>
      </c>
      <c r="E24" s="189">
        <v>1.901</v>
      </c>
      <c r="F24" s="196">
        <v>10080</v>
      </c>
      <c r="G24" s="189">
        <v>99819</v>
      </c>
      <c r="H24" s="189">
        <v>2.1720000000000002</v>
      </c>
      <c r="I24" s="196">
        <v>11840</v>
      </c>
      <c r="J24" s="189">
        <v>11316</v>
      </c>
      <c r="K24" s="189">
        <v>1.88</v>
      </c>
      <c r="L24" s="196">
        <v>2400</v>
      </c>
      <c r="M24" s="189">
        <v>11193</v>
      </c>
      <c r="N24" s="189">
        <v>1.79</v>
      </c>
      <c r="O24" s="196">
        <v>2400</v>
      </c>
      <c r="P24" s="189">
        <v>11823</v>
      </c>
      <c r="Q24" s="189">
        <v>1.76</v>
      </c>
      <c r="R24" s="196">
        <v>2400</v>
      </c>
      <c r="S24" s="189">
        <v>79581</v>
      </c>
      <c r="T24" s="189">
        <v>2.4820000000000002</v>
      </c>
      <c r="U24" s="196">
        <v>16800</v>
      </c>
      <c r="V24" s="189">
        <v>76005</v>
      </c>
      <c r="W24" s="189">
        <v>1.998</v>
      </c>
      <c r="X24" s="196">
        <v>17100</v>
      </c>
      <c r="Y24" s="189">
        <v>18449</v>
      </c>
      <c r="Z24" s="189">
        <v>4.24</v>
      </c>
      <c r="AA24" s="196">
        <v>1920</v>
      </c>
      <c r="AB24" s="189">
        <v>12137</v>
      </c>
      <c r="AC24" s="189">
        <v>2.23</v>
      </c>
      <c r="AD24" s="196">
        <v>800</v>
      </c>
      <c r="AE24" s="189">
        <v>97513</v>
      </c>
      <c r="AF24" s="189">
        <v>1.8320000000000001</v>
      </c>
      <c r="AG24" s="196">
        <v>12000</v>
      </c>
      <c r="AH24" s="189">
        <v>18110</v>
      </c>
      <c r="AI24" s="189">
        <v>0.32</v>
      </c>
      <c r="AJ24" s="196">
        <v>400</v>
      </c>
      <c r="AK24" s="200">
        <v>79238</v>
      </c>
      <c r="AL24" s="196">
        <v>123</v>
      </c>
      <c r="AM24" s="43">
        <f t="shared" si="17"/>
        <v>123</v>
      </c>
      <c r="AO24" s="43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80">
        <f t="shared" si="0"/>
        <v>44319</v>
      </c>
      <c r="AU24" s="189">
        <v>65328</v>
      </c>
      <c r="AV24" s="196">
        <v>4400</v>
      </c>
      <c r="AW24" s="189">
        <v>8351</v>
      </c>
      <c r="AX24" s="196">
        <v>500</v>
      </c>
      <c r="AY24" s="190">
        <v>43824</v>
      </c>
      <c r="AZ24" s="199">
        <v>256</v>
      </c>
      <c r="BA24" s="189">
        <v>1262</v>
      </c>
      <c r="BB24" s="196">
        <v>1280</v>
      </c>
      <c r="BC24" s="74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6">
        <f t="shared" si="2"/>
        <v>99819</v>
      </c>
      <c r="BW24" s="76">
        <f t="shared" si="3"/>
        <v>2650</v>
      </c>
      <c r="CF24" s="76">
        <f t="shared" si="4"/>
        <v>79581</v>
      </c>
      <c r="CO24" s="76">
        <f t="shared" si="5"/>
        <v>18110</v>
      </c>
      <c r="CX24" s="76">
        <f t="shared" si="6"/>
        <v>76005</v>
      </c>
      <c r="DG24" s="76">
        <f t="shared" si="7"/>
        <v>11193</v>
      </c>
      <c r="DP24" s="76">
        <f t="shared" si="8"/>
        <v>79581</v>
      </c>
      <c r="DY24" s="76">
        <f t="shared" si="9"/>
        <v>11823</v>
      </c>
      <c r="EH24" s="76">
        <f t="shared" si="10"/>
        <v>18449</v>
      </c>
      <c r="EQ24" s="76">
        <f t="shared" si="11"/>
        <v>12137</v>
      </c>
      <c r="EZ24" s="19">
        <f t="shared" si="12"/>
        <v>97513</v>
      </c>
      <c r="FI24" s="59"/>
      <c r="FN24" s="14"/>
      <c r="FP24" s="76">
        <f t="shared" si="13"/>
        <v>8351</v>
      </c>
      <c r="FY24" s="76">
        <f t="shared" si="14"/>
        <v>65328</v>
      </c>
      <c r="GH24" s="76">
        <f t="shared" si="15"/>
        <v>43824</v>
      </c>
      <c r="GN24" s="76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>
        <f>SUM(Essbase!J132:J138)</f>
        <v>1813</v>
      </c>
      <c r="D25" s="189">
        <v>2904</v>
      </c>
      <c r="E25" s="189">
        <v>1.901</v>
      </c>
      <c r="F25" s="196">
        <v>40640</v>
      </c>
      <c r="G25" s="189">
        <v>100122</v>
      </c>
      <c r="H25" s="189">
        <v>2.2650000000000001</v>
      </c>
      <c r="I25" s="196">
        <v>48480</v>
      </c>
      <c r="J25" s="189">
        <v>11342</v>
      </c>
      <c r="K25" s="189">
        <v>2.13</v>
      </c>
      <c r="L25" s="196">
        <v>10400</v>
      </c>
      <c r="M25" s="189">
        <v>11219</v>
      </c>
      <c r="N25" s="189">
        <v>2.06</v>
      </c>
      <c r="O25" s="196">
        <v>10400</v>
      </c>
      <c r="P25" s="189">
        <v>11847</v>
      </c>
      <c r="Q25" s="189">
        <v>1.99</v>
      </c>
      <c r="R25" s="196">
        <v>9600</v>
      </c>
      <c r="S25" s="189">
        <v>79833</v>
      </c>
      <c r="T25" s="189">
        <v>2.6459999999999999</v>
      </c>
      <c r="U25" s="196">
        <v>75600</v>
      </c>
      <c r="V25" s="189">
        <v>76219</v>
      </c>
      <c r="W25" s="189">
        <v>2.306</v>
      </c>
      <c r="X25" s="196">
        <v>64200</v>
      </c>
      <c r="Y25" s="189">
        <v>18507</v>
      </c>
      <c r="Z25" s="189">
        <v>6.13</v>
      </c>
      <c r="AA25" s="196">
        <v>9280</v>
      </c>
      <c r="AB25" s="189">
        <v>12156</v>
      </c>
      <c r="AC25" s="189">
        <v>2.23</v>
      </c>
      <c r="AD25" s="196">
        <v>3040</v>
      </c>
      <c r="AE25" s="189">
        <v>97754</v>
      </c>
      <c r="AF25" s="189">
        <v>1.87</v>
      </c>
      <c r="AG25" s="196">
        <v>48200</v>
      </c>
      <c r="AH25" s="189">
        <v>18148</v>
      </c>
      <c r="AI25" s="189">
        <v>0.32</v>
      </c>
      <c r="AJ25" s="196">
        <v>1520</v>
      </c>
      <c r="AK25" s="200">
        <v>79660</v>
      </c>
      <c r="AL25" s="196">
        <v>422</v>
      </c>
      <c r="AM25" s="43">
        <f t="shared" si="17"/>
        <v>422</v>
      </c>
      <c r="AO25" s="43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80">
        <f t="shared" si="0"/>
        <v>44326</v>
      </c>
      <c r="AU25" s="189">
        <v>65407</v>
      </c>
      <c r="AV25" s="196">
        <v>7900</v>
      </c>
      <c r="AW25" s="189">
        <v>8373</v>
      </c>
      <c r="AX25" s="196">
        <v>2200</v>
      </c>
      <c r="AY25" s="190">
        <v>44844</v>
      </c>
      <c r="AZ25" s="199">
        <v>1020</v>
      </c>
      <c r="BA25" s="189">
        <v>1415</v>
      </c>
      <c r="BB25" s="196">
        <v>6120</v>
      </c>
      <c r="BC25" s="74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6">
        <f t="shared" si="2"/>
        <v>100122</v>
      </c>
      <c r="BW25" s="76">
        <f t="shared" si="3"/>
        <v>2904</v>
      </c>
      <c r="CF25" s="76">
        <f t="shared" si="4"/>
        <v>79833</v>
      </c>
      <c r="CO25" s="76">
        <f t="shared" si="5"/>
        <v>18148</v>
      </c>
      <c r="CX25" s="76">
        <f t="shared" si="6"/>
        <v>76219</v>
      </c>
      <c r="DG25" s="76">
        <f t="shared" si="7"/>
        <v>11219</v>
      </c>
      <c r="DP25" s="76">
        <f t="shared" si="8"/>
        <v>79833</v>
      </c>
      <c r="DY25" s="76">
        <f t="shared" si="9"/>
        <v>11847</v>
      </c>
      <c r="EH25" s="76">
        <f t="shared" si="10"/>
        <v>18507</v>
      </c>
      <c r="EQ25" s="76">
        <f t="shared" si="11"/>
        <v>12156</v>
      </c>
      <c r="EZ25" s="19">
        <f t="shared" si="12"/>
        <v>97754</v>
      </c>
      <c r="FI25" s="59"/>
      <c r="FN25" s="14"/>
      <c r="FP25" s="76">
        <f t="shared" si="13"/>
        <v>8373</v>
      </c>
      <c r="FY25" s="76">
        <f t="shared" si="14"/>
        <v>65407</v>
      </c>
      <c r="GH25" s="76">
        <f t="shared" si="15"/>
        <v>44844</v>
      </c>
      <c r="GN25" s="76">
        <f t="shared" si="16"/>
        <v>1415</v>
      </c>
      <c r="HA25" s="18"/>
    </row>
    <row r="26" spans="2:217" x14ac:dyDescent="0.25">
      <c r="B26" s="73">
        <v>44333</v>
      </c>
      <c r="C26" s="207">
        <f>SUM(Essbase!J139:J145)</f>
        <v>1522</v>
      </c>
      <c r="D26" s="189">
        <v>3148</v>
      </c>
      <c r="E26" s="189">
        <v>1.901</v>
      </c>
      <c r="F26" s="196">
        <v>39040</v>
      </c>
      <c r="G26" s="189">
        <v>100414</v>
      </c>
      <c r="H26" s="189">
        <v>2.2650000000000001</v>
      </c>
      <c r="I26" s="196">
        <v>46720</v>
      </c>
      <c r="J26" s="189">
        <v>11366</v>
      </c>
      <c r="K26" s="189">
        <v>2.13</v>
      </c>
      <c r="L26" s="196">
        <v>9600</v>
      </c>
      <c r="M26" s="189">
        <v>11241</v>
      </c>
      <c r="N26" s="189">
        <v>2.06</v>
      </c>
      <c r="O26" s="196">
        <v>8800</v>
      </c>
      <c r="P26" s="189">
        <v>11870</v>
      </c>
      <c r="Q26" s="189">
        <v>1.99</v>
      </c>
      <c r="R26" s="196">
        <v>9200</v>
      </c>
      <c r="S26" s="189">
        <v>80019</v>
      </c>
      <c r="T26" s="189">
        <v>2.6459999999999999</v>
      </c>
      <c r="U26" s="196">
        <v>55800</v>
      </c>
      <c r="V26" s="189">
        <v>76415</v>
      </c>
      <c r="W26" s="189">
        <v>2.306</v>
      </c>
      <c r="X26" s="196">
        <v>58800</v>
      </c>
      <c r="Y26" s="189">
        <v>18546</v>
      </c>
      <c r="Z26" s="189">
        <v>6.13</v>
      </c>
      <c r="AA26" s="196">
        <v>6240</v>
      </c>
      <c r="AB26" s="189">
        <v>12179</v>
      </c>
      <c r="AC26" s="189">
        <v>2.23</v>
      </c>
      <c r="AD26" s="196">
        <v>3680</v>
      </c>
      <c r="AE26" s="189">
        <v>97995</v>
      </c>
      <c r="AF26" s="189">
        <v>1.87</v>
      </c>
      <c r="AG26" s="196">
        <v>48200</v>
      </c>
      <c r="AH26" s="189">
        <v>18184</v>
      </c>
      <c r="AI26" s="189">
        <v>0.32</v>
      </c>
      <c r="AJ26" s="196">
        <v>1440</v>
      </c>
      <c r="AK26" s="200">
        <v>80100</v>
      </c>
      <c r="AL26" s="196">
        <v>440</v>
      </c>
      <c r="AM26" s="43">
        <f t="shared" si="17"/>
        <v>440</v>
      </c>
      <c r="AO26" s="43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80">
        <f t="shared" si="0"/>
        <v>44333</v>
      </c>
      <c r="AU26" s="189">
        <v>65612</v>
      </c>
      <c r="AV26" s="196">
        <v>20500</v>
      </c>
      <c r="AW26" s="189">
        <v>8390</v>
      </c>
      <c r="AX26" s="196">
        <v>1700</v>
      </c>
      <c r="AY26" s="190">
        <v>45602</v>
      </c>
      <c r="AZ26" s="199">
        <v>758</v>
      </c>
      <c r="BA26" s="189">
        <v>1537</v>
      </c>
      <c r="BB26" s="196">
        <v>4880</v>
      </c>
      <c r="BC26" s="74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6">
        <f t="shared" si="2"/>
        <v>100414</v>
      </c>
      <c r="BW26" s="76">
        <f t="shared" si="3"/>
        <v>3148</v>
      </c>
      <c r="CF26" s="76">
        <f t="shared" si="4"/>
        <v>80019</v>
      </c>
      <c r="CO26" s="76">
        <f t="shared" si="5"/>
        <v>18184</v>
      </c>
      <c r="CX26" s="76">
        <f t="shared" si="6"/>
        <v>76415</v>
      </c>
      <c r="DG26" s="76">
        <f t="shared" si="7"/>
        <v>11241</v>
      </c>
      <c r="DP26" s="76">
        <f t="shared" si="8"/>
        <v>80019</v>
      </c>
      <c r="DY26" s="76">
        <f t="shared" si="9"/>
        <v>11870</v>
      </c>
      <c r="EH26" s="76">
        <f t="shared" si="10"/>
        <v>18546</v>
      </c>
      <c r="EQ26" s="76">
        <f t="shared" si="11"/>
        <v>12179</v>
      </c>
      <c r="EZ26" s="19">
        <f t="shared" si="12"/>
        <v>97995</v>
      </c>
      <c r="FI26" s="59"/>
      <c r="FN26" s="14"/>
      <c r="FP26" s="76">
        <f t="shared" si="13"/>
        <v>8390</v>
      </c>
      <c r="FY26" s="76">
        <f t="shared" si="14"/>
        <v>65612</v>
      </c>
      <c r="GH26" s="76">
        <f t="shared" si="15"/>
        <v>45602</v>
      </c>
      <c r="GN26" s="76">
        <f t="shared" si="16"/>
        <v>1537</v>
      </c>
      <c r="HA26" s="18"/>
    </row>
    <row r="27" spans="2:217" x14ac:dyDescent="0.25">
      <c r="B27" s="73">
        <v>44340</v>
      </c>
      <c r="C27" s="207">
        <f>SUM(Essbase!J146:J152)</f>
        <v>1489</v>
      </c>
      <c r="D27" s="189">
        <v>3394</v>
      </c>
      <c r="E27" s="189">
        <v>1.93</v>
      </c>
      <c r="F27" s="196">
        <v>39360</v>
      </c>
      <c r="G27" s="189">
        <v>713</v>
      </c>
      <c r="H27" s="189">
        <v>2.1829999999999998</v>
      </c>
      <c r="I27" s="196">
        <v>47840</v>
      </c>
      <c r="J27" s="189">
        <v>11391</v>
      </c>
      <c r="K27" s="189">
        <v>2.09</v>
      </c>
      <c r="L27" s="196">
        <v>10000</v>
      </c>
      <c r="M27" s="189">
        <v>11266</v>
      </c>
      <c r="N27" s="189">
        <v>1.84</v>
      </c>
      <c r="O27" s="196">
        <v>10000</v>
      </c>
      <c r="P27" s="189">
        <v>11893</v>
      </c>
      <c r="Q27" s="189">
        <v>1.83</v>
      </c>
      <c r="R27" s="196">
        <v>9200</v>
      </c>
      <c r="S27" s="189">
        <v>80206</v>
      </c>
      <c r="T27" s="189">
        <v>1.774</v>
      </c>
      <c r="U27" s="196">
        <v>56100</v>
      </c>
      <c r="V27" s="189">
        <v>76614</v>
      </c>
      <c r="W27" s="189">
        <v>1.5109999999999999</v>
      </c>
      <c r="X27" s="196">
        <v>59700</v>
      </c>
      <c r="Y27" s="189">
        <v>18587</v>
      </c>
      <c r="Z27" s="189">
        <v>2.87</v>
      </c>
      <c r="AA27" s="196">
        <v>6560</v>
      </c>
      <c r="AB27" s="189">
        <v>12198</v>
      </c>
      <c r="AC27" s="189">
        <v>1.44</v>
      </c>
      <c r="AD27" s="196">
        <v>3040</v>
      </c>
      <c r="AE27" s="189">
        <v>98245</v>
      </c>
      <c r="AF27" s="189">
        <v>1.9890000000000001</v>
      </c>
      <c r="AG27" s="196">
        <v>50000</v>
      </c>
      <c r="AH27" s="189">
        <v>18220</v>
      </c>
      <c r="AI27" s="189">
        <v>0.28599999999999998</v>
      </c>
      <c r="AJ27" s="196">
        <v>1440</v>
      </c>
      <c r="AK27" s="200">
        <v>80494</v>
      </c>
      <c r="AL27" s="196">
        <v>394</v>
      </c>
      <c r="AM27" s="43">
        <f t="shared" si="17"/>
        <v>394</v>
      </c>
      <c r="AO27" s="43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80">
        <f t="shared" si="0"/>
        <v>44340</v>
      </c>
      <c r="AU27" s="189">
        <v>65752</v>
      </c>
      <c r="AV27" s="196">
        <v>14000</v>
      </c>
      <c r="AW27" s="189">
        <v>8408</v>
      </c>
      <c r="AX27" s="196">
        <v>1800</v>
      </c>
      <c r="AY27" s="190">
        <v>46495</v>
      </c>
      <c r="AZ27" s="199">
        <v>893</v>
      </c>
      <c r="BA27" s="189">
        <v>1683</v>
      </c>
      <c r="BB27" s="196">
        <v>5840</v>
      </c>
      <c r="BC27" s="74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6">
        <f t="shared" si="2"/>
        <v>713</v>
      </c>
      <c r="BW27" s="76">
        <f t="shared" si="3"/>
        <v>3394</v>
      </c>
      <c r="CF27" s="76">
        <f t="shared" si="4"/>
        <v>80206</v>
      </c>
      <c r="CO27" s="76">
        <f t="shared" si="5"/>
        <v>18220</v>
      </c>
      <c r="CX27" s="76">
        <f t="shared" si="6"/>
        <v>76614</v>
      </c>
      <c r="DG27" s="76">
        <f t="shared" si="7"/>
        <v>11266</v>
      </c>
      <c r="DP27" s="76">
        <f t="shared" si="8"/>
        <v>80206</v>
      </c>
      <c r="DY27" s="76">
        <f t="shared" si="9"/>
        <v>11893</v>
      </c>
      <c r="EH27" s="76">
        <f t="shared" si="10"/>
        <v>18587</v>
      </c>
      <c r="EQ27" s="76">
        <f t="shared" si="11"/>
        <v>12198</v>
      </c>
      <c r="EZ27" s="19">
        <f t="shared" si="12"/>
        <v>98245</v>
      </c>
      <c r="FI27" s="59"/>
      <c r="FN27" s="14"/>
      <c r="FP27" s="76">
        <f t="shared" si="13"/>
        <v>8408</v>
      </c>
      <c r="FY27" s="76">
        <f t="shared" si="14"/>
        <v>65752</v>
      </c>
      <c r="GH27" s="76">
        <f t="shared" si="15"/>
        <v>46495</v>
      </c>
      <c r="GN27" s="76">
        <f t="shared" si="16"/>
        <v>1683</v>
      </c>
      <c r="HA27" s="18"/>
    </row>
    <row r="28" spans="2:217" x14ac:dyDescent="0.25">
      <c r="B28" s="73">
        <v>44348</v>
      </c>
      <c r="C28" s="207">
        <f>SUM(Essbase!J153:J160)</f>
        <v>1860</v>
      </c>
      <c r="D28" s="189">
        <v>3638</v>
      </c>
      <c r="E28" s="189">
        <v>1.93</v>
      </c>
      <c r="F28" s="196">
        <v>39040</v>
      </c>
      <c r="G28" s="189">
        <v>1004</v>
      </c>
      <c r="H28" s="189">
        <v>2.1829999999999998</v>
      </c>
      <c r="I28" s="196">
        <v>46560</v>
      </c>
      <c r="J28" s="189">
        <v>11414</v>
      </c>
      <c r="K28" s="189">
        <v>2.09</v>
      </c>
      <c r="L28" s="196">
        <v>9200</v>
      </c>
      <c r="M28" s="189">
        <v>11288</v>
      </c>
      <c r="N28" s="189">
        <v>1.84</v>
      </c>
      <c r="O28" s="196">
        <v>8800</v>
      </c>
      <c r="P28" s="189">
        <v>11917</v>
      </c>
      <c r="Q28" s="189">
        <v>1.86</v>
      </c>
      <c r="R28" s="196">
        <v>9600</v>
      </c>
      <c r="S28" s="189">
        <v>80382</v>
      </c>
      <c r="T28" s="189">
        <v>1.774</v>
      </c>
      <c r="U28" s="196">
        <v>52800</v>
      </c>
      <c r="V28" s="189">
        <v>76814</v>
      </c>
      <c r="W28" s="189">
        <v>1.8560000000000001</v>
      </c>
      <c r="X28" s="196">
        <v>60000</v>
      </c>
      <c r="Y28" s="189">
        <v>18623</v>
      </c>
      <c r="Z28" s="189">
        <v>2.9</v>
      </c>
      <c r="AA28" s="196">
        <v>5760</v>
      </c>
      <c r="AB28" s="189">
        <v>12215</v>
      </c>
      <c r="AC28" s="189">
        <v>1.54</v>
      </c>
      <c r="AD28" s="196">
        <v>2720</v>
      </c>
      <c r="AE28" s="189">
        <v>98489</v>
      </c>
      <c r="AF28" s="189">
        <v>1.9890000000000001</v>
      </c>
      <c r="AG28" s="196">
        <v>48800</v>
      </c>
      <c r="AH28" s="189">
        <v>18255</v>
      </c>
      <c r="AI28" s="189">
        <v>0.29799999999999999</v>
      </c>
      <c r="AJ28" s="196">
        <v>1400</v>
      </c>
      <c r="AK28" s="200">
        <v>80911</v>
      </c>
      <c r="AL28" s="196">
        <v>417</v>
      </c>
      <c r="AM28" s="43">
        <f t="shared" si="17"/>
        <v>417</v>
      </c>
      <c r="AO28" s="43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80">
        <f t="shared" si="0"/>
        <v>44348</v>
      </c>
      <c r="AU28" s="189">
        <v>65902</v>
      </c>
      <c r="AV28" s="196">
        <v>15000</v>
      </c>
      <c r="AW28" s="189">
        <v>8427</v>
      </c>
      <c r="AX28" s="196">
        <v>1900</v>
      </c>
      <c r="AY28" s="190">
        <v>47386</v>
      </c>
      <c r="AZ28" s="199">
        <v>891</v>
      </c>
      <c r="BA28" s="189">
        <v>1832</v>
      </c>
      <c r="BB28" s="196">
        <v>5960</v>
      </c>
      <c r="BC28" s="74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76814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11288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98489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47386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30">(FJ28+GW28)</f>
        <v>2618</v>
      </c>
      <c r="HC28" s="93">
        <f t="shared" si="30"/>
        <v>741.42833680000012</v>
      </c>
      <c r="HD28" s="93">
        <f t="shared" si="30"/>
        <v>0</v>
      </c>
      <c r="HE28" s="93">
        <f t="shared" ref="HE28" si="31">(HC28+HD28)</f>
        <v>741.42833680000012</v>
      </c>
    </row>
    <row r="29" spans="2:217" x14ac:dyDescent="0.25">
      <c r="B29" s="73">
        <v>44354</v>
      </c>
      <c r="C29" s="207">
        <f>SUM(Essbase!J161:J166)</f>
        <v>1366</v>
      </c>
      <c r="D29" s="189">
        <v>3887</v>
      </c>
      <c r="E29" s="189">
        <v>1.9319999999999999</v>
      </c>
      <c r="F29" s="196">
        <v>39840</v>
      </c>
      <c r="G29" s="189">
        <v>1297</v>
      </c>
      <c r="H29" s="189">
        <v>2.1909999999999998</v>
      </c>
      <c r="I29" s="196">
        <v>46880</v>
      </c>
      <c r="J29" s="189">
        <v>11440</v>
      </c>
      <c r="K29" s="189">
        <v>2.09</v>
      </c>
      <c r="L29" s="196">
        <v>10400</v>
      </c>
      <c r="M29" s="189">
        <v>11311</v>
      </c>
      <c r="N29" s="189">
        <v>1.84</v>
      </c>
      <c r="O29" s="196">
        <v>9200</v>
      </c>
      <c r="P29" s="189">
        <v>11940</v>
      </c>
      <c r="Q29" s="189">
        <v>1.94</v>
      </c>
      <c r="R29" s="196">
        <v>9200</v>
      </c>
      <c r="S29" s="189">
        <v>80634</v>
      </c>
      <c r="T29" s="189">
        <v>2.778</v>
      </c>
      <c r="U29" s="196">
        <v>75600</v>
      </c>
      <c r="V29" s="189">
        <v>77062</v>
      </c>
      <c r="W29" s="189">
        <v>2.2109999999999999</v>
      </c>
      <c r="X29" s="196">
        <v>74400</v>
      </c>
      <c r="Y29" s="189">
        <v>18660</v>
      </c>
      <c r="Z29" s="189">
        <v>3.28</v>
      </c>
      <c r="AA29" s="196">
        <v>5920</v>
      </c>
      <c r="AB29" s="189">
        <v>12235</v>
      </c>
      <c r="AC29" s="189">
        <v>2.4900000000000002</v>
      </c>
      <c r="AD29" s="196">
        <v>3200</v>
      </c>
      <c r="AE29" s="189">
        <v>98737</v>
      </c>
      <c r="AF29" s="189">
        <v>2</v>
      </c>
      <c r="AG29" s="196">
        <v>49600</v>
      </c>
      <c r="AH29" s="189">
        <v>18290</v>
      </c>
      <c r="AI29" s="189">
        <v>0.3</v>
      </c>
      <c r="AJ29" s="196">
        <v>1400</v>
      </c>
      <c r="AK29" s="200">
        <v>81300</v>
      </c>
      <c r="AL29" s="196">
        <v>389</v>
      </c>
      <c r="AM29" s="43">
        <f t="shared" si="17"/>
        <v>389</v>
      </c>
      <c r="AO29" s="43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80">
        <f t="shared" si="0"/>
        <v>44354</v>
      </c>
      <c r="AU29" s="189">
        <v>66057</v>
      </c>
      <c r="AV29" s="196">
        <v>15500</v>
      </c>
      <c r="AW29" s="189">
        <v>8446</v>
      </c>
      <c r="AX29" s="196">
        <v>1900</v>
      </c>
      <c r="AY29" s="190">
        <v>48268</v>
      </c>
      <c r="AZ29" s="199">
        <v>882</v>
      </c>
      <c r="BA29" s="189">
        <v>1930</v>
      </c>
      <c r="BB29" s="196">
        <v>3920</v>
      </c>
      <c r="BC29" s="74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6">
        <f t="shared" si="2"/>
        <v>1297</v>
      </c>
      <c r="BW29" s="76">
        <f t="shared" si="3"/>
        <v>3887</v>
      </c>
      <c r="CF29" s="76">
        <f t="shared" si="4"/>
        <v>80634</v>
      </c>
      <c r="CO29" s="76">
        <f t="shared" si="5"/>
        <v>18290</v>
      </c>
      <c r="CX29" s="76">
        <f t="shared" si="6"/>
        <v>77062</v>
      </c>
      <c r="DG29" s="76">
        <f t="shared" si="7"/>
        <v>11311</v>
      </c>
      <c r="DP29" s="76">
        <f t="shared" si="8"/>
        <v>80634</v>
      </c>
      <c r="DY29" s="76">
        <f t="shared" si="9"/>
        <v>11940</v>
      </c>
      <c r="EH29" s="76">
        <f t="shared" si="10"/>
        <v>18660</v>
      </c>
      <c r="EQ29" s="76">
        <f t="shared" si="11"/>
        <v>12235</v>
      </c>
      <c r="EZ29" s="19">
        <f t="shared" si="12"/>
        <v>98737</v>
      </c>
      <c r="FI29" s="59"/>
      <c r="FN29" s="14"/>
      <c r="FP29" s="76">
        <f t="shared" si="13"/>
        <v>8446</v>
      </c>
      <c r="FY29" s="76">
        <f t="shared" si="14"/>
        <v>66057</v>
      </c>
      <c r="GH29" s="76">
        <f t="shared" si="15"/>
        <v>48268</v>
      </c>
      <c r="GN29" s="76">
        <f t="shared" si="16"/>
        <v>1930</v>
      </c>
      <c r="HA29" s="18"/>
    </row>
    <row r="30" spans="2:217" x14ac:dyDescent="0.25">
      <c r="B30" s="73">
        <v>44361</v>
      </c>
      <c r="C30" s="207">
        <f>SUM(Essbase!J167:J173)</f>
        <v>1810</v>
      </c>
      <c r="D30" s="189">
        <v>4137</v>
      </c>
      <c r="E30" s="189">
        <v>1.9319999999999999</v>
      </c>
      <c r="F30" s="196">
        <v>40000</v>
      </c>
      <c r="G30" s="189">
        <v>1601</v>
      </c>
      <c r="H30" s="189">
        <v>2.202</v>
      </c>
      <c r="I30" s="196">
        <v>48640</v>
      </c>
      <c r="J30" s="189">
        <v>11466</v>
      </c>
      <c r="K30" s="189">
        <v>2.09</v>
      </c>
      <c r="L30" s="196">
        <v>10400</v>
      </c>
      <c r="M30" s="189">
        <v>11336</v>
      </c>
      <c r="N30" s="189">
        <v>1.87</v>
      </c>
      <c r="O30" s="196">
        <v>10000</v>
      </c>
      <c r="P30" s="189">
        <v>11966</v>
      </c>
      <c r="Q30" s="189">
        <v>1.94</v>
      </c>
      <c r="R30" s="196">
        <v>10400</v>
      </c>
      <c r="S30" s="189">
        <v>80895</v>
      </c>
      <c r="T30" s="189">
        <v>2.778</v>
      </c>
      <c r="U30" s="196">
        <v>78300</v>
      </c>
      <c r="V30" s="189">
        <v>77318</v>
      </c>
      <c r="W30" s="189">
        <v>2.2109999999999999</v>
      </c>
      <c r="X30" s="196">
        <v>76800</v>
      </c>
      <c r="Y30" s="189">
        <v>18699</v>
      </c>
      <c r="Z30" s="189">
        <v>3.33</v>
      </c>
      <c r="AA30" s="196">
        <v>6240</v>
      </c>
      <c r="AB30" s="189">
        <v>12257</v>
      </c>
      <c r="AC30" s="189">
        <v>2.4900000000000002</v>
      </c>
      <c r="AD30" s="196">
        <v>3520</v>
      </c>
      <c r="AE30" s="189">
        <v>99002</v>
      </c>
      <c r="AF30" s="189">
        <v>2.0009999999999999</v>
      </c>
      <c r="AG30" s="196">
        <v>53000</v>
      </c>
      <c r="AH30" s="189">
        <v>18327</v>
      </c>
      <c r="AI30" s="189">
        <v>0.3</v>
      </c>
      <c r="AJ30" s="196">
        <v>1480</v>
      </c>
      <c r="AK30" s="200">
        <v>81749</v>
      </c>
      <c r="AL30" s="196">
        <v>449</v>
      </c>
      <c r="AM30" s="43">
        <f t="shared" si="17"/>
        <v>449</v>
      </c>
      <c r="AO30" s="43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80">
        <f t="shared" si="0"/>
        <v>44361</v>
      </c>
      <c r="AU30" s="189">
        <v>66271</v>
      </c>
      <c r="AV30" s="196">
        <v>21400</v>
      </c>
      <c r="AW30" s="189">
        <v>8458</v>
      </c>
      <c r="AX30" s="196">
        <v>1200</v>
      </c>
      <c r="AY30" s="190">
        <v>49162</v>
      </c>
      <c r="AZ30" s="199">
        <v>894</v>
      </c>
      <c r="BA30" s="189">
        <v>2022</v>
      </c>
      <c r="BB30" s="196">
        <v>3680</v>
      </c>
      <c r="BC30" s="74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6">
        <f t="shared" si="2"/>
        <v>1601</v>
      </c>
      <c r="BW30" s="76">
        <f t="shared" si="3"/>
        <v>4137</v>
      </c>
      <c r="CF30" s="76">
        <f t="shared" si="4"/>
        <v>80895</v>
      </c>
      <c r="CO30" s="76">
        <f t="shared" si="5"/>
        <v>18327</v>
      </c>
      <c r="CX30" s="76">
        <f t="shared" si="6"/>
        <v>77318</v>
      </c>
      <c r="DG30" s="76">
        <f t="shared" si="7"/>
        <v>11336</v>
      </c>
      <c r="DP30" s="76">
        <f t="shared" si="8"/>
        <v>80895</v>
      </c>
      <c r="DY30" s="76">
        <f t="shared" si="9"/>
        <v>11966</v>
      </c>
      <c r="EH30" s="76">
        <f t="shared" si="10"/>
        <v>18699</v>
      </c>
      <c r="EQ30" s="76">
        <f t="shared" si="11"/>
        <v>12257</v>
      </c>
      <c r="EZ30" s="19">
        <f t="shared" si="12"/>
        <v>99002</v>
      </c>
      <c r="FI30" s="59"/>
      <c r="FN30" s="14"/>
      <c r="FP30" s="76">
        <f t="shared" si="13"/>
        <v>8458</v>
      </c>
      <c r="FY30" s="76">
        <f t="shared" si="14"/>
        <v>66271</v>
      </c>
      <c r="GH30" s="76">
        <f t="shared" si="15"/>
        <v>49162</v>
      </c>
      <c r="GN30" s="76">
        <f t="shared" si="16"/>
        <v>2022</v>
      </c>
      <c r="HA30" s="18"/>
    </row>
    <row r="31" spans="2:217" x14ac:dyDescent="0.25">
      <c r="B31" s="73">
        <v>44368</v>
      </c>
      <c r="C31" s="207">
        <f>SUM(Essbase!J174:J180)</f>
        <v>1696</v>
      </c>
      <c r="D31" s="189">
        <v>4378</v>
      </c>
      <c r="E31" s="189">
        <v>1.9319999999999999</v>
      </c>
      <c r="F31" s="196">
        <v>38560</v>
      </c>
      <c r="G31" s="189">
        <v>1893</v>
      </c>
      <c r="H31" s="189">
        <v>2.222</v>
      </c>
      <c r="I31" s="196">
        <v>46720</v>
      </c>
      <c r="J31" s="189">
        <v>11497</v>
      </c>
      <c r="K31" s="189">
        <v>2.34</v>
      </c>
      <c r="L31" s="196">
        <v>12400</v>
      </c>
      <c r="M31" s="189">
        <v>11361</v>
      </c>
      <c r="N31" s="189">
        <v>2.02</v>
      </c>
      <c r="O31" s="196">
        <v>10000</v>
      </c>
      <c r="P31" s="189">
        <v>11992</v>
      </c>
      <c r="Q31" s="189">
        <v>2.14</v>
      </c>
      <c r="R31" s="196">
        <v>10400</v>
      </c>
      <c r="S31" s="189">
        <v>81139</v>
      </c>
      <c r="T31" s="189">
        <v>2.778</v>
      </c>
      <c r="U31" s="196">
        <v>73200</v>
      </c>
      <c r="V31" s="189">
        <v>77560</v>
      </c>
      <c r="W31" s="189">
        <v>2.2109999999999999</v>
      </c>
      <c r="X31" s="196">
        <v>72600</v>
      </c>
      <c r="Y31" s="189">
        <v>18734</v>
      </c>
      <c r="Z31" s="189">
        <v>3.33</v>
      </c>
      <c r="AA31" s="196">
        <v>5600</v>
      </c>
      <c r="AB31" s="189">
        <v>12277</v>
      </c>
      <c r="AC31" s="189">
        <v>2.4900000000000002</v>
      </c>
      <c r="AD31" s="196">
        <v>3200</v>
      </c>
      <c r="AE31" s="189">
        <v>99258</v>
      </c>
      <c r="AF31" s="189">
        <v>2.032</v>
      </c>
      <c r="AG31" s="196">
        <v>51200</v>
      </c>
      <c r="AH31" s="189">
        <v>18362</v>
      </c>
      <c r="AI31" s="189">
        <v>0.3</v>
      </c>
      <c r="AJ31" s="196">
        <v>1400</v>
      </c>
      <c r="AK31" s="200">
        <v>82201</v>
      </c>
      <c r="AL31" s="196">
        <v>452</v>
      </c>
      <c r="AM31" s="43">
        <f t="shared" si="17"/>
        <v>452</v>
      </c>
      <c r="AO31" s="43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80">
        <f t="shared" si="0"/>
        <v>44368</v>
      </c>
      <c r="AU31" s="189">
        <v>66392</v>
      </c>
      <c r="AV31" s="196">
        <v>12100</v>
      </c>
      <c r="AW31" s="189">
        <v>8489</v>
      </c>
      <c r="AX31" s="196">
        <v>3100</v>
      </c>
      <c r="AY31" s="190">
        <v>50064</v>
      </c>
      <c r="AZ31" s="199">
        <v>902</v>
      </c>
      <c r="BA31" s="189">
        <v>2044</v>
      </c>
      <c r="BB31" s="196">
        <v>880</v>
      </c>
      <c r="BC31" s="74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6">
        <f t="shared" si="2"/>
        <v>1893</v>
      </c>
      <c r="BW31" s="76">
        <f t="shared" si="3"/>
        <v>4378</v>
      </c>
      <c r="CF31" s="76">
        <f t="shared" si="4"/>
        <v>81139</v>
      </c>
      <c r="CO31" s="76">
        <f t="shared" si="5"/>
        <v>18362</v>
      </c>
      <c r="CX31" s="76">
        <f t="shared" si="6"/>
        <v>77560</v>
      </c>
      <c r="DG31" s="76">
        <f t="shared" si="7"/>
        <v>11361</v>
      </c>
      <c r="DP31" s="76">
        <f t="shared" si="8"/>
        <v>81139</v>
      </c>
      <c r="DY31" s="76">
        <f t="shared" si="9"/>
        <v>11992</v>
      </c>
      <c r="EH31" s="76">
        <f t="shared" si="10"/>
        <v>18734</v>
      </c>
      <c r="EQ31" s="76">
        <f t="shared" si="11"/>
        <v>12277</v>
      </c>
      <c r="EZ31" s="19">
        <f t="shared" si="12"/>
        <v>99258</v>
      </c>
      <c r="FI31" s="59"/>
      <c r="FN31" s="14"/>
      <c r="FP31" s="76">
        <f t="shared" si="13"/>
        <v>8489</v>
      </c>
      <c r="FY31" s="76">
        <f t="shared" si="14"/>
        <v>66392</v>
      </c>
      <c r="GH31" s="76">
        <f t="shared" si="15"/>
        <v>50064</v>
      </c>
      <c r="GN31" s="76">
        <f t="shared" si="16"/>
        <v>2044</v>
      </c>
      <c r="HA31" s="18"/>
    </row>
    <row r="32" spans="2:217" x14ac:dyDescent="0.25">
      <c r="B32" s="73">
        <v>44375</v>
      </c>
      <c r="C32" s="207">
        <f>SUM(Essbase!J181:J188)</f>
        <v>1626</v>
      </c>
      <c r="D32" s="189">
        <v>4635</v>
      </c>
      <c r="E32" s="189">
        <v>1.9330000000000001</v>
      </c>
      <c r="F32" s="196">
        <v>41120</v>
      </c>
      <c r="G32" s="189">
        <v>2192</v>
      </c>
      <c r="H32" s="189">
        <v>2.222</v>
      </c>
      <c r="I32" s="196">
        <v>47840</v>
      </c>
      <c r="J32" s="189">
        <v>11529</v>
      </c>
      <c r="K32" s="189">
        <v>2.67</v>
      </c>
      <c r="L32" s="196">
        <v>12800</v>
      </c>
      <c r="M32" s="189">
        <v>11387</v>
      </c>
      <c r="N32" s="189">
        <v>1.99</v>
      </c>
      <c r="O32" s="196">
        <v>10400</v>
      </c>
      <c r="P32" s="189">
        <v>12019</v>
      </c>
      <c r="Q32" s="189">
        <v>2.1800000000000002</v>
      </c>
      <c r="R32" s="196">
        <v>10800</v>
      </c>
      <c r="S32" s="189">
        <v>81399</v>
      </c>
      <c r="T32" s="189">
        <v>2.4910000000000001</v>
      </c>
      <c r="U32" s="196">
        <v>78000</v>
      </c>
      <c r="V32" s="189">
        <v>77796</v>
      </c>
      <c r="W32" s="189">
        <v>2.2290000000000001</v>
      </c>
      <c r="X32" s="196">
        <v>70800</v>
      </c>
      <c r="Y32" s="189">
        <v>18769</v>
      </c>
      <c r="Z32" s="189">
        <v>3.29</v>
      </c>
      <c r="AA32" s="196">
        <v>5600</v>
      </c>
      <c r="AB32" s="189">
        <v>12295</v>
      </c>
      <c r="AC32" s="189">
        <v>1.7</v>
      </c>
      <c r="AD32" s="196">
        <v>2880</v>
      </c>
      <c r="AE32" s="189">
        <v>99526</v>
      </c>
      <c r="AF32" s="189">
        <v>2.0270000000000001</v>
      </c>
      <c r="AG32" s="196">
        <v>53600</v>
      </c>
      <c r="AH32" s="189">
        <v>18398</v>
      </c>
      <c r="AI32" s="189">
        <v>0.29799999999999999</v>
      </c>
      <c r="AJ32" s="196">
        <v>1440</v>
      </c>
      <c r="AK32" s="200">
        <v>82619</v>
      </c>
      <c r="AL32" s="196">
        <v>418</v>
      </c>
      <c r="AM32" s="43">
        <f t="shared" si="17"/>
        <v>418</v>
      </c>
      <c r="AO32" s="43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80">
        <f t="shared" si="0"/>
        <v>44375</v>
      </c>
      <c r="AU32" s="189">
        <v>66596</v>
      </c>
      <c r="AV32" s="196">
        <v>20400</v>
      </c>
      <c r="AW32" s="189">
        <v>8508</v>
      </c>
      <c r="AX32" s="196">
        <v>1900</v>
      </c>
      <c r="AY32" s="190">
        <v>50947</v>
      </c>
      <c r="AZ32" s="199">
        <v>883</v>
      </c>
      <c r="BA32" s="189">
        <v>2070</v>
      </c>
      <c r="BB32" s="196">
        <v>1640</v>
      </c>
      <c r="BC32" s="74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6">
        <f t="shared" si="2"/>
        <v>2192</v>
      </c>
      <c r="BW32" s="76">
        <f t="shared" si="3"/>
        <v>4635</v>
      </c>
      <c r="CF32" s="76">
        <f t="shared" si="4"/>
        <v>81399</v>
      </c>
      <c r="CO32" s="76">
        <f t="shared" si="5"/>
        <v>18398</v>
      </c>
      <c r="CX32" s="76">
        <f t="shared" si="6"/>
        <v>77796</v>
      </c>
      <c r="DG32" s="76">
        <f t="shared" si="7"/>
        <v>11387</v>
      </c>
      <c r="DP32" s="76">
        <f t="shared" si="8"/>
        <v>81399</v>
      </c>
      <c r="DY32" s="76">
        <f t="shared" si="9"/>
        <v>12019</v>
      </c>
      <c r="EH32" s="76">
        <f t="shared" si="10"/>
        <v>18769</v>
      </c>
      <c r="EQ32" s="76">
        <f t="shared" si="11"/>
        <v>12295</v>
      </c>
      <c r="EZ32" s="19">
        <f t="shared" si="12"/>
        <v>99526</v>
      </c>
      <c r="FI32" s="59"/>
      <c r="FN32" s="14"/>
      <c r="FP32" s="76">
        <f t="shared" si="13"/>
        <v>8508</v>
      </c>
      <c r="FY32" s="76">
        <f t="shared" si="14"/>
        <v>66596</v>
      </c>
      <c r="GH32" s="76">
        <f t="shared" si="15"/>
        <v>50947</v>
      </c>
      <c r="GN32" s="76">
        <f t="shared" si="16"/>
        <v>2070</v>
      </c>
      <c r="HA32" s="18"/>
    </row>
    <row r="33" spans="2:213" x14ac:dyDescent="0.25">
      <c r="B33" s="73">
        <v>44378</v>
      </c>
      <c r="C33" s="207">
        <f>SUM(Essbase!J189:J190)</f>
        <v>360</v>
      </c>
      <c r="D33" s="189">
        <v>4887</v>
      </c>
      <c r="E33" s="189">
        <v>1.9330000000000001</v>
      </c>
      <c r="F33" s="196">
        <v>29120</v>
      </c>
      <c r="G33" s="189">
        <v>2492</v>
      </c>
      <c r="H33" s="189">
        <v>2.222</v>
      </c>
      <c r="I33" s="196">
        <v>34720</v>
      </c>
      <c r="J33" s="189">
        <v>11559</v>
      </c>
      <c r="K33" s="189">
        <v>2.67</v>
      </c>
      <c r="L33" s="196">
        <v>8400</v>
      </c>
      <c r="M33" s="189">
        <v>11414</v>
      </c>
      <c r="N33" s="189">
        <v>2.0499999999999998</v>
      </c>
      <c r="O33" s="196">
        <v>7600</v>
      </c>
      <c r="P33" s="189">
        <v>12045</v>
      </c>
      <c r="Q33" s="189">
        <v>2.1800000000000002</v>
      </c>
      <c r="R33" s="196">
        <v>7600</v>
      </c>
      <c r="S33" s="189">
        <v>81629</v>
      </c>
      <c r="T33" s="189">
        <v>2.8530000000000002</v>
      </c>
      <c r="U33" s="196">
        <v>49200</v>
      </c>
      <c r="V33" s="189">
        <v>78046</v>
      </c>
      <c r="W33" s="189">
        <v>2.2290000000000001</v>
      </c>
      <c r="X33" s="196">
        <v>52500</v>
      </c>
      <c r="Y33" s="189">
        <v>18806</v>
      </c>
      <c r="Z33" s="189">
        <v>3.29</v>
      </c>
      <c r="AA33" s="196">
        <v>4160</v>
      </c>
      <c r="AB33" s="189">
        <v>12314</v>
      </c>
      <c r="AC33" s="189">
        <v>1.7</v>
      </c>
      <c r="AD33" s="196">
        <v>2080</v>
      </c>
      <c r="AE33" s="189">
        <v>99782</v>
      </c>
      <c r="AF33" s="189">
        <v>2.0270000000000001</v>
      </c>
      <c r="AG33" s="196">
        <v>36200</v>
      </c>
      <c r="AH33" s="189">
        <v>18436</v>
      </c>
      <c r="AI33" s="189">
        <v>0.29799999999999999</v>
      </c>
      <c r="AJ33" s="196">
        <v>1080</v>
      </c>
      <c r="AK33" s="200">
        <v>83062</v>
      </c>
      <c r="AL33" s="196">
        <v>319</v>
      </c>
      <c r="AM33" s="43">
        <f t="shared" si="17"/>
        <v>443</v>
      </c>
      <c r="AO33" s="43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80">
        <f t="shared" si="0"/>
        <v>44378</v>
      </c>
      <c r="AU33" s="189">
        <v>66697</v>
      </c>
      <c r="AV33" s="196">
        <v>8600</v>
      </c>
      <c r="AW33" s="189">
        <v>8529</v>
      </c>
      <c r="AX33" s="196">
        <v>1200</v>
      </c>
      <c r="AY33" s="190">
        <v>51845</v>
      </c>
      <c r="AZ33" s="199">
        <v>514</v>
      </c>
      <c r="BA33" s="189">
        <v>2095</v>
      </c>
      <c r="BB33" s="196">
        <v>600</v>
      </c>
      <c r="BC33" s="74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78046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11414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99782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51845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32">(FJ33+GW33)</f>
        <v>0</v>
      </c>
      <c r="HC33" s="93">
        <f t="shared" si="32"/>
        <v>296.92440000000005</v>
      </c>
      <c r="HD33" s="93">
        <f t="shared" si="32"/>
        <v>0</v>
      </c>
      <c r="HE33" s="93">
        <f t="shared" ref="HE33" si="33">(HC33+HD33)</f>
        <v>296.92440000000005</v>
      </c>
    </row>
    <row r="34" spans="2:213" x14ac:dyDescent="0.25">
      <c r="B34" s="73">
        <v>44382</v>
      </c>
      <c r="C34" s="207">
        <f>SUM(Essbase!J191:J194)</f>
        <v>949</v>
      </c>
      <c r="D34" s="189">
        <v>4887</v>
      </c>
      <c r="E34" s="189">
        <v>1.9330000000000001</v>
      </c>
      <c r="F34" s="196">
        <v>29120</v>
      </c>
      <c r="G34" s="189">
        <v>2492</v>
      </c>
      <c r="H34" s="189">
        <v>2.222</v>
      </c>
      <c r="I34" s="196">
        <v>34720</v>
      </c>
      <c r="J34" s="189">
        <v>11559</v>
      </c>
      <c r="K34" s="189">
        <v>2.67</v>
      </c>
      <c r="L34" s="196">
        <v>8400</v>
      </c>
      <c r="M34" s="189">
        <v>11414</v>
      </c>
      <c r="N34" s="189">
        <v>2.0499999999999998</v>
      </c>
      <c r="O34" s="196">
        <v>7600</v>
      </c>
      <c r="P34" s="189">
        <v>12045</v>
      </c>
      <c r="Q34" s="189">
        <v>2.1800000000000002</v>
      </c>
      <c r="R34" s="196">
        <v>7600</v>
      </c>
      <c r="S34" s="189">
        <v>81629</v>
      </c>
      <c r="T34" s="189">
        <v>2.8530000000000002</v>
      </c>
      <c r="U34" s="196">
        <v>49200</v>
      </c>
      <c r="V34" s="189">
        <v>78046</v>
      </c>
      <c r="W34" s="189">
        <v>2.2290000000000001</v>
      </c>
      <c r="X34" s="196">
        <v>52500</v>
      </c>
      <c r="Y34" s="189">
        <v>18806</v>
      </c>
      <c r="Z34" s="189">
        <v>3.29</v>
      </c>
      <c r="AA34" s="196">
        <v>4160</v>
      </c>
      <c r="AB34" s="189">
        <v>12314</v>
      </c>
      <c r="AC34" s="189">
        <v>1.7</v>
      </c>
      <c r="AD34" s="196">
        <v>2080</v>
      </c>
      <c r="AE34" s="189">
        <v>99782</v>
      </c>
      <c r="AF34" s="189">
        <v>2.0270000000000001</v>
      </c>
      <c r="AG34" s="196">
        <v>36200</v>
      </c>
      <c r="AH34" s="189">
        <v>18436</v>
      </c>
      <c r="AI34" s="189">
        <v>0.29799999999999999</v>
      </c>
      <c r="AJ34" s="196">
        <v>1080</v>
      </c>
      <c r="AK34" s="200">
        <v>83062</v>
      </c>
      <c r="AL34" s="196">
        <v>319</v>
      </c>
      <c r="AM34" s="43">
        <f t="shared" si="17"/>
        <v>0</v>
      </c>
      <c r="AO34" s="43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80">
        <f t="shared" si="0"/>
        <v>44382</v>
      </c>
      <c r="AU34" s="189">
        <v>66697</v>
      </c>
      <c r="AV34" s="196">
        <v>8600</v>
      </c>
      <c r="AW34" s="189">
        <v>8529</v>
      </c>
      <c r="AX34" s="196">
        <v>1200</v>
      </c>
      <c r="AY34" s="190">
        <v>51845</v>
      </c>
      <c r="AZ34" s="199">
        <v>514</v>
      </c>
      <c r="BA34" s="189">
        <v>2095</v>
      </c>
      <c r="BB34" s="196">
        <v>600</v>
      </c>
      <c r="BC34" s="74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6">
        <f t="shared" si="2"/>
        <v>2492</v>
      </c>
      <c r="BW34" s="76">
        <f t="shared" si="3"/>
        <v>4887</v>
      </c>
      <c r="CF34" s="76">
        <f t="shared" si="4"/>
        <v>81629</v>
      </c>
      <c r="CO34" s="76">
        <f t="shared" si="5"/>
        <v>18436</v>
      </c>
      <c r="CX34" s="76">
        <f t="shared" si="6"/>
        <v>78046</v>
      </c>
      <c r="DG34" s="76">
        <f t="shared" si="7"/>
        <v>11414</v>
      </c>
      <c r="DP34" s="76">
        <f t="shared" si="8"/>
        <v>81629</v>
      </c>
      <c r="DY34" s="76">
        <f t="shared" si="9"/>
        <v>12045</v>
      </c>
      <c r="EH34" s="76">
        <f t="shared" si="10"/>
        <v>18806</v>
      </c>
      <c r="EQ34" s="76">
        <f t="shared" si="11"/>
        <v>12314</v>
      </c>
      <c r="EZ34" s="19">
        <f t="shared" si="12"/>
        <v>99782</v>
      </c>
      <c r="FI34" s="59"/>
      <c r="FN34" s="14"/>
      <c r="FP34" s="76">
        <f t="shared" si="13"/>
        <v>8529</v>
      </c>
      <c r="FY34" s="76">
        <f t="shared" si="14"/>
        <v>66697</v>
      </c>
      <c r="GH34" s="76">
        <f t="shared" si="15"/>
        <v>51845</v>
      </c>
      <c r="GN34" s="76">
        <f t="shared" si="16"/>
        <v>2095</v>
      </c>
      <c r="HA34" s="18"/>
    </row>
    <row r="35" spans="2:213" x14ac:dyDescent="0.25">
      <c r="B35" s="73">
        <v>44389</v>
      </c>
      <c r="C35" s="207">
        <f>SUM(Essbase!J195:J201)</f>
        <v>1562</v>
      </c>
      <c r="D35" s="189">
        <v>5138</v>
      </c>
      <c r="E35" s="189">
        <v>1.9470000000000001</v>
      </c>
      <c r="F35" s="196">
        <v>40160</v>
      </c>
      <c r="G35" s="189">
        <v>2788</v>
      </c>
      <c r="H35" s="189">
        <v>2.222</v>
      </c>
      <c r="I35" s="196">
        <v>47360</v>
      </c>
      <c r="J35" s="189">
        <v>11588</v>
      </c>
      <c r="K35" s="189">
        <v>2.67</v>
      </c>
      <c r="L35" s="196">
        <v>11600</v>
      </c>
      <c r="M35" s="189">
        <v>11439</v>
      </c>
      <c r="N35" s="189">
        <v>2.0499999999999998</v>
      </c>
      <c r="O35" s="196">
        <v>10000</v>
      </c>
      <c r="P35" s="189">
        <v>12071</v>
      </c>
      <c r="Q35" s="189">
        <v>2.1800000000000002</v>
      </c>
      <c r="R35" s="196">
        <v>10400</v>
      </c>
      <c r="S35" s="189">
        <v>81906</v>
      </c>
      <c r="T35" s="189">
        <v>3.0529999999999999</v>
      </c>
      <c r="U35" s="196">
        <v>83100</v>
      </c>
      <c r="V35" s="189">
        <v>78306</v>
      </c>
      <c r="W35" s="189">
        <v>2.298</v>
      </c>
      <c r="X35" s="196">
        <v>78000</v>
      </c>
      <c r="Y35" s="189">
        <v>18847</v>
      </c>
      <c r="Z35" s="189">
        <v>3.87</v>
      </c>
      <c r="AA35" s="196">
        <v>6560</v>
      </c>
      <c r="AB35" s="189">
        <v>12334</v>
      </c>
      <c r="AC35" s="189">
        <v>2.29</v>
      </c>
      <c r="AD35" s="196">
        <v>3200</v>
      </c>
      <c r="AE35" s="189">
        <v>100043</v>
      </c>
      <c r="AF35" s="189">
        <v>2.0760000000000001</v>
      </c>
      <c r="AG35" s="196">
        <v>52200</v>
      </c>
      <c r="AH35" s="189">
        <v>18472</v>
      </c>
      <c r="AI35" s="189">
        <v>0.30399999999999999</v>
      </c>
      <c r="AJ35" s="196">
        <v>1440</v>
      </c>
      <c r="AK35" s="200">
        <v>83501</v>
      </c>
      <c r="AL35" s="196">
        <v>439</v>
      </c>
      <c r="AM35" s="43">
        <f t="shared" si="17"/>
        <v>439</v>
      </c>
      <c r="AO35" s="43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80">
        <f t="shared" si="0"/>
        <v>44389</v>
      </c>
      <c r="AU35" s="189">
        <v>66854</v>
      </c>
      <c r="AV35" s="196">
        <v>15700</v>
      </c>
      <c r="AW35" s="189">
        <v>8549</v>
      </c>
      <c r="AX35" s="196">
        <v>2000</v>
      </c>
      <c r="AY35" s="190">
        <v>52782</v>
      </c>
      <c r="AZ35" s="199">
        <v>937</v>
      </c>
      <c r="BA35" s="189">
        <v>2132</v>
      </c>
      <c r="BB35" s="196">
        <v>1480</v>
      </c>
      <c r="BC35" s="74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6">
        <f t="shared" si="2"/>
        <v>2788</v>
      </c>
      <c r="BW35" s="76">
        <f t="shared" si="3"/>
        <v>5138</v>
      </c>
      <c r="CF35" s="76">
        <f t="shared" si="4"/>
        <v>81906</v>
      </c>
      <c r="CO35" s="76">
        <f t="shared" si="5"/>
        <v>18472</v>
      </c>
      <c r="CX35" s="76">
        <f t="shared" si="6"/>
        <v>78306</v>
      </c>
      <c r="DG35" s="76">
        <f t="shared" si="7"/>
        <v>11439</v>
      </c>
      <c r="DP35" s="76">
        <f t="shared" si="8"/>
        <v>81906</v>
      </c>
      <c r="DY35" s="76">
        <f t="shared" si="9"/>
        <v>12071</v>
      </c>
      <c r="EH35" s="76">
        <f t="shared" si="10"/>
        <v>18847</v>
      </c>
      <c r="EQ35" s="76">
        <f t="shared" si="11"/>
        <v>12334</v>
      </c>
      <c r="EZ35" s="19">
        <f t="shared" si="12"/>
        <v>100043</v>
      </c>
      <c r="FI35" s="59"/>
      <c r="FN35" s="14"/>
      <c r="FP35" s="76">
        <f t="shared" si="13"/>
        <v>8549</v>
      </c>
      <c r="FY35" s="76">
        <f t="shared" si="14"/>
        <v>66854</v>
      </c>
      <c r="GH35" s="76">
        <f t="shared" si="15"/>
        <v>52782</v>
      </c>
      <c r="GN35" s="76">
        <f t="shared" si="16"/>
        <v>2132</v>
      </c>
      <c r="HA35" s="18"/>
    </row>
    <row r="36" spans="2:213" x14ac:dyDescent="0.25">
      <c r="B36" s="73">
        <v>44396</v>
      </c>
      <c r="C36" s="207">
        <f>SUM(Essbase!J202:J208)</f>
        <v>1255</v>
      </c>
      <c r="D36" s="20"/>
      <c r="E36" s="20"/>
      <c r="F36" s="43">
        <f t="shared" ref="F34:F51" si="34">SUM(D36-D35)*160</f>
        <v>-822080</v>
      </c>
      <c r="G36" s="20"/>
      <c r="H36" s="20"/>
      <c r="I36" s="43">
        <f t="shared" ref="I34:I51" si="35">SUM(G36-G35)*160</f>
        <v>-446080</v>
      </c>
      <c r="J36" s="20"/>
      <c r="K36" s="20"/>
      <c r="L36" s="43">
        <f t="shared" ref="L34:L51" si="36">SUM(J36-J35)*400</f>
        <v>-4635200</v>
      </c>
      <c r="M36" s="20"/>
      <c r="N36" s="20"/>
      <c r="O36" s="43">
        <f t="shared" ref="O34:O51" si="37">SUM(M36-M35)*400</f>
        <v>-4575600</v>
      </c>
      <c r="P36" s="20"/>
      <c r="Q36" s="20"/>
      <c r="R36" s="43">
        <f t="shared" ref="R34:R51" si="38">SUM(P36-P35)*400</f>
        <v>-4828400</v>
      </c>
      <c r="S36" s="20"/>
      <c r="T36" s="20"/>
      <c r="U36" s="43">
        <f t="shared" ref="U34:U51" si="39">SUM(S36-S35)*300</f>
        <v>-24571800</v>
      </c>
      <c r="V36" s="20"/>
      <c r="W36" s="20"/>
      <c r="X36" s="43">
        <f t="shared" ref="X34:X51" si="40">SUM(V36-V35)*300</f>
        <v>-23491800</v>
      </c>
      <c r="Y36" s="20"/>
      <c r="Z36" s="20"/>
      <c r="AA36" s="43">
        <f t="shared" ref="AA34:AA51" si="41">SUM(Y36-Y35)*160</f>
        <v>-3015520</v>
      </c>
      <c r="AB36" s="20"/>
      <c r="AC36" s="20"/>
      <c r="AD36" s="43">
        <f t="shared" ref="AD34:AD51" si="42">SUM(AB36-AB35)*160</f>
        <v>-1973440</v>
      </c>
      <c r="AE36" s="20"/>
      <c r="AF36" s="20"/>
      <c r="AG36" s="43">
        <f t="shared" ref="AG34:AG51" si="43">SUM(AE36-AE35)*200</f>
        <v>-20008600</v>
      </c>
      <c r="AH36" s="20"/>
      <c r="AI36" s="20"/>
      <c r="AJ36" s="43">
        <f t="shared" ref="AJ34:AJ51" si="44">SUM(AH36-AH35)*40</f>
        <v>-738880</v>
      </c>
      <c r="AK36" s="304"/>
      <c r="AL36" s="304"/>
      <c r="AM36" s="43">
        <f t="shared" si="17"/>
        <v>-83501</v>
      </c>
      <c r="AO36" s="43">
        <f t="shared" si="18"/>
        <v>-89190901</v>
      </c>
      <c r="AP36" s="20">
        <f t="shared" si="19"/>
        <v>-20747480</v>
      </c>
      <c r="AQ36" s="20">
        <f t="shared" si="20"/>
        <v>0.23261879594646095</v>
      </c>
      <c r="AR36" s="20"/>
      <c r="AS36" s="14"/>
      <c r="AT36" s="80">
        <f t="shared" si="0"/>
        <v>44396</v>
      </c>
      <c r="AU36" s="20"/>
      <c r="AV36" s="43">
        <f t="shared" ref="AV34:AV51" si="45">SUM(AU36-AU35)*100</f>
        <v>-6685400</v>
      </c>
      <c r="AW36" s="20"/>
      <c r="AX36" s="43">
        <f t="shared" ref="AX34:AX51" si="46">SUM(AW36-AW35)*100</f>
        <v>-854900</v>
      </c>
      <c r="AY36" s="94"/>
      <c r="AZ36" s="95">
        <f t="shared" ref="AZ34:AZ51" si="47">SUM(AY36-AY35)</f>
        <v>-52782</v>
      </c>
      <c r="BA36" s="20"/>
      <c r="BB36" s="43">
        <f t="shared" ref="BB34:BB51" si="48">SUM(BA36-BA35)*40</f>
        <v>-85280</v>
      </c>
      <c r="BC36" s="74"/>
      <c r="BD36" s="25">
        <f t="shared" si="21"/>
        <v>-7678362</v>
      </c>
      <c r="BE36" s="20"/>
      <c r="BF36" s="20"/>
      <c r="BH36" s="14"/>
      <c r="BJ36" s="19">
        <f t="shared" si="1"/>
        <v>0</v>
      </c>
      <c r="BN36" s="76">
        <f t="shared" si="2"/>
        <v>0</v>
      </c>
      <c r="BW36" s="76">
        <f t="shared" si="3"/>
        <v>0</v>
      </c>
      <c r="CF36" s="76">
        <f t="shared" si="4"/>
        <v>0</v>
      </c>
      <c r="CO36" s="76">
        <f t="shared" si="5"/>
        <v>0</v>
      </c>
      <c r="CX36" s="76">
        <f t="shared" si="6"/>
        <v>0</v>
      </c>
      <c r="DG36" s="76">
        <f t="shared" si="7"/>
        <v>0</v>
      </c>
      <c r="DP36" s="76">
        <f t="shared" si="8"/>
        <v>0</v>
      </c>
      <c r="DY36" s="76">
        <f t="shared" si="9"/>
        <v>0</v>
      </c>
      <c r="EH36" s="76">
        <f t="shared" si="10"/>
        <v>0</v>
      </c>
      <c r="EQ36" s="76">
        <f t="shared" si="11"/>
        <v>0</v>
      </c>
      <c r="EZ36" s="19">
        <f t="shared" si="12"/>
        <v>0</v>
      </c>
      <c r="FI36" s="59"/>
      <c r="FN36" s="14"/>
      <c r="FP36" s="76">
        <f t="shared" si="13"/>
        <v>0</v>
      </c>
      <c r="FY36" s="76">
        <f t="shared" si="14"/>
        <v>0</v>
      </c>
      <c r="GH36" s="76">
        <f t="shared" si="15"/>
        <v>0</v>
      </c>
      <c r="GN36" s="76">
        <f t="shared" si="16"/>
        <v>0</v>
      </c>
      <c r="HA36" s="18"/>
    </row>
    <row r="37" spans="2:213" x14ac:dyDescent="0.25">
      <c r="B37" s="73">
        <v>44403</v>
      </c>
      <c r="C37" s="207">
        <f>SUM(Essbase!J209:J215)</f>
        <v>1202</v>
      </c>
      <c r="D37" s="20"/>
      <c r="E37" s="20"/>
      <c r="F37" s="43">
        <f t="shared" si="34"/>
        <v>0</v>
      </c>
      <c r="G37" s="20"/>
      <c r="H37" s="20"/>
      <c r="I37" s="43">
        <f t="shared" si="35"/>
        <v>0</v>
      </c>
      <c r="J37" s="20"/>
      <c r="K37" s="20"/>
      <c r="L37" s="43">
        <f t="shared" si="36"/>
        <v>0</v>
      </c>
      <c r="M37" s="20"/>
      <c r="N37" s="20"/>
      <c r="O37" s="43">
        <f t="shared" si="37"/>
        <v>0</v>
      </c>
      <c r="P37" s="20"/>
      <c r="Q37" s="20"/>
      <c r="R37" s="43">
        <f t="shared" si="38"/>
        <v>0</v>
      </c>
      <c r="S37" s="20"/>
      <c r="T37" s="20"/>
      <c r="U37" s="43">
        <f t="shared" si="39"/>
        <v>0</v>
      </c>
      <c r="V37" s="20"/>
      <c r="W37" s="20"/>
      <c r="X37" s="43">
        <f t="shared" si="40"/>
        <v>0</v>
      </c>
      <c r="Y37" s="20"/>
      <c r="Z37" s="20"/>
      <c r="AA37" s="43">
        <f t="shared" si="41"/>
        <v>0</v>
      </c>
      <c r="AB37" s="20"/>
      <c r="AC37" s="20"/>
      <c r="AD37" s="43">
        <f t="shared" si="42"/>
        <v>0</v>
      </c>
      <c r="AE37" s="20"/>
      <c r="AF37" s="20"/>
      <c r="AG37" s="43">
        <f t="shared" si="43"/>
        <v>0</v>
      </c>
      <c r="AH37" s="20"/>
      <c r="AI37" s="20"/>
      <c r="AJ37" s="43">
        <f t="shared" si="44"/>
        <v>0</v>
      </c>
      <c r="AK37" s="304"/>
      <c r="AL37" s="304"/>
      <c r="AM37" s="43">
        <f t="shared" si="17"/>
        <v>0</v>
      </c>
      <c r="AO37" s="43">
        <f t="shared" si="18"/>
        <v>0</v>
      </c>
      <c r="AP37" s="20">
        <f t="shared" si="19"/>
        <v>0</v>
      </c>
      <c r="AQ37" s="20" t="e">
        <f t="shared" si="20"/>
        <v>#DIV/0!</v>
      </c>
      <c r="AR37" s="20"/>
      <c r="AS37" s="14"/>
      <c r="AT37" s="80">
        <f t="shared" si="0"/>
        <v>44403</v>
      </c>
      <c r="AU37" s="20"/>
      <c r="AV37" s="43">
        <f t="shared" si="45"/>
        <v>0</v>
      </c>
      <c r="AW37" s="20"/>
      <c r="AX37" s="43">
        <f t="shared" si="46"/>
        <v>0</v>
      </c>
      <c r="AY37" s="94"/>
      <c r="AZ37" s="95">
        <f t="shared" si="47"/>
        <v>0</v>
      </c>
      <c r="BA37" s="20"/>
      <c r="BB37" s="43">
        <f t="shared" si="48"/>
        <v>0</v>
      </c>
      <c r="BC37" s="74"/>
      <c r="BD37" s="25">
        <f t="shared" si="21"/>
        <v>0</v>
      </c>
      <c r="BE37" s="20"/>
      <c r="BF37" s="20"/>
      <c r="BH37" s="14"/>
      <c r="BJ37" s="19">
        <f t="shared" si="1"/>
        <v>0</v>
      </c>
      <c r="BN37" s="76">
        <f t="shared" si="2"/>
        <v>0</v>
      </c>
      <c r="BW37" s="76">
        <f t="shared" si="3"/>
        <v>0</v>
      </c>
      <c r="CF37" s="76">
        <f t="shared" si="4"/>
        <v>0</v>
      </c>
      <c r="CO37" s="76">
        <f t="shared" si="5"/>
        <v>0</v>
      </c>
      <c r="CX37" s="76">
        <f t="shared" si="6"/>
        <v>0</v>
      </c>
      <c r="DG37" s="76">
        <f t="shared" si="7"/>
        <v>0</v>
      </c>
      <c r="DP37" s="76">
        <f t="shared" si="8"/>
        <v>0</v>
      </c>
      <c r="DY37" s="76">
        <f t="shared" si="9"/>
        <v>0</v>
      </c>
      <c r="EH37" s="76">
        <f t="shared" si="10"/>
        <v>0</v>
      </c>
      <c r="EQ37" s="76">
        <f t="shared" si="11"/>
        <v>0</v>
      </c>
      <c r="EZ37" s="19">
        <f t="shared" si="12"/>
        <v>0</v>
      </c>
      <c r="FI37" s="59"/>
      <c r="FN37" s="14"/>
      <c r="FP37" s="76">
        <f t="shared" si="13"/>
        <v>0</v>
      </c>
      <c r="FY37" s="76">
        <f t="shared" si="14"/>
        <v>0</v>
      </c>
      <c r="GH37" s="76">
        <f t="shared" si="15"/>
        <v>0</v>
      </c>
      <c r="GN37" s="76">
        <f t="shared" si="16"/>
        <v>0</v>
      </c>
      <c r="HA37" s="18"/>
    </row>
    <row r="38" spans="2:213" x14ac:dyDescent="0.25">
      <c r="B38" s="73">
        <v>44409</v>
      </c>
      <c r="C38" s="207">
        <f>SUM(Essbase!J216:J221)</f>
        <v>1147</v>
      </c>
      <c r="D38" s="20"/>
      <c r="E38" s="20"/>
      <c r="F38" s="43">
        <f t="shared" si="34"/>
        <v>0</v>
      </c>
      <c r="G38" s="20"/>
      <c r="H38" s="20"/>
      <c r="I38" s="43">
        <f t="shared" si="35"/>
        <v>0</v>
      </c>
      <c r="J38" s="20"/>
      <c r="K38" s="20"/>
      <c r="L38" s="43">
        <f t="shared" si="36"/>
        <v>0</v>
      </c>
      <c r="M38" s="20"/>
      <c r="N38" s="20"/>
      <c r="O38" s="43">
        <f t="shared" si="37"/>
        <v>0</v>
      </c>
      <c r="P38" s="20"/>
      <c r="Q38" s="20"/>
      <c r="R38" s="43">
        <f t="shared" si="38"/>
        <v>0</v>
      </c>
      <c r="S38" s="20"/>
      <c r="T38" s="20"/>
      <c r="U38" s="43">
        <f t="shared" si="39"/>
        <v>0</v>
      </c>
      <c r="V38" s="20"/>
      <c r="W38" s="20"/>
      <c r="X38" s="43">
        <f t="shared" si="40"/>
        <v>0</v>
      </c>
      <c r="Y38" s="20"/>
      <c r="Z38" s="20"/>
      <c r="AA38" s="43">
        <f t="shared" si="41"/>
        <v>0</v>
      </c>
      <c r="AB38" s="20"/>
      <c r="AC38" s="20"/>
      <c r="AD38" s="43">
        <f t="shared" si="42"/>
        <v>0</v>
      </c>
      <c r="AE38" s="20"/>
      <c r="AF38" s="20"/>
      <c r="AG38" s="43">
        <f t="shared" si="43"/>
        <v>0</v>
      </c>
      <c r="AH38" s="20"/>
      <c r="AI38" s="20"/>
      <c r="AJ38" s="43">
        <f t="shared" si="44"/>
        <v>0</v>
      </c>
      <c r="AK38" s="304"/>
      <c r="AL38" s="304"/>
      <c r="AM38" s="43">
        <f t="shared" si="17"/>
        <v>0</v>
      </c>
      <c r="AO38" s="43">
        <f t="shared" si="18"/>
        <v>0</v>
      </c>
      <c r="AP38" s="20">
        <f t="shared" si="19"/>
        <v>0</v>
      </c>
      <c r="AQ38" s="20" t="e">
        <f t="shared" si="20"/>
        <v>#DIV/0!</v>
      </c>
      <c r="AR38" s="20">
        <f>SUM(AO34:AO38)</f>
        <v>-88613782</v>
      </c>
      <c r="AS38" s="14"/>
      <c r="AT38" s="80">
        <f t="shared" si="0"/>
        <v>44409</v>
      </c>
      <c r="AU38" s="20"/>
      <c r="AV38" s="43">
        <f t="shared" si="45"/>
        <v>0</v>
      </c>
      <c r="AW38" s="20"/>
      <c r="AX38" s="43">
        <f t="shared" si="46"/>
        <v>0</v>
      </c>
      <c r="AY38" s="94"/>
      <c r="AZ38" s="95">
        <f t="shared" si="47"/>
        <v>0</v>
      </c>
      <c r="BA38" s="20"/>
      <c r="BB38" s="43">
        <f t="shared" si="48"/>
        <v>0</v>
      </c>
      <c r="BC38" s="74"/>
      <c r="BD38" s="25">
        <f t="shared" si="21"/>
        <v>0</v>
      </c>
      <c r="BE38" s="20">
        <f>SUM(BC34:BD38)</f>
        <v>-7647331</v>
      </c>
      <c r="BF38" s="20">
        <f>SUM(AR38+BE38)</f>
        <v>-96261113</v>
      </c>
      <c r="BH38" s="14"/>
      <c r="BJ38" s="19">
        <f t="shared" si="1"/>
        <v>0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0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0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0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0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0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0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0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0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0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0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0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0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0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49">(FJ38+GW38)</f>
        <v>0</v>
      </c>
      <c r="HC38" s="93">
        <f t="shared" si="49"/>
        <v>296.92440000000005</v>
      </c>
      <c r="HD38" s="93">
        <f t="shared" si="49"/>
        <v>0</v>
      </c>
      <c r="HE38" s="93">
        <f t="shared" ref="HE38" si="50">(HC38+HD38)</f>
        <v>296.92440000000005</v>
      </c>
    </row>
    <row r="39" spans="2:213" x14ac:dyDescent="0.25">
      <c r="B39" s="73">
        <v>44410</v>
      </c>
      <c r="C39" s="207">
        <f>SUM(Essbase!J222)</f>
        <v>221</v>
      </c>
      <c r="D39" s="20"/>
      <c r="E39" s="20"/>
      <c r="F39" s="43">
        <f t="shared" si="34"/>
        <v>0</v>
      </c>
      <c r="G39" s="20"/>
      <c r="H39" s="20"/>
      <c r="I39" s="43">
        <f t="shared" si="35"/>
        <v>0</v>
      </c>
      <c r="J39" s="20"/>
      <c r="K39" s="20"/>
      <c r="L39" s="43">
        <f t="shared" si="36"/>
        <v>0</v>
      </c>
      <c r="M39" s="20"/>
      <c r="N39" s="20"/>
      <c r="O39" s="43">
        <f t="shared" si="37"/>
        <v>0</v>
      </c>
      <c r="P39" s="20"/>
      <c r="Q39" s="20"/>
      <c r="R39" s="43">
        <f t="shared" si="38"/>
        <v>0</v>
      </c>
      <c r="S39" s="20"/>
      <c r="T39" s="20"/>
      <c r="U39" s="43">
        <f t="shared" si="39"/>
        <v>0</v>
      </c>
      <c r="V39" s="20"/>
      <c r="W39" s="20"/>
      <c r="X39" s="43">
        <f t="shared" si="40"/>
        <v>0</v>
      </c>
      <c r="Y39" s="20"/>
      <c r="Z39" s="20"/>
      <c r="AA39" s="43">
        <f t="shared" si="41"/>
        <v>0</v>
      </c>
      <c r="AB39" s="20"/>
      <c r="AC39" s="20"/>
      <c r="AD39" s="43">
        <f t="shared" si="42"/>
        <v>0</v>
      </c>
      <c r="AE39" s="20"/>
      <c r="AF39" s="20"/>
      <c r="AG39" s="43">
        <f t="shared" si="43"/>
        <v>0</v>
      </c>
      <c r="AH39" s="20"/>
      <c r="AI39" s="20"/>
      <c r="AJ39" s="43">
        <f t="shared" si="44"/>
        <v>0</v>
      </c>
      <c r="AK39" s="304"/>
      <c r="AL39" s="304"/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20"/>
      <c r="AV39" s="43">
        <f t="shared" si="45"/>
        <v>0</v>
      </c>
      <c r="AW39" s="20"/>
      <c r="AX39" s="43">
        <f t="shared" si="46"/>
        <v>0</v>
      </c>
      <c r="AY39" s="94"/>
      <c r="AZ39" s="95">
        <f t="shared" si="47"/>
        <v>0</v>
      </c>
      <c r="BA39" s="20"/>
      <c r="BB39" s="43">
        <f t="shared" si="48"/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0</v>
      </c>
      <c r="BN39" s="76">
        <f t="shared" si="2"/>
        <v>0</v>
      </c>
      <c r="BW39" s="76">
        <f t="shared" si="3"/>
        <v>0</v>
      </c>
      <c r="CF39" s="76">
        <f t="shared" si="4"/>
        <v>0</v>
      </c>
      <c r="CO39" s="76">
        <f t="shared" si="5"/>
        <v>0</v>
      </c>
      <c r="CX39" s="76">
        <f t="shared" si="6"/>
        <v>0</v>
      </c>
      <c r="DG39" s="76">
        <f t="shared" si="7"/>
        <v>0</v>
      </c>
      <c r="DP39" s="76">
        <f t="shared" si="8"/>
        <v>0</v>
      </c>
      <c r="DY39" s="76">
        <f t="shared" si="9"/>
        <v>0</v>
      </c>
      <c r="EH39" s="76">
        <f t="shared" si="10"/>
        <v>0</v>
      </c>
      <c r="EQ39" s="76">
        <f t="shared" si="11"/>
        <v>0</v>
      </c>
      <c r="EZ39" s="19">
        <f t="shared" si="12"/>
        <v>0</v>
      </c>
      <c r="FI39" s="59"/>
      <c r="FN39" s="14"/>
      <c r="FP39" s="76">
        <f t="shared" ref="FP39:FP44" si="51">SUM(AW39)</f>
        <v>0</v>
      </c>
      <c r="FY39" s="76">
        <f t="shared" si="14"/>
        <v>0</v>
      </c>
      <c r="GH39" s="76">
        <f t="shared" si="15"/>
        <v>0</v>
      </c>
      <c r="GN39" s="76">
        <f t="shared" si="16"/>
        <v>0</v>
      </c>
      <c r="HA39" s="18"/>
    </row>
    <row r="40" spans="2:213" x14ac:dyDescent="0.25">
      <c r="B40" s="73">
        <v>44417</v>
      </c>
      <c r="C40" s="207"/>
      <c r="D40" s="20"/>
      <c r="E40" s="20"/>
      <c r="F40" s="43">
        <f t="shared" si="34"/>
        <v>0</v>
      </c>
      <c r="G40" s="20"/>
      <c r="H40" s="20"/>
      <c r="I40" s="43">
        <f t="shared" si="35"/>
        <v>0</v>
      </c>
      <c r="J40" s="20"/>
      <c r="K40" s="20"/>
      <c r="L40" s="43">
        <f t="shared" si="36"/>
        <v>0</v>
      </c>
      <c r="M40" s="20"/>
      <c r="N40" s="20"/>
      <c r="O40" s="43">
        <f t="shared" si="37"/>
        <v>0</v>
      </c>
      <c r="P40" s="20"/>
      <c r="Q40" s="20"/>
      <c r="R40" s="43">
        <f t="shared" si="38"/>
        <v>0</v>
      </c>
      <c r="S40" s="20"/>
      <c r="T40" s="20"/>
      <c r="U40" s="43">
        <f t="shared" si="39"/>
        <v>0</v>
      </c>
      <c r="V40" s="20"/>
      <c r="W40" s="20"/>
      <c r="X40" s="43">
        <f t="shared" si="40"/>
        <v>0</v>
      </c>
      <c r="Y40" s="20"/>
      <c r="Z40" s="20"/>
      <c r="AA40" s="43">
        <f t="shared" si="41"/>
        <v>0</v>
      </c>
      <c r="AB40" s="20"/>
      <c r="AC40" s="20"/>
      <c r="AD40" s="43">
        <f t="shared" si="42"/>
        <v>0</v>
      </c>
      <c r="AE40" s="20"/>
      <c r="AF40" s="20"/>
      <c r="AG40" s="43">
        <f t="shared" si="43"/>
        <v>0</v>
      </c>
      <c r="AH40" s="20"/>
      <c r="AI40" s="20"/>
      <c r="AJ40" s="43">
        <f t="shared" si="44"/>
        <v>0</v>
      </c>
      <c r="AK40" s="304"/>
      <c r="AL40" s="304"/>
      <c r="AM40" s="43">
        <f t="shared" si="17"/>
        <v>0</v>
      </c>
      <c r="AO40" s="43">
        <f t="shared" si="18"/>
        <v>0</v>
      </c>
      <c r="AP40" s="20">
        <f t="shared" si="19"/>
        <v>0</v>
      </c>
      <c r="AQ40" s="20" t="e">
        <f t="shared" si="20"/>
        <v>#DIV/0!</v>
      </c>
      <c r="AR40" s="20"/>
      <c r="AS40" s="14"/>
      <c r="AT40" s="80">
        <f t="shared" si="0"/>
        <v>44417</v>
      </c>
      <c r="AU40" s="20"/>
      <c r="AV40" s="43">
        <f t="shared" si="45"/>
        <v>0</v>
      </c>
      <c r="AW40" s="20"/>
      <c r="AX40" s="43">
        <f t="shared" si="46"/>
        <v>0</v>
      </c>
      <c r="AY40" s="94"/>
      <c r="AZ40" s="95">
        <f t="shared" si="47"/>
        <v>0</v>
      </c>
      <c r="BA40" s="20"/>
      <c r="BB40" s="43">
        <f t="shared" si="48"/>
        <v>0</v>
      </c>
      <c r="BC40" s="74"/>
      <c r="BD40" s="25">
        <f t="shared" si="21"/>
        <v>0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51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25">
      <c r="B41" s="73">
        <v>44424</v>
      </c>
      <c r="C41" s="207"/>
      <c r="D41" s="20"/>
      <c r="E41" s="20"/>
      <c r="F41" s="43">
        <f t="shared" si="34"/>
        <v>0</v>
      </c>
      <c r="G41" s="20"/>
      <c r="H41" s="20"/>
      <c r="I41" s="43">
        <f t="shared" si="35"/>
        <v>0</v>
      </c>
      <c r="J41" s="20"/>
      <c r="K41" s="20"/>
      <c r="L41" s="43">
        <f t="shared" si="36"/>
        <v>0</v>
      </c>
      <c r="M41" s="20"/>
      <c r="N41" s="20"/>
      <c r="O41" s="43">
        <f t="shared" si="37"/>
        <v>0</v>
      </c>
      <c r="P41" s="20"/>
      <c r="Q41" s="20"/>
      <c r="R41" s="43">
        <f t="shared" si="38"/>
        <v>0</v>
      </c>
      <c r="S41" s="20"/>
      <c r="T41" s="20"/>
      <c r="U41" s="43">
        <f t="shared" si="39"/>
        <v>0</v>
      </c>
      <c r="V41" s="20"/>
      <c r="W41" s="20"/>
      <c r="X41" s="43">
        <f t="shared" si="40"/>
        <v>0</v>
      </c>
      <c r="Y41" s="20"/>
      <c r="Z41" s="20"/>
      <c r="AA41" s="43">
        <f t="shared" si="41"/>
        <v>0</v>
      </c>
      <c r="AB41" s="20"/>
      <c r="AC41" s="20"/>
      <c r="AD41" s="43">
        <f t="shared" si="42"/>
        <v>0</v>
      </c>
      <c r="AE41" s="20"/>
      <c r="AF41" s="20"/>
      <c r="AG41" s="43">
        <f t="shared" si="43"/>
        <v>0</v>
      </c>
      <c r="AH41" s="20"/>
      <c r="AI41" s="20"/>
      <c r="AJ41" s="43">
        <f t="shared" si="44"/>
        <v>0</v>
      </c>
      <c r="AK41" s="304"/>
      <c r="AL41" s="304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45"/>
        <v>0</v>
      </c>
      <c r="AW41" s="20"/>
      <c r="AX41" s="43">
        <f t="shared" si="46"/>
        <v>0</v>
      </c>
      <c r="AY41" s="94"/>
      <c r="AZ41" s="95">
        <f t="shared" si="47"/>
        <v>0</v>
      </c>
      <c r="BA41" s="20"/>
      <c r="BB41" s="43">
        <f t="shared" si="48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51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25">
      <c r="B42" s="73">
        <v>44431</v>
      </c>
      <c r="C42" s="207"/>
      <c r="D42" s="20"/>
      <c r="E42" s="20"/>
      <c r="F42" s="43">
        <f t="shared" si="34"/>
        <v>0</v>
      </c>
      <c r="G42" s="20"/>
      <c r="H42" s="20"/>
      <c r="I42" s="43">
        <f t="shared" si="35"/>
        <v>0</v>
      </c>
      <c r="J42" s="20"/>
      <c r="K42" s="20"/>
      <c r="L42" s="43">
        <f t="shared" si="36"/>
        <v>0</v>
      </c>
      <c r="M42" s="20"/>
      <c r="N42" s="20"/>
      <c r="O42" s="43">
        <f t="shared" si="37"/>
        <v>0</v>
      </c>
      <c r="P42" s="20"/>
      <c r="Q42" s="20"/>
      <c r="R42" s="43">
        <f t="shared" si="38"/>
        <v>0</v>
      </c>
      <c r="S42" s="20"/>
      <c r="T42" s="20"/>
      <c r="U42" s="43">
        <f t="shared" si="39"/>
        <v>0</v>
      </c>
      <c r="V42" s="20"/>
      <c r="W42" s="20"/>
      <c r="X42" s="43">
        <f t="shared" si="40"/>
        <v>0</v>
      </c>
      <c r="Y42" s="20"/>
      <c r="Z42" s="20"/>
      <c r="AA42" s="43">
        <f t="shared" si="41"/>
        <v>0</v>
      </c>
      <c r="AB42" s="20"/>
      <c r="AC42" s="20"/>
      <c r="AD42" s="43">
        <f t="shared" si="42"/>
        <v>0</v>
      </c>
      <c r="AE42" s="20"/>
      <c r="AF42" s="20"/>
      <c r="AG42" s="43">
        <f t="shared" si="43"/>
        <v>0</v>
      </c>
      <c r="AH42" s="20"/>
      <c r="AI42" s="20"/>
      <c r="AJ42" s="43">
        <f t="shared" si="44"/>
        <v>0</v>
      </c>
      <c r="AK42" s="304"/>
      <c r="AL42" s="304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45"/>
        <v>0</v>
      </c>
      <c r="AW42" s="20"/>
      <c r="AX42" s="43">
        <f t="shared" si="46"/>
        <v>0</v>
      </c>
      <c r="AY42" s="94"/>
      <c r="AZ42" s="95">
        <f t="shared" si="47"/>
        <v>0</v>
      </c>
      <c r="BA42" s="20"/>
      <c r="BB42" s="43">
        <f t="shared" si="48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51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44438</v>
      </c>
      <c r="C43" s="207"/>
      <c r="D43" s="20"/>
      <c r="E43" s="20"/>
      <c r="F43" s="43">
        <f t="shared" si="34"/>
        <v>0</v>
      </c>
      <c r="G43" s="20"/>
      <c r="H43" s="20"/>
      <c r="I43" s="43">
        <f t="shared" si="35"/>
        <v>0</v>
      </c>
      <c r="J43" s="20"/>
      <c r="K43" s="20"/>
      <c r="L43" s="43">
        <f t="shared" si="36"/>
        <v>0</v>
      </c>
      <c r="M43" s="20"/>
      <c r="N43" s="20"/>
      <c r="O43" s="43">
        <f t="shared" si="37"/>
        <v>0</v>
      </c>
      <c r="P43" s="20"/>
      <c r="Q43" s="20"/>
      <c r="R43" s="43">
        <f t="shared" si="38"/>
        <v>0</v>
      </c>
      <c r="S43" s="20"/>
      <c r="T43" s="20"/>
      <c r="U43" s="43">
        <f t="shared" si="39"/>
        <v>0</v>
      </c>
      <c r="V43" s="20"/>
      <c r="W43" s="20"/>
      <c r="X43" s="43">
        <f t="shared" si="40"/>
        <v>0</v>
      </c>
      <c r="Y43" s="20"/>
      <c r="Z43" s="20"/>
      <c r="AA43" s="43">
        <f t="shared" si="41"/>
        <v>0</v>
      </c>
      <c r="AB43" s="20"/>
      <c r="AC43" s="20"/>
      <c r="AD43" s="43">
        <f t="shared" si="42"/>
        <v>0</v>
      </c>
      <c r="AE43" s="20"/>
      <c r="AF43" s="20"/>
      <c r="AG43" s="43">
        <f t="shared" si="43"/>
        <v>0</v>
      </c>
      <c r="AH43" s="20"/>
      <c r="AI43" s="20"/>
      <c r="AJ43" s="43">
        <f t="shared" si="44"/>
        <v>0</v>
      </c>
      <c r="AK43" s="304"/>
      <c r="AL43" s="304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0</v>
      </c>
      <c r="AS43" s="14"/>
      <c r="AT43" s="80">
        <f t="shared" si="0"/>
        <v>44438</v>
      </c>
      <c r="AU43" s="20"/>
      <c r="AV43" s="43">
        <f t="shared" si="45"/>
        <v>0</v>
      </c>
      <c r="AW43" s="20"/>
      <c r="AX43" s="43">
        <f t="shared" si="46"/>
        <v>0</v>
      </c>
      <c r="AY43" s="94"/>
      <c r="AZ43" s="95">
        <f t="shared" si="47"/>
        <v>0</v>
      </c>
      <c r="BA43" s="20"/>
      <c r="BB43" s="43">
        <f t="shared" si="48"/>
        <v>0</v>
      </c>
      <c r="BC43" s="74"/>
      <c r="BD43" s="25">
        <f t="shared" si="21"/>
        <v>0</v>
      </c>
      <c r="BE43" s="20">
        <f>SUM(BC39:BD43)</f>
        <v>0</v>
      </c>
      <c r="BF43" s="20">
        <f>SUM(AR43+BE43)</f>
        <v>0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51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34"/>
        <v>0</v>
      </c>
      <c r="G44" s="20"/>
      <c r="H44" s="20"/>
      <c r="I44" s="43">
        <f t="shared" si="35"/>
        <v>0</v>
      </c>
      <c r="J44" s="20"/>
      <c r="K44" s="20"/>
      <c r="L44" s="43">
        <f t="shared" si="36"/>
        <v>0</v>
      </c>
      <c r="M44" s="20"/>
      <c r="N44" s="20"/>
      <c r="O44" s="43">
        <f t="shared" si="37"/>
        <v>0</v>
      </c>
      <c r="P44" s="20"/>
      <c r="Q44" s="20"/>
      <c r="R44" s="43">
        <f t="shared" si="38"/>
        <v>0</v>
      </c>
      <c r="S44" s="20"/>
      <c r="T44" s="20"/>
      <c r="U44" s="43">
        <f t="shared" si="39"/>
        <v>0</v>
      </c>
      <c r="V44" s="20"/>
      <c r="W44" s="20"/>
      <c r="X44" s="43">
        <f t="shared" si="40"/>
        <v>0</v>
      </c>
      <c r="Y44" s="20"/>
      <c r="Z44" s="20"/>
      <c r="AA44" s="43">
        <f t="shared" si="41"/>
        <v>0</v>
      </c>
      <c r="AB44" s="20"/>
      <c r="AC44" s="20"/>
      <c r="AD44" s="43">
        <f t="shared" si="42"/>
        <v>0</v>
      </c>
      <c r="AE44" s="20"/>
      <c r="AF44" s="20"/>
      <c r="AG44" s="43">
        <f t="shared" si="43"/>
        <v>0</v>
      </c>
      <c r="AH44" s="20"/>
      <c r="AI44" s="20"/>
      <c r="AJ44" s="43">
        <f t="shared" si="44"/>
        <v>0</v>
      </c>
      <c r="AK44" s="304"/>
      <c r="AL44" s="304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45"/>
        <v>0</v>
      </c>
      <c r="AW44" s="20"/>
      <c r="AX44" s="43">
        <f t="shared" si="46"/>
        <v>0</v>
      </c>
      <c r="AY44" s="94"/>
      <c r="AZ44" s="95">
        <f t="shared" si="47"/>
        <v>0</v>
      </c>
      <c r="BA44" s="20"/>
      <c r="BB44" s="43">
        <f t="shared" si="48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51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34"/>
        <v>0</v>
      </c>
      <c r="G45" s="189"/>
      <c r="H45" s="189"/>
      <c r="I45" s="43">
        <f t="shared" si="35"/>
        <v>0</v>
      </c>
      <c r="J45" s="189"/>
      <c r="K45" s="189"/>
      <c r="L45" s="43">
        <f t="shared" si="36"/>
        <v>0</v>
      </c>
      <c r="M45" s="189"/>
      <c r="N45" s="189"/>
      <c r="O45" s="43">
        <f t="shared" si="37"/>
        <v>0</v>
      </c>
      <c r="P45" s="189"/>
      <c r="Q45" s="189"/>
      <c r="R45" s="43">
        <f t="shared" si="38"/>
        <v>0</v>
      </c>
      <c r="S45" s="189"/>
      <c r="T45" s="189"/>
      <c r="U45" s="43">
        <f t="shared" si="39"/>
        <v>0</v>
      </c>
      <c r="V45" s="189"/>
      <c r="W45" s="189"/>
      <c r="X45" s="43">
        <f t="shared" si="40"/>
        <v>0</v>
      </c>
      <c r="Y45" s="189"/>
      <c r="Z45" s="189"/>
      <c r="AA45" s="43">
        <f t="shared" si="41"/>
        <v>0</v>
      </c>
      <c r="AB45" s="189"/>
      <c r="AC45" s="189"/>
      <c r="AD45" s="43">
        <f t="shared" si="42"/>
        <v>0</v>
      </c>
      <c r="AE45" s="189"/>
      <c r="AF45" s="189"/>
      <c r="AG45" s="43">
        <f t="shared" si="43"/>
        <v>0</v>
      </c>
      <c r="AH45" s="189"/>
      <c r="AI45" s="189"/>
      <c r="AJ45" s="43">
        <f t="shared" si="44"/>
        <v>0</v>
      </c>
      <c r="AK45" s="320"/>
      <c r="AL45" s="321"/>
      <c r="AM45" s="43">
        <f t="shared" ref="AM45:AM51" si="52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3">SUM(AP45/AO45)</f>
        <v>#DIV/0!</v>
      </c>
      <c r="AR45" s="20"/>
      <c r="AS45" s="14"/>
      <c r="AT45" s="73">
        <f>AT44+7</f>
        <v>44452</v>
      </c>
      <c r="AU45" s="189"/>
      <c r="AV45" s="43">
        <f t="shared" si="45"/>
        <v>0</v>
      </c>
      <c r="AW45" s="189"/>
      <c r="AX45" s="43">
        <f t="shared" si="46"/>
        <v>0</v>
      </c>
      <c r="AY45" s="190"/>
      <c r="AZ45" s="95">
        <f t="shared" si="47"/>
        <v>0</v>
      </c>
      <c r="BA45" s="189"/>
      <c r="BB45" s="43">
        <f t="shared" si="48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4">B45+7</f>
        <v>44459</v>
      </c>
      <c r="C46" s="207"/>
      <c r="D46" s="189"/>
      <c r="E46" s="189"/>
      <c r="F46" s="43">
        <f t="shared" si="34"/>
        <v>0</v>
      </c>
      <c r="G46" s="189"/>
      <c r="H46" s="189"/>
      <c r="I46" s="43">
        <f t="shared" si="35"/>
        <v>0</v>
      </c>
      <c r="J46" s="189"/>
      <c r="K46" s="189"/>
      <c r="L46" s="43">
        <f t="shared" si="36"/>
        <v>0</v>
      </c>
      <c r="M46" s="189"/>
      <c r="N46" s="189"/>
      <c r="O46" s="43">
        <f t="shared" si="37"/>
        <v>0</v>
      </c>
      <c r="P46" s="189"/>
      <c r="Q46" s="189"/>
      <c r="R46" s="43">
        <f t="shared" si="38"/>
        <v>0</v>
      </c>
      <c r="S46" s="189"/>
      <c r="T46" s="189"/>
      <c r="U46" s="43">
        <f t="shared" si="39"/>
        <v>0</v>
      </c>
      <c r="V46" s="189"/>
      <c r="W46" s="189"/>
      <c r="X46" s="43">
        <f t="shared" si="40"/>
        <v>0</v>
      </c>
      <c r="Y46" s="189"/>
      <c r="Z46" s="189"/>
      <c r="AA46" s="43">
        <f t="shared" si="41"/>
        <v>0</v>
      </c>
      <c r="AB46" s="189"/>
      <c r="AC46" s="189"/>
      <c r="AD46" s="43">
        <f t="shared" si="42"/>
        <v>0</v>
      </c>
      <c r="AE46" s="189"/>
      <c r="AF46" s="189"/>
      <c r="AG46" s="43">
        <f t="shared" si="43"/>
        <v>0</v>
      </c>
      <c r="AH46" s="189"/>
      <c r="AI46" s="189"/>
      <c r="AJ46" s="43">
        <f t="shared" si="44"/>
        <v>0</v>
      </c>
      <c r="AK46" s="320"/>
      <c r="AL46" s="321"/>
      <c r="AM46" s="43">
        <f t="shared" si="52"/>
        <v>0</v>
      </c>
      <c r="AO46" s="43">
        <f t="shared" si="18"/>
        <v>0</v>
      </c>
      <c r="AP46" s="20">
        <f t="shared" si="19"/>
        <v>0</v>
      </c>
      <c r="AQ46" s="20" t="e">
        <f t="shared" si="53"/>
        <v>#DIV/0!</v>
      </c>
      <c r="AR46" s="20"/>
      <c r="AS46" s="14"/>
      <c r="AT46" s="73">
        <f t="shared" ref="AT46:AT47" si="55">AT45+7</f>
        <v>44459</v>
      </c>
      <c r="AU46" s="189"/>
      <c r="AV46" s="43">
        <f t="shared" si="45"/>
        <v>0</v>
      </c>
      <c r="AW46" s="189"/>
      <c r="AX46" s="43">
        <f t="shared" si="46"/>
        <v>0</v>
      </c>
      <c r="AY46" s="190"/>
      <c r="AZ46" s="95">
        <f t="shared" si="47"/>
        <v>0</v>
      </c>
      <c r="BA46" s="189"/>
      <c r="BB46" s="43">
        <f t="shared" si="48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4"/>
        <v>44466</v>
      </c>
      <c r="C47" s="207"/>
      <c r="D47" s="189"/>
      <c r="E47" s="189"/>
      <c r="F47" s="43">
        <f t="shared" si="34"/>
        <v>0</v>
      </c>
      <c r="G47" s="189"/>
      <c r="H47" s="189"/>
      <c r="I47" s="43">
        <f t="shared" si="35"/>
        <v>0</v>
      </c>
      <c r="J47" s="189"/>
      <c r="K47" s="189"/>
      <c r="L47" s="43">
        <f t="shared" si="36"/>
        <v>0</v>
      </c>
      <c r="M47" s="189"/>
      <c r="N47" s="189"/>
      <c r="O47" s="43">
        <f t="shared" si="37"/>
        <v>0</v>
      </c>
      <c r="P47" s="189"/>
      <c r="Q47" s="189"/>
      <c r="R47" s="43">
        <f t="shared" si="38"/>
        <v>0</v>
      </c>
      <c r="S47" s="189"/>
      <c r="T47" s="189"/>
      <c r="U47" s="43">
        <f t="shared" si="39"/>
        <v>0</v>
      </c>
      <c r="V47" s="189"/>
      <c r="W47" s="189"/>
      <c r="X47" s="43">
        <f t="shared" si="40"/>
        <v>0</v>
      </c>
      <c r="Y47" s="189"/>
      <c r="Z47" s="189"/>
      <c r="AA47" s="43">
        <f t="shared" si="41"/>
        <v>0</v>
      </c>
      <c r="AB47" s="189"/>
      <c r="AC47" s="189"/>
      <c r="AD47" s="43">
        <f t="shared" si="42"/>
        <v>0</v>
      </c>
      <c r="AE47" s="189"/>
      <c r="AF47" s="189"/>
      <c r="AG47" s="43">
        <f t="shared" si="43"/>
        <v>0</v>
      </c>
      <c r="AH47" s="189"/>
      <c r="AI47" s="189"/>
      <c r="AJ47" s="43">
        <f t="shared" si="44"/>
        <v>0</v>
      </c>
      <c r="AK47" s="320"/>
      <c r="AL47" s="321"/>
      <c r="AM47" s="43">
        <f t="shared" si="52"/>
        <v>0</v>
      </c>
      <c r="AO47" s="43">
        <f t="shared" si="18"/>
        <v>0</v>
      </c>
      <c r="AP47" s="20">
        <f t="shared" si="19"/>
        <v>0</v>
      </c>
      <c r="AQ47" s="20" t="e">
        <f t="shared" si="53"/>
        <v>#DIV/0!</v>
      </c>
      <c r="AR47" s="20"/>
      <c r="AS47" s="14"/>
      <c r="AT47" s="73">
        <f t="shared" si="55"/>
        <v>44466</v>
      </c>
      <c r="AU47" s="189"/>
      <c r="AV47" s="43">
        <f t="shared" si="45"/>
        <v>0</v>
      </c>
      <c r="AW47" s="189"/>
      <c r="AX47" s="43">
        <f t="shared" si="46"/>
        <v>0</v>
      </c>
      <c r="AY47" s="190"/>
      <c r="AZ47" s="95">
        <f t="shared" si="47"/>
        <v>0</v>
      </c>
      <c r="BA47" s="189"/>
      <c r="BB47" s="43">
        <f t="shared" si="48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34"/>
        <v>0</v>
      </c>
      <c r="G48" s="189"/>
      <c r="H48" s="189"/>
      <c r="I48" s="43">
        <f t="shared" si="35"/>
        <v>0</v>
      </c>
      <c r="J48" s="189"/>
      <c r="K48" s="189"/>
      <c r="L48" s="43">
        <f t="shared" si="36"/>
        <v>0</v>
      </c>
      <c r="M48" s="189"/>
      <c r="N48" s="189"/>
      <c r="O48" s="43">
        <f t="shared" si="37"/>
        <v>0</v>
      </c>
      <c r="P48" s="189"/>
      <c r="Q48" s="189"/>
      <c r="R48" s="43">
        <f t="shared" si="38"/>
        <v>0</v>
      </c>
      <c r="S48" s="189"/>
      <c r="T48" s="189"/>
      <c r="U48" s="43">
        <f t="shared" si="39"/>
        <v>0</v>
      </c>
      <c r="V48" s="189"/>
      <c r="W48" s="189"/>
      <c r="X48" s="43">
        <f t="shared" si="40"/>
        <v>0</v>
      </c>
      <c r="Y48" s="189"/>
      <c r="Z48" s="189"/>
      <c r="AA48" s="43">
        <f t="shared" si="41"/>
        <v>0</v>
      </c>
      <c r="AB48" s="189"/>
      <c r="AC48" s="189"/>
      <c r="AD48" s="43">
        <f t="shared" si="42"/>
        <v>0</v>
      </c>
      <c r="AE48" s="189"/>
      <c r="AF48" s="189"/>
      <c r="AG48" s="43">
        <f t="shared" si="43"/>
        <v>0</v>
      </c>
      <c r="AH48" s="189"/>
      <c r="AI48" s="189"/>
      <c r="AJ48" s="43">
        <f t="shared" si="44"/>
        <v>0</v>
      </c>
      <c r="AK48" s="320"/>
      <c r="AL48" s="321"/>
      <c r="AM48" s="43">
        <f t="shared" si="52"/>
        <v>0</v>
      </c>
      <c r="AO48" s="43">
        <f t="shared" si="18"/>
        <v>0</v>
      </c>
      <c r="AP48" s="20">
        <f t="shared" si="19"/>
        <v>0</v>
      </c>
      <c r="AQ48" s="20" t="e">
        <f t="shared" si="53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45"/>
        <v>0</v>
      </c>
      <c r="AW48" s="189"/>
      <c r="AX48" s="43">
        <f t="shared" si="46"/>
        <v>0</v>
      </c>
      <c r="AY48" s="190"/>
      <c r="AZ48" s="95">
        <f t="shared" si="47"/>
        <v>0</v>
      </c>
      <c r="BA48" s="189"/>
      <c r="BB48" s="43">
        <f t="shared" si="48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34"/>
        <v>0</v>
      </c>
      <c r="G49" s="189"/>
      <c r="H49" s="189"/>
      <c r="I49" s="43">
        <f t="shared" si="35"/>
        <v>0</v>
      </c>
      <c r="J49" s="189"/>
      <c r="K49" s="189"/>
      <c r="L49" s="43">
        <f t="shared" si="36"/>
        <v>0</v>
      </c>
      <c r="M49" s="189"/>
      <c r="N49" s="189"/>
      <c r="O49" s="43">
        <f t="shared" si="37"/>
        <v>0</v>
      </c>
      <c r="P49" s="189"/>
      <c r="Q49" s="189"/>
      <c r="R49" s="43">
        <f t="shared" si="38"/>
        <v>0</v>
      </c>
      <c r="S49" s="189"/>
      <c r="T49" s="189"/>
      <c r="U49" s="43">
        <f t="shared" si="39"/>
        <v>0</v>
      </c>
      <c r="V49" s="189"/>
      <c r="W49" s="189"/>
      <c r="X49" s="43">
        <f t="shared" si="40"/>
        <v>0</v>
      </c>
      <c r="Y49" s="189"/>
      <c r="Z49" s="189"/>
      <c r="AA49" s="43">
        <f t="shared" si="41"/>
        <v>0</v>
      </c>
      <c r="AB49" s="189"/>
      <c r="AC49" s="189"/>
      <c r="AD49" s="43">
        <f t="shared" si="42"/>
        <v>0</v>
      </c>
      <c r="AE49" s="189"/>
      <c r="AF49" s="189"/>
      <c r="AG49" s="43">
        <f t="shared" si="43"/>
        <v>0</v>
      </c>
      <c r="AH49" s="189"/>
      <c r="AI49" s="189"/>
      <c r="AJ49" s="43">
        <f t="shared" si="44"/>
        <v>0</v>
      </c>
      <c r="AK49" s="320"/>
      <c r="AL49" s="321"/>
      <c r="AM49" s="43">
        <f t="shared" si="52"/>
        <v>0</v>
      </c>
      <c r="AO49" s="43">
        <f t="shared" si="18"/>
        <v>0</v>
      </c>
      <c r="AP49" s="20">
        <f t="shared" si="19"/>
        <v>0</v>
      </c>
      <c r="AQ49" s="20" t="e">
        <f t="shared" si="53"/>
        <v>#DIV/0!</v>
      </c>
      <c r="AR49" s="20"/>
      <c r="AS49" s="14"/>
      <c r="AT49" s="73">
        <v>44474</v>
      </c>
      <c r="AU49" s="189"/>
      <c r="AV49" s="43">
        <f t="shared" si="45"/>
        <v>0</v>
      </c>
      <c r="AW49" s="189"/>
      <c r="AX49" s="43">
        <f t="shared" si="46"/>
        <v>0</v>
      </c>
      <c r="AY49" s="190"/>
      <c r="AZ49" s="95">
        <f t="shared" si="47"/>
        <v>0</v>
      </c>
      <c r="BA49" s="189"/>
      <c r="BB49" s="43">
        <f t="shared" si="48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34"/>
        <v>0</v>
      </c>
      <c r="G50" s="189"/>
      <c r="H50" s="189"/>
      <c r="I50" s="43">
        <f t="shared" si="35"/>
        <v>0</v>
      </c>
      <c r="J50" s="189"/>
      <c r="K50" s="189"/>
      <c r="L50" s="43">
        <f t="shared" si="36"/>
        <v>0</v>
      </c>
      <c r="M50" s="189"/>
      <c r="N50" s="189"/>
      <c r="O50" s="43">
        <f t="shared" si="37"/>
        <v>0</v>
      </c>
      <c r="P50" s="189"/>
      <c r="Q50" s="189"/>
      <c r="R50" s="43">
        <f t="shared" si="38"/>
        <v>0</v>
      </c>
      <c r="S50" s="189"/>
      <c r="T50" s="189"/>
      <c r="U50" s="43">
        <f t="shared" si="39"/>
        <v>0</v>
      </c>
      <c r="V50" s="189"/>
      <c r="W50" s="189"/>
      <c r="X50" s="43">
        <f t="shared" si="40"/>
        <v>0</v>
      </c>
      <c r="Y50" s="189"/>
      <c r="Z50" s="189"/>
      <c r="AA50" s="43">
        <f t="shared" si="41"/>
        <v>0</v>
      </c>
      <c r="AB50" s="189"/>
      <c r="AC50" s="189"/>
      <c r="AD50" s="43">
        <f t="shared" si="42"/>
        <v>0</v>
      </c>
      <c r="AE50" s="189"/>
      <c r="AF50" s="189"/>
      <c r="AG50" s="43">
        <f t="shared" si="43"/>
        <v>0</v>
      </c>
      <c r="AH50" s="189"/>
      <c r="AI50" s="189"/>
      <c r="AJ50" s="43">
        <f t="shared" si="44"/>
        <v>0</v>
      </c>
      <c r="AK50" s="320"/>
      <c r="AL50" s="321"/>
      <c r="AM50" s="43">
        <f t="shared" si="52"/>
        <v>0</v>
      </c>
      <c r="AO50" s="43">
        <f t="shared" si="18"/>
        <v>0</v>
      </c>
      <c r="AP50" s="20">
        <f t="shared" si="19"/>
        <v>0</v>
      </c>
      <c r="AQ50" s="20" t="e">
        <f t="shared" si="53"/>
        <v>#DIV/0!</v>
      </c>
      <c r="AR50" s="20"/>
      <c r="AS50" s="14"/>
      <c r="AT50" s="73">
        <f>AT49+7</f>
        <v>44481</v>
      </c>
      <c r="AU50" s="189"/>
      <c r="AV50" s="43">
        <f t="shared" si="45"/>
        <v>0</v>
      </c>
      <c r="AW50" s="189"/>
      <c r="AX50" s="43">
        <f t="shared" si="46"/>
        <v>0</v>
      </c>
      <c r="AY50" s="190"/>
      <c r="AZ50" s="95">
        <f t="shared" si="47"/>
        <v>0</v>
      </c>
      <c r="BA50" s="189"/>
      <c r="BB50" s="43">
        <f t="shared" si="48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56">B50+7</f>
        <v>44487</v>
      </c>
      <c r="C51" s="207"/>
      <c r="D51" s="189"/>
      <c r="E51" s="189"/>
      <c r="F51" s="43">
        <f t="shared" si="34"/>
        <v>0</v>
      </c>
      <c r="G51" s="189"/>
      <c r="H51" s="189"/>
      <c r="I51" s="43">
        <f t="shared" si="35"/>
        <v>0</v>
      </c>
      <c r="J51" s="189"/>
      <c r="K51" s="189"/>
      <c r="L51" s="43">
        <f t="shared" si="36"/>
        <v>0</v>
      </c>
      <c r="M51" s="189"/>
      <c r="N51" s="189"/>
      <c r="O51" s="43">
        <f t="shared" si="37"/>
        <v>0</v>
      </c>
      <c r="P51" s="189"/>
      <c r="Q51" s="189"/>
      <c r="R51" s="43">
        <f t="shared" si="38"/>
        <v>0</v>
      </c>
      <c r="S51" s="189"/>
      <c r="T51" s="189"/>
      <c r="U51" s="43">
        <f t="shared" si="39"/>
        <v>0</v>
      </c>
      <c r="V51" s="189"/>
      <c r="W51" s="189"/>
      <c r="X51" s="43">
        <f t="shared" si="40"/>
        <v>0</v>
      </c>
      <c r="Y51" s="189"/>
      <c r="Z51" s="189"/>
      <c r="AA51" s="43">
        <f t="shared" si="41"/>
        <v>0</v>
      </c>
      <c r="AB51" s="189"/>
      <c r="AC51" s="189"/>
      <c r="AD51" s="43">
        <f t="shared" si="42"/>
        <v>0</v>
      </c>
      <c r="AE51" s="189"/>
      <c r="AF51" s="189"/>
      <c r="AG51" s="43">
        <f t="shared" si="43"/>
        <v>0</v>
      </c>
      <c r="AH51" s="189"/>
      <c r="AI51" s="189"/>
      <c r="AJ51" s="43">
        <f t="shared" si="44"/>
        <v>0</v>
      </c>
      <c r="AK51" s="320"/>
      <c r="AL51" s="321"/>
      <c r="AM51" s="43">
        <f t="shared" si="52"/>
        <v>0</v>
      </c>
      <c r="AO51" s="43">
        <f t="shared" si="18"/>
        <v>0</v>
      </c>
      <c r="AP51" s="20">
        <f t="shared" si="19"/>
        <v>0</v>
      </c>
      <c r="AQ51" s="20" t="e">
        <f t="shared" si="53"/>
        <v>#DIV/0!</v>
      </c>
      <c r="AR51" s="20"/>
      <c r="AS51" s="14"/>
      <c r="AT51" s="73">
        <f t="shared" ref="AT51:AT52" si="57">AT50+7</f>
        <v>44488</v>
      </c>
      <c r="AU51" s="189"/>
      <c r="AV51" s="43">
        <f t="shared" si="45"/>
        <v>0</v>
      </c>
      <c r="AW51" s="189"/>
      <c r="AX51" s="43">
        <f t="shared" si="46"/>
        <v>0</v>
      </c>
      <c r="AY51" s="190"/>
      <c r="AZ51" s="95">
        <f t="shared" si="47"/>
        <v>0</v>
      </c>
      <c r="BA51" s="189"/>
      <c r="BB51" s="43">
        <f t="shared" si="48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56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04"/>
      <c r="AL52" s="304"/>
      <c r="AM52" s="43"/>
      <c r="AO52" s="43"/>
      <c r="AP52" s="20"/>
      <c r="AQ52" s="20"/>
      <c r="AR52" s="20"/>
      <c r="AS52" s="14"/>
      <c r="AT52" s="73">
        <f t="shared" si="57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04"/>
      <c r="AL53" s="304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04"/>
      <c r="AL54" s="304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04"/>
      <c r="AL55" s="304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58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04"/>
      <c r="AL56" s="304"/>
      <c r="AM56" s="43"/>
      <c r="AO56" s="43"/>
      <c r="AP56" s="20"/>
      <c r="AQ56" s="20"/>
      <c r="AR56" s="20"/>
      <c r="AS56" s="14"/>
      <c r="AT56" s="73">
        <f t="shared" ref="AT56:AT58" si="59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58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04"/>
      <c r="AL57" s="304"/>
      <c r="AM57" s="43"/>
      <c r="AO57" s="43"/>
      <c r="AP57" s="20"/>
      <c r="AQ57" s="20"/>
      <c r="AR57" s="20"/>
      <c r="AS57" s="14"/>
      <c r="AT57" s="73">
        <f t="shared" si="59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58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04"/>
      <c r="AL58" s="304"/>
      <c r="AM58" s="43"/>
      <c r="AO58" s="43"/>
      <c r="AP58" s="20"/>
      <c r="AQ58" s="20"/>
      <c r="AR58" s="20"/>
      <c r="AS58" s="14"/>
      <c r="AT58" s="73">
        <f t="shared" si="59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04"/>
      <c r="AL59" s="304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04"/>
      <c r="AL60" s="304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04"/>
      <c r="AL61" s="304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0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04"/>
      <c r="AL62" s="304"/>
      <c r="AM62" s="43"/>
      <c r="AO62" s="43"/>
      <c r="AP62" s="20"/>
      <c r="AQ62" s="20"/>
      <c r="AR62" s="20"/>
      <c r="AS62" s="14"/>
      <c r="AT62" s="73">
        <f t="shared" ref="AT62:AT63" si="61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0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04"/>
      <c r="AL63" s="304"/>
      <c r="AM63" s="43"/>
      <c r="AO63" s="43"/>
      <c r="AP63" s="20"/>
      <c r="AQ63" s="20"/>
      <c r="AR63" s="20"/>
      <c r="AS63" s="14"/>
      <c r="AT63" s="73">
        <f t="shared" si="61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04"/>
      <c r="AL64" s="304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64">
    <mergeCell ref="AK40:AL40"/>
    <mergeCell ref="AK41:AL41"/>
    <mergeCell ref="AK42:AL42"/>
    <mergeCell ref="AK43:AL43"/>
    <mergeCell ref="AK44:AL44"/>
    <mergeCell ref="AK39:AL39"/>
    <mergeCell ref="AK36:AL36"/>
    <mergeCell ref="AK37:AL37"/>
    <mergeCell ref="AK38:AL38"/>
    <mergeCell ref="FY1:GG1"/>
    <mergeCell ref="GH1:GM1"/>
    <mergeCell ref="AK3:AL3"/>
    <mergeCell ref="AK1:AM1"/>
    <mergeCell ref="AU1:AV1"/>
    <mergeCell ref="AW1:AX1"/>
    <mergeCell ref="AY1:AZ1"/>
    <mergeCell ref="BA1:BB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Q1" zoomScale="85" zoomScaleNormal="85" workbookViewId="0">
      <selection activeCell="AS34" sqref="AS34:BF3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34">
        <v>74860172</v>
      </c>
      <c r="D1" s="335"/>
      <c r="E1" s="336"/>
      <c r="F1" s="334">
        <v>74860173</v>
      </c>
      <c r="G1" s="335"/>
      <c r="H1" s="336"/>
      <c r="I1" s="334">
        <v>44553004</v>
      </c>
      <c r="J1" s="335"/>
      <c r="K1" s="336"/>
      <c r="L1" s="334">
        <v>70275191</v>
      </c>
      <c r="M1" s="335"/>
      <c r="N1" s="336"/>
      <c r="O1" s="334">
        <v>2130521</v>
      </c>
      <c r="P1" s="335"/>
      <c r="Q1" s="336"/>
      <c r="R1" s="17"/>
      <c r="S1" s="337" t="s">
        <v>166</v>
      </c>
      <c r="T1" s="335"/>
      <c r="U1" s="336"/>
      <c r="V1" s="329">
        <v>93477704</v>
      </c>
      <c r="W1" s="330"/>
      <c r="X1" s="331"/>
      <c r="Y1" s="28" t="s">
        <v>405</v>
      </c>
      <c r="Z1" s="17"/>
      <c r="AA1" s="332">
        <v>79177804</v>
      </c>
      <c r="AB1" s="333"/>
      <c r="AC1" s="332">
        <v>79305675</v>
      </c>
      <c r="AD1" s="333"/>
      <c r="AE1" s="332">
        <v>79190041</v>
      </c>
      <c r="AF1" s="333"/>
      <c r="AG1" s="332" t="s">
        <v>49</v>
      </c>
      <c r="AH1" s="333"/>
      <c r="AI1" s="332">
        <v>79190039</v>
      </c>
      <c r="AJ1" s="333"/>
      <c r="AK1" s="332">
        <v>79324776</v>
      </c>
      <c r="AL1" s="333"/>
      <c r="AM1" s="332" t="s">
        <v>160</v>
      </c>
      <c r="AN1" s="333"/>
      <c r="AO1" s="332" t="s">
        <v>162</v>
      </c>
      <c r="AP1" s="333"/>
      <c r="AQ1" s="14"/>
      <c r="AS1" s="334" t="s">
        <v>218</v>
      </c>
      <c r="AT1" s="336"/>
      <c r="AU1" s="14"/>
      <c r="AV1" s="334" t="s">
        <v>55</v>
      </c>
      <c r="AW1" s="336"/>
      <c r="AX1" s="334">
        <v>65956268</v>
      </c>
      <c r="AY1" s="336"/>
      <c r="AZ1" s="29" t="s">
        <v>57</v>
      </c>
      <c r="BA1" s="334">
        <v>1334021</v>
      </c>
      <c r="BB1" s="336"/>
      <c r="BC1" s="334">
        <v>63265094</v>
      </c>
      <c r="BD1" s="336"/>
      <c r="BE1" s="334" t="s">
        <v>406</v>
      </c>
      <c r="BF1" s="336"/>
      <c r="BI1" s="332" t="s">
        <v>407</v>
      </c>
      <c r="BJ1" s="338"/>
      <c r="BK1" s="338"/>
      <c r="BL1" s="338"/>
      <c r="BM1" s="333"/>
      <c r="BN1" s="332" t="s">
        <v>408</v>
      </c>
      <c r="BO1" s="338"/>
      <c r="BP1" s="338"/>
      <c r="BQ1" s="333"/>
      <c r="BR1" s="332" t="s">
        <v>276</v>
      </c>
      <c r="BS1" s="338"/>
      <c r="BT1" s="338"/>
      <c r="BU1" s="333"/>
      <c r="BV1" s="339" t="s">
        <v>276</v>
      </c>
      <c r="BW1" s="340"/>
      <c r="BX1" s="340"/>
      <c r="BY1" s="341"/>
      <c r="BZ1" s="16" t="s">
        <v>409</v>
      </c>
      <c r="CA1" s="114" t="s">
        <v>410</v>
      </c>
      <c r="CB1" s="53"/>
      <c r="CC1" s="332" t="s">
        <v>411</v>
      </c>
      <c r="CD1" s="338"/>
      <c r="CE1" s="338"/>
      <c r="CF1" s="338"/>
      <c r="CG1" s="342" t="s">
        <v>119</v>
      </c>
      <c r="CH1" s="342"/>
      <c r="CI1" s="332" t="s">
        <v>412</v>
      </c>
      <c r="CJ1" s="338"/>
      <c r="CK1" s="338"/>
      <c r="CL1" s="333"/>
      <c r="CM1" s="115"/>
      <c r="CN1" s="332" t="s">
        <v>413</v>
      </c>
      <c r="CO1" s="338"/>
      <c r="CP1" s="338"/>
      <c r="CQ1" s="333"/>
      <c r="CR1" s="332" t="s">
        <v>414</v>
      </c>
      <c r="CS1" s="338"/>
      <c r="CT1" s="338"/>
      <c r="CU1" s="333"/>
      <c r="CV1" s="345" t="s">
        <v>415</v>
      </c>
      <c r="CW1" s="332" t="s">
        <v>416</v>
      </c>
      <c r="CX1" s="338"/>
      <c r="CY1" s="338"/>
      <c r="CZ1" s="333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1" t="s">
        <v>138</v>
      </c>
      <c r="P2" s="312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2" t="s">
        <v>424</v>
      </c>
      <c r="AB2" s="303"/>
      <c r="AC2" s="302" t="s">
        <v>425</v>
      </c>
      <c r="AD2" s="303"/>
      <c r="AE2" s="302" t="s">
        <v>426</v>
      </c>
      <c r="AF2" s="303"/>
      <c r="AG2" s="302" t="s">
        <v>427</v>
      </c>
      <c r="AH2" s="303"/>
      <c r="AI2" s="302" t="s">
        <v>286</v>
      </c>
      <c r="AJ2" s="303"/>
      <c r="AK2" s="302" t="s">
        <v>428</v>
      </c>
      <c r="AL2" s="303"/>
      <c r="AM2" s="302" t="s">
        <v>429</v>
      </c>
      <c r="AN2" s="303"/>
      <c r="AO2" s="302" t="s">
        <v>430</v>
      </c>
      <c r="AP2" s="303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2" t="s">
        <v>432</v>
      </c>
      <c r="BJ2" s="317"/>
      <c r="BK2" s="317"/>
      <c r="BL2" s="317"/>
      <c r="BM2" s="303"/>
      <c r="BN2" s="302" t="s">
        <v>433</v>
      </c>
      <c r="BO2" s="317"/>
      <c r="BP2" s="317"/>
      <c r="BQ2" s="303"/>
      <c r="BR2" s="302" t="s">
        <v>434</v>
      </c>
      <c r="BS2" s="317"/>
      <c r="BT2" s="317"/>
      <c r="BU2" s="303"/>
      <c r="BV2" s="302" t="s">
        <v>434</v>
      </c>
      <c r="BW2" s="317"/>
      <c r="BX2" s="317"/>
      <c r="BY2" s="303"/>
      <c r="BZ2" s="102" t="s">
        <v>435</v>
      </c>
      <c r="CA2" s="103" t="s">
        <v>436</v>
      </c>
      <c r="CB2" s="14"/>
      <c r="CC2" s="302" t="s">
        <v>437</v>
      </c>
      <c r="CD2" s="317"/>
      <c r="CE2" s="317"/>
      <c r="CF2" s="317"/>
      <c r="CG2" s="343" t="s">
        <v>438</v>
      </c>
      <c r="CH2" s="343" t="s">
        <v>439</v>
      </c>
      <c r="CI2" s="302" t="s">
        <v>440</v>
      </c>
      <c r="CJ2" s="317"/>
      <c r="CK2" s="317"/>
      <c r="CL2" s="303"/>
      <c r="CM2" s="345" t="s">
        <v>438</v>
      </c>
      <c r="CN2" s="302" t="s">
        <v>441</v>
      </c>
      <c r="CO2" s="317"/>
      <c r="CP2" s="317"/>
      <c r="CQ2" s="303"/>
      <c r="CR2" s="302" t="s">
        <v>442</v>
      </c>
      <c r="CS2" s="317"/>
      <c r="CT2" s="317"/>
      <c r="CU2" s="303"/>
      <c r="CV2" s="347"/>
      <c r="CW2" s="302" t="s">
        <v>443</v>
      </c>
      <c r="CX2" s="317"/>
      <c r="CY2" s="317"/>
      <c r="CZ2" s="303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302" t="s">
        <v>183</v>
      </c>
      <c r="D3" s="303"/>
      <c r="E3" s="22" t="s">
        <v>444</v>
      </c>
      <c r="F3" s="302" t="s">
        <v>184</v>
      </c>
      <c r="G3" s="303"/>
      <c r="H3" s="22" t="s">
        <v>444</v>
      </c>
      <c r="I3" s="302" t="s">
        <v>185</v>
      </c>
      <c r="J3" s="303"/>
      <c r="K3" s="22"/>
      <c r="L3" s="302" t="s">
        <v>445</v>
      </c>
      <c r="M3" s="303"/>
      <c r="N3" s="22"/>
      <c r="O3" s="302" t="s">
        <v>187</v>
      </c>
      <c r="P3" s="303"/>
      <c r="Q3" s="22" t="s">
        <v>444</v>
      </c>
      <c r="R3" s="35"/>
      <c r="S3" s="302" t="s">
        <v>446</v>
      </c>
      <c r="T3" s="303"/>
      <c r="U3" s="23"/>
      <c r="V3" s="302" t="s">
        <v>446</v>
      </c>
      <c r="W3" s="303"/>
      <c r="X3" s="23"/>
      <c r="Y3" s="34"/>
      <c r="Z3" s="14"/>
      <c r="AA3" s="266" t="s">
        <v>287</v>
      </c>
      <c r="AB3" s="266" t="s">
        <v>447</v>
      </c>
      <c r="AC3" s="266" t="s">
        <v>287</v>
      </c>
      <c r="AD3" s="266" t="s">
        <v>447</v>
      </c>
      <c r="AE3" s="266" t="s">
        <v>287</v>
      </c>
      <c r="AF3" s="266" t="s">
        <v>447</v>
      </c>
      <c r="AG3" s="266" t="s">
        <v>287</v>
      </c>
      <c r="AH3" s="266" t="s">
        <v>447</v>
      </c>
      <c r="AI3" s="266" t="s">
        <v>287</v>
      </c>
      <c r="AJ3" s="266" t="s">
        <v>447</v>
      </c>
      <c r="AK3" s="266" t="s">
        <v>287</v>
      </c>
      <c r="AL3" s="266" t="s">
        <v>447</v>
      </c>
      <c r="AM3" s="266" t="s">
        <v>287</v>
      </c>
      <c r="AN3" s="266" t="s">
        <v>447</v>
      </c>
      <c r="AO3" s="266" t="s">
        <v>287</v>
      </c>
      <c r="AP3" s="266" t="s">
        <v>447</v>
      </c>
      <c r="AQ3" s="14"/>
      <c r="AS3" s="265" t="s">
        <v>285</v>
      </c>
      <c r="AT3" s="23"/>
      <c r="AU3" s="14"/>
      <c r="AV3" s="265" t="s">
        <v>284</v>
      </c>
      <c r="AW3" s="22" t="s">
        <v>444</v>
      </c>
      <c r="AX3" s="265" t="s">
        <v>284</v>
      </c>
      <c r="AY3" s="22" t="s">
        <v>444</v>
      </c>
      <c r="AZ3" s="22" t="s">
        <v>444</v>
      </c>
      <c r="BA3" s="265" t="s">
        <v>284</v>
      </c>
      <c r="BB3" s="22" t="s">
        <v>444</v>
      </c>
      <c r="BC3" s="265" t="s">
        <v>284</v>
      </c>
      <c r="BD3" s="22" t="s">
        <v>444</v>
      </c>
      <c r="BE3" s="265" t="s">
        <v>284</v>
      </c>
      <c r="BF3" s="22" t="s">
        <v>444</v>
      </c>
      <c r="BI3" s="27" t="s">
        <v>398</v>
      </c>
      <c r="BJ3" s="266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66" t="s">
        <v>399</v>
      </c>
      <c r="BP3" s="27" t="s">
        <v>374</v>
      </c>
      <c r="BQ3" s="104" t="s">
        <v>384</v>
      </c>
      <c r="BR3" s="27" t="s">
        <v>398</v>
      </c>
      <c r="BS3" s="266" t="s">
        <v>399</v>
      </c>
      <c r="BT3" s="267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66" t="s">
        <v>399</v>
      </c>
      <c r="CE3" s="27" t="s">
        <v>374</v>
      </c>
      <c r="CF3" s="104" t="s">
        <v>384</v>
      </c>
      <c r="CG3" s="344"/>
      <c r="CH3" s="344"/>
      <c r="CI3" s="27" t="s">
        <v>398</v>
      </c>
      <c r="CJ3" s="266" t="s">
        <v>399</v>
      </c>
      <c r="CK3" s="27" t="s">
        <v>374</v>
      </c>
      <c r="CL3" s="104" t="s">
        <v>384</v>
      </c>
      <c r="CM3" s="346"/>
      <c r="CN3" s="27" t="s">
        <v>398</v>
      </c>
      <c r="CO3" s="266" t="s">
        <v>399</v>
      </c>
      <c r="CP3" s="267" t="s">
        <v>374</v>
      </c>
      <c r="CQ3" s="105" t="s">
        <v>384</v>
      </c>
      <c r="CR3" s="27" t="s">
        <v>398</v>
      </c>
      <c r="CS3" s="266" t="s">
        <v>399</v>
      </c>
      <c r="CT3" s="27" t="s">
        <v>374</v>
      </c>
      <c r="CU3" s="104" t="s">
        <v>384</v>
      </c>
      <c r="CV3" s="346"/>
      <c r="CW3" s="27" t="s">
        <v>398</v>
      </c>
      <c r="CX3" s="266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6" customFormat="1" x14ac:dyDescent="0.25">
      <c r="B4" s="234">
        <v>44197</v>
      </c>
      <c r="C4" s="348">
        <v>41067492</v>
      </c>
      <c r="D4" s="349"/>
      <c r="E4" s="235">
        <v>0</v>
      </c>
      <c r="F4" s="348">
        <v>4762937</v>
      </c>
      <c r="G4" s="349"/>
      <c r="H4" s="235">
        <v>0</v>
      </c>
      <c r="I4" s="348">
        <v>16838</v>
      </c>
      <c r="J4" s="349"/>
      <c r="K4" s="235">
        <v>0</v>
      </c>
      <c r="L4" s="348">
        <v>298034</v>
      </c>
      <c r="M4" s="349"/>
      <c r="N4" s="235">
        <v>0</v>
      </c>
      <c r="O4" s="348">
        <v>5674</v>
      </c>
      <c r="P4" s="349"/>
      <c r="Q4" s="235">
        <v>0</v>
      </c>
      <c r="R4" s="236"/>
      <c r="S4" s="348">
        <v>692861</v>
      </c>
      <c r="T4" s="349"/>
      <c r="U4" s="235">
        <v>0</v>
      </c>
      <c r="V4" s="348">
        <v>409965</v>
      </c>
      <c r="W4" s="349"/>
      <c r="X4" s="235">
        <v>0</v>
      </c>
      <c r="Y4" s="235">
        <v>0</v>
      </c>
      <c r="Z4" s="237"/>
      <c r="AA4" s="238">
        <v>14288</v>
      </c>
      <c r="AB4" s="239">
        <v>0</v>
      </c>
      <c r="AC4" s="238">
        <v>390378242</v>
      </c>
      <c r="AD4" s="239">
        <v>0</v>
      </c>
      <c r="AE4" s="238">
        <v>104670</v>
      </c>
      <c r="AF4" s="239">
        <v>0</v>
      </c>
      <c r="AG4" s="238">
        <v>3181175</v>
      </c>
      <c r="AH4" s="239">
        <v>0</v>
      </c>
      <c r="AI4" s="238">
        <v>4016165</v>
      </c>
      <c r="AJ4" s="239">
        <v>0</v>
      </c>
      <c r="AK4" s="238">
        <v>18258</v>
      </c>
      <c r="AL4" s="239">
        <v>0</v>
      </c>
      <c r="AM4" s="238">
        <v>215</v>
      </c>
      <c r="AN4" s="239">
        <v>0</v>
      </c>
      <c r="AO4" s="238">
        <v>11749</v>
      </c>
      <c r="AP4" s="239">
        <v>0</v>
      </c>
      <c r="AQ4" s="240"/>
      <c r="AR4" s="241">
        <f t="shared" ref="AR4:AR44" si="0">B4</f>
        <v>44197</v>
      </c>
      <c r="AS4" s="238">
        <v>8951</v>
      </c>
      <c r="AT4" s="239">
        <v>0</v>
      </c>
      <c r="AU4" s="242"/>
      <c r="AV4" s="238">
        <v>18139365</v>
      </c>
      <c r="AW4" s="238">
        <v>0</v>
      </c>
      <c r="AX4" s="238">
        <v>443832930</v>
      </c>
      <c r="AY4" s="243">
        <v>0</v>
      </c>
      <c r="AZ4" s="238">
        <v>0</v>
      </c>
      <c r="BA4" s="238">
        <v>6958600</v>
      </c>
      <c r="BB4" s="244">
        <v>0</v>
      </c>
      <c r="BC4" s="243">
        <v>3747300</v>
      </c>
      <c r="BD4" s="245">
        <v>0</v>
      </c>
      <c r="BE4" s="238">
        <v>43171136</v>
      </c>
      <c r="BF4" s="239">
        <v>0</v>
      </c>
      <c r="BI4" s="247">
        <f t="shared" ref="BI4:BI44" si="1">(C4)</f>
        <v>41067492</v>
      </c>
      <c r="BJ4" s="234">
        <v>364911</v>
      </c>
      <c r="BN4" s="247">
        <f t="shared" ref="BN4:BN44" si="2">(F4)</f>
        <v>4762937</v>
      </c>
      <c r="BO4" s="234">
        <v>41928</v>
      </c>
      <c r="BR4" s="247">
        <f t="shared" ref="BR4:BR44" si="3">(S4)</f>
        <v>692861</v>
      </c>
      <c r="BU4" s="98"/>
      <c r="BV4" s="247">
        <f t="shared" ref="BV4:BV44" si="4">V4</f>
        <v>409965</v>
      </c>
      <c r="BW4" s="98"/>
      <c r="BX4" s="98"/>
      <c r="BY4" s="98"/>
      <c r="BZ4" s="98"/>
      <c r="CA4" s="98"/>
      <c r="CB4" s="240"/>
      <c r="CC4" s="247">
        <f t="shared" ref="CC4:CC44" si="5">(BA4)</f>
        <v>6958600</v>
      </c>
      <c r="CD4" s="234">
        <v>6801</v>
      </c>
      <c r="CI4" s="247">
        <f t="shared" ref="CI4:CI44" si="6">(AV4)</f>
        <v>18139365</v>
      </c>
      <c r="CJ4" s="234">
        <v>15267</v>
      </c>
      <c r="CM4" s="248"/>
      <c r="CN4" s="247">
        <f t="shared" ref="CN4:CN44" si="7">(AS4)</f>
        <v>8951</v>
      </c>
      <c r="CP4" s="249"/>
      <c r="CQ4" s="250"/>
      <c r="CR4" s="247">
        <f t="shared" ref="CR4:CR40" si="8">(BC4)</f>
        <v>3747300</v>
      </c>
      <c r="CS4" s="234">
        <v>3682</v>
      </c>
      <c r="CV4" s="248"/>
      <c r="CW4" s="247">
        <f t="shared" ref="CW4:CW44" si="9">(BE4)</f>
        <v>43171136</v>
      </c>
      <c r="CX4" s="234">
        <v>357402</v>
      </c>
      <c r="DD4" s="251"/>
      <c r="DE4" s="251"/>
      <c r="DF4" s="251"/>
      <c r="DG4" s="251"/>
      <c r="DH4" s="251"/>
      <c r="DI4" s="251"/>
      <c r="DJ4" s="251"/>
    </row>
    <row r="5" spans="2:114" s="121" customFormat="1" x14ac:dyDescent="0.25">
      <c r="B5" s="73">
        <v>44200</v>
      </c>
      <c r="C5" s="320">
        <v>41120218</v>
      </c>
      <c r="D5" s="321"/>
      <c r="E5" s="36">
        <f t="shared" ref="E5:E11" si="10">SUM(C5-C4)*10</f>
        <v>527260</v>
      </c>
      <c r="F5" s="320">
        <v>4802785</v>
      </c>
      <c r="G5" s="321"/>
      <c r="H5" s="36">
        <f t="shared" ref="H5" si="11">SUM(F5-F4)*10</f>
        <v>398480</v>
      </c>
      <c r="I5" s="320">
        <v>16844</v>
      </c>
      <c r="J5" s="321"/>
      <c r="K5" s="36">
        <f t="shared" ref="K5:K6" si="12">SUM(I5-I4)*10</f>
        <v>60</v>
      </c>
      <c r="L5" s="320">
        <v>298406</v>
      </c>
      <c r="M5" s="321"/>
      <c r="N5" s="36">
        <f t="shared" ref="N5:N51" si="13">SUM(L5-L4)*1000</f>
        <v>372000</v>
      </c>
      <c r="O5" s="320">
        <v>5752</v>
      </c>
      <c r="P5" s="321"/>
      <c r="Q5" s="36">
        <f t="shared" ref="Q5:Q27" si="14">SUM(O5-O4)*100</f>
        <v>7800</v>
      </c>
      <c r="R5" s="37"/>
      <c r="S5" s="320">
        <v>693978</v>
      </c>
      <c r="T5" s="321"/>
      <c r="U5" s="36">
        <f t="shared" ref="U5:U27" si="15">SUM(S5-S4)*100</f>
        <v>111700</v>
      </c>
      <c r="V5" s="320">
        <v>415680</v>
      </c>
      <c r="W5" s="321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20">
        <v>41203342</v>
      </c>
      <c r="D6" s="321"/>
      <c r="E6" s="36">
        <f t="shared" si="10"/>
        <v>831240</v>
      </c>
      <c r="F6" s="320">
        <v>4831226</v>
      </c>
      <c r="G6" s="321"/>
      <c r="H6" s="36">
        <f t="shared" ref="H6" si="18">SUM(F6-F5)*10</f>
        <v>284410</v>
      </c>
      <c r="I6" s="320">
        <v>16872</v>
      </c>
      <c r="J6" s="321"/>
      <c r="K6" s="36">
        <f t="shared" si="12"/>
        <v>280</v>
      </c>
      <c r="L6" s="320">
        <v>298860</v>
      </c>
      <c r="M6" s="321"/>
      <c r="N6" s="36">
        <f t="shared" si="13"/>
        <v>454000</v>
      </c>
      <c r="O6" s="320">
        <v>5962</v>
      </c>
      <c r="P6" s="321"/>
      <c r="Q6" s="36">
        <f t="shared" si="14"/>
        <v>21000</v>
      </c>
      <c r="R6" s="37"/>
      <c r="S6" s="320">
        <v>695965</v>
      </c>
      <c r="T6" s="321"/>
      <c r="U6" s="36">
        <f t="shared" si="15"/>
        <v>198700</v>
      </c>
      <c r="V6" s="320">
        <v>436482</v>
      </c>
      <c r="W6" s="321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20">
        <v>41286715</v>
      </c>
      <c r="D7" s="321"/>
      <c r="E7" s="36">
        <f t="shared" si="10"/>
        <v>833730</v>
      </c>
      <c r="F7" s="320">
        <v>4858480</v>
      </c>
      <c r="G7" s="321"/>
      <c r="H7" s="36">
        <f t="shared" ref="H7" si="20">SUM(F7-F6)*10</f>
        <v>272540</v>
      </c>
      <c r="I7" s="320">
        <v>16902</v>
      </c>
      <c r="J7" s="321"/>
      <c r="K7" s="36">
        <f t="shared" ref="K7" si="21">SUM(I7-I6)*10</f>
        <v>300</v>
      </c>
      <c r="L7" s="320">
        <v>299340</v>
      </c>
      <c r="M7" s="321"/>
      <c r="N7" s="36">
        <f t="shared" si="13"/>
        <v>480000</v>
      </c>
      <c r="O7" s="320">
        <v>6179</v>
      </c>
      <c r="P7" s="321"/>
      <c r="Q7" s="36">
        <f t="shared" si="14"/>
        <v>21700</v>
      </c>
      <c r="R7" s="37"/>
      <c r="S7" s="320">
        <v>697993</v>
      </c>
      <c r="T7" s="321"/>
      <c r="U7" s="36">
        <f t="shared" si="15"/>
        <v>202800</v>
      </c>
      <c r="V7" s="320">
        <v>455710</v>
      </c>
      <c r="W7" s="321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20">
        <v>41389319</v>
      </c>
      <c r="D8" s="321"/>
      <c r="E8" s="36">
        <f t="shared" si="10"/>
        <v>1026040</v>
      </c>
      <c r="F8" s="320">
        <v>4884847</v>
      </c>
      <c r="G8" s="321"/>
      <c r="H8" s="36">
        <f t="shared" ref="H8:H9" si="22">SUM(F8-F7)*10</f>
        <v>263670</v>
      </c>
      <c r="I8" s="320">
        <v>16956</v>
      </c>
      <c r="J8" s="321"/>
      <c r="K8" s="36">
        <f t="shared" ref="K8:K9" si="23">SUM(I8-I7)*10</f>
        <v>540</v>
      </c>
      <c r="L8" s="320">
        <v>299990</v>
      </c>
      <c r="M8" s="321"/>
      <c r="N8" s="36">
        <f t="shared" si="13"/>
        <v>650000</v>
      </c>
      <c r="O8" s="320">
        <v>6441</v>
      </c>
      <c r="P8" s="321"/>
      <c r="Q8" s="36">
        <f t="shared" si="14"/>
        <v>26200</v>
      </c>
      <c r="R8" s="37"/>
      <c r="S8" s="320">
        <v>700375</v>
      </c>
      <c r="T8" s="321"/>
      <c r="U8" s="36">
        <f t="shared" si="15"/>
        <v>238200</v>
      </c>
      <c r="V8" s="320">
        <v>473300</v>
      </c>
      <c r="W8" s="321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20">
        <v>41493266</v>
      </c>
      <c r="D9" s="321"/>
      <c r="E9" s="36">
        <f t="shared" si="10"/>
        <v>1039470</v>
      </c>
      <c r="F9" s="320">
        <v>4905120</v>
      </c>
      <c r="G9" s="321"/>
      <c r="H9" s="36">
        <f t="shared" si="22"/>
        <v>202730</v>
      </c>
      <c r="I9" s="320">
        <v>16988</v>
      </c>
      <c r="J9" s="321"/>
      <c r="K9" s="36">
        <f t="shared" si="23"/>
        <v>320</v>
      </c>
      <c r="L9" s="320">
        <v>300667</v>
      </c>
      <c r="M9" s="321"/>
      <c r="N9" s="36">
        <f t="shared" si="13"/>
        <v>677000</v>
      </c>
      <c r="O9" s="320">
        <v>6680</v>
      </c>
      <c r="P9" s="321"/>
      <c r="Q9" s="36">
        <f t="shared" si="14"/>
        <v>23900</v>
      </c>
      <c r="R9" s="37"/>
      <c r="S9" s="320">
        <v>702411</v>
      </c>
      <c r="T9" s="321"/>
      <c r="U9" s="36">
        <f t="shared" si="15"/>
        <v>203600</v>
      </c>
      <c r="V9" s="320">
        <v>488510</v>
      </c>
      <c r="W9" s="321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20">
        <v>41582675</v>
      </c>
      <c r="D10" s="321"/>
      <c r="E10" s="36">
        <f t="shared" si="10"/>
        <v>894090</v>
      </c>
      <c r="F10" s="320">
        <v>4923577</v>
      </c>
      <c r="G10" s="321"/>
      <c r="H10" s="36">
        <f t="shared" ref="H10" si="25">SUM(F10-F9)*10</f>
        <v>184570</v>
      </c>
      <c r="I10" s="320">
        <v>17009</v>
      </c>
      <c r="J10" s="321"/>
      <c r="K10" s="36">
        <f>SUM(I10-I9)*10</f>
        <v>210</v>
      </c>
      <c r="L10" s="320">
        <v>301233</v>
      </c>
      <c r="M10" s="321"/>
      <c r="N10" s="36">
        <f t="shared" si="13"/>
        <v>566000</v>
      </c>
      <c r="O10" s="320">
        <v>6901</v>
      </c>
      <c r="P10" s="321"/>
      <c r="Q10" s="36">
        <f t="shared" si="14"/>
        <v>22100</v>
      </c>
      <c r="R10" s="37"/>
      <c r="S10" s="320">
        <v>704509</v>
      </c>
      <c r="T10" s="321"/>
      <c r="U10" s="36">
        <f t="shared" si="15"/>
        <v>209800</v>
      </c>
      <c r="V10" s="320">
        <v>506180</v>
      </c>
      <c r="W10" s="321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20">
        <v>41680144</v>
      </c>
      <c r="D11" s="321"/>
      <c r="E11" s="36">
        <f t="shared" si="10"/>
        <v>974690</v>
      </c>
      <c r="F11" s="320">
        <v>4948299</v>
      </c>
      <c r="G11" s="321"/>
      <c r="H11" s="36">
        <f t="shared" ref="H11:H13" si="26">SUM(F11-F10)*10</f>
        <v>247220</v>
      </c>
      <c r="I11" s="320">
        <v>17080</v>
      </c>
      <c r="J11" s="321"/>
      <c r="K11" s="36">
        <f t="shared" ref="K11:K51" si="27">SUM(I11-I10)*10</f>
        <v>710</v>
      </c>
      <c r="L11" s="320">
        <v>302004</v>
      </c>
      <c r="M11" s="321"/>
      <c r="N11" s="36">
        <f t="shared" si="13"/>
        <v>771000</v>
      </c>
      <c r="O11" s="320">
        <v>7135</v>
      </c>
      <c r="P11" s="321"/>
      <c r="Q11" s="36">
        <f t="shared" si="14"/>
        <v>23400</v>
      </c>
      <c r="R11" s="37"/>
      <c r="S11" s="320">
        <v>706679</v>
      </c>
      <c r="T11" s="321"/>
      <c r="U11" s="36">
        <f t="shared" si="15"/>
        <v>217000</v>
      </c>
      <c r="V11" s="320">
        <v>515250</v>
      </c>
      <c r="W11" s="321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20">
        <v>41772388</v>
      </c>
      <c r="D12" s="321"/>
      <c r="E12" s="36">
        <f t="shared" ref="E12:E13" si="28">SUM(C12-C11)*10</f>
        <v>922440</v>
      </c>
      <c r="F12" s="320">
        <v>4973934</v>
      </c>
      <c r="G12" s="321"/>
      <c r="H12" s="36">
        <f t="shared" si="26"/>
        <v>256350</v>
      </c>
      <c r="I12" s="320">
        <v>17096</v>
      </c>
      <c r="J12" s="321"/>
      <c r="K12" s="36">
        <f t="shared" si="27"/>
        <v>160</v>
      </c>
      <c r="L12" s="320">
        <v>302639</v>
      </c>
      <c r="M12" s="321"/>
      <c r="N12" s="36">
        <f t="shared" si="13"/>
        <v>635000</v>
      </c>
      <c r="O12" s="320">
        <v>7397</v>
      </c>
      <c r="P12" s="321"/>
      <c r="Q12" s="36">
        <f t="shared" si="14"/>
        <v>26200</v>
      </c>
      <c r="R12" s="37"/>
      <c r="S12" s="320">
        <v>708899</v>
      </c>
      <c r="T12" s="321"/>
      <c r="U12" s="36">
        <f t="shared" si="15"/>
        <v>222000</v>
      </c>
      <c r="V12" s="320">
        <v>527880</v>
      </c>
      <c r="W12" s="321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20">
        <v>41871884</v>
      </c>
      <c r="D13" s="321"/>
      <c r="E13" s="36">
        <f t="shared" si="28"/>
        <v>994960</v>
      </c>
      <c r="F13" s="320">
        <v>4992820</v>
      </c>
      <c r="G13" s="321"/>
      <c r="H13" s="36">
        <f t="shared" si="26"/>
        <v>188860</v>
      </c>
      <c r="I13" s="320">
        <v>17123</v>
      </c>
      <c r="J13" s="321"/>
      <c r="K13" s="36">
        <f t="shared" si="27"/>
        <v>270</v>
      </c>
      <c r="L13" s="320">
        <v>303354</v>
      </c>
      <c r="M13" s="321"/>
      <c r="N13" s="36">
        <f t="shared" si="13"/>
        <v>715000</v>
      </c>
      <c r="O13" s="320">
        <v>7665</v>
      </c>
      <c r="P13" s="321"/>
      <c r="Q13" s="36">
        <f t="shared" si="14"/>
        <v>26800</v>
      </c>
      <c r="R13" s="37"/>
      <c r="S13" s="320">
        <v>711151</v>
      </c>
      <c r="T13" s="321"/>
      <c r="U13" s="36">
        <f t="shared" si="15"/>
        <v>225200</v>
      </c>
      <c r="V13" s="320">
        <v>539040</v>
      </c>
      <c r="W13" s="321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16" customFormat="1" x14ac:dyDescent="0.25">
      <c r="B14" s="228">
        <v>44263</v>
      </c>
      <c r="C14" s="350">
        <v>41968713</v>
      </c>
      <c r="D14" s="351"/>
      <c r="E14" s="229">
        <f t="shared" ref="E14" si="30">SUM(C14-C13)*10</f>
        <v>968290</v>
      </c>
      <c r="F14" s="350">
        <v>5014115</v>
      </c>
      <c r="G14" s="351"/>
      <c r="H14" s="229">
        <f t="shared" ref="H14" si="31">SUM(F14-F13)*10</f>
        <v>212950</v>
      </c>
      <c r="I14" s="350">
        <v>17207</v>
      </c>
      <c r="J14" s="351"/>
      <c r="K14" s="229">
        <f t="shared" si="27"/>
        <v>840</v>
      </c>
      <c r="L14" s="350">
        <v>304019</v>
      </c>
      <c r="M14" s="351"/>
      <c r="N14" s="229">
        <f t="shared" si="13"/>
        <v>665000</v>
      </c>
      <c r="O14" s="350">
        <v>7941</v>
      </c>
      <c r="P14" s="351"/>
      <c r="Q14" s="229">
        <f t="shared" si="14"/>
        <v>27600</v>
      </c>
      <c r="R14" s="37"/>
      <c r="S14" s="350">
        <v>713466</v>
      </c>
      <c r="T14" s="351"/>
      <c r="U14" s="213">
        <f t="shared" si="15"/>
        <v>231500</v>
      </c>
      <c r="V14" s="350">
        <v>552590</v>
      </c>
      <c r="W14" s="351"/>
      <c r="X14" s="213">
        <f t="shared" si="16"/>
        <v>1355000</v>
      </c>
      <c r="Y14" s="214">
        <f t="shared" si="17"/>
        <v>1586500</v>
      </c>
      <c r="Z14" s="38"/>
      <c r="AA14" s="253">
        <v>15426</v>
      </c>
      <c r="AB14" s="254">
        <v>1400000</v>
      </c>
      <c r="AC14" s="253">
        <v>416760127</v>
      </c>
      <c r="AD14" s="254">
        <v>316122.7</v>
      </c>
      <c r="AE14" s="253">
        <v>106085</v>
      </c>
      <c r="AF14" s="254">
        <v>1450</v>
      </c>
      <c r="AG14" s="253">
        <v>3280021</v>
      </c>
      <c r="AH14" s="254">
        <v>132290</v>
      </c>
      <c r="AI14" s="253">
        <v>4105225</v>
      </c>
      <c r="AJ14" s="254">
        <v>9634</v>
      </c>
      <c r="AK14" s="253">
        <v>19680</v>
      </c>
      <c r="AL14" s="254">
        <v>90000</v>
      </c>
      <c r="AM14" s="253">
        <v>572</v>
      </c>
      <c r="AN14" s="254">
        <v>33</v>
      </c>
      <c r="AO14" s="253">
        <v>12039</v>
      </c>
      <c r="AP14" s="254">
        <v>800</v>
      </c>
      <c r="AQ14" s="255"/>
      <c r="AR14" s="256">
        <f t="shared" si="0"/>
        <v>44263</v>
      </c>
      <c r="AS14" s="253">
        <v>10003</v>
      </c>
      <c r="AT14" s="254">
        <v>75</v>
      </c>
      <c r="AU14" s="257"/>
      <c r="AV14" s="253">
        <v>18614103</v>
      </c>
      <c r="AW14" s="254">
        <v>50326</v>
      </c>
      <c r="AX14" s="253">
        <v>481348074</v>
      </c>
      <c r="AY14" s="254">
        <v>39601</v>
      </c>
      <c r="AZ14" s="254">
        <v>10725.09</v>
      </c>
      <c r="BA14" s="253">
        <v>6991700</v>
      </c>
      <c r="BB14" s="258">
        <v>3000</v>
      </c>
      <c r="BC14" s="259">
        <v>3756000</v>
      </c>
      <c r="BD14" s="260">
        <v>600</v>
      </c>
      <c r="BE14" s="253">
        <v>69980</v>
      </c>
      <c r="BF14" s="254">
        <v>69980</v>
      </c>
      <c r="BI14" s="217">
        <f t="shared" si="1"/>
        <v>41968713</v>
      </c>
      <c r="BL14" s="218"/>
      <c r="BM14" s="218"/>
      <c r="BN14" s="217">
        <f t="shared" si="2"/>
        <v>5014115</v>
      </c>
      <c r="BR14" s="217">
        <f t="shared" si="3"/>
        <v>713466</v>
      </c>
      <c r="BU14" s="219"/>
      <c r="BV14" s="217">
        <f t="shared" si="4"/>
        <v>552590</v>
      </c>
      <c r="BW14" s="220"/>
      <c r="BX14" s="221"/>
      <c r="BY14" s="219"/>
      <c r="BZ14" s="221"/>
      <c r="CA14" s="219"/>
      <c r="CB14" s="215"/>
      <c r="CC14" s="217">
        <f t="shared" si="5"/>
        <v>6991700</v>
      </c>
      <c r="CF14" s="218"/>
      <c r="CG14" s="218"/>
      <c r="CH14" s="218"/>
      <c r="CI14" s="217">
        <f t="shared" si="6"/>
        <v>18614103</v>
      </c>
      <c r="CL14" s="218"/>
      <c r="CM14" s="222"/>
      <c r="CN14" s="217">
        <f t="shared" si="7"/>
        <v>10003</v>
      </c>
      <c r="CP14" s="223"/>
      <c r="CQ14" s="224"/>
      <c r="CR14" s="217">
        <f t="shared" si="8"/>
        <v>3756000</v>
      </c>
      <c r="CU14" s="218"/>
      <c r="CV14" s="222"/>
      <c r="CW14" s="217">
        <f t="shared" si="9"/>
        <v>69980</v>
      </c>
      <c r="CZ14" s="218"/>
      <c r="DD14" s="225"/>
      <c r="DE14" s="225"/>
      <c r="DF14" s="225"/>
      <c r="DG14" s="225"/>
      <c r="DH14" s="226"/>
      <c r="DI14" s="227"/>
      <c r="DJ14" s="227"/>
    </row>
    <row r="15" spans="2:114" s="121" customFormat="1" x14ac:dyDescent="0.25">
      <c r="B15" s="73">
        <v>44270</v>
      </c>
      <c r="C15" s="320">
        <v>42078527</v>
      </c>
      <c r="D15" s="321"/>
      <c r="E15" s="36">
        <f t="shared" ref="E15:E17" si="32">SUM(C15-C14)*10</f>
        <v>1098140</v>
      </c>
      <c r="F15" s="320">
        <v>5035319</v>
      </c>
      <c r="G15" s="321"/>
      <c r="H15" s="36">
        <f t="shared" ref="H15:H17" si="33">SUM(F15-F14)*10</f>
        <v>212040</v>
      </c>
      <c r="I15" s="320">
        <v>17282</v>
      </c>
      <c r="J15" s="321"/>
      <c r="K15" s="36">
        <f t="shared" si="27"/>
        <v>750</v>
      </c>
      <c r="L15" s="320">
        <v>304702</v>
      </c>
      <c r="M15" s="321"/>
      <c r="N15" s="36">
        <f t="shared" si="13"/>
        <v>683000</v>
      </c>
      <c r="O15" s="320">
        <v>8184</v>
      </c>
      <c r="P15" s="321"/>
      <c r="Q15" s="36">
        <f t="shared" si="14"/>
        <v>24300</v>
      </c>
      <c r="R15" s="37"/>
      <c r="S15" s="320">
        <v>715638</v>
      </c>
      <c r="T15" s="321"/>
      <c r="U15" s="36">
        <f t="shared" si="15"/>
        <v>217200</v>
      </c>
      <c r="V15" s="320">
        <v>567070</v>
      </c>
      <c r="W15" s="321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20">
        <v>42199864</v>
      </c>
      <c r="D16" s="321"/>
      <c r="E16" s="36">
        <f t="shared" si="32"/>
        <v>1213370</v>
      </c>
      <c r="F16" s="320">
        <v>5052481</v>
      </c>
      <c r="G16" s="321"/>
      <c r="H16" s="36">
        <f t="shared" si="33"/>
        <v>171620</v>
      </c>
      <c r="I16" s="320">
        <v>17332</v>
      </c>
      <c r="J16" s="321"/>
      <c r="K16" s="36">
        <f t="shared" si="27"/>
        <v>500</v>
      </c>
      <c r="L16" s="320">
        <v>305512</v>
      </c>
      <c r="M16" s="321"/>
      <c r="N16" s="36">
        <f t="shared" si="13"/>
        <v>810000</v>
      </c>
      <c r="O16" s="320">
        <v>8440</v>
      </c>
      <c r="P16" s="321"/>
      <c r="Q16" s="36">
        <f t="shared" si="14"/>
        <v>25600</v>
      </c>
      <c r="R16" s="37"/>
      <c r="S16" s="320">
        <v>718028</v>
      </c>
      <c r="T16" s="321"/>
      <c r="U16" s="36">
        <f t="shared" si="15"/>
        <v>239000</v>
      </c>
      <c r="V16" s="320">
        <v>578990</v>
      </c>
      <c r="W16" s="321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20">
        <v>42322643</v>
      </c>
      <c r="D17" s="321"/>
      <c r="E17" s="36">
        <f t="shared" si="32"/>
        <v>1227790</v>
      </c>
      <c r="F17" s="320">
        <v>5066255</v>
      </c>
      <c r="G17" s="321"/>
      <c r="H17" s="36">
        <f t="shared" si="33"/>
        <v>137740</v>
      </c>
      <c r="I17" s="320">
        <v>17357</v>
      </c>
      <c r="J17" s="321"/>
      <c r="K17" s="36">
        <f t="shared" si="27"/>
        <v>250</v>
      </c>
      <c r="L17" s="320">
        <v>306355</v>
      </c>
      <c r="M17" s="321"/>
      <c r="N17" s="36">
        <f t="shared" si="13"/>
        <v>843000</v>
      </c>
      <c r="O17" s="320">
        <v>8691</v>
      </c>
      <c r="P17" s="321"/>
      <c r="Q17" s="36">
        <f t="shared" si="14"/>
        <v>25100</v>
      </c>
      <c r="R17" s="37"/>
      <c r="S17" s="320">
        <v>720009</v>
      </c>
      <c r="T17" s="321"/>
      <c r="U17" s="36">
        <f t="shared" si="15"/>
        <v>198100</v>
      </c>
      <c r="V17" s="320">
        <v>588000</v>
      </c>
      <c r="W17" s="321"/>
      <c r="X17" s="36">
        <f t="shared" si="16"/>
        <v>901000</v>
      </c>
      <c r="Y17" s="42">
        <f t="shared" si="17"/>
        <v>1099100</v>
      </c>
      <c r="Z17" s="38"/>
      <c r="AA17" s="189">
        <v>15900</v>
      </c>
      <c r="AB17" s="196">
        <v>1870000</v>
      </c>
      <c r="AC17" s="189">
        <v>427403200</v>
      </c>
      <c r="AD17" s="196">
        <v>501720</v>
      </c>
      <c r="AE17" s="189">
        <v>106906</v>
      </c>
      <c r="AF17" s="196">
        <v>2600</v>
      </c>
      <c r="AG17" s="189">
        <v>3311031</v>
      </c>
      <c r="AH17" s="196">
        <v>98330</v>
      </c>
      <c r="AI17" s="189">
        <v>4147479</v>
      </c>
      <c r="AJ17" s="196">
        <v>11557</v>
      </c>
      <c r="AK17" s="189">
        <v>20228</v>
      </c>
      <c r="AL17" s="196">
        <v>176000</v>
      </c>
      <c r="AM17" s="189">
        <v>709</v>
      </c>
      <c r="AN17" s="196">
        <v>23</v>
      </c>
      <c r="AO17" s="189">
        <v>12079</v>
      </c>
      <c r="AP17" s="196">
        <v>2300</v>
      </c>
      <c r="AQ17" s="40"/>
      <c r="AR17" s="120">
        <f t="shared" si="0"/>
        <v>44284</v>
      </c>
      <c r="AS17" s="189">
        <v>320</v>
      </c>
      <c r="AT17" s="196">
        <v>101</v>
      </c>
      <c r="AU17" s="197"/>
      <c r="AV17" s="189">
        <v>110562</v>
      </c>
      <c r="AW17" s="196">
        <v>48812</v>
      </c>
      <c r="AX17" s="189">
        <v>492986557</v>
      </c>
      <c r="AY17" s="196">
        <v>39412</v>
      </c>
      <c r="AZ17" s="196">
        <v>9399.7900000000009</v>
      </c>
      <c r="BA17" s="189">
        <v>7002900</v>
      </c>
      <c r="BB17" s="198">
        <v>2100</v>
      </c>
      <c r="BC17" s="190">
        <v>3757200</v>
      </c>
      <c r="BD17" s="199">
        <v>500</v>
      </c>
      <c r="BE17" s="189">
        <v>748424</v>
      </c>
      <c r="BF17" s="196">
        <v>168737</v>
      </c>
      <c r="BI17" s="46">
        <f t="shared" si="1"/>
        <v>42322643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5066255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720009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588000</v>
      </c>
      <c r="BW17" s="107">
        <v>23449</v>
      </c>
      <c r="BX17" s="47">
        <v>1864.99</v>
      </c>
      <c r="BY17" s="106">
        <v>1390.81</v>
      </c>
      <c r="BZ17" s="118">
        <f t="shared" ref="BZ17" si="34">SUM(BT17+BX17)</f>
        <v>40153.259999999995</v>
      </c>
      <c r="CA17" s="106">
        <v>6873.73</v>
      </c>
      <c r="CB17" s="40"/>
      <c r="CC17" s="128">
        <f t="shared" si="5"/>
        <v>7002900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110562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320</v>
      </c>
      <c r="CO17" s="20">
        <v>6153</v>
      </c>
      <c r="CP17" s="25">
        <v>969.09</v>
      </c>
      <c r="CQ17" s="109">
        <v>722.7</v>
      </c>
      <c r="CR17" s="46">
        <f t="shared" si="8"/>
        <v>3757200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748424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4051210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20">
        <v>42373834</v>
      </c>
      <c r="D18" s="321"/>
      <c r="E18" s="36">
        <f t="shared" ref="E18" si="35">SUM(C18-C17)*10</f>
        <v>511910</v>
      </c>
      <c r="F18" s="320">
        <v>5066261</v>
      </c>
      <c r="G18" s="321"/>
      <c r="H18" s="36">
        <f t="shared" ref="H18" si="36">SUM(F18-F17)*10</f>
        <v>60</v>
      </c>
      <c r="I18" s="320">
        <v>17361</v>
      </c>
      <c r="J18" s="321"/>
      <c r="K18" s="36">
        <f t="shared" si="27"/>
        <v>40</v>
      </c>
      <c r="L18" s="320">
        <v>306733</v>
      </c>
      <c r="M18" s="321"/>
      <c r="N18" s="36">
        <f t="shared" si="13"/>
        <v>378000</v>
      </c>
      <c r="O18" s="320">
        <v>8805</v>
      </c>
      <c r="P18" s="321"/>
      <c r="Q18" s="36">
        <f t="shared" si="14"/>
        <v>11400</v>
      </c>
      <c r="R18" s="37"/>
      <c r="S18" s="320">
        <v>720863</v>
      </c>
      <c r="T18" s="321"/>
      <c r="U18" s="36">
        <f t="shared" si="15"/>
        <v>85400</v>
      </c>
      <c r="V18" s="320">
        <v>590883</v>
      </c>
      <c r="W18" s="321"/>
      <c r="X18" s="36">
        <f t="shared" si="16"/>
        <v>288300</v>
      </c>
      <c r="Y18" s="42">
        <f t="shared" si="17"/>
        <v>373700</v>
      </c>
      <c r="Z18" s="38"/>
      <c r="AA18" s="189">
        <v>15997</v>
      </c>
      <c r="AB18" s="196">
        <v>970000</v>
      </c>
      <c r="AC18" s="189">
        <v>429959059</v>
      </c>
      <c r="AD18" s="196">
        <v>255585.9</v>
      </c>
      <c r="AE18" s="189">
        <v>106922</v>
      </c>
      <c r="AF18" s="196">
        <v>160</v>
      </c>
      <c r="AG18" s="189">
        <v>3313780</v>
      </c>
      <c r="AH18" s="196">
        <v>27490</v>
      </c>
      <c r="AI18" s="189">
        <v>4152611</v>
      </c>
      <c r="AJ18" s="196">
        <v>5132</v>
      </c>
      <c r="AK18" s="189">
        <v>20285</v>
      </c>
      <c r="AL18" s="196">
        <v>57000</v>
      </c>
      <c r="AM18" s="189">
        <v>713</v>
      </c>
      <c r="AN18" s="196">
        <v>4</v>
      </c>
      <c r="AO18" s="189">
        <v>12084</v>
      </c>
      <c r="AP18" s="196">
        <v>500</v>
      </c>
      <c r="AQ18" s="40"/>
      <c r="AR18" s="120">
        <f t="shared" si="0"/>
        <v>44287</v>
      </c>
      <c r="AS18" s="189">
        <v>345</v>
      </c>
      <c r="AT18" s="196">
        <v>25</v>
      </c>
      <c r="AU18" s="197"/>
      <c r="AV18" s="189">
        <v>124229</v>
      </c>
      <c r="AW18" s="196">
        <v>13667</v>
      </c>
      <c r="AX18" s="189">
        <v>494117549</v>
      </c>
      <c r="AY18" s="196">
        <v>11310</v>
      </c>
      <c r="AZ18" s="196">
        <v>2357.08</v>
      </c>
      <c r="BA18" s="189">
        <v>7005200</v>
      </c>
      <c r="BB18" s="198">
        <v>2300</v>
      </c>
      <c r="BC18" s="190">
        <v>3757200</v>
      </c>
      <c r="BD18" s="199">
        <v>0</v>
      </c>
      <c r="BE18" s="189">
        <v>776839</v>
      </c>
      <c r="BF18" s="196">
        <v>28415</v>
      </c>
      <c r="BI18" s="46">
        <f t="shared" si="1"/>
        <v>42373834</v>
      </c>
      <c r="BL18" s="122"/>
      <c r="BM18" s="122"/>
      <c r="BN18" s="46">
        <f t="shared" si="2"/>
        <v>5066261</v>
      </c>
      <c r="BR18" s="46">
        <f t="shared" si="3"/>
        <v>720863</v>
      </c>
      <c r="BU18" s="97"/>
      <c r="BV18" s="46">
        <f t="shared" si="4"/>
        <v>590883</v>
      </c>
      <c r="BW18" s="98"/>
      <c r="BX18" s="99"/>
      <c r="BY18" s="97"/>
      <c r="BZ18" s="99"/>
      <c r="CA18" s="97"/>
      <c r="CB18" s="40"/>
      <c r="CC18" s="46">
        <f t="shared" si="5"/>
        <v>7005200</v>
      </c>
      <c r="CF18" s="122"/>
      <c r="CG18" s="122"/>
      <c r="CH18" s="122"/>
      <c r="CI18" s="46">
        <f t="shared" si="6"/>
        <v>124229</v>
      </c>
      <c r="CL18" s="122"/>
      <c r="CM18" s="123"/>
      <c r="CN18" s="46">
        <f t="shared" si="7"/>
        <v>345</v>
      </c>
      <c r="CP18" s="124"/>
      <c r="CQ18" s="101"/>
      <c r="CR18" s="46">
        <f t="shared" si="8"/>
        <v>3757200</v>
      </c>
      <c r="CU18" s="122"/>
      <c r="CV18" s="123"/>
      <c r="CW18" s="46">
        <f t="shared" si="9"/>
        <v>776839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20">
        <v>42437140</v>
      </c>
      <c r="D19" s="321"/>
      <c r="E19" s="36">
        <f t="shared" ref="E19:E22" si="37">SUM(C19-C18)*10</f>
        <v>633060</v>
      </c>
      <c r="F19" s="320">
        <v>5066890</v>
      </c>
      <c r="G19" s="321"/>
      <c r="H19" s="36">
        <f t="shared" ref="H19:H22" si="38">SUM(F19-F18)*10</f>
        <v>6290</v>
      </c>
      <c r="I19" s="320">
        <v>17378</v>
      </c>
      <c r="J19" s="321"/>
      <c r="K19" s="36">
        <f t="shared" si="27"/>
        <v>170</v>
      </c>
      <c r="L19" s="320">
        <v>307188</v>
      </c>
      <c r="M19" s="321"/>
      <c r="N19" s="36">
        <f t="shared" si="13"/>
        <v>455000</v>
      </c>
      <c r="O19" s="320">
        <v>8957</v>
      </c>
      <c r="P19" s="321"/>
      <c r="Q19" s="36">
        <f t="shared" si="14"/>
        <v>15200</v>
      </c>
      <c r="R19" s="37"/>
      <c r="S19" s="320">
        <v>722010</v>
      </c>
      <c r="T19" s="321"/>
      <c r="U19" s="36">
        <f t="shared" si="15"/>
        <v>114700</v>
      </c>
      <c r="V19" s="320">
        <v>600120</v>
      </c>
      <c r="W19" s="321"/>
      <c r="X19" s="36">
        <f t="shared" si="16"/>
        <v>923700</v>
      </c>
      <c r="Y19" s="42">
        <f t="shared" si="17"/>
        <v>1038400</v>
      </c>
      <c r="Z19" s="38"/>
      <c r="AA19" s="189">
        <v>16059</v>
      </c>
      <c r="AB19" s="196">
        <v>620000</v>
      </c>
      <c r="AC19" s="189">
        <v>432060000</v>
      </c>
      <c r="AD19" s="196">
        <v>210094.1</v>
      </c>
      <c r="AE19" s="189">
        <v>107107</v>
      </c>
      <c r="AF19" s="196">
        <v>1850</v>
      </c>
      <c r="AG19" s="189">
        <v>3317444</v>
      </c>
      <c r="AH19" s="196">
        <v>36640</v>
      </c>
      <c r="AI19" s="189">
        <v>4159708</v>
      </c>
      <c r="AJ19" s="196">
        <v>7097</v>
      </c>
      <c r="AK19" s="189">
        <v>20367</v>
      </c>
      <c r="AL19" s="196">
        <v>82000</v>
      </c>
      <c r="AM19" s="189">
        <v>752</v>
      </c>
      <c r="AN19" s="196">
        <v>39</v>
      </c>
      <c r="AO19" s="189">
        <v>12095</v>
      </c>
      <c r="AP19" s="196">
        <v>1100</v>
      </c>
      <c r="AQ19" s="40"/>
      <c r="AR19" s="120">
        <f t="shared" si="0"/>
        <v>44291</v>
      </c>
      <c r="AS19" s="189">
        <v>421</v>
      </c>
      <c r="AT19" s="196">
        <v>76</v>
      </c>
      <c r="AU19" s="197"/>
      <c r="AV19" s="189">
        <v>165729</v>
      </c>
      <c r="AW19" s="196">
        <v>41500</v>
      </c>
      <c r="AX19" s="189">
        <v>497500222</v>
      </c>
      <c r="AY19" s="196">
        <v>33827</v>
      </c>
      <c r="AZ19" s="196">
        <v>7673.27</v>
      </c>
      <c r="BA19" s="189">
        <v>7007300</v>
      </c>
      <c r="BB19" s="198">
        <v>2100</v>
      </c>
      <c r="BC19" s="190">
        <v>3757600</v>
      </c>
      <c r="BD19" s="199">
        <v>400</v>
      </c>
      <c r="BE19" s="189">
        <v>870586</v>
      </c>
      <c r="BF19" s="196">
        <v>93747</v>
      </c>
      <c r="BI19" s="46">
        <f t="shared" si="1"/>
        <v>42437140</v>
      </c>
      <c r="BL19" s="122"/>
      <c r="BM19" s="122"/>
      <c r="BN19" s="46">
        <f t="shared" si="2"/>
        <v>5066890</v>
      </c>
      <c r="BR19" s="46">
        <f t="shared" si="3"/>
        <v>722010</v>
      </c>
      <c r="BU19" s="97"/>
      <c r="BV19" s="46">
        <f t="shared" si="4"/>
        <v>600120</v>
      </c>
      <c r="BW19" s="98"/>
      <c r="BX19" s="99"/>
      <c r="BY19" s="97"/>
      <c r="BZ19" s="99"/>
      <c r="CA19" s="97"/>
      <c r="CB19" s="40"/>
      <c r="CC19" s="46">
        <f t="shared" si="5"/>
        <v>7007300</v>
      </c>
      <c r="CF19" s="122"/>
      <c r="CG19" s="122"/>
      <c r="CH19" s="122"/>
      <c r="CI19" s="46">
        <f t="shared" si="6"/>
        <v>165729</v>
      </c>
      <c r="CL19" s="122"/>
      <c r="CM19" s="123"/>
      <c r="CN19" s="46">
        <f t="shared" si="7"/>
        <v>421</v>
      </c>
      <c r="CP19" s="124"/>
      <c r="CQ19" s="101"/>
      <c r="CR19" s="46">
        <f t="shared" si="8"/>
        <v>3757600</v>
      </c>
      <c r="CU19" s="122"/>
      <c r="CV19" s="123"/>
      <c r="CW19" s="46">
        <f t="shared" si="9"/>
        <v>870586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20">
        <v>42556871</v>
      </c>
      <c r="D20" s="321"/>
      <c r="E20" s="36">
        <f t="shared" si="37"/>
        <v>1197310</v>
      </c>
      <c r="F20" s="320">
        <v>5089790</v>
      </c>
      <c r="G20" s="321"/>
      <c r="H20" s="36">
        <f t="shared" si="38"/>
        <v>229000</v>
      </c>
      <c r="I20" s="320">
        <v>17388</v>
      </c>
      <c r="J20" s="321"/>
      <c r="K20" s="36">
        <f t="shared" si="27"/>
        <v>100</v>
      </c>
      <c r="L20" s="320">
        <v>307992</v>
      </c>
      <c r="M20" s="321"/>
      <c r="N20" s="36">
        <f t="shared" si="13"/>
        <v>804000</v>
      </c>
      <c r="O20" s="320">
        <v>9227</v>
      </c>
      <c r="P20" s="321"/>
      <c r="Q20" s="36">
        <f t="shared" si="14"/>
        <v>27000</v>
      </c>
      <c r="R20" s="37"/>
      <c r="S20" s="320">
        <v>723886</v>
      </c>
      <c r="T20" s="321"/>
      <c r="U20" s="36">
        <f t="shared" si="15"/>
        <v>187600</v>
      </c>
      <c r="V20" s="320">
        <v>610730</v>
      </c>
      <c r="W20" s="321"/>
      <c r="X20" s="36">
        <f t="shared" si="16"/>
        <v>1061000</v>
      </c>
      <c r="Y20" s="42">
        <f t="shared" si="17"/>
        <v>1248600</v>
      </c>
      <c r="Z20" s="38"/>
      <c r="AA20" s="189">
        <v>16209</v>
      </c>
      <c r="AB20" s="196">
        <v>1500000</v>
      </c>
      <c r="AC20" s="189">
        <v>436217800</v>
      </c>
      <c r="AD20" s="196">
        <v>415780</v>
      </c>
      <c r="AE20" s="189">
        <v>107315</v>
      </c>
      <c r="AF20" s="196">
        <v>2080</v>
      </c>
      <c r="AG20" s="189">
        <v>3330966</v>
      </c>
      <c r="AH20" s="196">
        <v>135220</v>
      </c>
      <c r="AI20" s="189">
        <v>4169902</v>
      </c>
      <c r="AJ20" s="196">
        <v>10194</v>
      </c>
      <c r="AK20" s="189">
        <v>20529</v>
      </c>
      <c r="AL20" s="196">
        <v>162000</v>
      </c>
      <c r="AM20" s="189">
        <v>805</v>
      </c>
      <c r="AN20" s="196">
        <v>53</v>
      </c>
      <c r="AO20" s="189">
        <v>12112</v>
      </c>
      <c r="AP20" s="196">
        <v>1700</v>
      </c>
      <c r="AQ20" s="40"/>
      <c r="AR20" s="120">
        <f t="shared" si="0"/>
        <v>44298</v>
      </c>
      <c r="AS20" s="189">
        <v>493</v>
      </c>
      <c r="AT20" s="196">
        <v>72</v>
      </c>
      <c r="AU20" s="197"/>
      <c r="AV20" s="189">
        <v>207057</v>
      </c>
      <c r="AW20" s="196">
        <v>41328</v>
      </c>
      <c r="AX20" s="189">
        <v>500905184</v>
      </c>
      <c r="AY20" s="196">
        <v>34050</v>
      </c>
      <c r="AZ20" s="196">
        <v>7278.38</v>
      </c>
      <c r="BA20" s="189">
        <v>7010300</v>
      </c>
      <c r="BB20" s="198">
        <v>3000</v>
      </c>
      <c r="BC20" s="190">
        <v>3757800</v>
      </c>
      <c r="BD20" s="199">
        <v>200</v>
      </c>
      <c r="BE20" s="189">
        <v>936761</v>
      </c>
      <c r="BF20" s="196">
        <v>66175</v>
      </c>
      <c r="BI20" s="46">
        <f t="shared" si="1"/>
        <v>42556871</v>
      </c>
      <c r="BL20" s="122"/>
      <c r="BM20" s="122"/>
      <c r="BN20" s="46">
        <f t="shared" si="2"/>
        <v>5089790</v>
      </c>
      <c r="BR20" s="46">
        <f t="shared" si="3"/>
        <v>723886</v>
      </c>
      <c r="BU20" s="97"/>
      <c r="BV20" s="46">
        <f t="shared" si="4"/>
        <v>610730</v>
      </c>
      <c r="BW20" s="98"/>
      <c r="BX20" s="99"/>
      <c r="BY20" s="97"/>
      <c r="BZ20" s="99"/>
      <c r="CA20" s="97"/>
      <c r="CB20" s="40"/>
      <c r="CC20" s="46">
        <f t="shared" si="5"/>
        <v>7010300</v>
      </c>
      <c r="CF20" s="122"/>
      <c r="CG20" s="122"/>
      <c r="CH20" s="122"/>
      <c r="CI20" s="46">
        <f t="shared" si="6"/>
        <v>207057</v>
      </c>
      <c r="CL20" s="122"/>
      <c r="CM20" s="123"/>
      <c r="CN20" s="46">
        <f t="shared" si="7"/>
        <v>493</v>
      </c>
      <c r="CP20" s="124"/>
      <c r="CQ20" s="101"/>
      <c r="CR20" s="46">
        <f t="shared" si="8"/>
        <v>3757800</v>
      </c>
      <c r="CU20" s="122"/>
      <c r="CV20" s="123"/>
      <c r="CW20" s="46">
        <f t="shared" si="9"/>
        <v>936761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20">
        <v>42673826</v>
      </c>
      <c r="D21" s="321"/>
      <c r="E21" s="36">
        <f t="shared" si="37"/>
        <v>1169550</v>
      </c>
      <c r="F21" s="320">
        <v>5107929</v>
      </c>
      <c r="G21" s="321"/>
      <c r="H21" s="36">
        <f t="shared" si="38"/>
        <v>181390</v>
      </c>
      <c r="I21" s="320">
        <v>17462</v>
      </c>
      <c r="J21" s="321"/>
      <c r="K21" s="36">
        <f t="shared" si="27"/>
        <v>740</v>
      </c>
      <c r="L21" s="320">
        <v>308814</v>
      </c>
      <c r="M21" s="321"/>
      <c r="N21" s="36">
        <f t="shared" si="13"/>
        <v>822000</v>
      </c>
      <c r="O21" s="320">
        <v>9501</v>
      </c>
      <c r="P21" s="321"/>
      <c r="Q21" s="36">
        <f t="shared" si="14"/>
        <v>27400</v>
      </c>
      <c r="R21" s="37"/>
      <c r="S21" s="320">
        <v>726083</v>
      </c>
      <c r="T21" s="321"/>
      <c r="U21" s="36">
        <f t="shared" si="15"/>
        <v>219700</v>
      </c>
      <c r="V21" s="320">
        <v>647380</v>
      </c>
      <c r="W21" s="321"/>
      <c r="X21" s="36">
        <f t="shared" si="16"/>
        <v>3665000</v>
      </c>
      <c r="Y21" s="42">
        <f t="shared" si="17"/>
        <v>3884700</v>
      </c>
      <c r="Z21" s="38"/>
      <c r="AA21" s="189">
        <v>16427</v>
      </c>
      <c r="AB21" s="196">
        <v>2180000</v>
      </c>
      <c r="AC21" s="189">
        <v>441732200</v>
      </c>
      <c r="AD21" s="196">
        <v>551440</v>
      </c>
      <c r="AE21" s="189">
        <v>107670</v>
      </c>
      <c r="AF21" s="196">
        <v>3550</v>
      </c>
      <c r="AG21" s="189">
        <v>3348230</v>
      </c>
      <c r="AH21" s="196">
        <v>172640</v>
      </c>
      <c r="AI21" s="189">
        <v>4177638</v>
      </c>
      <c r="AJ21" s="196">
        <v>7736</v>
      </c>
      <c r="AK21" s="189">
        <v>20648</v>
      </c>
      <c r="AL21" s="196">
        <v>119000</v>
      </c>
      <c r="AM21" s="189">
        <v>831</v>
      </c>
      <c r="AN21" s="196">
        <v>26</v>
      </c>
      <c r="AO21" s="189">
        <v>12144</v>
      </c>
      <c r="AP21" s="196">
        <v>3200</v>
      </c>
      <c r="AQ21" s="40"/>
      <c r="AR21" s="120">
        <f t="shared" si="0"/>
        <v>44305</v>
      </c>
      <c r="AS21" s="189">
        <v>583</v>
      </c>
      <c r="AT21" s="196">
        <v>90</v>
      </c>
      <c r="AU21" s="197"/>
      <c r="AV21" s="189">
        <v>255365</v>
      </c>
      <c r="AW21" s="196">
        <v>48308</v>
      </c>
      <c r="AX21" s="189">
        <v>504870313</v>
      </c>
      <c r="AY21" s="196">
        <v>39651</v>
      </c>
      <c r="AZ21" s="196">
        <v>8656.7099999999991</v>
      </c>
      <c r="BA21" s="189">
        <v>7013200</v>
      </c>
      <c r="BB21" s="198">
        <v>2900</v>
      </c>
      <c r="BC21" s="190">
        <v>3758300</v>
      </c>
      <c r="BD21" s="199">
        <v>500</v>
      </c>
      <c r="BE21" s="189">
        <v>967971</v>
      </c>
      <c r="BF21" s="196">
        <v>31210</v>
      </c>
      <c r="BI21" s="46">
        <f t="shared" si="1"/>
        <v>42673826</v>
      </c>
      <c r="BL21" s="122"/>
      <c r="BM21" s="122"/>
      <c r="BN21" s="46">
        <f t="shared" si="2"/>
        <v>5107929</v>
      </c>
      <c r="BR21" s="46">
        <f t="shared" si="3"/>
        <v>726083</v>
      </c>
      <c r="BU21" s="97"/>
      <c r="BV21" s="46">
        <f t="shared" si="4"/>
        <v>647380</v>
      </c>
      <c r="BW21" s="98"/>
      <c r="BX21" s="99"/>
      <c r="BY21" s="97"/>
      <c r="BZ21" s="99"/>
      <c r="CA21" s="97"/>
      <c r="CB21" s="40"/>
      <c r="CC21" s="46">
        <f t="shared" si="5"/>
        <v>7013200</v>
      </c>
      <c r="CF21" s="122"/>
      <c r="CG21" s="122"/>
      <c r="CH21" s="122"/>
      <c r="CI21" s="46">
        <f t="shared" si="6"/>
        <v>255365</v>
      </c>
      <c r="CL21" s="122"/>
      <c r="CM21" s="123"/>
      <c r="CN21" s="46">
        <f t="shared" si="7"/>
        <v>583</v>
      </c>
      <c r="CP21" s="124"/>
      <c r="CQ21" s="101"/>
      <c r="CR21" s="46">
        <f t="shared" si="8"/>
        <v>3758300</v>
      </c>
      <c r="CU21" s="122"/>
      <c r="CV21" s="123"/>
      <c r="CW21" s="46">
        <f t="shared" si="9"/>
        <v>967971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20">
        <v>42785897</v>
      </c>
      <c r="D22" s="321"/>
      <c r="E22" s="36">
        <f t="shared" si="37"/>
        <v>1120710</v>
      </c>
      <c r="F22" s="320">
        <v>5136925</v>
      </c>
      <c r="G22" s="321"/>
      <c r="H22" s="36">
        <f t="shared" si="38"/>
        <v>289960</v>
      </c>
      <c r="I22" s="320">
        <v>17483</v>
      </c>
      <c r="J22" s="321"/>
      <c r="K22" s="36">
        <f t="shared" si="27"/>
        <v>210</v>
      </c>
      <c r="L22" s="320">
        <v>309598</v>
      </c>
      <c r="M22" s="321"/>
      <c r="N22" s="36">
        <f t="shared" si="13"/>
        <v>784000</v>
      </c>
      <c r="O22" s="320">
        <v>9774</v>
      </c>
      <c r="P22" s="321"/>
      <c r="Q22" s="36">
        <f t="shared" si="14"/>
        <v>27300</v>
      </c>
      <c r="R22" s="37"/>
      <c r="S22" s="320">
        <v>728215</v>
      </c>
      <c r="T22" s="321"/>
      <c r="U22" s="36">
        <f t="shared" si="15"/>
        <v>213200</v>
      </c>
      <c r="V22" s="320">
        <v>625370</v>
      </c>
      <c r="W22" s="321"/>
      <c r="X22" s="36">
        <f t="shared" si="16"/>
        <v>-2201000</v>
      </c>
      <c r="Y22" s="42">
        <f t="shared" si="17"/>
        <v>-1987800</v>
      </c>
      <c r="Z22" s="38"/>
      <c r="AA22" s="189">
        <v>16631</v>
      </c>
      <c r="AB22" s="196">
        <v>2040000</v>
      </c>
      <c r="AC22" s="189">
        <v>447251600</v>
      </c>
      <c r="AD22" s="196">
        <v>551940</v>
      </c>
      <c r="AE22" s="189">
        <v>107863</v>
      </c>
      <c r="AF22" s="196">
        <v>1930</v>
      </c>
      <c r="AG22" s="189">
        <v>3364990</v>
      </c>
      <c r="AH22" s="196">
        <v>167600</v>
      </c>
      <c r="AI22" s="189">
        <v>4180646</v>
      </c>
      <c r="AJ22" s="196">
        <v>3008</v>
      </c>
      <c r="AK22" s="189">
        <v>20740</v>
      </c>
      <c r="AL22" s="196">
        <v>92000</v>
      </c>
      <c r="AM22" s="189">
        <v>856</v>
      </c>
      <c r="AN22" s="196">
        <v>25</v>
      </c>
      <c r="AO22" s="189">
        <v>12192</v>
      </c>
      <c r="AP22" s="196">
        <v>4800</v>
      </c>
      <c r="AQ22" s="40"/>
      <c r="AR22" s="120">
        <f t="shared" si="0"/>
        <v>44312</v>
      </c>
      <c r="AS22" s="189">
        <v>677</v>
      </c>
      <c r="AT22" s="196">
        <v>94</v>
      </c>
      <c r="AU22" s="197"/>
      <c r="AV22" s="189">
        <v>305305</v>
      </c>
      <c r="AW22" s="196">
        <v>49940</v>
      </c>
      <c r="AX22" s="189">
        <v>508867971</v>
      </c>
      <c r="AY22" s="196">
        <v>39977</v>
      </c>
      <c r="AZ22" s="196">
        <v>9963.42</v>
      </c>
      <c r="BA22" s="189">
        <v>7014800</v>
      </c>
      <c r="BB22" s="198">
        <v>1600</v>
      </c>
      <c r="BC22" s="190">
        <v>3758800</v>
      </c>
      <c r="BD22" s="199">
        <v>500</v>
      </c>
      <c r="BE22" s="189">
        <v>992068</v>
      </c>
      <c r="BF22" s="196">
        <v>24097</v>
      </c>
      <c r="BI22" s="46">
        <f t="shared" si="1"/>
        <v>42785897</v>
      </c>
      <c r="BL22" s="122"/>
      <c r="BM22" s="122"/>
      <c r="BN22" s="46">
        <f t="shared" si="2"/>
        <v>5136925</v>
      </c>
      <c r="BR22" s="46">
        <f t="shared" si="3"/>
        <v>728215</v>
      </c>
      <c r="BU22" s="97"/>
      <c r="BV22" s="46">
        <f t="shared" si="4"/>
        <v>625370</v>
      </c>
      <c r="BW22" s="98"/>
      <c r="BX22" s="99"/>
      <c r="BY22" s="97"/>
      <c r="BZ22" s="99"/>
      <c r="CA22" s="97"/>
      <c r="CB22" s="40"/>
      <c r="CC22" s="46">
        <f t="shared" si="5"/>
        <v>7014800</v>
      </c>
      <c r="CF22" s="122"/>
      <c r="CG22" s="122"/>
      <c r="CH22" s="122"/>
      <c r="CI22" s="46">
        <f t="shared" si="6"/>
        <v>305305</v>
      </c>
      <c r="CL22" s="122"/>
      <c r="CM22" s="123"/>
      <c r="CN22" s="46">
        <f t="shared" si="7"/>
        <v>677</v>
      </c>
      <c r="CP22" s="124"/>
      <c r="CQ22" s="101"/>
      <c r="CR22" s="46">
        <f t="shared" si="8"/>
        <v>3758800</v>
      </c>
      <c r="CU22" s="122"/>
      <c r="CV22" s="123"/>
      <c r="CW22" s="46">
        <f t="shared" si="9"/>
        <v>992068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20">
        <v>42875405</v>
      </c>
      <c r="D23" s="321"/>
      <c r="E23" s="36">
        <f t="shared" ref="E23:E24" si="39">SUM(C23-C22)*10</f>
        <v>895080</v>
      </c>
      <c r="F23" s="320">
        <v>5158237</v>
      </c>
      <c r="G23" s="321"/>
      <c r="H23" s="36">
        <f t="shared" ref="H23:H24" si="40">SUM(F23-F22)*10</f>
        <v>213120</v>
      </c>
      <c r="I23" s="320">
        <v>17501</v>
      </c>
      <c r="J23" s="321"/>
      <c r="K23" s="36">
        <f t="shared" si="27"/>
        <v>180</v>
      </c>
      <c r="L23" s="320">
        <v>310198</v>
      </c>
      <c r="M23" s="321"/>
      <c r="N23" s="36">
        <f t="shared" si="13"/>
        <v>600000</v>
      </c>
      <c r="O23" s="320">
        <v>9996</v>
      </c>
      <c r="P23" s="321"/>
      <c r="Q23" s="36">
        <f t="shared" si="14"/>
        <v>22200</v>
      </c>
      <c r="R23" s="37"/>
      <c r="S23" s="320">
        <v>729750</v>
      </c>
      <c r="T23" s="321"/>
      <c r="U23" s="36">
        <f t="shared" si="15"/>
        <v>153500</v>
      </c>
      <c r="V23" s="320">
        <v>630250</v>
      </c>
      <c r="W23" s="321"/>
      <c r="X23" s="36">
        <f t="shared" si="16"/>
        <v>488000</v>
      </c>
      <c r="Y23" s="42">
        <f t="shared" si="17"/>
        <v>641500</v>
      </c>
      <c r="Z23" s="38"/>
      <c r="AA23" s="189">
        <v>16804</v>
      </c>
      <c r="AB23" s="196">
        <v>1730000</v>
      </c>
      <c r="AC23" s="189">
        <v>451502819</v>
      </c>
      <c r="AD23" s="196">
        <v>425121.9</v>
      </c>
      <c r="AE23" s="189">
        <v>107889</v>
      </c>
      <c r="AF23" s="196">
        <v>260</v>
      </c>
      <c r="AG23" s="189">
        <v>3374612</v>
      </c>
      <c r="AH23" s="196">
        <v>96220</v>
      </c>
      <c r="AI23" s="189">
        <v>4185225</v>
      </c>
      <c r="AJ23" s="196">
        <v>4579</v>
      </c>
      <c r="AK23" s="189">
        <v>20864</v>
      </c>
      <c r="AL23" s="196">
        <v>124000</v>
      </c>
      <c r="AM23" s="189">
        <v>879</v>
      </c>
      <c r="AN23" s="196">
        <v>23</v>
      </c>
      <c r="AO23" s="189">
        <v>12210</v>
      </c>
      <c r="AP23" s="196">
        <v>1800</v>
      </c>
      <c r="AQ23" s="40"/>
      <c r="AR23" s="120">
        <f t="shared" si="0"/>
        <v>44317</v>
      </c>
      <c r="AS23" s="189">
        <v>737</v>
      </c>
      <c r="AT23" s="196">
        <v>60</v>
      </c>
      <c r="AU23" s="197"/>
      <c r="AV23" s="189">
        <v>340123</v>
      </c>
      <c r="AW23" s="196">
        <v>34818</v>
      </c>
      <c r="AX23" s="189">
        <v>511686182</v>
      </c>
      <c r="AY23" s="196">
        <v>28182</v>
      </c>
      <c r="AZ23" s="196">
        <v>6635.89</v>
      </c>
      <c r="BA23" s="189">
        <v>7017600</v>
      </c>
      <c r="BB23" s="198">
        <v>2800</v>
      </c>
      <c r="BC23" s="190">
        <v>3759000</v>
      </c>
      <c r="BD23" s="199">
        <v>200</v>
      </c>
      <c r="BE23" s="189">
        <v>1012612</v>
      </c>
      <c r="BF23" s="196">
        <v>20544</v>
      </c>
      <c r="BI23" s="46">
        <f t="shared" si="1"/>
        <v>42875405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5158237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729750</v>
      </c>
      <c r="BS23" s="20">
        <v>639685</v>
      </c>
      <c r="BT23" s="20">
        <v>8376.0300000000007</v>
      </c>
      <c r="BU23" s="106">
        <v>6857.36</v>
      </c>
      <c r="BV23" s="46">
        <f t="shared" si="4"/>
        <v>630250</v>
      </c>
      <c r="BW23" s="107">
        <v>23538</v>
      </c>
      <c r="BX23" s="47">
        <v>38.46</v>
      </c>
      <c r="BY23" s="106">
        <v>31.53</v>
      </c>
      <c r="BZ23" s="118">
        <f t="shared" ref="BZ23" si="41">SUM(BT23+BX23)</f>
        <v>8414.49</v>
      </c>
      <c r="CA23" s="106">
        <v>2754.81</v>
      </c>
      <c r="CB23" s="40"/>
      <c r="CC23" s="128">
        <f t="shared" si="5"/>
        <v>7017600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340123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737</v>
      </c>
      <c r="CO23" s="20">
        <v>6230</v>
      </c>
      <c r="CP23" s="25">
        <v>178.52</v>
      </c>
      <c r="CQ23" s="109">
        <v>146.30000000000001</v>
      </c>
      <c r="CR23" s="46">
        <f t="shared" si="8"/>
        <v>3759000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1012612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3508790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20">
        <v>42907750</v>
      </c>
      <c r="D24" s="321"/>
      <c r="E24" s="36">
        <f t="shared" si="39"/>
        <v>323450</v>
      </c>
      <c r="F24" s="320">
        <v>5167405</v>
      </c>
      <c r="G24" s="321"/>
      <c r="H24" s="36">
        <f t="shared" si="40"/>
        <v>91680</v>
      </c>
      <c r="I24" s="320">
        <v>17504</v>
      </c>
      <c r="J24" s="321"/>
      <c r="K24" s="36">
        <f t="shared" si="27"/>
        <v>30</v>
      </c>
      <c r="L24" s="320">
        <v>310436</v>
      </c>
      <c r="M24" s="321"/>
      <c r="N24" s="36">
        <f t="shared" si="13"/>
        <v>238000</v>
      </c>
      <c r="O24" s="320">
        <v>10072</v>
      </c>
      <c r="P24" s="321"/>
      <c r="Q24" s="36">
        <f t="shared" si="14"/>
        <v>7600</v>
      </c>
      <c r="R24" s="37"/>
      <c r="S24" s="320">
        <v>730348</v>
      </c>
      <c r="T24" s="321"/>
      <c r="U24" s="36">
        <f t="shared" si="15"/>
        <v>59800</v>
      </c>
      <c r="V24" s="320">
        <v>631010</v>
      </c>
      <c r="W24" s="321"/>
      <c r="X24" s="36">
        <f t="shared" si="16"/>
        <v>76000</v>
      </c>
      <c r="Y24" s="42">
        <f t="shared" si="17"/>
        <v>135800</v>
      </c>
      <c r="Z24" s="38"/>
      <c r="AA24" s="189">
        <v>16875</v>
      </c>
      <c r="AB24" s="196">
        <v>710000</v>
      </c>
      <c r="AC24" s="189">
        <v>453208700</v>
      </c>
      <c r="AD24" s="196">
        <v>170588.1</v>
      </c>
      <c r="AE24" s="189">
        <v>107979</v>
      </c>
      <c r="AF24" s="196">
        <v>900</v>
      </c>
      <c r="AG24" s="189">
        <v>3379220</v>
      </c>
      <c r="AH24" s="196">
        <v>46080</v>
      </c>
      <c r="AI24" s="189">
        <v>4186720</v>
      </c>
      <c r="AJ24" s="196">
        <v>1495</v>
      </c>
      <c r="AK24" s="189">
        <v>20891</v>
      </c>
      <c r="AL24" s="196">
        <v>27000</v>
      </c>
      <c r="AM24" s="189">
        <v>881</v>
      </c>
      <c r="AN24" s="196">
        <v>2</v>
      </c>
      <c r="AO24" s="189">
        <v>12215</v>
      </c>
      <c r="AP24" s="196">
        <v>500</v>
      </c>
      <c r="AQ24" s="40"/>
      <c r="AR24" s="120">
        <f t="shared" si="0"/>
        <v>44319</v>
      </c>
      <c r="AS24" s="189">
        <v>760</v>
      </c>
      <c r="AT24" s="196">
        <v>23</v>
      </c>
      <c r="AU24" s="197"/>
      <c r="AV24" s="189">
        <v>354460</v>
      </c>
      <c r="AW24" s="196">
        <v>14337</v>
      </c>
      <c r="AX24" s="189">
        <v>512805661</v>
      </c>
      <c r="AY24" s="196">
        <v>11195</v>
      </c>
      <c r="AZ24" s="196">
        <v>3142.21</v>
      </c>
      <c r="BA24" s="189">
        <v>7017700</v>
      </c>
      <c r="BB24" s="198">
        <v>100</v>
      </c>
      <c r="BC24" s="190">
        <v>3759100</v>
      </c>
      <c r="BD24" s="199">
        <v>100</v>
      </c>
      <c r="BE24" s="189">
        <v>1019435</v>
      </c>
      <c r="BF24" s="196">
        <v>6823</v>
      </c>
      <c r="BI24" s="46">
        <f t="shared" si="1"/>
        <v>42907750</v>
      </c>
      <c r="BL24" s="122"/>
      <c r="BM24" s="122"/>
      <c r="BN24" s="46">
        <f t="shared" si="2"/>
        <v>5167405</v>
      </c>
      <c r="BR24" s="46">
        <f t="shared" si="3"/>
        <v>730348</v>
      </c>
      <c r="BU24" s="97"/>
      <c r="BV24" s="46">
        <f t="shared" si="4"/>
        <v>631010</v>
      </c>
      <c r="BW24" s="98"/>
      <c r="BX24" s="99"/>
      <c r="BY24" s="97"/>
      <c r="BZ24" s="99"/>
      <c r="CA24" s="97"/>
      <c r="CB24" s="40"/>
      <c r="CC24" s="46">
        <f t="shared" si="5"/>
        <v>7017700</v>
      </c>
      <c r="CF24" s="122"/>
      <c r="CG24" s="122"/>
      <c r="CH24" s="122"/>
      <c r="CI24" s="46">
        <f t="shared" si="6"/>
        <v>354460</v>
      </c>
      <c r="CL24" s="122"/>
      <c r="CM24" s="123"/>
      <c r="CN24" s="46">
        <f t="shared" si="7"/>
        <v>760</v>
      </c>
      <c r="CP24" s="124"/>
      <c r="CQ24" s="101"/>
      <c r="CR24" s="46">
        <f t="shared" si="8"/>
        <v>3759100</v>
      </c>
      <c r="CU24" s="122"/>
      <c r="CV24" s="123"/>
      <c r="CW24" s="46">
        <f t="shared" si="9"/>
        <v>1019435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20">
        <v>43056254</v>
      </c>
      <c r="D25" s="321"/>
      <c r="E25" s="36">
        <f t="shared" ref="E25:E28" si="42">SUM(C25-C24)*10</f>
        <v>1485040</v>
      </c>
      <c r="F25" s="320">
        <v>5177230</v>
      </c>
      <c r="G25" s="321"/>
      <c r="H25" s="36">
        <f t="shared" ref="H25:H28" si="43">SUM(F25-F24)*10</f>
        <v>98250</v>
      </c>
      <c r="I25" s="320">
        <v>17522</v>
      </c>
      <c r="J25" s="321"/>
      <c r="K25" s="36">
        <f t="shared" si="27"/>
        <v>180</v>
      </c>
      <c r="L25" s="320">
        <v>311482</v>
      </c>
      <c r="M25" s="321"/>
      <c r="N25" s="36">
        <f t="shared" si="13"/>
        <v>1046000</v>
      </c>
      <c r="O25" s="320">
        <v>10357</v>
      </c>
      <c r="P25" s="321"/>
      <c r="Q25" s="36">
        <f t="shared" si="14"/>
        <v>28500</v>
      </c>
      <c r="R25" s="37"/>
      <c r="S25" s="320">
        <v>732562</v>
      </c>
      <c r="T25" s="321"/>
      <c r="U25" s="36">
        <f t="shared" si="15"/>
        <v>221400</v>
      </c>
      <c r="V25" s="320">
        <v>635165</v>
      </c>
      <c r="W25" s="321"/>
      <c r="X25" s="36">
        <f t="shared" si="16"/>
        <v>415500</v>
      </c>
      <c r="Y25" s="42">
        <f t="shared" si="17"/>
        <v>636900</v>
      </c>
      <c r="Z25" s="38"/>
      <c r="AA25" s="189">
        <v>17160</v>
      </c>
      <c r="AB25" s="196">
        <v>2850000</v>
      </c>
      <c r="AC25" s="189">
        <v>460398100</v>
      </c>
      <c r="AD25" s="196">
        <v>718940</v>
      </c>
      <c r="AE25" s="189">
        <v>108453</v>
      </c>
      <c r="AF25" s="196">
        <v>4740</v>
      </c>
      <c r="AG25" s="189">
        <v>3393353</v>
      </c>
      <c r="AH25" s="196">
        <v>141330</v>
      </c>
      <c r="AI25" s="189">
        <v>4206305</v>
      </c>
      <c r="AJ25" s="196">
        <v>19585</v>
      </c>
      <c r="AK25" s="189">
        <v>20961</v>
      </c>
      <c r="AL25" s="196">
        <v>70000</v>
      </c>
      <c r="AM25" s="189">
        <v>894</v>
      </c>
      <c r="AN25" s="196">
        <v>13</v>
      </c>
      <c r="AO25" s="189">
        <v>12279</v>
      </c>
      <c r="AP25" s="196">
        <v>6400</v>
      </c>
      <c r="AQ25" s="40"/>
      <c r="AR25" s="120">
        <f t="shared" si="0"/>
        <v>44326</v>
      </c>
      <c r="AS25" s="189">
        <v>851</v>
      </c>
      <c r="AT25" s="196">
        <v>91</v>
      </c>
      <c r="AU25" s="197"/>
      <c r="AV25" s="189">
        <v>410879</v>
      </c>
      <c r="AW25" s="196">
        <v>56419</v>
      </c>
      <c r="AX25" s="189">
        <v>517296844</v>
      </c>
      <c r="AY25" s="196">
        <v>44912</v>
      </c>
      <c r="AZ25" s="196">
        <v>11507.17</v>
      </c>
      <c r="BA25" s="189">
        <v>7020900</v>
      </c>
      <c r="BB25" s="198">
        <v>3200</v>
      </c>
      <c r="BC25" s="190">
        <v>3759300</v>
      </c>
      <c r="BD25" s="199">
        <v>200</v>
      </c>
      <c r="BE25" s="189">
        <v>1061473</v>
      </c>
      <c r="BF25" s="196">
        <v>42038</v>
      </c>
      <c r="BI25" s="46">
        <f t="shared" si="1"/>
        <v>43056254</v>
      </c>
      <c r="BL25" s="122"/>
      <c r="BM25" s="122"/>
      <c r="BN25" s="46">
        <f t="shared" si="2"/>
        <v>5177230</v>
      </c>
      <c r="BR25" s="46">
        <f t="shared" si="3"/>
        <v>732562</v>
      </c>
      <c r="BU25" s="97"/>
      <c r="BV25" s="46">
        <f t="shared" si="4"/>
        <v>635165</v>
      </c>
      <c r="BW25" s="98"/>
      <c r="BX25" s="99"/>
      <c r="BY25" s="97"/>
      <c r="BZ25" s="99"/>
      <c r="CA25" s="97"/>
      <c r="CB25" s="40"/>
      <c r="CC25" s="46">
        <f t="shared" si="5"/>
        <v>7020900</v>
      </c>
      <c r="CF25" s="122"/>
      <c r="CG25" s="122"/>
      <c r="CH25" s="122"/>
      <c r="CI25" s="46">
        <f t="shared" si="6"/>
        <v>410879</v>
      </c>
      <c r="CL25" s="122"/>
      <c r="CM25" s="123"/>
      <c r="CN25" s="46">
        <f t="shared" si="7"/>
        <v>851</v>
      </c>
      <c r="CP25" s="124"/>
      <c r="CQ25" s="101"/>
      <c r="CR25" s="46">
        <f t="shared" si="8"/>
        <v>3759300</v>
      </c>
      <c r="CU25" s="122"/>
      <c r="CV25" s="123"/>
      <c r="CW25" s="46">
        <f t="shared" si="9"/>
        <v>1061473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20">
        <v>43185205</v>
      </c>
      <c r="D26" s="321"/>
      <c r="E26" s="36">
        <f t="shared" si="42"/>
        <v>1289510</v>
      </c>
      <c r="F26" s="320">
        <v>5189472</v>
      </c>
      <c r="G26" s="321"/>
      <c r="H26" s="36">
        <f t="shared" si="43"/>
        <v>122420</v>
      </c>
      <c r="I26" s="320">
        <v>17540</v>
      </c>
      <c r="J26" s="321"/>
      <c r="K26" s="36">
        <f t="shared" si="27"/>
        <v>180</v>
      </c>
      <c r="L26" s="320">
        <v>312388</v>
      </c>
      <c r="M26" s="321"/>
      <c r="N26" s="36">
        <f t="shared" si="13"/>
        <v>906000</v>
      </c>
      <c r="O26" s="320">
        <v>10631</v>
      </c>
      <c r="P26" s="321"/>
      <c r="Q26" s="36">
        <f t="shared" si="14"/>
        <v>27400</v>
      </c>
      <c r="R26" s="37"/>
      <c r="S26" s="320">
        <v>734602</v>
      </c>
      <c r="T26" s="321"/>
      <c r="U26" s="36">
        <f t="shared" si="15"/>
        <v>204000</v>
      </c>
      <c r="V26" s="320">
        <v>641340</v>
      </c>
      <c r="W26" s="321"/>
      <c r="X26" s="36">
        <f t="shared" ref="X26" si="44">SUM(V26-V25)*100</f>
        <v>617500</v>
      </c>
      <c r="Y26" s="42">
        <f t="shared" ref="Y26" si="45">SUM(U26+X26)</f>
        <v>821500</v>
      </c>
      <c r="Z26" s="38"/>
      <c r="AA26" s="189">
        <v>17389</v>
      </c>
      <c r="AB26" s="196">
        <v>2290000</v>
      </c>
      <c r="AC26" s="189">
        <v>466287200</v>
      </c>
      <c r="AD26" s="196">
        <v>588910</v>
      </c>
      <c r="AE26" s="189">
        <v>108722</v>
      </c>
      <c r="AF26" s="196">
        <v>2690</v>
      </c>
      <c r="AG26" s="189">
        <v>3407035</v>
      </c>
      <c r="AH26" s="196">
        <v>136820</v>
      </c>
      <c r="AI26" s="189">
        <v>4216219</v>
      </c>
      <c r="AJ26" s="196">
        <v>9914</v>
      </c>
      <c r="AK26" s="189">
        <v>21265</v>
      </c>
      <c r="AL26" s="196">
        <v>304000</v>
      </c>
      <c r="AM26" s="189">
        <v>918</v>
      </c>
      <c r="AN26" s="196">
        <v>24</v>
      </c>
      <c r="AO26" s="189">
        <v>12345</v>
      </c>
      <c r="AP26" s="196">
        <v>6600</v>
      </c>
      <c r="AQ26" s="40"/>
      <c r="AR26" s="120">
        <f t="shared" si="0"/>
        <v>44333</v>
      </c>
      <c r="AS26" s="189">
        <v>930</v>
      </c>
      <c r="AT26" s="196">
        <v>79</v>
      </c>
      <c r="AU26" s="197"/>
      <c r="AV26" s="189">
        <v>450904</v>
      </c>
      <c r="AW26" s="196">
        <v>40025</v>
      </c>
      <c r="AX26" s="189">
        <v>520691018</v>
      </c>
      <c r="AY26" s="196">
        <v>33942</v>
      </c>
      <c r="AZ26" s="196">
        <v>6083.26</v>
      </c>
      <c r="BA26" s="189">
        <v>7023200</v>
      </c>
      <c r="BB26" s="198">
        <v>2300</v>
      </c>
      <c r="BC26" s="190">
        <v>3759600</v>
      </c>
      <c r="BD26" s="199">
        <v>300</v>
      </c>
      <c r="BE26" s="189">
        <v>1088051</v>
      </c>
      <c r="BF26" s="196">
        <v>26578</v>
      </c>
      <c r="BI26" s="46">
        <f t="shared" si="1"/>
        <v>43185205</v>
      </c>
      <c r="BL26" s="122"/>
      <c r="BM26" s="122"/>
      <c r="BN26" s="46">
        <f t="shared" si="2"/>
        <v>5189472</v>
      </c>
      <c r="BR26" s="46">
        <f t="shared" si="3"/>
        <v>734602</v>
      </c>
      <c r="BU26" s="97"/>
      <c r="BV26" s="46">
        <f t="shared" si="4"/>
        <v>641340</v>
      </c>
      <c r="BW26" s="98"/>
      <c r="BX26" s="99"/>
      <c r="BY26" s="97"/>
      <c r="BZ26" s="99"/>
      <c r="CA26" s="97"/>
      <c r="CB26" s="40"/>
      <c r="CC26" s="46">
        <f t="shared" si="5"/>
        <v>7023200</v>
      </c>
      <c r="CF26" s="122"/>
      <c r="CG26" s="122"/>
      <c r="CH26" s="122"/>
      <c r="CI26" s="46">
        <f t="shared" si="6"/>
        <v>450904</v>
      </c>
      <c r="CL26" s="122"/>
      <c r="CM26" s="123"/>
      <c r="CN26" s="46">
        <f t="shared" si="7"/>
        <v>930</v>
      </c>
      <c r="CP26" s="124"/>
      <c r="CQ26" s="101"/>
      <c r="CR26" s="46">
        <f t="shared" si="8"/>
        <v>3759600</v>
      </c>
      <c r="CU26" s="122"/>
      <c r="CV26" s="123"/>
      <c r="CW26" s="46">
        <f t="shared" si="9"/>
        <v>1088051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20">
        <v>43325547</v>
      </c>
      <c r="D27" s="321"/>
      <c r="E27" s="36">
        <f t="shared" si="42"/>
        <v>1403420</v>
      </c>
      <c r="F27" s="320">
        <v>5210730</v>
      </c>
      <c r="G27" s="321"/>
      <c r="H27" s="36">
        <f t="shared" si="43"/>
        <v>212580</v>
      </c>
      <c r="I27" s="320">
        <v>17558</v>
      </c>
      <c r="J27" s="321"/>
      <c r="K27" s="36">
        <f t="shared" si="27"/>
        <v>180</v>
      </c>
      <c r="L27" s="320">
        <v>313370</v>
      </c>
      <c r="M27" s="321"/>
      <c r="N27" s="36">
        <f t="shared" si="13"/>
        <v>982000</v>
      </c>
      <c r="O27" s="320">
        <v>10932</v>
      </c>
      <c r="P27" s="321"/>
      <c r="Q27" s="36">
        <f t="shared" si="14"/>
        <v>30100</v>
      </c>
      <c r="R27" s="37"/>
      <c r="S27" s="320">
        <v>736863</v>
      </c>
      <c r="T27" s="321"/>
      <c r="U27" s="36">
        <f t="shared" si="15"/>
        <v>226100</v>
      </c>
      <c r="V27" s="320">
        <v>649510</v>
      </c>
      <c r="W27" s="321"/>
      <c r="X27" s="36">
        <f t="shared" ref="X27:X44" si="46">SUM(V27-V26)*100</f>
        <v>817000</v>
      </c>
      <c r="Y27" s="42">
        <f t="shared" ref="Y27:Y44" si="47">SUM(U27+X27)</f>
        <v>1043100</v>
      </c>
      <c r="Z27" s="38"/>
      <c r="AA27" s="189">
        <v>17633</v>
      </c>
      <c r="AB27" s="196">
        <v>2440000</v>
      </c>
      <c r="AC27" s="189">
        <v>472728500</v>
      </c>
      <c r="AD27" s="196">
        <v>644130</v>
      </c>
      <c r="AE27" s="189">
        <v>108826</v>
      </c>
      <c r="AF27" s="196">
        <v>1040</v>
      </c>
      <c r="AG27" s="189">
        <v>3421966</v>
      </c>
      <c r="AH27" s="196">
        <v>149310</v>
      </c>
      <c r="AI27" s="189">
        <v>4226465</v>
      </c>
      <c r="AJ27" s="196">
        <v>10246</v>
      </c>
      <c r="AK27" s="189">
        <v>21447</v>
      </c>
      <c r="AL27" s="196">
        <v>182000</v>
      </c>
      <c r="AM27" s="189">
        <v>960</v>
      </c>
      <c r="AN27" s="196">
        <v>42</v>
      </c>
      <c r="AO27" s="189">
        <v>12359</v>
      </c>
      <c r="AP27" s="196">
        <v>1400</v>
      </c>
      <c r="AQ27" s="40"/>
      <c r="AR27" s="120">
        <f t="shared" si="0"/>
        <v>44340</v>
      </c>
      <c r="AS27" s="189">
        <v>1009</v>
      </c>
      <c r="AT27" s="196">
        <v>79</v>
      </c>
      <c r="AU27" s="197"/>
      <c r="AV27" s="189">
        <v>499527</v>
      </c>
      <c r="AW27" s="196">
        <v>48623</v>
      </c>
      <c r="AX27" s="189">
        <v>524627075</v>
      </c>
      <c r="AY27" s="196">
        <v>39361</v>
      </c>
      <c r="AZ27" s="196">
        <v>9262.43</v>
      </c>
      <c r="BA27" s="189">
        <v>7028600</v>
      </c>
      <c r="BB27" s="198">
        <v>5400</v>
      </c>
      <c r="BC27" s="190">
        <v>3759900</v>
      </c>
      <c r="BD27" s="199">
        <v>300</v>
      </c>
      <c r="BE27" s="189">
        <v>1125135</v>
      </c>
      <c r="BF27" s="196">
        <v>37084</v>
      </c>
      <c r="BI27" s="46">
        <f t="shared" si="1"/>
        <v>43325547</v>
      </c>
      <c r="BL27" s="122"/>
      <c r="BM27" s="122"/>
      <c r="BN27" s="46">
        <f t="shared" si="2"/>
        <v>5210730</v>
      </c>
      <c r="BR27" s="46">
        <f t="shared" si="3"/>
        <v>736863</v>
      </c>
      <c r="BU27" s="97"/>
      <c r="BV27" s="46">
        <f t="shared" si="4"/>
        <v>649510</v>
      </c>
      <c r="BW27" s="98"/>
      <c r="BX27" s="99"/>
      <c r="BY27" s="97"/>
      <c r="BZ27" s="99"/>
      <c r="CA27" s="97"/>
      <c r="CB27" s="40"/>
      <c r="CC27" s="46">
        <f t="shared" si="5"/>
        <v>7028600</v>
      </c>
      <c r="CF27" s="122"/>
      <c r="CG27" s="122"/>
      <c r="CH27" s="122"/>
      <c r="CI27" s="46">
        <f t="shared" si="6"/>
        <v>499527</v>
      </c>
      <c r="CL27" s="122"/>
      <c r="CM27" s="123"/>
      <c r="CN27" s="46">
        <f t="shared" si="7"/>
        <v>1009</v>
      </c>
      <c r="CP27" s="124"/>
      <c r="CQ27" s="101"/>
      <c r="CR27" s="46">
        <f t="shared" si="8"/>
        <v>3759900</v>
      </c>
      <c r="CU27" s="122"/>
      <c r="CV27" s="123"/>
      <c r="CW27" s="46">
        <f t="shared" si="9"/>
        <v>1125135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20">
        <v>43453174</v>
      </c>
      <c r="D28" s="321"/>
      <c r="E28" s="36">
        <f t="shared" si="42"/>
        <v>1276270</v>
      </c>
      <c r="F28" s="320">
        <v>5237077</v>
      </c>
      <c r="G28" s="321"/>
      <c r="H28" s="36">
        <f t="shared" si="43"/>
        <v>263470</v>
      </c>
      <c r="I28" s="320">
        <v>17576</v>
      </c>
      <c r="J28" s="321"/>
      <c r="K28" s="36">
        <f t="shared" si="27"/>
        <v>180</v>
      </c>
      <c r="L28" s="320">
        <v>314282</v>
      </c>
      <c r="M28" s="321"/>
      <c r="N28" s="36">
        <f t="shared" si="13"/>
        <v>912000</v>
      </c>
      <c r="O28" s="320">
        <v>11219</v>
      </c>
      <c r="P28" s="321"/>
      <c r="Q28" s="36">
        <f t="shared" ref="Q28" si="48">SUM(O28-O27)*100</f>
        <v>28700</v>
      </c>
      <c r="R28" s="37"/>
      <c r="S28" s="320">
        <v>738933</v>
      </c>
      <c r="T28" s="321"/>
      <c r="U28" s="36">
        <f t="shared" ref="U28" si="49">SUM(S28-S27)*100</f>
        <v>207000</v>
      </c>
      <c r="V28" s="320">
        <v>653320</v>
      </c>
      <c r="W28" s="321"/>
      <c r="X28" s="36">
        <f t="shared" si="46"/>
        <v>381000</v>
      </c>
      <c r="Y28" s="42">
        <f t="shared" si="47"/>
        <v>588000</v>
      </c>
      <c r="Z28" s="38"/>
      <c r="AA28" s="189">
        <v>17889</v>
      </c>
      <c r="AB28" s="196">
        <v>2560000</v>
      </c>
      <c r="AC28" s="189">
        <v>479394400</v>
      </c>
      <c r="AD28" s="196">
        <v>666590</v>
      </c>
      <c r="AE28" s="189">
        <v>114240</v>
      </c>
      <c r="AF28" s="196">
        <v>54140</v>
      </c>
      <c r="AG28" s="189">
        <v>3437410</v>
      </c>
      <c r="AH28" s="196">
        <v>154440</v>
      </c>
      <c r="AI28" s="189">
        <v>4236912</v>
      </c>
      <c r="AJ28" s="196">
        <v>10447</v>
      </c>
      <c r="AK28" s="189">
        <v>21551</v>
      </c>
      <c r="AL28" s="196">
        <v>104000</v>
      </c>
      <c r="AM28" s="189">
        <v>998</v>
      </c>
      <c r="AN28" s="196">
        <v>38</v>
      </c>
      <c r="AO28" s="189">
        <v>12398</v>
      </c>
      <c r="AP28" s="196">
        <v>3900</v>
      </c>
      <c r="AQ28" s="40"/>
      <c r="AR28" s="120">
        <f t="shared" si="0"/>
        <v>44348</v>
      </c>
      <c r="AS28" s="189">
        <v>1101</v>
      </c>
      <c r="AT28" s="196">
        <v>92</v>
      </c>
      <c r="AU28" s="197"/>
      <c r="AV28" s="189">
        <v>552204</v>
      </c>
      <c r="AW28" s="196">
        <v>52677</v>
      </c>
      <c r="AX28" s="189">
        <v>528555411</v>
      </c>
      <c r="AY28" s="196">
        <v>39283</v>
      </c>
      <c r="AZ28" s="196">
        <v>13393.64</v>
      </c>
      <c r="BA28" s="189">
        <v>7030900</v>
      </c>
      <c r="BB28" s="198">
        <v>2300</v>
      </c>
      <c r="BC28" s="190">
        <v>3760300</v>
      </c>
      <c r="BD28" s="199">
        <v>400</v>
      </c>
      <c r="BE28" s="189">
        <v>1131788</v>
      </c>
      <c r="BF28" s="196">
        <v>6653</v>
      </c>
      <c r="BI28" s="46">
        <f t="shared" si="1"/>
        <v>43453174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5237077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738933</v>
      </c>
      <c r="BS28" s="20">
        <v>642156</v>
      </c>
      <c r="BT28" s="20">
        <v>12327.08</v>
      </c>
      <c r="BU28" s="106">
        <v>10060.66</v>
      </c>
      <c r="BV28" s="46">
        <f t="shared" si="4"/>
        <v>653320</v>
      </c>
      <c r="BW28" s="107">
        <v>23580</v>
      </c>
      <c r="BX28" s="47">
        <v>18.149999999999999</v>
      </c>
      <c r="BY28" s="106">
        <v>14.85</v>
      </c>
      <c r="BZ28" s="118">
        <f t="shared" ref="BZ28" si="50">SUM(BT28+BX28)</f>
        <v>12345.23</v>
      </c>
      <c r="CA28" s="106">
        <v>1197.8699999999999</v>
      </c>
      <c r="CB28" s="40"/>
      <c r="CC28" s="46">
        <f t="shared" si="5"/>
        <v>7030900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552204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1101</v>
      </c>
      <c r="CO28" s="20">
        <v>6466</v>
      </c>
      <c r="CP28" s="25">
        <v>547.14</v>
      </c>
      <c r="CQ28" s="109">
        <v>447.53</v>
      </c>
      <c r="CR28" s="46">
        <f t="shared" si="8"/>
        <v>3760300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1131788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1276270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20">
        <v>43589715</v>
      </c>
      <c r="D29" s="321"/>
      <c r="E29" s="36">
        <f t="shared" ref="E29" si="51">SUM(C29-C28)*10</f>
        <v>1365410</v>
      </c>
      <c r="F29" s="320">
        <v>5260868</v>
      </c>
      <c r="G29" s="321"/>
      <c r="H29" s="36">
        <f t="shared" ref="H29" si="52">SUM(F29-F28)*10</f>
        <v>237910</v>
      </c>
      <c r="I29" s="320">
        <v>17598</v>
      </c>
      <c r="J29" s="321"/>
      <c r="K29" s="36">
        <f t="shared" si="27"/>
        <v>220</v>
      </c>
      <c r="L29" s="320">
        <v>315320</v>
      </c>
      <c r="M29" s="321"/>
      <c r="N29" s="36">
        <f t="shared" si="13"/>
        <v>1038000</v>
      </c>
      <c r="O29" s="320">
        <v>11509</v>
      </c>
      <c r="P29" s="321"/>
      <c r="Q29" s="36">
        <f t="shared" ref="Q29:Q51" si="53">SUM(O29-O28)*100</f>
        <v>29000</v>
      </c>
      <c r="R29" s="37"/>
      <c r="S29" s="320">
        <v>740950</v>
      </c>
      <c r="T29" s="321"/>
      <c r="U29" s="36">
        <f t="shared" ref="U29:U51" si="54">SUM(S29-S28)*100</f>
        <v>201700</v>
      </c>
      <c r="V29" s="320">
        <v>656020</v>
      </c>
      <c r="W29" s="321"/>
      <c r="X29" s="36">
        <f t="shared" si="46"/>
        <v>270000</v>
      </c>
      <c r="Y29" s="42">
        <f t="shared" si="47"/>
        <v>471700</v>
      </c>
      <c r="Z29" s="38"/>
      <c r="AA29" s="189">
        <v>18173</v>
      </c>
      <c r="AB29" s="196">
        <v>2840000</v>
      </c>
      <c r="AC29" s="189">
        <v>487122400</v>
      </c>
      <c r="AD29" s="196">
        <v>772800</v>
      </c>
      <c r="AE29" s="189">
        <v>111625</v>
      </c>
      <c r="AF29" s="196">
        <v>2010</v>
      </c>
      <c r="AG29" s="189">
        <v>3450785</v>
      </c>
      <c r="AH29" s="196">
        <v>133750</v>
      </c>
      <c r="AI29" s="189">
        <v>4246989</v>
      </c>
      <c r="AJ29" s="196">
        <v>10077</v>
      </c>
      <c r="AK29" s="189">
        <v>21628</v>
      </c>
      <c r="AL29" s="196">
        <v>77000</v>
      </c>
      <c r="AM29" s="189">
        <v>1026</v>
      </c>
      <c r="AN29" s="196">
        <v>28</v>
      </c>
      <c r="AO29" s="189">
        <v>12440</v>
      </c>
      <c r="AP29" s="196">
        <v>4200</v>
      </c>
      <c r="AQ29" s="40"/>
      <c r="AR29" s="120">
        <f t="shared" si="0"/>
        <v>44354</v>
      </c>
      <c r="AS29" s="189">
        <v>1218</v>
      </c>
      <c r="AT29" s="196">
        <v>117</v>
      </c>
      <c r="AU29" s="197"/>
      <c r="AV29" s="189">
        <v>602975</v>
      </c>
      <c r="AW29" s="196">
        <v>50771</v>
      </c>
      <c r="AX29" s="189">
        <v>532527881</v>
      </c>
      <c r="AY29" s="196">
        <v>39725</v>
      </c>
      <c r="AZ29" s="196">
        <v>11046.3</v>
      </c>
      <c r="BA29" s="189">
        <v>7032700</v>
      </c>
      <c r="BB29" s="198">
        <v>1800</v>
      </c>
      <c r="BC29" s="190">
        <v>3760600</v>
      </c>
      <c r="BD29" s="199">
        <v>300</v>
      </c>
      <c r="BE29" s="189">
        <v>1131879</v>
      </c>
      <c r="BF29" s="196">
        <v>91</v>
      </c>
      <c r="BI29" s="46">
        <f t="shared" si="1"/>
        <v>43589715</v>
      </c>
      <c r="BL29" s="122"/>
      <c r="BM29" s="122"/>
      <c r="BN29" s="46">
        <f t="shared" si="2"/>
        <v>5260868</v>
      </c>
      <c r="BR29" s="46">
        <f t="shared" si="3"/>
        <v>740950</v>
      </c>
      <c r="BU29" s="97"/>
      <c r="BV29" s="46">
        <f t="shared" si="4"/>
        <v>656020</v>
      </c>
      <c r="BW29" s="98"/>
      <c r="BX29" s="99"/>
      <c r="BY29" s="97"/>
      <c r="BZ29" s="99"/>
      <c r="CA29" s="97"/>
      <c r="CB29" s="40"/>
      <c r="CC29" s="46">
        <f t="shared" si="5"/>
        <v>7032700</v>
      </c>
      <c r="CF29" s="122"/>
      <c r="CG29" s="122"/>
      <c r="CH29" s="122"/>
      <c r="CI29" s="46">
        <f t="shared" si="6"/>
        <v>602975</v>
      </c>
      <c r="CL29" s="122"/>
      <c r="CM29" s="123"/>
      <c r="CN29" s="46">
        <f t="shared" si="7"/>
        <v>1218</v>
      </c>
      <c r="CP29" s="124"/>
      <c r="CQ29" s="101"/>
      <c r="CR29" s="46">
        <f t="shared" si="8"/>
        <v>3760600</v>
      </c>
      <c r="CU29" s="122"/>
      <c r="CV29" s="123"/>
      <c r="CW29" s="46">
        <f t="shared" si="9"/>
        <v>1131879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20">
        <v>43724992</v>
      </c>
      <c r="D30" s="321"/>
      <c r="E30" s="36">
        <f t="shared" ref="E30:E33" si="55">SUM(C30-C29)*10</f>
        <v>1352770</v>
      </c>
      <c r="F30" s="320">
        <v>5303547</v>
      </c>
      <c r="G30" s="321"/>
      <c r="H30" s="36">
        <f t="shared" ref="H30:H33" si="56">SUM(F30-F29)*10</f>
        <v>426790</v>
      </c>
      <c r="I30" s="320">
        <v>17653</v>
      </c>
      <c r="J30" s="321"/>
      <c r="K30" s="36">
        <f t="shared" si="27"/>
        <v>550</v>
      </c>
      <c r="L30" s="320">
        <v>316377</v>
      </c>
      <c r="M30" s="321"/>
      <c r="N30" s="36">
        <f t="shared" si="13"/>
        <v>1057000</v>
      </c>
      <c r="O30" s="320">
        <v>11784</v>
      </c>
      <c r="P30" s="321"/>
      <c r="Q30" s="36">
        <f t="shared" si="53"/>
        <v>27500</v>
      </c>
      <c r="R30" s="37"/>
      <c r="S30" s="320">
        <v>742948</v>
      </c>
      <c r="T30" s="321"/>
      <c r="U30" s="36">
        <f t="shared" si="54"/>
        <v>199800</v>
      </c>
      <c r="V30" s="320">
        <v>658610</v>
      </c>
      <c r="W30" s="321"/>
      <c r="X30" s="36">
        <f t="shared" si="46"/>
        <v>259000</v>
      </c>
      <c r="Y30" s="42">
        <f t="shared" si="47"/>
        <v>458800</v>
      </c>
      <c r="Z30" s="38"/>
      <c r="AA30" s="189">
        <v>18483</v>
      </c>
      <c r="AB30" s="196">
        <v>3100000</v>
      </c>
      <c r="AC30" s="189">
        <v>495086300</v>
      </c>
      <c r="AD30" s="196">
        <v>796390</v>
      </c>
      <c r="AE30" s="189">
        <v>111809</v>
      </c>
      <c r="AF30" s="196">
        <v>1840</v>
      </c>
      <c r="AG30" s="189">
        <v>3466359</v>
      </c>
      <c r="AH30" s="196">
        <v>155740</v>
      </c>
      <c r="AI30" s="189">
        <v>4254124</v>
      </c>
      <c r="AJ30" s="196">
        <v>7135</v>
      </c>
      <c r="AK30" s="189">
        <v>21682</v>
      </c>
      <c r="AL30" s="196">
        <v>54000</v>
      </c>
      <c r="AM30" s="189">
        <v>1036</v>
      </c>
      <c r="AN30" s="196">
        <v>10</v>
      </c>
      <c r="AO30" s="189">
        <v>12476</v>
      </c>
      <c r="AP30" s="196">
        <v>3600</v>
      </c>
      <c r="AQ30" s="40"/>
      <c r="AR30" s="120">
        <f t="shared" si="0"/>
        <v>44361</v>
      </c>
      <c r="AS30" s="189">
        <v>1319</v>
      </c>
      <c r="AT30" s="196">
        <v>101</v>
      </c>
      <c r="AU30" s="197"/>
      <c r="AV30" s="189">
        <v>652271</v>
      </c>
      <c r="AW30" s="196">
        <v>49296</v>
      </c>
      <c r="AX30" s="189">
        <v>536498642</v>
      </c>
      <c r="AY30" s="196">
        <v>39708</v>
      </c>
      <c r="AZ30" s="196">
        <v>9588.39</v>
      </c>
      <c r="BA30" s="189">
        <v>7034100</v>
      </c>
      <c r="BB30" s="198">
        <v>1400</v>
      </c>
      <c r="BC30" s="190">
        <v>3760900</v>
      </c>
      <c r="BD30" s="199">
        <v>300</v>
      </c>
      <c r="BE30" s="189">
        <v>1131977</v>
      </c>
      <c r="BF30" s="196">
        <v>98</v>
      </c>
      <c r="BI30" s="46">
        <f t="shared" si="1"/>
        <v>43724992</v>
      </c>
      <c r="BL30" s="122"/>
      <c r="BM30" s="122"/>
      <c r="BN30" s="46">
        <f t="shared" si="2"/>
        <v>5303547</v>
      </c>
      <c r="BR30" s="46">
        <f t="shared" si="3"/>
        <v>742948</v>
      </c>
      <c r="BU30" s="97"/>
      <c r="BV30" s="46">
        <f t="shared" si="4"/>
        <v>658610</v>
      </c>
      <c r="BW30" s="98"/>
      <c r="BX30" s="99"/>
      <c r="BY30" s="97"/>
      <c r="BZ30" s="99"/>
      <c r="CA30" s="97"/>
      <c r="CB30" s="40"/>
      <c r="CC30" s="46">
        <f t="shared" si="5"/>
        <v>7034100</v>
      </c>
      <c r="CF30" s="122"/>
      <c r="CG30" s="122"/>
      <c r="CH30" s="122"/>
      <c r="CI30" s="46">
        <f t="shared" si="6"/>
        <v>652271</v>
      </c>
      <c r="CL30" s="122"/>
      <c r="CM30" s="123"/>
      <c r="CN30" s="46">
        <f t="shared" si="7"/>
        <v>1319</v>
      </c>
      <c r="CP30" s="124"/>
      <c r="CQ30" s="101"/>
      <c r="CR30" s="46">
        <f t="shared" si="8"/>
        <v>3760900</v>
      </c>
      <c r="CU30" s="122"/>
      <c r="CV30" s="123"/>
      <c r="CW30" s="46">
        <f t="shared" si="9"/>
        <v>1131977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20">
        <v>43849679</v>
      </c>
      <c r="D31" s="321"/>
      <c r="E31" s="36">
        <f t="shared" si="55"/>
        <v>1246870</v>
      </c>
      <c r="F31" s="320">
        <v>5319566</v>
      </c>
      <c r="G31" s="321"/>
      <c r="H31" s="36">
        <f t="shared" si="56"/>
        <v>160190</v>
      </c>
      <c r="I31" s="320">
        <v>17669</v>
      </c>
      <c r="J31" s="321"/>
      <c r="K31" s="36">
        <f t="shared" si="27"/>
        <v>160</v>
      </c>
      <c r="L31" s="320">
        <v>317399</v>
      </c>
      <c r="M31" s="321"/>
      <c r="N31" s="36">
        <f t="shared" si="13"/>
        <v>1022000</v>
      </c>
      <c r="O31" s="320">
        <v>12052</v>
      </c>
      <c r="P31" s="321"/>
      <c r="Q31" s="36">
        <f t="shared" si="53"/>
        <v>26800</v>
      </c>
      <c r="R31" s="37"/>
      <c r="S31" s="320">
        <v>744841</v>
      </c>
      <c r="T31" s="321"/>
      <c r="U31" s="36">
        <f t="shared" si="54"/>
        <v>189300</v>
      </c>
      <c r="V31" s="320">
        <v>661220</v>
      </c>
      <c r="W31" s="321"/>
      <c r="X31" s="36">
        <f t="shared" si="46"/>
        <v>261000</v>
      </c>
      <c r="Y31" s="42">
        <f t="shared" si="47"/>
        <v>450300</v>
      </c>
      <c r="Z31" s="38"/>
      <c r="AA31" s="189">
        <v>18765</v>
      </c>
      <c r="AB31" s="196">
        <v>2820000</v>
      </c>
      <c r="AC31" s="189">
        <v>502648400</v>
      </c>
      <c r="AD31" s="196">
        <v>756210</v>
      </c>
      <c r="AE31" s="189">
        <v>111851</v>
      </c>
      <c r="AF31" s="196">
        <v>420</v>
      </c>
      <c r="AG31" s="189">
        <v>3477674</v>
      </c>
      <c r="AH31" s="196">
        <v>113150</v>
      </c>
      <c r="AI31" s="189">
        <v>4260256</v>
      </c>
      <c r="AJ31" s="196">
        <v>6132</v>
      </c>
      <c r="AK31" s="189">
        <v>21711</v>
      </c>
      <c r="AL31" s="196">
        <v>29000</v>
      </c>
      <c r="AM31" s="189">
        <v>1051</v>
      </c>
      <c r="AN31" s="196">
        <v>15</v>
      </c>
      <c r="AO31" s="189">
        <v>12497</v>
      </c>
      <c r="AP31" s="196">
        <v>2100</v>
      </c>
      <c r="AQ31" s="40"/>
      <c r="AR31" s="120">
        <f t="shared" si="0"/>
        <v>44368</v>
      </c>
      <c r="AS31" s="189">
        <v>1412</v>
      </c>
      <c r="AT31" s="196">
        <v>93</v>
      </c>
      <c r="AU31" s="197"/>
      <c r="AV31" s="189">
        <v>701609</v>
      </c>
      <c r="AW31" s="196">
        <v>49338</v>
      </c>
      <c r="AX31" s="189">
        <v>540479186</v>
      </c>
      <c r="AY31" s="196">
        <v>39805</v>
      </c>
      <c r="AZ31" s="196">
        <v>9532.56</v>
      </c>
      <c r="BA31" s="189">
        <v>7042000</v>
      </c>
      <c r="BB31" s="198">
        <v>7900</v>
      </c>
      <c r="BC31" s="190">
        <v>3761300</v>
      </c>
      <c r="BD31" s="199">
        <v>400</v>
      </c>
      <c r="BE31" s="189">
        <v>1131977</v>
      </c>
      <c r="BF31" s="196">
        <v>0</v>
      </c>
      <c r="BI31" s="46">
        <f t="shared" si="1"/>
        <v>43849679</v>
      </c>
      <c r="BL31" s="122"/>
      <c r="BM31" s="122"/>
      <c r="BN31" s="46">
        <f t="shared" si="2"/>
        <v>5319566</v>
      </c>
      <c r="BR31" s="46">
        <f t="shared" si="3"/>
        <v>744841</v>
      </c>
      <c r="BU31" s="97"/>
      <c r="BV31" s="46">
        <f t="shared" si="4"/>
        <v>661220</v>
      </c>
      <c r="BW31" s="98"/>
      <c r="BX31" s="99"/>
      <c r="BY31" s="97"/>
      <c r="BZ31" s="99"/>
      <c r="CA31" s="97"/>
      <c r="CB31" s="40"/>
      <c r="CC31" s="46">
        <f t="shared" si="5"/>
        <v>7042000</v>
      </c>
      <c r="CF31" s="122"/>
      <c r="CG31" s="122"/>
      <c r="CH31" s="122"/>
      <c r="CI31" s="46">
        <f t="shared" si="6"/>
        <v>701609</v>
      </c>
      <c r="CL31" s="122"/>
      <c r="CM31" s="123"/>
      <c r="CN31" s="46">
        <f t="shared" si="7"/>
        <v>1412</v>
      </c>
      <c r="CP31" s="124"/>
      <c r="CQ31" s="101"/>
      <c r="CR31" s="46">
        <f t="shared" si="8"/>
        <v>3761300</v>
      </c>
      <c r="CU31" s="122"/>
      <c r="CV31" s="123"/>
      <c r="CW31" s="46">
        <f t="shared" si="9"/>
        <v>1131977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20">
        <v>43977794</v>
      </c>
      <c r="D32" s="321"/>
      <c r="E32" s="36">
        <f t="shared" si="55"/>
        <v>1281150</v>
      </c>
      <c r="F32" s="320">
        <v>5323051</v>
      </c>
      <c r="G32" s="321"/>
      <c r="H32" s="36">
        <f t="shared" si="56"/>
        <v>34850</v>
      </c>
      <c r="I32" s="320">
        <v>17685</v>
      </c>
      <c r="J32" s="321"/>
      <c r="K32" s="36">
        <f t="shared" si="27"/>
        <v>160</v>
      </c>
      <c r="L32" s="320">
        <v>318480</v>
      </c>
      <c r="M32" s="321"/>
      <c r="N32" s="36">
        <f t="shared" si="13"/>
        <v>1081000</v>
      </c>
      <c r="O32" s="320">
        <v>12345</v>
      </c>
      <c r="P32" s="321"/>
      <c r="Q32" s="36">
        <v>129</v>
      </c>
      <c r="R32" s="37"/>
      <c r="S32" s="320">
        <v>746881</v>
      </c>
      <c r="T32" s="321"/>
      <c r="U32" s="36">
        <f t="shared" si="54"/>
        <v>204000</v>
      </c>
      <c r="V32" s="320">
        <v>664240</v>
      </c>
      <c r="W32" s="321"/>
      <c r="X32" s="36">
        <f t="shared" si="46"/>
        <v>302000</v>
      </c>
      <c r="Y32" s="42">
        <f t="shared" si="47"/>
        <v>506000</v>
      </c>
      <c r="Z32" s="38"/>
      <c r="AA32" s="189">
        <v>19042</v>
      </c>
      <c r="AB32" s="196">
        <v>2770000</v>
      </c>
      <c r="AC32" s="189">
        <v>509700400</v>
      </c>
      <c r="AD32" s="196">
        <v>705200</v>
      </c>
      <c r="AE32" s="189">
        <v>111920</v>
      </c>
      <c r="AF32" s="196">
        <v>690</v>
      </c>
      <c r="AG32" s="189">
        <v>3491418</v>
      </c>
      <c r="AH32" s="196">
        <v>137440</v>
      </c>
      <c r="AI32" s="189">
        <v>4263485</v>
      </c>
      <c r="AJ32" s="196">
        <v>3229</v>
      </c>
      <c r="AK32" s="189">
        <v>21714</v>
      </c>
      <c r="AL32" s="196">
        <v>3000</v>
      </c>
      <c r="AM32" s="189">
        <v>1067</v>
      </c>
      <c r="AN32" s="196">
        <v>16</v>
      </c>
      <c r="AO32" s="189">
        <v>12579</v>
      </c>
      <c r="AP32" s="196">
        <v>8200</v>
      </c>
      <c r="AQ32" s="40"/>
      <c r="AR32" s="120">
        <f t="shared" si="0"/>
        <v>44375</v>
      </c>
      <c r="AS32" s="189">
        <v>1503</v>
      </c>
      <c r="AT32" s="196">
        <v>91</v>
      </c>
      <c r="AU32" s="197"/>
      <c r="AV32" s="189">
        <v>759087</v>
      </c>
      <c r="AW32" s="196">
        <v>57478</v>
      </c>
      <c r="AX32" s="189">
        <v>544955975</v>
      </c>
      <c r="AY32" s="196">
        <v>44768</v>
      </c>
      <c r="AZ32" s="196">
        <v>12710.11</v>
      </c>
      <c r="BA32" s="189">
        <v>7045800</v>
      </c>
      <c r="BB32" s="198">
        <v>3800</v>
      </c>
      <c r="BC32" s="190">
        <v>3761700</v>
      </c>
      <c r="BD32" s="199">
        <v>400</v>
      </c>
      <c r="BE32" s="189">
        <v>1131977</v>
      </c>
      <c r="BF32" s="196">
        <v>0</v>
      </c>
      <c r="BI32" s="46">
        <f t="shared" si="1"/>
        <v>43977794</v>
      </c>
      <c r="BL32" s="122"/>
      <c r="BM32" s="122"/>
      <c r="BN32" s="46">
        <f t="shared" si="2"/>
        <v>5323051</v>
      </c>
      <c r="BR32" s="46">
        <f t="shared" si="3"/>
        <v>746881</v>
      </c>
      <c r="BU32" s="97"/>
      <c r="BV32" s="46">
        <f t="shared" si="4"/>
        <v>664240</v>
      </c>
      <c r="BW32" s="98"/>
      <c r="BX32" s="99"/>
      <c r="BY32" s="97"/>
      <c r="BZ32" s="99"/>
      <c r="CA32" s="97"/>
      <c r="CB32" s="40"/>
      <c r="CC32" s="46">
        <f t="shared" si="5"/>
        <v>7045800</v>
      </c>
      <c r="CF32" s="122"/>
      <c r="CG32" s="122"/>
      <c r="CH32" s="122"/>
      <c r="CI32" s="46">
        <f t="shared" si="6"/>
        <v>759087</v>
      </c>
      <c r="CL32" s="122"/>
      <c r="CM32" s="123"/>
      <c r="CN32" s="46">
        <f t="shared" si="7"/>
        <v>1503</v>
      </c>
      <c r="CP32" s="124"/>
      <c r="CQ32" s="101"/>
      <c r="CR32" s="46">
        <f t="shared" si="8"/>
        <v>3761700</v>
      </c>
      <c r="CU32" s="122"/>
      <c r="CV32" s="123"/>
      <c r="CW32" s="46">
        <f t="shared" si="9"/>
        <v>1131977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04">
        <v>44014765</v>
      </c>
      <c r="D33" s="304"/>
      <c r="E33" s="36">
        <f t="shared" si="55"/>
        <v>369710</v>
      </c>
      <c r="F33" s="304">
        <v>5328320</v>
      </c>
      <c r="G33" s="304"/>
      <c r="H33" s="36">
        <f t="shared" si="56"/>
        <v>52690</v>
      </c>
      <c r="I33" s="304">
        <v>17698</v>
      </c>
      <c r="J33" s="304"/>
      <c r="K33" s="36">
        <f t="shared" si="27"/>
        <v>130</v>
      </c>
      <c r="L33" s="304">
        <v>318771</v>
      </c>
      <c r="M33" s="304"/>
      <c r="N33" s="36">
        <f t="shared" si="13"/>
        <v>291000</v>
      </c>
      <c r="O33" s="304">
        <v>12431</v>
      </c>
      <c r="P33" s="304"/>
      <c r="Q33" s="36">
        <f t="shared" si="53"/>
        <v>8600</v>
      </c>
      <c r="R33" s="37"/>
      <c r="S33" s="304">
        <v>747434</v>
      </c>
      <c r="T33" s="304"/>
      <c r="U33" s="36">
        <f t="shared" si="54"/>
        <v>55300</v>
      </c>
      <c r="V33" s="304">
        <v>665790</v>
      </c>
      <c r="W33" s="304"/>
      <c r="X33" s="36">
        <f t="shared" si="46"/>
        <v>155000</v>
      </c>
      <c r="Y33" s="42">
        <f t="shared" si="47"/>
        <v>210300</v>
      </c>
      <c r="Z33" s="38"/>
      <c r="AA33" s="20">
        <v>19125</v>
      </c>
      <c r="AB33" s="43">
        <f t="shared" ref="AB33" si="57">SUM(AA33-AA32)*10000</f>
        <v>830000</v>
      </c>
      <c r="AC33" s="20">
        <v>511929000</v>
      </c>
      <c r="AD33" s="43">
        <f t="shared" ref="AD33" si="58">SUM(AC33-AC32)*0.1</f>
        <v>222860</v>
      </c>
      <c r="AE33" s="20">
        <v>111928</v>
      </c>
      <c r="AF33" s="43">
        <f t="shared" ref="AF33" si="59">SUM(AE33-AE32)*10</f>
        <v>80</v>
      </c>
      <c r="AG33" s="20">
        <v>3499612</v>
      </c>
      <c r="AH33" s="43">
        <f t="shared" ref="AH33" si="60">SUM(AG33-AG32)*10</f>
        <v>81940</v>
      </c>
      <c r="AI33" s="20">
        <v>4265210</v>
      </c>
      <c r="AJ33" s="43">
        <f t="shared" ref="AJ33" si="61">SUM(AI33-AI32)</f>
        <v>1725</v>
      </c>
      <c r="AK33" s="20">
        <v>21722</v>
      </c>
      <c r="AL33" s="43">
        <f t="shared" ref="AL33" si="62">SUM(AK33-AK32)*1000</f>
        <v>8000</v>
      </c>
      <c r="AM33" s="20">
        <v>1078</v>
      </c>
      <c r="AN33" s="43">
        <f t="shared" ref="AN33" si="63">SUM(AM33-AM32)</f>
        <v>11</v>
      </c>
      <c r="AO33" s="20">
        <v>12582</v>
      </c>
      <c r="AP33" s="43">
        <f t="shared" ref="AP33" si="64">SUM(AO33-AO32)*100</f>
        <v>300</v>
      </c>
      <c r="AQ33" s="40"/>
      <c r="AR33" s="120">
        <f t="shared" si="0"/>
        <v>44378</v>
      </c>
      <c r="AS33" s="20">
        <v>1541</v>
      </c>
      <c r="AT33" s="43">
        <f t="shared" ref="AT33" si="65">SUM(AS33-AS32)</f>
        <v>38</v>
      </c>
      <c r="AU33" s="14"/>
      <c r="AV33" s="20">
        <v>774567</v>
      </c>
      <c r="AW33" s="43">
        <f t="shared" ref="AW33" si="66">SUM(AV33-AV32)</f>
        <v>15480</v>
      </c>
      <c r="AX33" s="20">
        <v>546155109</v>
      </c>
      <c r="AY33" s="44">
        <f t="shared" ref="AY33" si="67">SUM(AX33-AX32)/100</f>
        <v>11991.34</v>
      </c>
      <c r="AZ33" s="43">
        <f t="shared" ref="AZ33" si="68">SUM(AW33-AY33)</f>
        <v>3488.66</v>
      </c>
      <c r="BA33" s="20">
        <v>7048100</v>
      </c>
      <c r="BB33" s="269">
        <f t="shared" ref="BB33" si="69">SUM(BA33-BA32)</f>
        <v>2300</v>
      </c>
      <c r="BC33" s="94">
        <v>3761800</v>
      </c>
      <c r="BD33" s="95">
        <f t="shared" ref="BD33" si="70">SUM(BC33-BC32)</f>
        <v>100</v>
      </c>
      <c r="BE33" s="20">
        <v>1131978</v>
      </c>
      <c r="BF33" s="43">
        <f t="shared" ref="BF33" si="71">SUM(BE33-BE32)</f>
        <v>1</v>
      </c>
      <c r="BI33" s="46">
        <f t="shared" si="1"/>
        <v>44014765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5328320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747434</v>
      </c>
      <c r="BS33" s="20">
        <v>644396</v>
      </c>
      <c r="BT33" s="20">
        <v>11174.69</v>
      </c>
      <c r="BU33" s="106">
        <v>9107.86</v>
      </c>
      <c r="BV33" s="46">
        <f t="shared" si="4"/>
        <v>665790</v>
      </c>
      <c r="BW33" s="107">
        <v>26328</v>
      </c>
      <c r="BX33" s="47">
        <v>1187.44</v>
      </c>
      <c r="BY33" s="106">
        <v>969.71</v>
      </c>
      <c r="BZ33" s="118">
        <f t="shared" ref="BZ33" si="72">SUM(BT33+BX33)</f>
        <v>12362.130000000001</v>
      </c>
      <c r="CA33" s="106">
        <v>2882.89</v>
      </c>
      <c r="CB33" s="40"/>
      <c r="CC33" s="46">
        <f t="shared" si="5"/>
        <v>7048100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774567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1541</v>
      </c>
      <c r="CO33" s="20">
        <v>6720</v>
      </c>
      <c r="CP33" s="25">
        <v>588.87</v>
      </c>
      <c r="CQ33" s="109">
        <v>480.89</v>
      </c>
      <c r="CR33" s="46">
        <f t="shared" si="8"/>
        <v>3761800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1131978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369710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20">
        <v>44103262</v>
      </c>
      <c r="D34" s="321"/>
      <c r="E34" s="36">
        <f t="shared" ref="E34" si="73">SUM(C34-C33)*10</f>
        <v>884970</v>
      </c>
      <c r="F34" s="320">
        <v>5328323</v>
      </c>
      <c r="G34" s="321"/>
      <c r="H34" s="36">
        <f t="shared" ref="H34" si="74">SUM(F34-F33)*10</f>
        <v>30</v>
      </c>
      <c r="I34" s="320">
        <v>17702</v>
      </c>
      <c r="J34" s="321"/>
      <c r="K34" s="36">
        <f t="shared" si="27"/>
        <v>40</v>
      </c>
      <c r="L34" s="320">
        <v>319511</v>
      </c>
      <c r="M34" s="321"/>
      <c r="N34" s="36">
        <f t="shared" si="13"/>
        <v>740000</v>
      </c>
      <c r="O34" s="320">
        <v>12642</v>
      </c>
      <c r="P34" s="321"/>
      <c r="Q34" s="36">
        <f t="shared" si="53"/>
        <v>21100</v>
      </c>
      <c r="R34" s="37"/>
      <c r="S34" s="320">
        <v>748840</v>
      </c>
      <c r="T34" s="321"/>
      <c r="U34" s="36">
        <f t="shared" si="54"/>
        <v>140600</v>
      </c>
      <c r="V34" s="320">
        <v>669050</v>
      </c>
      <c r="W34" s="321"/>
      <c r="X34" s="36">
        <f t="shared" si="46"/>
        <v>326000</v>
      </c>
      <c r="Y34" s="42">
        <f t="shared" si="47"/>
        <v>466600</v>
      </c>
      <c r="Z34" s="38"/>
      <c r="AA34" s="189">
        <v>19310</v>
      </c>
      <c r="AB34" s="196">
        <v>1850000</v>
      </c>
      <c r="AC34" s="189">
        <v>516876700</v>
      </c>
      <c r="AD34" s="196">
        <v>494770</v>
      </c>
      <c r="AE34" s="189">
        <v>111934</v>
      </c>
      <c r="AF34" s="196">
        <v>60</v>
      </c>
      <c r="AG34" s="189">
        <v>3504767</v>
      </c>
      <c r="AH34" s="196">
        <v>51550</v>
      </c>
      <c r="AI34" s="189">
        <v>4266498</v>
      </c>
      <c r="AJ34" s="196">
        <v>1288</v>
      </c>
      <c r="AK34" s="189">
        <v>21735</v>
      </c>
      <c r="AL34" s="196">
        <v>13000</v>
      </c>
      <c r="AM34" s="189">
        <v>1127</v>
      </c>
      <c r="AN34" s="196">
        <v>49</v>
      </c>
      <c r="AO34" s="189">
        <v>12630</v>
      </c>
      <c r="AP34" s="196">
        <v>4800</v>
      </c>
      <c r="AQ34" s="40"/>
      <c r="AR34" s="120">
        <f t="shared" si="0"/>
        <v>44382</v>
      </c>
      <c r="AS34" s="189">
        <v>1594</v>
      </c>
      <c r="AT34" s="196">
        <v>53</v>
      </c>
      <c r="AU34" s="197"/>
      <c r="AV34" s="189">
        <v>803155</v>
      </c>
      <c r="AW34" s="196">
        <v>28588</v>
      </c>
      <c r="AX34" s="189">
        <v>548438756</v>
      </c>
      <c r="AY34" s="196">
        <v>22836</v>
      </c>
      <c r="AZ34" s="196">
        <v>5751.53</v>
      </c>
      <c r="BA34" s="189">
        <v>7048600</v>
      </c>
      <c r="BB34" s="198">
        <v>500</v>
      </c>
      <c r="BC34" s="190">
        <v>3761900</v>
      </c>
      <c r="BD34" s="199">
        <v>100</v>
      </c>
      <c r="BE34" s="189">
        <v>1131978</v>
      </c>
      <c r="BF34" s="196">
        <v>0</v>
      </c>
      <c r="BI34" s="46">
        <f t="shared" si="1"/>
        <v>44103262</v>
      </c>
      <c r="BL34" s="122"/>
      <c r="BM34" s="122"/>
      <c r="BN34" s="46">
        <f t="shared" si="2"/>
        <v>5328323</v>
      </c>
      <c r="BR34" s="46">
        <f t="shared" si="3"/>
        <v>748840</v>
      </c>
      <c r="BU34" s="97"/>
      <c r="BV34" s="46">
        <f t="shared" si="4"/>
        <v>669050</v>
      </c>
      <c r="BW34" s="98"/>
      <c r="BX34" s="99"/>
      <c r="BY34" s="97"/>
      <c r="BZ34" s="99"/>
      <c r="CA34" s="97"/>
      <c r="CB34" s="40"/>
      <c r="CC34" s="46">
        <f t="shared" si="5"/>
        <v>7048600</v>
      </c>
      <c r="CF34" s="122"/>
      <c r="CG34" s="122"/>
      <c r="CH34" s="122"/>
      <c r="CI34" s="46">
        <f t="shared" si="6"/>
        <v>803155</v>
      </c>
      <c r="CL34" s="122"/>
      <c r="CM34" s="123"/>
      <c r="CN34" s="46">
        <f t="shared" si="7"/>
        <v>1594</v>
      </c>
      <c r="CP34" s="124"/>
      <c r="CQ34" s="101"/>
      <c r="CR34" s="46">
        <f t="shared" si="8"/>
        <v>3761900</v>
      </c>
      <c r="CU34" s="122"/>
      <c r="CV34" s="123"/>
      <c r="CW34" s="46">
        <f t="shared" si="9"/>
        <v>1131978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20">
        <v>44225593</v>
      </c>
      <c r="D35" s="321"/>
      <c r="E35" s="36">
        <f t="shared" ref="E35:E38" si="75">SUM(C35-C34)*10</f>
        <v>1223310</v>
      </c>
      <c r="F35" s="320">
        <v>5329014</v>
      </c>
      <c r="G35" s="321"/>
      <c r="H35" s="36">
        <f t="shared" ref="H35:H38" si="76">SUM(F35-F34)*10</f>
        <v>6910</v>
      </c>
      <c r="I35" s="320">
        <v>17718</v>
      </c>
      <c r="J35" s="321"/>
      <c r="K35" s="36">
        <f t="shared" si="27"/>
        <v>160</v>
      </c>
      <c r="L35" s="320">
        <v>320471</v>
      </c>
      <c r="M35" s="321"/>
      <c r="N35" s="36">
        <f t="shared" si="13"/>
        <v>960000</v>
      </c>
      <c r="O35" s="320">
        <v>12946</v>
      </c>
      <c r="P35" s="321"/>
      <c r="Q35" s="36">
        <f t="shared" si="53"/>
        <v>30400</v>
      </c>
      <c r="R35" s="37"/>
      <c r="S35" s="320">
        <v>750876</v>
      </c>
      <c r="T35" s="321"/>
      <c r="U35" s="36">
        <f t="shared" si="54"/>
        <v>203600</v>
      </c>
      <c r="V35" s="320">
        <v>671370</v>
      </c>
      <c r="W35" s="321"/>
      <c r="X35" s="36">
        <f t="shared" si="46"/>
        <v>232000</v>
      </c>
      <c r="Y35" s="42">
        <f t="shared" si="47"/>
        <v>435600</v>
      </c>
      <c r="Z35" s="38"/>
      <c r="AA35" s="189">
        <v>19611</v>
      </c>
      <c r="AB35" s="196">
        <v>3010000</v>
      </c>
      <c r="AC35" s="189">
        <v>524307500</v>
      </c>
      <c r="AD35" s="196">
        <v>743080</v>
      </c>
      <c r="AE35" s="189">
        <v>111950</v>
      </c>
      <c r="AF35" s="196">
        <v>160</v>
      </c>
      <c r="AG35" s="189">
        <v>3511410</v>
      </c>
      <c r="AH35" s="196">
        <v>66430</v>
      </c>
      <c r="AI35" s="189">
        <v>4275361</v>
      </c>
      <c r="AJ35" s="196">
        <v>8863</v>
      </c>
      <c r="AK35" s="189">
        <v>21858</v>
      </c>
      <c r="AL35" s="196">
        <v>123000</v>
      </c>
      <c r="AM35" s="189">
        <v>1134</v>
      </c>
      <c r="AN35" s="196">
        <v>7</v>
      </c>
      <c r="AO35" s="189">
        <v>12639</v>
      </c>
      <c r="AP35" s="196">
        <v>900</v>
      </c>
      <c r="AQ35" s="40"/>
      <c r="AR35" s="120">
        <f t="shared" si="0"/>
        <v>44389</v>
      </c>
      <c r="AS35" s="189">
        <v>1678</v>
      </c>
      <c r="AT35" s="196">
        <v>84</v>
      </c>
      <c r="AU35" s="197"/>
      <c r="AV35" s="189">
        <v>850758</v>
      </c>
      <c r="AW35" s="196">
        <v>47603</v>
      </c>
      <c r="AX35" s="189">
        <v>552411583</v>
      </c>
      <c r="AY35" s="196">
        <v>39728</v>
      </c>
      <c r="AZ35" s="196">
        <v>7874.73</v>
      </c>
      <c r="BA35" s="189">
        <v>7049600</v>
      </c>
      <c r="BB35" s="198">
        <v>1000</v>
      </c>
      <c r="BC35" s="190">
        <v>3762200</v>
      </c>
      <c r="BD35" s="199">
        <v>300</v>
      </c>
      <c r="BE35" s="189">
        <v>1131979</v>
      </c>
      <c r="BF35" s="196">
        <v>1</v>
      </c>
      <c r="BI35" s="46">
        <f t="shared" si="1"/>
        <v>44225593</v>
      </c>
      <c r="BL35" s="122"/>
      <c r="BM35" s="122"/>
      <c r="BN35" s="46">
        <f t="shared" si="2"/>
        <v>5329014</v>
      </c>
      <c r="BR35" s="46">
        <f t="shared" si="3"/>
        <v>750876</v>
      </c>
      <c r="BU35" s="97"/>
      <c r="BV35" s="46">
        <f t="shared" si="4"/>
        <v>671370</v>
      </c>
      <c r="BW35" s="98"/>
      <c r="BX35" s="99"/>
      <c r="BY35" s="97"/>
      <c r="BZ35" s="99"/>
      <c r="CA35" s="97"/>
      <c r="CB35" s="40"/>
      <c r="CC35" s="46">
        <f t="shared" si="5"/>
        <v>7049600</v>
      </c>
      <c r="CF35" s="122"/>
      <c r="CG35" s="122"/>
      <c r="CH35" s="122"/>
      <c r="CI35" s="46">
        <f t="shared" si="6"/>
        <v>850758</v>
      </c>
      <c r="CL35" s="122"/>
      <c r="CM35" s="123"/>
      <c r="CN35" s="46">
        <f t="shared" si="7"/>
        <v>1678</v>
      </c>
      <c r="CP35" s="124"/>
      <c r="CQ35" s="101"/>
      <c r="CR35" s="46">
        <f t="shared" si="8"/>
        <v>3762200</v>
      </c>
      <c r="CU35" s="122"/>
      <c r="CV35" s="123"/>
      <c r="CW35" s="46">
        <f t="shared" si="9"/>
        <v>1131979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52"/>
      <c r="D36" s="352"/>
      <c r="E36" s="36">
        <f t="shared" si="75"/>
        <v>-442255930</v>
      </c>
      <c r="F36" s="352"/>
      <c r="G36" s="352"/>
      <c r="H36" s="36">
        <f t="shared" si="76"/>
        <v>-53290140</v>
      </c>
      <c r="I36" s="352"/>
      <c r="J36" s="352"/>
      <c r="K36" s="36">
        <f t="shared" si="27"/>
        <v>-177180</v>
      </c>
      <c r="L36" s="352"/>
      <c r="M36" s="352"/>
      <c r="N36" s="36">
        <f t="shared" si="13"/>
        <v>-320471000</v>
      </c>
      <c r="O36" s="352"/>
      <c r="P36" s="352"/>
      <c r="Q36" s="36">
        <f t="shared" si="53"/>
        <v>-1294600</v>
      </c>
      <c r="R36" s="37"/>
      <c r="S36" s="352"/>
      <c r="T36" s="352"/>
      <c r="U36" s="36">
        <f t="shared" si="54"/>
        <v>-75087600</v>
      </c>
      <c r="V36" s="353"/>
      <c r="W36" s="353"/>
      <c r="X36" s="36">
        <f t="shared" si="46"/>
        <v>-67137000</v>
      </c>
      <c r="Y36" s="42">
        <f t="shared" si="47"/>
        <v>-142224600</v>
      </c>
      <c r="Z36" s="38"/>
      <c r="AA36" s="39"/>
      <c r="AB36" s="36">
        <f t="shared" ref="AB35:AB51" si="77">SUM(AA36-AA35)*10000</f>
        <v>-196110000</v>
      </c>
      <c r="AC36" s="39"/>
      <c r="AD36" s="36">
        <f t="shared" ref="AD35:AD51" si="78">SUM(AC36-AC35)*0.1</f>
        <v>-52430750</v>
      </c>
      <c r="AE36" s="39"/>
      <c r="AF36" s="36">
        <f t="shared" ref="AF35:AF51" si="79">SUM(AE36-AE35)*10</f>
        <v>-1119500</v>
      </c>
      <c r="AG36" s="39"/>
      <c r="AH36" s="36">
        <f t="shared" ref="AH35:AH51" si="80">SUM(AG36-AG35)*10</f>
        <v>-35114100</v>
      </c>
      <c r="AI36" s="39"/>
      <c r="AJ36" s="36">
        <f t="shared" ref="AJ35:AJ51" si="81">SUM(AI36-AI35)</f>
        <v>-4275361</v>
      </c>
      <c r="AK36" s="39"/>
      <c r="AL36" s="36">
        <f t="shared" ref="AL35:AL51" si="82">SUM(AK36-AK35)*1000</f>
        <v>-21858000</v>
      </c>
      <c r="AM36" s="39"/>
      <c r="AN36" s="43">
        <f t="shared" ref="AN35:AN51" si="83">SUM(AM36-AM35)*1000</f>
        <v>-1134000</v>
      </c>
      <c r="AO36" s="39"/>
      <c r="AP36" s="36">
        <f t="shared" ref="AP35:AP51" si="84">SUM(AO36-AO35)*100</f>
        <v>-1263900</v>
      </c>
      <c r="AQ36" s="40"/>
      <c r="AR36" s="120">
        <f t="shared" si="0"/>
        <v>44396</v>
      </c>
      <c r="AS36" s="41"/>
      <c r="AT36" s="36">
        <f t="shared" ref="AT35:AT51" si="85">SUM(AS36-AS35)</f>
        <v>-1678</v>
      </c>
      <c r="AU36" s="40"/>
      <c r="AV36" s="41"/>
      <c r="AW36" s="36">
        <f t="shared" ref="AW35:AW51" si="86">SUM(AV36-AV35)</f>
        <v>-850758</v>
      </c>
      <c r="AX36" s="39"/>
      <c r="AY36" s="44">
        <f t="shared" ref="AY35:AY51" si="87">SUM(AX36-AX35)/100</f>
        <v>-5524115.8300000001</v>
      </c>
      <c r="AZ36" s="36">
        <f t="shared" ref="AZ35:AZ51" si="88">SUM(AW36-AY36)</f>
        <v>4673357.83</v>
      </c>
      <c r="BA36" s="41"/>
      <c r="BB36" s="36">
        <f t="shared" ref="BB35:BB51" si="89">SUM(BA36-BA35)</f>
        <v>-7049600</v>
      </c>
      <c r="BC36" s="41"/>
      <c r="BD36" s="36">
        <f t="shared" ref="BD35:BD51" si="90">SUM(BC36-BC35)</f>
        <v>-3762200</v>
      </c>
      <c r="BE36" s="41"/>
      <c r="BF36" s="36">
        <f t="shared" ref="BF35:BF51" si="91">SUM(BE36-BE35)</f>
        <v>-1131979</v>
      </c>
      <c r="BI36" s="46">
        <f t="shared" si="1"/>
        <v>0</v>
      </c>
      <c r="BL36" s="122"/>
      <c r="BM36" s="122"/>
      <c r="BN36" s="46">
        <f t="shared" si="2"/>
        <v>0</v>
      </c>
      <c r="BR36" s="46">
        <f t="shared" si="3"/>
        <v>0</v>
      </c>
      <c r="BU36" s="97"/>
      <c r="BV36" s="46">
        <f t="shared" si="4"/>
        <v>0</v>
      </c>
      <c r="BW36" s="98"/>
      <c r="BX36" s="99"/>
      <c r="BY36" s="97"/>
      <c r="BZ36" s="99"/>
      <c r="CA36" s="97"/>
      <c r="CB36" s="40"/>
      <c r="CC36" s="46">
        <f t="shared" si="5"/>
        <v>0</v>
      </c>
      <c r="CF36" s="122"/>
      <c r="CG36" s="122"/>
      <c r="CH36" s="122"/>
      <c r="CI36" s="46">
        <f t="shared" si="6"/>
        <v>0</v>
      </c>
      <c r="CL36" s="122"/>
      <c r="CM36" s="123"/>
      <c r="CN36" s="46">
        <f t="shared" si="7"/>
        <v>0</v>
      </c>
      <c r="CP36" s="124"/>
      <c r="CQ36" s="101"/>
      <c r="CR36" s="46">
        <f t="shared" si="8"/>
        <v>0</v>
      </c>
      <c r="CU36" s="122"/>
      <c r="CV36" s="123"/>
      <c r="CW36" s="46">
        <f t="shared" si="9"/>
        <v>0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52"/>
      <c r="D37" s="352"/>
      <c r="E37" s="36">
        <f t="shared" si="75"/>
        <v>0</v>
      </c>
      <c r="F37" s="352"/>
      <c r="G37" s="352"/>
      <c r="H37" s="36">
        <f t="shared" si="76"/>
        <v>0</v>
      </c>
      <c r="I37" s="352"/>
      <c r="J37" s="352"/>
      <c r="K37" s="36">
        <f t="shared" si="27"/>
        <v>0</v>
      </c>
      <c r="L37" s="352"/>
      <c r="M37" s="352"/>
      <c r="N37" s="36">
        <f t="shared" si="13"/>
        <v>0</v>
      </c>
      <c r="O37" s="352"/>
      <c r="P37" s="352"/>
      <c r="Q37" s="36">
        <f t="shared" si="53"/>
        <v>0</v>
      </c>
      <c r="R37" s="37"/>
      <c r="S37" s="352"/>
      <c r="T37" s="352"/>
      <c r="U37" s="36">
        <f t="shared" si="54"/>
        <v>0</v>
      </c>
      <c r="V37" s="353"/>
      <c r="W37" s="353"/>
      <c r="X37" s="36">
        <f t="shared" si="46"/>
        <v>0</v>
      </c>
      <c r="Y37" s="42">
        <f t="shared" si="47"/>
        <v>0</v>
      </c>
      <c r="Z37" s="38"/>
      <c r="AA37" s="39"/>
      <c r="AB37" s="36">
        <f t="shared" si="77"/>
        <v>0</v>
      </c>
      <c r="AC37" s="39"/>
      <c r="AD37" s="36">
        <f t="shared" si="78"/>
        <v>0</v>
      </c>
      <c r="AE37" s="39"/>
      <c r="AF37" s="36">
        <f t="shared" si="79"/>
        <v>0</v>
      </c>
      <c r="AG37" s="39"/>
      <c r="AH37" s="36">
        <f t="shared" si="80"/>
        <v>0</v>
      </c>
      <c r="AI37" s="39"/>
      <c r="AJ37" s="36">
        <f t="shared" si="81"/>
        <v>0</v>
      </c>
      <c r="AK37" s="39"/>
      <c r="AL37" s="36">
        <f t="shared" si="82"/>
        <v>0</v>
      </c>
      <c r="AM37" s="39"/>
      <c r="AN37" s="43">
        <f t="shared" si="83"/>
        <v>0</v>
      </c>
      <c r="AO37" s="39"/>
      <c r="AP37" s="36">
        <f t="shared" si="84"/>
        <v>0</v>
      </c>
      <c r="AQ37" s="40"/>
      <c r="AR37" s="120">
        <f t="shared" si="0"/>
        <v>44403</v>
      </c>
      <c r="AS37" s="41"/>
      <c r="AT37" s="36">
        <f t="shared" si="85"/>
        <v>0</v>
      </c>
      <c r="AU37" s="40"/>
      <c r="AV37" s="41"/>
      <c r="AW37" s="36">
        <f t="shared" si="86"/>
        <v>0</v>
      </c>
      <c r="AX37" s="39"/>
      <c r="AY37" s="44">
        <f t="shared" si="87"/>
        <v>0</v>
      </c>
      <c r="AZ37" s="36">
        <f t="shared" si="88"/>
        <v>0</v>
      </c>
      <c r="BA37" s="41"/>
      <c r="BB37" s="36">
        <f t="shared" si="89"/>
        <v>0</v>
      </c>
      <c r="BC37" s="41"/>
      <c r="BD37" s="36">
        <f t="shared" si="90"/>
        <v>0</v>
      </c>
      <c r="BE37" s="41"/>
      <c r="BF37" s="36">
        <f t="shared" si="91"/>
        <v>0</v>
      </c>
      <c r="BI37" s="46">
        <f t="shared" si="1"/>
        <v>0</v>
      </c>
      <c r="BL37" s="122"/>
      <c r="BM37" s="122"/>
      <c r="BN37" s="46">
        <f t="shared" si="2"/>
        <v>0</v>
      </c>
      <c r="BR37" s="46">
        <f t="shared" si="3"/>
        <v>0</v>
      </c>
      <c r="BU37" s="97"/>
      <c r="BV37" s="46">
        <f t="shared" si="4"/>
        <v>0</v>
      </c>
      <c r="BW37" s="98"/>
      <c r="BX37" s="99"/>
      <c r="BY37" s="97"/>
      <c r="BZ37" s="99"/>
      <c r="CA37" s="97"/>
      <c r="CB37" s="40"/>
      <c r="CC37" s="46">
        <f t="shared" si="5"/>
        <v>0</v>
      </c>
      <c r="CF37" s="122"/>
      <c r="CG37" s="122"/>
      <c r="CH37" s="122"/>
      <c r="CI37" s="46">
        <f t="shared" si="6"/>
        <v>0</v>
      </c>
      <c r="CL37" s="122"/>
      <c r="CM37" s="123"/>
      <c r="CN37" s="46">
        <f t="shared" si="7"/>
        <v>0</v>
      </c>
      <c r="CP37" s="124"/>
      <c r="CQ37" s="101"/>
      <c r="CR37" s="46">
        <f t="shared" si="8"/>
        <v>0</v>
      </c>
      <c r="CU37" s="122"/>
      <c r="CV37" s="123"/>
      <c r="CW37" s="46">
        <f t="shared" si="9"/>
        <v>0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52"/>
      <c r="D38" s="352"/>
      <c r="E38" s="36">
        <f t="shared" si="75"/>
        <v>0</v>
      </c>
      <c r="F38" s="352"/>
      <c r="G38" s="352"/>
      <c r="H38" s="36">
        <f t="shared" si="76"/>
        <v>0</v>
      </c>
      <c r="I38" s="352"/>
      <c r="J38" s="352"/>
      <c r="K38" s="36">
        <f t="shared" si="27"/>
        <v>0</v>
      </c>
      <c r="L38" s="352"/>
      <c r="M38" s="352"/>
      <c r="N38" s="36">
        <f t="shared" si="13"/>
        <v>0</v>
      </c>
      <c r="O38" s="352"/>
      <c r="P38" s="352"/>
      <c r="Q38" s="36">
        <f t="shared" si="53"/>
        <v>0</v>
      </c>
      <c r="R38" s="37"/>
      <c r="S38" s="352"/>
      <c r="T38" s="352"/>
      <c r="U38" s="36">
        <f t="shared" si="54"/>
        <v>0</v>
      </c>
      <c r="V38" s="353"/>
      <c r="W38" s="353"/>
      <c r="X38" s="36">
        <f t="shared" si="46"/>
        <v>0</v>
      </c>
      <c r="Y38" s="42">
        <f t="shared" si="47"/>
        <v>0</v>
      </c>
      <c r="Z38" s="38"/>
      <c r="AA38" s="39"/>
      <c r="AB38" s="36">
        <f t="shared" si="77"/>
        <v>0</v>
      </c>
      <c r="AC38" s="39"/>
      <c r="AD38" s="36">
        <f t="shared" si="78"/>
        <v>0</v>
      </c>
      <c r="AE38" s="39"/>
      <c r="AF38" s="36">
        <f t="shared" si="79"/>
        <v>0</v>
      </c>
      <c r="AG38" s="39"/>
      <c r="AH38" s="36">
        <f t="shared" si="80"/>
        <v>0</v>
      </c>
      <c r="AI38" s="39"/>
      <c r="AJ38" s="36">
        <f t="shared" si="81"/>
        <v>0</v>
      </c>
      <c r="AK38" s="39"/>
      <c r="AL38" s="36">
        <f t="shared" si="82"/>
        <v>0</v>
      </c>
      <c r="AM38" s="39"/>
      <c r="AN38" s="43">
        <f t="shared" si="83"/>
        <v>0</v>
      </c>
      <c r="AO38" s="39"/>
      <c r="AP38" s="36">
        <f t="shared" si="84"/>
        <v>0</v>
      </c>
      <c r="AQ38" s="40"/>
      <c r="AR38" s="120">
        <f t="shared" si="0"/>
        <v>44409</v>
      </c>
      <c r="AS38" s="41"/>
      <c r="AT38" s="36">
        <f t="shared" si="85"/>
        <v>0</v>
      </c>
      <c r="AU38" s="40"/>
      <c r="AV38" s="41"/>
      <c r="AW38" s="36">
        <f t="shared" si="86"/>
        <v>0</v>
      </c>
      <c r="AX38" s="39"/>
      <c r="AY38" s="44">
        <f t="shared" si="87"/>
        <v>0</v>
      </c>
      <c r="AZ38" s="36">
        <f t="shared" si="88"/>
        <v>0</v>
      </c>
      <c r="BA38" s="41"/>
      <c r="BB38" s="36">
        <f t="shared" si="89"/>
        <v>0</v>
      </c>
      <c r="BC38" s="41"/>
      <c r="BD38" s="36">
        <f t="shared" si="90"/>
        <v>0</v>
      </c>
      <c r="BE38" s="41"/>
      <c r="BF38" s="36">
        <f t="shared" si="91"/>
        <v>0</v>
      </c>
      <c r="BI38" s="46">
        <f t="shared" si="1"/>
        <v>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0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0</v>
      </c>
      <c r="BS38" s="20">
        <v>650560</v>
      </c>
      <c r="BT38" s="20">
        <v>30750.35</v>
      </c>
      <c r="BU38" s="106">
        <v>25075.15</v>
      </c>
      <c r="BV38" s="46">
        <f t="shared" si="4"/>
        <v>0</v>
      </c>
      <c r="BW38" s="107">
        <v>26328</v>
      </c>
      <c r="BX38" s="47">
        <v>0</v>
      </c>
      <c r="BY38" s="106">
        <v>0</v>
      </c>
      <c r="BZ38" s="118">
        <f t="shared" ref="BZ38" si="92">SUM(BT38+BX38)</f>
        <v>30750.35</v>
      </c>
      <c r="CA38" s="106">
        <v>6828.29</v>
      </c>
      <c r="CB38" s="40"/>
      <c r="CC38" s="46">
        <f t="shared" si="5"/>
        <v>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0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0</v>
      </c>
      <c r="CO38" s="20">
        <v>6981</v>
      </c>
      <c r="CP38" s="25">
        <v>605.1</v>
      </c>
      <c r="CQ38" s="109">
        <v>495.26</v>
      </c>
      <c r="CR38" s="46">
        <f t="shared" si="8"/>
        <v>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0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52"/>
      <c r="D39" s="352"/>
      <c r="E39" s="36">
        <f t="shared" ref="E39:E40" si="93">SUM(C39-C38)*10</f>
        <v>0</v>
      </c>
      <c r="F39" s="352"/>
      <c r="G39" s="352"/>
      <c r="H39" s="36">
        <f t="shared" ref="H39:H40" si="94">SUM(F39-F38)*10</f>
        <v>0</v>
      </c>
      <c r="I39" s="352"/>
      <c r="J39" s="352"/>
      <c r="K39" s="36">
        <f t="shared" si="27"/>
        <v>0</v>
      </c>
      <c r="L39" s="352"/>
      <c r="M39" s="352"/>
      <c r="N39" s="36">
        <f t="shared" si="13"/>
        <v>0</v>
      </c>
      <c r="O39" s="352"/>
      <c r="P39" s="352"/>
      <c r="Q39" s="36">
        <f t="shared" si="53"/>
        <v>0</v>
      </c>
      <c r="R39" s="37"/>
      <c r="S39" s="352"/>
      <c r="T39" s="352"/>
      <c r="U39" s="36">
        <f t="shared" si="54"/>
        <v>0</v>
      </c>
      <c r="V39" s="353"/>
      <c r="W39" s="353"/>
      <c r="X39" s="36">
        <f t="shared" si="46"/>
        <v>0</v>
      </c>
      <c r="Y39" s="42">
        <f t="shared" si="47"/>
        <v>0</v>
      </c>
      <c r="Z39" s="38"/>
      <c r="AA39" s="39"/>
      <c r="AB39" s="36">
        <f t="shared" si="77"/>
        <v>0</v>
      </c>
      <c r="AC39" s="39"/>
      <c r="AD39" s="36">
        <f t="shared" si="78"/>
        <v>0</v>
      </c>
      <c r="AE39" s="39"/>
      <c r="AF39" s="36">
        <f t="shared" si="79"/>
        <v>0</v>
      </c>
      <c r="AG39" s="39"/>
      <c r="AH39" s="36">
        <f t="shared" si="80"/>
        <v>0</v>
      </c>
      <c r="AI39" s="39"/>
      <c r="AJ39" s="36">
        <f t="shared" si="81"/>
        <v>0</v>
      </c>
      <c r="AK39" s="39"/>
      <c r="AL39" s="36">
        <f t="shared" si="82"/>
        <v>0</v>
      </c>
      <c r="AM39" s="39"/>
      <c r="AN39" s="43">
        <f t="shared" si="83"/>
        <v>0</v>
      </c>
      <c r="AO39" s="39"/>
      <c r="AP39" s="36">
        <f t="shared" si="84"/>
        <v>0</v>
      </c>
      <c r="AQ39" s="40"/>
      <c r="AR39" s="120">
        <f t="shared" si="0"/>
        <v>44410</v>
      </c>
      <c r="AS39" s="41"/>
      <c r="AT39" s="36">
        <f t="shared" si="85"/>
        <v>0</v>
      </c>
      <c r="AU39" s="40"/>
      <c r="AV39" s="41"/>
      <c r="AW39" s="36">
        <f t="shared" si="86"/>
        <v>0</v>
      </c>
      <c r="AX39" s="39"/>
      <c r="AY39" s="44">
        <f t="shared" si="87"/>
        <v>0</v>
      </c>
      <c r="AZ39" s="36">
        <f t="shared" si="88"/>
        <v>0</v>
      </c>
      <c r="BA39" s="41"/>
      <c r="BB39" s="36">
        <f t="shared" si="89"/>
        <v>0</v>
      </c>
      <c r="BC39" s="41"/>
      <c r="BD39" s="36">
        <f t="shared" si="90"/>
        <v>0</v>
      </c>
      <c r="BE39" s="41"/>
      <c r="BF39" s="36">
        <f t="shared" si="91"/>
        <v>0</v>
      </c>
      <c r="BI39" s="46">
        <f t="shared" si="1"/>
        <v>0</v>
      </c>
      <c r="BL39" s="122"/>
      <c r="BM39" s="122"/>
      <c r="BN39" s="46">
        <f t="shared" si="2"/>
        <v>0</v>
      </c>
      <c r="BR39" s="46">
        <f t="shared" si="3"/>
        <v>0</v>
      </c>
      <c r="BU39" s="97"/>
      <c r="BV39" s="46">
        <f t="shared" si="4"/>
        <v>0</v>
      </c>
      <c r="BW39" s="98"/>
      <c r="BX39" s="99"/>
      <c r="BY39" s="97"/>
      <c r="BZ39" s="99"/>
      <c r="CA39" s="97"/>
      <c r="CB39" s="40"/>
      <c r="CC39" s="46">
        <f t="shared" si="5"/>
        <v>0</v>
      </c>
      <c r="CF39" s="122"/>
      <c r="CG39" s="122"/>
      <c r="CH39" s="122"/>
      <c r="CI39" s="46">
        <f t="shared" si="6"/>
        <v>0</v>
      </c>
      <c r="CL39" s="122"/>
      <c r="CM39" s="123"/>
      <c r="CN39" s="46">
        <f t="shared" si="7"/>
        <v>0</v>
      </c>
      <c r="CP39" s="124"/>
      <c r="CQ39" s="101"/>
      <c r="CR39" s="46">
        <f t="shared" si="8"/>
        <v>0</v>
      </c>
      <c r="CU39" s="122"/>
      <c r="CV39" s="123"/>
      <c r="CW39" s="46">
        <f t="shared" si="9"/>
        <v>0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52"/>
      <c r="D40" s="352"/>
      <c r="E40" s="36">
        <f t="shared" si="93"/>
        <v>0</v>
      </c>
      <c r="F40" s="352"/>
      <c r="G40" s="352"/>
      <c r="H40" s="36">
        <f t="shared" si="94"/>
        <v>0</v>
      </c>
      <c r="I40" s="352"/>
      <c r="J40" s="352"/>
      <c r="K40" s="36">
        <f t="shared" si="27"/>
        <v>0</v>
      </c>
      <c r="L40" s="352"/>
      <c r="M40" s="352"/>
      <c r="N40" s="36">
        <f t="shared" si="13"/>
        <v>0</v>
      </c>
      <c r="O40" s="352"/>
      <c r="P40" s="352"/>
      <c r="Q40" s="36">
        <f t="shared" si="53"/>
        <v>0</v>
      </c>
      <c r="R40" s="37"/>
      <c r="S40" s="352"/>
      <c r="T40" s="352"/>
      <c r="U40" s="36">
        <f t="shared" si="54"/>
        <v>0</v>
      </c>
      <c r="V40" s="353"/>
      <c r="W40" s="353"/>
      <c r="X40" s="36">
        <f t="shared" si="46"/>
        <v>0</v>
      </c>
      <c r="Y40" s="42">
        <f t="shared" si="47"/>
        <v>0</v>
      </c>
      <c r="Z40" s="38"/>
      <c r="AA40" s="39"/>
      <c r="AB40" s="36">
        <f t="shared" si="77"/>
        <v>0</v>
      </c>
      <c r="AC40" s="39"/>
      <c r="AD40" s="36">
        <f t="shared" si="78"/>
        <v>0</v>
      </c>
      <c r="AE40" s="39"/>
      <c r="AF40" s="36">
        <f t="shared" si="79"/>
        <v>0</v>
      </c>
      <c r="AG40" s="39"/>
      <c r="AH40" s="36">
        <f t="shared" si="80"/>
        <v>0</v>
      </c>
      <c r="AI40" s="39"/>
      <c r="AJ40" s="36">
        <f t="shared" si="81"/>
        <v>0</v>
      </c>
      <c r="AK40" s="39"/>
      <c r="AL40" s="36">
        <f t="shared" si="82"/>
        <v>0</v>
      </c>
      <c r="AM40" s="39"/>
      <c r="AN40" s="43">
        <f t="shared" si="83"/>
        <v>0</v>
      </c>
      <c r="AO40" s="39"/>
      <c r="AP40" s="36">
        <f t="shared" si="84"/>
        <v>0</v>
      </c>
      <c r="AQ40" s="40"/>
      <c r="AR40" s="120">
        <f t="shared" si="0"/>
        <v>44417</v>
      </c>
      <c r="AS40" s="41"/>
      <c r="AT40" s="36">
        <f t="shared" si="85"/>
        <v>0</v>
      </c>
      <c r="AU40" s="40"/>
      <c r="AV40" s="41"/>
      <c r="AW40" s="36">
        <f t="shared" si="86"/>
        <v>0</v>
      </c>
      <c r="AX40" s="39"/>
      <c r="AY40" s="44">
        <f t="shared" si="87"/>
        <v>0</v>
      </c>
      <c r="AZ40" s="36">
        <f t="shared" si="88"/>
        <v>0</v>
      </c>
      <c r="BA40" s="41"/>
      <c r="BB40" s="36">
        <f t="shared" si="89"/>
        <v>0</v>
      </c>
      <c r="BC40" s="41"/>
      <c r="BD40" s="36">
        <f t="shared" si="90"/>
        <v>0</v>
      </c>
      <c r="BE40" s="41"/>
      <c r="BF40" s="36">
        <f t="shared" si="91"/>
        <v>0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52"/>
      <c r="D41" s="352"/>
      <c r="E41" s="36">
        <f t="shared" ref="E41" si="95">SUM(C41-C40)*10</f>
        <v>0</v>
      </c>
      <c r="F41" s="352"/>
      <c r="G41" s="352"/>
      <c r="H41" s="36">
        <f t="shared" ref="H41" si="96">SUM(F41-F40)*10</f>
        <v>0</v>
      </c>
      <c r="I41" s="352"/>
      <c r="J41" s="352"/>
      <c r="K41" s="36">
        <f t="shared" si="27"/>
        <v>0</v>
      </c>
      <c r="L41" s="352"/>
      <c r="M41" s="352"/>
      <c r="N41" s="36">
        <f t="shared" si="13"/>
        <v>0</v>
      </c>
      <c r="O41" s="352"/>
      <c r="P41" s="352"/>
      <c r="Q41" s="36">
        <f t="shared" si="53"/>
        <v>0</v>
      </c>
      <c r="R41" s="37"/>
      <c r="S41" s="352"/>
      <c r="T41" s="352"/>
      <c r="U41" s="36">
        <f t="shared" si="54"/>
        <v>0</v>
      </c>
      <c r="V41" s="353"/>
      <c r="W41" s="353"/>
      <c r="X41" s="36">
        <f t="shared" si="46"/>
        <v>0</v>
      </c>
      <c r="Y41" s="42">
        <f t="shared" si="47"/>
        <v>0</v>
      </c>
      <c r="Z41" s="38"/>
      <c r="AA41" s="39"/>
      <c r="AB41" s="36">
        <f t="shared" si="77"/>
        <v>0</v>
      </c>
      <c r="AC41" s="39"/>
      <c r="AD41" s="36">
        <f t="shared" si="78"/>
        <v>0</v>
      </c>
      <c r="AE41" s="39"/>
      <c r="AF41" s="36">
        <f t="shared" si="79"/>
        <v>0</v>
      </c>
      <c r="AG41" s="39"/>
      <c r="AH41" s="36">
        <f t="shared" si="80"/>
        <v>0</v>
      </c>
      <c r="AI41" s="39"/>
      <c r="AJ41" s="36">
        <f t="shared" si="81"/>
        <v>0</v>
      </c>
      <c r="AK41" s="39"/>
      <c r="AL41" s="36">
        <f t="shared" si="82"/>
        <v>0</v>
      </c>
      <c r="AM41" s="39"/>
      <c r="AN41" s="43">
        <f t="shared" si="83"/>
        <v>0</v>
      </c>
      <c r="AO41" s="39"/>
      <c r="AP41" s="36">
        <f t="shared" si="84"/>
        <v>0</v>
      </c>
      <c r="AQ41" s="40"/>
      <c r="AR41" s="120">
        <f t="shared" si="0"/>
        <v>44424</v>
      </c>
      <c r="AS41" s="41"/>
      <c r="AT41" s="36">
        <f t="shared" si="85"/>
        <v>0</v>
      </c>
      <c r="AU41" s="40"/>
      <c r="AV41" s="41"/>
      <c r="AW41" s="36">
        <f t="shared" si="86"/>
        <v>0</v>
      </c>
      <c r="AX41" s="39"/>
      <c r="AY41" s="44">
        <f t="shared" si="87"/>
        <v>0</v>
      </c>
      <c r="AZ41" s="36">
        <f t="shared" si="88"/>
        <v>0</v>
      </c>
      <c r="BA41" s="41"/>
      <c r="BB41" s="36">
        <f t="shared" si="89"/>
        <v>0</v>
      </c>
      <c r="BD41" s="36">
        <f t="shared" si="90"/>
        <v>0</v>
      </c>
      <c r="BE41" s="41"/>
      <c r="BF41" s="36">
        <f t="shared" si="91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52"/>
      <c r="D42" s="352"/>
      <c r="E42" s="36">
        <f t="shared" ref="E42" si="97">SUM(C42-C41)*10</f>
        <v>0</v>
      </c>
      <c r="F42" s="352"/>
      <c r="G42" s="352"/>
      <c r="H42" s="36">
        <f t="shared" ref="H42" si="98">SUM(F42-F41)*10</f>
        <v>0</v>
      </c>
      <c r="I42" s="352"/>
      <c r="J42" s="352"/>
      <c r="K42" s="36">
        <f t="shared" si="27"/>
        <v>0</v>
      </c>
      <c r="L42" s="352"/>
      <c r="M42" s="352"/>
      <c r="N42" s="36">
        <f t="shared" si="13"/>
        <v>0</v>
      </c>
      <c r="O42" s="352"/>
      <c r="P42" s="352"/>
      <c r="Q42" s="36">
        <f t="shared" si="53"/>
        <v>0</v>
      </c>
      <c r="R42" s="37"/>
      <c r="S42" s="352"/>
      <c r="T42" s="352"/>
      <c r="U42" s="36">
        <f t="shared" si="54"/>
        <v>0</v>
      </c>
      <c r="V42" s="353"/>
      <c r="W42" s="353"/>
      <c r="X42" s="36">
        <f t="shared" si="46"/>
        <v>0</v>
      </c>
      <c r="Y42" s="42">
        <f t="shared" si="47"/>
        <v>0</v>
      </c>
      <c r="Z42" s="38"/>
      <c r="AA42" s="39"/>
      <c r="AB42" s="36">
        <f t="shared" si="77"/>
        <v>0</v>
      </c>
      <c r="AC42" s="39"/>
      <c r="AD42" s="36">
        <f t="shared" si="78"/>
        <v>0</v>
      </c>
      <c r="AE42" s="39"/>
      <c r="AF42" s="36">
        <f t="shared" si="79"/>
        <v>0</v>
      </c>
      <c r="AG42" s="39"/>
      <c r="AH42" s="36">
        <f t="shared" si="80"/>
        <v>0</v>
      </c>
      <c r="AI42" s="39"/>
      <c r="AJ42" s="36">
        <f t="shared" si="81"/>
        <v>0</v>
      </c>
      <c r="AK42" s="39"/>
      <c r="AL42" s="36">
        <f t="shared" si="82"/>
        <v>0</v>
      </c>
      <c r="AM42" s="39"/>
      <c r="AN42" s="43">
        <f t="shared" si="83"/>
        <v>0</v>
      </c>
      <c r="AO42" s="39"/>
      <c r="AP42" s="36">
        <f t="shared" si="84"/>
        <v>0</v>
      </c>
      <c r="AQ42" s="40"/>
      <c r="AR42" s="120">
        <f t="shared" si="0"/>
        <v>44431</v>
      </c>
      <c r="AS42" s="41"/>
      <c r="AT42" s="36">
        <f t="shared" si="85"/>
        <v>0</v>
      </c>
      <c r="AU42" s="40"/>
      <c r="AV42" s="41"/>
      <c r="AW42" s="36">
        <f t="shared" si="86"/>
        <v>0</v>
      </c>
      <c r="AX42" s="39"/>
      <c r="AY42" s="44">
        <f t="shared" si="87"/>
        <v>0</v>
      </c>
      <c r="AZ42" s="36">
        <f t="shared" si="88"/>
        <v>0</v>
      </c>
      <c r="BA42" s="41"/>
      <c r="BB42" s="36">
        <f t="shared" si="89"/>
        <v>0</v>
      </c>
      <c r="BD42" s="36">
        <f t="shared" si="90"/>
        <v>0</v>
      </c>
      <c r="BE42" s="41"/>
      <c r="BF42" s="36">
        <f t="shared" si="91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52"/>
      <c r="D43" s="352"/>
      <c r="E43" s="36">
        <f t="shared" ref="E43" si="99">SUM(C43-C42)*10</f>
        <v>0</v>
      </c>
      <c r="F43" s="352"/>
      <c r="G43" s="352"/>
      <c r="H43" s="36">
        <f t="shared" ref="H43" si="100">SUM(F43-F42)*10</f>
        <v>0</v>
      </c>
      <c r="I43" s="352"/>
      <c r="J43" s="352"/>
      <c r="K43" s="36">
        <f t="shared" si="27"/>
        <v>0</v>
      </c>
      <c r="L43" s="352"/>
      <c r="M43" s="352"/>
      <c r="N43" s="36">
        <f t="shared" si="13"/>
        <v>0</v>
      </c>
      <c r="O43" s="352"/>
      <c r="P43" s="352"/>
      <c r="Q43" s="36">
        <f t="shared" si="53"/>
        <v>0</v>
      </c>
      <c r="R43" s="37"/>
      <c r="S43" s="352"/>
      <c r="T43" s="352"/>
      <c r="U43" s="36">
        <f t="shared" si="54"/>
        <v>0</v>
      </c>
      <c r="V43" s="353"/>
      <c r="W43" s="353"/>
      <c r="X43" s="36">
        <f t="shared" si="46"/>
        <v>0</v>
      </c>
      <c r="Y43" s="42">
        <f t="shared" si="47"/>
        <v>0</v>
      </c>
      <c r="Z43" s="38"/>
      <c r="AA43" s="39"/>
      <c r="AB43" s="36">
        <f t="shared" si="77"/>
        <v>0</v>
      </c>
      <c r="AC43" s="39"/>
      <c r="AD43" s="36">
        <f t="shared" si="78"/>
        <v>0</v>
      </c>
      <c r="AE43" s="39"/>
      <c r="AF43" s="36">
        <f t="shared" si="79"/>
        <v>0</v>
      </c>
      <c r="AG43" s="39"/>
      <c r="AH43" s="36">
        <f t="shared" si="80"/>
        <v>0</v>
      </c>
      <c r="AI43" s="39"/>
      <c r="AJ43" s="36">
        <f t="shared" si="81"/>
        <v>0</v>
      </c>
      <c r="AK43" s="39"/>
      <c r="AL43" s="36">
        <f t="shared" si="82"/>
        <v>0</v>
      </c>
      <c r="AM43" s="39"/>
      <c r="AN43" s="43">
        <f t="shared" si="83"/>
        <v>0</v>
      </c>
      <c r="AO43" s="39"/>
      <c r="AP43" s="36">
        <f t="shared" si="84"/>
        <v>0</v>
      </c>
      <c r="AQ43" s="40"/>
      <c r="AR43" s="120">
        <f t="shared" si="0"/>
        <v>44438</v>
      </c>
      <c r="AS43" s="41"/>
      <c r="AT43" s="36">
        <f t="shared" si="85"/>
        <v>0</v>
      </c>
      <c r="AU43" s="40"/>
      <c r="AV43" s="41"/>
      <c r="AW43" s="36">
        <f t="shared" si="86"/>
        <v>0</v>
      </c>
      <c r="AX43" s="39"/>
      <c r="AY43" s="44">
        <f t="shared" si="87"/>
        <v>0</v>
      </c>
      <c r="AZ43" s="36">
        <f t="shared" si="88"/>
        <v>0</v>
      </c>
      <c r="BA43" s="41"/>
      <c r="BB43" s="36">
        <f t="shared" si="89"/>
        <v>0</v>
      </c>
      <c r="BD43" s="36">
        <f t="shared" si="90"/>
        <v>0</v>
      </c>
      <c r="BE43" s="41"/>
      <c r="BF43" s="36">
        <f t="shared" si="91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52"/>
      <c r="D44" s="352"/>
      <c r="E44" s="36">
        <f t="shared" ref="E44:E51" si="101">SUM(C44-C43)*10</f>
        <v>0</v>
      </c>
      <c r="F44" s="352"/>
      <c r="G44" s="352"/>
      <c r="H44" s="36">
        <f t="shared" ref="H44:H51" si="102">SUM(F44-F43)*10</f>
        <v>0</v>
      </c>
      <c r="I44" s="352"/>
      <c r="J44" s="352"/>
      <c r="K44" s="36">
        <f t="shared" si="27"/>
        <v>0</v>
      </c>
      <c r="L44" s="352"/>
      <c r="M44" s="352"/>
      <c r="N44" s="36">
        <f t="shared" si="13"/>
        <v>0</v>
      </c>
      <c r="O44" s="352"/>
      <c r="P44" s="352"/>
      <c r="Q44" s="36">
        <f t="shared" si="53"/>
        <v>0</v>
      </c>
      <c r="R44" s="37"/>
      <c r="S44" s="352"/>
      <c r="T44" s="352"/>
      <c r="U44" s="36">
        <f t="shared" si="54"/>
        <v>0</v>
      </c>
      <c r="V44" s="353"/>
      <c r="W44" s="353"/>
      <c r="X44" s="36">
        <f t="shared" si="46"/>
        <v>0</v>
      </c>
      <c r="Y44" s="42">
        <f t="shared" si="47"/>
        <v>0</v>
      </c>
      <c r="Z44" s="38"/>
      <c r="AA44" s="39"/>
      <c r="AB44" s="36">
        <f t="shared" si="77"/>
        <v>0</v>
      </c>
      <c r="AC44" s="39"/>
      <c r="AD44" s="36">
        <f t="shared" si="78"/>
        <v>0</v>
      </c>
      <c r="AE44" s="39"/>
      <c r="AF44" s="36">
        <f t="shared" si="79"/>
        <v>0</v>
      </c>
      <c r="AG44" s="39"/>
      <c r="AH44" s="36">
        <f t="shared" si="80"/>
        <v>0</v>
      </c>
      <c r="AI44" s="39"/>
      <c r="AJ44" s="36">
        <f t="shared" si="81"/>
        <v>0</v>
      </c>
      <c r="AK44" s="39"/>
      <c r="AL44" s="36">
        <f t="shared" si="82"/>
        <v>0</v>
      </c>
      <c r="AM44" s="39"/>
      <c r="AN44" s="43">
        <f t="shared" si="83"/>
        <v>0</v>
      </c>
      <c r="AO44" s="39"/>
      <c r="AP44" s="36">
        <f t="shared" si="84"/>
        <v>0</v>
      </c>
      <c r="AQ44" s="40"/>
      <c r="AR44" s="120">
        <f t="shared" si="0"/>
        <v>44445</v>
      </c>
      <c r="AS44" s="41"/>
      <c r="AT44" s="36">
        <f t="shared" si="85"/>
        <v>0</v>
      </c>
      <c r="AU44" s="40"/>
      <c r="AV44" s="41"/>
      <c r="AW44" s="36">
        <f t="shared" si="86"/>
        <v>0</v>
      </c>
      <c r="AX44" s="39"/>
      <c r="AY44" s="44">
        <f t="shared" si="87"/>
        <v>0</v>
      </c>
      <c r="AZ44" s="36">
        <f t="shared" si="88"/>
        <v>0</v>
      </c>
      <c r="BA44" s="41"/>
      <c r="BB44" s="36">
        <f t="shared" si="89"/>
        <v>0</v>
      </c>
      <c r="BD44" s="36">
        <f t="shared" si="90"/>
        <v>0</v>
      </c>
      <c r="BE44" s="41"/>
      <c r="BF44" s="36">
        <f t="shared" si="91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20"/>
      <c r="D45" s="321"/>
      <c r="E45" s="36">
        <f t="shared" si="101"/>
        <v>0</v>
      </c>
      <c r="F45" s="320"/>
      <c r="G45" s="321"/>
      <c r="H45" s="36">
        <f t="shared" si="102"/>
        <v>0</v>
      </c>
      <c r="I45" s="320"/>
      <c r="J45" s="321"/>
      <c r="K45" s="36">
        <f t="shared" si="27"/>
        <v>0</v>
      </c>
      <c r="L45" s="320"/>
      <c r="M45" s="321"/>
      <c r="N45" s="36">
        <f t="shared" si="13"/>
        <v>0</v>
      </c>
      <c r="O45" s="320"/>
      <c r="P45" s="321"/>
      <c r="Q45" s="36">
        <f t="shared" si="53"/>
        <v>0</v>
      </c>
      <c r="R45" s="37"/>
      <c r="S45" s="320"/>
      <c r="T45" s="321"/>
      <c r="U45" s="36">
        <f t="shared" si="54"/>
        <v>0</v>
      </c>
      <c r="V45" s="320"/>
      <c r="W45" s="321"/>
      <c r="X45" s="36">
        <f t="shared" ref="X45:X51" si="103">SUM(V45-V44)*100</f>
        <v>0</v>
      </c>
      <c r="Y45" s="42">
        <f t="shared" ref="Y45:Y51" si="104">SUM(U45+X45)</f>
        <v>0</v>
      </c>
      <c r="Z45" s="38"/>
      <c r="AA45" s="189"/>
      <c r="AB45" s="36">
        <f t="shared" si="77"/>
        <v>0</v>
      </c>
      <c r="AC45" s="189"/>
      <c r="AD45" s="36">
        <f t="shared" si="78"/>
        <v>0</v>
      </c>
      <c r="AE45" s="189"/>
      <c r="AF45" s="36">
        <f t="shared" si="79"/>
        <v>0</v>
      </c>
      <c r="AG45" s="189"/>
      <c r="AH45" s="36">
        <f t="shared" si="80"/>
        <v>0</v>
      </c>
      <c r="AI45" s="189"/>
      <c r="AJ45" s="36">
        <f t="shared" si="81"/>
        <v>0</v>
      </c>
      <c r="AK45" s="189"/>
      <c r="AL45" s="36">
        <f t="shared" si="82"/>
        <v>0</v>
      </c>
      <c r="AM45" s="39"/>
      <c r="AN45" s="43">
        <f t="shared" si="83"/>
        <v>0</v>
      </c>
      <c r="AO45" s="189"/>
      <c r="AP45" s="36">
        <f t="shared" si="84"/>
        <v>0</v>
      </c>
      <c r="AQ45" s="40"/>
      <c r="AR45" s="120">
        <v>44080</v>
      </c>
      <c r="AS45" s="189"/>
      <c r="AT45" s="36">
        <f t="shared" si="85"/>
        <v>0</v>
      </c>
      <c r="AU45" s="40"/>
      <c r="AV45" s="189"/>
      <c r="AW45" s="36">
        <f t="shared" si="86"/>
        <v>0</v>
      </c>
      <c r="AX45" s="189"/>
      <c r="AY45" s="44">
        <f t="shared" si="87"/>
        <v>0</v>
      </c>
      <c r="AZ45" s="36">
        <f t="shared" si="88"/>
        <v>0</v>
      </c>
      <c r="BA45" s="189"/>
      <c r="BB45" s="36">
        <f t="shared" si="89"/>
        <v>0</v>
      </c>
      <c r="BC45" s="191"/>
      <c r="BD45" s="36">
        <f t="shared" si="90"/>
        <v>0</v>
      </c>
      <c r="BE45" s="189"/>
      <c r="BF45" s="36">
        <f t="shared" si="91"/>
        <v>0</v>
      </c>
    </row>
    <row r="46" spans="2:114" x14ac:dyDescent="0.25">
      <c r="B46" s="73">
        <f t="shared" ref="B46:B47" si="105">B45+7</f>
        <v>44459</v>
      </c>
      <c r="C46" s="320"/>
      <c r="D46" s="321"/>
      <c r="E46" s="36">
        <f t="shared" si="101"/>
        <v>0</v>
      </c>
      <c r="F46" s="320"/>
      <c r="G46" s="321"/>
      <c r="H46" s="36">
        <f t="shared" si="102"/>
        <v>0</v>
      </c>
      <c r="I46" s="320"/>
      <c r="J46" s="321"/>
      <c r="K46" s="36">
        <f t="shared" si="27"/>
        <v>0</v>
      </c>
      <c r="L46" s="320"/>
      <c r="M46" s="321"/>
      <c r="N46" s="36">
        <f t="shared" si="13"/>
        <v>0</v>
      </c>
      <c r="O46" s="320"/>
      <c r="P46" s="321"/>
      <c r="Q46" s="36">
        <f t="shared" si="53"/>
        <v>0</v>
      </c>
      <c r="R46" s="37"/>
      <c r="S46" s="320"/>
      <c r="T46" s="321"/>
      <c r="U46" s="36">
        <f t="shared" si="54"/>
        <v>0</v>
      </c>
      <c r="V46" s="320"/>
      <c r="W46" s="321"/>
      <c r="X46" s="36">
        <f t="shared" si="103"/>
        <v>0</v>
      </c>
      <c r="Y46" s="42">
        <f t="shared" si="104"/>
        <v>0</v>
      </c>
      <c r="Z46" s="38"/>
      <c r="AA46" s="189"/>
      <c r="AB46" s="36">
        <f t="shared" si="77"/>
        <v>0</v>
      </c>
      <c r="AC46" s="189"/>
      <c r="AD46" s="36">
        <f t="shared" si="78"/>
        <v>0</v>
      </c>
      <c r="AE46" s="189"/>
      <c r="AF46" s="36">
        <f t="shared" si="79"/>
        <v>0</v>
      </c>
      <c r="AG46" s="189"/>
      <c r="AH46" s="36">
        <f t="shared" si="80"/>
        <v>0</v>
      </c>
      <c r="AI46" s="189"/>
      <c r="AJ46" s="36">
        <f t="shared" si="81"/>
        <v>0</v>
      </c>
      <c r="AK46" s="189"/>
      <c r="AL46" s="36">
        <f t="shared" si="82"/>
        <v>0</v>
      </c>
      <c r="AM46" s="39"/>
      <c r="AN46" s="43">
        <f t="shared" si="83"/>
        <v>0</v>
      </c>
      <c r="AO46" s="189"/>
      <c r="AP46" s="36">
        <f t="shared" si="84"/>
        <v>0</v>
      </c>
      <c r="AQ46" s="40"/>
      <c r="AR46" s="24">
        <f>AR45+7</f>
        <v>44087</v>
      </c>
      <c r="AS46" s="189"/>
      <c r="AT46" s="36">
        <f t="shared" si="85"/>
        <v>0</v>
      </c>
      <c r="AU46" s="40"/>
      <c r="AV46" s="189"/>
      <c r="AW46" s="36">
        <f t="shared" si="86"/>
        <v>0</v>
      </c>
      <c r="AX46" s="189"/>
      <c r="AY46" s="44">
        <f t="shared" si="87"/>
        <v>0</v>
      </c>
      <c r="AZ46" s="36">
        <f t="shared" si="88"/>
        <v>0</v>
      </c>
      <c r="BA46" s="189"/>
      <c r="BB46" s="36">
        <f t="shared" si="89"/>
        <v>0</v>
      </c>
      <c r="BC46" s="191"/>
      <c r="BD46" s="36">
        <f t="shared" si="90"/>
        <v>0</v>
      </c>
      <c r="BE46" s="189"/>
      <c r="BF46" s="36">
        <f t="shared" si="91"/>
        <v>0</v>
      </c>
    </row>
    <row r="47" spans="2:114" x14ac:dyDescent="0.25">
      <c r="B47" s="73">
        <f t="shared" si="105"/>
        <v>44466</v>
      </c>
      <c r="C47" s="320"/>
      <c r="D47" s="321"/>
      <c r="E47" s="36">
        <f t="shared" si="101"/>
        <v>0</v>
      </c>
      <c r="F47" s="320"/>
      <c r="G47" s="321"/>
      <c r="H47" s="36">
        <f t="shared" si="102"/>
        <v>0</v>
      </c>
      <c r="I47" s="320"/>
      <c r="J47" s="321"/>
      <c r="K47" s="36">
        <f t="shared" si="27"/>
        <v>0</v>
      </c>
      <c r="L47" s="320"/>
      <c r="M47" s="321"/>
      <c r="N47" s="36">
        <f t="shared" si="13"/>
        <v>0</v>
      </c>
      <c r="O47" s="320"/>
      <c r="P47" s="321"/>
      <c r="Q47" s="36">
        <f t="shared" si="53"/>
        <v>0</v>
      </c>
      <c r="R47" s="37"/>
      <c r="S47" s="320"/>
      <c r="T47" s="321"/>
      <c r="U47" s="36">
        <f t="shared" si="54"/>
        <v>0</v>
      </c>
      <c r="V47" s="320"/>
      <c r="W47" s="321"/>
      <c r="X47" s="36">
        <f t="shared" si="103"/>
        <v>0</v>
      </c>
      <c r="Y47" s="42">
        <f t="shared" si="104"/>
        <v>0</v>
      </c>
      <c r="Z47" s="38"/>
      <c r="AA47" s="189"/>
      <c r="AB47" s="36">
        <f t="shared" si="77"/>
        <v>0</v>
      </c>
      <c r="AC47" s="189"/>
      <c r="AD47" s="36">
        <f t="shared" si="78"/>
        <v>0</v>
      </c>
      <c r="AE47" s="189"/>
      <c r="AF47" s="36">
        <f t="shared" si="79"/>
        <v>0</v>
      </c>
      <c r="AG47" s="189"/>
      <c r="AH47" s="36">
        <f t="shared" si="80"/>
        <v>0</v>
      </c>
      <c r="AI47" s="189"/>
      <c r="AJ47" s="36">
        <f t="shared" si="81"/>
        <v>0</v>
      </c>
      <c r="AK47" s="189"/>
      <c r="AL47" s="36">
        <f t="shared" si="82"/>
        <v>0</v>
      </c>
      <c r="AM47" s="39"/>
      <c r="AN47" s="43">
        <f t="shared" si="83"/>
        <v>0</v>
      </c>
      <c r="AO47" s="189"/>
      <c r="AP47" s="36">
        <f t="shared" si="84"/>
        <v>0</v>
      </c>
      <c r="AQ47" s="40"/>
      <c r="AR47" s="24">
        <f t="shared" ref="AR47:AR48" si="106">AR46+7</f>
        <v>44094</v>
      </c>
      <c r="AS47" s="189"/>
      <c r="AT47" s="36">
        <f t="shared" si="85"/>
        <v>0</v>
      </c>
      <c r="AU47" s="40"/>
      <c r="AV47" s="189"/>
      <c r="AW47" s="36">
        <f t="shared" si="86"/>
        <v>0</v>
      </c>
      <c r="AX47" s="189"/>
      <c r="AY47" s="44">
        <f t="shared" si="87"/>
        <v>0</v>
      </c>
      <c r="AZ47" s="36">
        <f t="shared" si="88"/>
        <v>0</v>
      </c>
      <c r="BA47" s="189"/>
      <c r="BB47" s="36">
        <f t="shared" si="89"/>
        <v>0</v>
      </c>
      <c r="BC47" s="191"/>
      <c r="BD47" s="36">
        <f t="shared" si="90"/>
        <v>0</v>
      </c>
      <c r="BE47" s="189"/>
      <c r="BF47" s="36">
        <f t="shared" si="91"/>
        <v>0</v>
      </c>
    </row>
    <row r="48" spans="2:114" x14ac:dyDescent="0.25">
      <c r="B48" s="73">
        <v>44470</v>
      </c>
      <c r="C48" s="320"/>
      <c r="D48" s="321"/>
      <c r="E48" s="36">
        <f t="shared" si="101"/>
        <v>0</v>
      </c>
      <c r="F48" s="320"/>
      <c r="G48" s="321"/>
      <c r="H48" s="36">
        <f t="shared" si="102"/>
        <v>0</v>
      </c>
      <c r="I48" s="320"/>
      <c r="J48" s="321"/>
      <c r="K48" s="36">
        <f t="shared" si="27"/>
        <v>0</v>
      </c>
      <c r="L48" s="320"/>
      <c r="M48" s="321"/>
      <c r="N48" s="36">
        <f t="shared" si="13"/>
        <v>0</v>
      </c>
      <c r="O48" s="320"/>
      <c r="P48" s="321"/>
      <c r="Q48" s="36">
        <f t="shared" si="53"/>
        <v>0</v>
      </c>
      <c r="R48" s="37"/>
      <c r="S48" s="320"/>
      <c r="T48" s="321"/>
      <c r="U48" s="36">
        <f t="shared" si="54"/>
        <v>0</v>
      </c>
      <c r="V48" s="320"/>
      <c r="W48" s="321"/>
      <c r="X48" s="36">
        <f t="shared" si="103"/>
        <v>0</v>
      </c>
      <c r="Y48" s="42">
        <f t="shared" si="104"/>
        <v>0</v>
      </c>
      <c r="Z48" s="38"/>
      <c r="AA48" s="189"/>
      <c r="AB48" s="36">
        <f t="shared" si="77"/>
        <v>0</v>
      </c>
      <c r="AC48" s="189"/>
      <c r="AD48" s="36">
        <f t="shared" si="78"/>
        <v>0</v>
      </c>
      <c r="AE48" s="189"/>
      <c r="AF48" s="36">
        <f t="shared" si="79"/>
        <v>0</v>
      </c>
      <c r="AG48" s="189"/>
      <c r="AH48" s="36">
        <f t="shared" si="80"/>
        <v>0</v>
      </c>
      <c r="AI48" s="189"/>
      <c r="AJ48" s="36">
        <f t="shared" si="81"/>
        <v>0</v>
      </c>
      <c r="AK48" s="189"/>
      <c r="AL48" s="36">
        <f t="shared" si="82"/>
        <v>0</v>
      </c>
      <c r="AM48" s="39"/>
      <c r="AN48" s="43">
        <f t="shared" si="83"/>
        <v>0</v>
      </c>
      <c r="AO48" s="189"/>
      <c r="AP48" s="36">
        <f t="shared" si="84"/>
        <v>0</v>
      </c>
      <c r="AQ48" s="40"/>
      <c r="AR48" s="24">
        <f t="shared" si="106"/>
        <v>44101</v>
      </c>
      <c r="AS48" s="189"/>
      <c r="AT48" s="36">
        <f t="shared" si="85"/>
        <v>0</v>
      </c>
      <c r="AU48" s="40"/>
      <c r="AV48" s="189"/>
      <c r="AW48" s="36">
        <f t="shared" si="86"/>
        <v>0</v>
      </c>
      <c r="AX48" s="189"/>
      <c r="AY48" s="44">
        <f t="shared" si="87"/>
        <v>0</v>
      </c>
      <c r="AZ48" s="36">
        <f t="shared" si="88"/>
        <v>0</v>
      </c>
      <c r="BA48" s="189"/>
      <c r="BB48" s="36">
        <f t="shared" si="89"/>
        <v>0</v>
      </c>
      <c r="BC48" s="191"/>
      <c r="BD48" s="36">
        <f t="shared" si="90"/>
        <v>0</v>
      </c>
      <c r="BE48" s="189"/>
      <c r="BF48" s="36">
        <f t="shared" si="91"/>
        <v>0</v>
      </c>
    </row>
    <row r="49" spans="2:58" x14ac:dyDescent="0.25">
      <c r="B49" s="73">
        <v>44473</v>
      </c>
      <c r="C49" s="320"/>
      <c r="D49" s="321"/>
      <c r="E49" s="36">
        <f t="shared" si="101"/>
        <v>0</v>
      </c>
      <c r="F49" s="320"/>
      <c r="G49" s="321"/>
      <c r="H49" s="36">
        <f t="shared" si="102"/>
        <v>0</v>
      </c>
      <c r="I49" s="320"/>
      <c r="J49" s="321"/>
      <c r="K49" s="36">
        <f t="shared" si="27"/>
        <v>0</v>
      </c>
      <c r="L49" s="320"/>
      <c r="M49" s="321"/>
      <c r="N49" s="36">
        <f t="shared" si="13"/>
        <v>0</v>
      </c>
      <c r="O49" s="320"/>
      <c r="P49" s="321"/>
      <c r="Q49" s="36">
        <f t="shared" si="53"/>
        <v>0</v>
      </c>
      <c r="R49" s="37"/>
      <c r="S49" s="320"/>
      <c r="T49" s="321"/>
      <c r="U49" s="36">
        <f t="shared" si="54"/>
        <v>0</v>
      </c>
      <c r="V49" s="320"/>
      <c r="W49" s="321"/>
      <c r="X49" s="36">
        <f t="shared" si="103"/>
        <v>0</v>
      </c>
      <c r="Y49" s="42">
        <f t="shared" si="104"/>
        <v>0</v>
      </c>
      <c r="Z49" s="38"/>
      <c r="AA49" s="189"/>
      <c r="AB49" s="36">
        <f t="shared" si="77"/>
        <v>0</v>
      </c>
      <c r="AC49" s="189"/>
      <c r="AD49" s="36">
        <f t="shared" si="78"/>
        <v>0</v>
      </c>
      <c r="AE49" s="189"/>
      <c r="AF49" s="36">
        <f t="shared" si="79"/>
        <v>0</v>
      </c>
      <c r="AG49" s="189"/>
      <c r="AH49" s="36">
        <f t="shared" si="80"/>
        <v>0</v>
      </c>
      <c r="AI49" s="189"/>
      <c r="AJ49" s="36">
        <f t="shared" si="81"/>
        <v>0</v>
      </c>
      <c r="AK49" s="189"/>
      <c r="AL49" s="36">
        <f t="shared" si="82"/>
        <v>0</v>
      </c>
      <c r="AM49" s="39"/>
      <c r="AN49" s="43">
        <f t="shared" si="83"/>
        <v>0</v>
      </c>
      <c r="AO49" s="189"/>
      <c r="AP49" s="36">
        <f t="shared" si="84"/>
        <v>0</v>
      </c>
      <c r="AQ49" s="40"/>
      <c r="AR49" s="24">
        <v>44105</v>
      </c>
      <c r="AS49" s="189"/>
      <c r="AT49" s="36">
        <f t="shared" si="85"/>
        <v>0</v>
      </c>
      <c r="AU49" s="40"/>
      <c r="AV49" s="189"/>
      <c r="AW49" s="36">
        <f t="shared" si="86"/>
        <v>0</v>
      </c>
      <c r="AX49" s="189"/>
      <c r="AY49" s="44">
        <f t="shared" si="87"/>
        <v>0</v>
      </c>
      <c r="AZ49" s="36">
        <f t="shared" si="88"/>
        <v>0</v>
      </c>
      <c r="BA49" s="189"/>
      <c r="BB49" s="36">
        <f t="shared" si="89"/>
        <v>0</v>
      </c>
      <c r="BC49" s="191"/>
      <c r="BD49" s="36">
        <f t="shared" si="90"/>
        <v>0</v>
      </c>
      <c r="BE49" s="189"/>
      <c r="BF49" s="36">
        <f t="shared" si="91"/>
        <v>0</v>
      </c>
    </row>
    <row r="50" spans="2:58" x14ac:dyDescent="0.25">
      <c r="B50" s="73">
        <f>B49+7</f>
        <v>44480</v>
      </c>
      <c r="C50" s="320"/>
      <c r="D50" s="321"/>
      <c r="E50" s="36">
        <f t="shared" si="101"/>
        <v>0</v>
      </c>
      <c r="F50" s="320"/>
      <c r="G50" s="321"/>
      <c r="H50" s="36">
        <f t="shared" si="102"/>
        <v>0</v>
      </c>
      <c r="I50" s="320"/>
      <c r="J50" s="321"/>
      <c r="K50" s="36">
        <f t="shared" si="27"/>
        <v>0</v>
      </c>
      <c r="L50" s="320"/>
      <c r="M50" s="321"/>
      <c r="N50" s="36">
        <f t="shared" si="13"/>
        <v>0</v>
      </c>
      <c r="O50" s="320"/>
      <c r="P50" s="321"/>
      <c r="Q50" s="36">
        <f t="shared" si="53"/>
        <v>0</v>
      </c>
      <c r="R50" s="37"/>
      <c r="S50" s="320"/>
      <c r="T50" s="321"/>
      <c r="U50" s="36">
        <f t="shared" si="54"/>
        <v>0</v>
      </c>
      <c r="V50" s="320"/>
      <c r="W50" s="321"/>
      <c r="X50" s="36">
        <f t="shared" si="103"/>
        <v>0</v>
      </c>
      <c r="Y50" s="42">
        <f t="shared" si="104"/>
        <v>0</v>
      </c>
      <c r="Z50" s="38"/>
      <c r="AA50" s="189"/>
      <c r="AB50" s="36">
        <f t="shared" si="77"/>
        <v>0</v>
      </c>
      <c r="AC50" s="189"/>
      <c r="AD50" s="36">
        <f t="shared" si="78"/>
        <v>0</v>
      </c>
      <c r="AE50" s="189"/>
      <c r="AF50" s="36">
        <f t="shared" si="79"/>
        <v>0</v>
      </c>
      <c r="AG50" s="189"/>
      <c r="AH50" s="36">
        <f t="shared" si="80"/>
        <v>0</v>
      </c>
      <c r="AI50" s="189"/>
      <c r="AJ50" s="36">
        <f t="shared" si="81"/>
        <v>0</v>
      </c>
      <c r="AK50" s="189"/>
      <c r="AL50" s="36">
        <f t="shared" si="82"/>
        <v>0</v>
      </c>
      <c r="AM50" s="39"/>
      <c r="AN50" s="43">
        <f t="shared" si="83"/>
        <v>0</v>
      </c>
      <c r="AO50" s="189"/>
      <c r="AP50" s="36">
        <f t="shared" si="84"/>
        <v>0</v>
      </c>
      <c r="AQ50" s="40"/>
      <c r="AR50" s="24">
        <v>44109</v>
      </c>
      <c r="AS50" s="189"/>
      <c r="AT50" s="36">
        <f t="shared" si="85"/>
        <v>0</v>
      </c>
      <c r="AU50" s="40"/>
      <c r="AV50" s="189"/>
      <c r="AW50" s="36">
        <f t="shared" si="86"/>
        <v>0</v>
      </c>
      <c r="AX50" s="189"/>
      <c r="AY50" s="44">
        <f t="shared" si="87"/>
        <v>0</v>
      </c>
      <c r="AZ50" s="36">
        <f t="shared" si="88"/>
        <v>0</v>
      </c>
      <c r="BA50" s="189"/>
      <c r="BB50" s="36">
        <f t="shared" si="89"/>
        <v>0</v>
      </c>
      <c r="BC50" s="191"/>
      <c r="BD50" s="36">
        <f t="shared" si="90"/>
        <v>0</v>
      </c>
      <c r="BE50" s="189"/>
      <c r="BF50" s="36">
        <f t="shared" si="91"/>
        <v>0</v>
      </c>
    </row>
    <row r="51" spans="2:58" x14ac:dyDescent="0.25">
      <c r="B51" s="73">
        <f t="shared" ref="B51:B52" si="107">B50+7</f>
        <v>44487</v>
      </c>
      <c r="C51" s="320"/>
      <c r="D51" s="321"/>
      <c r="E51" s="36">
        <f t="shared" si="101"/>
        <v>0</v>
      </c>
      <c r="F51" s="320"/>
      <c r="G51" s="321"/>
      <c r="H51" s="36">
        <f t="shared" si="102"/>
        <v>0</v>
      </c>
      <c r="I51" s="320"/>
      <c r="J51" s="321"/>
      <c r="K51" s="36">
        <f t="shared" si="27"/>
        <v>0</v>
      </c>
      <c r="L51" s="320"/>
      <c r="M51" s="321"/>
      <c r="N51" s="36">
        <f t="shared" si="13"/>
        <v>0</v>
      </c>
      <c r="O51" s="320"/>
      <c r="P51" s="321"/>
      <c r="Q51" s="36">
        <f t="shared" si="53"/>
        <v>0</v>
      </c>
      <c r="R51" s="37"/>
      <c r="S51" s="320"/>
      <c r="T51" s="321"/>
      <c r="U51" s="36">
        <f t="shared" si="54"/>
        <v>0</v>
      </c>
      <c r="V51" s="320"/>
      <c r="W51" s="321"/>
      <c r="X51" s="36">
        <f t="shared" si="103"/>
        <v>0</v>
      </c>
      <c r="Y51" s="42">
        <f t="shared" si="104"/>
        <v>0</v>
      </c>
      <c r="Z51" s="38"/>
      <c r="AA51" s="189"/>
      <c r="AB51" s="36">
        <f t="shared" si="77"/>
        <v>0</v>
      </c>
      <c r="AC51" s="189"/>
      <c r="AD51" s="36">
        <f t="shared" si="78"/>
        <v>0</v>
      </c>
      <c r="AE51" s="189"/>
      <c r="AF51" s="36">
        <f t="shared" si="79"/>
        <v>0</v>
      </c>
      <c r="AG51" s="189"/>
      <c r="AH51" s="36">
        <f t="shared" si="80"/>
        <v>0</v>
      </c>
      <c r="AI51" s="189"/>
      <c r="AJ51" s="36">
        <f t="shared" si="81"/>
        <v>0</v>
      </c>
      <c r="AK51" s="189"/>
      <c r="AL51" s="36">
        <f t="shared" si="82"/>
        <v>0</v>
      </c>
      <c r="AM51" s="39"/>
      <c r="AN51" s="43">
        <f t="shared" si="83"/>
        <v>0</v>
      </c>
      <c r="AO51" s="189"/>
      <c r="AP51" s="36">
        <f t="shared" si="84"/>
        <v>0</v>
      </c>
      <c r="AQ51" s="40"/>
      <c r="AR51" s="24">
        <f>AR50+7</f>
        <v>44116</v>
      </c>
      <c r="AS51" s="189"/>
      <c r="AT51" s="36">
        <f t="shared" si="85"/>
        <v>0</v>
      </c>
      <c r="AU51" s="40"/>
      <c r="AV51" s="189"/>
      <c r="AW51" s="36">
        <f t="shared" si="86"/>
        <v>0</v>
      </c>
      <c r="AX51" s="189"/>
      <c r="AY51" s="44">
        <f t="shared" si="87"/>
        <v>0</v>
      </c>
      <c r="AZ51" s="36">
        <f t="shared" si="88"/>
        <v>0</v>
      </c>
      <c r="BA51" s="189"/>
      <c r="BB51" s="36">
        <f t="shared" si="89"/>
        <v>0</v>
      </c>
      <c r="BC51" s="191"/>
      <c r="BD51" s="36">
        <f t="shared" si="90"/>
        <v>0</v>
      </c>
      <c r="BE51" s="189"/>
      <c r="BF51" s="36">
        <f t="shared" si="91"/>
        <v>0</v>
      </c>
    </row>
    <row r="52" spans="2:58" x14ac:dyDescent="0.25">
      <c r="B52" s="73">
        <f t="shared" si="107"/>
        <v>44494</v>
      </c>
      <c r="AQ52" s="40"/>
      <c r="AR52" s="24">
        <f t="shared" ref="AR52:AR53" si="108">AR51+7</f>
        <v>44123</v>
      </c>
    </row>
    <row r="53" spans="2:58" x14ac:dyDescent="0.25">
      <c r="B53" s="73">
        <v>44501</v>
      </c>
      <c r="AR53" s="24">
        <f t="shared" si="108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109">B55+7</f>
        <v>44522</v>
      </c>
      <c r="AR56" s="24">
        <f>AR55+7</f>
        <v>44144</v>
      </c>
    </row>
    <row r="57" spans="2:58" x14ac:dyDescent="0.25">
      <c r="B57" s="73">
        <f t="shared" si="109"/>
        <v>44529</v>
      </c>
      <c r="AR57" s="24">
        <f t="shared" ref="AR57:AR59" si="110">AR56+7</f>
        <v>44151</v>
      </c>
    </row>
    <row r="58" spans="2:58" x14ac:dyDescent="0.25">
      <c r="B58" s="73">
        <f t="shared" si="109"/>
        <v>44536</v>
      </c>
      <c r="AR58" s="24">
        <f t="shared" si="110"/>
        <v>44158</v>
      </c>
    </row>
    <row r="59" spans="2:58" x14ac:dyDescent="0.25">
      <c r="B59" s="73">
        <v>44531</v>
      </c>
      <c r="AR59" s="24">
        <f t="shared" si="110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111">B61+7</f>
        <v>44551</v>
      </c>
      <c r="AR62" s="24">
        <f>AR61+7</f>
        <v>44179</v>
      </c>
    </row>
    <row r="63" spans="2:58" x14ac:dyDescent="0.25">
      <c r="B63" s="73">
        <f t="shared" si="111"/>
        <v>44558</v>
      </c>
      <c r="AR63" s="24">
        <f t="shared" ref="AR63:AR64" si="112">AR62+7</f>
        <v>44186</v>
      </c>
    </row>
    <row r="64" spans="2:58" x14ac:dyDescent="0.25">
      <c r="B64" s="73">
        <v>44562</v>
      </c>
      <c r="AR64" s="24">
        <f t="shared" si="112"/>
        <v>44193</v>
      </c>
    </row>
    <row r="65" spans="44:44" x14ac:dyDescent="0.25">
      <c r="AR65" s="24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206" workbookViewId="0">
      <selection activeCell="J167" sqref="J167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454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111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58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62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81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133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210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218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179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145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152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125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131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181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236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282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284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188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191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141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87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122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175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203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163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154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135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151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161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209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242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233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242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244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237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233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229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237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207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213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209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185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222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228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215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208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210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214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226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234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220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189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182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180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190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198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216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238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170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181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138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147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164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196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220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124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125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115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123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158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221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243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209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106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94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125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162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227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269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231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269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312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316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309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254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305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195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122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124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168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244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290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290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210</v>
      </c>
    </row>
    <row r="145" spans="1:10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196</v>
      </c>
    </row>
    <row r="146" spans="1:10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194</v>
      </c>
    </row>
    <row r="147" spans="1:10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173</v>
      </c>
    </row>
    <row r="148" spans="1:10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193</v>
      </c>
    </row>
    <row r="149" spans="1:10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287</v>
      </c>
    </row>
    <row r="150" spans="1:10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287</v>
      </c>
    </row>
    <row r="151" spans="1:10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184</v>
      </c>
    </row>
    <row r="152" spans="1:10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171</v>
      </c>
    </row>
    <row r="153" spans="1:10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175</v>
      </c>
    </row>
    <row r="154" spans="1:10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167</v>
      </c>
    </row>
    <row r="155" spans="1:10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223</v>
      </c>
    </row>
    <row r="156" spans="1:10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282</v>
      </c>
    </row>
    <row r="157" spans="1:10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290</v>
      </c>
    </row>
    <row r="158" spans="1:10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289</v>
      </c>
    </row>
    <row r="159" spans="1:10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218</v>
      </c>
    </row>
    <row r="160" spans="1:10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216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228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261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287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288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149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153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252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323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331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292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265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174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173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181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245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270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290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290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215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205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206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201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209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266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270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169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152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153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155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205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285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277</v>
      </c>
    </row>
    <row r="193" spans="1:10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226</v>
      </c>
    </row>
    <row r="194" spans="1:10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161</v>
      </c>
    </row>
    <row r="195" spans="1:10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150</v>
      </c>
    </row>
    <row r="196" spans="1:10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205</v>
      </c>
    </row>
    <row r="197" spans="1:10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282</v>
      </c>
    </row>
    <row r="198" spans="1:10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298</v>
      </c>
    </row>
    <row r="199" spans="1:10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299</v>
      </c>
    </row>
    <row r="200" spans="1:10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165</v>
      </c>
    </row>
    <row r="201" spans="1:10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163</v>
      </c>
    </row>
    <row r="202" spans="1:10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172</v>
      </c>
    </row>
    <row r="203" spans="1:10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172</v>
      </c>
    </row>
    <row r="204" spans="1:10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172</v>
      </c>
    </row>
    <row r="205" spans="1:10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207</v>
      </c>
    </row>
    <row r="206" spans="1:10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207</v>
      </c>
    </row>
    <row r="207" spans="1:10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162</v>
      </c>
    </row>
    <row r="208" spans="1:10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163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160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158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149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203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203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164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165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165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166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167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213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214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222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221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223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224</v>
      </c>
    </row>
    <row r="225" spans="1:10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244</v>
      </c>
    </row>
    <row r="226" spans="1:10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269</v>
      </c>
    </row>
    <row r="227" spans="1:10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266</v>
      </c>
    </row>
    <row r="228" spans="1:10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210</v>
      </c>
    </row>
    <row r="229" spans="1:10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193</v>
      </c>
    </row>
    <row r="230" spans="1:10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184</v>
      </c>
    </row>
    <row r="231" spans="1:10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242</v>
      </c>
    </row>
    <row r="232" spans="1:10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245</v>
      </c>
    </row>
    <row r="233" spans="1:10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0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0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0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125</v>
      </c>
    </row>
    <row r="237" spans="1:10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128</v>
      </c>
    </row>
    <row r="238" spans="1:10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128</v>
      </c>
    </row>
    <row r="239" spans="1:10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152</v>
      </c>
    </row>
    <row r="240" spans="1:10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219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225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411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423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182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190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194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183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181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99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100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100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204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223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282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350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339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146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250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262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232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255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165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186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146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157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280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271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231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183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207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255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288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276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268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319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317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298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285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291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148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186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294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357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355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212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224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390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398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251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267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420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420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400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397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213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242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285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238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206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249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345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358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244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190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126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243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242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242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207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236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153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253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256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264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290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319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346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235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225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201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206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268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341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318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232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265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282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325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334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331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300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185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195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176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111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187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210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253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231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234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181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249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282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287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235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221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231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191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183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225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264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165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166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166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170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329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356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356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355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359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2021-07-12T17:53:03Z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