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xWindow="0" yWindow="0" windowWidth="19180" windowHeight="8390" tabRatio="762"/>
  </bookViews>
  <sheets>
    <sheet name="TOTAL" sheetId="11" r:id="rId1"/>
    <sheet name="FS Jimbaran June 2021" sheetId="14" r:id="rId2"/>
    <sheet name="RNs &amp; Covers June 2021" sheetId="10" r:id="rId3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7" i="14" l="1"/>
  <c r="Q47" i="14"/>
  <c r="AA12" i="14" l="1"/>
  <c r="AA13" i="14"/>
  <c r="AA14" i="14"/>
  <c r="AA15" i="14"/>
  <c r="AA16" i="14"/>
  <c r="AA17" i="14"/>
  <c r="AA18" i="14"/>
  <c r="AA19" i="14"/>
  <c r="AA20" i="14"/>
  <c r="AA21" i="14"/>
  <c r="AA22" i="14"/>
  <c r="AA23" i="14"/>
  <c r="AA24" i="14"/>
  <c r="AA25" i="14"/>
  <c r="AA26" i="14"/>
  <c r="AA27" i="14"/>
  <c r="AA28" i="14"/>
  <c r="AA29" i="14"/>
  <c r="AA30" i="14"/>
  <c r="AA31" i="14"/>
  <c r="AG12" i="14" l="1"/>
  <c r="AG13" i="14"/>
  <c r="AG14" i="14"/>
  <c r="AG15" i="14"/>
  <c r="AG16" i="14"/>
  <c r="AG17" i="14"/>
  <c r="AG18" i="14"/>
  <c r="AG19" i="14"/>
  <c r="AG20" i="14"/>
  <c r="AG21" i="14"/>
  <c r="AG22" i="14"/>
  <c r="AG23" i="14"/>
  <c r="AG24" i="14"/>
  <c r="AG25" i="14"/>
  <c r="AG26" i="14"/>
  <c r="AG27" i="14"/>
  <c r="AG28" i="14"/>
  <c r="AG29" i="14"/>
  <c r="AG30" i="14"/>
  <c r="AG31" i="14"/>
  <c r="B38" i="10" l="1"/>
  <c r="N3" i="11" l="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2" i="11"/>
  <c r="AG41" i="14" l="1"/>
  <c r="AG32" i="14"/>
  <c r="AG33" i="14"/>
  <c r="AG34" i="14"/>
  <c r="AG35" i="14"/>
  <c r="AG36" i="14"/>
  <c r="AG37" i="14"/>
  <c r="AG38" i="14"/>
  <c r="AG39" i="14"/>
  <c r="AG40" i="14"/>
  <c r="N32" i="14" l="1"/>
  <c r="N33" i="14"/>
  <c r="N34" i="14"/>
  <c r="N35" i="14"/>
  <c r="N36" i="14"/>
  <c r="N37" i="14"/>
  <c r="N38" i="14"/>
  <c r="N39" i="14"/>
  <c r="N40" i="14"/>
  <c r="N41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12" i="14"/>
  <c r="C38" i="10" l="1"/>
  <c r="AI40" i="14"/>
  <c r="AL40" i="14"/>
  <c r="AL41" i="14"/>
  <c r="AI41" i="14"/>
  <c r="AA40" i="14"/>
  <c r="AB40" i="14" s="1"/>
  <c r="AA41" i="14"/>
  <c r="AB41" i="14" s="1"/>
  <c r="V40" i="14"/>
  <c r="V41" i="14"/>
  <c r="P40" i="14"/>
  <c r="P41" i="14"/>
  <c r="I40" i="14"/>
  <c r="I41" i="14"/>
  <c r="O41" i="14" l="1"/>
  <c r="F31" i="11" s="1"/>
  <c r="O40" i="14"/>
  <c r="F30" i="11" s="1"/>
  <c r="E30" i="11"/>
  <c r="G30" i="11"/>
  <c r="H30" i="11"/>
  <c r="I30" i="11"/>
  <c r="J30" i="11"/>
  <c r="K30" i="11"/>
  <c r="L30" i="11"/>
  <c r="E31" i="11"/>
  <c r="G31" i="11"/>
  <c r="H31" i="11"/>
  <c r="I31" i="11"/>
  <c r="J31" i="11"/>
  <c r="K31" i="11"/>
  <c r="L31" i="11"/>
  <c r="V33" i="14" l="1"/>
  <c r="V34" i="14"/>
  <c r="V35" i="14"/>
  <c r="V36" i="14"/>
  <c r="V37" i="14"/>
  <c r="V38" i="14"/>
  <c r="V39" i="14"/>
  <c r="V24" i="14" l="1"/>
  <c r="J21" i="11" l="1"/>
  <c r="J22" i="11"/>
  <c r="J23" i="11"/>
  <c r="J24" i="11"/>
  <c r="J25" i="11"/>
  <c r="J26" i="11"/>
  <c r="J27" i="11"/>
  <c r="J28" i="11"/>
  <c r="J29" i="11"/>
  <c r="I21" i="11"/>
  <c r="I22" i="11"/>
  <c r="I23" i="11"/>
  <c r="I24" i="11"/>
  <c r="I25" i="11"/>
  <c r="I26" i="11"/>
  <c r="I27" i="11"/>
  <c r="I28" i="11"/>
  <c r="I29" i="11"/>
  <c r="AL31" i="14" l="1"/>
  <c r="AL32" i="14"/>
  <c r="AL33" i="14"/>
  <c r="AL34" i="14"/>
  <c r="AL35" i="14"/>
  <c r="AL36" i="14"/>
  <c r="AL37" i="14"/>
  <c r="AL38" i="14"/>
  <c r="AL39" i="14"/>
  <c r="AI31" i="14"/>
  <c r="AI32" i="14"/>
  <c r="AI33" i="14"/>
  <c r="AI34" i="14"/>
  <c r="AI35" i="14"/>
  <c r="AI36" i="14"/>
  <c r="AI37" i="14"/>
  <c r="AI38" i="14"/>
  <c r="AI39" i="14"/>
  <c r="H29" i="11" l="1"/>
  <c r="G29" i="11"/>
  <c r="H27" i="11"/>
  <c r="G27" i="11"/>
  <c r="H25" i="11"/>
  <c r="G25" i="11"/>
  <c r="H23" i="11"/>
  <c r="G23" i="11"/>
  <c r="H21" i="11"/>
  <c r="G21" i="11"/>
  <c r="H28" i="11"/>
  <c r="G28" i="11"/>
  <c r="H26" i="11"/>
  <c r="G26" i="11"/>
  <c r="H24" i="11"/>
  <c r="G24" i="11"/>
  <c r="H22" i="11"/>
  <c r="G22" i="11"/>
  <c r="AA32" i="14"/>
  <c r="AA33" i="14"/>
  <c r="AA34" i="14"/>
  <c r="AA35" i="14"/>
  <c r="AA36" i="14"/>
  <c r="AA37" i="14"/>
  <c r="AA38" i="14"/>
  <c r="AA39" i="14"/>
  <c r="V31" i="14"/>
  <c r="K21" i="11" s="1"/>
  <c r="V32" i="14"/>
  <c r="K22" i="11" s="1"/>
  <c r="K23" i="11"/>
  <c r="K24" i="11"/>
  <c r="K25" i="11"/>
  <c r="K26" i="11"/>
  <c r="K27" i="11"/>
  <c r="K28" i="11"/>
  <c r="K29" i="11"/>
  <c r="I39" i="14"/>
  <c r="I38" i="14"/>
  <c r="I37" i="14"/>
  <c r="O37" i="14" s="1"/>
  <c r="I36" i="14"/>
  <c r="I35" i="14"/>
  <c r="O35" i="14" s="1"/>
  <c r="I34" i="14"/>
  <c r="I33" i="14"/>
  <c r="I32" i="14"/>
  <c r="I31" i="14"/>
  <c r="O32" i="14" l="1"/>
  <c r="O39" i="14"/>
  <c r="O33" i="14"/>
  <c r="O34" i="14"/>
  <c r="O36" i="14"/>
  <c r="O38" i="14"/>
  <c r="O31" i="14"/>
  <c r="L29" i="11"/>
  <c r="AB39" i="14"/>
  <c r="L27" i="11"/>
  <c r="AB37" i="14"/>
  <c r="L25" i="11"/>
  <c r="AB35" i="14"/>
  <c r="L23" i="11"/>
  <c r="AB33" i="14"/>
  <c r="L21" i="11"/>
  <c r="AB31" i="14"/>
  <c r="P31" i="14"/>
  <c r="P32" i="14"/>
  <c r="P33" i="14"/>
  <c r="E23" i="11" s="1"/>
  <c r="P34" i="14"/>
  <c r="E24" i="11" s="1"/>
  <c r="P35" i="14"/>
  <c r="E25" i="11" s="1"/>
  <c r="P36" i="14"/>
  <c r="E26" i="11" s="1"/>
  <c r="P37" i="14"/>
  <c r="E27" i="11" s="1"/>
  <c r="P38" i="14"/>
  <c r="E28" i="11" s="1"/>
  <c r="P39" i="14"/>
  <c r="E29" i="11" s="1"/>
  <c r="L28" i="11"/>
  <c r="AB38" i="14"/>
  <c r="L26" i="11"/>
  <c r="AB36" i="14"/>
  <c r="L24" i="11"/>
  <c r="AB34" i="14"/>
  <c r="L22" i="11"/>
  <c r="AB32" i="14"/>
  <c r="E21" i="11" l="1"/>
  <c r="E22" i="11"/>
  <c r="F28" i="11"/>
  <c r="F26" i="11"/>
  <c r="F24" i="11"/>
  <c r="F22" i="11"/>
  <c r="F29" i="11"/>
  <c r="F27" i="11"/>
  <c r="F25" i="11"/>
  <c r="F23" i="11"/>
  <c r="F21" i="11"/>
  <c r="V30" i="14" l="1"/>
  <c r="V29" i="14"/>
  <c r="V28" i="14"/>
  <c r="V27" i="14"/>
  <c r="V26" i="14"/>
  <c r="V25" i="14"/>
  <c r="V23" i="14"/>
  <c r="V22" i="14"/>
  <c r="V21" i="14"/>
  <c r="V20" i="14"/>
  <c r="V19" i="14"/>
  <c r="V18" i="14"/>
  <c r="V17" i="14"/>
  <c r="V16" i="14"/>
  <c r="V15" i="14"/>
  <c r="V14" i="14"/>
  <c r="V13" i="14"/>
  <c r="V12" i="14"/>
  <c r="AJ47" i="14"/>
  <c r="K9" i="11" l="1"/>
  <c r="K10" i="11"/>
  <c r="K11" i="11"/>
  <c r="K17" i="11"/>
  <c r="K18" i="11"/>
  <c r="K19" i="11"/>
  <c r="K20" i="11"/>
  <c r="J7" i="11"/>
  <c r="I3" i="11"/>
  <c r="I5" i="11"/>
  <c r="I11" i="11"/>
  <c r="I13" i="11"/>
  <c r="I19" i="11"/>
  <c r="I20" i="11"/>
  <c r="I2" i="11"/>
  <c r="AD47" i="14"/>
  <c r="D47" i="14"/>
  <c r="C47" i="14"/>
  <c r="AE47" i="14"/>
  <c r="J20" i="11"/>
  <c r="I30" i="14"/>
  <c r="AL29" i="14"/>
  <c r="I29" i="14"/>
  <c r="AL28" i="14"/>
  <c r="I28" i="14"/>
  <c r="I27" i="14"/>
  <c r="AL26" i="14"/>
  <c r="AI26" i="14"/>
  <c r="I26" i="14"/>
  <c r="AL25" i="14"/>
  <c r="I15" i="11"/>
  <c r="P25" i="14"/>
  <c r="AL24" i="14"/>
  <c r="K14" i="11"/>
  <c r="I24" i="14"/>
  <c r="AL23" i="14"/>
  <c r="P23" i="14"/>
  <c r="I22" i="14"/>
  <c r="P21" i="14"/>
  <c r="AL20" i="14"/>
  <c r="AB20" i="14"/>
  <c r="I20" i="14"/>
  <c r="I9" i="11"/>
  <c r="AB19" i="14"/>
  <c r="AL18" i="14"/>
  <c r="P18" i="14"/>
  <c r="I18" i="14"/>
  <c r="AL17" i="14"/>
  <c r="I7" i="11"/>
  <c r="P17" i="14"/>
  <c r="AL16" i="14"/>
  <c r="K6" i="11"/>
  <c r="I16" i="14"/>
  <c r="AL15" i="14"/>
  <c r="P15" i="14"/>
  <c r="AL13" i="14"/>
  <c r="K2" i="11"/>
  <c r="I12" i="14"/>
  <c r="H11" i="11" l="1"/>
  <c r="H5" i="11"/>
  <c r="G2" i="11"/>
  <c r="H7" i="11"/>
  <c r="H13" i="11"/>
  <c r="H3" i="11"/>
  <c r="E7" i="11"/>
  <c r="E5" i="11"/>
  <c r="E13" i="11"/>
  <c r="E11" i="11"/>
  <c r="E15" i="11"/>
  <c r="E8" i="11"/>
  <c r="G8" i="11"/>
  <c r="H8" i="11"/>
  <c r="G9" i="11"/>
  <c r="H9" i="11"/>
  <c r="AI22" i="14"/>
  <c r="H12" i="11"/>
  <c r="AI24" i="14"/>
  <c r="H14" i="11"/>
  <c r="AI25" i="14"/>
  <c r="H15" i="11"/>
  <c r="G16" i="11"/>
  <c r="H16" i="11"/>
  <c r="AI28" i="14"/>
  <c r="H18" i="11"/>
  <c r="AI29" i="14"/>
  <c r="H19" i="11"/>
  <c r="AI30" i="14"/>
  <c r="H20" i="11"/>
  <c r="AI14" i="14"/>
  <c r="H4" i="11"/>
  <c r="AI16" i="14"/>
  <c r="H6" i="11"/>
  <c r="AI20" i="14"/>
  <c r="H10" i="11"/>
  <c r="AI27" i="14"/>
  <c r="H17" i="11"/>
  <c r="O29" i="14"/>
  <c r="O27" i="14"/>
  <c r="G20" i="11"/>
  <c r="O20" i="14"/>
  <c r="O30" i="14"/>
  <c r="G15" i="11"/>
  <c r="G14" i="11"/>
  <c r="O28" i="14"/>
  <c r="J13" i="11"/>
  <c r="J14" i="11"/>
  <c r="AL30" i="14"/>
  <c r="J6" i="11"/>
  <c r="J5" i="11"/>
  <c r="G7" i="11"/>
  <c r="G11" i="11"/>
  <c r="AL27" i="14"/>
  <c r="J17" i="11"/>
  <c r="G13" i="11"/>
  <c r="J4" i="11"/>
  <c r="AL14" i="14"/>
  <c r="G5" i="11"/>
  <c r="G3" i="11"/>
  <c r="AL21" i="14"/>
  <c r="J11" i="11"/>
  <c r="J12" i="11"/>
  <c r="AL22" i="14"/>
  <c r="J47" i="14"/>
  <c r="G47" i="14"/>
  <c r="W47" i="14"/>
  <c r="O24" i="14"/>
  <c r="P27" i="14"/>
  <c r="P29" i="14"/>
  <c r="P30" i="14"/>
  <c r="J16" i="11"/>
  <c r="J8" i="11"/>
  <c r="K3" i="11"/>
  <c r="G6" i="11"/>
  <c r="I12" i="11"/>
  <c r="I4" i="11"/>
  <c r="J15" i="11"/>
  <c r="I19" i="14"/>
  <c r="O19" i="14" s="1"/>
  <c r="G12" i="11"/>
  <c r="G4" i="11"/>
  <c r="I18" i="11"/>
  <c r="K16" i="11"/>
  <c r="K8" i="11"/>
  <c r="L47" i="14"/>
  <c r="P14" i="14"/>
  <c r="P20" i="14"/>
  <c r="P22" i="14"/>
  <c r="G19" i="11"/>
  <c r="I17" i="11"/>
  <c r="K15" i="11"/>
  <c r="K7" i="11"/>
  <c r="L10" i="11"/>
  <c r="P13" i="14"/>
  <c r="AF47" i="14"/>
  <c r="I10" i="11"/>
  <c r="M47" i="14"/>
  <c r="P16" i="14"/>
  <c r="I17" i="14"/>
  <c r="O18" i="14"/>
  <c r="I21" i="14"/>
  <c r="O21" i="14" s="1"/>
  <c r="G18" i="11"/>
  <c r="G10" i="11"/>
  <c r="I16" i="11"/>
  <c r="I8" i="11"/>
  <c r="J19" i="11"/>
  <c r="J3" i="11"/>
  <c r="L9" i="11"/>
  <c r="K47" i="14"/>
  <c r="O22" i="14"/>
  <c r="P26" i="14"/>
  <c r="E47" i="14"/>
  <c r="I13" i="14"/>
  <c r="O13" i="14" s="1"/>
  <c r="I15" i="14"/>
  <c r="O15" i="14" s="1"/>
  <c r="O16" i="14"/>
  <c r="P19" i="14"/>
  <c r="I23" i="14"/>
  <c r="O23" i="14" s="1"/>
  <c r="P28" i="14"/>
  <c r="G17" i="11"/>
  <c r="J18" i="11"/>
  <c r="J10" i="11"/>
  <c r="K13" i="11"/>
  <c r="K5" i="11"/>
  <c r="F47" i="14"/>
  <c r="V47" i="14"/>
  <c r="I14" i="14"/>
  <c r="O14" i="14" s="1"/>
  <c r="P24" i="14"/>
  <c r="I25" i="14"/>
  <c r="O25" i="14" s="1"/>
  <c r="O26" i="14"/>
  <c r="I14" i="11"/>
  <c r="I6" i="11"/>
  <c r="K12" i="11"/>
  <c r="K4" i="11"/>
  <c r="L2" i="11"/>
  <c r="H2" i="11"/>
  <c r="H47" i="14"/>
  <c r="P12" i="14"/>
  <c r="J2" i="11"/>
  <c r="AC47" i="14"/>
  <c r="W50" i="14" l="1"/>
  <c r="F5" i="11"/>
  <c r="E2" i="11"/>
  <c r="F15" i="11"/>
  <c r="E4" i="11"/>
  <c r="E6" i="11"/>
  <c r="F11" i="11"/>
  <c r="E19" i="11"/>
  <c r="E16" i="11"/>
  <c r="E18" i="11"/>
  <c r="F13" i="11"/>
  <c r="F12" i="11"/>
  <c r="E12" i="11"/>
  <c r="E9" i="11"/>
  <c r="E3" i="11"/>
  <c r="E10" i="11"/>
  <c r="E20" i="11"/>
  <c r="E14" i="11"/>
  <c r="F8" i="11"/>
  <c r="E17" i="11"/>
  <c r="F6" i="11"/>
  <c r="F16" i="11"/>
  <c r="F4" i="11"/>
  <c r="F18" i="11"/>
  <c r="F9" i="11"/>
  <c r="F20" i="11"/>
  <c r="F10" i="11"/>
  <c r="F3" i="11"/>
  <c r="F14" i="11"/>
  <c r="F17" i="11"/>
  <c r="F19" i="11"/>
  <c r="I47" i="14"/>
  <c r="AI18" i="14"/>
  <c r="AI19" i="14"/>
  <c r="AB24" i="14"/>
  <c r="L14" i="11"/>
  <c r="AB22" i="14"/>
  <c r="L12" i="11"/>
  <c r="AI13" i="14"/>
  <c r="AI15" i="14"/>
  <c r="O17" i="14"/>
  <c r="AB28" i="14"/>
  <c r="L18" i="11"/>
  <c r="AB14" i="14"/>
  <c r="L4" i="11"/>
  <c r="AB30" i="14"/>
  <c r="L20" i="11"/>
  <c r="AB29" i="14"/>
  <c r="L19" i="11"/>
  <c r="X47" i="14"/>
  <c r="AB18" i="14"/>
  <c r="L8" i="11"/>
  <c r="AB25" i="14"/>
  <c r="L15" i="11"/>
  <c r="AB23" i="14"/>
  <c r="L13" i="11"/>
  <c r="AI21" i="14"/>
  <c r="AB26" i="14"/>
  <c r="L16" i="11"/>
  <c r="AB17" i="14"/>
  <c r="L7" i="11"/>
  <c r="Y47" i="14"/>
  <c r="AB27" i="14"/>
  <c r="L17" i="11"/>
  <c r="AB15" i="14"/>
  <c r="L5" i="11"/>
  <c r="AI23" i="14"/>
  <c r="AI17" i="14"/>
  <c r="AB21" i="14"/>
  <c r="L11" i="11"/>
  <c r="AG47" i="14"/>
  <c r="AL19" i="14"/>
  <c r="J9" i="11"/>
  <c r="AB13" i="14"/>
  <c r="L3" i="11"/>
  <c r="AK47" i="14"/>
  <c r="AL47" i="14" s="1"/>
  <c r="AL12" i="14"/>
  <c r="AA47" i="14"/>
  <c r="AB47" i="14" s="1"/>
  <c r="AH47" i="14"/>
  <c r="AI47" i="14" s="1"/>
  <c r="AI12" i="14"/>
  <c r="N47" i="14"/>
  <c r="O12" i="14"/>
  <c r="P47" i="14"/>
  <c r="S47" i="14" s="1"/>
  <c r="Z47" i="14"/>
  <c r="AB12" i="14"/>
  <c r="F7" i="11" l="1"/>
  <c r="F2" i="11"/>
  <c r="AB16" i="14"/>
  <c r="L6" i="11"/>
  <c r="O47" i="14"/>
  <c r="T47" i="14" s="1"/>
  <c r="U47" i="14" s="1"/>
  <c r="U48" i="14" l="1"/>
  <c r="B3" i="1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A8" i="10" l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</calcChain>
</file>

<file path=xl/sharedStrings.xml><?xml version="1.0" encoding="utf-8"?>
<sst xmlns="http://schemas.openxmlformats.org/spreadsheetml/2006/main" count="100" uniqueCount="55">
  <si>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</si>
  <si>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</si>
  <si>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</si>
  <si>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</si>
  <si>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</si>
  <si>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</si>
  <si>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</si>
  <si>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</si>
  <si>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</si>
  <si>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</si>
  <si>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</si>
  <si>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</si>
  <si>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</si>
  <si>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Bali Jimbaran</t>
  </si>
  <si>
    <t xml:space="preserve"> </t>
  </si>
  <si>
    <t>Four Seasons Resort Bali at Jimbaran Bay</t>
  </si>
  <si>
    <t>JUNE 2021</t>
  </si>
  <si>
    <t>Date</t>
  </si>
  <si>
    <t>Room Nights</t>
  </si>
  <si>
    <t>ELECTRICITY Resort, Sundara &amp; Residences</t>
  </si>
  <si>
    <t>WATER</t>
  </si>
  <si>
    <t>GAS</t>
  </si>
  <si>
    <t>Electricity Resort</t>
  </si>
  <si>
    <t>Electricity - Sundara</t>
  </si>
  <si>
    <t>Sub Total (Resort &amp; Sundara) Cost  (IDR)</t>
  </si>
  <si>
    <t>Sub Total (Resort &amp; Sundara), KWh</t>
  </si>
  <si>
    <t>Residences- Electricity KWh</t>
  </si>
  <si>
    <t>Residences- Electricity cost (IDR)</t>
  </si>
  <si>
    <t>TOTAL  Electricity consumption (KWh)</t>
  </si>
  <si>
    <t>TOTAL  Electricity cost</t>
  </si>
  <si>
    <t>Water (m3)</t>
  </si>
  <si>
    <t xml:space="preserve">Total Water Cost </t>
  </si>
  <si>
    <t xml:space="preserve">LPG </t>
  </si>
  <si>
    <t>Diesel</t>
  </si>
  <si>
    <t>BASED LOAD KWh (from 10 pm - 6 pm)</t>
  </si>
  <si>
    <t>Cost (IDR)</t>
  </si>
  <si>
    <t>PEAK LOAD KWh (from 6 pm - 10 pm)</t>
  </si>
  <si>
    <t>Resort Cost  (IDR)</t>
  </si>
  <si>
    <t>Sundara Cost  (IDR)</t>
  </si>
  <si>
    <t>IDR</t>
  </si>
  <si>
    <t>USD</t>
  </si>
  <si>
    <t>Water consumption (m3)</t>
  </si>
  <si>
    <t>Municipal Water (m3)</t>
  </si>
  <si>
    <t>Municipal Water cost (IDR)</t>
  </si>
  <si>
    <t>Deepwell Consumption (m3)</t>
  </si>
  <si>
    <t>Deepwell water Cost (IDR)</t>
  </si>
  <si>
    <t>LPG Bulk (m3)</t>
  </si>
  <si>
    <t>50 Kg (tube) IVD &amp; TW</t>
  </si>
  <si>
    <t>Sundara 50 kg (tube)</t>
  </si>
  <si>
    <t>12 Kg (tube)</t>
  </si>
  <si>
    <t>Total kg</t>
  </si>
  <si>
    <t>Used (liters)</t>
  </si>
  <si>
    <t>kWh rate</t>
  </si>
  <si>
    <t>m3/RNs</t>
  </si>
  <si>
    <t xml:space="preserve">Total Fuel Oil  (Liter)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</si>
</sst>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7" formatCode="&quot;$&quot;#,##0.00_);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  <numFmt numFmtId="167" formatCode="&quot;$&quot;#,##0"/>
    <numFmt numFmtId="168" formatCode="_-* #,##0.0_-;\-* #,##0.0_-;_-* &quot;-&quot;??_-;_-@_-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7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4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41" fontId="16" fillId="0" borderId="0" applyFont="0" applyFill="0" applyBorder="0" applyAlignment="0" applyProtection="0"/>
    <xf numFmtId="0" fontId="16" fillId="0" borderId="0"/>
    <xf numFmtId="43" fontId="2" fillId="0" borderId="0" applyFont="0" applyFill="0" applyBorder="0" applyAlignment="0" applyProtection="0"/>
  </cellStyleXfs>
  <cellXfs count="260">
    <xf numFmtId="0" fontId="0" fillId="0" borderId="0" xfId="0"/>
    <xf numFmtId="0" fontId="0" fillId="0" borderId="8" xfId="0" applyBorder="1"/>
    <xf numFmtId="165" fontId="0" fillId="0" borderId="8" xfId="2" applyNumberFormat="1" applyFont="1" applyBorder="1"/>
    <xf numFmtId="165" fontId="0" fillId="0" borderId="0" xfId="2" applyNumberFormat="1" applyFont="1"/>
    <xf numFmtId="165" fontId="0" fillId="0" borderId="0" xfId="2" applyNumberFormat="1" applyFont="1" applyBorder="1"/>
    <xf numFmtId="165" fontId="1" fillId="0" borderId="0" xfId="2" applyNumberFormat="1" applyFont="1"/>
    <xf numFmtId="165" fontId="0" fillId="3" borderId="0" xfId="2" applyNumberFormat="1" applyFont="1" applyFill="1" applyBorder="1"/>
    <xf numFmtId="0" fontId="0" fillId="3" borderId="0" xfId="0" applyFill="1"/>
    <xf numFmtId="164" fontId="4" fillId="0" borderId="0" xfId="2" applyFont="1" applyBorder="1"/>
    <xf numFmtId="164" fontId="4" fillId="0" borderId="0" xfId="0" applyNumberFormat="1" applyFont="1"/>
    <xf numFmtId="165" fontId="0" fillId="0" borderId="0" xfId="0" applyNumberFormat="1"/>
    <xf numFmtId="0" fontId="8" fillId="0" borderId="0" xfId="0" applyFont="1"/>
    <xf numFmtId="0" fontId="0" fillId="0" borderId="32" xfId="0" applyBorder="1" applyAlignment="1">
      <alignment horizontal="center" vertical="center" wrapText="1"/>
    </xf>
    <xf numFmtId="0" fontId="4" fillId="0" borderId="0" xfId="0" applyFont="1" applyAlignment="1">
      <alignment horizontal="right"/>
    </xf>
    <xf numFmtId="164" fontId="0" fillId="3" borderId="0" xfId="0" applyNumberFormat="1" applyFill="1"/>
    <xf numFmtId="165" fontId="4" fillId="0" borderId="0" xfId="2" applyNumberFormat="1" applyFont="1" applyBorder="1"/>
    <xf numFmtId="0" fontId="0" fillId="0" borderId="9" xfId="0" applyBorder="1"/>
    <xf numFmtId="165" fontId="0" fillId="0" borderId="12" xfId="2" applyNumberFormat="1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165" fontId="0" fillId="0" borderId="34" xfId="2" applyNumberFormat="1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5" fontId="0" fillId="3" borderId="0" xfId="0" applyNumberFormat="1" applyFill="1"/>
    <xf numFmtId="0" fontId="6" fillId="3" borderId="0" xfId="0" applyFont="1" applyFill="1"/>
    <xf numFmtId="0" fontId="1" fillId="3" borderId="0" xfId="0" applyFont="1" applyFill="1"/>
    <xf numFmtId="0" fontId="0" fillId="3" borderId="0" xfId="0" applyFill="1" applyAlignment="1">
      <alignment horizontal="center" vertical="center" wrapText="1"/>
    </xf>
    <xf numFmtId="0" fontId="1" fillId="3" borderId="0" xfId="0" applyFont="1" applyFill="1" applyAlignment="1">
      <alignment horizontal="center"/>
    </xf>
    <xf numFmtId="0" fontId="9" fillId="3" borderId="0" xfId="0" applyFont="1" applyFill="1"/>
    <xf numFmtId="165" fontId="0" fillId="0" borderId="9" xfId="0" applyNumberFormat="1" applyBorder="1"/>
    <xf numFmtId="0" fontId="0" fillId="3" borderId="5" xfId="0" applyFill="1" applyBorder="1"/>
    <xf numFmtId="165" fontId="0" fillId="3" borderId="0" xfId="2" applyNumberFormat="1" applyFont="1" applyFill="1" applyBorder="1" applyAlignment="1">
      <alignment horizontal="right"/>
    </xf>
    <xf numFmtId="165" fontId="6" fillId="3" borderId="0" xfId="2" applyNumberFormat="1" applyFont="1" applyFill="1" applyBorder="1" applyAlignment="1"/>
    <xf numFmtId="166" fontId="0" fillId="0" borderId="8" xfId="2" applyNumberFormat="1" applyFont="1" applyBorder="1"/>
    <xf numFmtId="0" fontId="1" fillId="4" borderId="36" xfId="0" applyFont="1" applyFill="1" applyBorder="1" applyAlignment="1">
      <alignment horizontal="center" vertical="center"/>
    </xf>
    <xf numFmtId="167" fontId="6" fillId="3" borderId="0" xfId="0" applyNumberFormat="1" applyFont="1" applyFill="1"/>
    <xf numFmtId="167" fontId="1" fillId="4" borderId="4" xfId="0" applyNumberFormat="1" applyFont="1" applyFill="1" applyBorder="1" applyAlignment="1">
      <alignment horizontal="center" vertical="center"/>
    </xf>
    <xf numFmtId="167" fontId="0" fillId="0" borderId="21" xfId="2" applyNumberFormat="1" applyFont="1" applyBorder="1"/>
    <xf numFmtId="167" fontId="0" fillId="3" borderId="5" xfId="0" applyNumberFormat="1" applyFill="1" applyBorder="1"/>
    <xf numFmtId="167" fontId="0" fillId="0" borderId="0" xfId="0" applyNumberFormat="1"/>
    <xf numFmtId="0" fontId="0" fillId="0" borderId="13" xfId="0" applyBorder="1" applyAlignment="1">
      <alignment horizontal="center" vertical="center" wrapText="1"/>
    </xf>
    <xf numFmtId="167" fontId="0" fillId="0" borderId="9" xfId="2" applyNumberFormat="1" applyFont="1" applyBorder="1"/>
    <xf numFmtId="164" fontId="0" fillId="3" borderId="23" xfId="0" applyNumberFormat="1" applyFill="1" applyBorder="1"/>
    <xf numFmtId="165" fontId="0" fillId="0" borderId="13" xfId="2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165" fontId="0" fillId="0" borderId="42" xfId="2" applyNumberFormat="1" applyFont="1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167" fontId="0" fillId="0" borderId="26" xfId="0" applyNumberFormat="1" applyBorder="1" applyAlignment="1">
      <alignment horizontal="center" vertical="center" wrapText="1"/>
    </xf>
    <xf numFmtId="167" fontId="0" fillId="0" borderId="43" xfId="0" applyNumberFormat="1" applyBorder="1" applyAlignment="1">
      <alignment horizontal="center" vertical="center" wrapText="1"/>
    </xf>
    <xf numFmtId="165" fontId="1" fillId="3" borderId="6" xfId="0" applyNumberFormat="1" applyFont="1" applyFill="1" applyBorder="1"/>
    <xf numFmtId="0" fontId="0" fillId="5" borderId="19" xfId="0" applyFill="1" applyBorder="1" applyAlignment="1">
      <alignment vertical="center"/>
    </xf>
    <xf numFmtId="0" fontId="0" fillId="5" borderId="34" xfId="0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11" fillId="11" borderId="44" xfId="0" applyFont="1" applyFill="1" applyBorder="1" applyAlignment="1">
      <alignment horizontal="center" vertical="center" shrinkToFit="1"/>
    </xf>
    <xf numFmtId="0" fontId="11" fillId="11" borderId="45" xfId="0" applyFont="1" applyFill="1" applyBorder="1" applyAlignment="1">
      <alignment horizontal="center" vertical="center" shrinkToFit="1"/>
    </xf>
    <xf numFmtId="164" fontId="9" fillId="3" borderId="0" xfId="2" applyFont="1" applyFill="1" applyBorder="1" applyAlignment="1"/>
    <xf numFmtId="164" fontId="8" fillId="0" borderId="16" xfId="2" applyFont="1" applyBorder="1" applyAlignment="1">
      <alignment horizontal="center" vertical="center" wrapText="1"/>
    </xf>
    <xf numFmtId="164" fontId="8" fillId="0" borderId="28" xfId="2" applyFont="1" applyBorder="1" applyAlignment="1">
      <alignment horizontal="center" vertical="center" wrapText="1"/>
    </xf>
    <xf numFmtId="164" fontId="8" fillId="3" borderId="0" xfId="2" applyFont="1" applyFill="1" applyBorder="1"/>
    <xf numFmtId="164" fontId="12" fillId="0" borderId="0" xfId="2" applyFont="1" applyBorder="1"/>
    <xf numFmtId="164" fontId="8" fillId="0" borderId="0" xfId="2" applyFont="1"/>
    <xf numFmtId="165" fontId="9" fillId="3" borderId="0" xfId="2" applyNumberFormat="1" applyFont="1" applyFill="1" applyBorder="1" applyAlignment="1"/>
    <xf numFmtId="165" fontId="8" fillId="3" borderId="0" xfId="2" applyNumberFormat="1" applyFont="1" applyFill="1" applyBorder="1"/>
    <xf numFmtId="165" fontId="12" fillId="0" borderId="0" xfId="2" applyNumberFormat="1" applyFont="1" applyBorder="1"/>
    <xf numFmtId="165" fontId="8" fillId="0" borderId="0" xfId="2" applyNumberFormat="1" applyFont="1"/>
    <xf numFmtId="165" fontId="0" fillId="3" borderId="39" xfId="0" applyNumberFormat="1" applyFill="1" applyBorder="1"/>
    <xf numFmtId="165" fontId="1" fillId="0" borderId="39" xfId="0" applyNumberFormat="1" applyFont="1" applyBorder="1"/>
    <xf numFmtId="0" fontId="0" fillId="3" borderId="47" xfId="0" applyFill="1" applyBorder="1"/>
    <xf numFmtId="165" fontId="0" fillId="3" borderId="47" xfId="2" applyNumberFormat="1" applyFont="1" applyFill="1" applyBorder="1"/>
    <xf numFmtId="164" fontId="8" fillId="3" borderId="47" xfId="2" applyFont="1" applyFill="1" applyBorder="1"/>
    <xf numFmtId="165" fontId="8" fillId="3" borderId="47" xfId="2" applyNumberFormat="1" applyFont="1" applyFill="1" applyBorder="1"/>
    <xf numFmtId="164" fontId="0" fillId="3" borderId="47" xfId="0" applyNumberFormat="1" applyFill="1" applyBorder="1"/>
    <xf numFmtId="0" fontId="0" fillId="3" borderId="49" xfId="0" applyFill="1" applyBorder="1"/>
    <xf numFmtId="43" fontId="0" fillId="3" borderId="47" xfId="0" applyNumberFormat="1" applyFill="1" applyBorder="1"/>
    <xf numFmtId="165" fontId="0" fillId="3" borderId="47" xfId="0" applyNumberFormat="1" applyFill="1" applyBorder="1"/>
    <xf numFmtId="165" fontId="0" fillId="0" borderId="47" xfId="2" applyNumberFormat="1" applyFont="1" applyBorder="1"/>
    <xf numFmtId="167" fontId="0" fillId="3" borderId="49" xfId="0" applyNumberFormat="1" applyFill="1" applyBorder="1"/>
    <xf numFmtId="165" fontId="0" fillId="0" borderId="0" xfId="2" applyNumberFormat="1" applyFont="1" applyBorder="1" applyAlignment="1">
      <alignment horizontal="right"/>
    </xf>
    <xf numFmtId="165" fontId="9" fillId="6" borderId="23" xfId="2" applyNumberFormat="1" applyFont="1" applyFill="1" applyBorder="1"/>
    <xf numFmtId="0" fontId="1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68" fontId="6" fillId="3" borderId="0" xfId="2" applyNumberFormat="1" applyFont="1" applyFill="1" applyBorder="1" applyAlignment="1"/>
    <xf numFmtId="168" fontId="0" fillId="3" borderId="0" xfId="2" applyNumberFormat="1" applyFont="1" applyFill="1" applyBorder="1"/>
    <xf numFmtId="168" fontId="0" fillId="3" borderId="47" xfId="2" applyNumberFormat="1" applyFont="1" applyFill="1" applyBorder="1"/>
    <xf numFmtId="168" fontId="0" fillId="0" borderId="0" xfId="2" applyNumberFormat="1" applyFont="1" applyBorder="1"/>
    <xf numFmtId="168" fontId="0" fillId="0" borderId="0" xfId="2" applyNumberFormat="1" applyFont="1"/>
    <xf numFmtId="165" fontId="0" fillId="0" borderId="19" xfId="2" applyNumberFormat="1" applyFont="1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165" fontId="9" fillId="0" borderId="53" xfId="2" applyNumberFormat="1" applyFont="1" applyBorder="1" applyAlignment="1">
      <alignment horizontal="center" vertical="center" wrapText="1"/>
    </xf>
    <xf numFmtId="165" fontId="8" fillId="0" borderId="54" xfId="2" applyNumberFormat="1" applyFont="1" applyBorder="1" applyAlignment="1">
      <alignment horizontal="center" vertical="center" wrapText="1"/>
    </xf>
    <xf numFmtId="165" fontId="8" fillId="0" borderId="21" xfId="2" applyNumberFormat="1" applyFont="1" applyBorder="1"/>
    <xf numFmtId="0" fontId="0" fillId="0" borderId="29" xfId="0" applyBorder="1"/>
    <xf numFmtId="165" fontId="0" fillId="0" borderId="29" xfId="2" applyNumberFormat="1" applyFont="1" applyBorder="1"/>
    <xf numFmtId="164" fontId="8" fillId="0" borderId="29" xfId="2" applyFont="1" applyBorder="1"/>
    <xf numFmtId="165" fontId="8" fillId="0" borderId="32" xfId="2" applyNumberFormat="1" applyFont="1" applyBorder="1"/>
    <xf numFmtId="0" fontId="1" fillId="0" borderId="52" xfId="0" applyFont="1" applyBorder="1" applyAlignment="1">
      <alignment horizontal="center" vertical="center" wrapText="1"/>
    </xf>
    <xf numFmtId="0" fontId="1" fillId="0" borderId="53" xfId="0" applyFont="1" applyBorder="1" applyAlignment="1">
      <alignment horizontal="center" vertical="center" wrapText="1"/>
    </xf>
    <xf numFmtId="165" fontId="0" fillId="0" borderId="18" xfId="2" applyNumberFormat="1" applyFont="1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164" fontId="0" fillId="0" borderId="21" xfId="0" applyNumberFormat="1" applyBorder="1"/>
    <xf numFmtId="165" fontId="0" fillId="0" borderId="56" xfId="2" applyNumberFormat="1" applyFont="1" applyBorder="1"/>
    <xf numFmtId="0" fontId="0" fillId="0" borderId="32" xfId="0" applyBorder="1"/>
    <xf numFmtId="165" fontId="0" fillId="0" borderId="10" xfId="2" applyNumberFormat="1" applyFont="1" applyBorder="1"/>
    <xf numFmtId="0" fontId="0" fillId="0" borderId="57" xfId="0" applyBorder="1"/>
    <xf numFmtId="164" fontId="0" fillId="0" borderId="45" xfId="2" applyFont="1" applyBorder="1"/>
    <xf numFmtId="164" fontId="0" fillId="0" borderId="58" xfId="2" applyFont="1" applyBorder="1"/>
    <xf numFmtId="165" fontId="8" fillId="0" borderId="44" xfId="2" applyNumberFormat="1" applyFont="1" applyBorder="1" applyAlignment="1">
      <alignment horizontal="center" vertical="center" wrapText="1"/>
    </xf>
    <xf numFmtId="165" fontId="8" fillId="0" borderId="45" xfId="2" applyNumberFormat="1" applyFont="1" applyBorder="1"/>
    <xf numFmtId="165" fontId="8" fillId="0" borderId="58" xfId="2" applyNumberFormat="1" applyFont="1" applyBorder="1"/>
    <xf numFmtId="168" fontId="0" fillId="0" borderId="35" xfId="2" applyNumberFormat="1" applyFont="1" applyBorder="1" applyAlignment="1">
      <alignment horizontal="center" vertical="center" wrapText="1"/>
    </xf>
    <xf numFmtId="168" fontId="4" fillId="0" borderId="0" xfId="2" applyNumberFormat="1" applyFont="1" applyBorder="1"/>
    <xf numFmtId="165" fontId="9" fillId="6" borderId="23" xfId="0" applyNumberFormat="1" applyFont="1" applyFill="1" applyBorder="1"/>
    <xf numFmtId="165" fontId="0" fillId="3" borderId="14" xfId="2" applyNumberFormat="1" applyFont="1" applyFill="1" applyBorder="1"/>
    <xf numFmtId="0" fontId="0" fillId="3" borderId="60" xfId="0" applyFill="1" applyBorder="1"/>
    <xf numFmtId="0" fontId="0" fillId="3" borderId="15" xfId="0" applyFill="1" applyBorder="1"/>
    <xf numFmtId="0" fontId="0" fillId="3" borderId="61" xfId="0" applyFill="1" applyBorder="1"/>
    <xf numFmtId="0" fontId="0" fillId="3" borderId="62" xfId="0" applyFill="1" applyBorder="1"/>
    <xf numFmtId="165" fontId="0" fillId="3" borderId="48" xfId="2" applyNumberFormat="1" applyFont="1" applyFill="1" applyBorder="1"/>
    <xf numFmtId="0" fontId="11" fillId="11" borderId="58" xfId="0" applyFont="1" applyFill="1" applyBorder="1" applyAlignment="1">
      <alignment horizontal="center" vertical="center" shrinkToFit="1"/>
    </xf>
    <xf numFmtId="165" fontId="1" fillId="0" borderId="23" xfId="2" applyNumberFormat="1" applyFont="1" applyBorder="1"/>
    <xf numFmtId="167" fontId="1" fillId="3" borderId="7" xfId="0" applyNumberFormat="1" applyFont="1" applyFill="1" applyBorder="1"/>
    <xf numFmtId="0" fontId="0" fillId="0" borderId="64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10" xfId="0" applyBorder="1"/>
    <xf numFmtId="165" fontId="0" fillId="0" borderId="21" xfId="0" applyNumberFormat="1" applyBorder="1"/>
    <xf numFmtId="0" fontId="0" fillId="0" borderId="21" xfId="0" applyBorder="1"/>
    <xf numFmtId="0" fontId="0" fillId="3" borderId="50" xfId="0" applyFill="1" applyBorder="1"/>
    <xf numFmtId="43" fontId="0" fillId="3" borderId="5" xfId="0" applyNumberFormat="1" applyFill="1" applyBorder="1"/>
    <xf numFmtId="0" fontId="0" fillId="3" borderId="65" xfId="0" applyFill="1" applyBorder="1"/>
    <xf numFmtId="165" fontId="1" fillId="0" borderId="12" xfId="2" applyNumberFormat="1" applyFont="1" applyBorder="1" applyAlignment="1">
      <alignment horizontal="center" vertical="center" wrapText="1"/>
    </xf>
    <xf numFmtId="165" fontId="14" fillId="3" borderId="8" xfId="2" applyNumberFormat="1" applyFont="1" applyFill="1" applyBorder="1" applyProtection="1">
      <protection locked="0"/>
    </xf>
    <xf numFmtId="0" fontId="0" fillId="3" borderId="52" xfId="0" applyFill="1" applyBorder="1" applyAlignment="1">
      <alignment wrapText="1"/>
    </xf>
    <xf numFmtId="165" fontId="1" fillId="12" borderId="6" xfId="0" applyNumberFormat="1" applyFont="1" applyFill="1" applyBorder="1"/>
    <xf numFmtId="44" fontId="9" fillId="12" borderId="7" xfId="1" applyFont="1" applyFill="1" applyBorder="1"/>
    <xf numFmtId="165" fontId="0" fillId="3" borderId="23" xfId="2" applyNumberFormat="1" applyFont="1" applyFill="1" applyBorder="1"/>
    <xf numFmtId="43" fontId="0" fillId="0" borderId="0" xfId="0" applyNumberFormat="1"/>
    <xf numFmtId="168" fontId="1" fillId="4" borderId="3" xfId="2" applyNumberFormat="1" applyFont="1" applyFill="1" applyBorder="1" applyAlignment="1">
      <alignment horizontal="center" vertical="center"/>
    </xf>
    <xf numFmtId="168" fontId="0" fillId="0" borderId="41" xfId="2" applyNumberFormat="1" applyFont="1" applyBorder="1" applyAlignment="1">
      <alignment horizontal="center" vertical="center" wrapText="1"/>
    </xf>
    <xf numFmtId="168" fontId="0" fillId="0" borderId="25" xfId="2" applyNumberFormat="1" applyFont="1" applyBorder="1" applyAlignment="1">
      <alignment horizontal="center" vertical="center" wrapText="1"/>
    </xf>
    <xf numFmtId="168" fontId="0" fillId="0" borderId="22" xfId="2" applyNumberFormat="1" applyFont="1" applyBorder="1"/>
    <xf numFmtId="168" fontId="0" fillId="0" borderId="47" xfId="2" applyNumberFormat="1" applyFont="1" applyBorder="1"/>
    <xf numFmtId="165" fontId="1" fillId="12" borderId="6" xfId="2" applyNumberFormat="1" applyFont="1" applyFill="1" applyBorder="1"/>
    <xf numFmtId="167" fontId="1" fillId="12" borderId="7" xfId="0" applyNumberFormat="1" applyFont="1" applyFill="1" applyBorder="1"/>
    <xf numFmtId="165" fontId="1" fillId="12" borderId="31" xfId="2" applyNumberFormat="1" applyFont="1" applyFill="1" applyBorder="1"/>
    <xf numFmtId="167" fontId="1" fillId="12" borderId="33" xfId="2" applyNumberFormat="1" applyFont="1" applyFill="1" applyBorder="1"/>
    <xf numFmtId="164" fontId="5" fillId="0" borderId="0" xfId="2" applyFont="1" applyBorder="1"/>
    <xf numFmtId="165" fontId="14" fillId="3" borderId="66" xfId="2" applyNumberFormat="1" applyFont="1" applyFill="1" applyBorder="1" applyProtection="1">
      <protection locked="0"/>
    </xf>
    <xf numFmtId="166" fontId="0" fillId="0" borderId="55" xfId="2" applyNumberFormat="1" applyFont="1" applyBorder="1"/>
    <xf numFmtId="165" fontId="14" fillId="3" borderId="45" xfId="2" applyNumberFormat="1" applyFont="1" applyFill="1" applyBorder="1" applyProtection="1">
      <protection locked="0"/>
    </xf>
    <xf numFmtId="165" fontId="0" fillId="0" borderId="58" xfId="2" applyNumberFormat="1" applyFont="1" applyBorder="1"/>
    <xf numFmtId="7" fontId="4" fillId="0" borderId="0" xfId="1" applyNumberFormat="1" applyFont="1" applyBorder="1"/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2" fontId="13" fillId="0" borderId="8" xfId="0" applyNumberFormat="1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" fontId="4" fillId="0" borderId="8" xfId="0" applyNumberFormat="1" applyFont="1" applyBorder="1" applyAlignment="1">
      <alignment horizontal="center"/>
    </xf>
    <xf numFmtId="9" fontId="8" fillId="0" borderId="0" xfId="5" applyFont="1"/>
    <xf numFmtId="9" fontId="0" fillId="0" borderId="0" xfId="0" applyNumberFormat="1"/>
    <xf numFmtId="165" fontId="14" fillId="3" borderId="63" xfId="2" applyNumberFormat="1" applyFont="1" applyFill="1" applyBorder="1" applyProtection="1">
      <protection locked="0"/>
    </xf>
    <xf numFmtId="165" fontId="14" fillId="3" borderId="46" xfId="2" applyNumberFormat="1" applyFont="1" applyFill="1" applyBorder="1" applyProtection="1">
      <protection locked="0"/>
    </xf>
    <xf numFmtId="0" fontId="7" fillId="0" borderId="67" xfId="4" quotePrefix="1" applyBorder="1"/>
    <xf numFmtId="165" fontId="1" fillId="5" borderId="6" xfId="0" applyNumberFormat="1" applyFont="1" applyFill="1" applyBorder="1"/>
    <xf numFmtId="0" fontId="0" fillId="5" borderId="28" xfId="0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57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165" fontId="0" fillId="0" borderId="8" xfId="2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165" fontId="2" fillId="0" borderId="8" xfId="2" applyNumberFormat="1" applyFont="1" applyBorder="1"/>
    <xf numFmtId="164" fontId="2" fillId="0" borderId="8" xfId="2" applyFont="1" applyBorder="1"/>
    <xf numFmtId="165" fontId="1" fillId="0" borderId="10" xfId="2" applyNumberFormat="1" applyFont="1" applyBorder="1"/>
    <xf numFmtId="164" fontId="0" fillId="3" borderId="49" xfId="0" applyNumberFormat="1" applyFill="1" applyBorder="1"/>
    <xf numFmtId="164" fontId="1" fillId="6" borderId="23" xfId="2" applyFont="1" applyFill="1" applyBorder="1"/>
    <xf numFmtId="0" fontId="0" fillId="3" borderId="60" xfId="0" applyFill="1" applyBorder="1" applyAlignment="1">
      <alignment wrapText="1"/>
    </xf>
    <xf numFmtId="0" fontId="7" fillId="3" borderId="60" xfId="4" quotePrefix="1" applyFill="1" applyBorder="1" applyAlignment="1"/>
    <xf numFmtId="165" fontId="19" fillId="0" borderId="0" xfId="2" applyNumberFormat="1" applyFont="1" applyBorder="1"/>
    <xf numFmtId="0" fontId="17" fillId="3" borderId="0" xfId="0" applyFont="1" applyFill="1"/>
    <xf numFmtId="165" fontId="17" fillId="0" borderId="0" xfId="2" applyNumberFormat="1" applyFont="1"/>
    <xf numFmtId="0" fontId="17" fillId="0" borderId="0" xfId="0" applyFont="1"/>
    <xf numFmtId="164" fontId="18" fillId="0" borderId="0" xfId="2" applyFont="1"/>
    <xf numFmtId="165" fontId="18" fillId="0" borderId="0" xfId="2" applyNumberFormat="1" applyFont="1"/>
    <xf numFmtId="168" fontId="17" fillId="0" borderId="0" xfId="2" applyNumberFormat="1" applyFont="1"/>
    <xf numFmtId="167" fontId="17" fillId="0" borderId="0" xfId="0" applyNumberFormat="1" applyFont="1"/>
    <xf numFmtId="168" fontId="0" fillId="0" borderId="16" xfId="2" applyNumberFormat="1" applyFont="1" applyBorder="1"/>
    <xf numFmtId="168" fontId="0" fillId="0" borderId="14" xfId="2" applyNumberFormat="1" applyFont="1" applyBorder="1"/>
    <xf numFmtId="168" fontId="7" fillId="3" borderId="14" xfId="2" applyNumberFormat="1" applyFont="1" applyFill="1" applyBorder="1" applyAlignment="1">
      <alignment vertical="top" wrapText="1"/>
    </xf>
    <xf numFmtId="0" fontId="0" fillId="3" borderId="50" xfId="0" applyFill="1" applyBorder="1" applyAlignment="1">
      <alignment wrapText="1"/>
    </xf>
    <xf numFmtId="0" fontId="7" fillId="3" borderId="50" xfId="4" quotePrefix="1" applyFill="1" applyBorder="1" applyAlignment="1"/>
    <xf numFmtId="168" fontId="17" fillId="3" borderId="14" xfId="2" applyNumberFormat="1" applyFont="1" applyFill="1" applyBorder="1" applyAlignment="1">
      <alignment vertical="top" wrapText="1"/>
    </xf>
    <xf numFmtId="168" fontId="7" fillId="3" borderId="14" xfId="4" quotePrefix="1" applyNumberFormat="1" applyFill="1" applyBorder="1" applyAlignment="1">
      <alignment vertical="top"/>
    </xf>
    <xf numFmtId="0" fontId="7" fillId="3" borderId="14" xfId="4" applyFill="1" applyBorder="1" applyAlignment="1">
      <alignment vertical="top" wrapText="1"/>
    </xf>
    <xf numFmtId="0" fontId="7" fillId="0" borderId="33" xfId="4" quotePrefix="1" applyBorder="1"/>
    <xf numFmtId="164" fontId="0" fillId="3" borderId="69" xfId="2" applyFont="1" applyFill="1" applyBorder="1"/>
    <xf numFmtId="164" fontId="0" fillId="3" borderId="7" xfId="2" applyFont="1" applyFill="1" applyBorder="1"/>
    <xf numFmtId="164" fontId="0" fillId="3" borderId="46" xfId="2" applyFont="1" applyFill="1" applyBorder="1"/>
    <xf numFmtId="168" fontId="0" fillId="13" borderId="6" xfId="2" applyNumberFormat="1" applyFont="1" applyFill="1" applyBorder="1"/>
    <xf numFmtId="165" fontId="13" fillId="3" borderId="23" xfId="0" applyNumberFormat="1" applyFont="1" applyFill="1" applyBorder="1"/>
    <xf numFmtId="164" fontId="0" fillId="3" borderId="45" xfId="2" applyFont="1" applyFill="1" applyBorder="1"/>
    <xf numFmtId="164" fontId="0" fillId="3" borderId="58" xfId="2" applyFont="1" applyFill="1" applyBorder="1"/>
    <xf numFmtId="164" fontId="17" fillId="0" borderId="0" xfId="0" applyNumberFormat="1" applyFont="1"/>
    <xf numFmtId="164" fontId="0" fillId="0" borderId="0" xfId="0" applyNumberFormat="1"/>
    <xf numFmtId="9" fontId="0" fillId="0" borderId="0" xfId="5" applyFont="1" applyBorder="1"/>
    <xf numFmtId="168" fontId="1" fillId="0" borderId="35" xfId="2" applyNumberFormat="1" applyFont="1" applyBorder="1" applyAlignment="1">
      <alignment horizontal="center" vertical="center" wrapText="1"/>
    </xf>
    <xf numFmtId="168" fontId="1" fillId="0" borderId="33" xfId="2" applyNumberFormat="1" applyFont="1" applyBorder="1" applyAlignment="1">
      <alignment horizontal="center" vertical="center" wrapText="1"/>
    </xf>
    <xf numFmtId="0" fontId="1" fillId="6" borderId="27" xfId="0" applyFont="1" applyFill="1" applyBorder="1" applyAlignment="1">
      <alignment horizontal="center" vertical="center" wrapText="1"/>
    </xf>
    <xf numFmtId="0" fontId="1" fillId="6" borderId="39" xfId="0" applyFont="1" applyFill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left"/>
    </xf>
    <xf numFmtId="49" fontId="9" fillId="2" borderId="40" xfId="0" applyNumberFormat="1" applyFont="1" applyFill="1" applyBorder="1" applyAlignment="1">
      <alignment horizontal="left"/>
    </xf>
    <xf numFmtId="49" fontId="9" fillId="2" borderId="2" xfId="0" applyNumberFormat="1" applyFont="1" applyFill="1" applyBorder="1" applyAlignment="1">
      <alignment horizontal="left"/>
    </xf>
    <xf numFmtId="0" fontId="10" fillId="10" borderId="27" xfId="0" applyFont="1" applyFill="1" applyBorder="1" applyAlignment="1">
      <alignment horizontal="center" vertical="center" wrapText="1"/>
    </xf>
    <xf numFmtId="0" fontId="10" fillId="10" borderId="38" xfId="0" applyFont="1" applyFill="1" applyBorder="1" applyAlignment="1">
      <alignment horizontal="center" vertical="center" wrapText="1"/>
    </xf>
    <xf numFmtId="0" fontId="10" fillId="10" borderId="39" xfId="0" applyFont="1" applyFill="1" applyBorder="1" applyAlignment="1">
      <alignment horizontal="center" vertical="center" wrapText="1"/>
    </xf>
    <xf numFmtId="164" fontId="0" fillId="0" borderId="27" xfId="2" applyFont="1" applyBorder="1" applyAlignment="1">
      <alignment horizontal="center" vertical="center" wrapText="1"/>
    </xf>
    <xf numFmtId="164" fontId="0" fillId="0" borderId="38" xfId="2" applyFont="1" applyBorder="1" applyAlignment="1">
      <alignment horizontal="center" vertical="center" wrapText="1"/>
    </xf>
    <xf numFmtId="164" fontId="0" fillId="0" borderId="39" xfId="2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1" fillId="8" borderId="36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36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40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0" fontId="1" fillId="9" borderId="19" xfId="0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165" fontId="9" fillId="0" borderId="27" xfId="2" applyNumberFormat="1" applyFont="1" applyBorder="1" applyAlignment="1">
      <alignment horizontal="center" vertical="center" wrapText="1"/>
    </xf>
    <xf numFmtId="165" fontId="9" fillId="0" borderId="39" xfId="2" applyNumberFormat="1" applyFont="1" applyBorder="1" applyAlignment="1">
      <alignment horizontal="center" vertical="center" wrapText="1"/>
    </xf>
    <xf numFmtId="0" fontId="1" fillId="0" borderId="68" xfId="0" applyFont="1" applyBorder="1" applyAlignment="1">
      <alignment horizontal="center" vertical="center" wrapText="1"/>
    </xf>
    <xf numFmtId="0" fontId="1" fillId="0" borderId="67" xfId="0" applyFont="1" applyBorder="1" applyAlignment="1">
      <alignment horizontal="center" vertical="center" wrapText="1"/>
    </xf>
    <xf numFmtId="17" fontId="6" fillId="3" borderId="59" xfId="0" applyNumberFormat="1" applyFont="1" applyFill="1" applyBorder="1" applyAlignment="1">
      <alignment horizontal="center"/>
    </xf>
    <xf numFmtId="0" fontId="6" fillId="3" borderId="59" xfId="0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0" fillId="10" borderId="8" xfId="0" applyFont="1" applyFill="1" applyBorder="1" applyAlignment="1">
      <alignment horizontal="center" vertical="center" wrapText="1"/>
    </xf>
  </cellXfs>
  <cellStyles count="11">
    <cellStyle name="Comma" xfId="2" builtinId="3"/>
    <cellStyle name="Comma [0] 2" xfId="8"/>
    <cellStyle name="Comma 10" xfId="3"/>
    <cellStyle name="Comma 2" xfId="6"/>
    <cellStyle name="Comma 3" xfId="10"/>
    <cellStyle name="Currency" xfId="1" builtinId="4"/>
    <cellStyle name="Hyperlink" xfId="4" builtinId="8"/>
    <cellStyle name="Hyperlink 2" xfId="7"/>
    <cellStyle name="Normal" xfId="0" builtinId="0"/>
    <cellStyle name="Normal 2" xfId="9"/>
    <cellStyle name="Percent" xfId="5" builtinId="5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344023</xdr:colOff>
      <xdr:row>4</xdr:row>
      <xdr:rowOff>138265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368" y="76814"/>
          <a:ext cx="1306355" cy="8615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Z31"/>
  <sheetViews>
    <sheetView tabSelected="1" workbookViewId="0">
      <selection activeCell="I1" sqref="I1"/>
    </sheetView>
  </sheetViews>
  <sheetFormatPr defaultColWidth="11.54296875" defaultRowHeight="14.5" x14ac:dyDescent="0.35"/>
  <cols>
    <col min="1" max="1" width="18.453125" style="166" customWidth="1"/>
    <col min="2" max="2" width="11.54296875" style="167"/>
    <col min="3" max="3" width="11.54296875" style="168"/>
    <col min="4" max="4" width="13.453125" style="167" customWidth="1"/>
    <col min="5" max="5" width="12.54296875" style="165" customWidth="1"/>
    <col min="6" max="6" width="12.54296875" style="169" customWidth="1"/>
    <col min="7" max="7" width="11.54296875" style="165"/>
    <col min="8" max="8" width="11.54296875" style="169"/>
    <col min="9" max="9" width="11.54296875" style="170"/>
    <col min="10" max="10" width="11.54296875" style="171"/>
    <col min="11" max="11" width="11.54296875" style="165"/>
    <col min="12" max="12" width="11.54296875" style="171"/>
    <col min="13" max="26" width="11.54296875" style="165"/>
  </cols>
  <sheetData>
    <row r="1" spans="1:15" s="159" customFormat="1" ht="43.5" x14ac:dyDescent="0.35">
      <c r="A1" s="155" t="s">
        <v>0</v>
      </c>
      <c r="B1" s="155" t="s">
        <v>1</v>
      </c>
      <c r="C1" s="156" t="s">
        <v>2</v>
      </c>
      <c r="D1" s="155" t="s">
        <v>3</v>
      </c>
      <c r="E1" s="154" t="s">
        <v>4</v>
      </c>
      <c r="F1" s="157" t="s">
        <v>5</v>
      </c>
      <c r="G1" s="154" t="s">
        <v>6</v>
      </c>
      <c r="H1" s="157" t="s">
        <v>7</v>
      </c>
      <c r="I1" s="154" t="s">
        <v>54</v>
      </c>
      <c r="J1" s="157" t="s">
        <v>8</v>
      </c>
      <c r="K1" s="154" t="s">
        <v>9</v>
      </c>
      <c r="L1" s="158" t="s">
        <v>10</v>
      </c>
      <c r="M1" s="154" t="s">
        <v>11</v>
      </c>
      <c r="N1" s="154" t="s">
        <v>12</v>
      </c>
    </row>
    <row r="2" spans="1:15" x14ac:dyDescent="0.35">
      <c r="A2" s="160" t="s">
        <v>13</v>
      </c>
      <c r="B2" s="161">
        <v>1</v>
      </c>
      <c r="C2" s="162">
        <v>6</v>
      </c>
      <c r="D2" s="161">
        <v>2021</v>
      </c>
      <c r="E2" s="163">
        <f>'FS Jimbaran June 2021'!P12</f>
        <v>14659.999999999876</v>
      </c>
      <c r="F2" s="172">
        <f>'FS Jimbaran June 2021'!O12/'FS Jimbaran June 2021'!P12</f>
        <v>1184.0109986357447</v>
      </c>
      <c r="G2" s="163">
        <f>'FS Jimbaran June 2021'!AG12</f>
        <v>112</v>
      </c>
      <c r="H2" s="172">
        <f>'FS Jimbaran June 2021'!AH12/'FS Jimbaran June 2021'!AG12</f>
        <v>12441.964285714286</v>
      </c>
      <c r="I2" s="163">
        <f>'FS Jimbaran June 2021'!AJ12</f>
        <v>424.5</v>
      </c>
      <c r="J2" s="164">
        <f>'FS Jimbaran June 2021'!AK12/'FS Jimbaran June 2021'!AJ12</f>
        <v>8900</v>
      </c>
      <c r="K2" s="163">
        <f>'FS Jimbaran June 2021'!V12</f>
        <v>891</v>
      </c>
      <c r="L2" s="172">
        <f>'FS Jimbaran June 2021'!AA12/'FS Jimbaran June 2021'!V12</f>
        <v>10576.69457688793</v>
      </c>
      <c r="M2" s="163">
        <f>+'RNs &amp; Covers June 2021'!B6</f>
        <v>15</v>
      </c>
      <c r="N2" s="163">
        <f>+'RNs &amp; Covers June 2021'!C6</f>
        <v>134</v>
      </c>
    </row>
    <row r="3" spans="1:15" x14ac:dyDescent="0.35">
      <c r="A3" s="160" t="s">
        <v>13</v>
      </c>
      <c r="B3" s="161">
        <f>B2+1</f>
        <v>2</v>
      </c>
      <c r="C3" s="162">
        <v>6</v>
      </c>
      <c r="D3" s="161">
        <v>2021</v>
      </c>
      <c r="E3" s="163">
        <f>'FS Jimbaran June 2021'!P13</f>
        <v>15280.000000000244</v>
      </c>
      <c r="F3" s="172">
        <f>'FS Jimbaran June 2021'!O13/'FS Jimbaran June 2021'!P13</f>
        <v>1179.386016361254</v>
      </c>
      <c r="G3" s="163">
        <f>'FS Jimbaran June 2021'!AG13</f>
        <v>100</v>
      </c>
      <c r="H3" s="172">
        <f>'FS Jimbaran June 2021'!AH13/'FS Jimbaran June 2021'!AG13</f>
        <v>12560</v>
      </c>
      <c r="I3" s="163">
        <f>'FS Jimbaran June 2021'!AJ13</f>
        <v>398.8</v>
      </c>
      <c r="J3" s="164">
        <f>'FS Jimbaran June 2021'!AK13/'FS Jimbaran June 2021'!AJ13</f>
        <v>8900</v>
      </c>
      <c r="K3" s="163">
        <f>'FS Jimbaran June 2021'!V13</f>
        <v>869</v>
      </c>
      <c r="L3" s="172">
        <f>'FS Jimbaran June 2021'!AA13/'FS Jimbaran June 2021'!V13</f>
        <v>10112.321277522149</v>
      </c>
      <c r="M3" s="163">
        <f>+'RNs &amp; Covers June 2021'!B7</f>
        <v>4</v>
      </c>
      <c r="N3" s="163">
        <f>+'RNs &amp; Covers June 2021'!C7</f>
        <v>120</v>
      </c>
    </row>
    <row r="4" spans="1:15" x14ac:dyDescent="0.35">
      <c r="A4" s="160" t="s">
        <v>13</v>
      </c>
      <c r="B4" s="161">
        <f t="shared" ref="B4:B31" si="0">B3+1</f>
        <v>3</v>
      </c>
      <c r="C4" s="162">
        <v>6</v>
      </c>
      <c r="D4" s="161">
        <v>2021</v>
      </c>
      <c r="E4" s="163">
        <f>'FS Jimbaran June 2021'!P14</f>
        <v>15200.00000000006</v>
      </c>
      <c r="F4" s="172">
        <f>'FS Jimbaran June 2021'!O14/'FS Jimbaran June 2021'!P14</f>
        <v>1180.5847697368431</v>
      </c>
      <c r="G4" s="163">
        <f>'FS Jimbaran June 2021'!AG14</f>
        <v>50</v>
      </c>
      <c r="H4" s="172">
        <f>'FS Jimbaran June 2021'!AH14/'FS Jimbaran June 2021'!AG14</f>
        <v>12560</v>
      </c>
      <c r="I4" s="163">
        <f>'FS Jimbaran June 2021'!AJ14</f>
        <v>429.81999999999971</v>
      </c>
      <c r="J4" s="164">
        <f>'FS Jimbaran June 2021'!AK14/'FS Jimbaran June 2021'!AJ14</f>
        <v>8900</v>
      </c>
      <c r="K4" s="163">
        <f>'FS Jimbaran June 2021'!V14</f>
        <v>908</v>
      </c>
      <c r="L4" s="172">
        <f>'FS Jimbaran June 2021'!AA14/'FS Jimbaran June 2021'!V14</f>
        <v>9802.9350612155886</v>
      </c>
      <c r="M4" s="163">
        <f>+'RNs &amp; Covers June 2021'!B8</f>
        <v>5</v>
      </c>
      <c r="N4" s="163">
        <f>+'RNs &amp; Covers June 2021'!C8</f>
        <v>52</v>
      </c>
    </row>
    <row r="5" spans="1:15" x14ac:dyDescent="0.35">
      <c r="A5" s="160" t="s">
        <v>13</v>
      </c>
      <c r="B5" s="161">
        <f t="shared" si="0"/>
        <v>4</v>
      </c>
      <c r="C5" s="162">
        <v>6</v>
      </c>
      <c r="D5" s="161">
        <v>2021</v>
      </c>
      <c r="E5" s="163">
        <f>'FS Jimbaran June 2021'!P15</f>
        <v>15159.999999999627</v>
      </c>
      <c r="F5" s="172">
        <f>'FS Jimbaran June 2021'!O15/'FS Jimbaran June 2021'!P15</f>
        <v>1184.4171629287609</v>
      </c>
      <c r="G5" s="163">
        <f>'FS Jimbaran June 2021'!AG15</f>
        <v>112</v>
      </c>
      <c r="H5" s="172">
        <f>'FS Jimbaran June 2021'!AH15/'FS Jimbaran June 2021'!AG15</f>
        <v>12441.964285714286</v>
      </c>
      <c r="I5" s="163">
        <f>'FS Jimbaran June 2021'!AJ15</f>
        <v>365.5</v>
      </c>
      <c r="J5" s="164">
        <f>'FS Jimbaran June 2021'!AK15/'FS Jimbaran June 2021'!AJ15</f>
        <v>8900</v>
      </c>
      <c r="K5" s="163">
        <f>'FS Jimbaran June 2021'!V15</f>
        <v>938</v>
      </c>
      <c r="L5" s="172">
        <f>'FS Jimbaran June 2021'!AA15/'FS Jimbaran June 2021'!V15</f>
        <v>10477.799483523884</v>
      </c>
      <c r="M5" s="163">
        <f>+'RNs &amp; Covers June 2021'!B9</f>
        <v>11</v>
      </c>
      <c r="N5" s="163">
        <f>+'RNs &amp; Covers June 2021'!C9</f>
        <v>158</v>
      </c>
    </row>
    <row r="6" spans="1:15" x14ac:dyDescent="0.35">
      <c r="A6" s="160" t="s">
        <v>13</v>
      </c>
      <c r="B6" s="161">
        <f t="shared" si="0"/>
        <v>5</v>
      </c>
      <c r="C6" s="162">
        <v>6</v>
      </c>
      <c r="D6" s="161">
        <v>2021</v>
      </c>
      <c r="E6" s="163">
        <f>'FS Jimbaran June 2021'!P16</f>
        <v>15220.000000000069</v>
      </c>
      <c r="F6" s="172">
        <f>'FS Jimbaran June 2021'!O16/'FS Jimbaran June 2021'!P16</f>
        <v>1187.608198423128</v>
      </c>
      <c r="G6" s="163">
        <f>'FS Jimbaran June 2021'!AG16</f>
        <v>112</v>
      </c>
      <c r="H6" s="172">
        <f>'FS Jimbaran June 2021'!AH16/'FS Jimbaran June 2021'!AG16</f>
        <v>12441.964285714286</v>
      </c>
      <c r="I6" s="163">
        <f>'FS Jimbaran June 2021'!AJ16</f>
        <v>426.2</v>
      </c>
      <c r="J6" s="164">
        <f>'FS Jimbaran June 2021'!AK16/'FS Jimbaran June 2021'!AJ16</f>
        <v>8900</v>
      </c>
      <c r="K6" s="163">
        <f>'FS Jimbaran June 2021'!V16</f>
        <v>892</v>
      </c>
      <c r="L6" s="172">
        <f>'FS Jimbaran June 2021'!AA16/'FS Jimbaran June 2021'!V16</f>
        <v>10540.05670370332</v>
      </c>
      <c r="M6" s="163">
        <f>+'RNs &amp; Covers June 2021'!B10</f>
        <v>16</v>
      </c>
      <c r="N6" s="163">
        <f>+'RNs &amp; Covers June 2021'!C10</f>
        <v>140</v>
      </c>
    </row>
    <row r="7" spans="1:15" x14ac:dyDescent="0.35">
      <c r="A7" s="160" t="s">
        <v>13</v>
      </c>
      <c r="B7" s="161">
        <f t="shared" si="0"/>
        <v>6</v>
      </c>
      <c r="C7" s="162">
        <v>6</v>
      </c>
      <c r="D7" s="161">
        <v>2021</v>
      </c>
      <c r="E7" s="163">
        <f>'FS Jimbaran June 2021'!P17</f>
        <v>15899.999999999949</v>
      </c>
      <c r="F7" s="172">
        <f>'FS Jimbaran June 2021'!O17/'FS Jimbaran June 2021'!P17</f>
        <v>1181.9617811320754</v>
      </c>
      <c r="G7" s="163">
        <f>'FS Jimbaran June 2021'!AG17</f>
        <v>100</v>
      </c>
      <c r="H7" s="172">
        <f>'FS Jimbaran June 2021'!AH17/'FS Jimbaran June 2021'!AG17</f>
        <v>12560</v>
      </c>
      <c r="I7" s="163">
        <f>'FS Jimbaran June 2021'!AJ17</f>
        <v>481.6</v>
      </c>
      <c r="J7" s="164">
        <f>'FS Jimbaran June 2021'!AK17/'FS Jimbaran June 2021'!AJ17</f>
        <v>8900</v>
      </c>
      <c r="K7" s="163">
        <f>'FS Jimbaran June 2021'!V17</f>
        <v>895</v>
      </c>
      <c r="L7" s="172">
        <f>'FS Jimbaran June 2021'!AA17/'FS Jimbaran June 2021'!V17</f>
        <v>9445.1800304331846</v>
      </c>
      <c r="M7" s="163">
        <f>+'RNs &amp; Covers June 2021'!B11</f>
        <v>8</v>
      </c>
      <c r="N7" s="163">
        <f>+'RNs &amp; Covers June 2021'!C11</f>
        <v>139</v>
      </c>
    </row>
    <row r="8" spans="1:15" x14ac:dyDescent="0.35">
      <c r="A8" s="160" t="s">
        <v>13</v>
      </c>
      <c r="B8" s="161">
        <f t="shared" si="0"/>
        <v>7</v>
      </c>
      <c r="C8" s="162">
        <v>6</v>
      </c>
      <c r="D8" s="161">
        <v>2021</v>
      </c>
      <c r="E8" s="163">
        <f>'FS Jimbaran June 2021'!P18</f>
        <v>15300.000000000082</v>
      </c>
      <c r="F8" s="172">
        <f>'FS Jimbaran June 2021'!O18/'FS Jimbaran June 2021'!P18</f>
        <v>1180.6876529411768</v>
      </c>
      <c r="G8" s="163">
        <f>'FS Jimbaran June 2021'!AG18</f>
        <v>50</v>
      </c>
      <c r="H8" s="172">
        <f>'FS Jimbaran June 2021'!AH18/'FS Jimbaran June 2021'!AG18</f>
        <v>12560</v>
      </c>
      <c r="I8" s="163">
        <f>'FS Jimbaran June 2021'!AJ18</f>
        <v>367.7</v>
      </c>
      <c r="J8" s="164">
        <f>'FS Jimbaran June 2021'!AK18/'FS Jimbaran June 2021'!AJ18</f>
        <v>8900</v>
      </c>
      <c r="K8" s="163">
        <f>'FS Jimbaran June 2021'!V18</f>
        <v>916</v>
      </c>
      <c r="L8" s="172">
        <f>'FS Jimbaran June 2021'!AA18/'FS Jimbaran June 2021'!V18</f>
        <v>10209.943806060308</v>
      </c>
      <c r="M8" s="163">
        <f>+'RNs &amp; Covers June 2021'!B12</f>
        <v>5</v>
      </c>
      <c r="N8" s="163">
        <f>+'RNs &amp; Covers June 2021'!C12</f>
        <v>66</v>
      </c>
    </row>
    <row r="9" spans="1:15" x14ac:dyDescent="0.35">
      <c r="A9" s="160" t="s">
        <v>13</v>
      </c>
      <c r="B9" s="161">
        <f t="shared" si="0"/>
        <v>8</v>
      </c>
      <c r="C9" s="162">
        <v>6</v>
      </c>
      <c r="D9" s="161">
        <v>2021</v>
      </c>
      <c r="E9" s="163">
        <f>'FS Jimbaran June 2021'!P19</f>
        <v>14580.000000000338</v>
      </c>
      <c r="F9" s="172">
        <f>'FS Jimbaran June 2021'!O19/'FS Jimbaran June 2021'!P19</f>
        <v>1180.8105123456753</v>
      </c>
      <c r="G9" s="163">
        <f>'FS Jimbaran June 2021'!AG19</f>
        <v>50</v>
      </c>
      <c r="H9" s="172">
        <f>'FS Jimbaran June 2021'!AH19/'FS Jimbaran June 2021'!AG19</f>
        <v>12560</v>
      </c>
      <c r="I9" s="163">
        <f>'FS Jimbaran June 2021'!AJ19</f>
        <v>351.3</v>
      </c>
      <c r="J9" s="164">
        <f>'FS Jimbaran June 2021'!AK19/'FS Jimbaran June 2021'!AJ19</f>
        <v>8900</v>
      </c>
      <c r="K9" s="163">
        <f>'FS Jimbaran June 2021'!V19</f>
        <v>936</v>
      </c>
      <c r="L9" s="172">
        <f>'FS Jimbaran June 2021'!AA19/'FS Jimbaran June 2021'!V19</f>
        <v>9205.3727540143645</v>
      </c>
      <c r="M9" s="163">
        <f>+'RNs &amp; Covers June 2021'!B13</f>
        <v>3</v>
      </c>
      <c r="N9" s="163">
        <f>+'RNs &amp; Covers June 2021'!C13</f>
        <v>53</v>
      </c>
      <c r="O9" s="165" t="s">
        <v>14</v>
      </c>
    </row>
    <row r="10" spans="1:15" x14ac:dyDescent="0.35">
      <c r="A10" s="160" t="s">
        <v>13</v>
      </c>
      <c r="B10" s="161">
        <f t="shared" si="0"/>
        <v>9</v>
      </c>
      <c r="C10" s="162">
        <v>6</v>
      </c>
      <c r="D10" s="161">
        <v>2021</v>
      </c>
      <c r="E10" s="163">
        <f>'FS Jimbaran June 2021'!P20</f>
        <v>13879.999999999953</v>
      </c>
      <c r="F10" s="172">
        <f>'FS Jimbaran June 2021'!O20/'FS Jimbaran June 2021'!P20</f>
        <v>1185.51289409222</v>
      </c>
      <c r="G10" s="163">
        <f>'FS Jimbaran June 2021'!AG20</f>
        <v>50</v>
      </c>
      <c r="H10" s="172">
        <f>'FS Jimbaran June 2021'!AH20/'FS Jimbaran June 2021'!AG20</f>
        <v>12560</v>
      </c>
      <c r="I10" s="163">
        <f>'FS Jimbaran June 2021'!AJ20</f>
        <v>363.4</v>
      </c>
      <c r="J10" s="164">
        <f>'FS Jimbaran June 2021'!AK20/'FS Jimbaran June 2021'!AJ20</f>
        <v>8900</v>
      </c>
      <c r="K10" s="163">
        <f>'FS Jimbaran June 2021'!V20</f>
        <v>910</v>
      </c>
      <c r="L10" s="172">
        <f>'FS Jimbaran June 2021'!AA20/'FS Jimbaran June 2021'!V20</f>
        <v>9659.3842549892906</v>
      </c>
      <c r="M10" s="163">
        <f>+'RNs &amp; Covers June 2021'!B14</f>
        <v>3</v>
      </c>
      <c r="N10" s="163">
        <f>+'RNs &amp; Covers June 2021'!C14</f>
        <v>66</v>
      </c>
    </row>
    <row r="11" spans="1:15" x14ac:dyDescent="0.35">
      <c r="A11" s="160" t="s">
        <v>13</v>
      </c>
      <c r="B11" s="161">
        <f t="shared" si="0"/>
        <v>10</v>
      </c>
      <c r="C11" s="162">
        <v>6</v>
      </c>
      <c r="D11" s="161">
        <v>2021</v>
      </c>
      <c r="E11" s="163">
        <f>'FS Jimbaran June 2021'!P21</f>
        <v>15100.000000000036</v>
      </c>
      <c r="F11" s="172">
        <f>'FS Jimbaran June 2021'!O21/'FS Jimbaran June 2021'!P21</f>
        <v>1184.0817456953648</v>
      </c>
      <c r="G11" s="163">
        <f>'FS Jimbaran June 2021'!AG21</f>
        <v>50</v>
      </c>
      <c r="H11" s="172">
        <f>'FS Jimbaran June 2021'!AH21/'FS Jimbaran June 2021'!AG21</f>
        <v>12560</v>
      </c>
      <c r="I11" s="163">
        <f>'FS Jimbaran June 2021'!AJ21</f>
        <v>410.4</v>
      </c>
      <c r="J11" s="164">
        <f>'FS Jimbaran June 2021'!AK21/'FS Jimbaran June 2021'!AJ21</f>
        <v>8900</v>
      </c>
      <c r="K11" s="163">
        <f>'FS Jimbaran June 2021'!V21</f>
        <v>938</v>
      </c>
      <c r="L11" s="172">
        <f>'FS Jimbaran June 2021'!AA21/'FS Jimbaran June 2021'!V21</f>
        <v>9252.5876122040154</v>
      </c>
      <c r="M11" s="163">
        <f>+'RNs &amp; Covers June 2021'!B15</f>
        <v>6</v>
      </c>
      <c r="N11" s="163">
        <f>+'RNs &amp; Covers June 2021'!C15</f>
        <v>104</v>
      </c>
    </row>
    <row r="12" spans="1:15" x14ac:dyDescent="0.35">
      <c r="A12" s="160" t="s">
        <v>13</v>
      </c>
      <c r="B12" s="161">
        <f t="shared" si="0"/>
        <v>11</v>
      </c>
      <c r="C12" s="162">
        <v>6</v>
      </c>
      <c r="D12" s="161">
        <v>2021</v>
      </c>
      <c r="E12" s="163">
        <f>'FS Jimbaran June 2021'!P22</f>
        <v>15159.999999999925</v>
      </c>
      <c r="F12" s="172">
        <f>'FS Jimbaran June 2021'!O22/'FS Jimbaran June 2021'!P22</f>
        <v>1184.4171629287607</v>
      </c>
      <c r="G12" s="163">
        <f>'FS Jimbaran June 2021'!AG22</f>
        <v>50</v>
      </c>
      <c r="H12" s="172">
        <f>'FS Jimbaran June 2021'!AH22/'FS Jimbaran June 2021'!AG22</f>
        <v>12560</v>
      </c>
      <c r="I12" s="163">
        <f>'FS Jimbaran June 2021'!AJ22</f>
        <v>427.8</v>
      </c>
      <c r="J12" s="164">
        <f>'FS Jimbaran June 2021'!AK22/'FS Jimbaran June 2021'!AJ22</f>
        <v>8900</v>
      </c>
      <c r="K12" s="163">
        <f>'FS Jimbaran June 2021'!V22</f>
        <v>1011</v>
      </c>
      <c r="L12" s="172">
        <f>'FS Jimbaran June 2021'!AA22/'FS Jimbaran June 2021'!V22</f>
        <v>9737.7769244370629</v>
      </c>
      <c r="M12" s="163">
        <f>+'RNs &amp; Covers June 2021'!B16</f>
        <v>9</v>
      </c>
      <c r="N12" s="163">
        <f>+'RNs &amp; Covers June 2021'!C16</f>
        <v>101</v>
      </c>
    </row>
    <row r="13" spans="1:15" x14ac:dyDescent="0.35">
      <c r="A13" s="160" t="s">
        <v>13</v>
      </c>
      <c r="B13" s="161">
        <f t="shared" si="0"/>
        <v>12</v>
      </c>
      <c r="C13" s="162">
        <v>6</v>
      </c>
      <c r="D13" s="161">
        <v>2021</v>
      </c>
      <c r="E13" s="163">
        <f>'FS Jimbaran June 2021'!P23</f>
        <v>15399.999999999822</v>
      </c>
      <c r="F13" s="172">
        <f>'FS Jimbaran June 2021'!O23/'FS Jimbaran June 2021'!P23</f>
        <v>1183.6140545454552</v>
      </c>
      <c r="G13" s="163">
        <f>'FS Jimbaran June 2021'!AG23</f>
        <v>112</v>
      </c>
      <c r="H13" s="172">
        <f>'FS Jimbaran June 2021'!AH23/'FS Jimbaran June 2021'!AG23</f>
        <v>12441.964285714286</v>
      </c>
      <c r="I13" s="163">
        <f>'FS Jimbaran June 2021'!AJ23</f>
        <v>324.8</v>
      </c>
      <c r="J13" s="164">
        <f>'FS Jimbaran June 2021'!AK23/'FS Jimbaran June 2021'!AJ23</f>
        <v>8900</v>
      </c>
      <c r="K13" s="163">
        <f>'FS Jimbaran June 2021'!V23</f>
        <v>1020</v>
      </c>
      <c r="L13" s="172">
        <f>'FS Jimbaran June 2021'!AA23/'FS Jimbaran June 2021'!V23</f>
        <v>9954.668094691071</v>
      </c>
      <c r="M13" s="163">
        <f>+'RNs &amp; Covers June 2021'!B17</f>
        <v>11</v>
      </c>
      <c r="N13" s="163">
        <f>+'RNs &amp; Covers June 2021'!C17</f>
        <v>148</v>
      </c>
    </row>
    <row r="14" spans="1:15" x14ac:dyDescent="0.35">
      <c r="A14" s="160" t="s">
        <v>13</v>
      </c>
      <c r="B14" s="161">
        <f t="shared" si="0"/>
        <v>13</v>
      </c>
      <c r="C14" s="162">
        <v>6</v>
      </c>
      <c r="D14" s="161">
        <v>2021</v>
      </c>
      <c r="E14" s="163">
        <f>'FS Jimbaran June 2021'!P24</f>
        <v>15020.000000000082</v>
      </c>
      <c r="F14" s="172">
        <f>'FS Jimbaran June 2021'!O24/'FS Jimbaran June 2021'!P24</f>
        <v>1186.0439560585885</v>
      </c>
      <c r="G14" s="163">
        <f>'FS Jimbaran June 2021'!AG24</f>
        <v>112</v>
      </c>
      <c r="H14" s="172">
        <f>'FS Jimbaran June 2021'!AH24/'FS Jimbaran June 2021'!AG24</f>
        <v>12441.964285714286</v>
      </c>
      <c r="I14" s="163">
        <f>'FS Jimbaran June 2021'!AJ24</f>
        <v>370</v>
      </c>
      <c r="J14" s="164">
        <f>'FS Jimbaran June 2021'!AK24/'FS Jimbaran June 2021'!AJ24</f>
        <v>8900</v>
      </c>
      <c r="K14" s="163">
        <f>'FS Jimbaran June 2021'!V24</f>
        <v>995</v>
      </c>
      <c r="L14" s="172">
        <f>'FS Jimbaran June 2021'!AA24/'FS Jimbaran June 2021'!V24</f>
        <v>10128.935544705275</v>
      </c>
      <c r="M14" s="163">
        <f>+'RNs &amp; Covers June 2021'!B18</f>
        <v>10</v>
      </c>
      <c r="N14" s="163">
        <f>+'RNs &amp; Covers June 2021'!C18</f>
        <v>154</v>
      </c>
    </row>
    <row r="15" spans="1:15" x14ac:dyDescent="0.35">
      <c r="A15" s="160" t="s">
        <v>13</v>
      </c>
      <c r="B15" s="161">
        <f t="shared" si="0"/>
        <v>14</v>
      </c>
      <c r="C15" s="162">
        <v>6</v>
      </c>
      <c r="D15" s="161">
        <v>2021</v>
      </c>
      <c r="E15" s="163">
        <f>'FS Jimbaran June 2021'!P25</f>
        <v>15400.000000000062</v>
      </c>
      <c r="F15" s="172">
        <f>'FS Jimbaran June 2021'!O25/'FS Jimbaran June 2021'!P25</f>
        <v>1180.0829863636354</v>
      </c>
      <c r="G15" s="163">
        <f>'FS Jimbaran June 2021'!AG25</f>
        <v>100</v>
      </c>
      <c r="H15" s="172">
        <f>'FS Jimbaran June 2021'!AH25/'FS Jimbaran June 2021'!AG25</f>
        <v>12560</v>
      </c>
      <c r="I15" s="163">
        <f>'FS Jimbaran June 2021'!AJ25</f>
        <v>415.8</v>
      </c>
      <c r="J15" s="164">
        <f>'FS Jimbaran June 2021'!AK25/'FS Jimbaran June 2021'!AJ25</f>
        <v>8900</v>
      </c>
      <c r="K15" s="163">
        <f>'FS Jimbaran June 2021'!V25</f>
        <v>911</v>
      </c>
      <c r="L15" s="172">
        <f>'FS Jimbaran June 2021'!AA25/'FS Jimbaran June 2021'!V25</f>
        <v>9609.8485470354372</v>
      </c>
      <c r="M15" s="163">
        <f>+'RNs &amp; Covers June 2021'!B19</f>
        <v>6</v>
      </c>
      <c r="N15" s="163">
        <f>+'RNs &amp; Covers June 2021'!C19</f>
        <v>118</v>
      </c>
    </row>
    <row r="16" spans="1:15" x14ac:dyDescent="0.35">
      <c r="A16" s="160" t="s">
        <v>13</v>
      </c>
      <c r="B16" s="161">
        <f t="shared" si="0"/>
        <v>15</v>
      </c>
      <c r="C16" s="162">
        <v>6</v>
      </c>
      <c r="D16" s="161">
        <v>2021</v>
      </c>
      <c r="E16" s="163">
        <f>'FS Jimbaran June 2021'!P26</f>
        <v>14499.999999999814</v>
      </c>
      <c r="F16" s="172">
        <f>'FS Jimbaran June 2021'!O26/'FS Jimbaran June 2021'!P26</f>
        <v>1182.074995862069</v>
      </c>
      <c r="G16" s="163">
        <f>'FS Jimbaran June 2021'!AG26</f>
        <v>50</v>
      </c>
      <c r="H16" s="172">
        <f>'FS Jimbaran June 2021'!AH26/'FS Jimbaran June 2021'!AG26</f>
        <v>12560</v>
      </c>
      <c r="I16" s="163">
        <f>'FS Jimbaran June 2021'!AJ26</f>
        <v>350.3</v>
      </c>
      <c r="J16" s="164">
        <f>'FS Jimbaran June 2021'!AK26/'FS Jimbaran June 2021'!AJ26</f>
        <v>8900</v>
      </c>
      <c r="K16" s="163">
        <f>'FS Jimbaran June 2021'!V26</f>
        <v>841</v>
      </c>
      <c r="L16" s="172">
        <f>'FS Jimbaran June 2021'!AA26/'FS Jimbaran June 2021'!V26</f>
        <v>10279.21033484315</v>
      </c>
      <c r="M16" s="163">
        <f>+'RNs &amp; Covers June 2021'!B20</f>
        <v>4</v>
      </c>
      <c r="N16" s="163">
        <f>+'RNs &amp; Covers June 2021'!C20</f>
        <v>81</v>
      </c>
    </row>
    <row r="17" spans="1:14" x14ac:dyDescent="0.35">
      <c r="A17" s="160" t="s">
        <v>13</v>
      </c>
      <c r="B17" s="161">
        <f t="shared" si="0"/>
        <v>16</v>
      </c>
      <c r="C17" s="162">
        <v>6</v>
      </c>
      <c r="D17" s="161">
        <v>2021</v>
      </c>
      <c r="E17" s="163">
        <f>'FS Jimbaran June 2021'!P27</f>
        <v>14820.000000000078</v>
      </c>
      <c r="F17" s="172">
        <f>'FS Jimbaran June 2021'!O27/'FS Jimbaran June 2021'!P27</f>
        <v>1179.3005283400837</v>
      </c>
      <c r="G17" s="163">
        <f>'FS Jimbaran June 2021'!AG27</f>
        <v>100</v>
      </c>
      <c r="H17" s="172">
        <f>'FS Jimbaran June 2021'!AH27/'FS Jimbaran June 2021'!AG27</f>
        <v>12560</v>
      </c>
      <c r="I17" s="163">
        <f>'FS Jimbaran June 2021'!AJ27</f>
        <v>325.3</v>
      </c>
      <c r="J17" s="164">
        <f>'FS Jimbaran June 2021'!AK27/'FS Jimbaran June 2021'!AJ27</f>
        <v>8900</v>
      </c>
      <c r="K17" s="163">
        <f>'FS Jimbaran June 2021'!V27</f>
        <v>874</v>
      </c>
      <c r="L17" s="172">
        <f>'FS Jimbaran June 2021'!AA27/'FS Jimbaran June 2021'!V27</f>
        <v>9912.725848124297</v>
      </c>
      <c r="M17" s="163">
        <f>+'RNs &amp; Covers June 2021'!B21</f>
        <v>3</v>
      </c>
      <c r="N17" s="163">
        <f>+'RNs &amp; Covers June 2021'!C21</f>
        <v>122</v>
      </c>
    </row>
    <row r="18" spans="1:14" x14ac:dyDescent="0.35">
      <c r="A18" s="160" t="s">
        <v>13</v>
      </c>
      <c r="B18" s="161">
        <f t="shared" si="0"/>
        <v>17</v>
      </c>
      <c r="C18" s="162">
        <v>6</v>
      </c>
      <c r="D18" s="161">
        <v>2021</v>
      </c>
      <c r="E18" s="163">
        <f>'FS Jimbaran June 2021'!P28</f>
        <v>15479.999999999947</v>
      </c>
      <c r="F18" s="172">
        <f>'FS Jimbaran June 2021'!O28/'FS Jimbaran June 2021'!P28</f>
        <v>1181.7125697674401</v>
      </c>
      <c r="G18" s="163">
        <f>'FS Jimbaran June 2021'!AG28</f>
        <v>112</v>
      </c>
      <c r="H18" s="172">
        <f>'FS Jimbaran June 2021'!AH28/'FS Jimbaran June 2021'!AG28</f>
        <v>12441.964285714286</v>
      </c>
      <c r="I18" s="163">
        <f>'FS Jimbaran June 2021'!AJ28</f>
        <v>325.5</v>
      </c>
      <c r="J18" s="164">
        <f>'FS Jimbaran June 2021'!AK28/'FS Jimbaran June 2021'!AJ28</f>
        <v>8900</v>
      </c>
      <c r="K18" s="163">
        <f>'FS Jimbaran June 2021'!V28</f>
        <v>884</v>
      </c>
      <c r="L18" s="172">
        <f>'FS Jimbaran June 2021'!AA28/'FS Jimbaran June 2021'!V28</f>
        <v>11032.00060199894</v>
      </c>
      <c r="M18" s="163">
        <f>+'RNs &amp; Covers June 2021'!B22</f>
        <v>15</v>
      </c>
      <c r="N18" s="163">
        <f>+'RNs &amp; Covers June 2021'!C22</f>
        <v>121</v>
      </c>
    </row>
    <row r="19" spans="1:14" x14ac:dyDescent="0.35">
      <c r="A19" s="160" t="s">
        <v>13</v>
      </c>
      <c r="B19" s="161">
        <f t="shared" si="0"/>
        <v>18</v>
      </c>
      <c r="C19" s="162">
        <v>6</v>
      </c>
      <c r="D19" s="161">
        <v>2021</v>
      </c>
      <c r="E19" s="163">
        <f>'FS Jimbaran June 2021'!P29</f>
        <v>14480.000000000033</v>
      </c>
      <c r="F19" s="172">
        <f>'FS Jimbaran June 2021'!O29/'FS Jimbaran June 2021'!P29</f>
        <v>1188.2141975138106</v>
      </c>
      <c r="G19" s="163">
        <f>'FS Jimbaran June 2021'!AG29</f>
        <v>112</v>
      </c>
      <c r="H19" s="172">
        <f>'FS Jimbaran June 2021'!AH29/'FS Jimbaran June 2021'!AG29</f>
        <v>12441.964285714286</v>
      </c>
      <c r="I19" s="163">
        <f>'FS Jimbaran June 2021'!AJ29</f>
        <v>394.1</v>
      </c>
      <c r="J19" s="164">
        <f>'FS Jimbaran June 2021'!AK29/'FS Jimbaran June 2021'!AJ29</f>
        <v>8900</v>
      </c>
      <c r="K19" s="163">
        <f>'FS Jimbaran June 2021'!V29</f>
        <v>884</v>
      </c>
      <c r="L19" s="172">
        <f>'FS Jimbaran June 2021'!AA29/'FS Jimbaran June 2021'!V29</f>
        <v>11530.858966000245</v>
      </c>
      <c r="M19" s="163">
        <f>+'RNs &amp; Covers June 2021'!B23</f>
        <v>15</v>
      </c>
      <c r="N19" s="163">
        <f>+'RNs &amp; Covers June 2021'!C23</f>
        <v>164</v>
      </c>
    </row>
    <row r="20" spans="1:14" x14ac:dyDescent="0.35">
      <c r="A20" s="160" t="s">
        <v>13</v>
      </c>
      <c r="B20" s="161">
        <f t="shared" si="0"/>
        <v>19</v>
      </c>
      <c r="C20" s="162">
        <v>6</v>
      </c>
      <c r="D20" s="161">
        <v>2021</v>
      </c>
      <c r="E20" s="163">
        <f>'FS Jimbaran June 2021'!P30</f>
        <v>15700.000000000131</v>
      </c>
      <c r="F20" s="172">
        <f>'FS Jimbaran June 2021'!O30/'FS Jimbaran June 2021'!P30</f>
        <v>1185.9351133757973</v>
      </c>
      <c r="G20" s="163">
        <f>'FS Jimbaran June 2021'!AG30</f>
        <v>162</v>
      </c>
      <c r="H20" s="172">
        <f>'FS Jimbaran June 2021'!AH30/'FS Jimbaran June 2021'!AG30</f>
        <v>12478.395061728395</v>
      </c>
      <c r="I20" s="163">
        <f>'FS Jimbaran June 2021'!AJ30</f>
        <v>375.7</v>
      </c>
      <c r="J20" s="164">
        <f>'FS Jimbaran June 2021'!AK30/'FS Jimbaran June 2021'!AJ30</f>
        <v>8900</v>
      </c>
      <c r="K20" s="163">
        <f>'FS Jimbaran June 2021'!V30</f>
        <v>854</v>
      </c>
      <c r="L20" s="172">
        <f>'FS Jimbaran June 2021'!AA30/'FS Jimbaran June 2021'!V30</f>
        <v>10693.834744860309</v>
      </c>
      <c r="M20" s="163">
        <f>+'RNs &amp; Covers June 2021'!B24</f>
        <v>13</v>
      </c>
      <c r="N20" s="163">
        <f>+'RNs &amp; Covers June 2021'!C24</f>
        <v>185</v>
      </c>
    </row>
    <row r="21" spans="1:14" x14ac:dyDescent="0.35">
      <c r="A21" s="160" t="s">
        <v>13</v>
      </c>
      <c r="B21" s="161">
        <f t="shared" si="0"/>
        <v>20</v>
      </c>
      <c r="C21" s="162">
        <v>6</v>
      </c>
      <c r="D21" s="161">
        <v>2021</v>
      </c>
      <c r="E21" s="163">
        <f>'FS Jimbaran June 2021'!P31</f>
        <v>14879.999999999825</v>
      </c>
      <c r="F21" s="172">
        <f>'FS Jimbaran June 2021'!O31/'FS Jimbaran June 2021'!P31</f>
        <v>1184.7777883064516</v>
      </c>
      <c r="G21" s="163">
        <f>'FS Jimbaran June 2021'!AG31</f>
        <v>150</v>
      </c>
      <c r="H21" s="172">
        <f>'FS Jimbaran June 2021'!AH31/'FS Jimbaran June 2021'!AG31</f>
        <v>12560</v>
      </c>
      <c r="I21" s="163">
        <f>'FS Jimbaran June 2021'!AJ31</f>
        <v>361.4</v>
      </c>
      <c r="J21" s="164">
        <f>'FS Jimbaran June 2021'!AK31/'FS Jimbaran June 2021'!AJ31</f>
        <v>8900</v>
      </c>
      <c r="K21" s="163">
        <f>'FS Jimbaran June 2021'!V31</f>
        <v>896</v>
      </c>
      <c r="L21" s="172">
        <f>'FS Jimbaran June 2021'!AA31/'FS Jimbaran June 2021'!V31</f>
        <v>10349.579636525294</v>
      </c>
      <c r="M21" s="163">
        <f>+'RNs &amp; Covers June 2021'!B25</f>
        <v>11</v>
      </c>
      <c r="N21" s="163">
        <f>+'RNs &amp; Covers June 2021'!C25</f>
        <v>193</v>
      </c>
    </row>
    <row r="22" spans="1:14" x14ac:dyDescent="0.35">
      <c r="A22" s="160" t="s">
        <v>13</v>
      </c>
      <c r="B22" s="161">
        <f t="shared" si="0"/>
        <v>21</v>
      </c>
      <c r="C22" s="162">
        <v>6</v>
      </c>
      <c r="D22" s="161">
        <v>2021</v>
      </c>
      <c r="E22" s="163">
        <f>'FS Jimbaran June 2021'!P32</f>
        <v>15500.0000000001</v>
      </c>
      <c r="F22" s="172">
        <f>'FS Jimbaran June 2021'!O32/'FS Jimbaran June 2021'!P32</f>
        <v>1181.5910941935495</v>
      </c>
      <c r="G22" s="163">
        <f>'FS Jimbaran June 2021'!AG32</f>
        <v>150</v>
      </c>
      <c r="H22" s="172">
        <f>'FS Jimbaran June 2021'!AH32/'FS Jimbaran June 2021'!AG32</f>
        <v>12560</v>
      </c>
      <c r="I22" s="163">
        <f>'FS Jimbaran June 2021'!AJ32</f>
        <v>338</v>
      </c>
      <c r="J22" s="164">
        <f>'FS Jimbaran June 2021'!AK32/'FS Jimbaran June 2021'!AJ32</f>
        <v>8900</v>
      </c>
      <c r="K22" s="163">
        <f>'FS Jimbaran June 2021'!V32</f>
        <v>892</v>
      </c>
      <c r="L22" s="172">
        <f>'FS Jimbaran June 2021'!AA32/'FS Jimbaran June 2021'!V32</f>
        <v>10525.075361341003</v>
      </c>
      <c r="M22" s="163">
        <f>+'RNs &amp; Covers June 2021'!B26</f>
        <v>9</v>
      </c>
      <c r="N22" s="163">
        <f>+'RNs &amp; Covers June 2021'!C26</f>
        <v>193</v>
      </c>
    </row>
    <row r="23" spans="1:14" x14ac:dyDescent="0.35">
      <c r="A23" s="160" t="s">
        <v>13</v>
      </c>
      <c r="B23" s="161">
        <f t="shared" si="0"/>
        <v>22</v>
      </c>
      <c r="C23" s="162">
        <v>6</v>
      </c>
      <c r="D23" s="161">
        <v>2021</v>
      </c>
      <c r="E23" s="163">
        <f>'FS Jimbaran June 2021'!P33</f>
        <v>14899.999999999793</v>
      </c>
      <c r="F23" s="172">
        <f>'FS Jimbaran June 2021'!O33/'FS Jimbaran June 2021'!P33</f>
        <v>1183.9173946308729</v>
      </c>
      <c r="G23" s="163">
        <f>'FS Jimbaran June 2021'!AG33</f>
        <v>112</v>
      </c>
      <c r="H23" s="172">
        <f>'FS Jimbaran June 2021'!AH33/'FS Jimbaran June 2021'!AG33</f>
        <v>12441.964285714286</v>
      </c>
      <c r="I23" s="163">
        <f>'FS Jimbaran June 2021'!AJ33</f>
        <v>359.7</v>
      </c>
      <c r="J23" s="164">
        <f>'FS Jimbaran June 2021'!AK33/'FS Jimbaran June 2021'!AJ33</f>
        <v>8900</v>
      </c>
      <c r="K23" s="163">
        <f>'FS Jimbaran June 2021'!V33</f>
        <v>907</v>
      </c>
      <c r="L23" s="172">
        <f>'FS Jimbaran June 2021'!AA33/'FS Jimbaran June 2021'!V33</f>
        <v>10574.792936325099</v>
      </c>
      <c r="M23" s="163">
        <f>+'RNs &amp; Covers June 2021'!B27</f>
        <v>12</v>
      </c>
      <c r="N23" s="163">
        <f>+'RNs &amp; Covers June 2021'!C27</f>
        <v>114</v>
      </c>
    </row>
    <row r="24" spans="1:14" x14ac:dyDescent="0.35">
      <c r="A24" s="160" t="s">
        <v>13</v>
      </c>
      <c r="B24" s="161">
        <f t="shared" si="0"/>
        <v>23</v>
      </c>
      <c r="C24" s="162">
        <v>6</v>
      </c>
      <c r="D24" s="161">
        <v>2021</v>
      </c>
      <c r="E24" s="163">
        <f>'FS Jimbaran June 2021'!P34</f>
        <v>15660.000000000422</v>
      </c>
      <c r="F24" s="172">
        <f>'FS Jimbaran June 2021'!O34/'FS Jimbaran June 2021'!P34</f>
        <v>1182.0194367816075</v>
      </c>
      <c r="G24" s="163">
        <f>'FS Jimbaran June 2021'!AG34</f>
        <v>100</v>
      </c>
      <c r="H24" s="172">
        <f>'FS Jimbaran June 2021'!AH34/'FS Jimbaran June 2021'!AG34</f>
        <v>12560</v>
      </c>
      <c r="I24" s="163">
        <f>'FS Jimbaran June 2021'!AJ34</f>
        <v>386.25</v>
      </c>
      <c r="J24" s="164">
        <f>'FS Jimbaran June 2021'!AK34/'FS Jimbaran June 2021'!AJ34</f>
        <v>8900</v>
      </c>
      <c r="K24" s="163">
        <f>'FS Jimbaran June 2021'!V34</f>
        <v>900</v>
      </c>
      <c r="L24" s="172">
        <f>'FS Jimbaran June 2021'!AA34/'FS Jimbaran June 2021'!V34</f>
        <v>10546.848245574238</v>
      </c>
      <c r="M24" s="163">
        <f>+'RNs &amp; Covers June 2021'!B28</f>
        <v>10</v>
      </c>
      <c r="N24" s="163">
        <f>+'RNs &amp; Covers June 2021'!C28</f>
        <v>138</v>
      </c>
    </row>
    <row r="25" spans="1:14" x14ac:dyDescent="0.35">
      <c r="A25" s="160" t="s">
        <v>13</v>
      </c>
      <c r="B25" s="161">
        <f t="shared" si="0"/>
        <v>24</v>
      </c>
      <c r="C25" s="162">
        <v>6</v>
      </c>
      <c r="D25" s="161">
        <v>2021</v>
      </c>
      <c r="E25" s="163">
        <f>'FS Jimbaran June 2021'!P35</f>
        <v>14539.999999999993</v>
      </c>
      <c r="F25" s="172">
        <f>'FS Jimbaran June 2021'!O35/'FS Jimbaran June 2021'!P35</f>
        <v>1185.5549277854209</v>
      </c>
      <c r="G25" s="163">
        <f>'FS Jimbaran June 2021'!AG35</f>
        <v>100</v>
      </c>
      <c r="H25" s="172">
        <f>'FS Jimbaran June 2021'!AH35/'FS Jimbaran June 2021'!AG35</f>
        <v>12560</v>
      </c>
      <c r="I25" s="163">
        <f>'FS Jimbaran June 2021'!AJ35</f>
        <v>346.56999999999971</v>
      </c>
      <c r="J25" s="164">
        <f>'FS Jimbaran June 2021'!AK35/'FS Jimbaran June 2021'!AJ35</f>
        <v>8900</v>
      </c>
      <c r="K25" s="163">
        <f>'FS Jimbaran June 2021'!V35</f>
        <v>887</v>
      </c>
      <c r="L25" s="172">
        <f>'FS Jimbaran June 2021'!AA35/'FS Jimbaran June 2021'!V35</f>
        <v>9774.9272895485192</v>
      </c>
      <c r="M25" s="163">
        <f>+'RNs &amp; Covers June 2021'!B29</f>
        <v>11</v>
      </c>
      <c r="N25" s="163">
        <f>+'RNs &amp; Covers June 2021'!C29</f>
        <v>101</v>
      </c>
    </row>
    <row r="26" spans="1:14" x14ac:dyDescent="0.35">
      <c r="A26" s="160" t="s">
        <v>13</v>
      </c>
      <c r="B26" s="161">
        <f>B25+1</f>
        <v>25</v>
      </c>
      <c r="C26" s="162">
        <v>6</v>
      </c>
      <c r="D26" s="161">
        <v>2021</v>
      </c>
      <c r="E26" s="163">
        <f>'FS Jimbaran June 2021'!P36</f>
        <v>15599.999999999767</v>
      </c>
      <c r="F26" s="172">
        <f>'FS Jimbaran June 2021'!O36/'FS Jimbaran June 2021'!P36</f>
        <v>1192.1429423076909</v>
      </c>
      <c r="G26" s="163">
        <f>'FS Jimbaran June 2021'!AG36</f>
        <v>174</v>
      </c>
      <c r="H26" s="172">
        <f>'FS Jimbaran June 2021'!AH36/'FS Jimbaran June 2021'!AG36</f>
        <v>12408.045977011494</v>
      </c>
      <c r="I26" s="163">
        <f>'FS Jimbaran June 2021'!AJ36</f>
        <v>394.2</v>
      </c>
      <c r="J26" s="164">
        <f>'FS Jimbaran June 2021'!AK36/'FS Jimbaran June 2021'!AJ36</f>
        <v>8900</v>
      </c>
      <c r="K26" s="163">
        <f>'FS Jimbaran June 2021'!V36</f>
        <v>836</v>
      </c>
      <c r="L26" s="172">
        <f>'FS Jimbaran June 2021'!AA36/'FS Jimbaran June 2021'!V36</f>
        <v>10456.906669539267</v>
      </c>
      <c r="M26" s="163">
        <f>+'RNs &amp; Covers June 2021'!B30</f>
        <v>20</v>
      </c>
      <c r="N26" s="163">
        <f>+'RNs &amp; Covers June 2021'!C30</f>
        <v>212</v>
      </c>
    </row>
    <row r="27" spans="1:14" x14ac:dyDescent="0.35">
      <c r="A27" s="160" t="s">
        <v>13</v>
      </c>
      <c r="B27" s="161">
        <f t="shared" si="0"/>
        <v>26</v>
      </c>
      <c r="C27" s="162">
        <v>6</v>
      </c>
      <c r="D27" s="161">
        <v>2021</v>
      </c>
      <c r="E27" s="163">
        <f>'FS Jimbaran June 2021'!P37</f>
        <v>15380.000000000124</v>
      </c>
      <c r="F27" s="172">
        <f>'FS Jimbaran June 2021'!O37/'FS Jimbaran June 2021'!P37</f>
        <v>1190.1031384915486</v>
      </c>
      <c r="G27" s="163">
        <f>'FS Jimbaran June 2021'!AG37</f>
        <v>174</v>
      </c>
      <c r="H27" s="172">
        <f>'FS Jimbaran June 2021'!AH37/'FS Jimbaran June 2021'!AG37</f>
        <v>12408.045977011494</v>
      </c>
      <c r="I27" s="163">
        <f>'FS Jimbaran June 2021'!AJ37</f>
        <v>429.81999999999971</v>
      </c>
      <c r="J27" s="164">
        <f>'FS Jimbaran June 2021'!AK37/'FS Jimbaran June 2021'!AJ37</f>
        <v>8900</v>
      </c>
      <c r="K27" s="163">
        <f>'FS Jimbaran June 2021'!V37</f>
        <v>930</v>
      </c>
      <c r="L27" s="172">
        <f>'FS Jimbaran June 2021'!AA37/'FS Jimbaran June 2021'!V37</f>
        <v>10686.229500042742</v>
      </c>
      <c r="M27" s="163">
        <f>+'RNs &amp; Covers June 2021'!B31</f>
        <v>24</v>
      </c>
      <c r="N27" s="163">
        <f>+'RNs &amp; Covers June 2021'!C31</f>
        <v>194</v>
      </c>
    </row>
    <row r="28" spans="1:14" x14ac:dyDescent="0.35">
      <c r="A28" s="160" t="s">
        <v>13</v>
      </c>
      <c r="B28" s="161">
        <f t="shared" si="0"/>
        <v>27</v>
      </c>
      <c r="C28" s="162">
        <v>6</v>
      </c>
      <c r="D28" s="161">
        <v>2021</v>
      </c>
      <c r="E28" s="163">
        <f>'FS Jimbaran June 2021'!P38</f>
        <v>15919.999999999873</v>
      </c>
      <c r="F28" s="172">
        <f>'FS Jimbaran June 2021'!O38/'FS Jimbaran June 2021'!P38</f>
        <v>1181.8431972361823</v>
      </c>
      <c r="G28" s="163">
        <f>'FS Jimbaran June 2021'!AG38</f>
        <v>162</v>
      </c>
      <c r="H28" s="172">
        <f>'FS Jimbaran June 2021'!AH38/'FS Jimbaran June 2021'!AG38</f>
        <v>12478.395061728395</v>
      </c>
      <c r="I28" s="163">
        <f>'FS Jimbaran June 2021'!AJ38</f>
        <v>399.5</v>
      </c>
      <c r="J28" s="164">
        <f>'FS Jimbaran June 2021'!AK38/'FS Jimbaran June 2021'!AJ38</f>
        <v>8900</v>
      </c>
      <c r="K28" s="163">
        <f>'FS Jimbaran June 2021'!V38</f>
        <v>931</v>
      </c>
      <c r="L28" s="172">
        <f>'FS Jimbaran June 2021'!AA38/'FS Jimbaran June 2021'!V38</f>
        <v>9330.4621558698273</v>
      </c>
      <c r="M28" s="163">
        <f>+'RNs &amp; Covers June 2021'!B32</f>
        <v>17</v>
      </c>
      <c r="N28" s="163">
        <f>+'RNs &amp; Covers June 2021'!C32</f>
        <v>216</v>
      </c>
    </row>
    <row r="29" spans="1:14" x14ac:dyDescent="0.35">
      <c r="A29" s="160" t="s">
        <v>13</v>
      </c>
      <c r="B29" s="161">
        <f t="shared" si="0"/>
        <v>28</v>
      </c>
      <c r="C29" s="162">
        <v>6</v>
      </c>
      <c r="D29" s="161">
        <v>2021</v>
      </c>
      <c r="E29" s="163">
        <f>'FS Jimbaran June 2021'!P39</f>
        <v>15839.999999999975</v>
      </c>
      <c r="F29" s="172">
        <f>'FS Jimbaran June 2021'!O39/'FS Jimbaran June 2021'!P39</f>
        <v>1184.3791193181798</v>
      </c>
      <c r="G29" s="163">
        <f>'FS Jimbaran June 2021'!AG39</f>
        <v>112</v>
      </c>
      <c r="H29" s="172">
        <f>'FS Jimbaran June 2021'!AH39/'FS Jimbaran June 2021'!AG39</f>
        <v>12441.964285714286</v>
      </c>
      <c r="I29" s="163">
        <f>'FS Jimbaran June 2021'!AJ39</f>
        <v>339.5</v>
      </c>
      <c r="J29" s="164">
        <f>'FS Jimbaran June 2021'!AK39/'FS Jimbaran June 2021'!AJ39</f>
        <v>8900</v>
      </c>
      <c r="K29" s="163">
        <f>'FS Jimbaran June 2021'!V39</f>
        <v>917</v>
      </c>
      <c r="L29" s="172">
        <f>'FS Jimbaran June 2021'!AA39/'FS Jimbaran June 2021'!V39</f>
        <v>9242.0385662677454</v>
      </c>
      <c r="M29" s="163">
        <f>+'RNs &amp; Covers June 2021'!B33</f>
        <v>13</v>
      </c>
      <c r="N29" s="163">
        <f>+'RNs &amp; Covers June 2021'!C33</f>
        <v>134</v>
      </c>
    </row>
    <row r="30" spans="1:14" x14ac:dyDescent="0.35">
      <c r="A30" s="160" t="s">
        <v>13</v>
      </c>
      <c r="B30" s="161">
        <f t="shared" si="0"/>
        <v>29</v>
      </c>
      <c r="C30" s="162">
        <v>6</v>
      </c>
      <c r="D30" s="161">
        <v>2021</v>
      </c>
      <c r="E30" s="163">
        <f>'FS Jimbaran June 2021'!P40</f>
        <v>15760.000000000018</v>
      </c>
      <c r="F30" s="172">
        <f>'FS Jimbaran June 2021'!O40/'FS Jimbaran June 2021'!P40</f>
        <v>1182.8002956852797</v>
      </c>
      <c r="G30" s="163">
        <f>'FS Jimbaran June 2021'!AG40</f>
        <v>112</v>
      </c>
      <c r="H30" s="172">
        <f>'FS Jimbaran June 2021'!AH40/'FS Jimbaran June 2021'!AG40</f>
        <v>12441.964285714286</v>
      </c>
      <c r="I30" s="163">
        <f>'FS Jimbaran June 2021'!AJ40</f>
        <v>377.4</v>
      </c>
      <c r="J30" s="164">
        <f>'FS Jimbaran June 2021'!AK40/'FS Jimbaran June 2021'!AJ40</f>
        <v>8900</v>
      </c>
      <c r="K30" s="163">
        <f>'FS Jimbaran June 2021'!V40</f>
        <v>940</v>
      </c>
      <c r="L30" s="172">
        <f>'FS Jimbaran June 2021'!AA40/'FS Jimbaran June 2021'!V40</f>
        <v>9200.0871925818992</v>
      </c>
      <c r="M30" s="163">
        <f>+'RNs &amp; Covers June 2021'!B34</f>
        <v>17</v>
      </c>
      <c r="N30" s="163">
        <f>+'RNs &amp; Covers June 2021'!C34</f>
        <v>163</v>
      </c>
    </row>
    <row r="31" spans="1:14" x14ac:dyDescent="0.35">
      <c r="A31" s="160" t="s">
        <v>13</v>
      </c>
      <c r="B31" s="161">
        <f t="shared" si="0"/>
        <v>30</v>
      </c>
      <c r="C31" s="162">
        <v>6</v>
      </c>
      <c r="D31" s="161">
        <v>2021</v>
      </c>
      <c r="E31" s="163">
        <f>'FS Jimbaran June 2021'!P41</f>
        <v>15420.000000000173</v>
      </c>
      <c r="F31" s="172">
        <f>'FS Jimbaran June 2021'!O41/'FS Jimbaran June 2021'!P41</f>
        <v>1179.2576964980537</v>
      </c>
      <c r="G31" s="163">
        <f>'FS Jimbaran June 2021'!AG41</f>
        <v>100</v>
      </c>
      <c r="H31" s="172">
        <f>'FS Jimbaran June 2021'!AH41/'FS Jimbaran June 2021'!AG41</f>
        <v>12560</v>
      </c>
      <c r="I31" s="163">
        <f>'FS Jimbaran June 2021'!AJ41</f>
        <v>398.6</v>
      </c>
      <c r="J31" s="164">
        <f>'FS Jimbaran June 2021'!AK41/'FS Jimbaran June 2021'!AJ41</f>
        <v>8900</v>
      </c>
      <c r="K31" s="163">
        <f>'FS Jimbaran June 2021'!V41</f>
        <v>936</v>
      </c>
      <c r="L31" s="172">
        <f>'FS Jimbaran June 2021'!AA41/'FS Jimbaran June 2021'!V41</f>
        <v>8905.5538382762061</v>
      </c>
      <c r="M31" s="163">
        <f>+'RNs &amp; Covers June 2021'!B35</f>
        <v>8</v>
      </c>
      <c r="N31" s="163">
        <f>+'RNs &amp; Covers June 2021'!C35</f>
        <v>113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M70"/>
  <sheetViews>
    <sheetView zoomScale="62" zoomScaleNormal="62" workbookViewId="0">
      <pane xSplit="4" ySplit="10" topLeftCell="V35" activePane="bottomRight" state="frozen"/>
      <selection pane="topRight" activeCell="E1" sqref="E1"/>
      <selection pane="bottomLeft" activeCell="A11" sqref="A11"/>
      <selection pane="bottomRight" activeCell="V12" sqref="V12"/>
    </sheetView>
  </sheetViews>
  <sheetFormatPr defaultRowHeight="15.5" x14ac:dyDescent="0.35"/>
  <cols>
    <col min="1" max="1" width="3.7265625" style="7" customWidth="1"/>
    <col min="2" max="2" width="8.7265625" style="7" customWidth="1"/>
    <col min="3" max="3" width="8.7265625" style="3" customWidth="1"/>
    <col min="4" max="4" width="9.1796875" customWidth="1"/>
    <col min="5" max="5" width="14.7265625" style="3" customWidth="1"/>
    <col min="6" max="6" width="17.7265625" style="3" customWidth="1"/>
    <col min="7" max="7" width="14.81640625" customWidth="1"/>
    <col min="8" max="8" width="17.1796875" style="3" customWidth="1"/>
    <col min="9" max="9" width="17" customWidth="1"/>
    <col min="10" max="10" width="14" customWidth="1"/>
    <col min="11" max="11" width="17.453125" customWidth="1"/>
    <col min="12" max="12" width="14.1796875" style="3" customWidth="1"/>
    <col min="13" max="13" width="18.26953125" style="63" bestFit="1" customWidth="1"/>
    <col min="14" max="14" width="20.453125" style="67" customWidth="1"/>
    <col min="15" max="15" width="18.81640625" customWidth="1"/>
    <col min="16" max="16" width="15.1796875" style="67" customWidth="1"/>
    <col min="17" max="17" width="19.7265625" customWidth="1"/>
    <col min="18" max="18" width="18.1796875" style="88" customWidth="1"/>
    <col min="19" max="19" width="24.26953125" customWidth="1"/>
    <col min="20" max="20" width="21.1796875" bestFit="1" customWidth="1"/>
    <col min="21" max="21" width="18.81640625" customWidth="1"/>
    <col min="22" max="22" width="19.7265625" customWidth="1"/>
    <col min="23" max="24" width="21.1796875" bestFit="1" customWidth="1"/>
    <col min="25" max="25" width="19.7265625" bestFit="1" customWidth="1"/>
    <col min="26" max="26" width="21.26953125" bestFit="1" customWidth="1"/>
    <col min="27" max="27" width="17.81640625" bestFit="1" customWidth="1"/>
    <col min="28" max="28" width="9.81640625" customWidth="1"/>
    <col min="29" max="29" width="15.81640625" bestFit="1" customWidth="1"/>
    <col min="30" max="30" width="12.81640625" style="3" bestFit="1" customWidth="1"/>
    <col min="31" max="31" width="14.81640625" customWidth="1"/>
    <col min="32" max="32" width="12.26953125" bestFit="1" customWidth="1"/>
    <col min="33" max="33" width="10" bestFit="1" customWidth="1"/>
    <col min="34" max="34" width="19" style="3" customWidth="1"/>
    <col min="35" max="35" width="10.54296875" customWidth="1"/>
    <col min="36" max="36" width="13.26953125" style="88" bestFit="1" customWidth="1"/>
    <col min="37" max="37" width="20.7265625" bestFit="1" customWidth="1"/>
    <col min="38" max="38" width="9.453125" style="40" bestFit="1" customWidth="1"/>
    <col min="39" max="39" width="2.26953125" style="7" customWidth="1"/>
  </cols>
  <sheetData>
    <row r="5" spans="1:39" x14ac:dyDescent="0.35">
      <c r="N5" s="173"/>
      <c r="X5" s="174"/>
    </row>
    <row r="6" spans="1:39" s="25" customFormat="1" ht="19" thickBot="1" x14ac:dyDescent="0.5">
      <c r="B6" s="25" t="s">
        <v>15</v>
      </c>
      <c r="C6" s="33"/>
      <c r="E6" s="33"/>
      <c r="F6" s="33"/>
      <c r="H6" s="33"/>
      <c r="L6" s="33"/>
      <c r="M6" s="58"/>
      <c r="N6" s="64"/>
      <c r="P6" s="64"/>
      <c r="R6" s="84"/>
      <c r="AD6" s="33"/>
      <c r="AH6" s="33"/>
      <c r="AJ6" s="84"/>
      <c r="AL6" s="36"/>
    </row>
    <row r="7" spans="1:39" s="11" customFormat="1" ht="16" thickBot="1" x14ac:dyDescent="0.4">
      <c r="A7" s="29"/>
      <c r="B7" s="228" t="s">
        <v>16</v>
      </c>
      <c r="C7" s="229"/>
      <c r="D7" s="229"/>
      <c r="E7" s="229"/>
      <c r="F7" s="229"/>
      <c r="G7" s="229"/>
      <c r="H7" s="229"/>
      <c r="I7" s="229"/>
      <c r="J7" s="229"/>
      <c r="K7" s="229"/>
      <c r="L7" s="229"/>
      <c r="M7" s="229"/>
      <c r="N7" s="229"/>
      <c r="O7" s="229"/>
      <c r="P7" s="229"/>
      <c r="Q7" s="229"/>
      <c r="R7" s="229"/>
      <c r="S7" s="229"/>
      <c r="T7" s="229"/>
      <c r="U7" s="229"/>
      <c r="V7" s="229"/>
      <c r="W7" s="229"/>
      <c r="X7" s="229"/>
      <c r="Y7" s="229"/>
      <c r="Z7" s="229"/>
      <c r="AA7" s="229"/>
      <c r="AB7" s="229"/>
      <c r="AC7" s="229"/>
      <c r="AD7" s="229"/>
      <c r="AE7" s="229"/>
      <c r="AF7" s="229"/>
      <c r="AG7" s="229"/>
      <c r="AH7" s="229"/>
      <c r="AI7" s="229"/>
      <c r="AJ7" s="229"/>
      <c r="AK7" s="229"/>
      <c r="AL7" s="230"/>
      <c r="AM7" s="29"/>
    </row>
    <row r="8" spans="1:39" s="7" customFormat="1" ht="15.75" customHeight="1" thickBot="1" x14ac:dyDescent="0.4">
      <c r="A8" s="26"/>
      <c r="B8" s="231" t="s">
        <v>17</v>
      </c>
      <c r="C8" s="234" t="s">
        <v>18</v>
      </c>
      <c r="D8" s="237" t="s">
        <v>12</v>
      </c>
      <c r="E8" s="240" t="s">
        <v>19</v>
      </c>
      <c r="F8" s="240"/>
      <c r="G8" s="240"/>
      <c r="H8" s="240"/>
      <c r="I8" s="240"/>
      <c r="J8" s="240"/>
      <c r="K8" s="240"/>
      <c r="L8" s="240"/>
      <c r="M8" s="240"/>
      <c r="N8" s="240"/>
      <c r="O8" s="240"/>
      <c r="P8" s="240"/>
      <c r="Q8" s="240"/>
      <c r="R8" s="240"/>
      <c r="S8" s="240"/>
      <c r="T8" s="240"/>
      <c r="U8" s="241"/>
      <c r="V8" s="242" t="s">
        <v>20</v>
      </c>
      <c r="W8" s="243"/>
      <c r="X8" s="243"/>
      <c r="Y8" s="243"/>
      <c r="Z8" s="243"/>
      <c r="AA8" s="243"/>
      <c r="AB8" s="244"/>
      <c r="AC8" s="245" t="s">
        <v>21</v>
      </c>
      <c r="AD8" s="245"/>
      <c r="AE8" s="245"/>
      <c r="AF8" s="245"/>
      <c r="AG8" s="245"/>
      <c r="AH8" s="245"/>
      <c r="AI8" s="245"/>
      <c r="AJ8" s="245"/>
      <c r="AK8" s="245"/>
      <c r="AL8" s="246"/>
      <c r="AM8" s="28"/>
    </row>
    <row r="9" spans="1:39" ht="15" customHeight="1" thickBot="1" x14ac:dyDescent="0.4">
      <c r="B9" s="232"/>
      <c r="C9" s="235"/>
      <c r="D9" s="238"/>
      <c r="E9" s="247" t="s">
        <v>22</v>
      </c>
      <c r="F9" s="248"/>
      <c r="G9" s="248"/>
      <c r="H9" s="248"/>
      <c r="I9" s="249"/>
      <c r="J9" s="250" t="s">
        <v>23</v>
      </c>
      <c r="K9" s="250"/>
      <c r="L9" s="250"/>
      <c r="M9" s="250"/>
      <c r="N9" s="251"/>
      <c r="O9" s="237" t="s">
        <v>24</v>
      </c>
      <c r="P9" s="252" t="s">
        <v>25</v>
      </c>
      <c r="Q9" s="254" t="s">
        <v>26</v>
      </c>
      <c r="R9" s="220" t="s">
        <v>27</v>
      </c>
      <c r="S9" s="222" t="s">
        <v>28</v>
      </c>
      <c r="T9" s="224" t="s">
        <v>29</v>
      </c>
      <c r="U9" s="225"/>
      <c r="V9" s="52"/>
      <c r="W9" s="52" t="s">
        <v>30</v>
      </c>
      <c r="X9" s="52"/>
      <c r="Y9" s="53"/>
      <c r="Z9" s="179"/>
      <c r="AA9" s="226" t="s">
        <v>31</v>
      </c>
      <c r="AB9" s="227"/>
      <c r="AC9" s="245" t="s">
        <v>32</v>
      </c>
      <c r="AD9" s="245"/>
      <c r="AE9" s="245"/>
      <c r="AF9" s="245"/>
      <c r="AG9" s="245"/>
      <c r="AH9" s="245"/>
      <c r="AI9" s="246"/>
      <c r="AJ9" s="139" t="s">
        <v>33</v>
      </c>
      <c r="AK9" s="35"/>
      <c r="AL9" s="37"/>
    </row>
    <row r="10" spans="1:39" ht="61.5" customHeight="1" thickBot="1" x14ac:dyDescent="0.4">
      <c r="A10" s="27"/>
      <c r="B10" s="233"/>
      <c r="C10" s="236"/>
      <c r="D10" s="239"/>
      <c r="E10" s="98" t="s">
        <v>34</v>
      </c>
      <c r="F10" s="82" t="s">
        <v>35</v>
      </c>
      <c r="G10" s="132" t="s">
        <v>36</v>
      </c>
      <c r="H10" s="17" t="s">
        <v>35</v>
      </c>
      <c r="I10" s="99" t="s">
        <v>37</v>
      </c>
      <c r="J10" s="98" t="s">
        <v>34</v>
      </c>
      <c r="K10" s="83" t="s">
        <v>35</v>
      </c>
      <c r="L10" s="132" t="s">
        <v>36</v>
      </c>
      <c r="M10" s="59" t="s">
        <v>35</v>
      </c>
      <c r="N10" s="91" t="s">
        <v>38</v>
      </c>
      <c r="O10" s="239"/>
      <c r="P10" s="253"/>
      <c r="Q10" s="255"/>
      <c r="R10" s="221"/>
      <c r="S10" s="223"/>
      <c r="T10" s="180" t="s">
        <v>39</v>
      </c>
      <c r="U10" s="22" t="s">
        <v>40</v>
      </c>
      <c r="V10" s="181" t="s">
        <v>41</v>
      </c>
      <c r="W10" s="54" t="s">
        <v>42</v>
      </c>
      <c r="X10" s="54" t="s">
        <v>43</v>
      </c>
      <c r="Y10" s="21" t="s">
        <v>44</v>
      </c>
      <c r="Z10" s="21" t="s">
        <v>45</v>
      </c>
      <c r="AA10" s="21" t="s">
        <v>39</v>
      </c>
      <c r="AB10" s="12" t="s">
        <v>40</v>
      </c>
      <c r="AC10" s="124" t="s">
        <v>46</v>
      </c>
      <c r="AD10" s="47" t="s">
        <v>47</v>
      </c>
      <c r="AE10" s="46" t="s">
        <v>48</v>
      </c>
      <c r="AF10" s="46" t="s">
        <v>49</v>
      </c>
      <c r="AG10" s="46" t="s">
        <v>50</v>
      </c>
      <c r="AH10" s="47" t="s">
        <v>39</v>
      </c>
      <c r="AI10" s="48" t="s">
        <v>40</v>
      </c>
      <c r="AJ10" s="140" t="s">
        <v>51</v>
      </c>
      <c r="AK10" s="46" t="s">
        <v>39</v>
      </c>
      <c r="AL10" s="50" t="s">
        <v>40</v>
      </c>
      <c r="AM10" s="27"/>
    </row>
    <row r="11" spans="1:39" x14ac:dyDescent="0.35">
      <c r="A11" s="27"/>
      <c r="B11" s="56"/>
      <c r="C11" s="100"/>
      <c r="D11" s="182"/>
      <c r="E11" s="183"/>
      <c r="F11" s="89"/>
      <c r="G11" s="18"/>
      <c r="H11" s="19"/>
      <c r="I11" s="101"/>
      <c r="J11" s="90"/>
      <c r="K11" s="18"/>
      <c r="L11" s="19"/>
      <c r="M11" s="60"/>
      <c r="N11" s="92"/>
      <c r="O11" s="55"/>
      <c r="P11" s="109"/>
      <c r="Q11" s="184"/>
      <c r="R11" s="112"/>
      <c r="S11" s="185"/>
      <c r="T11" s="185"/>
      <c r="U11" s="23"/>
      <c r="V11" s="90"/>
      <c r="W11" s="18"/>
      <c r="X11" s="18"/>
      <c r="Y11" s="20"/>
      <c r="Z11" s="20"/>
      <c r="AA11" s="20"/>
      <c r="AB11" s="101"/>
      <c r="AC11" s="125"/>
      <c r="AD11" s="44"/>
      <c r="AE11" s="41"/>
      <c r="AF11" s="41"/>
      <c r="AG11" s="41"/>
      <c r="AH11" s="44"/>
      <c r="AI11" s="45"/>
      <c r="AJ11" s="141"/>
      <c r="AK11" s="41"/>
      <c r="AL11" s="49"/>
      <c r="AM11" s="27"/>
    </row>
    <row r="12" spans="1:39" x14ac:dyDescent="0.35">
      <c r="A12" s="32"/>
      <c r="B12" s="57">
        <v>1</v>
      </c>
      <c r="C12" s="149">
        <v>15</v>
      </c>
      <c r="D12" s="151">
        <v>134</v>
      </c>
      <c r="E12" s="105">
        <v>10639.999999999873</v>
      </c>
      <c r="F12" s="2">
        <v>11571734.15999986</v>
      </c>
      <c r="G12" s="34">
        <v>2240.0000000000091</v>
      </c>
      <c r="H12" s="2">
        <v>3654231.8400000152</v>
      </c>
      <c r="I12" s="102">
        <f>F12+H12</f>
        <v>15225965.999999875</v>
      </c>
      <c r="J12" s="105">
        <v>1419.9999999999875</v>
      </c>
      <c r="K12" s="2">
        <v>1544347.9799999865</v>
      </c>
      <c r="L12" s="186">
        <v>360.00000000000654</v>
      </c>
      <c r="M12" s="187">
        <v>587287.2600000106</v>
      </c>
      <c r="N12" s="93">
        <f>+K12+M12</f>
        <v>2131635.239999997</v>
      </c>
      <c r="O12" s="107">
        <f>N12+I12</f>
        <v>17357601.239999872</v>
      </c>
      <c r="P12" s="110">
        <f>L12+J12+G12+E12</f>
        <v>14659.999999999876</v>
      </c>
      <c r="Q12" s="134"/>
      <c r="R12" s="201"/>
      <c r="S12" s="215"/>
      <c r="T12" s="212"/>
      <c r="U12" s="210">
        <v>0</v>
      </c>
      <c r="V12" s="188">
        <f>Y12+W12</f>
        <v>891</v>
      </c>
      <c r="W12" s="2">
        <v>397</v>
      </c>
      <c r="X12" s="2">
        <v>7140356.1915365588</v>
      </c>
      <c r="Y12" s="30">
        <v>494</v>
      </c>
      <c r="Z12" s="30">
        <v>2283478.676470588</v>
      </c>
      <c r="AA12" s="30">
        <f t="shared" ref="AA12:AA39" si="0">Z12+X12</f>
        <v>9423834.8680071458</v>
      </c>
      <c r="AB12" s="127">
        <f t="shared" ref="AB12:AB39" si="1">AA12/$AL$48</f>
        <v>726.24610865115346</v>
      </c>
      <c r="AC12" s="133">
        <v>0</v>
      </c>
      <c r="AD12" s="2">
        <v>0</v>
      </c>
      <c r="AE12" s="2">
        <v>100</v>
      </c>
      <c r="AF12" s="2">
        <v>12</v>
      </c>
      <c r="AG12" s="2">
        <f t="shared" ref="AG12:AG31" si="2">+AE12+AF12</f>
        <v>112</v>
      </c>
      <c r="AH12" s="2">
        <v>1393500</v>
      </c>
      <c r="AI12" s="42">
        <f t="shared" ref="AI12:AI39" si="3">AH12/$AL$48</f>
        <v>107.38982235789055</v>
      </c>
      <c r="AJ12" s="142">
        <v>424.5</v>
      </c>
      <c r="AK12" s="2">
        <v>3778050</v>
      </c>
      <c r="AL12" s="38">
        <f t="shared" ref="AL12:AL41" si="4">AK12/$AL$48</f>
        <v>291.15473151003113</v>
      </c>
      <c r="AM12" s="6"/>
    </row>
    <row r="13" spans="1:39" x14ac:dyDescent="0.35">
      <c r="A13" s="32"/>
      <c r="B13" s="57">
        <v>2</v>
      </c>
      <c r="C13" s="149">
        <v>4</v>
      </c>
      <c r="D13" s="151">
        <v>120</v>
      </c>
      <c r="E13" s="105">
        <v>11200.000000000273</v>
      </c>
      <c r="F13" s="2">
        <v>12180772.800000297</v>
      </c>
      <c r="G13" s="34">
        <v>2159.9999999999682</v>
      </c>
      <c r="H13" s="2">
        <v>3523723.5599999484</v>
      </c>
      <c r="I13" s="102">
        <f t="shared" ref="I13:I41" si="5">F13+H13</f>
        <v>15704496.360000245</v>
      </c>
      <c r="J13" s="105">
        <v>1500</v>
      </c>
      <c r="K13" s="2">
        <v>1631353.5</v>
      </c>
      <c r="L13" s="186">
        <v>420.00000000000171</v>
      </c>
      <c r="M13" s="187">
        <v>685168.47000000288</v>
      </c>
      <c r="N13" s="93">
        <f t="shared" ref="N13:N41" si="6">+K13+M13</f>
        <v>2316521.970000003</v>
      </c>
      <c r="O13" s="107">
        <f t="shared" ref="O13:O39" si="7">N13+I13</f>
        <v>18021018.330000248</v>
      </c>
      <c r="P13" s="110">
        <f t="shared" ref="P13:P39" si="8">L13+J13+G13+E13</f>
        <v>15280.000000000244</v>
      </c>
      <c r="Q13" s="191"/>
      <c r="R13" s="202"/>
      <c r="S13" s="215"/>
      <c r="T13" s="212"/>
      <c r="U13" s="210">
        <v>0</v>
      </c>
      <c r="V13" s="188">
        <f t="shared" ref="V13:V41" si="9">Y13+W13</f>
        <v>869</v>
      </c>
      <c r="W13" s="2">
        <v>357</v>
      </c>
      <c r="X13" s="2">
        <v>6420924.8372255703</v>
      </c>
      <c r="Y13" s="30">
        <v>512</v>
      </c>
      <c r="Z13" s="30">
        <v>2366682.3529411764</v>
      </c>
      <c r="AA13" s="30">
        <f t="shared" si="0"/>
        <v>8787607.1901667472</v>
      </c>
      <c r="AB13" s="127">
        <f t="shared" si="1"/>
        <v>677.21533914813688</v>
      </c>
      <c r="AC13" s="133">
        <v>0</v>
      </c>
      <c r="AD13" s="2">
        <v>0</v>
      </c>
      <c r="AE13" s="2">
        <v>100</v>
      </c>
      <c r="AF13" s="2">
        <v>0</v>
      </c>
      <c r="AG13" s="2">
        <f t="shared" si="2"/>
        <v>100</v>
      </c>
      <c r="AH13" s="2">
        <v>1256000</v>
      </c>
      <c r="AI13" s="42">
        <f t="shared" si="3"/>
        <v>96.793410033376773</v>
      </c>
      <c r="AJ13" s="142">
        <v>398.8</v>
      </c>
      <c r="AK13" s="2">
        <v>3549320</v>
      </c>
      <c r="AL13" s="38">
        <f t="shared" si="4"/>
        <v>273.52769593922358</v>
      </c>
      <c r="AM13" s="6"/>
    </row>
    <row r="14" spans="1:39" x14ac:dyDescent="0.35">
      <c r="A14" s="32"/>
      <c r="B14" s="57">
        <v>3</v>
      </c>
      <c r="C14" s="149">
        <v>5</v>
      </c>
      <c r="D14" s="151">
        <v>52</v>
      </c>
      <c r="E14" s="105">
        <v>11000</v>
      </c>
      <c r="F14" s="2">
        <v>11963259</v>
      </c>
      <c r="G14" s="34">
        <v>2200.0000000000455</v>
      </c>
      <c r="H14" s="2">
        <v>3588977.7000000747</v>
      </c>
      <c r="I14" s="102">
        <f t="shared" si="5"/>
        <v>15552236.700000074</v>
      </c>
      <c r="J14" s="105">
        <v>1600.0000000000227</v>
      </c>
      <c r="K14" s="2">
        <v>1740110.4000000248</v>
      </c>
      <c r="L14" s="186">
        <v>399.99999999999147</v>
      </c>
      <c r="M14" s="187">
        <v>652541.39999998605</v>
      </c>
      <c r="N14" s="93">
        <f t="shared" si="6"/>
        <v>2392651.800000011</v>
      </c>
      <c r="O14" s="107">
        <f t="shared" si="7"/>
        <v>17944888.500000086</v>
      </c>
      <c r="P14" s="110">
        <f t="shared" si="8"/>
        <v>15200.00000000006</v>
      </c>
      <c r="Q14" s="191"/>
      <c r="R14" s="202"/>
      <c r="S14" s="215"/>
      <c r="T14" s="212"/>
      <c r="U14" s="210">
        <v>0</v>
      </c>
      <c r="V14" s="188">
        <f t="shared" si="9"/>
        <v>908</v>
      </c>
      <c r="W14" s="2">
        <v>352</v>
      </c>
      <c r="X14" s="2">
        <v>6330995.9179366967</v>
      </c>
      <c r="Y14" s="30">
        <v>556</v>
      </c>
      <c r="Z14" s="30">
        <v>2570069.1176470588</v>
      </c>
      <c r="AA14" s="30">
        <f t="shared" si="0"/>
        <v>8901065.035583755</v>
      </c>
      <c r="AB14" s="127">
        <f t="shared" si="1"/>
        <v>685.95894723169727</v>
      </c>
      <c r="AC14" s="133">
        <v>0</v>
      </c>
      <c r="AD14" s="2">
        <v>0</v>
      </c>
      <c r="AE14" s="2">
        <v>50</v>
      </c>
      <c r="AF14" s="2">
        <v>0</v>
      </c>
      <c r="AG14" s="2">
        <f t="shared" si="2"/>
        <v>50</v>
      </c>
      <c r="AH14" s="2">
        <v>628000</v>
      </c>
      <c r="AI14" s="42">
        <f t="shared" si="3"/>
        <v>48.396705016688387</v>
      </c>
      <c r="AJ14" s="142">
        <v>429.81999999999971</v>
      </c>
      <c r="AK14" s="2">
        <v>3825397.9999999972</v>
      </c>
      <c r="AL14" s="38">
        <f t="shared" si="4"/>
        <v>294.80359646087516</v>
      </c>
      <c r="AM14" s="6"/>
    </row>
    <row r="15" spans="1:39" x14ac:dyDescent="0.35">
      <c r="A15" s="32"/>
      <c r="B15" s="57">
        <v>4</v>
      </c>
      <c r="C15" s="149">
        <v>11</v>
      </c>
      <c r="D15" s="151">
        <v>158</v>
      </c>
      <c r="E15" s="105">
        <v>10839.999999999691</v>
      </c>
      <c r="F15" s="2">
        <v>11789247.959999664</v>
      </c>
      <c r="G15" s="34">
        <v>2239.9999999999523</v>
      </c>
      <c r="H15" s="2">
        <v>3654231.8399999221</v>
      </c>
      <c r="I15" s="102">
        <f t="shared" si="5"/>
        <v>15443479.799999585</v>
      </c>
      <c r="J15" s="105">
        <v>1619.9999999999761</v>
      </c>
      <c r="K15" s="2">
        <v>1761861.779999974</v>
      </c>
      <c r="L15" s="186">
        <v>460.00000000000796</v>
      </c>
      <c r="M15" s="187">
        <v>750422.61000001302</v>
      </c>
      <c r="N15" s="93">
        <f t="shared" si="6"/>
        <v>2512284.3899999871</v>
      </c>
      <c r="O15" s="107">
        <f t="shared" si="7"/>
        <v>17955764.189999573</v>
      </c>
      <c r="P15" s="110">
        <f t="shared" si="8"/>
        <v>15159.999999999627</v>
      </c>
      <c r="Q15" s="191"/>
      <c r="R15" s="202"/>
      <c r="S15" s="215"/>
      <c r="T15" s="212"/>
      <c r="U15" s="210">
        <v>0</v>
      </c>
      <c r="V15" s="188">
        <f t="shared" si="9"/>
        <v>938</v>
      </c>
      <c r="W15" s="2">
        <v>411</v>
      </c>
      <c r="X15" s="2">
        <v>7392157.165545404</v>
      </c>
      <c r="Y15" s="30">
        <v>527</v>
      </c>
      <c r="Z15" s="30">
        <v>2436018.75</v>
      </c>
      <c r="AA15" s="30">
        <f t="shared" si="0"/>
        <v>9828175.915545404</v>
      </c>
      <c r="AB15" s="127">
        <f t="shared" si="1"/>
        <v>757.40657744708949</v>
      </c>
      <c r="AC15" s="133">
        <v>0</v>
      </c>
      <c r="AD15" s="2">
        <v>0</v>
      </c>
      <c r="AE15" s="2">
        <v>100</v>
      </c>
      <c r="AF15" s="2">
        <v>12</v>
      </c>
      <c r="AG15" s="2">
        <f t="shared" si="2"/>
        <v>112</v>
      </c>
      <c r="AH15" s="2">
        <v>1393500</v>
      </c>
      <c r="AI15" s="42">
        <f t="shared" si="3"/>
        <v>107.38982235789055</v>
      </c>
      <c r="AJ15" s="142">
        <v>365.5</v>
      </c>
      <c r="AK15" s="2">
        <v>3252950</v>
      </c>
      <c r="AL15" s="38">
        <f t="shared" si="4"/>
        <v>250.68799615292434</v>
      </c>
      <c r="AM15" s="6"/>
    </row>
    <row r="16" spans="1:39" x14ac:dyDescent="0.35">
      <c r="A16" s="32"/>
      <c r="B16" s="57">
        <v>5</v>
      </c>
      <c r="C16" s="149">
        <v>16</v>
      </c>
      <c r="D16" s="151">
        <v>140</v>
      </c>
      <c r="E16" s="105">
        <v>10960.000000000036</v>
      </c>
      <c r="F16" s="2">
        <v>11919756.240000041</v>
      </c>
      <c r="G16" s="34">
        <v>2400.0000000000341</v>
      </c>
      <c r="H16" s="2">
        <v>3915248.4000000558</v>
      </c>
      <c r="I16" s="102">
        <f t="shared" si="5"/>
        <v>15835004.640000097</v>
      </c>
      <c r="J16" s="105">
        <v>1460.000000000008</v>
      </c>
      <c r="K16" s="2">
        <v>1587850.7400000086</v>
      </c>
      <c r="L16" s="186">
        <v>399.99999999999147</v>
      </c>
      <c r="M16" s="187">
        <v>652541.39999998605</v>
      </c>
      <c r="N16" s="93">
        <f t="shared" si="6"/>
        <v>2240392.1399999945</v>
      </c>
      <c r="O16" s="107">
        <f t="shared" si="7"/>
        <v>18075396.780000091</v>
      </c>
      <c r="P16" s="110">
        <f t="shared" si="8"/>
        <v>15220.000000000069</v>
      </c>
      <c r="Q16" s="191"/>
      <c r="R16" s="202"/>
      <c r="S16" s="215"/>
      <c r="T16" s="212"/>
      <c r="U16" s="210">
        <v>0</v>
      </c>
      <c r="V16" s="188">
        <f t="shared" si="9"/>
        <v>892</v>
      </c>
      <c r="W16" s="2">
        <v>395</v>
      </c>
      <c r="X16" s="2">
        <v>7104384.623821009</v>
      </c>
      <c r="Y16" s="30">
        <v>497</v>
      </c>
      <c r="Z16" s="30">
        <v>2297345.9558823528</v>
      </c>
      <c r="AA16" s="30">
        <f t="shared" si="0"/>
        <v>9401730.5797033608</v>
      </c>
      <c r="AB16" s="127">
        <f t="shared" si="1"/>
        <v>724.54264572019463</v>
      </c>
      <c r="AC16" s="133">
        <v>0</v>
      </c>
      <c r="AD16" s="2">
        <v>0</v>
      </c>
      <c r="AE16" s="2">
        <v>100</v>
      </c>
      <c r="AF16" s="2">
        <v>12</v>
      </c>
      <c r="AG16" s="2">
        <f t="shared" si="2"/>
        <v>112</v>
      </c>
      <c r="AH16" s="2">
        <v>1393500</v>
      </c>
      <c r="AI16" s="42">
        <f t="shared" si="3"/>
        <v>107.38982235789055</v>
      </c>
      <c r="AJ16" s="142">
        <v>426.2</v>
      </c>
      <c r="AK16" s="2">
        <v>3793180</v>
      </c>
      <c r="AL16" s="38">
        <f t="shared" si="4"/>
        <v>292.32072218981216</v>
      </c>
      <c r="AM16" s="6"/>
    </row>
    <row r="17" spans="1:39" x14ac:dyDescent="0.35">
      <c r="A17" s="32"/>
      <c r="B17" s="57">
        <v>6</v>
      </c>
      <c r="C17" s="149">
        <v>8</v>
      </c>
      <c r="D17" s="151">
        <v>139</v>
      </c>
      <c r="E17" s="105">
        <v>11559.999999999945</v>
      </c>
      <c r="F17" s="2">
        <v>12572297.639999941</v>
      </c>
      <c r="G17" s="34">
        <v>2319.9999999999932</v>
      </c>
      <c r="H17" s="2">
        <v>3784740.1199999894</v>
      </c>
      <c r="I17" s="102">
        <f t="shared" si="5"/>
        <v>16357037.759999931</v>
      </c>
      <c r="J17" s="105">
        <v>1580.0000000000125</v>
      </c>
      <c r="K17" s="2">
        <v>1718359.0200000138</v>
      </c>
      <c r="L17" s="186">
        <v>439.99999999999773</v>
      </c>
      <c r="M17" s="187">
        <v>717795.53999999631</v>
      </c>
      <c r="N17" s="93">
        <f t="shared" si="6"/>
        <v>2436154.5600000098</v>
      </c>
      <c r="O17" s="107">
        <f t="shared" si="7"/>
        <v>18793192.319999941</v>
      </c>
      <c r="P17" s="110">
        <f t="shared" si="8"/>
        <v>15899.999999999949</v>
      </c>
      <c r="Q17" s="191"/>
      <c r="R17" s="202"/>
      <c r="S17" s="215"/>
      <c r="T17" s="212"/>
      <c r="U17" s="210">
        <v>0</v>
      </c>
      <c r="V17" s="188">
        <f t="shared" si="9"/>
        <v>895</v>
      </c>
      <c r="W17" s="2">
        <v>323</v>
      </c>
      <c r="X17" s="2">
        <v>5809408.1860612305</v>
      </c>
      <c r="Y17" s="30">
        <v>572</v>
      </c>
      <c r="Z17" s="30">
        <v>2644027.9411764704</v>
      </c>
      <c r="AA17" s="30">
        <f t="shared" si="0"/>
        <v>8453436.1272376999</v>
      </c>
      <c r="AB17" s="127">
        <f t="shared" si="1"/>
        <v>651.46250736837521</v>
      </c>
      <c r="AC17" s="133">
        <v>0</v>
      </c>
      <c r="AD17" s="2">
        <v>0</v>
      </c>
      <c r="AE17" s="2">
        <v>100</v>
      </c>
      <c r="AF17" s="2">
        <v>0</v>
      </c>
      <c r="AG17" s="2">
        <f t="shared" si="2"/>
        <v>100</v>
      </c>
      <c r="AH17" s="2">
        <v>1256000</v>
      </c>
      <c r="AI17" s="42">
        <f t="shared" si="3"/>
        <v>96.793410033376773</v>
      </c>
      <c r="AJ17" s="142">
        <v>481.6</v>
      </c>
      <c r="AK17" s="2">
        <v>4286240</v>
      </c>
      <c r="AL17" s="38">
        <f t="shared" si="4"/>
        <v>330.31830081326501</v>
      </c>
      <c r="AM17" s="6"/>
    </row>
    <row r="18" spans="1:39" x14ac:dyDescent="0.35">
      <c r="A18" s="32"/>
      <c r="B18" s="57">
        <v>7</v>
      </c>
      <c r="C18" s="149">
        <v>5</v>
      </c>
      <c r="D18" s="151">
        <v>66</v>
      </c>
      <c r="E18" s="105">
        <v>10920.000000000073</v>
      </c>
      <c r="F18" s="2">
        <v>11876253.480000081</v>
      </c>
      <c r="G18" s="34">
        <v>2240.0000000000091</v>
      </c>
      <c r="H18" s="2">
        <v>3654231.8400000152</v>
      </c>
      <c r="I18" s="102">
        <f t="shared" si="5"/>
        <v>15530485.320000095</v>
      </c>
      <c r="J18" s="105">
        <v>1759.9999999999909</v>
      </c>
      <c r="K18" s="2">
        <v>1914121.4399999902</v>
      </c>
      <c r="L18" s="186">
        <v>380.00000000000966</v>
      </c>
      <c r="M18" s="187">
        <v>619914.33000001579</v>
      </c>
      <c r="N18" s="93">
        <f t="shared" si="6"/>
        <v>2534035.7700000061</v>
      </c>
      <c r="O18" s="107">
        <f t="shared" si="7"/>
        <v>18064521.0900001</v>
      </c>
      <c r="P18" s="110">
        <f t="shared" si="8"/>
        <v>15300.000000000082</v>
      </c>
      <c r="Q18" s="191"/>
      <c r="R18" s="202"/>
      <c r="S18" s="215"/>
      <c r="T18" s="212"/>
      <c r="U18" s="210">
        <v>0</v>
      </c>
      <c r="V18" s="188">
        <f t="shared" si="9"/>
        <v>916</v>
      </c>
      <c r="W18" s="2">
        <v>383</v>
      </c>
      <c r="X18" s="2">
        <v>6888555.2175277127</v>
      </c>
      <c r="Y18" s="30">
        <v>533</v>
      </c>
      <c r="Z18" s="30">
        <v>2463753.3088235292</v>
      </c>
      <c r="AA18" s="30">
        <f t="shared" si="0"/>
        <v>9352308.5263512414</v>
      </c>
      <c r="AB18" s="127">
        <f t="shared" si="1"/>
        <v>720.73394422751699</v>
      </c>
      <c r="AC18" s="133">
        <v>0</v>
      </c>
      <c r="AD18" s="2">
        <v>0</v>
      </c>
      <c r="AE18" s="2">
        <v>50</v>
      </c>
      <c r="AF18" s="2">
        <v>0</v>
      </c>
      <c r="AG18" s="2">
        <f t="shared" si="2"/>
        <v>50</v>
      </c>
      <c r="AH18" s="2">
        <v>628000</v>
      </c>
      <c r="AI18" s="42">
        <f t="shared" si="3"/>
        <v>48.396705016688387</v>
      </c>
      <c r="AJ18" s="142">
        <v>367.7</v>
      </c>
      <c r="AK18" s="2">
        <v>3272530</v>
      </c>
      <c r="AL18" s="38">
        <f t="shared" si="4"/>
        <v>252.19692526793509</v>
      </c>
      <c r="AM18" s="6"/>
    </row>
    <row r="19" spans="1:39" x14ac:dyDescent="0.35">
      <c r="A19" s="32"/>
      <c r="B19" s="57">
        <v>8</v>
      </c>
      <c r="C19" s="149">
        <v>3</v>
      </c>
      <c r="D19" s="151">
        <v>53</v>
      </c>
      <c r="E19" s="105">
        <v>10600.000000000364</v>
      </c>
      <c r="F19" s="2">
        <v>11528231.400000395</v>
      </c>
      <c r="G19" s="34">
        <v>2159.9999999999682</v>
      </c>
      <c r="H19" s="2">
        <v>3523723.5599999484</v>
      </c>
      <c r="I19" s="102">
        <f t="shared" si="5"/>
        <v>15051954.960000344</v>
      </c>
      <c r="J19" s="105">
        <v>1480.0000000000182</v>
      </c>
      <c r="K19" s="2">
        <v>1609602.1200000197</v>
      </c>
      <c r="L19" s="186">
        <v>339.9999999999892</v>
      </c>
      <c r="M19" s="187">
        <v>554660.18999998237</v>
      </c>
      <c r="N19" s="93">
        <f t="shared" si="6"/>
        <v>2164262.3100000019</v>
      </c>
      <c r="O19" s="107">
        <f t="shared" si="7"/>
        <v>17216217.270000346</v>
      </c>
      <c r="P19" s="110">
        <f t="shared" si="8"/>
        <v>14580.000000000338</v>
      </c>
      <c r="Q19" s="191"/>
      <c r="R19" s="202"/>
      <c r="S19" s="215"/>
      <c r="T19" s="212"/>
      <c r="U19" s="210">
        <v>0</v>
      </c>
      <c r="V19" s="188">
        <f t="shared" si="9"/>
        <v>936</v>
      </c>
      <c r="W19" s="2">
        <v>321</v>
      </c>
      <c r="X19" s="2">
        <v>5773436.6183456806</v>
      </c>
      <c r="Y19" s="30">
        <v>615</v>
      </c>
      <c r="Z19" s="30">
        <v>2842792.2794117648</v>
      </c>
      <c r="AA19" s="30">
        <f t="shared" si="0"/>
        <v>8616228.8977574445</v>
      </c>
      <c r="AB19" s="127">
        <f t="shared" si="1"/>
        <v>664.00810242202726</v>
      </c>
      <c r="AC19" s="133">
        <v>0</v>
      </c>
      <c r="AD19" s="2">
        <v>0</v>
      </c>
      <c r="AE19" s="2">
        <v>50</v>
      </c>
      <c r="AF19" s="2">
        <v>0</v>
      </c>
      <c r="AG19" s="2">
        <f t="shared" si="2"/>
        <v>50</v>
      </c>
      <c r="AH19" s="2">
        <v>628000</v>
      </c>
      <c r="AI19" s="42">
        <f t="shared" si="3"/>
        <v>48.396705016688387</v>
      </c>
      <c r="AJ19" s="142">
        <v>351.3</v>
      </c>
      <c r="AK19" s="2">
        <v>3126570</v>
      </c>
      <c r="AL19" s="38">
        <f t="shared" si="4"/>
        <v>240.94854459240034</v>
      </c>
      <c r="AM19" s="6"/>
    </row>
    <row r="20" spans="1:39" x14ac:dyDescent="0.35">
      <c r="A20" s="32"/>
      <c r="B20" s="57">
        <v>9</v>
      </c>
      <c r="C20" s="149">
        <v>3</v>
      </c>
      <c r="D20" s="151">
        <v>66</v>
      </c>
      <c r="E20" s="105">
        <v>10039.999999999964</v>
      </c>
      <c r="F20" s="2">
        <v>10919192.759999961</v>
      </c>
      <c r="G20" s="34">
        <v>2120.0000000000045</v>
      </c>
      <c r="H20" s="2">
        <v>3458469.4200000078</v>
      </c>
      <c r="I20" s="102">
        <f t="shared" si="5"/>
        <v>14377662.179999968</v>
      </c>
      <c r="J20" s="105">
        <v>1339.999999999975</v>
      </c>
      <c r="K20" s="2">
        <v>1457342.459999973</v>
      </c>
      <c r="L20" s="186">
        <v>380.00000000000966</v>
      </c>
      <c r="M20" s="187">
        <v>619914.33000001579</v>
      </c>
      <c r="N20" s="93">
        <f t="shared" si="6"/>
        <v>2077256.7899999889</v>
      </c>
      <c r="O20" s="107">
        <f t="shared" si="7"/>
        <v>16454918.969999958</v>
      </c>
      <c r="P20" s="110">
        <f t="shared" si="8"/>
        <v>13879.999999999953</v>
      </c>
      <c r="Q20" s="191"/>
      <c r="R20" s="202"/>
      <c r="S20" s="215"/>
      <c r="T20" s="212"/>
      <c r="U20" s="210">
        <v>0</v>
      </c>
      <c r="V20" s="188">
        <f t="shared" si="9"/>
        <v>910</v>
      </c>
      <c r="W20" s="2">
        <v>343</v>
      </c>
      <c r="X20" s="2">
        <v>6169123.8632167242</v>
      </c>
      <c r="Y20" s="30">
        <v>567</v>
      </c>
      <c r="Z20" s="30">
        <v>2620915.8088235292</v>
      </c>
      <c r="AA20" s="30">
        <f t="shared" si="0"/>
        <v>8790039.6720402539</v>
      </c>
      <c r="AB20" s="127">
        <f t="shared" si="1"/>
        <v>677.40279791834473</v>
      </c>
      <c r="AC20" s="133">
        <v>0</v>
      </c>
      <c r="AD20" s="2">
        <v>0</v>
      </c>
      <c r="AE20" s="2">
        <v>50</v>
      </c>
      <c r="AF20" s="2">
        <v>0</v>
      </c>
      <c r="AG20" s="2">
        <f t="shared" si="2"/>
        <v>50</v>
      </c>
      <c r="AH20" s="2">
        <v>628000</v>
      </c>
      <c r="AI20" s="42">
        <f t="shared" si="3"/>
        <v>48.396705016688387</v>
      </c>
      <c r="AJ20" s="142">
        <v>363.4</v>
      </c>
      <c r="AK20" s="2">
        <v>3234260</v>
      </c>
      <c r="AL20" s="38">
        <f t="shared" si="4"/>
        <v>249.24765472495952</v>
      </c>
      <c r="AM20" s="6"/>
    </row>
    <row r="21" spans="1:39" x14ac:dyDescent="0.35">
      <c r="A21" s="32"/>
      <c r="B21" s="57">
        <v>10</v>
      </c>
      <c r="C21" s="149">
        <v>6</v>
      </c>
      <c r="D21" s="151">
        <v>104</v>
      </c>
      <c r="E21" s="105">
        <v>11000</v>
      </c>
      <c r="F21" s="2">
        <v>11963259</v>
      </c>
      <c r="G21" s="34">
        <v>2280.0000000000296</v>
      </c>
      <c r="H21" s="2">
        <v>3719485.9800000489</v>
      </c>
      <c r="I21" s="102">
        <f t="shared" si="5"/>
        <v>15682744.980000049</v>
      </c>
      <c r="J21" s="105">
        <v>1420.0000000000159</v>
      </c>
      <c r="K21" s="2">
        <v>1544347.9800000172</v>
      </c>
      <c r="L21" s="186">
        <v>399.99999999999147</v>
      </c>
      <c r="M21" s="187">
        <v>652541.39999998605</v>
      </c>
      <c r="N21" s="93">
        <f t="shared" si="6"/>
        <v>2196889.3800000031</v>
      </c>
      <c r="O21" s="107">
        <f t="shared" si="7"/>
        <v>17879634.360000052</v>
      </c>
      <c r="P21" s="110">
        <f t="shared" si="8"/>
        <v>15100.000000000036</v>
      </c>
      <c r="Q21" s="191"/>
      <c r="R21" s="202"/>
      <c r="S21" s="215"/>
      <c r="T21" s="212"/>
      <c r="U21" s="210">
        <v>0</v>
      </c>
      <c r="V21" s="188">
        <f t="shared" si="9"/>
        <v>938</v>
      </c>
      <c r="W21" s="2">
        <v>325</v>
      </c>
      <c r="X21" s="2">
        <v>5845379.7537767794</v>
      </c>
      <c r="Y21" s="30">
        <v>613</v>
      </c>
      <c r="Z21" s="30">
        <v>2833547.426470588</v>
      </c>
      <c r="AA21" s="30">
        <f t="shared" si="0"/>
        <v>8678927.1802473664</v>
      </c>
      <c r="AB21" s="127">
        <f t="shared" si="1"/>
        <v>668.83993408240588</v>
      </c>
      <c r="AC21" s="133">
        <v>0</v>
      </c>
      <c r="AD21" s="2">
        <v>0</v>
      </c>
      <c r="AE21" s="2">
        <v>50</v>
      </c>
      <c r="AF21" s="2">
        <v>0</v>
      </c>
      <c r="AG21" s="2">
        <f t="shared" si="2"/>
        <v>50</v>
      </c>
      <c r="AH21" s="2">
        <v>628000</v>
      </c>
      <c r="AI21" s="42">
        <f t="shared" si="3"/>
        <v>48.396705016688387</v>
      </c>
      <c r="AJ21" s="142">
        <v>410.4</v>
      </c>
      <c r="AK21" s="2">
        <v>3652560</v>
      </c>
      <c r="AL21" s="38">
        <f t="shared" si="4"/>
        <v>281.4838676365531</v>
      </c>
      <c r="AM21" s="6"/>
    </row>
    <row r="22" spans="1:39" x14ac:dyDescent="0.35">
      <c r="A22" s="32"/>
      <c r="B22" s="57">
        <v>11</v>
      </c>
      <c r="C22" s="149">
        <v>9</v>
      </c>
      <c r="D22" s="151">
        <v>101</v>
      </c>
      <c r="E22" s="105">
        <v>11079.999999999927</v>
      </c>
      <c r="F22" s="2">
        <v>12050264.519999921</v>
      </c>
      <c r="G22" s="34">
        <v>2319.9999999999932</v>
      </c>
      <c r="H22" s="2">
        <v>3784740.1199999894</v>
      </c>
      <c r="I22" s="102">
        <f t="shared" si="5"/>
        <v>15835004.639999911</v>
      </c>
      <c r="J22" s="105">
        <v>1379.9999999999955</v>
      </c>
      <c r="K22" s="2">
        <v>1500845.2199999951</v>
      </c>
      <c r="L22" s="186">
        <v>380.00000000000966</v>
      </c>
      <c r="M22" s="187">
        <v>619914.33000001579</v>
      </c>
      <c r="N22" s="93">
        <f t="shared" si="6"/>
        <v>2120759.550000011</v>
      </c>
      <c r="O22" s="107">
        <f t="shared" si="7"/>
        <v>17955764.189999923</v>
      </c>
      <c r="P22" s="110">
        <f t="shared" si="8"/>
        <v>15159.999999999925</v>
      </c>
      <c r="Q22" s="191"/>
      <c r="R22" s="202"/>
      <c r="S22" s="215"/>
      <c r="T22" s="212"/>
      <c r="U22" s="210">
        <v>0</v>
      </c>
      <c r="V22" s="188">
        <f t="shared" si="9"/>
        <v>1011</v>
      </c>
      <c r="W22" s="2">
        <v>387</v>
      </c>
      <c r="X22" s="2">
        <v>6960498.3529588114</v>
      </c>
      <c r="Y22" s="30">
        <v>624</v>
      </c>
      <c r="Z22" s="30">
        <v>2884394.1176470588</v>
      </c>
      <c r="AA22" s="30">
        <f t="shared" si="0"/>
        <v>9844892.4706058707</v>
      </c>
      <c r="AB22" s="127">
        <f t="shared" si="1"/>
        <v>758.69483570211605</v>
      </c>
      <c r="AC22" s="133">
        <v>0</v>
      </c>
      <c r="AD22" s="2">
        <v>0</v>
      </c>
      <c r="AE22" s="2">
        <v>50</v>
      </c>
      <c r="AF22" s="2">
        <v>0</v>
      </c>
      <c r="AG22" s="2">
        <f t="shared" si="2"/>
        <v>50</v>
      </c>
      <c r="AH22" s="2">
        <v>628000</v>
      </c>
      <c r="AI22" s="42">
        <f t="shared" si="3"/>
        <v>48.396705016688387</v>
      </c>
      <c r="AJ22" s="142">
        <v>427.8</v>
      </c>
      <c r="AK22" s="2">
        <v>3807420</v>
      </c>
      <c r="AL22" s="38">
        <f t="shared" si="4"/>
        <v>293.41812518254727</v>
      </c>
      <c r="AM22" s="6"/>
    </row>
    <row r="23" spans="1:39" x14ac:dyDescent="0.35">
      <c r="A23" s="32"/>
      <c r="B23" s="57">
        <v>12</v>
      </c>
      <c r="C23" s="149">
        <v>11</v>
      </c>
      <c r="D23" s="151">
        <v>148</v>
      </c>
      <c r="E23" s="105">
        <v>11199.999999999818</v>
      </c>
      <c r="F23" s="2">
        <v>12180772.799999803</v>
      </c>
      <c r="G23" s="34">
        <v>2319.9999999999932</v>
      </c>
      <c r="H23" s="2">
        <v>3784740.1199999894</v>
      </c>
      <c r="I23" s="102">
        <f t="shared" si="5"/>
        <v>15965512.919999793</v>
      </c>
      <c r="J23" s="105">
        <v>1480.0000000000182</v>
      </c>
      <c r="K23" s="2">
        <v>1609602.1200000197</v>
      </c>
      <c r="L23" s="186">
        <v>399.99999999999147</v>
      </c>
      <c r="M23" s="187">
        <v>652541.39999998605</v>
      </c>
      <c r="N23" s="93">
        <f t="shared" si="6"/>
        <v>2262143.5200000056</v>
      </c>
      <c r="O23" s="107">
        <f t="shared" si="7"/>
        <v>18227656.4399998</v>
      </c>
      <c r="P23" s="110">
        <f t="shared" si="8"/>
        <v>15399.999999999822</v>
      </c>
      <c r="Q23" s="191"/>
      <c r="R23" s="202"/>
      <c r="S23" s="215"/>
      <c r="T23" s="212"/>
      <c r="U23" s="210">
        <v>0</v>
      </c>
      <c r="V23" s="188">
        <f t="shared" si="9"/>
        <v>1020</v>
      </c>
      <c r="W23" s="2">
        <v>407</v>
      </c>
      <c r="X23" s="2">
        <v>7320214.0301143052</v>
      </c>
      <c r="Y23" s="30">
        <v>613</v>
      </c>
      <c r="Z23" s="30">
        <v>2833547.426470588</v>
      </c>
      <c r="AA23" s="30">
        <f t="shared" si="0"/>
        <v>10153761.456584893</v>
      </c>
      <c r="AB23" s="127">
        <f t="shared" si="1"/>
        <v>782.4977675543937</v>
      </c>
      <c r="AC23" s="133">
        <v>0</v>
      </c>
      <c r="AD23" s="2">
        <v>0</v>
      </c>
      <c r="AE23" s="2">
        <v>100</v>
      </c>
      <c r="AF23" s="2">
        <v>12</v>
      </c>
      <c r="AG23" s="2">
        <f t="shared" si="2"/>
        <v>112</v>
      </c>
      <c r="AH23" s="2">
        <v>1393500</v>
      </c>
      <c r="AI23" s="42">
        <f t="shared" si="3"/>
        <v>107.38982235789055</v>
      </c>
      <c r="AJ23" s="142">
        <v>324.8</v>
      </c>
      <c r="AK23" s="2">
        <v>2890720</v>
      </c>
      <c r="AL23" s="38">
        <f t="shared" si="4"/>
        <v>222.77280752522523</v>
      </c>
      <c r="AM23" s="6"/>
    </row>
    <row r="24" spans="1:39" x14ac:dyDescent="0.35">
      <c r="A24" s="32"/>
      <c r="B24" s="57">
        <v>13</v>
      </c>
      <c r="C24" s="149">
        <v>10</v>
      </c>
      <c r="D24" s="151">
        <v>154</v>
      </c>
      <c r="E24" s="105">
        <v>10880.000000000109</v>
      </c>
      <c r="F24" s="2">
        <v>11832750.720000118</v>
      </c>
      <c r="G24" s="34">
        <v>2360.0000000000136</v>
      </c>
      <c r="H24" s="2">
        <v>3849994.2600000221</v>
      </c>
      <c r="I24" s="102">
        <f t="shared" si="5"/>
        <v>15682744.98000014</v>
      </c>
      <c r="J24" s="105">
        <v>1419.9999999999591</v>
      </c>
      <c r="K24" s="2">
        <v>1544347.9799999555</v>
      </c>
      <c r="L24" s="186">
        <v>359.99999999999943</v>
      </c>
      <c r="M24" s="187">
        <v>587287.25999999908</v>
      </c>
      <c r="N24" s="93">
        <f t="shared" si="6"/>
        <v>2131635.2399999546</v>
      </c>
      <c r="O24" s="107">
        <f t="shared" si="7"/>
        <v>17814380.220000096</v>
      </c>
      <c r="P24" s="110">
        <f t="shared" si="8"/>
        <v>15020.000000000082</v>
      </c>
      <c r="Q24" s="191"/>
      <c r="R24" s="202"/>
      <c r="S24" s="215"/>
      <c r="T24" s="212"/>
      <c r="U24" s="210">
        <v>0</v>
      </c>
      <c r="V24" s="188">
        <f>Y24+W24</f>
        <v>995</v>
      </c>
      <c r="W24" s="2">
        <v>410</v>
      </c>
      <c r="X24" s="2">
        <v>7374171.38168763</v>
      </c>
      <c r="Y24" s="30">
        <v>585</v>
      </c>
      <c r="Z24" s="30">
        <v>2704119.4852941176</v>
      </c>
      <c r="AA24" s="30">
        <f t="shared" si="0"/>
        <v>10078290.866981748</v>
      </c>
      <c r="AB24" s="127">
        <f t="shared" si="1"/>
        <v>776.68164038487316</v>
      </c>
      <c r="AC24" s="133">
        <v>0</v>
      </c>
      <c r="AD24" s="2">
        <v>0</v>
      </c>
      <c r="AE24" s="2">
        <v>100</v>
      </c>
      <c r="AF24" s="2">
        <v>12</v>
      </c>
      <c r="AG24" s="2">
        <f t="shared" si="2"/>
        <v>112</v>
      </c>
      <c r="AH24" s="2">
        <v>1393500</v>
      </c>
      <c r="AI24" s="42">
        <f t="shared" si="3"/>
        <v>107.38982235789055</v>
      </c>
      <c r="AJ24" s="142">
        <v>370</v>
      </c>
      <c r="AK24" s="2">
        <v>3293000</v>
      </c>
      <c r="AL24" s="38">
        <f t="shared" si="4"/>
        <v>253.77444206999181</v>
      </c>
      <c r="AM24" s="6"/>
    </row>
    <row r="25" spans="1:39" x14ac:dyDescent="0.35">
      <c r="A25" s="32"/>
      <c r="B25" s="57">
        <v>14</v>
      </c>
      <c r="C25" s="149">
        <v>6</v>
      </c>
      <c r="D25" s="151">
        <v>118</v>
      </c>
      <c r="E25" s="105">
        <v>11440.000000000055</v>
      </c>
      <c r="F25" s="2">
        <v>12441789.360000061</v>
      </c>
      <c r="G25" s="34">
        <v>2279.9999999999727</v>
      </c>
      <c r="H25" s="2">
        <v>3719485.9799999557</v>
      </c>
      <c r="I25" s="102">
        <f t="shared" si="5"/>
        <v>16161275.340000017</v>
      </c>
      <c r="J25" s="105">
        <v>1340.0000000000318</v>
      </c>
      <c r="K25" s="2">
        <v>1457342.4600000347</v>
      </c>
      <c r="L25" s="186">
        <v>340.00000000000341</v>
      </c>
      <c r="M25" s="187">
        <v>554660.19000000553</v>
      </c>
      <c r="N25" s="93">
        <f t="shared" si="6"/>
        <v>2012002.6500000402</v>
      </c>
      <c r="O25" s="107">
        <f t="shared" si="7"/>
        <v>18173277.990000058</v>
      </c>
      <c r="P25" s="110">
        <f t="shared" si="8"/>
        <v>15400.000000000062</v>
      </c>
      <c r="Q25" s="191"/>
      <c r="R25" s="202"/>
      <c r="S25" s="215"/>
      <c r="T25" s="212"/>
      <c r="U25" s="210">
        <v>0</v>
      </c>
      <c r="V25" s="188">
        <f t="shared" si="9"/>
        <v>911</v>
      </c>
      <c r="W25" s="2">
        <v>340</v>
      </c>
      <c r="X25" s="2">
        <v>6115166.5116434004</v>
      </c>
      <c r="Y25" s="30">
        <v>571</v>
      </c>
      <c r="Z25" s="30">
        <v>2639405.5147058824</v>
      </c>
      <c r="AA25" s="30">
        <f t="shared" si="0"/>
        <v>8754572.0263492838</v>
      </c>
      <c r="AB25" s="127">
        <f t="shared" si="1"/>
        <v>674.66949029709906</v>
      </c>
      <c r="AC25" s="133">
        <v>0</v>
      </c>
      <c r="AD25" s="2">
        <v>0</v>
      </c>
      <c r="AE25" s="2">
        <v>100</v>
      </c>
      <c r="AF25" s="2">
        <v>0</v>
      </c>
      <c r="AG25" s="2">
        <f t="shared" si="2"/>
        <v>100</v>
      </c>
      <c r="AH25" s="2">
        <v>1256000</v>
      </c>
      <c r="AI25" s="42">
        <f t="shared" si="3"/>
        <v>96.793410033376773</v>
      </c>
      <c r="AJ25" s="142">
        <v>415.8</v>
      </c>
      <c r="AK25" s="2">
        <v>3700620</v>
      </c>
      <c r="AL25" s="38">
        <f t="shared" si="4"/>
        <v>285.18760273703401</v>
      </c>
      <c r="AM25" s="6"/>
    </row>
    <row r="26" spans="1:39" x14ac:dyDescent="0.35">
      <c r="A26" s="32"/>
      <c r="B26" s="57">
        <v>15</v>
      </c>
      <c r="C26" s="149">
        <v>4</v>
      </c>
      <c r="D26" s="151">
        <v>81</v>
      </c>
      <c r="E26" s="105">
        <v>10639.999999999873</v>
      </c>
      <c r="F26" s="2">
        <v>11571734.15999986</v>
      </c>
      <c r="G26" s="34">
        <v>2159.9999999999682</v>
      </c>
      <c r="H26" s="2">
        <v>3523723.5599999484</v>
      </c>
      <c r="I26" s="102">
        <f t="shared" si="5"/>
        <v>15095457.719999809</v>
      </c>
      <c r="J26" s="105">
        <v>1339.999999999975</v>
      </c>
      <c r="K26" s="2">
        <v>1457342.459999973</v>
      </c>
      <c r="L26" s="186">
        <v>359.99999999999943</v>
      </c>
      <c r="M26" s="187">
        <v>587287.25999999908</v>
      </c>
      <c r="N26" s="93">
        <f t="shared" si="6"/>
        <v>2044629.719999972</v>
      </c>
      <c r="O26" s="107">
        <f t="shared" si="7"/>
        <v>17140087.439999782</v>
      </c>
      <c r="P26" s="110">
        <f t="shared" si="8"/>
        <v>14499.999999999814</v>
      </c>
      <c r="Q26" s="191"/>
      <c r="R26" s="202"/>
      <c r="S26" s="215"/>
      <c r="T26" s="212"/>
      <c r="U26" s="210">
        <v>0</v>
      </c>
      <c r="V26" s="188">
        <f t="shared" si="9"/>
        <v>841</v>
      </c>
      <c r="W26" s="2">
        <v>356</v>
      </c>
      <c r="X26" s="2">
        <v>6402939.0533677954</v>
      </c>
      <c r="Y26" s="30">
        <v>485</v>
      </c>
      <c r="Z26" s="30">
        <v>2241876.838235294</v>
      </c>
      <c r="AA26" s="30">
        <f t="shared" si="0"/>
        <v>8644815.8916030899</v>
      </c>
      <c r="AB26" s="127">
        <f t="shared" si="1"/>
        <v>666.2111538686222</v>
      </c>
      <c r="AC26" s="133">
        <v>0</v>
      </c>
      <c r="AD26" s="2">
        <v>0</v>
      </c>
      <c r="AE26" s="2">
        <v>50</v>
      </c>
      <c r="AF26" s="2">
        <v>0</v>
      </c>
      <c r="AG26" s="2">
        <f t="shared" si="2"/>
        <v>50</v>
      </c>
      <c r="AH26" s="2">
        <v>628000</v>
      </c>
      <c r="AI26" s="42">
        <f t="shared" si="3"/>
        <v>48.396705016688387</v>
      </c>
      <c r="AJ26" s="142">
        <v>350.3</v>
      </c>
      <c r="AK26" s="2">
        <v>3117670</v>
      </c>
      <c r="AL26" s="38">
        <f t="shared" si="4"/>
        <v>240.26266772194089</v>
      </c>
      <c r="AM26" s="6"/>
    </row>
    <row r="27" spans="1:39" x14ac:dyDescent="0.35">
      <c r="A27" s="32"/>
      <c r="B27" s="57">
        <v>16</v>
      </c>
      <c r="C27" s="149">
        <v>3</v>
      </c>
      <c r="D27" s="151">
        <v>122</v>
      </c>
      <c r="E27" s="105">
        <v>11000</v>
      </c>
      <c r="F27" s="2">
        <v>11963259</v>
      </c>
      <c r="G27" s="34">
        <v>2160.0000000000819</v>
      </c>
      <c r="H27" s="2">
        <v>3523723.5600001337</v>
      </c>
      <c r="I27" s="102">
        <f t="shared" si="5"/>
        <v>15486982.560000133</v>
      </c>
      <c r="J27" s="105">
        <v>1319.9999999999932</v>
      </c>
      <c r="K27" s="2">
        <v>1435591.0799999926</v>
      </c>
      <c r="L27" s="186">
        <v>340.00000000000341</v>
      </c>
      <c r="M27" s="187">
        <v>554660.19000000553</v>
      </c>
      <c r="N27" s="93">
        <f t="shared" si="6"/>
        <v>1990251.2699999982</v>
      </c>
      <c r="O27" s="107">
        <f t="shared" si="7"/>
        <v>17477233.830000132</v>
      </c>
      <c r="P27" s="110">
        <f t="shared" si="8"/>
        <v>14820.000000000078</v>
      </c>
      <c r="Q27" s="191"/>
      <c r="R27" s="202"/>
      <c r="S27" s="215"/>
      <c r="T27" s="212"/>
      <c r="U27" s="210">
        <v>0</v>
      </c>
      <c r="V27" s="188">
        <f t="shared" si="9"/>
        <v>874</v>
      </c>
      <c r="W27" s="2">
        <v>346</v>
      </c>
      <c r="X27" s="2">
        <v>6223081.2147900481</v>
      </c>
      <c r="Y27" s="30">
        <v>528</v>
      </c>
      <c r="Z27" s="30">
        <v>2440641.176470588</v>
      </c>
      <c r="AA27" s="30">
        <f t="shared" si="0"/>
        <v>8663722.3912606351</v>
      </c>
      <c r="AB27" s="127">
        <f t="shared" si="1"/>
        <v>667.66817980305586</v>
      </c>
      <c r="AC27" s="133">
        <v>0</v>
      </c>
      <c r="AD27" s="2">
        <v>0</v>
      </c>
      <c r="AE27" s="2">
        <v>100</v>
      </c>
      <c r="AF27" s="2">
        <v>0</v>
      </c>
      <c r="AG27" s="2">
        <f t="shared" si="2"/>
        <v>100</v>
      </c>
      <c r="AH27" s="2">
        <v>1256000</v>
      </c>
      <c r="AI27" s="42">
        <f t="shared" si="3"/>
        <v>96.793410033376773</v>
      </c>
      <c r="AJ27" s="142">
        <v>325.3</v>
      </c>
      <c r="AK27" s="2">
        <v>2895170</v>
      </c>
      <c r="AL27" s="38">
        <f t="shared" si="4"/>
        <v>223.11574596045494</v>
      </c>
      <c r="AM27" s="6"/>
    </row>
    <row r="28" spans="1:39" x14ac:dyDescent="0.35">
      <c r="A28" s="32"/>
      <c r="B28" s="57">
        <v>17</v>
      </c>
      <c r="C28" s="149">
        <v>15</v>
      </c>
      <c r="D28" s="151">
        <v>121</v>
      </c>
      <c r="E28" s="105">
        <v>11519.999999999982</v>
      </c>
      <c r="F28" s="2">
        <v>12528794.87999998</v>
      </c>
      <c r="G28" s="34">
        <v>2319.9999999999363</v>
      </c>
      <c r="H28" s="2">
        <v>3784740.1199998963</v>
      </c>
      <c r="I28" s="102">
        <f t="shared" si="5"/>
        <v>16313534.999999877</v>
      </c>
      <c r="J28" s="105">
        <v>1280.0000000000296</v>
      </c>
      <c r="K28" s="2">
        <v>1392088.3200000322</v>
      </c>
      <c r="L28" s="186">
        <v>359.99999999999943</v>
      </c>
      <c r="M28" s="187">
        <v>587287.25999999908</v>
      </c>
      <c r="N28" s="93">
        <f t="shared" si="6"/>
        <v>1979375.5800000313</v>
      </c>
      <c r="O28" s="107">
        <f t="shared" si="7"/>
        <v>18292910.579999909</v>
      </c>
      <c r="P28" s="110">
        <f t="shared" si="8"/>
        <v>15479.999999999947</v>
      </c>
      <c r="Q28" s="191"/>
      <c r="R28" s="204"/>
      <c r="S28" s="215"/>
      <c r="T28" s="212"/>
      <c r="U28" s="210">
        <v>0</v>
      </c>
      <c r="V28" s="188">
        <f t="shared" si="9"/>
        <v>884</v>
      </c>
      <c r="W28" s="2">
        <v>424</v>
      </c>
      <c r="X28" s="2">
        <v>7625972.3556964751</v>
      </c>
      <c r="Y28" s="30">
        <v>460</v>
      </c>
      <c r="Z28" s="30">
        <v>2126316.176470588</v>
      </c>
      <c r="AA28" s="30">
        <f t="shared" si="0"/>
        <v>9752288.5321670622</v>
      </c>
      <c r="AB28" s="127">
        <f t="shared" si="1"/>
        <v>751.558330141596</v>
      </c>
      <c r="AC28" s="133">
        <v>0</v>
      </c>
      <c r="AD28" s="2">
        <v>0</v>
      </c>
      <c r="AE28" s="2">
        <v>100</v>
      </c>
      <c r="AF28" s="2">
        <v>12</v>
      </c>
      <c r="AG28" s="2">
        <f t="shared" si="2"/>
        <v>112</v>
      </c>
      <c r="AH28" s="2">
        <v>1393500</v>
      </c>
      <c r="AI28" s="42">
        <f t="shared" si="3"/>
        <v>107.38982235789055</v>
      </c>
      <c r="AJ28" s="142">
        <v>325.5</v>
      </c>
      <c r="AK28" s="2">
        <v>2896950</v>
      </c>
      <c r="AL28" s="38">
        <f t="shared" si="4"/>
        <v>223.25292133454684</v>
      </c>
      <c r="AM28" s="6"/>
    </row>
    <row r="29" spans="1:39" x14ac:dyDescent="0.35">
      <c r="A29" s="32"/>
      <c r="B29" s="57">
        <v>18</v>
      </c>
      <c r="C29" s="149">
        <v>15</v>
      </c>
      <c r="D29" s="151">
        <v>164</v>
      </c>
      <c r="E29" s="105">
        <v>10440.000000000055</v>
      </c>
      <c r="F29" s="2">
        <v>11354220.360000061</v>
      </c>
      <c r="G29" s="34">
        <v>2279.9999999999727</v>
      </c>
      <c r="H29" s="2">
        <v>3719485.9799999557</v>
      </c>
      <c r="I29" s="102">
        <f t="shared" si="5"/>
        <v>15073706.340000017</v>
      </c>
      <c r="J29" s="105">
        <v>1360.0000000000136</v>
      </c>
      <c r="K29" s="2">
        <v>1479093.8400000148</v>
      </c>
      <c r="L29" s="186">
        <v>399.99999999999147</v>
      </c>
      <c r="M29" s="187">
        <v>652541.39999998605</v>
      </c>
      <c r="N29" s="93">
        <f t="shared" si="6"/>
        <v>2131635.2400000007</v>
      </c>
      <c r="O29" s="107">
        <f t="shared" si="7"/>
        <v>17205341.580000017</v>
      </c>
      <c r="P29" s="110">
        <f t="shared" si="8"/>
        <v>14480.000000000033</v>
      </c>
      <c r="Q29" s="192"/>
      <c r="R29" s="205"/>
      <c r="S29" s="215"/>
      <c r="T29" s="212"/>
      <c r="U29" s="210">
        <v>0</v>
      </c>
      <c r="V29" s="188">
        <f t="shared" si="9"/>
        <v>884</v>
      </c>
      <c r="W29" s="2">
        <v>457</v>
      </c>
      <c r="X29" s="2">
        <v>8219503.223003041</v>
      </c>
      <c r="Y29" s="30">
        <v>427</v>
      </c>
      <c r="Z29" s="30">
        <v>1973776.1029411764</v>
      </c>
      <c r="AA29" s="30">
        <f t="shared" si="0"/>
        <v>10193279.325944217</v>
      </c>
      <c r="AB29" s="127">
        <f t="shared" si="1"/>
        <v>785.54320492106763</v>
      </c>
      <c r="AC29" s="133">
        <v>0</v>
      </c>
      <c r="AD29" s="2">
        <v>0</v>
      </c>
      <c r="AE29" s="2">
        <v>100</v>
      </c>
      <c r="AF29" s="2">
        <v>12</v>
      </c>
      <c r="AG29" s="2">
        <f t="shared" si="2"/>
        <v>112</v>
      </c>
      <c r="AH29" s="2">
        <v>1393500</v>
      </c>
      <c r="AI29" s="42">
        <f t="shared" si="3"/>
        <v>107.38982235789055</v>
      </c>
      <c r="AJ29" s="142">
        <v>394.1</v>
      </c>
      <c r="AK29" s="2">
        <v>3507490</v>
      </c>
      <c r="AL29" s="38">
        <f t="shared" si="4"/>
        <v>270.30407464806427</v>
      </c>
      <c r="AM29" s="6"/>
    </row>
    <row r="30" spans="1:39" x14ac:dyDescent="0.35">
      <c r="A30" s="32"/>
      <c r="B30" s="57">
        <v>19</v>
      </c>
      <c r="C30" s="149">
        <v>13</v>
      </c>
      <c r="D30" s="151">
        <v>185</v>
      </c>
      <c r="E30" s="105">
        <v>11400.000000000091</v>
      </c>
      <c r="F30" s="2">
        <v>12398286.600000098</v>
      </c>
      <c r="G30" s="34">
        <v>2440.0000000000546</v>
      </c>
      <c r="H30" s="2">
        <v>3980502.5400000894</v>
      </c>
      <c r="I30" s="102">
        <f t="shared" si="5"/>
        <v>16378789.140000187</v>
      </c>
      <c r="J30" s="105">
        <v>1459.9999999999795</v>
      </c>
      <c r="K30" s="2">
        <v>1587850.7399999779</v>
      </c>
      <c r="L30" s="186">
        <v>400.00000000000568</v>
      </c>
      <c r="M30" s="187">
        <v>652541.40000000934</v>
      </c>
      <c r="N30" s="93">
        <f t="shared" si="6"/>
        <v>2240392.1399999871</v>
      </c>
      <c r="O30" s="107">
        <f t="shared" si="7"/>
        <v>18619181.280000173</v>
      </c>
      <c r="P30" s="110">
        <f t="shared" si="8"/>
        <v>15700.000000000131</v>
      </c>
      <c r="Q30" s="191"/>
      <c r="R30" s="204"/>
      <c r="S30" s="215"/>
      <c r="T30" s="212"/>
      <c r="U30" s="210">
        <v>0</v>
      </c>
      <c r="V30" s="188">
        <f t="shared" si="9"/>
        <v>854</v>
      </c>
      <c r="W30" s="2">
        <v>388</v>
      </c>
      <c r="X30" s="2">
        <v>6978484.1368165864</v>
      </c>
      <c r="Y30" s="30">
        <v>466</v>
      </c>
      <c r="Z30" s="30">
        <v>2154050.7352941176</v>
      </c>
      <c r="AA30" s="30">
        <f t="shared" si="0"/>
        <v>9132534.872110704</v>
      </c>
      <c r="AB30" s="127">
        <f t="shared" si="1"/>
        <v>703.79712780280533</v>
      </c>
      <c r="AC30" s="133">
        <v>0</v>
      </c>
      <c r="AD30" s="2">
        <v>0</v>
      </c>
      <c r="AE30" s="2">
        <v>150</v>
      </c>
      <c r="AF30" s="2">
        <v>12</v>
      </c>
      <c r="AG30" s="2">
        <f t="shared" si="2"/>
        <v>162</v>
      </c>
      <c r="AH30" s="2">
        <v>2021500</v>
      </c>
      <c r="AI30" s="42">
        <f t="shared" si="3"/>
        <v>155.78652737457892</v>
      </c>
      <c r="AJ30" s="142">
        <v>375.7</v>
      </c>
      <c r="AK30" s="2">
        <v>3343730</v>
      </c>
      <c r="AL30" s="38">
        <f t="shared" si="4"/>
        <v>257.68394023161062</v>
      </c>
      <c r="AM30" s="6"/>
    </row>
    <row r="31" spans="1:39" x14ac:dyDescent="0.35">
      <c r="A31" s="32"/>
      <c r="B31" s="57">
        <v>20</v>
      </c>
      <c r="C31" s="149">
        <v>11</v>
      </c>
      <c r="D31" s="151">
        <v>193</v>
      </c>
      <c r="E31" s="105">
        <v>10639.999999999873</v>
      </c>
      <c r="F31" s="2">
        <v>11571734.15999986</v>
      </c>
      <c r="G31" s="34">
        <v>2279.9999999999727</v>
      </c>
      <c r="H31" s="2">
        <v>3719485.9799999557</v>
      </c>
      <c r="I31" s="102">
        <f t="shared" si="5"/>
        <v>15291220.139999816</v>
      </c>
      <c r="J31" s="105">
        <v>1579.9999999999841</v>
      </c>
      <c r="K31" s="2">
        <v>1718359.0199999826</v>
      </c>
      <c r="L31" s="186">
        <v>379.99999999999545</v>
      </c>
      <c r="M31" s="187">
        <v>619914.32999999262</v>
      </c>
      <c r="N31" s="93">
        <f t="shared" si="6"/>
        <v>2338273.3499999754</v>
      </c>
      <c r="O31" s="107">
        <f t="shared" si="7"/>
        <v>17629493.489999793</v>
      </c>
      <c r="P31" s="110">
        <f t="shared" si="8"/>
        <v>14879.999999999825</v>
      </c>
      <c r="Q31" s="192"/>
      <c r="R31" s="205"/>
      <c r="S31" s="215"/>
      <c r="T31" s="212"/>
      <c r="U31" s="210">
        <v>0</v>
      </c>
      <c r="V31" s="188">
        <f t="shared" si="9"/>
        <v>896</v>
      </c>
      <c r="W31" s="2">
        <v>384</v>
      </c>
      <c r="X31" s="2">
        <v>6906541.0013854876</v>
      </c>
      <c r="Y31" s="30">
        <v>512</v>
      </c>
      <c r="Z31" s="30">
        <v>2366682.3529411764</v>
      </c>
      <c r="AA31" s="30">
        <f t="shared" si="0"/>
        <v>9273223.3543266635</v>
      </c>
      <c r="AB31" s="127">
        <f t="shared" si="1"/>
        <v>714.63925992549866</v>
      </c>
      <c r="AC31" s="133">
        <v>0</v>
      </c>
      <c r="AD31" s="2">
        <v>0</v>
      </c>
      <c r="AE31" s="2">
        <v>150</v>
      </c>
      <c r="AF31" s="2">
        <v>0</v>
      </c>
      <c r="AG31" s="2">
        <f t="shared" si="2"/>
        <v>150</v>
      </c>
      <c r="AH31" s="2">
        <v>1884000</v>
      </c>
      <c r="AI31" s="42">
        <f t="shared" si="3"/>
        <v>145.19011505006515</v>
      </c>
      <c r="AJ31" s="142">
        <v>361.4</v>
      </c>
      <c r="AK31" s="2">
        <v>3216460</v>
      </c>
      <c r="AL31" s="38">
        <f t="shared" si="4"/>
        <v>247.87590098404064</v>
      </c>
      <c r="AM31" s="6"/>
    </row>
    <row r="32" spans="1:39" x14ac:dyDescent="0.35">
      <c r="A32" s="32"/>
      <c r="B32" s="57">
        <v>21</v>
      </c>
      <c r="C32" s="149">
        <v>9</v>
      </c>
      <c r="D32" s="151">
        <v>193</v>
      </c>
      <c r="E32" s="105">
        <v>11440.000000000055</v>
      </c>
      <c r="F32" s="2">
        <v>12441789.360000061</v>
      </c>
      <c r="G32" s="34">
        <v>2320.00000000005</v>
      </c>
      <c r="H32" s="2">
        <v>3784740.1200000816</v>
      </c>
      <c r="I32" s="102">
        <f t="shared" si="5"/>
        <v>16226529.480000142</v>
      </c>
      <c r="J32" s="105">
        <v>1379.9999999999955</v>
      </c>
      <c r="K32" s="2">
        <v>1500845.2199999951</v>
      </c>
      <c r="L32" s="186">
        <v>359.99999999999943</v>
      </c>
      <c r="M32" s="187">
        <v>587287.25999999908</v>
      </c>
      <c r="N32" s="93">
        <f>+K32+M32</f>
        <v>2088132.4799999942</v>
      </c>
      <c r="O32" s="107">
        <f t="shared" si="7"/>
        <v>18314661.960000135</v>
      </c>
      <c r="P32" s="110">
        <f t="shared" si="8"/>
        <v>15500.0000000001</v>
      </c>
      <c r="Q32" s="191"/>
      <c r="R32" s="203"/>
      <c r="S32" s="215"/>
      <c r="T32" s="212"/>
      <c r="U32" s="210">
        <v>0</v>
      </c>
      <c r="V32" s="188">
        <f t="shared" si="9"/>
        <v>892</v>
      </c>
      <c r="W32" s="2">
        <v>394</v>
      </c>
      <c r="X32" s="2">
        <v>7086398.839963234</v>
      </c>
      <c r="Y32" s="30">
        <v>498</v>
      </c>
      <c r="Z32" s="30">
        <v>2301968.3823529412</v>
      </c>
      <c r="AA32" s="30">
        <f t="shared" si="0"/>
        <v>9388367.2223161757</v>
      </c>
      <c r="AB32" s="127">
        <f t="shared" si="1"/>
        <v>723.51280102990779</v>
      </c>
      <c r="AC32" s="133">
        <v>0</v>
      </c>
      <c r="AD32" s="2">
        <v>0</v>
      </c>
      <c r="AE32" s="2">
        <v>150</v>
      </c>
      <c r="AF32" s="2">
        <v>0</v>
      </c>
      <c r="AG32" s="2">
        <f t="shared" ref="AG32:AG40" si="10">+AE32+AF32</f>
        <v>150</v>
      </c>
      <c r="AH32" s="2">
        <v>1884000</v>
      </c>
      <c r="AI32" s="42">
        <f t="shared" si="3"/>
        <v>145.19011505006515</v>
      </c>
      <c r="AJ32" s="142">
        <v>338</v>
      </c>
      <c r="AK32" s="2">
        <v>3008200</v>
      </c>
      <c r="AL32" s="38">
        <f t="shared" si="4"/>
        <v>231.82638221528981</v>
      </c>
      <c r="AM32" s="6"/>
    </row>
    <row r="33" spans="1:39" x14ac:dyDescent="0.35">
      <c r="A33" s="32"/>
      <c r="B33" s="57">
        <v>22</v>
      </c>
      <c r="C33" s="149">
        <v>12</v>
      </c>
      <c r="D33" s="151">
        <v>114</v>
      </c>
      <c r="E33" s="105">
        <v>10719.9999999998</v>
      </c>
      <c r="F33" s="2">
        <v>11658739.679999784</v>
      </c>
      <c r="G33" s="34">
        <v>2279.9999999999727</v>
      </c>
      <c r="H33" s="2">
        <v>3719485.9799999557</v>
      </c>
      <c r="I33" s="102">
        <f t="shared" si="5"/>
        <v>15378225.659999739</v>
      </c>
      <c r="J33" s="105">
        <v>1540.0000000000205</v>
      </c>
      <c r="K33" s="2">
        <v>1674856.2600000224</v>
      </c>
      <c r="L33" s="186">
        <v>359.99999999999943</v>
      </c>
      <c r="M33" s="187">
        <v>587287.25999999908</v>
      </c>
      <c r="N33" s="93">
        <f t="shared" si="6"/>
        <v>2262143.5200000214</v>
      </c>
      <c r="O33" s="107">
        <f t="shared" si="7"/>
        <v>17640369.179999761</v>
      </c>
      <c r="P33" s="110">
        <f t="shared" si="8"/>
        <v>14899.999999999793</v>
      </c>
      <c r="Q33" s="191"/>
      <c r="R33" s="204"/>
      <c r="S33" s="215"/>
      <c r="T33" s="212"/>
      <c r="U33" s="210">
        <v>0</v>
      </c>
      <c r="V33" s="188">
        <f t="shared" si="9"/>
        <v>907</v>
      </c>
      <c r="W33" s="2">
        <v>404</v>
      </c>
      <c r="X33" s="2">
        <v>7266256.6785409814</v>
      </c>
      <c r="Y33" s="30">
        <v>503</v>
      </c>
      <c r="Z33" s="30">
        <v>2325080.5147058824</v>
      </c>
      <c r="AA33" s="30">
        <f t="shared" si="0"/>
        <v>9591337.1932468638</v>
      </c>
      <c r="AB33" s="127">
        <f t="shared" si="1"/>
        <v>739.15464467700701</v>
      </c>
      <c r="AC33" s="133">
        <v>0</v>
      </c>
      <c r="AD33" s="2">
        <v>0</v>
      </c>
      <c r="AE33" s="2">
        <v>100</v>
      </c>
      <c r="AF33" s="2">
        <v>12</v>
      </c>
      <c r="AG33" s="2">
        <f t="shared" si="10"/>
        <v>112</v>
      </c>
      <c r="AH33" s="2">
        <v>1393500</v>
      </c>
      <c r="AI33" s="42">
        <f t="shared" si="3"/>
        <v>107.38982235789055</v>
      </c>
      <c r="AJ33" s="142">
        <v>359.7</v>
      </c>
      <c r="AK33" s="2">
        <v>3201330</v>
      </c>
      <c r="AL33" s="38">
        <f t="shared" si="4"/>
        <v>246.70991030425961</v>
      </c>
      <c r="AM33" s="6"/>
    </row>
    <row r="34" spans="1:39" x14ac:dyDescent="0.35">
      <c r="A34" s="32"/>
      <c r="B34" s="57">
        <v>23</v>
      </c>
      <c r="C34" s="149">
        <v>10</v>
      </c>
      <c r="D34" s="151">
        <v>138</v>
      </c>
      <c r="E34" s="105">
        <v>11560.0000000004</v>
      </c>
      <c r="F34" s="2">
        <v>12572297.640000435</v>
      </c>
      <c r="G34" s="34">
        <v>2360.0000000000136</v>
      </c>
      <c r="H34" s="2">
        <v>3849994.2600000221</v>
      </c>
      <c r="I34" s="102">
        <f t="shared" si="5"/>
        <v>16422291.900000457</v>
      </c>
      <c r="J34" s="105">
        <v>1379.9999999999955</v>
      </c>
      <c r="K34" s="2">
        <v>1500845.2199999951</v>
      </c>
      <c r="L34" s="186">
        <v>360.00000000001364</v>
      </c>
      <c r="M34" s="187">
        <v>587287.26000002224</v>
      </c>
      <c r="N34" s="93">
        <f t="shared" si="6"/>
        <v>2088132.4800000172</v>
      </c>
      <c r="O34" s="107">
        <f t="shared" si="7"/>
        <v>18510424.380000472</v>
      </c>
      <c r="P34" s="110">
        <f t="shared" si="8"/>
        <v>15660.000000000422</v>
      </c>
      <c r="Q34" s="192"/>
      <c r="R34" s="205"/>
      <c r="S34" s="215"/>
      <c r="T34" s="212"/>
      <c r="U34" s="210">
        <v>0</v>
      </c>
      <c r="V34" s="188">
        <f t="shared" si="9"/>
        <v>900</v>
      </c>
      <c r="W34" s="2">
        <v>399</v>
      </c>
      <c r="X34" s="2">
        <v>7176327.7592521077</v>
      </c>
      <c r="Y34" s="30">
        <v>501</v>
      </c>
      <c r="Z34" s="30">
        <v>2315835.661764706</v>
      </c>
      <c r="AA34" s="30">
        <f t="shared" si="0"/>
        <v>9492163.4210168142</v>
      </c>
      <c r="AB34" s="127">
        <f t="shared" si="1"/>
        <v>731.51183607826499</v>
      </c>
      <c r="AC34" s="133">
        <v>0</v>
      </c>
      <c r="AD34" s="2">
        <v>0</v>
      </c>
      <c r="AE34" s="2">
        <v>100</v>
      </c>
      <c r="AF34" s="2">
        <v>0</v>
      </c>
      <c r="AG34" s="2">
        <f t="shared" si="10"/>
        <v>100</v>
      </c>
      <c r="AH34" s="2">
        <v>1256000</v>
      </c>
      <c r="AI34" s="42">
        <f t="shared" si="3"/>
        <v>96.793410033376773</v>
      </c>
      <c r="AJ34" s="142">
        <v>386.25</v>
      </c>
      <c r="AK34" s="2">
        <v>3437625</v>
      </c>
      <c r="AL34" s="38">
        <f t="shared" si="4"/>
        <v>264.91994121495765</v>
      </c>
      <c r="AM34" s="6"/>
    </row>
    <row r="35" spans="1:39" x14ac:dyDescent="0.35">
      <c r="A35" s="32"/>
      <c r="B35" s="57">
        <v>24</v>
      </c>
      <c r="C35" s="149">
        <v>11</v>
      </c>
      <c r="D35" s="151">
        <v>101</v>
      </c>
      <c r="E35" s="105">
        <v>10559.999999999945</v>
      </c>
      <c r="F35" s="2">
        <v>11484728.639999941</v>
      </c>
      <c r="G35" s="34">
        <v>2200.0000000000455</v>
      </c>
      <c r="H35" s="2">
        <v>3588977.7000000747</v>
      </c>
      <c r="I35" s="102">
        <f t="shared" si="5"/>
        <v>15073706.340000015</v>
      </c>
      <c r="J35" s="105">
        <v>1360.0000000000136</v>
      </c>
      <c r="K35" s="2">
        <v>1479093.8400000148</v>
      </c>
      <c r="L35" s="186">
        <v>419.99999999998749</v>
      </c>
      <c r="M35" s="187">
        <v>685168.4699999796</v>
      </c>
      <c r="N35" s="93">
        <f t="shared" si="6"/>
        <v>2164262.3099999945</v>
      </c>
      <c r="O35" s="107">
        <f t="shared" si="7"/>
        <v>17237968.65000001</v>
      </c>
      <c r="P35" s="110">
        <f t="shared" si="8"/>
        <v>14539.999999999993</v>
      </c>
      <c r="Q35" s="191"/>
      <c r="R35" s="203"/>
      <c r="S35" s="215"/>
      <c r="T35" s="212"/>
      <c r="U35" s="210">
        <v>0</v>
      </c>
      <c r="V35" s="188">
        <f t="shared" si="9"/>
        <v>887</v>
      </c>
      <c r="W35" s="2">
        <v>342</v>
      </c>
      <c r="X35" s="2">
        <v>6151138.0793589493</v>
      </c>
      <c r="Y35" s="30">
        <v>545</v>
      </c>
      <c r="Z35" s="30">
        <v>2519222.426470588</v>
      </c>
      <c r="AA35" s="30">
        <f t="shared" si="0"/>
        <v>8670360.5058295373</v>
      </c>
      <c r="AB35" s="127">
        <f t="shared" si="1"/>
        <v>668.17974488690641</v>
      </c>
      <c r="AC35" s="133">
        <v>0</v>
      </c>
      <c r="AD35" s="2">
        <v>0</v>
      </c>
      <c r="AE35" s="2">
        <v>100</v>
      </c>
      <c r="AF35" s="2">
        <v>0</v>
      </c>
      <c r="AG35" s="2">
        <f t="shared" si="10"/>
        <v>100</v>
      </c>
      <c r="AH35" s="2">
        <v>1256000</v>
      </c>
      <c r="AI35" s="42">
        <f t="shared" si="3"/>
        <v>96.793410033376773</v>
      </c>
      <c r="AJ35" s="142">
        <v>346.56999999999971</v>
      </c>
      <c r="AK35" s="2">
        <v>3084472.9999999972</v>
      </c>
      <c r="AL35" s="38">
        <f t="shared" si="4"/>
        <v>237.70434699512697</v>
      </c>
      <c r="AM35" s="6"/>
    </row>
    <row r="36" spans="1:39" x14ac:dyDescent="0.35">
      <c r="A36" s="32"/>
      <c r="B36" s="57">
        <v>25</v>
      </c>
      <c r="C36" s="149">
        <v>20</v>
      </c>
      <c r="D36" s="151">
        <v>212</v>
      </c>
      <c r="E36" s="105">
        <v>11119.999999999891</v>
      </c>
      <c r="F36" s="2">
        <v>12093767.27999988</v>
      </c>
      <c r="G36" s="34">
        <v>2599.9999999999091</v>
      </c>
      <c r="H36" s="2">
        <v>4241519.0999998525</v>
      </c>
      <c r="I36" s="102">
        <f t="shared" si="5"/>
        <v>16335286.379999733</v>
      </c>
      <c r="J36" s="105">
        <v>1479.9999999999613</v>
      </c>
      <c r="K36" s="2">
        <v>1609602.119999958</v>
      </c>
      <c r="L36" s="186">
        <v>400.00000000000568</v>
      </c>
      <c r="M36" s="187">
        <v>652541.40000000934</v>
      </c>
      <c r="N36" s="93">
        <f t="shared" si="6"/>
        <v>2262143.5199999674</v>
      </c>
      <c r="O36" s="107">
        <f t="shared" si="7"/>
        <v>18597429.8999997</v>
      </c>
      <c r="P36" s="110">
        <f t="shared" si="8"/>
        <v>15599.999999999767</v>
      </c>
      <c r="Q36" s="191"/>
      <c r="R36" s="203"/>
      <c r="S36" s="215"/>
      <c r="T36" s="212"/>
      <c r="U36" s="210">
        <v>0</v>
      </c>
      <c r="V36" s="188">
        <f t="shared" si="9"/>
        <v>836</v>
      </c>
      <c r="W36" s="2">
        <v>365</v>
      </c>
      <c r="X36" s="2">
        <v>6564811.1080877678</v>
      </c>
      <c r="Y36" s="30">
        <v>471</v>
      </c>
      <c r="Z36" s="30">
        <v>2177162.8676470588</v>
      </c>
      <c r="AA36" s="30">
        <f t="shared" si="0"/>
        <v>8741973.9757348262</v>
      </c>
      <c r="AB36" s="127">
        <f t="shared" si="1"/>
        <v>673.69862383312898</v>
      </c>
      <c r="AC36" s="133">
        <v>0</v>
      </c>
      <c r="AD36" s="2">
        <v>0</v>
      </c>
      <c r="AE36" s="2">
        <v>150</v>
      </c>
      <c r="AF36" s="2">
        <v>24</v>
      </c>
      <c r="AG36" s="2">
        <f t="shared" si="10"/>
        <v>174</v>
      </c>
      <c r="AH36" s="2">
        <v>2159000</v>
      </c>
      <c r="AI36" s="42">
        <f t="shared" si="3"/>
        <v>166.3829396990927</v>
      </c>
      <c r="AJ36" s="142">
        <v>394.2</v>
      </c>
      <c r="AK36" s="2">
        <v>3508380</v>
      </c>
      <c r="AL36" s="38">
        <f t="shared" si="4"/>
        <v>270.37266233511019</v>
      </c>
      <c r="AM36" s="6"/>
    </row>
    <row r="37" spans="1:39" x14ac:dyDescent="0.35">
      <c r="A37" s="32"/>
      <c r="B37" s="57">
        <v>26</v>
      </c>
      <c r="C37" s="149">
        <v>24</v>
      </c>
      <c r="D37" s="151">
        <v>194</v>
      </c>
      <c r="E37" s="105">
        <v>10960.000000000036</v>
      </c>
      <c r="F37" s="2">
        <v>11919756.240000041</v>
      </c>
      <c r="G37" s="34">
        <v>2440.0000000000546</v>
      </c>
      <c r="H37" s="2">
        <v>3980502.5400000894</v>
      </c>
      <c r="I37" s="102">
        <f t="shared" si="5"/>
        <v>15900258.780000132</v>
      </c>
      <c r="J37" s="105">
        <v>1520.0000000000387</v>
      </c>
      <c r="K37" s="2">
        <v>1653104.880000042</v>
      </c>
      <c r="L37" s="186">
        <v>459.99999999999375</v>
      </c>
      <c r="M37" s="187">
        <v>750422.60999998986</v>
      </c>
      <c r="N37" s="93">
        <f t="shared" si="6"/>
        <v>2403527.4900000319</v>
      </c>
      <c r="O37" s="107">
        <f t="shared" si="7"/>
        <v>18303786.270000163</v>
      </c>
      <c r="P37" s="110">
        <f t="shared" si="8"/>
        <v>15380.000000000124</v>
      </c>
      <c r="Q37" s="191"/>
      <c r="R37" s="203"/>
      <c r="S37" s="215"/>
      <c r="T37" s="212"/>
      <c r="U37" s="210">
        <v>0</v>
      </c>
      <c r="V37" s="188">
        <f t="shared" si="9"/>
        <v>930</v>
      </c>
      <c r="W37" s="2">
        <v>422</v>
      </c>
      <c r="X37" s="2">
        <v>7590000.7879809262</v>
      </c>
      <c r="Y37" s="30">
        <v>508</v>
      </c>
      <c r="Z37" s="30">
        <v>2348192.6470588236</v>
      </c>
      <c r="AA37" s="30">
        <f t="shared" si="0"/>
        <v>9938193.4350397494</v>
      </c>
      <c r="AB37" s="127">
        <f t="shared" si="1"/>
        <v>765.88505744332451</v>
      </c>
      <c r="AC37" s="133">
        <v>0</v>
      </c>
      <c r="AD37" s="2">
        <v>0</v>
      </c>
      <c r="AE37" s="2">
        <v>150</v>
      </c>
      <c r="AF37" s="2">
        <v>24</v>
      </c>
      <c r="AG37" s="2">
        <f t="shared" si="10"/>
        <v>174</v>
      </c>
      <c r="AH37" s="2">
        <v>2159000</v>
      </c>
      <c r="AI37" s="42">
        <f t="shared" si="3"/>
        <v>166.3829396990927</v>
      </c>
      <c r="AJ37" s="142">
        <v>429.81999999999971</v>
      </c>
      <c r="AK37" s="2">
        <v>3825397.9999999972</v>
      </c>
      <c r="AL37" s="38">
        <f t="shared" si="4"/>
        <v>294.80359646087516</v>
      </c>
      <c r="AM37" s="6"/>
    </row>
    <row r="38" spans="1:39" x14ac:dyDescent="0.35">
      <c r="A38" s="32"/>
      <c r="B38" s="57">
        <v>27</v>
      </c>
      <c r="C38" s="149">
        <v>17</v>
      </c>
      <c r="D38" s="151">
        <v>216</v>
      </c>
      <c r="E38" s="105">
        <v>11639.999999999873</v>
      </c>
      <c r="F38" s="2">
        <v>12659303.15999986</v>
      </c>
      <c r="G38" s="34">
        <v>2360.0000000000136</v>
      </c>
      <c r="H38" s="2">
        <v>3849994.2600000221</v>
      </c>
      <c r="I38" s="102">
        <f t="shared" si="5"/>
        <v>16509297.419999883</v>
      </c>
      <c r="J38" s="105">
        <v>1519.9999999999818</v>
      </c>
      <c r="K38" s="2">
        <v>1653104.8799999803</v>
      </c>
      <c r="L38" s="186">
        <v>400.00000000000568</v>
      </c>
      <c r="M38" s="187">
        <v>652541.40000000934</v>
      </c>
      <c r="N38" s="93">
        <f t="shared" si="6"/>
        <v>2305646.2799999896</v>
      </c>
      <c r="O38" s="107">
        <f t="shared" si="7"/>
        <v>18814943.699999873</v>
      </c>
      <c r="P38" s="110">
        <f t="shared" si="8"/>
        <v>15919.999999999873</v>
      </c>
      <c r="Q38" s="191"/>
      <c r="R38" s="203"/>
      <c r="S38" s="215"/>
      <c r="T38" s="212"/>
      <c r="U38" s="210">
        <v>0</v>
      </c>
      <c r="V38" s="188">
        <f t="shared" si="9"/>
        <v>931</v>
      </c>
      <c r="W38" s="2">
        <v>328</v>
      </c>
      <c r="X38" s="2">
        <v>5899337.1053501032</v>
      </c>
      <c r="Y38" s="30">
        <v>603</v>
      </c>
      <c r="Z38" s="30">
        <v>2787323.1617647056</v>
      </c>
      <c r="AA38" s="30">
        <f t="shared" si="0"/>
        <v>8686660.2671148088</v>
      </c>
      <c r="AB38" s="127">
        <f t="shared" si="1"/>
        <v>669.43588300596014</v>
      </c>
      <c r="AC38" s="133">
        <v>0</v>
      </c>
      <c r="AD38" s="2">
        <v>0</v>
      </c>
      <c r="AE38" s="2">
        <v>150</v>
      </c>
      <c r="AF38" s="2">
        <v>12</v>
      </c>
      <c r="AG38" s="2">
        <f t="shared" si="10"/>
        <v>162</v>
      </c>
      <c r="AH38" s="2">
        <v>2021500</v>
      </c>
      <c r="AI38" s="42">
        <f t="shared" si="3"/>
        <v>155.78652737457892</v>
      </c>
      <c r="AJ38" s="142">
        <v>399.5</v>
      </c>
      <c r="AK38" s="2">
        <v>3555550</v>
      </c>
      <c r="AL38" s="38">
        <f t="shared" si="4"/>
        <v>274.00780974854518</v>
      </c>
      <c r="AM38" s="6"/>
    </row>
    <row r="39" spans="1:39" x14ac:dyDescent="0.35">
      <c r="A39" s="32"/>
      <c r="B39" s="57">
        <v>28</v>
      </c>
      <c r="C39" s="149">
        <v>13</v>
      </c>
      <c r="D39" s="151">
        <v>134</v>
      </c>
      <c r="E39" s="105">
        <v>11440.000000000055</v>
      </c>
      <c r="F39" s="2">
        <v>12441789.360000061</v>
      </c>
      <c r="G39" s="34">
        <v>2439.9999999999409</v>
      </c>
      <c r="H39" s="2">
        <v>3980502.5399999041</v>
      </c>
      <c r="I39" s="102">
        <f t="shared" si="5"/>
        <v>16422291.899999965</v>
      </c>
      <c r="J39" s="105">
        <v>1579.9999999999841</v>
      </c>
      <c r="K39" s="2">
        <v>1718359.0199999826</v>
      </c>
      <c r="L39" s="186">
        <v>379.99999999999545</v>
      </c>
      <c r="M39" s="187">
        <v>619914.32999999262</v>
      </c>
      <c r="N39" s="93">
        <f t="shared" si="6"/>
        <v>2338273.3499999754</v>
      </c>
      <c r="O39" s="107">
        <f t="shared" si="7"/>
        <v>18760565.24999994</v>
      </c>
      <c r="P39" s="110">
        <f t="shared" si="8"/>
        <v>15839.999999999975</v>
      </c>
      <c r="Q39" s="191"/>
      <c r="R39" s="206"/>
      <c r="S39" s="215"/>
      <c r="T39" s="212"/>
      <c r="U39" s="210">
        <v>0</v>
      </c>
      <c r="V39" s="188">
        <f t="shared" si="9"/>
        <v>917</v>
      </c>
      <c r="W39" s="2">
        <v>317</v>
      </c>
      <c r="X39" s="2">
        <v>5701493.4829145819</v>
      </c>
      <c r="Y39" s="30">
        <v>600</v>
      </c>
      <c r="Z39" s="30">
        <v>2773455.8823529412</v>
      </c>
      <c r="AA39" s="30">
        <f t="shared" si="0"/>
        <v>8474949.3652675226</v>
      </c>
      <c r="AB39" s="127">
        <f t="shared" si="1"/>
        <v>653.12042111818914</v>
      </c>
      <c r="AC39" s="133">
        <v>0</v>
      </c>
      <c r="AD39" s="2">
        <v>0</v>
      </c>
      <c r="AE39" s="2">
        <v>100</v>
      </c>
      <c r="AF39" s="2">
        <v>12</v>
      </c>
      <c r="AG39" s="2">
        <f t="shared" si="10"/>
        <v>112</v>
      </c>
      <c r="AH39" s="2">
        <v>1393500</v>
      </c>
      <c r="AI39" s="42">
        <f t="shared" si="3"/>
        <v>107.38982235789055</v>
      </c>
      <c r="AJ39" s="142">
        <v>339.5</v>
      </c>
      <c r="AK39" s="2">
        <v>3021550</v>
      </c>
      <c r="AL39" s="38">
        <f t="shared" si="4"/>
        <v>232.85519752097898</v>
      </c>
      <c r="AM39" s="6"/>
    </row>
    <row r="40" spans="1:39" x14ac:dyDescent="0.35">
      <c r="A40" s="32"/>
      <c r="B40" s="57">
        <v>29</v>
      </c>
      <c r="C40" s="149">
        <v>17</v>
      </c>
      <c r="D40" s="151">
        <v>163</v>
      </c>
      <c r="E40" s="105">
        <v>11519.999999999982</v>
      </c>
      <c r="F40" s="2">
        <v>12528794.87999998</v>
      </c>
      <c r="G40" s="34">
        <v>2360.0000000000136</v>
      </c>
      <c r="H40" s="2">
        <v>3849994.2600000221</v>
      </c>
      <c r="I40" s="102">
        <f t="shared" si="5"/>
        <v>16378789.140000002</v>
      </c>
      <c r="J40" s="105">
        <v>1480.0000000000182</v>
      </c>
      <c r="K40" s="2">
        <v>1609602.1200000197</v>
      </c>
      <c r="L40" s="186">
        <v>400.00000000000568</v>
      </c>
      <c r="M40" s="187">
        <v>652541.40000000934</v>
      </c>
      <c r="N40" s="93">
        <f t="shared" si="6"/>
        <v>2262143.5200000289</v>
      </c>
      <c r="O40" s="107">
        <f t="shared" ref="O40:O41" si="11">N40+I40</f>
        <v>18640932.66000003</v>
      </c>
      <c r="P40" s="110">
        <f t="shared" ref="P40:P41" si="12">L40+J40+G40+E40</f>
        <v>15760.000000000018</v>
      </c>
      <c r="Q40" s="192"/>
      <c r="R40" s="207"/>
      <c r="S40" s="215"/>
      <c r="T40" s="212"/>
      <c r="U40" s="210">
        <v>0</v>
      </c>
      <c r="V40" s="188">
        <f t="shared" si="9"/>
        <v>940</v>
      </c>
      <c r="W40" s="2">
        <v>322</v>
      </c>
      <c r="X40" s="2">
        <v>5791422.4022034556</v>
      </c>
      <c r="Y40" s="30">
        <v>618</v>
      </c>
      <c r="Z40" s="30">
        <v>2856659.5588235292</v>
      </c>
      <c r="AA40" s="30">
        <f t="shared" ref="AA40:AA41" si="13">Z40+X40</f>
        <v>8648081.9610269852</v>
      </c>
      <c r="AB40" s="127">
        <f t="shared" ref="AB40:AB41" si="14">AA40/$AL$48</f>
        <v>666.4628529107755</v>
      </c>
      <c r="AC40" s="133">
        <v>0</v>
      </c>
      <c r="AD40" s="2">
        <v>0</v>
      </c>
      <c r="AE40" s="2">
        <v>100</v>
      </c>
      <c r="AF40" s="2">
        <v>12</v>
      </c>
      <c r="AG40" s="2">
        <f t="shared" si="10"/>
        <v>112</v>
      </c>
      <c r="AH40" s="2">
        <v>1393500</v>
      </c>
      <c r="AI40" s="42">
        <f t="shared" ref="AI40:AI41" si="15">AH40/$AL$48</f>
        <v>107.38982235789055</v>
      </c>
      <c r="AJ40" s="142">
        <v>377.4</v>
      </c>
      <c r="AK40" s="2">
        <v>3358860</v>
      </c>
      <c r="AL40" s="38">
        <f t="shared" si="4"/>
        <v>258.84993091139165</v>
      </c>
      <c r="AM40" s="6"/>
    </row>
    <row r="41" spans="1:39" ht="17.25" customHeight="1" x14ac:dyDescent="0.35">
      <c r="A41" s="32"/>
      <c r="B41" s="57">
        <v>30</v>
      </c>
      <c r="C41" s="149">
        <v>8</v>
      </c>
      <c r="D41" s="151">
        <v>113</v>
      </c>
      <c r="E41" s="105">
        <v>11320.000000000164</v>
      </c>
      <c r="F41" s="2">
        <v>12311281.080000179</v>
      </c>
      <c r="G41" s="34">
        <v>2240.0000000000091</v>
      </c>
      <c r="H41" s="2">
        <v>3654231.8400000152</v>
      </c>
      <c r="I41" s="102">
        <f t="shared" si="5"/>
        <v>15965512.920000194</v>
      </c>
      <c r="J41" s="105">
        <v>1500</v>
      </c>
      <c r="K41" s="2">
        <v>1631353.5</v>
      </c>
      <c r="L41" s="186">
        <v>359.99999999999943</v>
      </c>
      <c r="M41" s="187">
        <v>587287.25999999908</v>
      </c>
      <c r="N41" s="93">
        <f t="shared" si="6"/>
        <v>2218640.7599999988</v>
      </c>
      <c r="O41" s="107">
        <f t="shared" si="11"/>
        <v>18184153.680000193</v>
      </c>
      <c r="P41" s="110">
        <f t="shared" si="12"/>
        <v>15420.000000000173</v>
      </c>
      <c r="Q41" s="191"/>
      <c r="R41" s="208"/>
      <c r="S41" s="215"/>
      <c r="T41" s="212"/>
      <c r="U41" s="210">
        <v>0</v>
      </c>
      <c r="V41" s="188">
        <f t="shared" si="9"/>
        <v>936</v>
      </c>
      <c r="W41" s="2">
        <v>300</v>
      </c>
      <c r="X41" s="2">
        <v>5395735.157332412</v>
      </c>
      <c r="Y41" s="30">
        <v>636</v>
      </c>
      <c r="Z41" s="30">
        <v>2939863.2352941176</v>
      </c>
      <c r="AA41" s="30">
        <f t="shared" si="13"/>
        <v>8335598.3926265296</v>
      </c>
      <c r="AB41" s="127">
        <f t="shared" si="14"/>
        <v>642.38136392600006</v>
      </c>
      <c r="AC41" s="133">
        <v>0</v>
      </c>
      <c r="AD41" s="2">
        <v>0</v>
      </c>
      <c r="AE41" s="2">
        <v>100</v>
      </c>
      <c r="AF41" s="2">
        <v>0</v>
      </c>
      <c r="AG41" s="2">
        <f>+AE41+AF41</f>
        <v>100</v>
      </c>
      <c r="AH41" s="2">
        <v>1256000</v>
      </c>
      <c r="AI41" s="42">
        <f t="shared" si="15"/>
        <v>96.793410033376773</v>
      </c>
      <c r="AJ41" s="142">
        <v>398.6</v>
      </c>
      <c r="AK41" s="2">
        <v>3547540</v>
      </c>
      <c r="AL41" s="38">
        <f t="shared" si="4"/>
        <v>273.39052056513174</v>
      </c>
      <c r="AM41" s="6"/>
    </row>
    <row r="42" spans="1:39" x14ac:dyDescent="0.35">
      <c r="A42" s="32"/>
      <c r="B42" s="57"/>
      <c r="C42" s="175"/>
      <c r="D42" s="176"/>
      <c r="E42" s="105"/>
      <c r="F42" s="2"/>
      <c r="G42" s="34"/>
      <c r="H42" s="2"/>
      <c r="I42" s="102"/>
      <c r="J42" s="105"/>
      <c r="K42" s="2"/>
      <c r="L42" s="186"/>
      <c r="M42" s="187"/>
      <c r="N42" s="93"/>
      <c r="O42" s="107"/>
      <c r="P42" s="110"/>
      <c r="Q42" s="191"/>
      <c r="R42" s="208"/>
      <c r="S42" s="215"/>
      <c r="T42" s="212"/>
      <c r="U42" s="210"/>
      <c r="V42" s="188"/>
      <c r="W42" s="2"/>
      <c r="X42" s="2"/>
      <c r="Y42" s="30"/>
      <c r="Z42" s="30"/>
      <c r="AA42" s="30"/>
      <c r="AB42" s="127"/>
      <c r="AC42" s="133"/>
      <c r="AD42" s="2"/>
      <c r="AE42" s="2"/>
      <c r="AF42" s="2"/>
      <c r="AG42" s="2"/>
      <c r="AH42" s="2"/>
      <c r="AI42" s="42"/>
      <c r="AJ42" s="142"/>
      <c r="AK42" s="2"/>
      <c r="AL42" s="38"/>
      <c r="AM42" s="6"/>
    </row>
    <row r="43" spans="1:39" ht="16" thickBot="1" x14ac:dyDescent="0.4">
      <c r="A43" s="32"/>
      <c r="B43" s="121"/>
      <c r="C43" s="150"/>
      <c r="D43" s="152"/>
      <c r="E43" s="103"/>
      <c r="F43" s="103"/>
      <c r="G43" s="94"/>
      <c r="H43" s="95"/>
      <c r="I43" s="104"/>
      <c r="J43" s="106"/>
      <c r="K43" s="94"/>
      <c r="L43" s="95"/>
      <c r="M43" s="96"/>
      <c r="N43" s="97"/>
      <c r="O43" s="108"/>
      <c r="P43" s="111"/>
      <c r="Q43" s="177"/>
      <c r="R43" s="209"/>
      <c r="S43" s="216"/>
      <c r="T43" s="216"/>
      <c r="U43" s="211"/>
      <c r="V43" s="188"/>
      <c r="W43" s="2"/>
      <c r="X43" s="2"/>
      <c r="Y43" s="30"/>
      <c r="Z43" s="30"/>
      <c r="AA43" s="16"/>
      <c r="AB43" s="128"/>
      <c r="AC43" s="126"/>
      <c r="AD43" s="2"/>
      <c r="AE43" s="1"/>
      <c r="AF43" s="1"/>
      <c r="AG43" s="1"/>
      <c r="AH43" s="2"/>
      <c r="AI43" s="42"/>
      <c r="AJ43" s="142"/>
      <c r="AK43" s="2"/>
      <c r="AL43" s="38"/>
      <c r="AM43" s="6"/>
    </row>
    <row r="44" spans="1:39" s="7" customFormat="1" ht="4.5" customHeight="1" x14ac:dyDescent="0.35">
      <c r="B44" s="116"/>
      <c r="C44" s="117"/>
      <c r="D44" s="117"/>
      <c r="E44" s="115"/>
      <c r="F44" s="6"/>
      <c r="H44" s="6"/>
      <c r="L44" s="6"/>
      <c r="M44" s="61"/>
      <c r="N44" s="65"/>
      <c r="P44" s="65"/>
      <c r="R44" s="85"/>
      <c r="S44" s="6"/>
      <c r="U44" s="31"/>
      <c r="V44" s="129"/>
      <c r="AB44" s="31"/>
      <c r="AD44" s="6"/>
      <c r="AJ44" s="85"/>
      <c r="AL44" s="31"/>
    </row>
    <row r="45" spans="1:39" s="7" customFormat="1" ht="6" customHeight="1" x14ac:dyDescent="0.35">
      <c r="B45" s="116"/>
      <c r="C45" s="117"/>
      <c r="D45" s="117"/>
      <c r="E45" s="115"/>
      <c r="F45" s="6"/>
      <c r="H45" s="6"/>
      <c r="L45" s="6"/>
      <c r="M45" s="61"/>
      <c r="N45" s="65"/>
      <c r="P45" s="65"/>
      <c r="R45" s="85"/>
      <c r="S45" s="14"/>
      <c r="T45" s="14"/>
      <c r="U45" s="31"/>
      <c r="V45" s="129"/>
      <c r="AB45" s="130"/>
      <c r="AD45" s="6"/>
      <c r="AH45" s="6"/>
      <c r="AJ45" s="87"/>
      <c r="AK45" s="4"/>
      <c r="AL45" s="39"/>
    </row>
    <row r="46" spans="1:39" s="7" customFormat="1" ht="16" thickBot="1" x14ac:dyDescent="0.4">
      <c r="B46" s="118"/>
      <c r="C46" s="119"/>
      <c r="D46" s="119"/>
      <c r="E46" s="120"/>
      <c r="F46" s="71"/>
      <c r="G46" s="70"/>
      <c r="H46" s="71"/>
      <c r="I46" s="70"/>
      <c r="J46" s="70"/>
      <c r="K46" s="70"/>
      <c r="L46" s="71"/>
      <c r="M46" s="72"/>
      <c r="N46" s="73"/>
      <c r="O46" s="70"/>
      <c r="P46" s="73"/>
      <c r="Q46" s="70"/>
      <c r="R46" s="86"/>
      <c r="S46" s="74"/>
      <c r="T46" s="70"/>
      <c r="U46" s="189"/>
      <c r="V46" s="131"/>
      <c r="W46" s="76"/>
      <c r="X46" s="70"/>
      <c r="Y46" s="70"/>
      <c r="Z46" s="70"/>
      <c r="AA46" s="70"/>
      <c r="AB46" s="75"/>
      <c r="AC46" s="77"/>
      <c r="AD46" s="71"/>
      <c r="AE46" s="77"/>
      <c r="AF46" s="77"/>
      <c r="AG46" s="77"/>
      <c r="AH46" s="71"/>
      <c r="AI46" s="70"/>
      <c r="AJ46" s="143"/>
      <c r="AK46" s="78"/>
      <c r="AL46" s="79"/>
    </row>
    <row r="47" spans="1:39" ht="16.5" thickTop="1" thickBot="1" x14ac:dyDescent="0.4">
      <c r="A47" s="24"/>
      <c r="B47" s="68"/>
      <c r="C47" s="69">
        <f>SUM(C12:C43)</f>
        <v>314</v>
      </c>
      <c r="D47" s="69">
        <f>SUM(D12:D43)</f>
        <v>3997</v>
      </c>
      <c r="E47" s="69">
        <f>SUM(E12:E43)</f>
        <v>331280.00000000029</v>
      </c>
      <c r="F47" s="69">
        <f>SUM(F12:F43)</f>
        <v>360289858.32000023</v>
      </c>
      <c r="G47" s="69">
        <f>SUM(G12:G43)</f>
        <v>68880</v>
      </c>
      <c r="H47" s="69">
        <f t="shared" ref="H47:O47" si="16">SUM(H12:H43)</f>
        <v>112367629.08000001</v>
      </c>
      <c r="I47" s="69">
        <f t="shared" si="16"/>
        <v>472657487.40000027</v>
      </c>
      <c r="J47" s="69">
        <f t="shared" si="16"/>
        <v>43880</v>
      </c>
      <c r="K47" s="69">
        <f t="shared" si="16"/>
        <v>47722527.719999999</v>
      </c>
      <c r="L47" s="69">
        <f t="shared" si="16"/>
        <v>11600.000000000002</v>
      </c>
      <c r="M47" s="69">
        <f t="shared" si="16"/>
        <v>18923700.600000005</v>
      </c>
      <c r="N47" s="69">
        <f t="shared" si="16"/>
        <v>66646228.319999985</v>
      </c>
      <c r="O47" s="69">
        <f t="shared" si="16"/>
        <v>539303715.72000027</v>
      </c>
      <c r="P47" s="81">
        <f>SUM(P12:P43)</f>
        <v>455640.00000000017</v>
      </c>
      <c r="Q47" s="190" t="e">
        <f>+#REF!</f>
        <v>#REF!</v>
      </c>
      <c r="R47" s="122" t="e">
        <f>+#REF!</f>
        <v>#REF!</v>
      </c>
      <c r="S47" s="114" t="e">
        <f>Q47+P47</f>
        <v>#REF!</v>
      </c>
      <c r="T47" s="114" t="e">
        <f>R47+O47</f>
        <v>#REF!</v>
      </c>
      <c r="U47" s="136" t="e">
        <f>T47/AL48</f>
        <v>#REF!</v>
      </c>
      <c r="V47" s="178">
        <f>SUM(V12:V42)</f>
        <v>27339</v>
      </c>
      <c r="W47" s="51">
        <f>SUM(W12:W42)</f>
        <v>11099</v>
      </c>
      <c r="X47" s="51">
        <f t="shared" ref="X47:Z47" si="17">SUM(X12:X42)</f>
        <v>199624215.03744143</v>
      </c>
      <c r="Y47" s="51">
        <f t="shared" si="17"/>
        <v>16240</v>
      </c>
      <c r="Z47" s="51">
        <f t="shared" si="17"/>
        <v>75068205.882352933</v>
      </c>
      <c r="AA47" s="135">
        <f>SUM(AA12:AA42)</f>
        <v>274692420.91979438</v>
      </c>
      <c r="AB47" s="123">
        <f>AA47/$AL$48</f>
        <v>21169.121123527533</v>
      </c>
      <c r="AC47" s="43">
        <f>SUM(AC12:AC41)</f>
        <v>0</v>
      </c>
      <c r="AD47" s="137">
        <f>SUM(AD12:AD41)</f>
        <v>0</v>
      </c>
      <c r="AE47" s="43">
        <f>SUM(AE12:AE42)</f>
        <v>2950</v>
      </c>
      <c r="AF47" s="43">
        <f>SUM(AF12:AF42)</f>
        <v>192</v>
      </c>
      <c r="AG47" s="214">
        <f>SUM(AG12:AG42)</f>
        <v>3142</v>
      </c>
      <c r="AH47" s="146">
        <f>SUM(AH12:AH43)</f>
        <v>39252000</v>
      </c>
      <c r="AI47" s="147">
        <f>AH47/$AL$48</f>
        <v>3024.948193176835</v>
      </c>
      <c r="AJ47" s="213">
        <f>SUM(AJ12:AJ43)</f>
        <v>11459.460000000001</v>
      </c>
      <c r="AK47" s="144">
        <f>SUM(AK12:AK43)</f>
        <v>101989194</v>
      </c>
      <c r="AL47" s="145">
        <f>AK47/AL48</f>
        <v>7859.7785619551032</v>
      </c>
      <c r="AM47" s="24"/>
    </row>
    <row r="48" spans="1:39" x14ac:dyDescent="0.35">
      <c r="A48" s="24"/>
      <c r="B48" s="24"/>
      <c r="C48" s="4"/>
      <c r="D48" s="10"/>
      <c r="E48" s="4"/>
      <c r="F48" s="4"/>
      <c r="G48" s="10"/>
      <c r="H48" s="4"/>
      <c r="I48" s="8"/>
      <c r="J48" s="8"/>
      <c r="K48" s="8"/>
      <c r="L48" s="15"/>
      <c r="M48" s="62"/>
      <c r="N48" s="66"/>
      <c r="O48" s="9"/>
      <c r="P48" s="66"/>
      <c r="Q48" s="9"/>
      <c r="R48" s="113"/>
      <c r="S48" s="13"/>
      <c r="T48" s="80" t="s">
        <v>52</v>
      </c>
      <c r="U48" s="153" t="e">
        <f>U47/S47</f>
        <v>#REF!</v>
      </c>
      <c r="V48" s="193" t="s">
        <v>53</v>
      </c>
      <c r="W48" s="10"/>
      <c r="X48" s="10"/>
      <c r="Y48" s="138"/>
      <c r="Z48" s="10"/>
      <c r="AA48" s="10"/>
      <c r="AB48" s="10"/>
      <c r="AC48" s="14"/>
      <c r="AD48" s="6"/>
      <c r="AE48" s="14"/>
      <c r="AF48" s="14"/>
      <c r="AG48" s="6"/>
      <c r="AH48" s="4"/>
      <c r="AI48" s="10"/>
      <c r="AJ48" s="87"/>
      <c r="AK48" s="10"/>
      <c r="AL48" s="148">
        <v>12976.09</v>
      </c>
      <c r="AM48" s="24"/>
    </row>
    <row r="49" spans="1:39" x14ac:dyDescent="0.35">
      <c r="A49" s="24"/>
      <c r="B49" s="24"/>
      <c r="C49" s="4"/>
      <c r="D49" s="10"/>
      <c r="E49" s="4"/>
      <c r="F49" s="4"/>
      <c r="G49" s="10"/>
      <c r="H49" s="4"/>
      <c r="I49" s="8"/>
      <c r="J49" s="8"/>
      <c r="K49" s="8"/>
      <c r="L49" s="15"/>
      <c r="M49" s="62"/>
      <c r="N49" s="66"/>
      <c r="O49" s="9"/>
      <c r="P49" s="66"/>
      <c r="Q49" s="9"/>
      <c r="R49" s="113"/>
      <c r="S49" s="13"/>
      <c r="T49" s="80"/>
      <c r="U49" s="153"/>
      <c r="V49" s="193"/>
      <c r="W49" s="10"/>
      <c r="X49" s="218"/>
      <c r="Y49" s="138"/>
      <c r="Z49" s="10"/>
      <c r="AA49" s="10"/>
      <c r="AB49" s="10"/>
      <c r="AC49" s="14"/>
      <c r="AD49" s="6"/>
      <c r="AE49" s="14"/>
      <c r="AF49" s="14"/>
      <c r="AG49" s="6"/>
      <c r="AH49" s="4"/>
      <c r="AI49" s="10"/>
      <c r="AJ49" s="87"/>
      <c r="AK49" s="10"/>
      <c r="AL49" s="148"/>
      <c r="AM49" s="24"/>
    </row>
    <row r="50" spans="1:39" x14ac:dyDescent="0.35">
      <c r="A50" s="24"/>
      <c r="B50" s="24"/>
      <c r="C50" s="4"/>
      <c r="D50" s="10"/>
      <c r="E50" s="4"/>
      <c r="F50" s="4"/>
      <c r="G50" s="10"/>
      <c r="H50" s="4"/>
      <c r="I50" s="8"/>
      <c r="J50" s="8"/>
      <c r="K50" s="8"/>
      <c r="L50" s="15"/>
      <c r="M50" s="62"/>
      <c r="N50" s="66"/>
      <c r="O50" s="9"/>
      <c r="P50" s="66"/>
      <c r="Q50" s="9"/>
      <c r="R50" s="113"/>
      <c r="S50" s="13"/>
      <c r="T50" s="80"/>
      <c r="U50" s="153"/>
      <c r="V50" s="193"/>
      <c r="W50" s="219">
        <f>W47/V47</f>
        <v>0.40597680968579686</v>
      </c>
      <c r="X50" s="10"/>
      <c r="Y50" s="138"/>
      <c r="Z50" s="10"/>
      <c r="AA50" s="10"/>
      <c r="AB50" s="10"/>
      <c r="AC50" s="14"/>
      <c r="AD50" s="6"/>
      <c r="AE50" s="14"/>
      <c r="AF50" s="14"/>
      <c r="AG50" s="6"/>
      <c r="AH50" s="4"/>
      <c r="AI50" s="10"/>
      <c r="AJ50" s="87"/>
      <c r="AK50" s="10"/>
      <c r="AL50" s="148"/>
      <c r="AM50" s="24"/>
    </row>
    <row r="51" spans="1:39" s="196" customFormat="1" x14ac:dyDescent="0.35">
      <c r="A51" s="194"/>
      <c r="B51" s="194"/>
      <c r="C51" s="195"/>
      <c r="E51" s="195"/>
      <c r="F51" s="195"/>
      <c r="H51" s="195"/>
      <c r="L51" s="195"/>
      <c r="M51" s="197"/>
      <c r="N51" s="198"/>
      <c r="P51" s="198"/>
      <c r="R51" s="199"/>
      <c r="T51" s="217"/>
      <c r="AD51" s="195"/>
      <c r="AH51" s="195"/>
      <c r="AJ51" s="199"/>
      <c r="AL51" s="200"/>
      <c r="AM51" s="194"/>
    </row>
    <row r="52" spans="1:39" s="196" customFormat="1" x14ac:dyDescent="0.35">
      <c r="A52" s="194"/>
      <c r="B52" s="194"/>
      <c r="C52" s="195"/>
      <c r="E52" s="195"/>
      <c r="F52" s="195"/>
      <c r="H52" s="195"/>
      <c r="L52" s="195"/>
      <c r="M52" s="197"/>
      <c r="N52" s="198"/>
      <c r="P52" s="198"/>
      <c r="R52" s="199"/>
      <c r="AD52" s="195"/>
      <c r="AH52" s="195"/>
      <c r="AJ52" s="199"/>
      <c r="AL52" s="200"/>
      <c r="AM52" s="194"/>
    </row>
    <row r="53" spans="1:39" s="196" customFormat="1" x14ac:dyDescent="0.35">
      <c r="A53" s="194"/>
      <c r="B53" s="194"/>
      <c r="C53" s="195"/>
      <c r="E53" s="195"/>
      <c r="F53" s="195"/>
      <c r="H53" s="195"/>
      <c r="L53" s="195"/>
      <c r="M53" s="197"/>
      <c r="N53" s="198"/>
      <c r="P53" s="198"/>
      <c r="R53" s="199"/>
      <c r="AD53" s="195"/>
      <c r="AH53" s="195"/>
      <c r="AJ53" s="199"/>
      <c r="AL53" s="200"/>
      <c r="AM53" s="194"/>
    </row>
    <row r="54" spans="1:39" s="196" customFormat="1" x14ac:dyDescent="0.35">
      <c r="A54" s="194"/>
      <c r="B54" s="194"/>
      <c r="C54" s="195"/>
      <c r="E54" s="195"/>
      <c r="F54" s="195"/>
      <c r="H54" s="195"/>
      <c r="L54" s="195"/>
      <c r="M54" s="197"/>
      <c r="N54" s="198"/>
      <c r="P54" s="198"/>
      <c r="R54" s="199"/>
      <c r="AD54" s="195"/>
      <c r="AH54" s="195"/>
      <c r="AJ54" s="199"/>
      <c r="AL54" s="200"/>
      <c r="AM54" s="194"/>
    </row>
    <row r="55" spans="1:39" s="196" customFormat="1" x14ac:dyDescent="0.35">
      <c r="A55" s="194"/>
      <c r="B55" s="194"/>
      <c r="C55" s="195"/>
      <c r="E55" s="195"/>
      <c r="F55" s="195"/>
      <c r="H55" s="195"/>
      <c r="L55" s="195"/>
      <c r="M55" s="197"/>
      <c r="N55" s="198"/>
      <c r="P55" s="198"/>
      <c r="R55" s="199"/>
      <c r="AD55" s="195"/>
      <c r="AH55" s="195"/>
      <c r="AJ55" s="199"/>
      <c r="AL55" s="200"/>
      <c r="AM55" s="194"/>
    </row>
    <row r="56" spans="1:39" s="196" customFormat="1" x14ac:dyDescent="0.35">
      <c r="A56" s="194"/>
      <c r="B56" s="194"/>
      <c r="C56" s="195"/>
      <c r="E56" s="195"/>
      <c r="F56" s="195"/>
      <c r="H56" s="195"/>
      <c r="L56" s="195"/>
      <c r="M56" s="197"/>
      <c r="N56" s="198"/>
      <c r="P56" s="198"/>
      <c r="R56" s="199"/>
      <c r="AD56" s="195"/>
      <c r="AH56" s="195"/>
      <c r="AJ56" s="199"/>
      <c r="AL56" s="200"/>
      <c r="AM56" s="194"/>
    </row>
    <row r="57" spans="1:39" s="196" customFormat="1" x14ac:dyDescent="0.35">
      <c r="A57" s="194"/>
      <c r="B57" s="194"/>
      <c r="C57" s="195"/>
      <c r="E57" s="195"/>
      <c r="F57" s="195"/>
      <c r="H57" s="195"/>
      <c r="L57" s="195"/>
      <c r="M57" s="197"/>
      <c r="N57" s="198"/>
      <c r="P57" s="198"/>
      <c r="R57" s="199"/>
      <c r="AD57" s="195"/>
      <c r="AH57" s="195"/>
      <c r="AJ57" s="199"/>
      <c r="AL57" s="200"/>
      <c r="AM57" s="194"/>
    </row>
    <row r="58" spans="1:39" s="196" customFormat="1" x14ac:dyDescent="0.35">
      <c r="A58" s="194"/>
      <c r="B58" s="194"/>
      <c r="C58" s="195"/>
      <c r="E58" s="195"/>
      <c r="F58" s="195"/>
      <c r="H58" s="195"/>
      <c r="L58" s="195"/>
      <c r="M58" s="197"/>
      <c r="N58" s="198"/>
      <c r="P58" s="198"/>
      <c r="R58" s="199"/>
      <c r="AD58" s="195"/>
      <c r="AH58" s="195"/>
      <c r="AJ58" s="199"/>
      <c r="AL58" s="200"/>
      <c r="AM58" s="194"/>
    </row>
    <row r="59" spans="1:39" s="196" customFormat="1" x14ac:dyDescent="0.35">
      <c r="A59" s="194"/>
      <c r="B59" s="194"/>
      <c r="C59" s="195"/>
      <c r="E59" s="195"/>
      <c r="F59" s="195"/>
      <c r="H59" s="195"/>
      <c r="L59" s="195"/>
      <c r="M59" s="197"/>
      <c r="N59" s="198"/>
      <c r="P59" s="198"/>
      <c r="R59" s="199"/>
      <c r="AD59" s="195"/>
      <c r="AH59" s="195"/>
      <c r="AJ59" s="199"/>
      <c r="AL59" s="200"/>
      <c r="AM59" s="194"/>
    </row>
    <row r="60" spans="1:39" s="196" customFormat="1" x14ac:dyDescent="0.35">
      <c r="A60" s="194"/>
      <c r="B60" s="194"/>
      <c r="C60" s="195"/>
      <c r="E60" s="195"/>
      <c r="F60" s="195"/>
      <c r="H60" s="195"/>
      <c r="L60" s="195"/>
      <c r="M60" s="197"/>
      <c r="N60" s="198"/>
      <c r="P60" s="198"/>
      <c r="R60" s="199"/>
      <c r="AD60" s="195"/>
      <c r="AH60" s="195"/>
      <c r="AJ60" s="199"/>
      <c r="AL60" s="200"/>
      <c r="AM60" s="194"/>
    </row>
    <row r="61" spans="1:39" s="196" customFormat="1" x14ac:dyDescent="0.35">
      <c r="A61" s="194"/>
      <c r="B61" s="194"/>
      <c r="C61" s="195"/>
      <c r="E61" s="195"/>
      <c r="F61" s="195"/>
      <c r="H61" s="195"/>
      <c r="L61" s="195"/>
      <c r="M61" s="197"/>
      <c r="N61" s="198"/>
      <c r="P61" s="198"/>
      <c r="R61" s="199"/>
      <c r="AD61" s="195"/>
      <c r="AH61" s="195"/>
      <c r="AJ61" s="199"/>
      <c r="AL61" s="200"/>
      <c r="AM61" s="194"/>
    </row>
    <row r="62" spans="1:39" s="196" customFormat="1" x14ac:dyDescent="0.35">
      <c r="A62" s="194"/>
      <c r="B62" s="194"/>
      <c r="C62" s="195"/>
      <c r="E62" s="195"/>
      <c r="F62" s="195"/>
      <c r="H62" s="195"/>
      <c r="L62" s="195"/>
      <c r="M62" s="197"/>
      <c r="N62" s="198"/>
      <c r="P62" s="198"/>
      <c r="R62" s="199"/>
      <c r="AD62" s="195"/>
      <c r="AH62" s="195"/>
      <c r="AJ62" s="199"/>
      <c r="AL62" s="200"/>
      <c r="AM62" s="194"/>
    </row>
    <row r="63" spans="1:39" s="196" customFormat="1" x14ac:dyDescent="0.35">
      <c r="A63" s="194"/>
      <c r="B63" s="194"/>
      <c r="C63" s="195"/>
      <c r="E63" s="195"/>
      <c r="F63" s="195"/>
      <c r="H63" s="195"/>
      <c r="L63" s="195"/>
      <c r="M63" s="197"/>
      <c r="N63" s="198"/>
      <c r="P63" s="198"/>
      <c r="R63" s="199"/>
      <c r="AD63" s="195"/>
      <c r="AH63" s="195"/>
      <c r="AJ63" s="199"/>
      <c r="AL63" s="200"/>
      <c r="AM63" s="194"/>
    </row>
    <row r="64" spans="1:39" s="196" customFormat="1" x14ac:dyDescent="0.35">
      <c r="A64" s="194"/>
      <c r="B64" s="194"/>
      <c r="C64" s="195"/>
      <c r="E64" s="195"/>
      <c r="F64" s="195"/>
      <c r="H64" s="195"/>
      <c r="L64" s="195"/>
      <c r="M64" s="197"/>
      <c r="N64" s="198"/>
      <c r="P64" s="198"/>
      <c r="R64" s="199"/>
      <c r="AD64" s="195"/>
      <c r="AH64" s="195"/>
      <c r="AJ64" s="199"/>
      <c r="AL64" s="200"/>
      <c r="AM64" s="194"/>
    </row>
    <row r="65" spans="1:39" s="196" customFormat="1" x14ac:dyDescent="0.35">
      <c r="A65" s="194"/>
      <c r="B65" s="194"/>
      <c r="C65" s="195"/>
      <c r="E65" s="195"/>
      <c r="F65" s="195"/>
      <c r="H65" s="195"/>
      <c r="L65" s="195"/>
      <c r="M65" s="197"/>
      <c r="N65" s="198"/>
      <c r="P65" s="198"/>
      <c r="R65" s="199"/>
      <c r="AD65" s="195"/>
      <c r="AH65" s="195"/>
      <c r="AJ65" s="199"/>
      <c r="AL65" s="200"/>
      <c r="AM65" s="194"/>
    </row>
    <row r="66" spans="1:39" s="196" customFormat="1" x14ac:dyDescent="0.35">
      <c r="A66" s="194"/>
      <c r="B66" s="194"/>
      <c r="C66" s="195"/>
      <c r="E66" s="195"/>
      <c r="F66" s="195"/>
      <c r="H66" s="195"/>
      <c r="L66" s="195"/>
      <c r="M66" s="197"/>
      <c r="N66" s="198"/>
      <c r="P66" s="198"/>
      <c r="R66" s="199"/>
      <c r="AD66" s="195"/>
      <c r="AH66" s="195"/>
      <c r="AJ66" s="199"/>
      <c r="AL66" s="200"/>
      <c r="AM66" s="194"/>
    </row>
    <row r="67" spans="1:39" s="196" customFormat="1" x14ac:dyDescent="0.35">
      <c r="A67" s="194"/>
      <c r="B67" s="194"/>
      <c r="C67" s="195"/>
      <c r="E67" s="195"/>
      <c r="F67" s="195"/>
      <c r="H67" s="195"/>
      <c r="L67" s="195"/>
      <c r="M67" s="197"/>
      <c r="N67" s="198"/>
      <c r="P67" s="198"/>
      <c r="R67" s="199"/>
      <c r="AD67" s="195"/>
      <c r="AH67" s="195"/>
      <c r="AJ67" s="199"/>
      <c r="AL67" s="200"/>
      <c r="AM67" s="194"/>
    </row>
    <row r="68" spans="1:39" s="196" customFormat="1" x14ac:dyDescent="0.35">
      <c r="A68" s="194"/>
      <c r="B68" s="194"/>
      <c r="C68" s="195"/>
      <c r="E68" s="195"/>
      <c r="F68" s="195"/>
      <c r="H68" s="195"/>
      <c r="L68" s="195"/>
      <c r="M68" s="197"/>
      <c r="N68" s="198"/>
      <c r="P68" s="198"/>
      <c r="R68" s="199"/>
      <c r="AD68" s="195"/>
      <c r="AH68" s="195"/>
      <c r="AJ68" s="199"/>
      <c r="AL68" s="200"/>
      <c r="AM68" s="194"/>
    </row>
    <row r="69" spans="1:39" s="196" customFormat="1" x14ac:dyDescent="0.35">
      <c r="A69" s="194"/>
      <c r="B69" s="194"/>
      <c r="C69" s="195"/>
      <c r="E69" s="195"/>
      <c r="F69" s="195"/>
      <c r="H69" s="195"/>
      <c r="L69" s="195"/>
      <c r="M69" s="197"/>
      <c r="N69" s="198"/>
      <c r="P69" s="198"/>
      <c r="R69" s="199"/>
      <c r="AD69" s="195"/>
      <c r="AH69" s="195"/>
      <c r="AJ69" s="199"/>
      <c r="AL69" s="200"/>
      <c r="AM69" s="194"/>
    </row>
    <row r="70" spans="1:39" s="196" customFormat="1" x14ac:dyDescent="0.35">
      <c r="A70" s="194"/>
      <c r="B70" s="194"/>
      <c r="C70" s="195"/>
      <c r="E70" s="195"/>
      <c r="F70" s="195"/>
      <c r="H70" s="195"/>
      <c r="L70" s="195"/>
      <c r="M70" s="197"/>
      <c r="N70" s="198"/>
      <c r="P70" s="198"/>
      <c r="R70" s="199"/>
      <c r="AD70" s="195"/>
      <c r="AH70" s="195"/>
      <c r="AJ70" s="199"/>
      <c r="AL70" s="200"/>
      <c r="AM70" s="194"/>
    </row>
  </sheetData>
  <mergeCells count="17">
    <mergeCell ref="Q9:Q10"/>
    <mergeCell ref="R9:R10"/>
    <mergeCell ref="S9:S10"/>
    <mergeCell ref="T9:U9"/>
    <mergeCell ref="AA9:AB9"/>
    <mergeCell ref="B7:AL7"/>
    <mergeCell ref="B8:B10"/>
    <mergeCell ref="C8:C10"/>
    <mergeCell ref="D8:D10"/>
    <mergeCell ref="E8:U8"/>
    <mergeCell ref="V8:AB8"/>
    <mergeCell ref="AC8:AL8"/>
    <mergeCell ref="E9:I9"/>
    <mergeCell ref="J9:N9"/>
    <mergeCell ref="O9:O10"/>
    <mergeCell ref="AC9:AI9"/>
    <mergeCell ref="P9:P1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workbookViewId="0">
      <pane xSplit="1" ySplit="5" topLeftCell="B34" activePane="bottomRight" state="frozen"/>
      <selection pane="topRight" activeCell="B1" sqref="B1"/>
      <selection pane="bottomLeft" activeCell="A6" sqref="A6"/>
      <selection pane="bottomRight" activeCell="H34" sqref="H34"/>
    </sheetView>
  </sheetViews>
  <sheetFormatPr defaultRowHeight="14.5" x14ac:dyDescent="0.35"/>
  <cols>
    <col min="1" max="1" width="9.54296875" bestFit="1" customWidth="1"/>
    <col min="2" max="2" width="9.26953125" bestFit="1" customWidth="1"/>
    <col min="3" max="3" width="9.54296875" bestFit="1" customWidth="1"/>
  </cols>
  <sheetData>
    <row r="1" spans="1:3" ht="18.5" x14ac:dyDescent="0.45">
      <c r="A1" s="25" t="s">
        <v>15</v>
      </c>
    </row>
    <row r="2" spans="1:3" ht="18.5" x14ac:dyDescent="0.45">
      <c r="A2" s="256">
        <v>44348</v>
      </c>
      <c r="B2" s="257"/>
      <c r="C2" s="257"/>
    </row>
    <row r="3" spans="1:3" x14ac:dyDescent="0.35">
      <c r="A3" s="259" t="s">
        <v>17</v>
      </c>
      <c r="B3" s="258" t="s">
        <v>18</v>
      </c>
      <c r="C3" s="258" t="s">
        <v>12</v>
      </c>
    </row>
    <row r="4" spans="1:3" x14ac:dyDescent="0.35">
      <c r="A4" s="259"/>
      <c r="B4" s="258"/>
      <c r="C4" s="258"/>
    </row>
    <row r="5" spans="1:3" x14ac:dyDescent="0.35">
      <c r="A5" s="259"/>
      <c r="B5" s="258"/>
      <c r="C5" s="258"/>
    </row>
    <row r="6" spans="1:3" x14ac:dyDescent="0.35">
      <c r="A6" s="1">
        <v>1</v>
      </c>
      <c r="B6" s="1">
        <v>15</v>
      </c>
      <c r="C6" s="1">
        <v>134</v>
      </c>
    </row>
    <row r="7" spans="1:3" x14ac:dyDescent="0.35">
      <c r="A7" s="1">
        <v>2</v>
      </c>
      <c r="B7" s="1">
        <v>4</v>
      </c>
      <c r="C7" s="1">
        <v>120</v>
      </c>
    </row>
    <row r="8" spans="1:3" x14ac:dyDescent="0.35">
      <c r="A8" s="1">
        <f>A7+1</f>
        <v>3</v>
      </c>
      <c r="B8" s="1">
        <v>5</v>
      </c>
      <c r="C8" s="1">
        <v>52</v>
      </c>
    </row>
    <row r="9" spans="1:3" x14ac:dyDescent="0.35">
      <c r="A9" s="1">
        <f>A8+1</f>
        <v>4</v>
      </c>
      <c r="B9" s="1">
        <v>11</v>
      </c>
      <c r="C9" s="1">
        <v>158</v>
      </c>
    </row>
    <row r="10" spans="1:3" x14ac:dyDescent="0.35">
      <c r="A10" s="1">
        <f t="shared" ref="A10:A35" si="0">A9+1</f>
        <v>5</v>
      </c>
      <c r="B10" s="1">
        <v>16</v>
      </c>
      <c r="C10" s="1">
        <v>140</v>
      </c>
    </row>
    <row r="11" spans="1:3" x14ac:dyDescent="0.35">
      <c r="A11" s="1">
        <f t="shared" si="0"/>
        <v>6</v>
      </c>
      <c r="B11" s="1">
        <v>8</v>
      </c>
      <c r="C11" s="1">
        <v>139</v>
      </c>
    </row>
    <row r="12" spans="1:3" x14ac:dyDescent="0.35">
      <c r="A12" s="1">
        <f t="shared" si="0"/>
        <v>7</v>
      </c>
      <c r="B12" s="1">
        <v>5</v>
      </c>
      <c r="C12" s="1">
        <v>66</v>
      </c>
    </row>
    <row r="13" spans="1:3" x14ac:dyDescent="0.35">
      <c r="A13" s="1">
        <f t="shared" si="0"/>
        <v>8</v>
      </c>
      <c r="B13" s="1">
        <v>3</v>
      </c>
      <c r="C13" s="1">
        <v>53</v>
      </c>
    </row>
    <row r="14" spans="1:3" x14ac:dyDescent="0.35">
      <c r="A14" s="1">
        <f t="shared" si="0"/>
        <v>9</v>
      </c>
      <c r="B14" s="1">
        <v>3</v>
      </c>
      <c r="C14" s="1">
        <v>66</v>
      </c>
    </row>
    <row r="15" spans="1:3" x14ac:dyDescent="0.35">
      <c r="A15" s="1">
        <f t="shared" si="0"/>
        <v>10</v>
      </c>
      <c r="B15" s="1">
        <v>6</v>
      </c>
      <c r="C15" s="1">
        <v>104</v>
      </c>
    </row>
    <row r="16" spans="1:3" x14ac:dyDescent="0.35">
      <c r="A16" s="1">
        <f t="shared" si="0"/>
        <v>11</v>
      </c>
      <c r="B16" s="1">
        <v>9</v>
      </c>
      <c r="C16" s="1">
        <v>101</v>
      </c>
    </row>
    <row r="17" spans="1:3" x14ac:dyDescent="0.35">
      <c r="A17" s="1">
        <f t="shared" si="0"/>
        <v>12</v>
      </c>
      <c r="B17" s="1">
        <v>11</v>
      </c>
      <c r="C17" s="1">
        <v>148</v>
      </c>
    </row>
    <row r="18" spans="1:3" x14ac:dyDescent="0.35">
      <c r="A18" s="1">
        <f t="shared" si="0"/>
        <v>13</v>
      </c>
      <c r="B18" s="1">
        <v>10</v>
      </c>
      <c r="C18" s="1">
        <v>154</v>
      </c>
    </row>
    <row r="19" spans="1:3" x14ac:dyDescent="0.35">
      <c r="A19" s="1">
        <f t="shared" si="0"/>
        <v>14</v>
      </c>
      <c r="B19" s="1">
        <v>6</v>
      </c>
      <c r="C19" s="1">
        <v>118</v>
      </c>
    </row>
    <row r="20" spans="1:3" x14ac:dyDescent="0.35">
      <c r="A20" s="1">
        <f t="shared" si="0"/>
        <v>15</v>
      </c>
      <c r="B20" s="1">
        <v>4</v>
      </c>
      <c r="C20" s="1">
        <v>81</v>
      </c>
    </row>
    <row r="21" spans="1:3" x14ac:dyDescent="0.35">
      <c r="A21" s="1">
        <f t="shared" si="0"/>
        <v>16</v>
      </c>
      <c r="B21" s="1">
        <v>3</v>
      </c>
      <c r="C21" s="1">
        <v>122</v>
      </c>
    </row>
    <row r="22" spans="1:3" x14ac:dyDescent="0.35">
      <c r="A22" s="1">
        <f t="shared" si="0"/>
        <v>17</v>
      </c>
      <c r="B22" s="1">
        <v>15</v>
      </c>
      <c r="C22" s="1">
        <v>121</v>
      </c>
    </row>
    <row r="23" spans="1:3" x14ac:dyDescent="0.35">
      <c r="A23" s="1">
        <f t="shared" si="0"/>
        <v>18</v>
      </c>
      <c r="B23" s="1">
        <v>15</v>
      </c>
      <c r="C23" s="1">
        <v>164</v>
      </c>
    </row>
    <row r="24" spans="1:3" x14ac:dyDescent="0.35">
      <c r="A24" s="1">
        <f t="shared" si="0"/>
        <v>19</v>
      </c>
      <c r="B24" s="1">
        <v>13</v>
      </c>
      <c r="C24" s="1">
        <v>185</v>
      </c>
    </row>
    <row r="25" spans="1:3" x14ac:dyDescent="0.35">
      <c r="A25" s="1">
        <f t="shared" si="0"/>
        <v>20</v>
      </c>
      <c r="B25" s="1">
        <v>11</v>
      </c>
      <c r="C25" s="1">
        <v>193</v>
      </c>
    </row>
    <row r="26" spans="1:3" x14ac:dyDescent="0.35">
      <c r="A26" s="1">
        <f t="shared" si="0"/>
        <v>21</v>
      </c>
      <c r="B26" s="1">
        <v>9</v>
      </c>
      <c r="C26" s="1">
        <v>193</v>
      </c>
    </row>
    <row r="27" spans="1:3" x14ac:dyDescent="0.35">
      <c r="A27" s="1">
        <f t="shared" si="0"/>
        <v>22</v>
      </c>
      <c r="B27" s="1">
        <v>12</v>
      </c>
      <c r="C27" s="1">
        <v>114</v>
      </c>
    </row>
    <row r="28" spans="1:3" x14ac:dyDescent="0.35">
      <c r="A28" s="1">
        <f t="shared" si="0"/>
        <v>23</v>
      </c>
      <c r="B28" s="1">
        <v>10</v>
      </c>
      <c r="C28" s="1">
        <v>138</v>
      </c>
    </row>
    <row r="29" spans="1:3" x14ac:dyDescent="0.35">
      <c r="A29" s="1">
        <f t="shared" si="0"/>
        <v>24</v>
      </c>
      <c r="B29" s="1">
        <v>11</v>
      </c>
      <c r="C29" s="1">
        <v>101</v>
      </c>
    </row>
    <row r="30" spans="1:3" x14ac:dyDescent="0.35">
      <c r="A30" s="1">
        <f t="shared" si="0"/>
        <v>25</v>
      </c>
      <c r="B30" s="1">
        <v>20</v>
      </c>
      <c r="C30" s="1">
        <v>212</v>
      </c>
    </row>
    <row r="31" spans="1:3" x14ac:dyDescent="0.35">
      <c r="A31" s="1">
        <f t="shared" si="0"/>
        <v>26</v>
      </c>
      <c r="B31" s="1">
        <v>24</v>
      </c>
      <c r="C31" s="1">
        <v>194</v>
      </c>
    </row>
    <row r="32" spans="1:3" x14ac:dyDescent="0.35">
      <c r="A32" s="1">
        <f t="shared" si="0"/>
        <v>27</v>
      </c>
      <c r="B32" s="1">
        <v>17</v>
      </c>
      <c r="C32" s="1">
        <v>216</v>
      </c>
    </row>
    <row r="33" spans="1:3" x14ac:dyDescent="0.35">
      <c r="A33" s="1">
        <f t="shared" si="0"/>
        <v>28</v>
      </c>
      <c r="B33" s="1">
        <v>13</v>
      </c>
      <c r="C33" s="1">
        <v>134</v>
      </c>
    </row>
    <row r="34" spans="1:3" x14ac:dyDescent="0.35">
      <c r="A34" s="1">
        <f t="shared" si="0"/>
        <v>29</v>
      </c>
      <c r="B34" s="1">
        <v>17</v>
      </c>
      <c r="C34" s="1">
        <v>163</v>
      </c>
    </row>
    <row r="35" spans="1:3" x14ac:dyDescent="0.35">
      <c r="A35" s="1">
        <f t="shared" si="0"/>
        <v>30</v>
      </c>
      <c r="B35" s="1">
        <v>8</v>
      </c>
      <c r="C35" s="1">
        <v>113</v>
      </c>
    </row>
    <row r="36" spans="1:3" x14ac:dyDescent="0.35">
      <c r="A36" s="1"/>
      <c r="B36" s="1"/>
      <c r="C36" s="1"/>
    </row>
    <row r="38" spans="1:3" x14ac:dyDescent="0.35">
      <c r="B38" s="5">
        <f>SUM(B6:B36)</f>
        <v>314</v>
      </c>
      <c r="C38" s="5">
        <f>SUM(C6:C36)</f>
        <v>3997</v>
      </c>
    </row>
  </sheetData>
  <mergeCells count="4">
    <mergeCell ref="A2:C2"/>
    <mergeCell ref="C3:C5"/>
    <mergeCell ref="A3:A5"/>
    <mergeCell ref="B3:B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7" ma:contentTypeDescription="Create a new document." ma:contentTypeScope="" ma:versionID="d1fdf5919154f84f139a051eca0bb368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ee13440087a3c5a0d3a88bf6b5ded6e9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6ba7279-e511-41a4-a3a7-b8e596c27349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SharedWithUsers xmlns="a2b08d59-ce98-408b-b7f1-7ea559ce0d50">
      <UserInfo>
        <DisplayName/>
        <AccountId xsi:nil="true"/>
        <AccountType/>
      </UserInfo>
    </SharedWithUsers>
    <MediaLengthInSeconds xmlns="2e11796f-5f26-4c51-a1e5-22e0f1616a71" xsi:nil="true"/>
    <_Flow_SignoffStatus xmlns="2e11796f-5f26-4c51-a1e5-22e0f1616a71" xsi:nil="true"/>
  </documentManagement>
</p:properties>
</file>

<file path=customXml/itemProps1.xml><?xml version="1.0" encoding="utf-8"?>
<ds:datastoreItem xmlns:ds="http://schemas.openxmlformats.org/officeDocument/2006/customXml" ds:itemID="{CF85859A-7E29-408E-9044-0296FFEC92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11796f-5f26-4c51-a1e5-22e0f1616a71"/>
    <ds:schemaRef ds:uri="a2b08d59-ce98-408b-b7f1-7ea559ce0d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EAE74F4-7ADC-443D-BDD6-B8BBEBD453E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F63AC17-9EFD-48DA-BB12-4FD1F7102A5E}">
  <ds:schemaRefs>
    <ds:schemaRef ds:uri="http://schemas.microsoft.com/office/2006/metadata/properties"/>
    <ds:schemaRef ds:uri="http://schemas.microsoft.com/office/infopath/2007/PartnerControls"/>
    <ds:schemaRef ds:uri="a2b08d59-ce98-408b-b7f1-7ea559ce0d50"/>
    <ds:schemaRef ds:uri="2e11796f-5f26-4c51-a1e5-22e0f1616a7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FS Jimbaran June 2021</vt:lpstr>
      <vt:lpstr>RNs &amp; Covers June 2021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ASUS</cp:lastModifiedBy>
  <cp:revision/>
  <dcterms:created xsi:type="dcterms:W3CDTF">2020-09-16T08:52:25Z</dcterms:created>
  <dcterms:modified xsi:type="dcterms:W3CDTF">2023-02-18T04:18:25Z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Order">
    <vt:r8>1894800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MediaServiceImageTags">
    <vt:lpwstr/>
  </property>
</Properties>
</file>