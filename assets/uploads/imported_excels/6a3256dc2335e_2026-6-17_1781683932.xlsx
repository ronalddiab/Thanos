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650534B6-8EA9-4D62-81DC-FEED519CB392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MAY 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3" l="1"/>
  <c r="I31" i="3"/>
  <c r="I30" i="3"/>
  <c r="I29" i="3"/>
  <c r="I28" i="3"/>
  <c r="G32" i="3"/>
  <c r="G31" i="3"/>
  <c r="G30" i="3"/>
  <c r="G29" i="3"/>
  <c r="G28" i="3"/>
  <c r="P28" i="3"/>
  <c r="O28" i="3"/>
  <c r="M28" i="3"/>
  <c r="AB30" i="2"/>
  <c r="Y30" i="2"/>
  <c r="W30" i="2"/>
  <c r="N31" i="2"/>
  <c r="N30" i="2"/>
  <c r="M32" i="3"/>
  <c r="M31" i="3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G32" i="2" l="1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W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W32" i="2"/>
  <c r="N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W28" i="2"/>
  <c r="W27" i="2"/>
  <c r="N33" i="2"/>
  <c r="M30" i="3" s="1"/>
  <c r="M29" i="3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3" i="2" l="1"/>
  <c r="W4" i="2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<sst xmlns="http://schemas.openxmlformats.org/spreadsheetml/2006/main" count="77" uniqueCount="40">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</sst>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topLeftCell="A7" workbookViewId="0">
      <selection activeCell="G27" sqref="G27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2026'!N31</f>
        <v>302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2026'!N32</f>
        <v>317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 t="str">
        <f>'MAY  2026'!N33</f>
        <v>0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2026'!N35</f>
        <v>0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2026'!N36</f>
        <v>0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5" zoomScale="115" zoomScaleNormal="115" workbookViewId="0">
      <selection activeCell="L34" sqref="L34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9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ref="N10:N33" si="13">IF((L10-L11+M10)=L10,"0",(L10-L11+M10))</f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13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13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13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4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13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4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13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4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13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4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13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v>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4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13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4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13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4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13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5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6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4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13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5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6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4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13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5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6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4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13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5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6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4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13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5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6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4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13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5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4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13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5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4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13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5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7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4"/>
        <v>1646</v>
      </c>
      <c r="F28" s="27">
        <v>1704</v>
      </c>
      <c r="G28" s="66">
        <f t="shared" si="4"/>
        <v>0</v>
      </c>
      <c r="H28" s="68">
        <f t="shared" ref="H28" si="18">C28+E28-G28</f>
        <v>6471</v>
      </c>
      <c r="I28" s="72">
        <f t="shared" ref="I28" si="19">H28-K28-M28-O28-Q28</f>
        <v>-39699.68</v>
      </c>
      <c r="J28" s="32">
        <f t="shared" si="0"/>
        <v>411.05999999999767</v>
      </c>
      <c r="K28" s="20">
        <f t="shared" ref="K28" si="20">A28</f>
        <v>46169</v>
      </c>
      <c r="L28" s="33">
        <v>5615</v>
      </c>
      <c r="M28" s="34">
        <v>0</v>
      </c>
      <c r="N28" s="32">
        <f t="shared" si="13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1">(2500*O28)+(2500*P28)+(500*Q28)+(500*R28)</f>
        <v>4925</v>
      </c>
      <c r="T28" s="122"/>
      <c r="U28" s="32">
        <f t="shared" ref="U28" si="22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7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4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13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3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7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4"/>
        <v>1548</v>
      </c>
      <c r="F30" s="27">
        <v>1704</v>
      </c>
      <c r="G30" s="66">
        <f t="shared" si="4"/>
        <v>0</v>
      </c>
      <c r="H30" s="68">
        <f t="shared" ref="H30:H31" si="24">C30+E30-G30</f>
        <v>6552</v>
      </c>
      <c r="I30" s="72">
        <f t="shared" ref="I30:I31" si="25">H30-K30-M30-O30-Q30</f>
        <v>-39620.559999999998</v>
      </c>
      <c r="J30" s="32">
        <f t="shared" si="0"/>
        <v>279.09999999999854</v>
      </c>
      <c r="K30" s="20">
        <f t="shared" ref="K30:K31" si="26">A30</f>
        <v>46171</v>
      </c>
      <c r="L30" s="33">
        <v>5150</v>
      </c>
      <c r="M30" s="34">
        <v>0</v>
      </c>
      <c r="N30" s="32">
        <f t="shared" si="13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7">(2500*O30)+(2500*P30)+(500*Q30)+(500*R30)</f>
        <v>4705</v>
      </c>
      <c r="T30" s="122"/>
      <c r="U30" s="32">
        <f t="shared" si="23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7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4"/>
        <v>1693</v>
      </c>
      <c r="F31" s="27">
        <v>1704</v>
      </c>
      <c r="G31" s="66">
        <f t="shared" si="4"/>
        <v>0</v>
      </c>
      <c r="H31" s="68">
        <f t="shared" si="24"/>
        <v>6832</v>
      </c>
      <c r="I31" s="72">
        <f t="shared" si="25"/>
        <v>-39341.46</v>
      </c>
      <c r="J31" s="32">
        <f t="shared" si="0"/>
        <v>-244.88999999999942</v>
      </c>
      <c r="K31" s="20">
        <f t="shared" si="26"/>
        <v>46172</v>
      </c>
      <c r="L31" s="33">
        <v>4942</v>
      </c>
      <c r="M31" s="34">
        <v>0</v>
      </c>
      <c r="N31" s="32">
        <f t="shared" si="13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7"/>
        <v>4545</v>
      </c>
      <c r="T31" s="122"/>
      <c r="U31" s="32">
        <f t="shared" si="23"/>
        <v>255</v>
      </c>
      <c r="V31" s="40">
        <v>7546</v>
      </c>
      <c r="W31" s="32">
        <f t="shared" ref="W31" si="28">IF(V32-V31&lt;0,"0",V32-V31)</f>
        <v>126</v>
      </c>
      <c r="X31" s="43">
        <v>61983</v>
      </c>
      <c r="Y31" s="14">
        <f t="shared" ref="Y31" si="29">IF((X32-X31)&lt;0,"0",X32-X31)</f>
        <v>3</v>
      </c>
      <c r="Z31" s="46">
        <v>0</v>
      </c>
      <c r="AA31" s="51"/>
      <c r="AB31" s="32" t="str">
        <f t="shared" ref="AB31" si="30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4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31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13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2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7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13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3267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2026-06-17T08:11:27Z</dcterms:modified>
  <cp:category/>
  <cp:contentStatus/>
</cp:coreProperties>
</file>