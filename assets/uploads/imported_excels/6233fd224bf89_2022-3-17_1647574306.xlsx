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externalReferences>
    <externalReference r:id="rId10"/>
  </externalReference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4" l="1"/>
  <c r="J20" i="2" l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Q3" i="2" l="1"/>
  <c r="Q4" i="2"/>
  <c r="Q5" i="2"/>
  <c r="AC32" i="8"/>
  <c r="AB32" i="8"/>
  <c r="AA32" i="8"/>
  <c r="Z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C31" i="8"/>
  <c r="AB31" i="8"/>
  <c r="AA31" i="8"/>
  <c r="Z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Y31" i="8" s="1"/>
  <c r="H31" i="8"/>
  <c r="G31" i="8"/>
  <c r="F31" i="8"/>
  <c r="E31" i="8"/>
  <c r="AC30" i="8"/>
  <c r="AB30" i="8"/>
  <c r="AA30" i="8"/>
  <c r="Z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Y30" i="8" l="1"/>
  <c r="Y32" i="8"/>
  <c r="AE30" i="8"/>
  <c r="AE32" i="8"/>
  <c r="AD31" i="8"/>
  <c r="AE31" i="8" s="1"/>
  <c r="AD30" i="8"/>
  <c r="AD32" i="8"/>
  <c r="K32" i="9" l="1"/>
  <c r="I32" i="9"/>
  <c r="G32" i="9"/>
  <c r="E32" i="9"/>
  <c r="K31" i="9"/>
  <c r="I31" i="9"/>
  <c r="G31" i="9"/>
  <c r="E31" i="9"/>
  <c r="K30" i="9"/>
  <c r="I30" i="9"/>
  <c r="G30" i="9"/>
  <c r="E30" i="9"/>
  <c r="K29" i="9"/>
  <c r="I29" i="9"/>
  <c r="G29" i="9"/>
  <c r="E29" i="9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" i="2"/>
  <c r="B20" i="2" l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D20" i="2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F20" i="2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H20" i="2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P11" i="2" l="1"/>
  <c r="P13" i="2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T20" i="2" l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N20" i="2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20" i="2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B30" i="9"/>
  <c r="B31" i="9" s="1"/>
  <c r="B32" i="9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Y2" i="4" l="1"/>
  <c r="O71" i="10"/>
  <c r="AG31" i="1" l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C4" i="2" l="1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AA13" i="4" s="1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P4" i="1" l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M5" i="1"/>
  <c r="L31" i="1"/>
  <c r="J5" i="1"/>
  <c r="J31" i="1" s="1"/>
  <c r="I31" i="1"/>
  <c r="G5" i="1"/>
  <c r="F31" i="1"/>
  <c r="D5" i="1"/>
  <c r="C31" i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E7" i="9" l="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E8" i="9" s="1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4" i="4"/>
  <c r="AA15" i="4"/>
  <c r="AA17" i="4"/>
  <c r="AA30" i="4"/>
  <c r="AA29" i="4"/>
  <c r="I31" i="2"/>
  <c r="K31" i="4"/>
  <c r="S31" i="1"/>
  <c r="O31" i="4"/>
  <c r="S31" i="4"/>
  <c r="Z10" i="8"/>
  <c r="I17" i="4"/>
  <c r="Y17" i="4" s="1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C31" i="5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<sst xmlns="http://schemas.openxmlformats.org/spreadsheetml/2006/main" count="442" uniqueCount="149">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</sst>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.saber/Desktop/Consumption%20Dec%2027th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ELECT."/>
      <sheetName val="Water"/>
      <sheetName val="Gas"/>
      <sheetName val="BTU"/>
      <sheetName val="Energy Monthly Statement"/>
      <sheetName val="Plaza and residential"/>
    </sheetNames>
    <sheetDataSet>
      <sheetData sheetId="0"/>
      <sheetData sheetId="1">
        <row r="29">
          <cell r="H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-25.569199999999999</v>
          </cell>
          <cell r="AE29">
            <v>-168.4308</v>
          </cell>
        </row>
        <row r="30">
          <cell r="H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-25.569199999999999</v>
          </cell>
          <cell r="AE30">
            <v>-168.4308</v>
          </cell>
        </row>
        <row r="31">
          <cell r="H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-25.569199999999999</v>
          </cell>
          <cell r="AE31">
            <v>-168.4308</v>
          </cell>
        </row>
        <row r="32">
          <cell r="H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-25.569199999999999</v>
          </cell>
          <cell r="AE32">
            <v>-168.4308</v>
          </cell>
        </row>
      </sheetData>
      <sheetData sheetId="2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</row>
      </sheetData>
      <sheetData sheetId="3">
        <row r="30">
          <cell r="B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0</v>
          </cell>
          <cell r="H32">
            <v>0</v>
          </cell>
        </row>
        <row r="33">
          <cell r="B33">
            <v>0</v>
          </cell>
          <cell r="H33">
            <v>0</v>
          </cell>
        </row>
      </sheetData>
      <sheetData sheetId="4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</sheetData>
      <sheetData sheetId="5"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</sheetData>
      <sheetData sheetId="6">
        <row r="31">
          <cell r="C31">
            <v>0</v>
          </cell>
          <cell r="F31">
            <v>0</v>
          </cell>
          <cell r="I31">
            <v>0</v>
          </cell>
          <cell r="L31">
            <v>0</v>
          </cell>
          <cell r="O31">
            <v>0</v>
          </cell>
          <cell r="R31">
            <v>0</v>
          </cell>
        </row>
        <row r="32">
          <cell r="C32">
            <v>0</v>
          </cell>
          <cell r="F32">
            <v>0</v>
          </cell>
          <cell r="I32">
            <v>0</v>
          </cell>
          <cell r="L32">
            <v>0</v>
          </cell>
          <cell r="O32">
            <v>0</v>
          </cell>
          <cell r="R32">
            <v>0</v>
          </cell>
        </row>
        <row r="33">
          <cell r="C33">
            <v>0</v>
          </cell>
          <cell r="F33">
            <v>0</v>
          </cell>
          <cell r="I33">
            <v>0</v>
          </cell>
          <cell r="L33">
            <v>0</v>
          </cell>
          <cell r="O33">
            <v>0</v>
          </cell>
          <cell r="R33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J18" sqref="J18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52666.761912000002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42449.982232000002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17005.097875999996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28681.623683999998</v>
      </c>
      <c r="F9" s="140">
        <v>1.27</v>
      </c>
      <c r="G9" s="38">
        <f>Gas!C10*0.9147</f>
        <v>2190.7064999999998</v>
      </c>
      <c r="H9" s="141">
        <v>3.65</v>
      </c>
      <c r="I9" s="143">
        <f>Submetering!H9+Submetering!AD9+Submetering!AE9</f>
        <v>846</v>
      </c>
      <c r="J9" s="143">
        <v>10.029999999999999</v>
      </c>
      <c r="K9" s="38">
        <f>ELECT.!B10</f>
        <v>313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14233.625295999997</v>
      </c>
      <c r="F10" s="140">
        <v>1.27</v>
      </c>
      <c r="G10" s="38">
        <f>Gas!C11*0.9147</f>
        <v>3076.1360999999997</v>
      </c>
      <c r="H10" s="141">
        <v>3.65</v>
      </c>
      <c r="I10" s="143">
        <f>Submetering!H10+Submetering!AD10+Submetering!AE10</f>
        <v>836</v>
      </c>
      <c r="J10" s="143">
        <v>10.029999999999999</v>
      </c>
      <c r="K10" s="38">
        <f>ELECT.!B11</f>
        <v>163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13030.141764000002</v>
      </c>
      <c r="F11" s="140">
        <v>1.27</v>
      </c>
      <c r="G11" s="38">
        <f>Gas!C12*0.9147</f>
        <v>2498.9603999999999</v>
      </c>
      <c r="H11" s="141">
        <v>3.65</v>
      </c>
      <c r="I11" s="143">
        <f>Submetering!H11+Submetering!AD11+Submetering!AE11</f>
        <v>1526</v>
      </c>
      <c r="J11" s="143">
        <v>10.029999999999999</v>
      </c>
      <c r="K11" s="38">
        <f>ELECT.!B12</f>
        <v>240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37576.338988000003</v>
      </c>
      <c r="F12" s="140">
        <v>1.27</v>
      </c>
      <c r="G12" s="38">
        <f>Gas!C13*0.9147</f>
        <v>2747.7588000000001</v>
      </c>
      <c r="H12" s="141">
        <v>3.65</v>
      </c>
      <c r="I12" s="143">
        <f>Submetering!H12+Submetering!AD12+Submetering!AE12</f>
        <v>826</v>
      </c>
      <c r="J12" s="143">
        <v>10.029999999999999</v>
      </c>
      <c r="K12" s="38">
        <f>ELECT.!B13</f>
        <v>218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22808.831584000003</v>
      </c>
      <c r="F13" s="140">
        <v>1.27</v>
      </c>
      <c r="G13" s="38">
        <f>Gas!C14*0.9147</f>
        <v>2788.0056</v>
      </c>
      <c r="H13" s="141">
        <v>3.65</v>
      </c>
      <c r="I13" s="143">
        <f>Submetering!H13+Submetering!AD13+Submetering!AE13</f>
        <v>856.00000000000011</v>
      </c>
      <c r="J13" s="143">
        <v>10.029999999999999</v>
      </c>
      <c r="K13" s="38">
        <f>ELECT.!B14</f>
        <v>269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19161.251759999996</v>
      </c>
      <c r="F14" s="140">
        <v>1.27</v>
      </c>
      <c r="G14" s="38">
        <f>Gas!C15*0.9147</f>
        <v>2769.7116000000001</v>
      </c>
      <c r="H14" s="141">
        <v>3.65</v>
      </c>
      <c r="I14" s="143">
        <f>Submetering!H14+Submetering!AD14+Submetering!AE14</f>
        <v>856</v>
      </c>
      <c r="J14" s="143">
        <v>10.029999999999999</v>
      </c>
      <c r="K14" s="38">
        <f>ELECT.!B15</f>
        <v>294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29180.965248000004</v>
      </c>
      <c r="F15" s="140">
        <v>1.27</v>
      </c>
      <c r="G15" s="38">
        <f>Gas!C16*0.9147</f>
        <v>3481.3481999999999</v>
      </c>
      <c r="H15" s="141">
        <v>3.65</v>
      </c>
      <c r="I15" s="143">
        <f>Submetering!H15+Submetering!AD15+Submetering!AE15</f>
        <v>876</v>
      </c>
      <c r="J15" s="143">
        <v>10.029999999999999</v>
      </c>
      <c r="K15" s="38">
        <f>ELECT.!B16</f>
        <v>271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12305.342228000001</v>
      </c>
      <c r="F16" s="140">
        <v>1.27</v>
      </c>
      <c r="G16" s="38">
        <f>Gas!C17*0.9147</f>
        <v>3068.8184999999999</v>
      </c>
      <c r="H16" s="141">
        <v>3.65</v>
      </c>
      <c r="I16" s="143">
        <f>Submetering!H16+Submetering!AD16+Submetering!AE16</f>
        <v>896.00000000000011</v>
      </c>
      <c r="J16" s="143">
        <v>10.029999999999999</v>
      </c>
      <c r="K16" s="38">
        <f>ELECT.!B17</f>
        <v>316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31339.650636000006</v>
      </c>
      <c r="F17" s="140">
        <v>1.27</v>
      </c>
      <c r="G17" s="38">
        <f>Gas!C18*0.9147</f>
        <v>3160.2884999999997</v>
      </c>
      <c r="H17" s="141">
        <v>3.65</v>
      </c>
      <c r="I17" s="143">
        <f>Submetering!H17+Submetering!AD17+Submetering!AE17</f>
        <v>906</v>
      </c>
      <c r="J17" s="143">
        <v>10.029999999999999</v>
      </c>
      <c r="K17" s="38">
        <f>ELECT.!B18</f>
        <v>319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10923.852736000001</v>
      </c>
      <c r="F18" s="140">
        <v>1.27</v>
      </c>
      <c r="G18" s="38">
        <f>Gas!C19*0.9147</f>
        <v>2952.6515999999997</v>
      </c>
      <c r="H18" s="141">
        <v>3.65</v>
      </c>
      <c r="I18" s="143">
        <f>Submetering!H18+Submetering!AD18+Submetering!AE18</f>
        <v>906</v>
      </c>
      <c r="J18" s="143">
        <v>10.029999999999999</v>
      </c>
      <c r="K18" s="38">
        <f>ELECT.!B19</f>
        <v>295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[1]Submetering!O29+[1]Submetering!P29)*0.842284+[1]Submetering!Q29+([1]Submetering!M29+[1]Submetering!N29+[1]Submetering!Y29)*0.7362)+([1]Submetering!O29+[1]Submetering!P29+[1]Submetering!Q29)*0.1488+([1]Submetering!M29+[1]Submetering!N29+[1]Submetering!Y29)*0.1167+([1]Submetering!K29+[1]Submetering!L29-[1]Submetering!Z29-[1]Submetering!AA29-[1]Submetering!AB29-[1]Submetering!AC29-[1]Submetering!Q29)+([1]Submetering!M29+[1]Submetering!N29+[1]Submetering!Y29)*0.1139)</f>
        <v>0</v>
      </c>
      <c r="F29" s="141">
        <v>1.27</v>
      </c>
      <c r="G29" s="38">
        <f>[1]Gas!C30*0.9147</f>
        <v>0</v>
      </c>
      <c r="H29" s="141">
        <v>3.65</v>
      </c>
      <c r="I29" s="143">
        <f>[1]Submetering!H29+[1]Submetering!AD29+[1]Submetering!AE29</f>
        <v>-194</v>
      </c>
      <c r="J29" s="143">
        <v>10.029999999999999</v>
      </c>
      <c r="K29" s="38">
        <f>[1]ELECT.!B30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[1]Submetering!O30+[1]Submetering!P30)*0.842284+[1]Submetering!Q30+([1]Submetering!M30+[1]Submetering!N30+[1]Submetering!Y30)*0.7362)+([1]Submetering!O30+[1]Submetering!P30+[1]Submetering!Q30)*0.1488+([1]Submetering!M30+[1]Submetering!N30+[1]Submetering!Y30)*0.1167+([1]Submetering!K30+[1]Submetering!L30-[1]Submetering!Z30-[1]Submetering!AA30-[1]Submetering!AB30-[1]Submetering!AC30-[1]Submetering!Q30)+([1]Submetering!M30+[1]Submetering!N30+[1]Submetering!Y30)*0.1139)</f>
        <v>0</v>
      </c>
      <c r="F30" s="141">
        <v>1.27</v>
      </c>
      <c r="G30" s="38">
        <f>[1]Gas!C31*0.9147</f>
        <v>0</v>
      </c>
      <c r="H30" s="141">
        <v>3.65</v>
      </c>
      <c r="I30" s="143">
        <f>[1]Submetering!H30+[1]Submetering!AD30+[1]Submetering!AE30</f>
        <v>-194</v>
      </c>
      <c r="J30" s="143">
        <v>10.029999999999999</v>
      </c>
      <c r="K30" s="38">
        <f>[1]ELECT.!B31</f>
        <v>0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[1]Submetering!O31+[1]Submetering!P31)*0.842284+[1]Submetering!Q31+([1]Submetering!M31+[1]Submetering!N31+[1]Submetering!Y31)*0.7362)+([1]Submetering!O31+[1]Submetering!P31+[1]Submetering!Q31)*0.1488+([1]Submetering!M31+[1]Submetering!N31+[1]Submetering!Y31)*0.1167+([1]Submetering!K31+[1]Submetering!L31-[1]Submetering!Z31-[1]Submetering!AA31-[1]Submetering!AB31-[1]Submetering!AC31-[1]Submetering!Q31)+([1]Submetering!M31+[1]Submetering!N31+[1]Submetering!Y31)*0.1139)</f>
        <v>0</v>
      </c>
      <c r="F31" s="141">
        <v>1.27</v>
      </c>
      <c r="G31" s="38">
        <f>[1]Gas!C32*0.9147</f>
        <v>0</v>
      </c>
      <c r="H31" s="141">
        <v>3.65</v>
      </c>
      <c r="I31" s="143">
        <f>[1]Submetering!H31+[1]Submetering!AD31+[1]Submetering!AE31</f>
        <v>-194</v>
      </c>
      <c r="J31" s="143">
        <v>10.029999999999999</v>
      </c>
      <c r="K31" s="38">
        <f>[1]ELECT.!B32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[1]Submetering!O32+[1]Submetering!P32)*0.842284+[1]Submetering!Q32+([1]Submetering!M32+[1]Submetering!N32+[1]Submetering!Y32)*0.7362)+([1]Submetering!O32+[1]Submetering!P32+[1]Submetering!Q32)*0.1488+([1]Submetering!M32+[1]Submetering!N32+[1]Submetering!Y32)*0.1167+([1]Submetering!K32+[1]Submetering!L32-[1]Submetering!Z32-[1]Submetering!AA32-[1]Submetering!AB32-[1]Submetering!AC32-[1]Submetering!Q32)+([1]Submetering!M32+[1]Submetering!N32+[1]Submetering!Y32)*0.1139)</f>
        <v>0</v>
      </c>
      <c r="F32" s="141">
        <v>1.27</v>
      </c>
      <c r="G32" s="38">
        <f>[1]Gas!C33*0.9147</f>
        <v>0</v>
      </c>
      <c r="H32" s="141">
        <v>3.65</v>
      </c>
      <c r="I32" s="143">
        <f>[1]Submetering!H32+[1]Submetering!AD32+[1]Submetering!AE32</f>
        <v>-194</v>
      </c>
      <c r="J32" s="143">
        <v>10.029999999999999</v>
      </c>
      <c r="K32" s="38">
        <f>[1]ELECT.!B33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AE13" sqref="AE1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0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32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32" si="1">(E3-H3-194)*0.1318</f>
        <v>98.964665999999994</v>
      </c>
      <c r="AE3" s="36">
        <f t="shared" ref="AE3:AE32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0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26080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1040</v>
      </c>
      <c r="F9" s="38">
        <f>Water!E10</f>
        <v>490</v>
      </c>
      <c r="G9" s="38">
        <f>Water!G10</f>
        <v>391.5</v>
      </c>
      <c r="H9" s="38">
        <f>Water!I10</f>
        <v>3.8340000000000001</v>
      </c>
      <c r="I9" s="38">
        <f>ELECT.!F10</f>
        <v>13851</v>
      </c>
      <c r="J9" s="38">
        <f>ELECT.!H10</f>
        <v>44703</v>
      </c>
      <c r="K9" s="38">
        <f>ELECT.!K10</f>
        <v>9992</v>
      </c>
      <c r="L9" s="38">
        <f>ELECT.!M10</f>
        <v>5945</v>
      </c>
      <c r="M9" s="38">
        <f>ELECT.!O10</f>
        <v>11786</v>
      </c>
      <c r="N9" s="38">
        <f>ELECT.!Q10</f>
        <v>3151</v>
      </c>
      <c r="O9" s="38">
        <f>ELECT.!S10</f>
        <v>11521</v>
      </c>
      <c r="P9" s="38">
        <f>ELECT.!W10*2</f>
        <v>23930</v>
      </c>
      <c r="Q9" s="38">
        <f>ELECT.!D10</f>
        <v>320</v>
      </c>
      <c r="R9" s="39">
        <f>BTU!C10</f>
        <v>3.9849999999969441</v>
      </c>
      <c r="S9" s="39">
        <f>BTU!F10</f>
        <v>1.0480000000006839</v>
      </c>
      <c r="T9" s="39">
        <f>BTU!I10</f>
        <v>6</v>
      </c>
      <c r="U9" s="39">
        <f>BTU!O10</f>
        <v>1.1390000000001237</v>
      </c>
      <c r="V9" s="39">
        <f>BTU!L10</f>
        <v>0</v>
      </c>
      <c r="W9" s="39">
        <f>BTU!R10</f>
        <v>0.3999999999996362</v>
      </c>
      <c r="X9" s="36">
        <f>ELECT.!B10</f>
        <v>313</v>
      </c>
      <c r="Y9" s="36">
        <f t="shared" si="0"/>
        <v>-7771</v>
      </c>
      <c r="Z9">
        <f>'Mall, Citadel, Rotana'!C10+'Mall, Citadel, Rotana'!E10+'Mall, Citadel, Rotana'!G10+'Mall, Citadel, Rotana'!I10</f>
        <v>1374</v>
      </c>
      <c r="AA9">
        <f>'Mall, Citadel, Rotana'!K10+'Mall, Citadel, Rotana'!M10</f>
        <v>27840</v>
      </c>
      <c r="AB9">
        <f>'Mall, Citadel, Rotana'!O10</f>
        <v>3</v>
      </c>
      <c r="AC9">
        <f>'Mall, Citadel, Rotana'!Q10+'Mall, Citadel, Rotana'!S10</f>
        <v>149</v>
      </c>
      <c r="AD9" s="36">
        <f t="shared" si="1"/>
        <v>110.9974788</v>
      </c>
      <c r="AE9" s="36">
        <f t="shared" si="2"/>
        <v>731.16852119999999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1030</v>
      </c>
      <c r="F10" s="38">
        <f>Water!E11</f>
        <v>520</v>
      </c>
      <c r="G10" s="38">
        <f>Water!G11</f>
        <v>369.9</v>
      </c>
      <c r="H10" s="38">
        <f>Water!I11</f>
        <v>3.8879999999999999</v>
      </c>
      <c r="I10" s="38">
        <f>ELECT.!F11</f>
        <v>10734</v>
      </c>
      <c r="J10" s="38">
        <f>ELECT.!H11</f>
        <v>32707</v>
      </c>
      <c r="K10" s="38">
        <f>ELECT.!K11</f>
        <v>7374</v>
      </c>
      <c r="L10" s="38">
        <f>ELECT.!M11</f>
        <v>4988</v>
      </c>
      <c r="M10" s="38">
        <f>ELECT.!O11</f>
        <v>5604</v>
      </c>
      <c r="N10" s="38">
        <f>ELECT.!Q11</f>
        <v>2254</v>
      </c>
      <c r="O10" s="38">
        <f>ELECT.!S11</f>
        <v>8296</v>
      </c>
      <c r="P10" s="38">
        <f>ELECT.!W11*2</f>
        <v>17648</v>
      </c>
      <c r="Q10" s="38">
        <f>ELECT.!D11</f>
        <v>480</v>
      </c>
      <c r="R10" s="39">
        <f>BTU!C11</f>
        <v>4.0420000000012806</v>
      </c>
      <c r="S10" s="39">
        <f>BTU!F11</f>
        <v>1.602999999999156</v>
      </c>
      <c r="T10" s="39">
        <f>BTU!I11</f>
        <v>6</v>
      </c>
      <c r="U10" s="39">
        <f>BTU!O11</f>
        <v>1.4039999999999964</v>
      </c>
      <c r="V10" s="39">
        <f>BTU!L11</f>
        <v>0</v>
      </c>
      <c r="W10" s="39">
        <f>BTU!R11</f>
        <v>0.6000000000003638</v>
      </c>
      <c r="X10" s="36">
        <f>ELECT.!B11</f>
        <v>163</v>
      </c>
      <c r="Y10" s="36">
        <f t="shared" si="0"/>
        <v>-2723</v>
      </c>
      <c r="Z10">
        <f>'Mall, Citadel, Rotana'!C11+'Mall, Citadel, Rotana'!E11+'Mall, Citadel, Rotana'!G11+'Mall, Citadel, Rotana'!I11</f>
        <v>1354</v>
      </c>
      <c r="AA10">
        <f>'Mall, Citadel, Rotana'!K11+'Mall, Citadel, Rotana'!M11</f>
        <v>27520</v>
      </c>
      <c r="AB10">
        <f>'Mall, Citadel, Rotana'!O11</f>
        <v>3</v>
      </c>
      <c r="AC10">
        <f>'Mall, Citadel, Rotana'!Q11+'Mall, Citadel, Rotana'!S11</f>
        <v>0</v>
      </c>
      <c r="AD10" s="36">
        <f t="shared" si="1"/>
        <v>109.67236160000002</v>
      </c>
      <c r="AE10" s="36">
        <f t="shared" si="2"/>
        <v>722.43963840000004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1720</v>
      </c>
      <c r="F11" s="38">
        <f>Water!E12</f>
        <v>1230</v>
      </c>
      <c r="G11" s="38">
        <f>Water!G12</f>
        <v>361.8</v>
      </c>
      <c r="H11" s="38">
        <f>Water!I12</f>
        <v>4.2119999999999997</v>
      </c>
      <c r="I11" s="38">
        <f>ELECT.!F12</f>
        <v>10698</v>
      </c>
      <c r="J11" s="38">
        <f>ELECT.!H12</f>
        <v>35102</v>
      </c>
      <c r="K11" s="38">
        <f>ELECT.!K12</f>
        <v>7828</v>
      </c>
      <c r="L11" s="38">
        <f>ELECT.!M12</f>
        <v>4845</v>
      </c>
      <c r="M11" s="38">
        <f>ELECT.!O12</f>
        <v>5718</v>
      </c>
      <c r="N11" s="38">
        <f>ELECT.!Q12</f>
        <v>2764</v>
      </c>
      <c r="O11" s="38">
        <f>ELECT.!S12</f>
        <v>8889</v>
      </c>
      <c r="P11" s="38">
        <f>ELECT.!W12*2</f>
        <v>18682</v>
      </c>
      <c r="Q11" s="38">
        <f>ELECT.!D12</f>
        <v>480</v>
      </c>
      <c r="R11" s="39">
        <f>BTU!C12</f>
        <v>3.6110000000007858</v>
      </c>
      <c r="S11" s="39">
        <f>BTU!F12</f>
        <v>1.1320000000005166</v>
      </c>
      <c r="T11" s="39">
        <f>BTU!I12</f>
        <v>6</v>
      </c>
      <c r="U11" s="39">
        <f>BTU!O12</f>
        <v>1.4149999999999636</v>
      </c>
      <c r="V11" s="39">
        <f>BTU!L12</f>
        <v>0</v>
      </c>
      <c r="W11" s="39">
        <f>BTU!R12</f>
        <v>0</v>
      </c>
      <c r="X11" s="36">
        <f>ELECT.!B12</f>
        <v>240</v>
      </c>
      <c r="Y11" s="36">
        <f t="shared" si="0"/>
        <v>-2926</v>
      </c>
      <c r="Z11">
        <f>'Mall, Citadel, Rotana'!C12+'Mall, Citadel, Rotana'!E12+'Mall, Citadel, Rotana'!G12+'Mall, Citadel, Rotana'!I12</f>
        <v>1207</v>
      </c>
      <c r="AA11">
        <f>'Mall, Citadel, Rotana'!K12+'Mall, Citadel, Rotana'!M12</f>
        <v>31200</v>
      </c>
      <c r="AB11">
        <f>'Mall, Citadel, Rotana'!O12</f>
        <v>4</v>
      </c>
      <c r="AC11">
        <f>'Mall, Citadel, Rotana'!Q12+'Mall, Citadel, Rotana'!S12</f>
        <v>0</v>
      </c>
      <c r="AD11" s="36">
        <f t="shared" si="1"/>
        <v>200.57165839999999</v>
      </c>
      <c r="AE11" s="36">
        <f t="shared" si="2"/>
        <v>1321.2163416000001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1020</v>
      </c>
      <c r="F12" s="38">
        <f>Water!E13</f>
        <v>510</v>
      </c>
      <c r="G12" s="38">
        <f>Water!G13</f>
        <v>391.5</v>
      </c>
      <c r="H12" s="38">
        <f>Water!I13</f>
        <v>4.7519999999999998</v>
      </c>
      <c r="I12" s="38">
        <f>ELECT.!F13</f>
        <v>14631</v>
      </c>
      <c r="J12" s="38">
        <f>ELECT.!H13</f>
        <v>43556</v>
      </c>
      <c r="K12" s="38">
        <f>ELECT.!K13</f>
        <v>9166</v>
      </c>
      <c r="L12" s="38">
        <f>ELECT.!M13</f>
        <v>6599</v>
      </c>
      <c r="M12" s="38">
        <f>ELECT.!O13</f>
        <v>7828</v>
      </c>
      <c r="N12" s="38">
        <f>ELECT.!Q13</f>
        <v>3487</v>
      </c>
      <c r="O12" s="38">
        <f>ELECT.!S13</f>
        <v>11495</v>
      </c>
      <c r="P12" s="38">
        <f>ELECT.!W13*2</f>
        <v>22862</v>
      </c>
      <c r="Q12" s="38">
        <f>ELECT.!D13</f>
        <v>480</v>
      </c>
      <c r="R12" s="39">
        <f>BTU!C13</f>
        <v>2.6769999999996799</v>
      </c>
      <c r="S12" s="39">
        <f>BTU!F13</f>
        <v>0.53399999999965075</v>
      </c>
      <c r="T12" s="39">
        <f>BTU!I13</f>
        <v>6</v>
      </c>
      <c r="U12" s="39">
        <f>BTU!O13</f>
        <v>1.2519999999999527</v>
      </c>
      <c r="V12" s="39">
        <f>BTU!L13</f>
        <v>0</v>
      </c>
      <c r="W12" s="39">
        <f>BTU!R13</f>
        <v>2.9999999999745341E-2</v>
      </c>
      <c r="X12" s="36">
        <f>ELECT.!B13</f>
        <v>218</v>
      </c>
      <c r="Y12" s="36">
        <f t="shared" si="0"/>
        <v>-3250</v>
      </c>
      <c r="Z12">
        <f>'Mall, Citadel, Rotana'!C13+'Mall, Citadel, Rotana'!E13+'Mall, Citadel, Rotana'!G13+'Mall, Citadel, Rotana'!I13</f>
        <v>1385</v>
      </c>
      <c r="AA12">
        <f>'Mall, Citadel, Rotana'!K13+'Mall, Citadel, Rotana'!M13</f>
        <v>18720</v>
      </c>
      <c r="AB12">
        <f>'Mall, Citadel, Rotana'!O13</f>
        <v>3</v>
      </c>
      <c r="AC12">
        <f>'Mall, Citadel, Rotana'!Q13+'Mall, Citadel, Rotana'!S13</f>
        <v>0</v>
      </c>
      <c r="AD12" s="36">
        <f t="shared" si="1"/>
        <v>108.24048640000001</v>
      </c>
      <c r="AE12" s="36">
        <f t="shared" si="2"/>
        <v>713.00751360000004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1050</v>
      </c>
      <c r="F13" s="38">
        <f>Water!E14</f>
        <v>500</v>
      </c>
      <c r="G13" s="38">
        <f>Water!G14</f>
        <v>372.6</v>
      </c>
      <c r="H13" s="38">
        <f>Water!I14</f>
        <v>4.8869999999999996</v>
      </c>
      <c r="I13" s="38">
        <f>ELECT.!F14</f>
        <v>11278</v>
      </c>
      <c r="J13" s="38">
        <f>ELECT.!H14</f>
        <v>34216</v>
      </c>
      <c r="K13" s="38">
        <f>ELECT.!K14</f>
        <v>7364</v>
      </c>
      <c r="L13" s="38">
        <f>ELECT.!M14</f>
        <v>5175</v>
      </c>
      <c r="M13" s="38">
        <f>ELECT.!O14</f>
        <v>5988</v>
      </c>
      <c r="N13" s="38">
        <f>ELECT.!Q14</f>
        <v>2754</v>
      </c>
      <c r="O13" s="38">
        <f>ELECT.!S14</f>
        <v>9212</v>
      </c>
      <c r="P13" s="38">
        <f>ELECT.!W14*2</f>
        <v>17864</v>
      </c>
      <c r="Q13" s="38">
        <f>ELECT.!D14</f>
        <v>480</v>
      </c>
      <c r="R13" s="39">
        <f>BTU!C14</f>
        <v>2.9089999999996508</v>
      </c>
      <c r="S13" s="39">
        <f>BTU!F14</f>
        <v>0.54100000000016735</v>
      </c>
      <c r="T13" s="39">
        <f>BTU!I14</f>
        <v>5</v>
      </c>
      <c r="U13" s="39">
        <f>BTU!O14</f>
        <v>1.1829999999999927</v>
      </c>
      <c r="V13" s="39">
        <f>BTU!L14</f>
        <v>0</v>
      </c>
      <c r="W13" s="39">
        <f>BTU!R14</f>
        <v>0</v>
      </c>
      <c r="X13" s="36">
        <f>ELECT.!B14</f>
        <v>269</v>
      </c>
      <c r="Y13" s="36">
        <f t="shared" si="0"/>
        <v>-2863</v>
      </c>
      <c r="Z13">
        <f>'Mall, Citadel, Rotana'!C14+'Mall, Citadel, Rotana'!E14+'Mall, Citadel, Rotana'!G14+'Mall, Citadel, Rotana'!I14</f>
        <v>1193</v>
      </c>
      <c r="AA13">
        <f>'Mall, Citadel, Rotana'!K14+'Mall, Citadel, Rotana'!M14</f>
        <v>20640</v>
      </c>
      <c r="AB13">
        <f>'Mall, Citadel, Rotana'!O14</f>
        <v>3</v>
      </c>
      <c r="AC13">
        <f>'Mall, Citadel, Rotana'!Q14+'Mall, Citadel, Rotana'!S14</f>
        <v>484</v>
      </c>
      <c r="AD13" s="36">
        <f t="shared" si="1"/>
        <v>112.1766934</v>
      </c>
      <c r="AE13" s="36">
        <f t="shared" si="2"/>
        <v>738.93630660000008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1050</v>
      </c>
      <c r="F14" s="38">
        <f>Water!E15</f>
        <v>480</v>
      </c>
      <c r="G14" s="38">
        <f>Water!G15</f>
        <v>394.2</v>
      </c>
      <c r="H14" s="38">
        <f>Water!I15</f>
        <v>5.0490000000000004</v>
      </c>
      <c r="I14" s="38">
        <f>ELECT.!F15</f>
        <v>12497</v>
      </c>
      <c r="J14" s="38">
        <f>ELECT.!H15</f>
        <v>37648</v>
      </c>
      <c r="K14" s="38">
        <f>ELECT.!K15</f>
        <v>9204</v>
      </c>
      <c r="L14" s="38">
        <f>ELECT.!M15</f>
        <v>5964</v>
      </c>
      <c r="M14" s="38">
        <f>ELECT.!O15</f>
        <v>6400</v>
      </c>
      <c r="N14" s="38">
        <f>ELECT.!Q15</f>
        <v>2998</v>
      </c>
      <c r="O14" s="38">
        <f>ELECT.!S15</f>
        <v>9928</v>
      </c>
      <c r="P14" s="38">
        <f>ELECT.!W15*2</f>
        <v>19312</v>
      </c>
      <c r="Q14" s="38">
        <f>ELECT.!D15</f>
        <v>480</v>
      </c>
      <c r="R14" s="39">
        <f>BTU!C15</f>
        <v>2.0879999999997381</v>
      </c>
      <c r="S14" s="39">
        <f>BTU!F15</f>
        <v>0.7430000000003929</v>
      </c>
      <c r="T14" s="39">
        <f>BTU!I15</f>
        <v>5</v>
      </c>
      <c r="U14" s="39">
        <f>BTU!O15</f>
        <v>1.1019999999998618</v>
      </c>
      <c r="V14" s="39">
        <f>BTU!L15</f>
        <v>0</v>
      </c>
      <c r="W14" s="39">
        <f>BTU!R15</f>
        <v>0</v>
      </c>
      <c r="X14" s="36">
        <f>ELECT.!B15</f>
        <v>294</v>
      </c>
      <c r="Y14" s="36">
        <f t="shared" si="0"/>
        <v>-3661</v>
      </c>
      <c r="Z14">
        <f>'Mall, Citadel, Rotana'!C15+'Mall, Citadel, Rotana'!E15+'Mall, Citadel, Rotana'!G15+'Mall, Citadel, Rotana'!I15</f>
        <v>1356</v>
      </c>
      <c r="AA14">
        <f>'Mall, Citadel, Rotana'!K15+'Mall, Citadel, Rotana'!M15</f>
        <v>29120</v>
      </c>
      <c r="AB14">
        <f>'Mall, Citadel, Rotana'!O15</f>
        <v>3</v>
      </c>
      <c r="AC14">
        <f>'Mall, Citadel, Rotana'!Q15+'Mall, Citadel, Rotana'!S15</f>
        <v>125</v>
      </c>
      <c r="AD14" s="36">
        <f t="shared" si="1"/>
        <v>112.1553418</v>
      </c>
      <c r="AE14" s="36">
        <f t="shared" si="2"/>
        <v>738.79565820000005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1070</v>
      </c>
      <c r="F15" s="38">
        <f>Water!E16</f>
        <v>540</v>
      </c>
      <c r="G15" s="38">
        <f>Water!G16</f>
        <v>445.5</v>
      </c>
      <c r="H15" s="38">
        <f>Water!I16</f>
        <v>5.9939999999999998</v>
      </c>
      <c r="I15" s="38">
        <f>ELECT.!F16</f>
        <v>13745</v>
      </c>
      <c r="J15" s="38">
        <f>ELECT.!H16</f>
        <v>44587</v>
      </c>
      <c r="K15" s="38">
        <f>ELECT.!K16</f>
        <v>10744</v>
      </c>
      <c r="L15" s="38">
        <f>ELECT.!M16</f>
        <v>6743</v>
      </c>
      <c r="M15" s="38">
        <f>ELECT.!O16</f>
        <v>6824</v>
      </c>
      <c r="N15" s="38">
        <f>ELECT.!Q16</f>
        <v>3393</v>
      </c>
      <c r="O15" s="38">
        <f>ELECT.!S16</f>
        <v>11628</v>
      </c>
      <c r="P15" s="38">
        <f>ELECT.!W16*2</f>
        <v>23144</v>
      </c>
      <c r="Q15" s="38">
        <f>ELECT.!D16</f>
        <v>320</v>
      </c>
      <c r="R15" s="39">
        <f>BTU!C16</f>
        <v>2.2319999999999709</v>
      </c>
      <c r="S15" s="39">
        <f>BTU!F16</f>
        <v>0.42000000000007276</v>
      </c>
      <c r="T15" s="39">
        <f>BTU!I16</f>
        <v>7</v>
      </c>
      <c r="U15" s="39">
        <f>BTU!O16</f>
        <v>1.3100000000004002</v>
      </c>
      <c r="V15" s="39">
        <f>BTU!L16</f>
        <v>0</v>
      </c>
      <c r="W15" s="39">
        <f>BTU!R16</f>
        <v>1.0000000000218279E-2</v>
      </c>
      <c r="X15" s="36">
        <f>ELECT.!B16</f>
        <v>271</v>
      </c>
      <c r="Y15" s="36">
        <f t="shared" si="0"/>
        <v>-4144</v>
      </c>
      <c r="Z15">
        <f>'Mall, Citadel, Rotana'!C16+'Mall, Citadel, Rotana'!E16+'Mall, Citadel, Rotana'!G16+'Mall, Citadel, Rotana'!I16</f>
        <v>1534</v>
      </c>
      <c r="AA15">
        <f>'Mall, Citadel, Rotana'!K16+'Mall, Citadel, Rotana'!M16</f>
        <v>27040</v>
      </c>
      <c r="AB15">
        <f>'Mall, Citadel, Rotana'!O16</f>
        <v>3</v>
      </c>
      <c r="AC15">
        <f>'Mall, Citadel, Rotana'!Q16+'Mall, Citadel, Rotana'!S16</f>
        <v>110</v>
      </c>
      <c r="AD15" s="36">
        <f t="shared" si="1"/>
        <v>114.66679080000002</v>
      </c>
      <c r="AE15" s="36">
        <f t="shared" si="2"/>
        <v>755.33920920000003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1090</v>
      </c>
      <c r="F16" s="38">
        <f>Water!E17</f>
        <v>470</v>
      </c>
      <c r="G16" s="38">
        <f>Water!G17</f>
        <v>337.5</v>
      </c>
      <c r="H16" s="38">
        <f>Water!I17</f>
        <v>5.5620000000000003</v>
      </c>
      <c r="I16" s="38">
        <f>ELECT.!F17</f>
        <v>10181</v>
      </c>
      <c r="J16" s="38">
        <f>ELECT.!H17</f>
        <v>31158</v>
      </c>
      <c r="K16" s="38">
        <f>ELECT.!K17</f>
        <v>7748</v>
      </c>
      <c r="L16" s="38">
        <f>ELECT.!M17</f>
        <v>5110</v>
      </c>
      <c r="M16" s="38">
        <f>ELECT.!O17</f>
        <v>4934</v>
      </c>
      <c r="N16" s="38">
        <f>ELECT.!Q17</f>
        <v>2428</v>
      </c>
      <c r="O16" s="38">
        <f>ELECT.!S17</f>
        <v>8057</v>
      </c>
      <c r="P16" s="38">
        <f>ELECT.!W17*2</f>
        <v>16110</v>
      </c>
      <c r="Q16" s="38">
        <f>ELECT.!D17</f>
        <v>800</v>
      </c>
      <c r="R16" s="39">
        <f>BTU!C17</f>
        <v>2.2240000000019791</v>
      </c>
      <c r="S16" s="39">
        <f>BTU!F17</f>
        <v>0.8139999999993961</v>
      </c>
      <c r="T16" s="39">
        <f>BTU!I17</f>
        <v>6</v>
      </c>
      <c r="U16" s="39">
        <f>BTU!O17</f>
        <v>1.2809999999999491</v>
      </c>
      <c r="V16" s="39">
        <f>BTU!L17</f>
        <v>0</v>
      </c>
      <c r="W16" s="39">
        <f>BTU!R17</f>
        <v>0</v>
      </c>
      <c r="X16" s="36">
        <f>ELECT.!B17</f>
        <v>316</v>
      </c>
      <c r="Y16" s="36">
        <f t="shared" si="0"/>
        <v>-3048</v>
      </c>
      <c r="Z16">
        <f>'Mall, Citadel, Rotana'!C17+'Mall, Citadel, Rotana'!E17+'Mall, Citadel, Rotana'!G17+'Mall, Citadel, Rotana'!I17</f>
        <v>1212</v>
      </c>
      <c r="AA16">
        <f>'Mall, Citadel, Rotana'!K17+'Mall, Citadel, Rotana'!M17</f>
        <v>27360</v>
      </c>
      <c r="AB16">
        <f>'Mall, Citadel, Rotana'!O17</f>
        <v>3</v>
      </c>
      <c r="AC16">
        <f>'Mall, Citadel, Rotana'!Q17+'Mall, Citadel, Rotana'!S17</f>
        <v>219</v>
      </c>
      <c r="AD16" s="36">
        <f t="shared" si="1"/>
        <v>117.35972840000001</v>
      </c>
      <c r="AE16" s="36">
        <f t="shared" si="2"/>
        <v>773.07827160000011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1100</v>
      </c>
      <c r="F17" s="38">
        <f>Water!E18</f>
        <v>500</v>
      </c>
      <c r="G17" s="38">
        <f>Water!G18</f>
        <v>372.6</v>
      </c>
      <c r="H17" s="38">
        <f>Water!I18</f>
        <v>6.0750000000000002</v>
      </c>
      <c r="I17" s="38">
        <f>ELECT.!F18</f>
        <v>14400</v>
      </c>
      <c r="J17" s="38">
        <f>ELECT.!H18</f>
        <v>46063</v>
      </c>
      <c r="K17" s="38">
        <f>ELECT.!K18</f>
        <v>12054</v>
      </c>
      <c r="L17" s="38">
        <f>ELECT.!M18</f>
        <v>6856</v>
      </c>
      <c r="M17" s="38">
        <f>ELECT.!O18</f>
        <v>7378</v>
      </c>
      <c r="N17" s="38">
        <f>ELECT.!Q18</f>
        <v>3463</v>
      </c>
      <c r="O17" s="38">
        <f>ELECT.!S18</f>
        <v>11929</v>
      </c>
      <c r="P17" s="38">
        <f>ELECT.!W18*2</f>
        <v>23600</v>
      </c>
      <c r="Q17" s="38">
        <f>ELECT.!D18</f>
        <v>480</v>
      </c>
      <c r="R17" s="39">
        <f>BTU!C18</f>
        <v>1.8999999999978172</v>
      </c>
      <c r="S17" s="39">
        <f>BTU!F18</f>
        <v>0.61700000000018917</v>
      </c>
      <c r="T17" s="39">
        <f>BTU!I18</f>
        <v>5</v>
      </c>
      <c r="U17" s="39">
        <f>BTU!O18</f>
        <v>1.1709999999998217</v>
      </c>
      <c r="V17" s="39">
        <f>BTU!L18</f>
        <v>0</v>
      </c>
      <c r="W17" s="39">
        <f>BTU!R18</f>
        <v>0</v>
      </c>
      <c r="X17" s="36">
        <f>ELECT.!B18</f>
        <v>319</v>
      </c>
      <c r="Y17" s="36">
        <f t="shared" si="0"/>
        <v>-4817</v>
      </c>
      <c r="Z17">
        <f>'Mall, Citadel, Rotana'!C18+'Mall, Citadel, Rotana'!E18+'Mall, Citadel, Rotana'!G18+'Mall, Citadel, Rotana'!I18</f>
        <v>1354</v>
      </c>
      <c r="AA17">
        <f>'Mall, Citadel, Rotana'!K18+'Mall, Citadel, Rotana'!M18</f>
        <v>27200</v>
      </c>
      <c r="AB17">
        <f>'Mall, Citadel, Rotana'!O18</f>
        <v>3</v>
      </c>
      <c r="AC17">
        <f>'Mall, Citadel, Rotana'!Q18+'Mall, Citadel, Rotana'!S18</f>
        <v>121</v>
      </c>
      <c r="AD17" s="36">
        <f t="shared" si="1"/>
        <v>118.61011499999999</v>
      </c>
      <c r="AE17" s="36">
        <f t="shared" si="2"/>
        <v>781.314885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1100</v>
      </c>
      <c r="F18" s="38">
        <f>Water!E19</f>
        <v>500</v>
      </c>
      <c r="G18" s="38">
        <f>Water!G19</f>
        <v>372.6</v>
      </c>
      <c r="H18" s="38">
        <f>Water!I19</f>
        <v>6.0750000000000002</v>
      </c>
      <c r="I18" s="38">
        <f>ELECT.!F19</f>
        <v>9744</v>
      </c>
      <c r="J18" s="38">
        <f>ELECT.!H19</f>
        <v>29795</v>
      </c>
      <c r="K18" s="38">
        <f>ELECT.!K19</f>
        <v>8758</v>
      </c>
      <c r="L18" s="38">
        <f>ELECT.!M19</f>
        <v>4682</v>
      </c>
      <c r="M18" s="38">
        <f>ELECT.!O19</f>
        <v>4934</v>
      </c>
      <c r="N18" s="38">
        <f>ELECT.!Q19</f>
        <v>2174</v>
      </c>
      <c r="O18" s="38">
        <f>ELECT.!S19</f>
        <v>7258</v>
      </c>
      <c r="P18" s="38">
        <f>ELECT.!W19*2</f>
        <v>15346</v>
      </c>
      <c r="Q18" s="38">
        <f>ELECT.!D19</f>
        <v>480</v>
      </c>
      <c r="R18" s="39">
        <f>BTU!C19</f>
        <v>2.0600000000013097</v>
      </c>
      <c r="S18" s="39">
        <f>BTU!F19</f>
        <v>0.568000000000211</v>
      </c>
      <c r="T18" s="39">
        <f>BTU!I19</f>
        <v>6</v>
      </c>
      <c r="U18" s="39">
        <f>BTU!O19</f>
        <v>1.1860000000001492</v>
      </c>
      <c r="V18" s="39">
        <f>BTU!L19</f>
        <v>0</v>
      </c>
      <c r="W18" s="39">
        <f>BTU!R19</f>
        <v>9.999999999308784E-3</v>
      </c>
      <c r="X18" s="36">
        <f>ELECT.!B19</f>
        <v>295</v>
      </c>
      <c r="Y18" s="36">
        <f t="shared" si="0"/>
        <v>-3613</v>
      </c>
      <c r="Z18">
        <f>'Mall, Citadel, Rotana'!C19+'Mall, Citadel, Rotana'!E19+'Mall, Citadel, Rotana'!G19+'Mall, Citadel, Rotana'!I19</f>
        <v>1371</v>
      </c>
      <c r="AA18">
        <f>'Mall, Citadel, Rotana'!K19+'Mall, Citadel, Rotana'!M19</f>
        <v>26880</v>
      </c>
      <c r="AB18">
        <f>'Mall, Citadel, Rotana'!O19</f>
        <v>3</v>
      </c>
      <c r="AC18">
        <f>'Mall, Citadel, Rotana'!Q19+'Mall, Citadel, Rotana'!S19</f>
        <v>115</v>
      </c>
      <c r="AD18" s="36">
        <f t="shared" si="1"/>
        <v>118.61011499999999</v>
      </c>
      <c r="AE18" s="36">
        <f t="shared" si="2"/>
        <v>781.314885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 t="str">
        <f>ELECT.!F20</f>
        <v>0</v>
      </c>
      <c r="J19" s="38" t="str">
        <f>ELECT.!H20</f>
        <v>0</v>
      </c>
      <c r="K19" s="38">
        <f>ELECT.!K20</f>
        <v>0</v>
      </c>
      <c r="L19" s="38" t="str">
        <f>ELECT.!M20</f>
        <v>0</v>
      </c>
      <c r="M19" s="38">
        <f>ELECT.!O20</f>
        <v>0</v>
      </c>
      <c r="N19" s="38" t="str">
        <f>ELECT.!Q20</f>
        <v>0</v>
      </c>
      <c r="O19" s="38" t="str">
        <f>ELECT.!S20</f>
        <v>0</v>
      </c>
      <c r="P19" s="38">
        <f>ELECT.!W20*2</f>
        <v>0</v>
      </c>
      <c r="Q19" s="38">
        <f>ELECT.!D20</f>
        <v>0</v>
      </c>
      <c r="R19" s="39" t="str">
        <f>BTU!C20</f>
        <v>0</v>
      </c>
      <c r="S19" s="39" t="str">
        <f>BTU!F20</f>
        <v>0</v>
      </c>
      <c r="T19" s="39" t="str">
        <f>BTU!I20</f>
        <v>0</v>
      </c>
      <c r="U19" s="39" t="str">
        <f>BTU!O20</f>
        <v>0</v>
      </c>
      <c r="V19" s="39" t="str">
        <f>BTU!L20</f>
        <v>0</v>
      </c>
      <c r="W19" s="39" t="str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[1]Water!C31</f>
        <v>0</v>
      </c>
      <c r="F30" s="38">
        <f>[1]Water!E31</f>
        <v>0</v>
      </c>
      <c r="G30" s="38">
        <f>[1]Water!E31</f>
        <v>0</v>
      </c>
      <c r="H30" s="38">
        <f>[1]Water!I31</f>
        <v>0</v>
      </c>
      <c r="I30" s="38">
        <f>[1]Water!G31</f>
        <v>0</v>
      </c>
      <c r="J30" s="38">
        <f>[1]ELECT.!H31</f>
        <v>0</v>
      </c>
      <c r="K30" s="38">
        <f>[1]Water!I31</f>
        <v>0</v>
      </c>
      <c r="L30" s="38">
        <f>[1]Water!J31</f>
        <v>0</v>
      </c>
      <c r="M30" s="38">
        <f>[1]Water!K31</f>
        <v>0</v>
      </c>
      <c r="N30" s="38">
        <f>[1]Water!L31</f>
        <v>0</v>
      </c>
      <c r="O30" s="38">
        <f>[1]Water!M31</f>
        <v>0</v>
      </c>
      <c r="P30" s="38">
        <f>[1]Water!N31</f>
        <v>0</v>
      </c>
      <c r="Q30" s="38">
        <f>[1]Water!O31</f>
        <v>0</v>
      </c>
      <c r="R30" s="143">
        <f>[1]BTU!C31</f>
        <v>0</v>
      </c>
      <c r="S30" s="143">
        <f>[1]BTU!F31</f>
        <v>0</v>
      </c>
      <c r="T30" s="143">
        <f>[1]BTU!I31</f>
        <v>0</v>
      </c>
      <c r="U30" s="143">
        <f>[1]BTU!O31</f>
        <v>0</v>
      </c>
      <c r="V30" s="143">
        <f>[1]BTU!L31</f>
        <v>0</v>
      </c>
      <c r="W30" s="143">
        <f>[1]BTU!R31</f>
        <v>0</v>
      </c>
      <c r="X30" s="36">
        <f>[1]ELECT.!B31</f>
        <v>0</v>
      </c>
      <c r="Y30" s="36">
        <f t="shared" si="0"/>
        <v>0</v>
      </c>
      <c r="Z30">
        <f>'[1]Mall, Citadel, Rotana'!C31+'[1]Mall, Citadel, Rotana'!E31+'[1]Mall, Citadel, Rotana'!G31+'[1]Mall, Citadel, Rotana'!I31</f>
        <v>0</v>
      </c>
      <c r="AA30">
        <f>'[1]Mall, Citadel, Rotana'!K31+'[1]Mall, Citadel, Rotana'!M31</f>
        <v>0</v>
      </c>
      <c r="AB30">
        <f>'[1]Mall, Citadel, Rotana'!O31</f>
        <v>0</v>
      </c>
      <c r="AC30">
        <f>'[1]Mall, Citadel, Rotana'!Q31+'[1]Mall, Citadel, Rotana'!S31</f>
        <v>0</v>
      </c>
      <c r="AD30" s="36">
        <f t="shared" si="1"/>
        <v>-25.569199999999999</v>
      </c>
      <c r="AE30" s="36">
        <f t="shared" si="2"/>
        <v>-168.4308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[1]Water!C32</f>
        <v>0</v>
      </c>
      <c r="F31" s="38">
        <f>[1]Water!E32</f>
        <v>0</v>
      </c>
      <c r="G31" s="38">
        <f>[1]Water!E32</f>
        <v>0</v>
      </c>
      <c r="H31" s="38">
        <f>[1]Water!I32</f>
        <v>0</v>
      </c>
      <c r="I31" s="38">
        <f>[1]Water!G32</f>
        <v>0</v>
      </c>
      <c r="J31" s="38">
        <f>[1]ELECT.!H32</f>
        <v>0</v>
      </c>
      <c r="K31" s="38">
        <f>[1]Water!I32</f>
        <v>0</v>
      </c>
      <c r="L31" s="38">
        <f>[1]Water!J32</f>
        <v>0</v>
      </c>
      <c r="M31" s="38">
        <f>[1]Water!K32</f>
        <v>0</v>
      </c>
      <c r="N31" s="38">
        <f>[1]Water!L32</f>
        <v>0</v>
      </c>
      <c r="O31" s="38">
        <f>[1]Water!M32</f>
        <v>0</v>
      </c>
      <c r="P31" s="38">
        <f>[1]Water!N32</f>
        <v>0</v>
      </c>
      <c r="Q31" s="38">
        <f>[1]Water!O32</f>
        <v>0</v>
      </c>
      <c r="R31" s="143">
        <f>[1]BTU!C32</f>
        <v>0</v>
      </c>
      <c r="S31" s="143">
        <f>[1]BTU!F32</f>
        <v>0</v>
      </c>
      <c r="T31" s="143">
        <f>[1]BTU!I32</f>
        <v>0</v>
      </c>
      <c r="U31" s="143">
        <f>[1]BTU!O32</f>
        <v>0</v>
      </c>
      <c r="V31" s="143">
        <f>[1]BTU!L32</f>
        <v>0</v>
      </c>
      <c r="W31" s="143">
        <f>[1]BTU!R32</f>
        <v>0</v>
      </c>
      <c r="X31" s="36">
        <f>[1]ELECT.!B32</f>
        <v>0</v>
      </c>
      <c r="Y31" s="36">
        <f t="shared" si="0"/>
        <v>0</v>
      </c>
      <c r="Z31">
        <f>'[1]Mall, Citadel, Rotana'!C32+'[1]Mall, Citadel, Rotana'!E32+'[1]Mall, Citadel, Rotana'!G32+'[1]Mall, Citadel, Rotana'!I32</f>
        <v>0</v>
      </c>
      <c r="AA31">
        <f>'[1]Mall, Citadel, Rotana'!K32+'[1]Mall, Citadel, Rotana'!M32</f>
        <v>0</v>
      </c>
      <c r="AB31">
        <f>'[1]Mall, Citadel, Rotana'!O32</f>
        <v>0</v>
      </c>
      <c r="AC31">
        <f>'[1]Mall, Citadel, Rotana'!Q32+'[1]Mall, Citadel, Rotana'!S32</f>
        <v>0</v>
      </c>
      <c r="AD31" s="36">
        <f t="shared" si="1"/>
        <v>-25.569199999999999</v>
      </c>
      <c r="AE31" s="36">
        <f t="shared" si="2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[1]Water!C33</f>
        <v>0</v>
      </c>
      <c r="F32" s="38">
        <f>[1]Water!E33</f>
        <v>0</v>
      </c>
      <c r="G32" s="38">
        <f>[1]Water!E33</f>
        <v>0</v>
      </c>
      <c r="H32" s="38">
        <f>[1]Water!I33</f>
        <v>0</v>
      </c>
      <c r="I32" s="38">
        <f>[1]Water!G33</f>
        <v>0</v>
      </c>
      <c r="J32" s="38">
        <f>[1]ELECT.!H33</f>
        <v>0</v>
      </c>
      <c r="K32" s="38">
        <f>[1]Water!I33</f>
        <v>0</v>
      </c>
      <c r="L32" s="38">
        <f>[1]Water!J33</f>
        <v>0</v>
      </c>
      <c r="M32" s="38">
        <f>[1]Water!K33</f>
        <v>0</v>
      </c>
      <c r="N32" s="38">
        <f>[1]Water!L33</f>
        <v>0</v>
      </c>
      <c r="O32" s="38">
        <f>[1]Water!M33</f>
        <v>0</v>
      </c>
      <c r="P32" s="38">
        <f>[1]Water!N33</f>
        <v>0</v>
      </c>
      <c r="Q32" s="38">
        <f>[1]Water!O33</f>
        <v>0</v>
      </c>
      <c r="R32" s="143">
        <f>[1]BTU!C33</f>
        <v>0</v>
      </c>
      <c r="S32" s="143">
        <f>[1]BTU!F33</f>
        <v>0</v>
      </c>
      <c r="T32" s="143">
        <f>[1]BTU!I33</f>
        <v>0</v>
      </c>
      <c r="U32" s="143">
        <f>[1]BTU!O33</f>
        <v>0</v>
      </c>
      <c r="V32" s="143">
        <f>[1]BTU!L33</f>
        <v>0</v>
      </c>
      <c r="W32" s="143">
        <f>[1]BTU!R33</f>
        <v>0</v>
      </c>
      <c r="X32" s="36">
        <f>[1]ELECT.!B33</f>
        <v>0</v>
      </c>
      <c r="Y32" s="36">
        <f t="shared" si="0"/>
        <v>0</v>
      </c>
      <c r="Z32">
        <f>'[1]Mall, Citadel, Rotana'!C33+'[1]Mall, Citadel, Rotana'!E33+'[1]Mall, Citadel, Rotana'!G33+'[1]Mall, Citadel, Rotana'!I33</f>
        <v>0</v>
      </c>
      <c r="AA32">
        <f>'[1]Mall, Citadel, Rotana'!K33+'[1]Mall, Citadel, Rotana'!M33</f>
        <v>0</v>
      </c>
      <c r="AB32">
        <f>'[1]Mall, Citadel, Rotana'!O33</f>
        <v>0</v>
      </c>
      <c r="AC32">
        <f>'[1]Mall, Citadel, Rotana'!Q33+'[1]Mall, Citadel, Rotana'!S33</f>
        <v>0</v>
      </c>
      <c r="AD32" s="36">
        <f t="shared" si="1"/>
        <v>-25.569199999999999</v>
      </c>
      <c r="AE32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3"/>
  <sheetViews>
    <sheetView zoomScale="110" zoomScaleNormal="11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>
        <v>143493</v>
      </c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f>(J3-J2)*800/5</f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>
        <v>143493</v>
      </c>
      <c r="Q3" s="15">
        <f t="shared" ref="Q3:Q29" si="0">P3-P2</f>
        <v>0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1">(B4-B3)*800/5</f>
        <v>800</v>
      </c>
      <c r="D4" s="33">
        <v>40351</v>
      </c>
      <c r="E4" s="15">
        <f t="shared" ref="E4:E30" si="2">(D4-D3)*800/5</f>
        <v>640</v>
      </c>
      <c r="F4" s="33">
        <v>21383</v>
      </c>
      <c r="G4" s="15">
        <f t="shared" ref="G4:G30" si="3">(F4-F3)*100/5</f>
        <v>100</v>
      </c>
      <c r="H4" s="33">
        <v>254013</v>
      </c>
      <c r="I4" s="15">
        <f t="shared" ref="I4:I30" si="4">(H4-H3)</f>
        <v>14</v>
      </c>
      <c r="J4" s="33">
        <v>303517</v>
      </c>
      <c r="K4" s="15">
        <f t="shared" ref="K4:K30" si="5">(J4-J3)*800/5</f>
        <v>0</v>
      </c>
      <c r="L4" s="33">
        <v>25905</v>
      </c>
      <c r="M4" s="15">
        <f t="shared" ref="M4:M30" si="6">(L4-L3)*800/5</f>
        <v>960</v>
      </c>
      <c r="N4" s="33">
        <v>225367</v>
      </c>
      <c r="O4" s="15">
        <f t="shared" ref="O4:O30" si="7">N4-N3</f>
        <v>136</v>
      </c>
      <c r="P4" s="33">
        <v>143493</v>
      </c>
      <c r="Q4" s="15">
        <f t="shared" si="0"/>
        <v>0</v>
      </c>
      <c r="R4" s="1">
        <v>55047</v>
      </c>
      <c r="S4" s="15">
        <f t="shared" ref="S4:S30" si="8">R4-R3</f>
        <v>0</v>
      </c>
      <c r="T4" s="33">
        <v>3942</v>
      </c>
      <c r="U4" s="15">
        <f t="shared" ref="U4:U30" si="9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f t="shared" si="5"/>
        <v>0</v>
      </c>
      <c r="L5" s="33">
        <v>25908</v>
      </c>
      <c r="M5" s="15">
        <f t="shared" si="6"/>
        <v>480</v>
      </c>
      <c r="N5" s="33">
        <v>225498</v>
      </c>
      <c r="O5" s="15">
        <f t="shared" si="7"/>
        <v>131</v>
      </c>
      <c r="P5" s="33">
        <v>143493</v>
      </c>
      <c r="Q5" s="15">
        <f t="shared" si="0"/>
        <v>0</v>
      </c>
      <c r="R5" s="1">
        <v>55047</v>
      </c>
      <c r="S5" s="15">
        <f t="shared" si="8"/>
        <v>0</v>
      </c>
      <c r="T5" s="33">
        <v>3943</v>
      </c>
      <c r="U5" s="15">
        <f t="shared" si="9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1"/>
        <v>640</v>
      </c>
      <c r="D6" s="33">
        <v>40357</v>
      </c>
      <c r="E6" s="15">
        <f t="shared" si="2"/>
        <v>320</v>
      </c>
      <c r="F6" s="33">
        <v>21390</v>
      </c>
      <c r="G6" s="15">
        <f t="shared" si="3"/>
        <v>40</v>
      </c>
      <c r="H6" s="33">
        <v>254044</v>
      </c>
      <c r="I6" s="15">
        <f t="shared" si="4"/>
        <v>19</v>
      </c>
      <c r="J6" s="33">
        <v>303517</v>
      </c>
      <c r="K6" s="15">
        <f t="shared" si="5"/>
        <v>0</v>
      </c>
      <c r="L6" s="33">
        <v>25910</v>
      </c>
      <c r="M6" s="15">
        <f t="shared" si="6"/>
        <v>320</v>
      </c>
      <c r="N6" s="33">
        <v>225553</v>
      </c>
      <c r="O6" s="15">
        <f t="shared" si="7"/>
        <v>55</v>
      </c>
      <c r="P6" s="33">
        <v>143493</v>
      </c>
      <c r="Q6" s="15">
        <f t="shared" si="0"/>
        <v>0</v>
      </c>
      <c r="R6" s="1">
        <v>55047</v>
      </c>
      <c r="S6" s="15">
        <v>0</v>
      </c>
      <c r="T6" s="33">
        <v>3944</v>
      </c>
      <c r="U6" s="15">
        <f t="shared" si="9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1"/>
        <v>640</v>
      </c>
      <c r="D7" s="33">
        <v>40361</v>
      </c>
      <c r="E7" s="15">
        <f t="shared" si="2"/>
        <v>640</v>
      </c>
      <c r="F7" s="33">
        <v>21391</v>
      </c>
      <c r="G7" s="15">
        <f t="shared" si="3"/>
        <v>20</v>
      </c>
      <c r="H7" s="33">
        <f>H6</f>
        <v>254044</v>
      </c>
      <c r="I7" s="15">
        <f t="shared" si="4"/>
        <v>0</v>
      </c>
      <c r="J7" s="33">
        <v>303517</v>
      </c>
      <c r="K7" s="15">
        <f t="shared" si="5"/>
        <v>0</v>
      </c>
      <c r="L7" s="33">
        <v>25912</v>
      </c>
      <c r="M7" s="15">
        <f t="shared" si="6"/>
        <v>320</v>
      </c>
      <c r="N7" s="33">
        <v>225644</v>
      </c>
      <c r="O7" s="15">
        <f t="shared" si="7"/>
        <v>91</v>
      </c>
      <c r="P7" s="33">
        <v>143493</v>
      </c>
      <c r="Q7" s="15">
        <v>0</v>
      </c>
      <c r="R7" s="1">
        <v>55047</v>
      </c>
      <c r="S7" s="15">
        <v>0</v>
      </c>
      <c r="T7" s="33">
        <v>3945</v>
      </c>
      <c r="U7" s="15">
        <f t="shared" si="9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1"/>
        <v>800</v>
      </c>
      <c r="D8" s="33">
        <v>40364</v>
      </c>
      <c r="E8" s="15">
        <f t="shared" si="2"/>
        <v>480</v>
      </c>
      <c r="F8" s="33">
        <v>21397</v>
      </c>
      <c r="G8" s="15">
        <f t="shared" si="3"/>
        <v>120</v>
      </c>
      <c r="H8" s="33">
        <v>254076</v>
      </c>
      <c r="I8" s="15">
        <f t="shared" si="4"/>
        <v>32</v>
      </c>
      <c r="J8" s="33">
        <v>303517</v>
      </c>
      <c r="K8" s="15">
        <f t="shared" si="5"/>
        <v>0</v>
      </c>
      <c r="L8" s="33">
        <v>25916</v>
      </c>
      <c r="M8" s="15">
        <f t="shared" si="6"/>
        <v>640</v>
      </c>
      <c r="N8" s="33">
        <v>225756</v>
      </c>
      <c r="O8" s="15">
        <f t="shared" si="7"/>
        <v>112</v>
      </c>
      <c r="P8" s="33">
        <v>143493</v>
      </c>
      <c r="Q8" s="15">
        <f t="shared" si="0"/>
        <v>0</v>
      </c>
      <c r="R8" s="1">
        <v>55047</v>
      </c>
      <c r="S8" s="15">
        <f>R8-R7</f>
        <v>0</v>
      </c>
      <c r="T8" s="33">
        <v>3952</v>
      </c>
      <c r="U8" s="15">
        <f t="shared" si="9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1"/>
        <v>640</v>
      </c>
      <c r="D9" s="33">
        <v>40367</v>
      </c>
      <c r="E9" s="15">
        <f t="shared" si="2"/>
        <v>480</v>
      </c>
      <c r="F9" s="33">
        <v>21400</v>
      </c>
      <c r="G9" s="15">
        <f t="shared" si="3"/>
        <v>60</v>
      </c>
      <c r="H9" s="33">
        <v>254089</v>
      </c>
      <c r="I9" s="15">
        <f t="shared" si="4"/>
        <v>13</v>
      </c>
      <c r="J9" s="33">
        <v>303677</v>
      </c>
      <c r="K9" s="15">
        <f t="shared" si="5"/>
        <v>25600</v>
      </c>
      <c r="L9" s="33">
        <v>25919</v>
      </c>
      <c r="M9" s="15">
        <f t="shared" si="6"/>
        <v>480</v>
      </c>
      <c r="N9" s="33">
        <v>225763</v>
      </c>
      <c r="O9" s="15">
        <f t="shared" si="7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9"/>
        <v>160</v>
      </c>
    </row>
    <row r="10" spans="1:24" ht="13.5" thickBot="1" x14ac:dyDescent="0.25">
      <c r="A10" s="9">
        <v>44628</v>
      </c>
      <c r="B10" s="33">
        <v>46733</v>
      </c>
      <c r="C10" s="15">
        <f t="shared" si="1"/>
        <v>800</v>
      </c>
      <c r="D10" s="33">
        <v>40370</v>
      </c>
      <c r="E10" s="15">
        <f t="shared" si="2"/>
        <v>480</v>
      </c>
      <c r="F10" s="33">
        <v>21404</v>
      </c>
      <c r="G10" s="15">
        <f t="shared" si="3"/>
        <v>80</v>
      </c>
      <c r="H10" s="33">
        <v>254103</v>
      </c>
      <c r="I10" s="15">
        <f t="shared" si="4"/>
        <v>14</v>
      </c>
      <c r="J10" s="33">
        <v>303848</v>
      </c>
      <c r="K10" s="15">
        <f t="shared" si="5"/>
        <v>27360</v>
      </c>
      <c r="L10" s="33">
        <v>25922</v>
      </c>
      <c r="M10" s="15">
        <f t="shared" si="6"/>
        <v>480</v>
      </c>
      <c r="N10" s="33">
        <v>225766</v>
      </c>
      <c r="O10" s="15">
        <f t="shared" si="7"/>
        <v>3</v>
      </c>
      <c r="P10" s="33">
        <v>143711</v>
      </c>
      <c r="Q10" s="15">
        <f>P10-P9</f>
        <v>149</v>
      </c>
      <c r="R10" s="1">
        <v>55047</v>
      </c>
      <c r="S10" s="15">
        <f>R10-R9</f>
        <v>0</v>
      </c>
      <c r="T10" s="33">
        <v>3954</v>
      </c>
      <c r="U10" s="15">
        <f t="shared" si="9"/>
        <v>160</v>
      </c>
    </row>
    <row r="11" spans="1:24" ht="13.5" thickBot="1" x14ac:dyDescent="0.25">
      <c r="A11" s="9">
        <v>44629</v>
      </c>
      <c r="B11" s="33">
        <v>46738</v>
      </c>
      <c r="C11" s="15">
        <f t="shared" si="1"/>
        <v>800</v>
      </c>
      <c r="D11" s="33">
        <v>40373</v>
      </c>
      <c r="E11" s="15">
        <f t="shared" si="2"/>
        <v>480</v>
      </c>
      <c r="F11" s="33">
        <v>21407</v>
      </c>
      <c r="G11" s="15">
        <f t="shared" si="3"/>
        <v>60</v>
      </c>
      <c r="H11" s="33">
        <v>254117</v>
      </c>
      <c r="I11" s="15">
        <f t="shared" si="4"/>
        <v>14</v>
      </c>
      <c r="J11" s="33">
        <v>304017</v>
      </c>
      <c r="K11" s="15">
        <f t="shared" si="5"/>
        <v>27040</v>
      </c>
      <c r="L11" s="33">
        <v>25925</v>
      </c>
      <c r="M11" s="15">
        <f t="shared" si="6"/>
        <v>480</v>
      </c>
      <c r="N11" s="33">
        <v>225769</v>
      </c>
      <c r="O11" s="15">
        <f t="shared" si="7"/>
        <v>3</v>
      </c>
      <c r="P11" s="33">
        <f t="shared" ref="P11:P30" si="10">P10</f>
        <v>143711</v>
      </c>
      <c r="Q11" s="15">
        <f t="shared" si="0"/>
        <v>0</v>
      </c>
      <c r="R11" s="1">
        <v>55047</v>
      </c>
      <c r="S11" s="15">
        <f t="shared" si="8"/>
        <v>0</v>
      </c>
      <c r="T11" s="33">
        <v>3954</v>
      </c>
      <c r="U11" s="15">
        <f t="shared" si="9"/>
        <v>0</v>
      </c>
    </row>
    <row r="12" spans="1:24" ht="13.5" thickBot="1" x14ac:dyDescent="0.25">
      <c r="A12" s="9">
        <v>44630</v>
      </c>
      <c r="B12" s="33">
        <v>46742</v>
      </c>
      <c r="C12" s="15">
        <f t="shared" si="1"/>
        <v>640</v>
      </c>
      <c r="D12" s="33">
        <v>40376</v>
      </c>
      <c r="E12" s="15">
        <f t="shared" si="2"/>
        <v>480</v>
      </c>
      <c r="F12" s="33">
        <v>21411</v>
      </c>
      <c r="G12" s="15">
        <f t="shared" si="3"/>
        <v>80</v>
      </c>
      <c r="H12" s="33">
        <v>254124</v>
      </c>
      <c r="I12" s="15">
        <f t="shared" si="4"/>
        <v>7</v>
      </c>
      <c r="J12" s="33">
        <v>304208</v>
      </c>
      <c r="K12" s="15">
        <f t="shared" si="5"/>
        <v>30560</v>
      </c>
      <c r="L12" s="33">
        <v>25929</v>
      </c>
      <c r="M12" s="15">
        <f t="shared" si="6"/>
        <v>640</v>
      </c>
      <c r="N12" s="33">
        <v>225773</v>
      </c>
      <c r="O12" s="15">
        <f t="shared" si="7"/>
        <v>4</v>
      </c>
      <c r="P12" s="33">
        <v>143711</v>
      </c>
      <c r="Q12" s="15">
        <f t="shared" si="0"/>
        <v>0</v>
      </c>
      <c r="R12" s="1">
        <v>55047</v>
      </c>
      <c r="S12" s="15">
        <f t="shared" si="8"/>
        <v>0</v>
      </c>
      <c r="T12" s="33">
        <v>3955</v>
      </c>
      <c r="U12" s="15">
        <f t="shared" si="9"/>
        <v>160</v>
      </c>
    </row>
    <row r="13" spans="1:24" ht="13.5" thickBot="1" x14ac:dyDescent="0.25">
      <c r="A13" s="9">
        <v>44631</v>
      </c>
      <c r="B13" s="33">
        <v>46747</v>
      </c>
      <c r="C13" s="15">
        <f t="shared" si="1"/>
        <v>800</v>
      </c>
      <c r="D13" s="33">
        <v>40379</v>
      </c>
      <c r="E13" s="15">
        <f t="shared" si="2"/>
        <v>480</v>
      </c>
      <c r="F13" s="33">
        <v>21415</v>
      </c>
      <c r="G13" s="15">
        <f t="shared" si="3"/>
        <v>80</v>
      </c>
      <c r="H13" s="33">
        <v>254149</v>
      </c>
      <c r="I13" s="15">
        <f t="shared" si="4"/>
        <v>25</v>
      </c>
      <c r="J13" s="33">
        <v>304323</v>
      </c>
      <c r="K13" s="15">
        <f t="shared" si="5"/>
        <v>18400</v>
      </c>
      <c r="L13" s="33">
        <v>25931</v>
      </c>
      <c r="M13" s="15">
        <f t="shared" si="6"/>
        <v>320</v>
      </c>
      <c r="N13" s="33">
        <v>225776</v>
      </c>
      <c r="O13" s="15">
        <f t="shared" si="7"/>
        <v>3</v>
      </c>
      <c r="P13" s="33">
        <f t="shared" si="10"/>
        <v>143711</v>
      </c>
      <c r="Q13" s="15">
        <f t="shared" si="0"/>
        <v>0</v>
      </c>
      <c r="R13" s="1">
        <v>55047</v>
      </c>
      <c r="S13" s="15">
        <f t="shared" si="8"/>
        <v>0</v>
      </c>
      <c r="T13" s="33">
        <v>3956</v>
      </c>
      <c r="U13" s="15">
        <f t="shared" si="9"/>
        <v>160</v>
      </c>
    </row>
    <row r="14" spans="1:24" ht="13.5" thickBot="1" x14ac:dyDescent="0.25">
      <c r="A14" s="9">
        <v>44632</v>
      </c>
      <c r="B14" s="33">
        <v>46751</v>
      </c>
      <c r="C14" s="15">
        <f t="shared" si="1"/>
        <v>640</v>
      </c>
      <c r="D14" s="33">
        <v>40382</v>
      </c>
      <c r="E14" s="15">
        <f t="shared" si="2"/>
        <v>480</v>
      </c>
      <c r="F14" s="33">
        <v>21418</v>
      </c>
      <c r="G14" s="15">
        <f t="shared" si="3"/>
        <v>60</v>
      </c>
      <c r="H14" s="33">
        <v>254162</v>
      </c>
      <c r="I14" s="15">
        <f t="shared" si="4"/>
        <v>13</v>
      </c>
      <c r="J14" s="33">
        <v>304451</v>
      </c>
      <c r="K14" s="15">
        <f t="shared" si="5"/>
        <v>20480</v>
      </c>
      <c r="L14" s="33">
        <v>25932</v>
      </c>
      <c r="M14" s="15">
        <f t="shared" si="6"/>
        <v>160</v>
      </c>
      <c r="N14" s="33">
        <v>225779</v>
      </c>
      <c r="O14" s="15">
        <f t="shared" si="7"/>
        <v>3</v>
      </c>
      <c r="P14" s="33">
        <v>144195</v>
      </c>
      <c r="Q14" s="15">
        <f t="shared" si="0"/>
        <v>484</v>
      </c>
      <c r="R14" s="1">
        <v>55047</v>
      </c>
      <c r="S14" s="15">
        <v>0</v>
      </c>
      <c r="T14" s="33">
        <v>3956.5</v>
      </c>
      <c r="U14" s="15">
        <f t="shared" si="9"/>
        <v>80</v>
      </c>
    </row>
    <row r="15" spans="1:24" ht="13.5" thickBot="1" x14ac:dyDescent="0.25">
      <c r="A15" s="9">
        <v>44633</v>
      </c>
      <c r="B15" s="33">
        <v>46756</v>
      </c>
      <c r="C15" s="15">
        <f t="shared" si="1"/>
        <v>800</v>
      </c>
      <c r="D15" s="33">
        <v>40385</v>
      </c>
      <c r="E15" s="15">
        <f t="shared" si="2"/>
        <v>480</v>
      </c>
      <c r="F15" s="33">
        <v>21421</v>
      </c>
      <c r="G15" s="15">
        <f t="shared" ref="G15" si="11">(F15-F14)*100/5</f>
        <v>60</v>
      </c>
      <c r="H15" s="33">
        <v>254178</v>
      </c>
      <c r="I15" s="15">
        <f t="shared" ref="I15" si="12">(H15-H14)</f>
        <v>16</v>
      </c>
      <c r="J15" s="33">
        <v>304628</v>
      </c>
      <c r="K15" s="15">
        <f t="shared" si="5"/>
        <v>28320</v>
      </c>
      <c r="L15" s="33">
        <v>25937</v>
      </c>
      <c r="M15" s="15">
        <f t="shared" ref="M15" si="13">(L15-L14)*800/5</f>
        <v>800</v>
      </c>
      <c r="N15" s="33">
        <v>225782</v>
      </c>
      <c r="O15" s="15">
        <f t="shared" ref="O15" si="14">N15-N14</f>
        <v>3</v>
      </c>
      <c r="P15" s="33">
        <v>144320</v>
      </c>
      <c r="Q15" s="15">
        <f t="shared" ref="Q15" si="15">P15-P14</f>
        <v>125</v>
      </c>
      <c r="R15" s="1">
        <v>55047</v>
      </c>
      <c r="S15" s="15">
        <v>0</v>
      </c>
      <c r="T15" s="33">
        <v>3957</v>
      </c>
      <c r="U15" s="15">
        <f t="shared" ref="U15" si="16">(T15-T14)*800/5</f>
        <v>80</v>
      </c>
      <c r="X15" t="s">
        <v>12</v>
      </c>
    </row>
    <row r="16" spans="1:24" ht="13.5" thickBot="1" x14ac:dyDescent="0.25">
      <c r="A16" s="9">
        <v>44634</v>
      </c>
      <c r="B16" s="33">
        <v>46761</v>
      </c>
      <c r="C16" s="15">
        <f t="shared" si="1"/>
        <v>800</v>
      </c>
      <c r="D16" s="33">
        <v>40389</v>
      </c>
      <c r="E16" s="15">
        <f t="shared" si="2"/>
        <v>640</v>
      </c>
      <c r="F16" s="33">
        <v>21425</v>
      </c>
      <c r="G16" s="15">
        <f t="shared" si="3"/>
        <v>80</v>
      </c>
      <c r="H16" s="33">
        <v>254192</v>
      </c>
      <c r="I16" s="15">
        <f t="shared" si="4"/>
        <v>14</v>
      </c>
      <c r="J16" s="33">
        <v>304793</v>
      </c>
      <c r="K16" s="15">
        <f t="shared" si="5"/>
        <v>26400</v>
      </c>
      <c r="L16" s="33">
        <v>25941</v>
      </c>
      <c r="M16" s="15">
        <f t="shared" si="6"/>
        <v>640</v>
      </c>
      <c r="N16" s="33">
        <v>225785</v>
      </c>
      <c r="O16" s="15">
        <f t="shared" si="7"/>
        <v>3</v>
      </c>
      <c r="P16" s="33">
        <v>144430</v>
      </c>
      <c r="Q16" s="15">
        <f t="shared" si="0"/>
        <v>110</v>
      </c>
      <c r="R16" s="1">
        <v>55047</v>
      </c>
      <c r="S16" s="15">
        <f t="shared" si="8"/>
        <v>0</v>
      </c>
      <c r="T16" s="33">
        <v>3957.5</v>
      </c>
      <c r="U16" s="15">
        <f t="shared" si="9"/>
        <v>80</v>
      </c>
      <c r="W16" t="s">
        <v>12</v>
      </c>
    </row>
    <row r="17" spans="1:23" ht="13.5" thickBot="1" x14ac:dyDescent="0.25">
      <c r="A17" s="9">
        <v>44635</v>
      </c>
      <c r="B17" s="33">
        <v>46765</v>
      </c>
      <c r="C17" s="15">
        <f t="shared" si="1"/>
        <v>640</v>
      </c>
      <c r="D17" s="33">
        <v>40392</v>
      </c>
      <c r="E17" s="15">
        <f t="shared" si="2"/>
        <v>480</v>
      </c>
      <c r="F17" s="33">
        <v>21429</v>
      </c>
      <c r="G17" s="15">
        <f t="shared" si="3"/>
        <v>80</v>
      </c>
      <c r="H17" s="33">
        <v>254204</v>
      </c>
      <c r="I17" s="15">
        <f t="shared" si="4"/>
        <v>12</v>
      </c>
      <c r="J17" s="33">
        <v>304962</v>
      </c>
      <c r="K17" s="15">
        <f t="shared" si="5"/>
        <v>27040</v>
      </c>
      <c r="L17" s="33">
        <v>25943</v>
      </c>
      <c r="M17" s="15">
        <f t="shared" si="6"/>
        <v>320</v>
      </c>
      <c r="N17" s="33">
        <v>225788</v>
      </c>
      <c r="O17" s="15">
        <f t="shared" si="7"/>
        <v>3</v>
      </c>
      <c r="P17" s="33">
        <v>144649</v>
      </c>
      <c r="Q17" s="15">
        <f t="shared" si="0"/>
        <v>219</v>
      </c>
      <c r="R17" s="1">
        <v>55047</v>
      </c>
      <c r="S17" s="15">
        <f>S16</f>
        <v>0</v>
      </c>
      <c r="T17" s="33">
        <v>3958</v>
      </c>
      <c r="U17" s="15">
        <f t="shared" si="9"/>
        <v>80</v>
      </c>
    </row>
    <row r="18" spans="1:23" ht="13.5" thickBot="1" x14ac:dyDescent="0.25">
      <c r="A18" s="9">
        <v>44636</v>
      </c>
      <c r="B18" s="33">
        <v>46770</v>
      </c>
      <c r="C18" s="15">
        <f t="shared" si="1"/>
        <v>800</v>
      </c>
      <c r="D18" s="33">
        <v>40395</v>
      </c>
      <c r="E18" s="15">
        <f t="shared" si="2"/>
        <v>480</v>
      </c>
      <c r="F18" s="33">
        <v>21432</v>
      </c>
      <c r="G18" s="15">
        <f t="shared" si="3"/>
        <v>60</v>
      </c>
      <c r="H18" s="33">
        <v>254218</v>
      </c>
      <c r="I18" s="15">
        <f t="shared" si="4"/>
        <v>14</v>
      </c>
      <c r="J18" s="33">
        <v>305128</v>
      </c>
      <c r="K18" s="15">
        <f t="shared" si="5"/>
        <v>26560</v>
      </c>
      <c r="L18" s="33">
        <v>25947</v>
      </c>
      <c r="M18" s="15">
        <f t="shared" si="6"/>
        <v>640</v>
      </c>
      <c r="N18" s="33">
        <v>225791</v>
      </c>
      <c r="O18" s="15">
        <f t="shared" si="7"/>
        <v>3</v>
      </c>
      <c r="P18" s="33">
        <v>144770</v>
      </c>
      <c r="Q18" s="15">
        <f t="shared" si="0"/>
        <v>121</v>
      </c>
      <c r="R18" s="1">
        <v>55047</v>
      </c>
      <c r="S18" s="15">
        <f t="shared" si="8"/>
        <v>0</v>
      </c>
      <c r="T18" s="33">
        <v>3958.5</v>
      </c>
      <c r="U18" s="15">
        <f t="shared" si="9"/>
        <v>80</v>
      </c>
    </row>
    <row r="19" spans="1:23" ht="13.5" thickBot="1" x14ac:dyDescent="0.25">
      <c r="A19" s="9">
        <v>44637</v>
      </c>
      <c r="B19" s="33">
        <v>46774</v>
      </c>
      <c r="C19" s="15">
        <f t="shared" si="1"/>
        <v>640</v>
      </c>
      <c r="D19" s="33">
        <v>40399</v>
      </c>
      <c r="E19" s="15">
        <f t="shared" si="2"/>
        <v>640</v>
      </c>
      <c r="F19" s="33">
        <v>21436</v>
      </c>
      <c r="G19" s="15">
        <f t="shared" si="3"/>
        <v>80</v>
      </c>
      <c r="H19" s="33">
        <v>254229</v>
      </c>
      <c r="I19" s="15">
        <f t="shared" si="4"/>
        <v>11</v>
      </c>
      <c r="J19" s="33">
        <v>305293</v>
      </c>
      <c r="K19" s="15">
        <f t="shared" si="5"/>
        <v>26400</v>
      </c>
      <c r="L19" s="33">
        <v>25950</v>
      </c>
      <c r="M19" s="15">
        <f t="shared" si="6"/>
        <v>480</v>
      </c>
      <c r="N19" s="33">
        <v>225794</v>
      </c>
      <c r="O19" s="15">
        <f t="shared" si="7"/>
        <v>3</v>
      </c>
      <c r="P19" s="33">
        <v>144885</v>
      </c>
      <c r="Q19" s="15">
        <f t="shared" si="0"/>
        <v>115</v>
      </c>
      <c r="R19" s="1">
        <v>55047</v>
      </c>
      <c r="S19" s="15">
        <f t="shared" si="8"/>
        <v>0</v>
      </c>
      <c r="T19" s="33">
        <v>3959</v>
      </c>
      <c r="U19" s="15">
        <f t="shared" si="9"/>
        <v>80</v>
      </c>
      <c r="W19" t="s">
        <v>12</v>
      </c>
    </row>
    <row r="20" spans="1:23" ht="13.5" thickBot="1" x14ac:dyDescent="0.25">
      <c r="A20" s="9">
        <v>44638</v>
      </c>
      <c r="B20" s="33">
        <f t="shared" ref="B19:B30" si="17">B19</f>
        <v>46774</v>
      </c>
      <c r="C20" s="15">
        <f t="shared" si="1"/>
        <v>0</v>
      </c>
      <c r="D20" s="33">
        <f t="shared" ref="D19:D30" si="18">D19</f>
        <v>40399</v>
      </c>
      <c r="E20" s="15">
        <f t="shared" si="2"/>
        <v>0</v>
      </c>
      <c r="F20" s="33">
        <f t="shared" ref="F19:F30" si="19">F19</f>
        <v>21436</v>
      </c>
      <c r="G20" s="15">
        <f t="shared" si="3"/>
        <v>0</v>
      </c>
      <c r="H20" s="33">
        <f t="shared" ref="H19:H30" si="20">H19</f>
        <v>254229</v>
      </c>
      <c r="I20" s="15">
        <f t="shared" si="4"/>
        <v>0</v>
      </c>
      <c r="J20" s="33">
        <f t="shared" ref="J19:J30" si="21">J19</f>
        <v>305293</v>
      </c>
      <c r="K20" s="15">
        <f t="shared" si="5"/>
        <v>0</v>
      </c>
      <c r="L20" s="33">
        <f t="shared" ref="L19:L30" si="22">L19</f>
        <v>25950</v>
      </c>
      <c r="M20" s="15">
        <f t="shared" si="6"/>
        <v>0</v>
      </c>
      <c r="N20" s="33">
        <f t="shared" ref="N19:N30" si="23">N19</f>
        <v>225794</v>
      </c>
      <c r="O20" s="15">
        <f t="shared" si="7"/>
        <v>0</v>
      </c>
      <c r="P20" s="33">
        <f t="shared" si="10"/>
        <v>144885</v>
      </c>
      <c r="Q20" s="15">
        <f>P20-P19</f>
        <v>0</v>
      </c>
      <c r="R20" s="1">
        <v>55047</v>
      </c>
      <c r="S20" s="15">
        <f t="shared" si="8"/>
        <v>0</v>
      </c>
      <c r="T20" s="33">
        <f t="shared" ref="T19:T30" si="24">T19</f>
        <v>3959</v>
      </c>
      <c r="U20" s="15">
        <f t="shared" si="9"/>
        <v>0</v>
      </c>
    </row>
    <row r="21" spans="1:23" ht="13.5" thickBot="1" x14ac:dyDescent="0.25">
      <c r="A21" s="9">
        <v>44639</v>
      </c>
      <c r="B21" s="33">
        <f t="shared" si="17"/>
        <v>46774</v>
      </c>
      <c r="C21" s="15">
        <f t="shared" si="1"/>
        <v>0</v>
      </c>
      <c r="D21" s="33">
        <f t="shared" si="18"/>
        <v>40399</v>
      </c>
      <c r="E21" s="15">
        <f t="shared" si="2"/>
        <v>0</v>
      </c>
      <c r="F21" s="33">
        <f t="shared" si="19"/>
        <v>21436</v>
      </c>
      <c r="G21" s="15">
        <f t="shared" si="3"/>
        <v>0</v>
      </c>
      <c r="H21" s="33">
        <f t="shared" si="20"/>
        <v>254229</v>
      </c>
      <c r="I21" s="15">
        <f t="shared" si="4"/>
        <v>0</v>
      </c>
      <c r="J21" s="33">
        <f t="shared" si="21"/>
        <v>305293</v>
      </c>
      <c r="K21" s="15">
        <f t="shared" si="5"/>
        <v>0</v>
      </c>
      <c r="L21" s="33">
        <f t="shared" si="22"/>
        <v>25950</v>
      </c>
      <c r="M21" s="15">
        <f t="shared" si="6"/>
        <v>0</v>
      </c>
      <c r="N21" s="33">
        <f t="shared" si="23"/>
        <v>225794</v>
      </c>
      <c r="O21" s="15">
        <f t="shared" si="7"/>
        <v>0</v>
      </c>
      <c r="P21" s="33">
        <f t="shared" si="10"/>
        <v>144885</v>
      </c>
      <c r="Q21" s="15">
        <f t="shared" si="0"/>
        <v>0</v>
      </c>
      <c r="R21" s="1">
        <v>55047</v>
      </c>
      <c r="S21" s="15">
        <f t="shared" si="8"/>
        <v>0</v>
      </c>
      <c r="T21" s="33">
        <f t="shared" si="24"/>
        <v>3959</v>
      </c>
      <c r="U21" s="15">
        <f t="shared" si="9"/>
        <v>0</v>
      </c>
    </row>
    <row r="22" spans="1:23" ht="13.5" thickBot="1" x14ac:dyDescent="0.25">
      <c r="A22" s="9">
        <v>44640</v>
      </c>
      <c r="B22" s="33">
        <f t="shared" si="17"/>
        <v>46774</v>
      </c>
      <c r="C22" s="15">
        <f t="shared" si="1"/>
        <v>0</v>
      </c>
      <c r="D22" s="33">
        <f t="shared" si="18"/>
        <v>40399</v>
      </c>
      <c r="E22" s="15">
        <f t="shared" si="2"/>
        <v>0</v>
      </c>
      <c r="F22" s="33">
        <f t="shared" si="19"/>
        <v>21436</v>
      </c>
      <c r="G22" s="15">
        <f t="shared" si="3"/>
        <v>0</v>
      </c>
      <c r="H22" s="33">
        <f t="shared" si="20"/>
        <v>254229</v>
      </c>
      <c r="I22" s="15">
        <f t="shared" si="4"/>
        <v>0</v>
      </c>
      <c r="J22" s="33">
        <f t="shared" si="21"/>
        <v>305293</v>
      </c>
      <c r="K22" s="15">
        <f t="shared" si="5"/>
        <v>0</v>
      </c>
      <c r="L22" s="33">
        <f t="shared" si="22"/>
        <v>25950</v>
      </c>
      <c r="M22" s="15">
        <f t="shared" si="6"/>
        <v>0</v>
      </c>
      <c r="N22" s="33">
        <f t="shared" si="23"/>
        <v>225794</v>
      </c>
      <c r="O22" s="15">
        <f t="shared" si="7"/>
        <v>0</v>
      </c>
      <c r="P22" s="33">
        <f t="shared" si="10"/>
        <v>144885</v>
      </c>
      <c r="Q22" s="15">
        <f>P22-P21</f>
        <v>0</v>
      </c>
      <c r="R22" s="1">
        <v>55047</v>
      </c>
      <c r="S22" s="15">
        <f t="shared" si="8"/>
        <v>0</v>
      </c>
      <c r="T22" s="33">
        <f t="shared" si="24"/>
        <v>3959</v>
      </c>
      <c r="U22" s="15">
        <f t="shared" si="9"/>
        <v>0</v>
      </c>
    </row>
    <row r="23" spans="1:23" ht="13.5" thickBot="1" x14ac:dyDescent="0.25">
      <c r="A23" s="9">
        <v>44641</v>
      </c>
      <c r="B23" s="33">
        <f t="shared" si="17"/>
        <v>46774</v>
      </c>
      <c r="C23" s="15">
        <f t="shared" si="1"/>
        <v>0</v>
      </c>
      <c r="D23" s="33">
        <f t="shared" si="18"/>
        <v>40399</v>
      </c>
      <c r="E23" s="15">
        <f t="shared" si="2"/>
        <v>0</v>
      </c>
      <c r="F23" s="33">
        <f t="shared" si="19"/>
        <v>21436</v>
      </c>
      <c r="G23" s="15">
        <f t="shared" si="3"/>
        <v>0</v>
      </c>
      <c r="H23" s="33">
        <f t="shared" si="20"/>
        <v>254229</v>
      </c>
      <c r="I23" s="15">
        <f t="shared" si="4"/>
        <v>0</v>
      </c>
      <c r="J23" s="33">
        <f t="shared" si="21"/>
        <v>305293</v>
      </c>
      <c r="K23" s="15">
        <f t="shared" si="5"/>
        <v>0</v>
      </c>
      <c r="L23" s="33">
        <f t="shared" si="22"/>
        <v>25950</v>
      </c>
      <c r="M23" s="15">
        <f t="shared" si="6"/>
        <v>0</v>
      </c>
      <c r="N23" s="33">
        <f t="shared" si="23"/>
        <v>225794</v>
      </c>
      <c r="O23" s="15">
        <f t="shared" si="7"/>
        <v>0</v>
      </c>
      <c r="P23" s="33">
        <f t="shared" si="10"/>
        <v>144885</v>
      </c>
      <c r="Q23" s="15">
        <f t="shared" si="0"/>
        <v>0</v>
      </c>
      <c r="R23" s="1">
        <v>55047</v>
      </c>
      <c r="S23" s="15">
        <f t="shared" si="8"/>
        <v>0</v>
      </c>
      <c r="T23" s="33">
        <f t="shared" si="24"/>
        <v>3959</v>
      </c>
      <c r="U23" s="15">
        <f t="shared" si="9"/>
        <v>0</v>
      </c>
    </row>
    <row r="24" spans="1:23" s="133" customFormat="1" ht="13.5" thickBot="1" x14ac:dyDescent="0.25">
      <c r="A24" s="9">
        <v>44642</v>
      </c>
      <c r="B24" s="33">
        <f t="shared" si="17"/>
        <v>46774</v>
      </c>
      <c r="C24" s="15">
        <f t="shared" si="1"/>
        <v>0</v>
      </c>
      <c r="D24" s="33">
        <f t="shared" si="18"/>
        <v>40399</v>
      </c>
      <c r="E24" s="15">
        <f t="shared" si="2"/>
        <v>0</v>
      </c>
      <c r="F24" s="33">
        <f t="shared" si="19"/>
        <v>21436</v>
      </c>
      <c r="G24" s="15">
        <f t="shared" si="3"/>
        <v>0</v>
      </c>
      <c r="H24" s="33">
        <f t="shared" si="20"/>
        <v>254229</v>
      </c>
      <c r="I24" s="15">
        <f t="shared" si="4"/>
        <v>0</v>
      </c>
      <c r="J24" s="33">
        <f t="shared" si="21"/>
        <v>305293</v>
      </c>
      <c r="K24" s="15">
        <f t="shared" si="5"/>
        <v>0</v>
      </c>
      <c r="L24" s="33">
        <f t="shared" si="22"/>
        <v>25950</v>
      </c>
      <c r="M24" s="15">
        <f t="shared" si="6"/>
        <v>0</v>
      </c>
      <c r="N24" s="33">
        <f t="shared" si="23"/>
        <v>225794</v>
      </c>
      <c r="O24" s="15">
        <f t="shared" si="7"/>
        <v>0</v>
      </c>
      <c r="P24" s="33">
        <f t="shared" si="10"/>
        <v>144885</v>
      </c>
      <c r="Q24" s="15">
        <f t="shared" si="0"/>
        <v>0</v>
      </c>
      <c r="R24" s="1">
        <v>55047</v>
      </c>
      <c r="S24" s="15">
        <f t="shared" si="8"/>
        <v>0</v>
      </c>
      <c r="T24" s="33">
        <f t="shared" si="24"/>
        <v>3959</v>
      </c>
      <c r="U24" s="15">
        <f t="shared" si="9"/>
        <v>0</v>
      </c>
    </row>
    <row r="25" spans="1:23" ht="13.5" thickBot="1" x14ac:dyDescent="0.25">
      <c r="A25" s="9">
        <v>44643</v>
      </c>
      <c r="B25" s="33">
        <f t="shared" si="17"/>
        <v>46774</v>
      </c>
      <c r="C25" s="15">
        <f t="shared" si="1"/>
        <v>0</v>
      </c>
      <c r="D25" s="33">
        <f t="shared" si="18"/>
        <v>40399</v>
      </c>
      <c r="E25" s="15">
        <f t="shared" si="2"/>
        <v>0</v>
      </c>
      <c r="F25" s="33">
        <f t="shared" si="19"/>
        <v>21436</v>
      </c>
      <c r="G25" s="15">
        <f t="shared" si="3"/>
        <v>0</v>
      </c>
      <c r="H25" s="33">
        <f t="shared" si="20"/>
        <v>254229</v>
      </c>
      <c r="I25" s="15">
        <f t="shared" si="4"/>
        <v>0</v>
      </c>
      <c r="J25" s="33">
        <f t="shared" si="21"/>
        <v>305293</v>
      </c>
      <c r="K25" s="15">
        <f t="shared" si="5"/>
        <v>0</v>
      </c>
      <c r="L25" s="33">
        <f t="shared" si="22"/>
        <v>25950</v>
      </c>
      <c r="M25" s="15">
        <f t="shared" si="6"/>
        <v>0</v>
      </c>
      <c r="N25" s="33">
        <f t="shared" si="23"/>
        <v>225794</v>
      </c>
      <c r="O25" s="15">
        <f t="shared" si="7"/>
        <v>0</v>
      </c>
      <c r="P25" s="33">
        <f t="shared" si="10"/>
        <v>144885</v>
      </c>
      <c r="Q25" s="15">
        <f t="shared" si="0"/>
        <v>0</v>
      </c>
      <c r="R25" s="1">
        <v>55047</v>
      </c>
      <c r="S25" s="15">
        <f t="shared" si="8"/>
        <v>0</v>
      </c>
      <c r="T25" s="33">
        <f t="shared" si="24"/>
        <v>3959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f t="shared" si="17"/>
        <v>46774</v>
      </c>
      <c r="C26" s="15">
        <f t="shared" si="1"/>
        <v>0</v>
      </c>
      <c r="D26" s="33">
        <f t="shared" si="18"/>
        <v>40399</v>
      </c>
      <c r="E26" s="15">
        <f t="shared" si="2"/>
        <v>0</v>
      </c>
      <c r="F26" s="33">
        <f t="shared" si="19"/>
        <v>21436</v>
      </c>
      <c r="G26" s="15">
        <f t="shared" si="3"/>
        <v>0</v>
      </c>
      <c r="H26" s="33">
        <f t="shared" si="20"/>
        <v>254229</v>
      </c>
      <c r="I26" s="15">
        <f t="shared" si="4"/>
        <v>0</v>
      </c>
      <c r="J26" s="33">
        <f t="shared" si="21"/>
        <v>305293</v>
      </c>
      <c r="K26" s="15">
        <f t="shared" si="5"/>
        <v>0</v>
      </c>
      <c r="L26" s="33">
        <f t="shared" si="22"/>
        <v>25950</v>
      </c>
      <c r="M26" s="15">
        <f t="shared" si="6"/>
        <v>0</v>
      </c>
      <c r="N26" s="33">
        <f t="shared" si="23"/>
        <v>225794</v>
      </c>
      <c r="O26" s="15">
        <f t="shared" si="7"/>
        <v>0</v>
      </c>
      <c r="P26" s="33">
        <f t="shared" si="10"/>
        <v>144885</v>
      </c>
      <c r="Q26" s="15">
        <f t="shared" si="0"/>
        <v>0</v>
      </c>
      <c r="R26" s="1">
        <v>55047</v>
      </c>
      <c r="S26" s="15">
        <f t="shared" si="8"/>
        <v>0</v>
      </c>
      <c r="T26" s="33">
        <f t="shared" si="24"/>
        <v>3959</v>
      </c>
      <c r="U26" s="15">
        <f t="shared" si="9"/>
        <v>0</v>
      </c>
      <c r="W26" t="s">
        <v>12</v>
      </c>
    </row>
    <row r="27" spans="1:23" ht="13.5" thickBot="1" x14ac:dyDescent="0.25">
      <c r="A27" s="9">
        <v>44645</v>
      </c>
      <c r="B27" s="33">
        <f t="shared" si="17"/>
        <v>46774</v>
      </c>
      <c r="C27" s="15">
        <f t="shared" si="1"/>
        <v>0</v>
      </c>
      <c r="D27" s="33">
        <f t="shared" si="18"/>
        <v>40399</v>
      </c>
      <c r="E27" s="15">
        <f t="shared" si="2"/>
        <v>0</v>
      </c>
      <c r="F27" s="33">
        <f t="shared" si="19"/>
        <v>21436</v>
      </c>
      <c r="G27" s="15">
        <f t="shared" si="3"/>
        <v>0</v>
      </c>
      <c r="H27" s="33">
        <f t="shared" si="20"/>
        <v>254229</v>
      </c>
      <c r="I27" s="15">
        <f t="shared" si="4"/>
        <v>0</v>
      </c>
      <c r="J27" s="33">
        <f t="shared" si="21"/>
        <v>305293</v>
      </c>
      <c r="K27" s="15">
        <f t="shared" si="5"/>
        <v>0</v>
      </c>
      <c r="L27" s="33">
        <f t="shared" si="22"/>
        <v>25950</v>
      </c>
      <c r="M27" s="15">
        <f t="shared" si="6"/>
        <v>0</v>
      </c>
      <c r="N27" s="33">
        <f t="shared" si="23"/>
        <v>225794</v>
      </c>
      <c r="O27" s="15">
        <f t="shared" si="7"/>
        <v>0</v>
      </c>
      <c r="P27" s="33">
        <f t="shared" si="10"/>
        <v>144885</v>
      </c>
      <c r="Q27" s="15">
        <f t="shared" si="0"/>
        <v>0</v>
      </c>
      <c r="R27" s="1">
        <v>55047</v>
      </c>
      <c r="S27" s="15">
        <f t="shared" si="8"/>
        <v>0</v>
      </c>
      <c r="T27" s="33">
        <f t="shared" si="24"/>
        <v>3959</v>
      </c>
      <c r="U27" s="15">
        <f t="shared" si="9"/>
        <v>0</v>
      </c>
    </row>
    <row r="28" spans="1:23" ht="13.5" thickBot="1" x14ac:dyDescent="0.25">
      <c r="A28" s="9">
        <v>44646</v>
      </c>
      <c r="B28" s="33">
        <f t="shared" si="17"/>
        <v>46774</v>
      </c>
      <c r="C28" s="15">
        <f t="shared" si="1"/>
        <v>0</v>
      </c>
      <c r="D28" s="33">
        <f t="shared" si="18"/>
        <v>40399</v>
      </c>
      <c r="E28" s="15">
        <f t="shared" si="2"/>
        <v>0</v>
      </c>
      <c r="F28" s="33">
        <f t="shared" si="19"/>
        <v>21436</v>
      </c>
      <c r="G28" s="15">
        <f t="shared" si="3"/>
        <v>0</v>
      </c>
      <c r="H28" s="33">
        <f t="shared" si="20"/>
        <v>254229</v>
      </c>
      <c r="I28" s="15">
        <f t="shared" si="4"/>
        <v>0</v>
      </c>
      <c r="J28" s="33">
        <f t="shared" si="21"/>
        <v>305293</v>
      </c>
      <c r="K28" s="15">
        <f t="shared" si="5"/>
        <v>0</v>
      </c>
      <c r="L28" s="33">
        <f t="shared" si="22"/>
        <v>25950</v>
      </c>
      <c r="M28" s="15">
        <f t="shared" si="6"/>
        <v>0</v>
      </c>
      <c r="N28" s="33">
        <f t="shared" si="23"/>
        <v>225794</v>
      </c>
      <c r="O28" s="15">
        <f t="shared" si="7"/>
        <v>0</v>
      </c>
      <c r="P28" s="33">
        <f t="shared" si="10"/>
        <v>144885</v>
      </c>
      <c r="Q28" s="16">
        <f t="shared" si="0"/>
        <v>0</v>
      </c>
      <c r="R28" s="1">
        <v>55047</v>
      </c>
      <c r="S28" s="16">
        <f t="shared" si="8"/>
        <v>0</v>
      </c>
      <c r="T28" s="33">
        <f t="shared" si="24"/>
        <v>3959</v>
      </c>
      <c r="U28" s="15">
        <f t="shared" si="9"/>
        <v>0</v>
      </c>
    </row>
    <row r="29" spans="1:23" ht="13.5" thickBot="1" x14ac:dyDescent="0.25">
      <c r="A29" s="9">
        <v>44647</v>
      </c>
      <c r="B29" s="33">
        <f t="shared" si="17"/>
        <v>46774</v>
      </c>
      <c r="C29" s="15">
        <f t="shared" si="1"/>
        <v>0</v>
      </c>
      <c r="D29" s="33">
        <f t="shared" si="18"/>
        <v>40399</v>
      </c>
      <c r="E29" s="15">
        <f t="shared" si="2"/>
        <v>0</v>
      </c>
      <c r="F29" s="33">
        <f t="shared" si="19"/>
        <v>21436</v>
      </c>
      <c r="G29" s="15">
        <f t="shared" si="3"/>
        <v>0</v>
      </c>
      <c r="H29" s="33">
        <f t="shared" si="20"/>
        <v>254229</v>
      </c>
      <c r="I29" s="15">
        <f t="shared" si="4"/>
        <v>0</v>
      </c>
      <c r="J29" s="33">
        <f t="shared" si="21"/>
        <v>305293</v>
      </c>
      <c r="K29" s="15">
        <f t="shared" si="5"/>
        <v>0</v>
      </c>
      <c r="L29" s="33">
        <f t="shared" si="22"/>
        <v>25950</v>
      </c>
      <c r="M29" s="15">
        <f t="shared" si="6"/>
        <v>0</v>
      </c>
      <c r="N29" s="33">
        <f t="shared" si="23"/>
        <v>225794</v>
      </c>
      <c r="O29" s="15">
        <f t="shared" si="7"/>
        <v>0</v>
      </c>
      <c r="P29" s="33">
        <f t="shared" si="10"/>
        <v>144885</v>
      </c>
      <c r="Q29" s="15">
        <f t="shared" si="0"/>
        <v>0</v>
      </c>
      <c r="R29" s="1">
        <v>55047</v>
      </c>
      <c r="S29" s="15">
        <f t="shared" si="8"/>
        <v>0</v>
      </c>
      <c r="T29" s="33">
        <f t="shared" si="24"/>
        <v>3959</v>
      </c>
      <c r="U29" s="15">
        <f t="shared" si="9"/>
        <v>0</v>
      </c>
    </row>
    <row r="30" spans="1:23" ht="13.5" thickBot="1" x14ac:dyDescent="0.25">
      <c r="A30" s="9">
        <v>44648</v>
      </c>
      <c r="B30" s="33">
        <f t="shared" si="17"/>
        <v>46774</v>
      </c>
      <c r="C30" s="15">
        <f t="shared" si="1"/>
        <v>0</v>
      </c>
      <c r="D30" s="33">
        <f t="shared" si="18"/>
        <v>40399</v>
      </c>
      <c r="E30" s="15">
        <f t="shared" si="2"/>
        <v>0</v>
      </c>
      <c r="F30" s="33">
        <f t="shared" si="19"/>
        <v>21436</v>
      </c>
      <c r="G30" s="15">
        <f t="shared" si="3"/>
        <v>0</v>
      </c>
      <c r="H30" s="33">
        <f t="shared" si="20"/>
        <v>254229</v>
      </c>
      <c r="I30" s="15">
        <f t="shared" si="4"/>
        <v>0</v>
      </c>
      <c r="J30" s="33">
        <f t="shared" si="21"/>
        <v>305293</v>
      </c>
      <c r="K30" s="15">
        <f t="shared" si="5"/>
        <v>0</v>
      </c>
      <c r="L30" s="33">
        <f t="shared" si="22"/>
        <v>25950</v>
      </c>
      <c r="M30" s="15">
        <f t="shared" si="6"/>
        <v>0</v>
      </c>
      <c r="N30" s="33">
        <f t="shared" si="23"/>
        <v>225794</v>
      </c>
      <c r="O30" s="15">
        <f t="shared" si="7"/>
        <v>0</v>
      </c>
      <c r="P30" s="33">
        <f t="shared" si="10"/>
        <v>144885</v>
      </c>
      <c r="Q30" s="15">
        <v>0</v>
      </c>
      <c r="R30" s="1">
        <v>55047</v>
      </c>
      <c r="S30" s="15">
        <f t="shared" si="8"/>
        <v>0</v>
      </c>
      <c r="T30" s="33">
        <f t="shared" si="24"/>
        <v>3959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11680</v>
      </c>
      <c r="D31" s="12"/>
      <c r="E31" s="10">
        <f>SUM(E4:E30)</f>
        <v>8320</v>
      </c>
      <c r="F31" s="12"/>
      <c r="G31" s="10">
        <f>SUM(G4:G30)</f>
        <v>1160</v>
      </c>
      <c r="H31" s="12"/>
      <c r="I31" s="10">
        <f>SUM(I4:I30)</f>
        <v>230</v>
      </c>
      <c r="J31" s="12"/>
      <c r="K31" s="10">
        <f>SUM(K4:K30)</f>
        <v>284160</v>
      </c>
      <c r="L31" s="12"/>
      <c r="M31" s="10">
        <f>SUM(M4:M30)</f>
        <v>8160</v>
      </c>
      <c r="N31" s="34"/>
      <c r="O31" s="10">
        <f>SUM(O4:O30)</f>
        <v>563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2880</v>
      </c>
    </row>
    <row r="32" spans="1:23" x14ac:dyDescent="0.2">
      <c r="N32" s="18"/>
    </row>
    <row r="33" spans="14:14" x14ac:dyDescent="0.2">
      <c r="N33" s="18"/>
    </row>
    <row r="34" spans="14:14" x14ac:dyDescent="0.2">
      <c r="N34" s="18"/>
    </row>
    <row r="35" spans="14:14" x14ac:dyDescent="0.2">
      <c r="N35" s="18"/>
    </row>
    <row r="36" spans="14:14" x14ac:dyDescent="0.2">
      <c r="N36" s="18"/>
    </row>
    <row r="37" spans="14:14" x14ac:dyDescent="0.2">
      <c r="N37" s="18"/>
    </row>
    <row r="38" spans="14:14" x14ac:dyDescent="0.2">
      <c r="N38" s="18"/>
    </row>
    <row r="39" spans="14:14" x14ac:dyDescent="0.2">
      <c r="N39" s="18"/>
    </row>
    <row r="40" spans="14:14" x14ac:dyDescent="0.2">
      <c r="N40" s="18"/>
    </row>
    <row r="41" spans="14:14" x14ac:dyDescent="0.2">
      <c r="N41" s="18"/>
    </row>
    <row r="42" spans="14:14" x14ac:dyDescent="0.2">
      <c r="N42" s="18"/>
    </row>
    <row r="43" spans="14:14" x14ac:dyDescent="0.2">
      <c r="N43" s="18"/>
    </row>
    <row r="44" spans="14:14" x14ac:dyDescent="0.2">
      <c r="N44" s="18"/>
    </row>
    <row r="45" spans="14:14" x14ac:dyDescent="0.2">
      <c r="N45" s="18"/>
    </row>
    <row r="46" spans="14:14" x14ac:dyDescent="0.2">
      <c r="N46" s="18"/>
    </row>
    <row r="47" spans="14:14" x14ac:dyDescent="0.2">
      <c r="N47" s="18"/>
    </row>
    <row r="48" spans="14:14" x14ac:dyDescent="0.2">
      <c r="N48" s="18"/>
    </row>
    <row r="49" spans="12:15" x14ac:dyDescent="0.2">
      <c r="N49" s="18"/>
    </row>
    <row r="50" spans="12:15" x14ac:dyDescent="0.2">
      <c r="N50" s="18"/>
    </row>
    <row r="51" spans="12:15" x14ac:dyDescent="0.2">
      <c r="N51" s="18"/>
    </row>
    <row r="52" spans="12:15" x14ac:dyDescent="0.2">
      <c r="N52" s="18"/>
    </row>
    <row r="53" spans="12:15" x14ac:dyDescent="0.2">
      <c r="N53" s="18"/>
    </row>
    <row r="54" spans="12:15" x14ac:dyDescent="0.2">
      <c r="N54" s="18"/>
    </row>
    <row r="55" spans="12:15" x14ac:dyDescent="0.2">
      <c r="N55" s="18"/>
    </row>
    <row r="56" spans="12:15" x14ac:dyDescent="0.2">
      <c r="L56" s="19"/>
      <c r="M56" s="18"/>
      <c r="N56" s="19"/>
      <c r="O56" s="18"/>
    </row>
    <row r="57" spans="12:15" x14ac:dyDescent="0.2">
      <c r="L57" s="19"/>
      <c r="M57" s="18"/>
      <c r="N57" s="19"/>
      <c r="O57" s="18"/>
    </row>
    <row r="58" spans="12:15" x14ac:dyDescent="0.2">
      <c r="L58" s="19"/>
      <c r="M58" s="18"/>
      <c r="N58" s="19"/>
      <c r="O58" s="18"/>
    </row>
    <row r="59" spans="12:15" x14ac:dyDescent="0.2">
      <c r="L59" s="19"/>
      <c r="M59" s="18"/>
      <c r="N59" s="19"/>
      <c r="O59" s="18"/>
    </row>
    <row r="60" spans="12:15" x14ac:dyDescent="0.2">
      <c r="L60" s="19"/>
      <c r="M60" s="18"/>
      <c r="N60" s="19"/>
      <c r="O60" s="18"/>
    </row>
    <row r="61" spans="12:15" x14ac:dyDescent="0.2">
      <c r="L61" s="19"/>
      <c r="M61" s="18"/>
      <c r="N61" s="19"/>
      <c r="O61" s="18"/>
    </row>
    <row r="62" spans="12:15" x14ac:dyDescent="0.2">
      <c r="L62" s="19"/>
      <c r="M62" s="18"/>
      <c r="N62" s="19"/>
      <c r="O62" s="18"/>
    </row>
    <row r="63" spans="12:15" x14ac:dyDescent="0.2">
      <c r="L63" s="19"/>
      <c r="M63" s="18"/>
      <c r="N63" s="19"/>
      <c r="O63" s="18"/>
    </row>
    <row r="64" spans="12:15" x14ac:dyDescent="0.2">
      <c r="L64" s="19"/>
      <c r="M64" s="18"/>
      <c r="N64" s="19"/>
      <c r="O64" s="18"/>
    </row>
    <row r="65" spans="12:15" x14ac:dyDescent="0.2">
      <c r="L65" s="19"/>
      <c r="M65" s="18"/>
      <c r="N65" s="19"/>
      <c r="O65" s="18"/>
    </row>
    <row r="66" spans="12:15" x14ac:dyDescent="0.2">
      <c r="L66" s="19"/>
      <c r="M66" s="18"/>
      <c r="N66" s="19"/>
      <c r="O66" s="18"/>
    </row>
    <row r="67" spans="12:15" x14ac:dyDescent="0.2">
      <c r="L67" s="19"/>
      <c r="M67" s="18"/>
      <c r="N67" s="19"/>
      <c r="O67" s="18"/>
    </row>
    <row r="68" spans="12:15" x14ac:dyDescent="0.2">
      <c r="L68" s="19"/>
      <c r="N68" s="18"/>
    </row>
    <row r="69" spans="12:15" x14ac:dyDescent="0.2">
      <c r="N69" s="18"/>
    </row>
    <row r="70" spans="12:15" x14ac:dyDescent="0.2">
      <c r="N70" s="18"/>
    </row>
    <row r="71" spans="12:15" x14ac:dyDescent="0.2">
      <c r="N71" s="18"/>
    </row>
    <row r="72" spans="12:15" x14ac:dyDescent="0.2">
      <c r="N72" s="18"/>
    </row>
    <row r="73" spans="12:15" x14ac:dyDescent="0.2">
      <c r="N73" s="18"/>
    </row>
    <row r="74" spans="12:15" x14ac:dyDescent="0.2">
      <c r="N74" s="18"/>
    </row>
    <row r="75" spans="12:15" x14ac:dyDescent="0.2">
      <c r="N75" s="18"/>
    </row>
    <row r="76" spans="12:15" x14ac:dyDescent="0.2">
      <c r="N76" s="18"/>
    </row>
    <row r="77" spans="12:15" x14ac:dyDescent="0.2">
      <c r="N77" s="18"/>
    </row>
    <row r="78" spans="12:15" x14ac:dyDescent="0.2">
      <c r="N78" s="18"/>
    </row>
    <row r="79" spans="12:15" x14ac:dyDescent="0.2">
      <c r="N79" s="18"/>
    </row>
    <row r="80" spans="12:15" x14ac:dyDescent="0.2">
      <c r="N80" s="18"/>
    </row>
    <row r="81" spans="14:14" x14ac:dyDescent="0.2">
      <c r="N81" s="18"/>
    </row>
    <row r="82" spans="14:14" x14ac:dyDescent="0.2">
      <c r="N82" s="18"/>
    </row>
    <row r="83" spans="14:14" x14ac:dyDescent="0.2">
      <c r="N83" s="18"/>
    </row>
    <row r="84" spans="14:14" x14ac:dyDescent="0.2">
      <c r="N84" s="18"/>
    </row>
    <row r="85" spans="14:14" x14ac:dyDescent="0.2">
      <c r="N85" s="18"/>
    </row>
    <row r="86" spans="14:14" x14ac:dyDescent="0.2">
      <c r="N86" s="18"/>
    </row>
    <row r="87" spans="14:14" x14ac:dyDescent="0.2">
      <c r="N87" s="18"/>
    </row>
    <row r="88" spans="14:14" x14ac:dyDescent="0.2">
      <c r="N88" s="18"/>
    </row>
    <row r="89" spans="14:14" x14ac:dyDescent="0.2">
      <c r="N89" s="18"/>
    </row>
    <row r="90" spans="14:14" x14ac:dyDescent="0.2">
      <c r="N90" s="18"/>
    </row>
    <row r="91" spans="14:14" x14ac:dyDescent="0.2">
      <c r="N91" s="18"/>
    </row>
    <row r="92" spans="14:14" x14ac:dyDescent="0.2">
      <c r="N92" s="18"/>
    </row>
    <row r="93" spans="14:14" x14ac:dyDescent="0.2">
      <c r="N93" s="18"/>
    </row>
    <row r="94" spans="14:14" x14ac:dyDescent="0.2">
      <c r="N94" s="18"/>
    </row>
    <row r="95" spans="14:14" x14ac:dyDescent="0.2">
      <c r="N95" s="18"/>
    </row>
    <row r="96" spans="14:14" x14ac:dyDescent="0.2">
      <c r="N96" s="18"/>
    </row>
    <row r="97" spans="14:14" x14ac:dyDescent="0.2">
      <c r="N97" s="18"/>
    </row>
    <row r="98" spans="14:14" x14ac:dyDescent="0.2">
      <c r="N98" s="18"/>
    </row>
    <row r="99" spans="14:14" x14ac:dyDescent="0.2">
      <c r="N99" s="18"/>
    </row>
    <row r="100" spans="14:14" x14ac:dyDescent="0.2">
      <c r="N100" s="18"/>
    </row>
    <row r="101" spans="14:14" x14ac:dyDescent="0.2">
      <c r="N101" s="18"/>
    </row>
    <row r="102" spans="14:14" x14ac:dyDescent="0.2">
      <c r="N102" s="18"/>
    </row>
    <row r="103" spans="14:14" x14ac:dyDescent="0.2">
      <c r="N103" s="18"/>
    </row>
    <row r="104" spans="14:14" x14ac:dyDescent="0.2">
      <c r="N104" s="18"/>
    </row>
    <row r="105" spans="14:14" x14ac:dyDescent="0.2">
      <c r="N105" s="18"/>
    </row>
    <row r="106" spans="14:14" x14ac:dyDescent="0.2">
      <c r="N106" s="18"/>
    </row>
    <row r="107" spans="14:14" x14ac:dyDescent="0.2">
      <c r="N107" s="18"/>
    </row>
    <row r="108" spans="14:14" x14ac:dyDescent="0.2">
      <c r="N108" s="18"/>
    </row>
    <row r="109" spans="14:14" x14ac:dyDescent="0.2">
      <c r="N109" s="18"/>
    </row>
    <row r="110" spans="14:14" x14ac:dyDescent="0.2">
      <c r="N110" s="18"/>
    </row>
    <row r="111" spans="14:14" x14ac:dyDescent="0.2">
      <c r="N111" s="18"/>
    </row>
    <row r="112" spans="14:14" x14ac:dyDescent="0.2">
      <c r="N112" s="18"/>
    </row>
    <row r="113" spans="14:14" x14ac:dyDescent="0.2">
      <c r="N113" s="18"/>
    </row>
    <row r="114" spans="14:14" x14ac:dyDescent="0.2">
      <c r="N114" s="18"/>
    </row>
    <row r="115" spans="14:14" x14ac:dyDescent="0.2">
      <c r="N115" s="18"/>
    </row>
    <row r="116" spans="14:14" x14ac:dyDescent="0.2">
      <c r="N116" s="18"/>
    </row>
    <row r="117" spans="14:14" x14ac:dyDescent="0.2">
      <c r="N117" s="18"/>
    </row>
    <row r="118" spans="14:14" x14ac:dyDescent="0.2">
      <c r="N118" s="18"/>
    </row>
    <row r="119" spans="14:14" x14ac:dyDescent="0.2">
      <c r="N119" s="18"/>
    </row>
    <row r="120" spans="14:14" x14ac:dyDescent="0.2">
      <c r="N120" s="18"/>
    </row>
    <row r="121" spans="14:14" x14ac:dyDescent="0.2">
      <c r="N121" s="18"/>
    </row>
    <row r="122" spans="14:14" x14ac:dyDescent="0.2">
      <c r="N122" s="18"/>
    </row>
    <row r="123" spans="14:14" x14ac:dyDescent="0.2">
      <c r="N123" s="18"/>
    </row>
    <row r="124" spans="14:14" x14ac:dyDescent="0.2">
      <c r="N124" s="18"/>
    </row>
    <row r="125" spans="14:14" x14ac:dyDescent="0.2">
      <c r="N125" s="18"/>
    </row>
    <row r="126" spans="14:14" x14ac:dyDescent="0.2">
      <c r="N126" s="18"/>
    </row>
    <row r="127" spans="14:14" x14ac:dyDescent="0.2">
      <c r="N127" s="18"/>
    </row>
    <row r="128" spans="14:14" x14ac:dyDescent="0.2">
      <c r="N128" s="18"/>
    </row>
    <row r="129" spans="14:14" x14ac:dyDescent="0.2">
      <c r="N129" s="18"/>
    </row>
    <row r="130" spans="14:14" x14ac:dyDescent="0.2">
      <c r="N130" s="18"/>
    </row>
    <row r="131" spans="14:14" x14ac:dyDescent="0.2">
      <c r="N131" s="18"/>
    </row>
    <row r="132" spans="14:14" x14ac:dyDescent="0.2">
      <c r="N132" s="18"/>
    </row>
    <row r="133" spans="14:14" x14ac:dyDescent="0.2">
      <c r="N133" s="18"/>
    </row>
    <row r="134" spans="14:14" x14ac:dyDescent="0.2">
      <c r="N134" s="18"/>
    </row>
    <row r="135" spans="14:14" x14ac:dyDescent="0.2">
      <c r="N135" s="18"/>
    </row>
    <row r="136" spans="14:14" x14ac:dyDescent="0.2">
      <c r="N136" s="18"/>
    </row>
    <row r="137" spans="14:14" x14ac:dyDescent="0.2">
      <c r="N137" s="18"/>
    </row>
    <row r="138" spans="14:14" x14ac:dyDescent="0.2">
      <c r="N138" s="18"/>
    </row>
    <row r="139" spans="14:14" x14ac:dyDescent="0.2">
      <c r="N139" s="18"/>
    </row>
    <row r="140" spans="14:14" x14ac:dyDescent="0.2">
      <c r="N140" s="18"/>
    </row>
    <row r="141" spans="14:14" x14ac:dyDescent="0.2">
      <c r="N141" s="18"/>
    </row>
    <row r="142" spans="14:14" x14ac:dyDescent="0.2">
      <c r="N142" s="18"/>
    </row>
    <row r="143" spans="14:14" x14ac:dyDescent="0.2">
      <c r="N143" s="18"/>
    </row>
    <row r="144" spans="14:14" x14ac:dyDescent="0.2">
      <c r="N144" s="18"/>
    </row>
    <row r="145" spans="14:14" x14ac:dyDescent="0.2">
      <c r="N145" s="18"/>
    </row>
    <row r="146" spans="14:14" x14ac:dyDescent="0.2">
      <c r="N146" s="18"/>
    </row>
    <row r="147" spans="14:14" x14ac:dyDescent="0.2">
      <c r="N147" s="18"/>
    </row>
    <row r="148" spans="14:14" x14ac:dyDescent="0.2">
      <c r="N148" s="18"/>
    </row>
    <row r="149" spans="14:14" x14ac:dyDescent="0.2">
      <c r="N149" s="18"/>
    </row>
    <row r="150" spans="14:14" x14ac:dyDescent="0.2">
      <c r="N150" s="18"/>
    </row>
    <row r="151" spans="14:14" x14ac:dyDescent="0.2">
      <c r="N151" s="18"/>
    </row>
    <row r="152" spans="14:14" x14ac:dyDescent="0.2">
      <c r="N152" s="18"/>
    </row>
    <row r="153" spans="14:14" x14ac:dyDescent="0.2">
      <c r="N153" s="18"/>
    </row>
    <row r="154" spans="14:14" x14ac:dyDescent="0.2">
      <c r="N154" s="18"/>
    </row>
    <row r="155" spans="14:14" x14ac:dyDescent="0.2">
      <c r="N155" s="18"/>
    </row>
    <row r="156" spans="14:14" x14ac:dyDescent="0.2">
      <c r="N156" s="18"/>
    </row>
    <row r="157" spans="14:14" x14ac:dyDescent="0.2">
      <c r="N157" s="18"/>
    </row>
    <row r="158" spans="14:14" x14ac:dyDescent="0.2">
      <c r="N158" s="18"/>
    </row>
    <row r="159" spans="14:14" x14ac:dyDescent="0.2">
      <c r="N159" s="18"/>
    </row>
    <row r="160" spans="14:14" x14ac:dyDescent="0.2">
      <c r="N160" s="18"/>
    </row>
    <row r="161" spans="14:14" x14ac:dyDescent="0.2">
      <c r="N161" s="18"/>
    </row>
    <row r="162" spans="14:14" x14ac:dyDescent="0.2">
      <c r="N162" s="18"/>
    </row>
    <row r="163" spans="14:14" x14ac:dyDescent="0.2">
      <c r="N163" s="18"/>
    </row>
    <row r="164" spans="14:14" x14ac:dyDescent="0.2">
      <c r="N164" s="18"/>
    </row>
    <row r="165" spans="14:14" x14ac:dyDescent="0.2">
      <c r="N165" s="18"/>
    </row>
    <row r="166" spans="14:14" x14ac:dyDescent="0.2">
      <c r="N166" s="18"/>
    </row>
    <row r="167" spans="14:14" x14ac:dyDescent="0.2">
      <c r="N167" s="18"/>
    </row>
    <row r="168" spans="14:14" x14ac:dyDescent="0.2">
      <c r="N168" s="18"/>
    </row>
    <row r="169" spans="14:14" x14ac:dyDescent="0.2">
      <c r="N169" s="18"/>
    </row>
    <row r="170" spans="14:14" x14ac:dyDescent="0.2">
      <c r="N170" s="18"/>
    </row>
    <row r="171" spans="14:14" x14ac:dyDescent="0.2">
      <c r="N171" s="18"/>
    </row>
    <row r="172" spans="14:14" x14ac:dyDescent="0.2">
      <c r="N172" s="18"/>
    </row>
    <row r="173" spans="14:14" x14ac:dyDescent="0.2">
      <c r="N173" s="18"/>
    </row>
    <row r="174" spans="14:14" x14ac:dyDescent="0.2">
      <c r="N174" s="18"/>
    </row>
    <row r="175" spans="14:14" x14ac:dyDescent="0.2">
      <c r="N175" s="18"/>
    </row>
    <row r="176" spans="14:14" x14ac:dyDescent="0.2">
      <c r="N176" s="18"/>
    </row>
    <row r="177" spans="14:14" x14ac:dyDescent="0.2">
      <c r="N177" s="18"/>
    </row>
    <row r="178" spans="14:14" x14ac:dyDescent="0.2">
      <c r="N178" s="18"/>
    </row>
    <row r="179" spans="14:14" x14ac:dyDescent="0.2">
      <c r="N179" s="18"/>
    </row>
    <row r="180" spans="14:14" x14ac:dyDescent="0.2">
      <c r="N180" s="18"/>
    </row>
    <row r="181" spans="14:14" x14ac:dyDescent="0.2">
      <c r="N181" s="18"/>
    </row>
    <row r="182" spans="14:14" x14ac:dyDescent="0.2">
      <c r="N182" s="18"/>
    </row>
    <row r="183" spans="14:14" x14ac:dyDescent="0.2">
      <c r="N183" s="18"/>
    </row>
    <row r="184" spans="14:14" x14ac:dyDescent="0.2">
      <c r="N184" s="18"/>
    </row>
    <row r="185" spans="14:14" x14ac:dyDescent="0.2">
      <c r="N185" s="18"/>
    </row>
    <row r="186" spans="14:14" x14ac:dyDescent="0.2">
      <c r="N186" s="18"/>
    </row>
    <row r="187" spans="14:14" x14ac:dyDescent="0.2">
      <c r="N187" s="18"/>
    </row>
    <row r="188" spans="14:14" x14ac:dyDescent="0.2">
      <c r="N188" s="18"/>
    </row>
    <row r="189" spans="14:14" x14ac:dyDescent="0.2">
      <c r="N189" s="18"/>
    </row>
    <row r="190" spans="14:14" x14ac:dyDescent="0.2">
      <c r="N190" s="18"/>
    </row>
    <row r="191" spans="14:14" x14ac:dyDescent="0.2">
      <c r="N191" s="18"/>
    </row>
    <row r="192" spans="14:14" x14ac:dyDescent="0.2">
      <c r="N192" s="18"/>
    </row>
    <row r="193" spans="14:14" x14ac:dyDescent="0.2">
      <c r="N193" s="18"/>
    </row>
    <row r="194" spans="14:14" x14ac:dyDescent="0.2">
      <c r="N194" s="18"/>
    </row>
    <row r="195" spans="14:14" x14ac:dyDescent="0.2">
      <c r="N195" s="18"/>
    </row>
    <row r="196" spans="14:14" x14ac:dyDescent="0.2">
      <c r="N196" s="18"/>
    </row>
    <row r="197" spans="14:14" x14ac:dyDescent="0.2">
      <c r="N197" s="18"/>
    </row>
    <row r="198" spans="14:14" x14ac:dyDescent="0.2">
      <c r="N198" s="18"/>
    </row>
    <row r="199" spans="14:14" x14ac:dyDescent="0.2">
      <c r="N199" s="18"/>
    </row>
    <row r="200" spans="14:14" x14ac:dyDescent="0.2">
      <c r="N200" s="18"/>
    </row>
    <row r="201" spans="14:14" x14ac:dyDescent="0.2">
      <c r="N201" s="18"/>
    </row>
    <row r="202" spans="14:14" x14ac:dyDescent="0.2">
      <c r="N202" s="18"/>
    </row>
    <row r="203" spans="14:14" x14ac:dyDescent="0.2">
      <c r="N203" s="18"/>
    </row>
    <row r="204" spans="14:14" x14ac:dyDescent="0.2">
      <c r="N204" s="18"/>
    </row>
    <row r="205" spans="14:14" x14ac:dyDescent="0.2">
      <c r="N205" s="18"/>
    </row>
    <row r="206" spans="14:14" x14ac:dyDescent="0.2">
      <c r="N206" s="18"/>
    </row>
    <row r="207" spans="14:14" x14ac:dyDescent="0.2">
      <c r="N207" s="18"/>
    </row>
    <row r="208" spans="14:14" x14ac:dyDescent="0.2">
      <c r="N208" s="18"/>
    </row>
    <row r="209" spans="14:14" x14ac:dyDescent="0.2">
      <c r="N209" s="18"/>
    </row>
    <row r="210" spans="14:14" x14ac:dyDescent="0.2">
      <c r="N210" s="18"/>
    </row>
    <row r="211" spans="14:14" x14ac:dyDescent="0.2">
      <c r="N211" s="18"/>
    </row>
    <row r="212" spans="14:14" x14ac:dyDescent="0.2">
      <c r="N212" s="18"/>
    </row>
    <row r="213" spans="14:14" x14ac:dyDescent="0.2">
      <c r="N213" s="18"/>
    </row>
    <row r="214" spans="14:14" x14ac:dyDescent="0.2">
      <c r="N214" s="18"/>
    </row>
    <row r="215" spans="14:14" x14ac:dyDescent="0.2">
      <c r="N215" s="18"/>
    </row>
    <row r="216" spans="14:14" x14ac:dyDescent="0.2">
      <c r="N216" s="18"/>
    </row>
    <row r="217" spans="14:14" x14ac:dyDescent="0.2">
      <c r="N217" s="18"/>
    </row>
    <row r="218" spans="14:14" x14ac:dyDescent="0.2">
      <c r="N218" s="18"/>
    </row>
    <row r="219" spans="14:14" x14ac:dyDescent="0.2">
      <c r="N219" s="18"/>
    </row>
    <row r="220" spans="14:14" x14ac:dyDescent="0.2">
      <c r="N220" s="18"/>
    </row>
    <row r="221" spans="14:14" x14ac:dyDescent="0.2">
      <c r="N221" s="18"/>
    </row>
    <row r="222" spans="14:14" x14ac:dyDescent="0.2">
      <c r="N222" s="18"/>
    </row>
    <row r="223" spans="14:14" x14ac:dyDescent="0.2">
      <c r="N223" s="18"/>
    </row>
    <row r="224" spans="14:14" x14ac:dyDescent="0.2">
      <c r="N224" s="18"/>
    </row>
    <row r="225" spans="14:14" x14ac:dyDescent="0.2">
      <c r="N225" s="18"/>
    </row>
    <row r="226" spans="14:14" x14ac:dyDescent="0.2">
      <c r="N226" s="18"/>
    </row>
    <row r="227" spans="14:14" x14ac:dyDescent="0.2">
      <c r="N227" s="18"/>
    </row>
    <row r="228" spans="14:14" x14ac:dyDescent="0.2">
      <c r="N228" s="18"/>
    </row>
    <row r="229" spans="14:14" x14ac:dyDescent="0.2">
      <c r="N229" s="18"/>
    </row>
    <row r="230" spans="14:14" x14ac:dyDescent="0.2">
      <c r="N230" s="18"/>
    </row>
    <row r="231" spans="14:14" x14ac:dyDescent="0.2">
      <c r="N231" s="18"/>
    </row>
    <row r="232" spans="14:14" x14ac:dyDescent="0.2">
      <c r="N232" s="18"/>
    </row>
    <row r="233" spans="14:14" x14ac:dyDescent="0.2">
      <c r="N233" s="18"/>
    </row>
    <row r="234" spans="14:14" x14ac:dyDescent="0.2">
      <c r="N234" s="18"/>
    </row>
    <row r="235" spans="14:14" x14ac:dyDescent="0.2">
      <c r="N235" s="18"/>
    </row>
    <row r="236" spans="14:14" x14ac:dyDescent="0.2">
      <c r="N236" s="18"/>
    </row>
    <row r="237" spans="14:14" x14ac:dyDescent="0.2">
      <c r="N237" s="18"/>
    </row>
    <row r="238" spans="14:14" x14ac:dyDescent="0.2">
      <c r="N238" s="18"/>
    </row>
    <row r="239" spans="14:14" x14ac:dyDescent="0.2">
      <c r="N239" s="18"/>
    </row>
    <row r="240" spans="14:14" x14ac:dyDescent="0.2">
      <c r="N240" s="18"/>
    </row>
    <row r="241" spans="14:14" x14ac:dyDescent="0.2">
      <c r="N241" s="18"/>
    </row>
    <row r="242" spans="14:14" x14ac:dyDescent="0.2">
      <c r="N242" s="18"/>
    </row>
    <row r="243" spans="14:14" x14ac:dyDescent="0.2">
      <c r="N243" s="18"/>
    </row>
    <row r="244" spans="14:14" x14ac:dyDescent="0.2">
      <c r="N244" s="18"/>
    </row>
    <row r="245" spans="14:14" x14ac:dyDescent="0.2">
      <c r="N245" s="18"/>
    </row>
    <row r="246" spans="14:14" x14ac:dyDescent="0.2">
      <c r="N246" s="18"/>
    </row>
    <row r="247" spans="14:14" x14ac:dyDescent="0.2">
      <c r="N247" s="18"/>
    </row>
    <row r="248" spans="14:14" x14ac:dyDescent="0.2">
      <c r="N248" s="18"/>
    </row>
    <row r="249" spans="14:14" x14ac:dyDescent="0.2">
      <c r="N249" s="18"/>
    </row>
    <row r="250" spans="14:14" x14ac:dyDescent="0.2">
      <c r="N250" s="18"/>
    </row>
    <row r="251" spans="14:14" x14ac:dyDescent="0.2">
      <c r="N251" s="18"/>
    </row>
    <row r="252" spans="14:14" x14ac:dyDescent="0.2">
      <c r="N252" s="18"/>
    </row>
    <row r="253" spans="14:14" x14ac:dyDescent="0.2">
      <c r="N253" s="18"/>
    </row>
    <row r="254" spans="14:14" x14ac:dyDescent="0.2">
      <c r="N254" s="18"/>
    </row>
    <row r="255" spans="14:14" x14ac:dyDescent="0.2">
      <c r="N255" s="18"/>
    </row>
    <row r="256" spans="14:14" x14ac:dyDescent="0.2">
      <c r="N256" s="18"/>
    </row>
    <row r="257" spans="14:14" x14ac:dyDescent="0.2">
      <c r="N257" s="18"/>
    </row>
    <row r="258" spans="14:14" x14ac:dyDescent="0.2">
      <c r="N258" s="18"/>
    </row>
    <row r="259" spans="14:14" x14ac:dyDescent="0.2">
      <c r="N259" s="18"/>
    </row>
    <row r="260" spans="14:14" x14ac:dyDescent="0.2">
      <c r="N260" s="18"/>
    </row>
    <row r="261" spans="14:14" x14ac:dyDescent="0.2">
      <c r="N261" s="18"/>
    </row>
    <row r="262" spans="14:14" x14ac:dyDescent="0.2">
      <c r="N262" s="18"/>
    </row>
    <row r="263" spans="14:14" x14ac:dyDescent="0.2">
      <c r="N263" s="18"/>
    </row>
    <row r="264" spans="14:14" x14ac:dyDescent="0.2">
      <c r="N264" s="18"/>
    </row>
    <row r="265" spans="14:14" x14ac:dyDescent="0.2">
      <c r="N265" s="18"/>
    </row>
    <row r="266" spans="14:14" x14ac:dyDescent="0.2">
      <c r="N266" s="18"/>
    </row>
    <row r="267" spans="14:14" x14ac:dyDescent="0.2">
      <c r="N267" s="18"/>
    </row>
    <row r="268" spans="14:14" x14ac:dyDescent="0.2">
      <c r="N268" s="18"/>
    </row>
    <row r="269" spans="14:14" x14ac:dyDescent="0.2">
      <c r="N269" s="18"/>
    </row>
    <row r="270" spans="14:14" x14ac:dyDescent="0.2">
      <c r="N270" s="18"/>
    </row>
    <row r="271" spans="14:14" x14ac:dyDescent="0.2">
      <c r="N271" s="18"/>
    </row>
    <row r="272" spans="14:14" x14ac:dyDescent="0.2">
      <c r="N272" s="18"/>
    </row>
    <row r="273" spans="14:14" x14ac:dyDescent="0.2">
      <c r="N273" s="18"/>
    </row>
    <row r="274" spans="14:14" x14ac:dyDescent="0.2">
      <c r="N274" s="18"/>
    </row>
    <row r="275" spans="14:14" x14ac:dyDescent="0.2">
      <c r="N275" s="18"/>
    </row>
    <row r="276" spans="14:14" x14ac:dyDescent="0.2">
      <c r="N276" s="18"/>
    </row>
    <row r="277" spans="14:14" x14ac:dyDescent="0.2">
      <c r="N277" s="18"/>
    </row>
    <row r="278" spans="14:14" x14ac:dyDescent="0.2">
      <c r="N278" s="18"/>
    </row>
    <row r="279" spans="14:14" x14ac:dyDescent="0.2">
      <c r="N279" s="18"/>
    </row>
    <row r="280" spans="14:14" x14ac:dyDescent="0.2">
      <c r="N280" s="18"/>
    </row>
    <row r="281" spans="14:14" x14ac:dyDescent="0.2">
      <c r="N281" s="18"/>
    </row>
    <row r="282" spans="14:14" x14ac:dyDescent="0.2">
      <c r="N282" s="18"/>
    </row>
    <row r="283" spans="14:14" x14ac:dyDescent="0.2">
      <c r="N283" s="18"/>
    </row>
    <row r="284" spans="14:14" x14ac:dyDescent="0.2">
      <c r="N284" s="18"/>
    </row>
    <row r="285" spans="14:14" x14ac:dyDescent="0.2">
      <c r="N285" s="18"/>
    </row>
    <row r="286" spans="14:14" x14ac:dyDescent="0.2">
      <c r="N286" s="18"/>
    </row>
    <row r="287" spans="14:14" x14ac:dyDescent="0.2">
      <c r="N287" s="18"/>
    </row>
    <row r="288" spans="14:14" x14ac:dyDescent="0.2">
      <c r="N288" s="18"/>
    </row>
    <row r="289" spans="14:14" x14ac:dyDescent="0.2">
      <c r="N289" s="18"/>
    </row>
    <row r="290" spans="14:14" x14ac:dyDescent="0.2">
      <c r="N290" s="18"/>
    </row>
    <row r="291" spans="14:14" x14ac:dyDescent="0.2">
      <c r="N291" s="18"/>
    </row>
    <row r="292" spans="14:14" x14ac:dyDescent="0.2">
      <c r="N292" s="18"/>
    </row>
    <row r="293" spans="14:14" x14ac:dyDescent="0.2">
      <c r="N293" s="18"/>
    </row>
    <row r="294" spans="14:14" x14ac:dyDescent="0.2">
      <c r="N294" s="18"/>
    </row>
    <row r="295" spans="14:14" x14ac:dyDescent="0.2">
      <c r="N295" s="18"/>
    </row>
    <row r="296" spans="14:14" x14ac:dyDescent="0.2">
      <c r="N296" s="18"/>
    </row>
    <row r="297" spans="14:14" x14ac:dyDescent="0.2">
      <c r="N297" s="18"/>
    </row>
    <row r="298" spans="14:14" x14ac:dyDescent="0.2">
      <c r="N298" s="18"/>
    </row>
    <row r="299" spans="14:14" x14ac:dyDescent="0.2">
      <c r="N299" s="18"/>
    </row>
    <row r="300" spans="14:14" x14ac:dyDescent="0.2">
      <c r="N300" s="18"/>
    </row>
    <row r="301" spans="14:14" x14ac:dyDescent="0.2">
      <c r="N301" s="18"/>
    </row>
    <row r="302" spans="14:14" x14ac:dyDescent="0.2">
      <c r="N302" s="18"/>
    </row>
    <row r="303" spans="14:14" x14ac:dyDescent="0.2">
      <c r="N303" s="18"/>
    </row>
    <row r="304" spans="14:14" x14ac:dyDescent="0.2">
      <c r="N304" s="18"/>
    </row>
    <row r="305" spans="14:14" x14ac:dyDescent="0.2">
      <c r="N305" s="18"/>
    </row>
    <row r="306" spans="14:14" x14ac:dyDescent="0.2">
      <c r="N306" s="18"/>
    </row>
    <row r="307" spans="14:14" x14ac:dyDescent="0.2">
      <c r="N307" s="18"/>
    </row>
    <row r="308" spans="14:14" x14ac:dyDescent="0.2">
      <c r="N308" s="18"/>
    </row>
    <row r="309" spans="14:14" x14ac:dyDescent="0.2">
      <c r="N309" s="18"/>
    </row>
    <row r="310" spans="14:14" x14ac:dyDescent="0.2">
      <c r="N310" s="18"/>
    </row>
    <row r="311" spans="14:14" x14ac:dyDescent="0.2">
      <c r="N311" s="18"/>
    </row>
    <row r="312" spans="14:14" x14ac:dyDescent="0.2">
      <c r="N312" s="18"/>
    </row>
    <row r="313" spans="14:14" x14ac:dyDescent="0.2">
      <c r="N313" s="18"/>
    </row>
    <row r="314" spans="14:14" x14ac:dyDescent="0.2">
      <c r="N314" s="18"/>
    </row>
    <row r="315" spans="14:14" x14ac:dyDescent="0.2">
      <c r="N315" s="18"/>
    </row>
    <row r="316" spans="14:14" x14ac:dyDescent="0.2">
      <c r="N316" s="18"/>
    </row>
    <row r="317" spans="14:14" x14ac:dyDescent="0.2">
      <c r="N317" s="18"/>
    </row>
    <row r="318" spans="14:14" x14ac:dyDescent="0.2">
      <c r="N318" s="18"/>
    </row>
    <row r="319" spans="14:14" x14ac:dyDescent="0.2">
      <c r="N319" s="18"/>
    </row>
    <row r="320" spans="14:14" x14ac:dyDescent="0.2">
      <c r="N320" s="18"/>
    </row>
    <row r="321" spans="14:14" x14ac:dyDescent="0.2">
      <c r="N321" s="18"/>
    </row>
    <row r="322" spans="14:14" x14ac:dyDescent="0.2">
      <c r="N322" s="18"/>
    </row>
    <row r="323" spans="14:14" x14ac:dyDescent="0.2">
      <c r="N323" s="18"/>
    </row>
    <row r="324" spans="14:14" x14ac:dyDescent="0.2">
      <c r="N324" s="18"/>
    </row>
    <row r="325" spans="14:14" x14ac:dyDescent="0.2">
      <c r="N325" s="18"/>
    </row>
    <row r="326" spans="14:14" x14ac:dyDescent="0.2">
      <c r="N326" s="18"/>
    </row>
    <row r="327" spans="14:14" x14ac:dyDescent="0.2">
      <c r="N327" s="18"/>
    </row>
    <row r="328" spans="14:14" x14ac:dyDescent="0.2">
      <c r="N328" s="18"/>
    </row>
    <row r="329" spans="14:14" x14ac:dyDescent="0.2">
      <c r="N329" s="18"/>
    </row>
    <row r="330" spans="14:14" x14ac:dyDescent="0.2">
      <c r="N330" s="18"/>
    </row>
    <row r="331" spans="14:14" x14ac:dyDescent="0.2">
      <c r="N331" s="18"/>
    </row>
    <row r="332" spans="14:14" x14ac:dyDescent="0.2">
      <c r="N332" s="18"/>
    </row>
    <row r="333" spans="14:14" x14ac:dyDescent="0.2">
      <c r="N333" s="18"/>
    </row>
    <row r="334" spans="14:14" x14ac:dyDescent="0.2">
      <c r="N334" s="18"/>
    </row>
    <row r="335" spans="14:14" x14ac:dyDescent="0.2">
      <c r="N335" s="18"/>
    </row>
    <row r="336" spans="14:14" x14ac:dyDescent="0.2">
      <c r="N336" s="18"/>
    </row>
    <row r="337" spans="14:14" x14ac:dyDescent="0.2">
      <c r="N337" s="18"/>
    </row>
    <row r="338" spans="14:14" x14ac:dyDescent="0.2">
      <c r="N338" s="18"/>
    </row>
    <row r="339" spans="14:14" x14ac:dyDescent="0.2">
      <c r="N339" s="18"/>
    </row>
    <row r="340" spans="14:14" x14ac:dyDescent="0.2">
      <c r="N340" s="18"/>
    </row>
    <row r="341" spans="14:14" x14ac:dyDescent="0.2">
      <c r="N341" s="18"/>
    </row>
    <row r="342" spans="14:14" x14ac:dyDescent="0.2">
      <c r="N342" s="18"/>
    </row>
    <row r="343" spans="14:14" x14ac:dyDescent="0.2">
      <c r="N343" s="18"/>
    </row>
    <row r="344" spans="14:14" x14ac:dyDescent="0.2">
      <c r="N344" s="18"/>
    </row>
    <row r="345" spans="14:14" x14ac:dyDescent="0.2">
      <c r="N345" s="18"/>
    </row>
    <row r="346" spans="14:14" x14ac:dyDescent="0.2">
      <c r="N346" s="18"/>
    </row>
    <row r="347" spans="14:14" x14ac:dyDescent="0.2">
      <c r="N347" s="18"/>
    </row>
    <row r="348" spans="14:14" x14ac:dyDescent="0.2">
      <c r="N348" s="18"/>
    </row>
    <row r="349" spans="14:14" x14ac:dyDescent="0.2">
      <c r="N349" s="18"/>
    </row>
    <row r="350" spans="14:14" x14ac:dyDescent="0.2">
      <c r="N350" s="18"/>
    </row>
    <row r="351" spans="14:14" x14ac:dyDescent="0.2">
      <c r="N351" s="18"/>
    </row>
    <row r="352" spans="14:14" x14ac:dyDescent="0.2">
      <c r="N352" s="18"/>
    </row>
    <row r="353" spans="14:14" x14ac:dyDescent="0.2">
      <c r="N353" s="18"/>
    </row>
    <row r="354" spans="14:14" x14ac:dyDescent="0.2">
      <c r="N354" s="18"/>
    </row>
    <row r="355" spans="14:14" x14ac:dyDescent="0.2">
      <c r="N355" s="18"/>
    </row>
    <row r="356" spans="14:14" x14ac:dyDescent="0.2">
      <c r="N356" s="18"/>
    </row>
    <row r="357" spans="14:14" x14ac:dyDescent="0.2">
      <c r="N357" s="18"/>
    </row>
    <row r="358" spans="14:14" x14ac:dyDescent="0.2">
      <c r="N358" s="18"/>
    </row>
    <row r="359" spans="14:14" x14ac:dyDescent="0.2">
      <c r="N359" s="18"/>
    </row>
    <row r="360" spans="14:14" x14ac:dyDescent="0.2">
      <c r="N360" s="18"/>
    </row>
    <row r="361" spans="14:14" x14ac:dyDescent="0.2">
      <c r="N361" s="18"/>
    </row>
    <row r="362" spans="14:14" x14ac:dyDescent="0.2">
      <c r="N362" s="18"/>
    </row>
    <row r="363" spans="14:14" x14ac:dyDescent="0.2">
      <c r="N363" s="18"/>
    </row>
    <row r="364" spans="14:14" x14ac:dyDescent="0.2">
      <c r="N364" s="18"/>
    </row>
    <row r="365" spans="14:14" x14ac:dyDescent="0.2">
      <c r="N365" s="18"/>
    </row>
    <row r="366" spans="14:14" x14ac:dyDescent="0.2">
      <c r="N366" s="18"/>
    </row>
    <row r="367" spans="14:14" x14ac:dyDescent="0.2">
      <c r="N367" s="18"/>
    </row>
    <row r="368" spans="14:14" x14ac:dyDescent="0.2">
      <c r="N368" s="18"/>
    </row>
    <row r="369" spans="14:14" x14ac:dyDescent="0.2">
      <c r="N369" s="18"/>
    </row>
    <row r="370" spans="14:14" x14ac:dyDescent="0.2">
      <c r="N370" s="18"/>
    </row>
    <row r="371" spans="14:14" x14ac:dyDescent="0.2">
      <c r="N371" s="18"/>
    </row>
    <row r="372" spans="14:14" x14ac:dyDescent="0.2">
      <c r="N372" s="18"/>
    </row>
    <row r="373" spans="14:14" x14ac:dyDescent="0.2">
      <c r="N373" s="18"/>
    </row>
    <row r="374" spans="14:14" x14ac:dyDescent="0.2">
      <c r="N374" s="18"/>
    </row>
    <row r="375" spans="14:14" x14ac:dyDescent="0.2">
      <c r="N375" s="18"/>
    </row>
    <row r="376" spans="14:14" x14ac:dyDescent="0.2">
      <c r="N376" s="18"/>
    </row>
    <row r="377" spans="14:14" x14ac:dyDescent="0.2">
      <c r="N377" s="18"/>
    </row>
    <row r="378" spans="14:14" x14ac:dyDescent="0.2">
      <c r="N378" s="18"/>
    </row>
    <row r="379" spans="14:14" x14ac:dyDescent="0.2">
      <c r="N379" s="18"/>
    </row>
    <row r="380" spans="14:14" x14ac:dyDescent="0.2">
      <c r="N380" s="18"/>
    </row>
    <row r="381" spans="14:14" x14ac:dyDescent="0.2">
      <c r="N381" s="18"/>
    </row>
    <row r="382" spans="14:14" x14ac:dyDescent="0.2">
      <c r="N382" s="18"/>
    </row>
    <row r="383" spans="14:14" x14ac:dyDescent="0.2">
      <c r="N383" s="18"/>
    </row>
    <row r="384" spans="14:14" x14ac:dyDescent="0.2">
      <c r="N384" s="18"/>
    </row>
    <row r="385" spans="14:14" x14ac:dyDescent="0.2">
      <c r="N385" s="18"/>
    </row>
    <row r="386" spans="14:14" x14ac:dyDescent="0.2">
      <c r="N386" s="18"/>
    </row>
    <row r="387" spans="14:14" x14ac:dyDescent="0.2">
      <c r="N387" s="18"/>
    </row>
    <row r="388" spans="14:14" x14ac:dyDescent="0.2">
      <c r="N388" s="18"/>
    </row>
    <row r="389" spans="14:14" x14ac:dyDescent="0.2">
      <c r="N389" s="18"/>
    </row>
    <row r="390" spans="14:14" x14ac:dyDescent="0.2">
      <c r="N390" s="18"/>
    </row>
    <row r="391" spans="14:14" x14ac:dyDescent="0.2">
      <c r="N391" s="18"/>
    </row>
    <row r="392" spans="14:14" x14ac:dyDescent="0.2">
      <c r="N392" s="18"/>
    </row>
    <row r="393" spans="14:14" x14ac:dyDescent="0.2">
      <c r="N393" s="18"/>
    </row>
    <row r="394" spans="14:14" x14ac:dyDescent="0.2">
      <c r="N394" s="18"/>
    </row>
    <row r="395" spans="14:14" x14ac:dyDescent="0.2">
      <c r="N395" s="18"/>
    </row>
    <row r="396" spans="14:14" x14ac:dyDescent="0.2">
      <c r="N396" s="18"/>
    </row>
    <row r="397" spans="14:14" x14ac:dyDescent="0.2">
      <c r="N397" s="18"/>
    </row>
    <row r="398" spans="14:14" x14ac:dyDescent="0.2">
      <c r="N398" s="18"/>
    </row>
    <row r="399" spans="14:14" x14ac:dyDescent="0.2">
      <c r="N399" s="18"/>
    </row>
    <row r="400" spans="14:14" x14ac:dyDescent="0.2">
      <c r="N400" s="18"/>
    </row>
    <row r="401" spans="14:14" x14ac:dyDescent="0.2">
      <c r="N401" s="18"/>
    </row>
    <row r="402" spans="14:14" x14ac:dyDescent="0.2">
      <c r="N402" s="18"/>
    </row>
    <row r="403" spans="14:14" x14ac:dyDescent="0.2">
      <c r="N403" s="18"/>
    </row>
    <row r="404" spans="14:14" x14ac:dyDescent="0.2">
      <c r="N404" s="18"/>
    </row>
    <row r="405" spans="14:14" x14ac:dyDescent="0.2">
      <c r="N405" s="18"/>
    </row>
    <row r="406" spans="14:14" x14ac:dyDescent="0.2">
      <c r="N406" s="18"/>
    </row>
    <row r="407" spans="14:14" x14ac:dyDescent="0.2">
      <c r="N407" s="18"/>
    </row>
    <row r="408" spans="14:14" x14ac:dyDescent="0.2">
      <c r="N408" s="18"/>
    </row>
    <row r="409" spans="14:14" x14ac:dyDescent="0.2">
      <c r="N409" s="18"/>
    </row>
    <row r="410" spans="14:14" x14ac:dyDescent="0.2">
      <c r="N410" s="18"/>
    </row>
    <row r="411" spans="14:14" x14ac:dyDescent="0.2">
      <c r="N411" s="18"/>
    </row>
    <row r="412" spans="14:14" x14ac:dyDescent="0.2">
      <c r="N412" s="18"/>
    </row>
    <row r="413" spans="14:14" x14ac:dyDescent="0.2">
      <c r="N413" s="18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="110" zoomScaleNormal="110" zoomScaleSheetLayoutView="110" workbookViewId="0">
      <pane ySplit="1" topLeftCell="A2" activePane="bottomLeft" state="frozen"/>
      <selection pane="bottomLeft" activeCell="A19" sqref="A19:XFD19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>
        <v>313</v>
      </c>
      <c r="C10" s="146">
        <v>19384</v>
      </c>
      <c r="D10" s="40">
        <f t="shared" si="4"/>
        <v>320</v>
      </c>
      <c r="E10" s="147">
        <v>30057154</v>
      </c>
      <c r="F10" s="40">
        <f t="shared" si="5"/>
        <v>13851</v>
      </c>
      <c r="G10" s="148">
        <v>95934302</v>
      </c>
      <c r="H10" s="40">
        <f t="shared" si="6"/>
        <v>44703</v>
      </c>
      <c r="I10" s="149">
        <f t="shared" si="7"/>
        <v>58554</v>
      </c>
      <c r="J10" s="147">
        <v>9543052</v>
      </c>
      <c r="K10" s="40">
        <f t="shared" si="15"/>
        <v>9992</v>
      </c>
      <c r="L10" s="150">
        <v>9582806</v>
      </c>
      <c r="M10" s="40">
        <f t="shared" si="8"/>
        <v>5945</v>
      </c>
      <c r="N10" s="147">
        <v>6389387</v>
      </c>
      <c r="O10" s="40">
        <f t="shared" si="16"/>
        <v>11786</v>
      </c>
      <c r="P10" s="150">
        <v>5953510</v>
      </c>
      <c r="Q10" s="40">
        <f t="shared" si="9"/>
        <v>3151</v>
      </c>
      <c r="R10" s="147">
        <v>20390580</v>
      </c>
      <c r="S10" s="40">
        <f t="shared" si="10"/>
        <v>11521</v>
      </c>
      <c r="T10" s="147">
        <v>0</v>
      </c>
      <c r="U10" s="151"/>
      <c r="V10" s="147">
        <v>8295459</v>
      </c>
      <c r="W10" s="40">
        <f t="shared" si="11"/>
        <v>11965</v>
      </c>
      <c r="X10" s="20">
        <f t="shared" si="12"/>
        <v>54360</v>
      </c>
      <c r="Y10" s="152">
        <f t="shared" si="13"/>
        <v>4194</v>
      </c>
      <c r="Z10" s="3">
        <f t="shared" si="14"/>
        <v>7862.8088032000005</v>
      </c>
      <c r="AA10" s="3">
        <f t="shared" si="17"/>
        <v>24936.703251200004</v>
      </c>
    </row>
    <row r="11" spans="1:27" ht="15.75" customHeight="1" thickBot="1" x14ac:dyDescent="0.3">
      <c r="A11" s="9">
        <v>44629</v>
      </c>
      <c r="B11" s="40">
        <v>163</v>
      </c>
      <c r="C11" s="146">
        <v>19387</v>
      </c>
      <c r="D11" s="40">
        <f t="shared" si="4"/>
        <v>480</v>
      </c>
      <c r="E11" s="147">
        <v>30067888</v>
      </c>
      <c r="F11" s="40">
        <f t="shared" si="5"/>
        <v>10734</v>
      </c>
      <c r="G11" s="148">
        <v>95967009</v>
      </c>
      <c r="H11" s="40">
        <f t="shared" si="6"/>
        <v>32707</v>
      </c>
      <c r="I11" s="149">
        <f t="shared" si="7"/>
        <v>43441</v>
      </c>
      <c r="J11" s="147">
        <v>9546739</v>
      </c>
      <c r="K11" s="40">
        <f t="shared" si="15"/>
        <v>7374</v>
      </c>
      <c r="L11" s="150">
        <v>9587794</v>
      </c>
      <c r="M11" s="40">
        <f t="shared" si="8"/>
        <v>4988</v>
      </c>
      <c r="N11" s="147">
        <v>6392189</v>
      </c>
      <c r="O11" s="40">
        <f t="shared" si="16"/>
        <v>5604</v>
      </c>
      <c r="P11" s="150">
        <v>5955764</v>
      </c>
      <c r="Q11" s="40">
        <f t="shared" si="9"/>
        <v>2254</v>
      </c>
      <c r="R11" s="147">
        <v>20398876</v>
      </c>
      <c r="S11" s="40">
        <f t="shared" si="10"/>
        <v>8296</v>
      </c>
      <c r="T11" s="147">
        <v>0</v>
      </c>
      <c r="U11" s="151"/>
      <c r="V11" s="147">
        <v>8304283</v>
      </c>
      <c r="W11" s="40">
        <f t="shared" si="11"/>
        <v>8824</v>
      </c>
      <c r="X11" s="20">
        <f t="shared" si="12"/>
        <v>37340</v>
      </c>
      <c r="Y11" s="152">
        <f t="shared" si="13"/>
        <v>6101</v>
      </c>
      <c r="Z11" s="3">
        <f t="shared" si="14"/>
        <v>5292.8711679999997</v>
      </c>
      <c r="AA11" s="3">
        <f t="shared" si="17"/>
        <v>23511.444153600001</v>
      </c>
    </row>
    <row r="12" spans="1:27" ht="16.5" thickBot="1" x14ac:dyDescent="0.3">
      <c r="A12" s="9">
        <v>44630</v>
      </c>
      <c r="B12" s="40">
        <v>240</v>
      </c>
      <c r="C12" s="146">
        <v>19390</v>
      </c>
      <c r="D12" s="40">
        <f t="shared" si="4"/>
        <v>480</v>
      </c>
      <c r="E12" s="147">
        <v>30078586</v>
      </c>
      <c r="F12" s="40">
        <f t="shared" si="5"/>
        <v>10698</v>
      </c>
      <c r="G12" s="148">
        <v>96002111</v>
      </c>
      <c r="H12" s="40">
        <f t="shared" si="6"/>
        <v>35102</v>
      </c>
      <c r="I12" s="149">
        <f t="shared" si="7"/>
        <v>45800</v>
      </c>
      <c r="J12" s="147">
        <v>9550653</v>
      </c>
      <c r="K12" s="40">
        <f t="shared" si="15"/>
        <v>7828</v>
      </c>
      <c r="L12" s="150">
        <v>9592639</v>
      </c>
      <c r="M12" s="40">
        <f t="shared" si="8"/>
        <v>4845</v>
      </c>
      <c r="N12" s="147">
        <v>6395048</v>
      </c>
      <c r="O12" s="40">
        <f t="shared" si="16"/>
        <v>5718</v>
      </c>
      <c r="P12" s="150">
        <v>5958528</v>
      </c>
      <c r="Q12" s="40">
        <f t="shared" si="9"/>
        <v>2764</v>
      </c>
      <c r="R12" s="147">
        <v>20407765</v>
      </c>
      <c r="S12" s="40">
        <f t="shared" si="10"/>
        <v>8889</v>
      </c>
      <c r="T12" s="147">
        <v>0</v>
      </c>
      <c r="U12" s="151"/>
      <c r="V12" s="147">
        <v>8313624</v>
      </c>
      <c r="W12" s="40">
        <f t="shared" si="11"/>
        <v>9341</v>
      </c>
      <c r="X12" s="20">
        <f t="shared" si="12"/>
        <v>39385</v>
      </c>
      <c r="Y12" s="152">
        <f t="shared" si="13"/>
        <v>6415</v>
      </c>
      <c r="Z12" s="3">
        <f t="shared" si="14"/>
        <v>5652.6202719999992</v>
      </c>
      <c r="AA12" s="3">
        <f t="shared" si="17"/>
        <v>23708.303923200001</v>
      </c>
    </row>
    <row r="13" spans="1:27" ht="16.5" thickBot="1" x14ac:dyDescent="0.3">
      <c r="A13" s="9">
        <v>44631</v>
      </c>
      <c r="B13" s="40">
        <v>218</v>
      </c>
      <c r="C13" s="146">
        <v>19393</v>
      </c>
      <c r="D13" s="40">
        <f t="shared" ref="D13" si="18">IF((C13-C12)&lt;0,"0",(C13-C12))*160</f>
        <v>480</v>
      </c>
      <c r="E13" s="147">
        <v>30093217</v>
      </c>
      <c r="F13" s="40">
        <f t="shared" ref="F13" si="19">IF((E13-E12)&lt;0,"0",(E13-E12))</f>
        <v>14631</v>
      </c>
      <c r="G13" s="148">
        <v>96045667</v>
      </c>
      <c r="H13" s="40">
        <f t="shared" ref="H13" si="20">IF((G13-G12)&lt;0,"0",(G13-G12))</f>
        <v>43556</v>
      </c>
      <c r="I13" s="149">
        <f t="shared" ref="I13" si="21">F13+H13</f>
        <v>58187</v>
      </c>
      <c r="J13" s="147">
        <v>9555236</v>
      </c>
      <c r="K13" s="40">
        <f t="shared" ref="K13" si="22">(IF((J13-J12)&lt;0,"0",(J13-J12)))*2</f>
        <v>9166</v>
      </c>
      <c r="L13" s="150">
        <v>9599238</v>
      </c>
      <c r="M13" s="40">
        <f t="shared" ref="M13" si="23">IF((L13-L12)&lt;0,"0",(L13-L12))</f>
        <v>6599</v>
      </c>
      <c r="N13" s="147">
        <v>6398962</v>
      </c>
      <c r="O13" s="40">
        <f t="shared" ref="O13" si="24">(IF((N13-N12)&lt;0,"0",(N13-N12)))*2</f>
        <v>7828</v>
      </c>
      <c r="P13" s="150">
        <v>5962015</v>
      </c>
      <c r="Q13" s="40">
        <f t="shared" ref="Q13" si="25">IF((P13-P12)&lt;0,"0",(P13-P12))</f>
        <v>3487</v>
      </c>
      <c r="R13" s="147">
        <v>20419260</v>
      </c>
      <c r="S13" s="40">
        <f t="shared" ref="S13" si="26">IF((R13-R12)&lt;0,"0",(R13-R12))</f>
        <v>11495</v>
      </c>
      <c r="T13" s="147">
        <v>0</v>
      </c>
      <c r="U13" s="151"/>
      <c r="V13" s="147">
        <v>8325055</v>
      </c>
      <c r="W13" s="40">
        <f t="shared" ref="W13" si="27">IF((V13-V12)&lt;0,"0",(V13-V12))</f>
        <v>11431</v>
      </c>
      <c r="X13" s="20">
        <f t="shared" ref="X13" si="28">K13+M13+O13+Q13+S13+U13+W13</f>
        <v>50006</v>
      </c>
      <c r="Y13" s="152">
        <f t="shared" ref="Y13" si="29">I13-X13</f>
        <v>8181</v>
      </c>
      <c r="Z13" s="3">
        <f t="shared" ref="Z13" si="30">(0.93352*(W13+S13)+0.5568*(Q13+O13))*0.26</f>
        <v>7202.5385951999997</v>
      </c>
      <c r="AA13" s="3">
        <f t="shared" si="17"/>
        <v>26010.838838399999</v>
      </c>
    </row>
    <row r="14" spans="1:27" ht="16.5" thickBot="1" x14ac:dyDescent="0.3">
      <c r="A14" s="9">
        <v>44632</v>
      </c>
      <c r="B14" s="40">
        <v>269</v>
      </c>
      <c r="C14" s="146">
        <v>19396</v>
      </c>
      <c r="D14" s="40">
        <f t="shared" si="4"/>
        <v>480</v>
      </c>
      <c r="E14" s="147">
        <v>30104495</v>
      </c>
      <c r="F14" s="40">
        <f t="shared" si="5"/>
        <v>11278</v>
      </c>
      <c r="G14" s="148">
        <v>96079883</v>
      </c>
      <c r="H14" s="40">
        <f t="shared" si="6"/>
        <v>34216</v>
      </c>
      <c r="I14" s="149">
        <f t="shared" si="7"/>
        <v>45494</v>
      </c>
      <c r="J14" s="147">
        <v>9558918</v>
      </c>
      <c r="K14" s="40">
        <f t="shared" si="15"/>
        <v>7364</v>
      </c>
      <c r="L14" s="150">
        <v>9604413</v>
      </c>
      <c r="M14" s="40">
        <f t="shared" si="8"/>
        <v>5175</v>
      </c>
      <c r="N14" s="147">
        <v>6401956</v>
      </c>
      <c r="O14" s="40">
        <f t="shared" si="16"/>
        <v>5988</v>
      </c>
      <c r="P14" s="150">
        <v>5964769</v>
      </c>
      <c r="Q14" s="40">
        <f t="shared" si="9"/>
        <v>2754</v>
      </c>
      <c r="R14" s="147">
        <v>20428472</v>
      </c>
      <c r="S14" s="40">
        <f>IF((R14-R13)&lt;0,"0",(R14-R13))</f>
        <v>9212</v>
      </c>
      <c r="T14" s="147">
        <v>0</v>
      </c>
      <c r="U14" s="151"/>
      <c r="V14" s="147">
        <v>8333987</v>
      </c>
      <c r="W14" s="40">
        <f t="shared" si="11"/>
        <v>8932</v>
      </c>
      <c r="X14" s="20">
        <f t="shared" si="12"/>
        <v>39425</v>
      </c>
      <c r="Y14" s="152">
        <f t="shared" si="13"/>
        <v>6069</v>
      </c>
      <c r="Z14" s="3">
        <f t="shared" si="14"/>
        <v>5669.3864447999995</v>
      </c>
      <c r="AA14" s="3">
        <f t="shared" si="17"/>
        <v>23817.416479999996</v>
      </c>
    </row>
    <row r="15" spans="1:27" ht="16.5" thickBot="1" x14ac:dyDescent="0.3">
      <c r="A15" s="9">
        <v>44633</v>
      </c>
      <c r="B15" s="40">
        <v>294</v>
      </c>
      <c r="C15" s="146">
        <v>19399</v>
      </c>
      <c r="D15" s="40">
        <f t="shared" si="4"/>
        <v>480</v>
      </c>
      <c r="E15" s="147">
        <v>30116992</v>
      </c>
      <c r="F15" s="40">
        <f t="shared" si="5"/>
        <v>12497</v>
      </c>
      <c r="G15" s="148">
        <v>96117531</v>
      </c>
      <c r="H15" s="40">
        <f t="shared" si="6"/>
        <v>37648</v>
      </c>
      <c r="I15" s="149">
        <f t="shared" si="7"/>
        <v>50145</v>
      </c>
      <c r="J15" s="147">
        <v>9563520</v>
      </c>
      <c r="K15" s="40">
        <f t="shared" si="15"/>
        <v>9204</v>
      </c>
      <c r="L15" s="150">
        <v>9610377</v>
      </c>
      <c r="M15" s="40">
        <f t="shared" si="8"/>
        <v>5964</v>
      </c>
      <c r="N15" s="147">
        <v>6405156</v>
      </c>
      <c r="O15" s="40">
        <f t="shared" si="16"/>
        <v>6400</v>
      </c>
      <c r="P15" s="150">
        <v>5967767</v>
      </c>
      <c r="Q15" s="40">
        <f t="shared" si="9"/>
        <v>2998</v>
      </c>
      <c r="R15" s="147">
        <v>20438400</v>
      </c>
      <c r="S15" s="40">
        <f>IF((R15-R14)&lt;0,"0",(R15-R14))</f>
        <v>9928</v>
      </c>
      <c r="T15" s="147">
        <v>0</v>
      </c>
      <c r="U15" s="151"/>
      <c r="V15" s="147">
        <v>8343643</v>
      </c>
      <c r="W15" s="40">
        <f t="shared" si="11"/>
        <v>9656</v>
      </c>
      <c r="X15" s="20">
        <f t="shared" si="12"/>
        <v>44150</v>
      </c>
      <c r="Y15" s="152">
        <f t="shared" si="13"/>
        <v>5995</v>
      </c>
      <c r="Z15" s="3">
        <f t="shared" si="14"/>
        <v>6113.8641408000003</v>
      </c>
      <c r="AA15" s="3">
        <f t="shared" si="17"/>
        <v>24638.409452799999</v>
      </c>
    </row>
    <row r="16" spans="1:27" ht="16.5" thickBot="1" x14ac:dyDescent="0.3">
      <c r="A16" s="9">
        <v>44634</v>
      </c>
      <c r="B16" s="40">
        <v>271</v>
      </c>
      <c r="C16" s="146">
        <v>19401</v>
      </c>
      <c r="D16" s="40">
        <f t="shared" si="4"/>
        <v>320</v>
      </c>
      <c r="E16" s="147">
        <v>30130737</v>
      </c>
      <c r="F16" s="40">
        <f t="shared" si="5"/>
        <v>13745</v>
      </c>
      <c r="G16" s="148">
        <v>96162118</v>
      </c>
      <c r="H16" s="40">
        <f t="shared" si="6"/>
        <v>44587</v>
      </c>
      <c r="I16" s="149">
        <f t="shared" si="7"/>
        <v>58332</v>
      </c>
      <c r="J16" s="147">
        <v>9568892</v>
      </c>
      <c r="K16" s="40">
        <f t="shared" si="15"/>
        <v>10744</v>
      </c>
      <c r="L16" s="150">
        <v>9617120</v>
      </c>
      <c r="M16" s="40">
        <f t="shared" si="8"/>
        <v>6743</v>
      </c>
      <c r="N16" s="147">
        <v>6408568</v>
      </c>
      <c r="O16" s="40">
        <f t="shared" si="16"/>
        <v>6824</v>
      </c>
      <c r="P16" s="150">
        <v>5971160</v>
      </c>
      <c r="Q16" s="40">
        <f t="shared" si="9"/>
        <v>3393</v>
      </c>
      <c r="R16" s="147">
        <v>20450028</v>
      </c>
      <c r="S16" s="40">
        <f t="shared" si="10"/>
        <v>11628</v>
      </c>
      <c r="T16" s="147">
        <v>0</v>
      </c>
      <c r="U16" s="151"/>
      <c r="V16" s="147">
        <v>8355215</v>
      </c>
      <c r="W16" s="40">
        <f t="shared" si="11"/>
        <v>11572</v>
      </c>
      <c r="X16" s="20">
        <f t="shared" si="12"/>
        <v>50904</v>
      </c>
      <c r="Y16" s="152">
        <f t="shared" si="13"/>
        <v>7428</v>
      </c>
      <c r="Z16" s="3">
        <f t="shared" si="14"/>
        <v>7110.0872960000006</v>
      </c>
      <c r="AA16" s="3">
        <f t="shared" si="17"/>
        <v>26095.8764768</v>
      </c>
    </row>
    <row r="17" spans="1:27" s="132" customFormat="1" ht="16.5" thickBot="1" x14ac:dyDescent="0.3">
      <c r="A17" s="9">
        <v>44635</v>
      </c>
      <c r="B17" s="40">
        <v>316</v>
      </c>
      <c r="C17" s="146">
        <v>19406</v>
      </c>
      <c r="D17" s="40">
        <f t="shared" si="4"/>
        <v>800</v>
      </c>
      <c r="E17" s="147">
        <v>30140918</v>
      </c>
      <c r="F17" s="40">
        <f t="shared" si="5"/>
        <v>10181</v>
      </c>
      <c r="G17" s="148">
        <v>96193276</v>
      </c>
      <c r="H17" s="40">
        <f t="shared" si="6"/>
        <v>31158</v>
      </c>
      <c r="I17" s="153">
        <f t="shared" si="7"/>
        <v>41339</v>
      </c>
      <c r="J17" s="147">
        <v>9572766</v>
      </c>
      <c r="K17" s="131">
        <f t="shared" si="15"/>
        <v>7748</v>
      </c>
      <c r="L17" s="150">
        <v>9622230</v>
      </c>
      <c r="M17" s="131">
        <f t="shared" si="8"/>
        <v>5110</v>
      </c>
      <c r="N17" s="147">
        <v>6411035</v>
      </c>
      <c r="O17" s="131">
        <f t="shared" si="16"/>
        <v>4934</v>
      </c>
      <c r="P17" s="150">
        <v>5973588</v>
      </c>
      <c r="Q17" s="131">
        <f t="shared" si="9"/>
        <v>2428</v>
      </c>
      <c r="R17" s="147">
        <v>20458085</v>
      </c>
      <c r="S17" s="131">
        <f t="shared" si="10"/>
        <v>8057</v>
      </c>
      <c r="T17" s="154">
        <v>0</v>
      </c>
      <c r="U17" s="151"/>
      <c r="V17" s="147">
        <v>8363270</v>
      </c>
      <c r="W17" s="131">
        <f t="shared" si="11"/>
        <v>8055</v>
      </c>
      <c r="X17" s="20">
        <f t="shared" si="12"/>
        <v>36332</v>
      </c>
      <c r="Y17" s="155">
        <f t="shared" si="13"/>
        <v>5007</v>
      </c>
      <c r="Z17" s="156">
        <f t="shared" si="14"/>
        <v>4976.4093184000003</v>
      </c>
      <c r="AA17" s="3">
        <f t="shared" si="17"/>
        <v>23869.747200000002</v>
      </c>
    </row>
    <row r="18" spans="1:27" s="132" customFormat="1" ht="16.5" thickBot="1" x14ac:dyDescent="0.3">
      <c r="A18" s="9">
        <v>44636</v>
      </c>
      <c r="B18" s="40">
        <v>319</v>
      </c>
      <c r="C18" s="146">
        <v>19409</v>
      </c>
      <c r="D18" s="40">
        <f t="shared" si="4"/>
        <v>480</v>
      </c>
      <c r="E18" s="147">
        <v>30155318</v>
      </c>
      <c r="F18" s="40">
        <f t="shared" si="5"/>
        <v>14400</v>
      </c>
      <c r="G18" s="148">
        <v>96239339</v>
      </c>
      <c r="H18" s="40">
        <f t="shared" si="6"/>
        <v>46063</v>
      </c>
      <c r="I18" s="153">
        <f t="shared" si="7"/>
        <v>60463</v>
      </c>
      <c r="J18" s="147">
        <v>9578793</v>
      </c>
      <c r="K18" s="131">
        <f t="shared" si="15"/>
        <v>12054</v>
      </c>
      <c r="L18" s="150">
        <v>9629086</v>
      </c>
      <c r="M18" s="131">
        <f t="shared" si="8"/>
        <v>6856</v>
      </c>
      <c r="N18" s="147">
        <v>6414724</v>
      </c>
      <c r="O18" s="131">
        <f t="shared" si="16"/>
        <v>7378</v>
      </c>
      <c r="P18" s="150">
        <v>5977051</v>
      </c>
      <c r="Q18" s="131">
        <f t="shared" si="9"/>
        <v>3463</v>
      </c>
      <c r="R18" s="147">
        <v>20470014</v>
      </c>
      <c r="S18" s="131">
        <f t="shared" si="10"/>
        <v>11929</v>
      </c>
      <c r="T18" s="154">
        <v>0</v>
      </c>
      <c r="U18" s="151"/>
      <c r="V18" s="147">
        <v>8375070</v>
      </c>
      <c r="W18" s="131">
        <f t="shared" si="11"/>
        <v>11800</v>
      </c>
      <c r="X18" s="20">
        <f t="shared" si="12"/>
        <v>53480</v>
      </c>
      <c r="Y18" s="155">
        <f t="shared" si="13"/>
        <v>6983</v>
      </c>
      <c r="Z18" s="156">
        <f t="shared" si="14"/>
        <v>7328.8188688000009</v>
      </c>
      <c r="AA18" s="3">
        <f t="shared" si="17"/>
        <v>25529.179624000004</v>
      </c>
    </row>
    <row r="19" spans="1:27" s="132" customFormat="1" ht="16.5" thickBot="1" x14ac:dyDescent="0.3">
      <c r="A19" s="9">
        <v>44637</v>
      </c>
      <c r="B19" s="40">
        <v>295</v>
      </c>
      <c r="C19" s="146">
        <v>19412</v>
      </c>
      <c r="D19" s="40">
        <f t="shared" si="4"/>
        <v>480</v>
      </c>
      <c r="E19" s="147">
        <v>30165062</v>
      </c>
      <c r="F19" s="40">
        <f t="shared" si="5"/>
        <v>9744</v>
      </c>
      <c r="G19" s="148">
        <v>96269134</v>
      </c>
      <c r="H19" s="40">
        <f t="shared" si="6"/>
        <v>29795</v>
      </c>
      <c r="I19" s="153">
        <f t="shared" si="7"/>
        <v>39539</v>
      </c>
      <c r="J19" s="147">
        <v>9583172</v>
      </c>
      <c r="K19" s="131">
        <f t="shared" si="15"/>
        <v>8758</v>
      </c>
      <c r="L19" s="150">
        <v>9633768</v>
      </c>
      <c r="M19" s="131">
        <f t="shared" si="8"/>
        <v>4682</v>
      </c>
      <c r="N19" s="147">
        <v>6417191</v>
      </c>
      <c r="O19" s="131">
        <f t="shared" si="16"/>
        <v>4934</v>
      </c>
      <c r="P19" s="150">
        <v>5979225</v>
      </c>
      <c r="Q19" s="131">
        <f t="shared" si="9"/>
        <v>2174</v>
      </c>
      <c r="R19" s="147">
        <v>20477272</v>
      </c>
      <c r="S19" s="131">
        <f t="shared" si="10"/>
        <v>7258</v>
      </c>
      <c r="T19" s="154">
        <v>0</v>
      </c>
      <c r="U19" s="151"/>
      <c r="V19" s="147">
        <v>8382743</v>
      </c>
      <c r="W19" s="131">
        <f t="shared" si="11"/>
        <v>7673</v>
      </c>
      <c r="X19" s="20">
        <f t="shared" si="12"/>
        <v>35479</v>
      </c>
      <c r="Y19" s="155">
        <f t="shared" si="13"/>
        <v>4060</v>
      </c>
      <c r="Z19" s="156">
        <f t="shared" si="14"/>
        <v>4652.9915952000001</v>
      </c>
      <c r="AA19" s="3">
        <f t="shared" si="17"/>
        <v>24068.307078400001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 t="str">
        <f t="shared" si="5"/>
        <v>0</v>
      </c>
      <c r="G20" s="148"/>
      <c r="H20" s="40" t="str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 t="str">
        <f t="shared" si="8"/>
        <v>0</v>
      </c>
      <c r="N20" s="147"/>
      <c r="O20" s="131">
        <f t="shared" si="16"/>
        <v>0</v>
      </c>
      <c r="P20" s="150"/>
      <c r="Q20" s="131" t="str">
        <f t="shared" si="9"/>
        <v>0</v>
      </c>
      <c r="R20" s="147"/>
      <c r="S20" s="131" t="str">
        <f t="shared" si="10"/>
        <v>0</v>
      </c>
      <c r="T20" s="154">
        <v>0</v>
      </c>
      <c r="U20" s="151"/>
      <c r="V20" s="147"/>
      <c r="W20" s="131" t="str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16958.219782400003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11981.810464000002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4652.9915952000001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4585</v>
      </c>
      <c r="C31" s="138"/>
      <c r="D31" s="138">
        <f>SUM(D3:D30)</f>
        <v>7680</v>
      </c>
      <c r="E31" s="57">
        <v>0</v>
      </c>
      <c r="F31" s="57">
        <f>SUM(F3:F30)</f>
        <v>210168</v>
      </c>
      <c r="G31" s="57">
        <v>0</v>
      </c>
      <c r="H31" s="57">
        <f>SUM(H3:H30)</f>
        <v>644035</v>
      </c>
      <c r="I31" s="57">
        <f>SUM(I6:I30)</f>
        <v>699168</v>
      </c>
      <c r="J31" s="57">
        <v>0</v>
      </c>
      <c r="K31" s="57">
        <f>SUM(K3:K30)</f>
        <v>149496</v>
      </c>
      <c r="L31" s="57">
        <v>0</v>
      </c>
      <c r="M31" s="57">
        <f>SUM(M3:M30)</f>
        <v>97227</v>
      </c>
      <c r="N31" s="57">
        <v>0</v>
      </c>
      <c r="O31" s="57">
        <f>SUM(O3:O30)</f>
        <v>110394</v>
      </c>
      <c r="P31" s="57">
        <v>0</v>
      </c>
      <c r="Q31" s="57">
        <f>SUM(Q3:Q30)</f>
        <v>45308</v>
      </c>
      <c r="R31" s="57">
        <v>0</v>
      </c>
      <c r="S31" s="57">
        <f>SUM(S3:S30)</f>
        <v>164419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170628</v>
      </c>
      <c r="X31" s="57">
        <f>SUM(X6:X30)</f>
        <v>605036</v>
      </c>
      <c r="Y31" s="57">
        <f>SUM(Y3:Y30)</f>
        <v>116731</v>
      </c>
      <c r="Z31" s="57">
        <f>SUM(Z3:Z30)</f>
        <v>103861.66675040001</v>
      </c>
      <c r="AA31" s="57">
        <f>SUM(AA3:AA30)</f>
        <v>409000.4369359999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0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>
        <v>441479</v>
      </c>
      <c r="C10" s="40">
        <f>(IF((B10-B9)&lt;0,"0",(B10-B9)))*10</f>
        <v>1040</v>
      </c>
      <c r="D10" s="3">
        <v>4511</v>
      </c>
      <c r="E10" s="40">
        <f t="shared" si="0"/>
        <v>490</v>
      </c>
      <c r="F10" s="3">
        <v>8062000</v>
      </c>
      <c r="G10" s="40">
        <f t="shared" si="3"/>
        <v>391.5</v>
      </c>
      <c r="H10" s="3">
        <v>778444</v>
      </c>
      <c r="I10" s="45">
        <f t="shared" si="4"/>
        <v>3.8340000000000001</v>
      </c>
      <c r="J10" s="20">
        <f t="shared" si="1"/>
        <v>1925.3340000000001</v>
      </c>
      <c r="K10" s="21">
        <f t="shared" si="2"/>
        <v>11282.457240000002</v>
      </c>
    </row>
    <row r="11" spans="1:14" ht="16.5" thickBot="1" x14ac:dyDescent="0.3">
      <c r="A11" s="9">
        <v>44629</v>
      </c>
      <c r="B11" s="3">
        <v>441582</v>
      </c>
      <c r="C11" s="40">
        <f t="shared" si="5"/>
        <v>1030</v>
      </c>
      <c r="D11" s="3">
        <v>4563</v>
      </c>
      <c r="E11" s="40">
        <f t="shared" si="0"/>
        <v>520</v>
      </c>
      <c r="F11" s="3">
        <v>8075700</v>
      </c>
      <c r="G11" s="40">
        <f t="shared" si="3"/>
        <v>369.9</v>
      </c>
      <c r="H11" s="3">
        <v>778588</v>
      </c>
      <c r="I11" s="45">
        <f t="shared" si="4"/>
        <v>3.8879999999999999</v>
      </c>
      <c r="J11" s="20">
        <f t="shared" si="1"/>
        <v>1923.788</v>
      </c>
      <c r="K11" s="21">
        <f t="shared" si="2"/>
        <v>11273.39768</v>
      </c>
      <c r="N11" t="s">
        <v>12</v>
      </c>
    </row>
    <row r="12" spans="1:14" ht="16.5" thickBot="1" x14ac:dyDescent="0.3">
      <c r="A12" s="9">
        <v>44630</v>
      </c>
      <c r="B12" s="3">
        <v>441754</v>
      </c>
      <c r="C12" s="40">
        <f t="shared" si="5"/>
        <v>1720</v>
      </c>
      <c r="D12" s="3">
        <v>4686</v>
      </c>
      <c r="E12" s="40">
        <f t="shared" si="0"/>
        <v>1230</v>
      </c>
      <c r="F12" s="3">
        <v>8089100</v>
      </c>
      <c r="G12" s="40">
        <f t="shared" si="3"/>
        <v>361.8</v>
      </c>
      <c r="H12" s="3">
        <v>778744</v>
      </c>
      <c r="I12" s="45">
        <f t="shared" si="4"/>
        <v>4.2119999999999997</v>
      </c>
      <c r="J12" s="20">
        <f t="shared" si="1"/>
        <v>3316.0120000000002</v>
      </c>
      <c r="K12" s="21">
        <f t="shared" si="2"/>
        <v>19431.830320000001</v>
      </c>
    </row>
    <row r="13" spans="1:14" ht="16.5" thickBot="1" x14ac:dyDescent="0.3">
      <c r="A13" s="9">
        <v>44631</v>
      </c>
      <c r="B13" s="3">
        <v>441856</v>
      </c>
      <c r="C13" s="40">
        <f t="shared" si="5"/>
        <v>1020</v>
      </c>
      <c r="D13" s="3">
        <v>4737</v>
      </c>
      <c r="E13" s="40">
        <f t="shared" si="0"/>
        <v>510</v>
      </c>
      <c r="F13" s="3">
        <v>8103600</v>
      </c>
      <c r="G13" s="40">
        <f t="shared" si="3"/>
        <v>391.5</v>
      </c>
      <c r="H13" s="3">
        <v>778920</v>
      </c>
      <c r="I13" s="45">
        <f t="shared" si="4"/>
        <v>4.7519999999999998</v>
      </c>
      <c r="J13" s="20">
        <f t="shared" si="1"/>
        <v>1926.252</v>
      </c>
      <c r="K13" s="21">
        <f t="shared" si="2"/>
        <v>11287.836720000001</v>
      </c>
    </row>
    <row r="14" spans="1:14" ht="16.5" thickBot="1" x14ac:dyDescent="0.3">
      <c r="A14" s="9">
        <v>44632</v>
      </c>
      <c r="B14" s="3">
        <v>441961</v>
      </c>
      <c r="C14" s="40">
        <f t="shared" si="5"/>
        <v>1050</v>
      </c>
      <c r="D14" s="3">
        <v>4787</v>
      </c>
      <c r="E14" s="40">
        <f t="shared" si="0"/>
        <v>500</v>
      </c>
      <c r="F14" s="3">
        <v>8117400</v>
      </c>
      <c r="G14" s="40">
        <f t="shared" si="3"/>
        <v>372.6</v>
      </c>
      <c r="H14" s="3">
        <v>779101</v>
      </c>
      <c r="I14" s="45">
        <f t="shared" si="4"/>
        <v>4.8869999999999996</v>
      </c>
      <c r="J14" s="20">
        <f t="shared" si="1"/>
        <v>1927.4869999999999</v>
      </c>
      <c r="K14" s="21">
        <f t="shared" si="2"/>
        <v>11295.07382</v>
      </c>
    </row>
    <row r="15" spans="1:14" ht="16.5" thickBot="1" x14ac:dyDescent="0.3">
      <c r="A15" s="9">
        <v>44633</v>
      </c>
      <c r="B15" s="3">
        <v>442066</v>
      </c>
      <c r="C15" s="40">
        <f t="shared" si="5"/>
        <v>1050</v>
      </c>
      <c r="D15" s="3">
        <v>4835</v>
      </c>
      <c r="E15" s="40">
        <f t="shared" si="0"/>
        <v>480</v>
      </c>
      <c r="F15" s="3">
        <v>8132000</v>
      </c>
      <c r="G15" s="40">
        <f t="shared" si="3"/>
        <v>394.2</v>
      </c>
      <c r="H15" s="3">
        <v>779288</v>
      </c>
      <c r="I15" s="45">
        <f t="shared" si="4"/>
        <v>5.0490000000000004</v>
      </c>
      <c r="J15" s="20">
        <f t="shared" si="1"/>
        <v>1929.249</v>
      </c>
      <c r="K15" s="21">
        <f t="shared" si="2"/>
        <v>11305.399140000001</v>
      </c>
    </row>
    <row r="16" spans="1:14" ht="16.5" thickBot="1" x14ac:dyDescent="0.3">
      <c r="A16" s="9">
        <v>44634</v>
      </c>
      <c r="B16" s="3">
        <v>442173</v>
      </c>
      <c r="C16" s="40">
        <f t="shared" si="5"/>
        <v>1070</v>
      </c>
      <c r="D16" s="3">
        <v>4889</v>
      </c>
      <c r="E16" s="40">
        <f t="shared" si="0"/>
        <v>540</v>
      </c>
      <c r="F16" s="3">
        <v>8148500</v>
      </c>
      <c r="G16" s="40">
        <f t="shared" si="3"/>
        <v>445.5</v>
      </c>
      <c r="H16" s="3">
        <v>779510</v>
      </c>
      <c r="I16" s="45">
        <f t="shared" si="4"/>
        <v>5.9939999999999998</v>
      </c>
      <c r="J16" s="20">
        <f t="shared" si="1"/>
        <v>2061.4940000000001</v>
      </c>
      <c r="K16" s="21">
        <f t="shared" si="2"/>
        <v>12080.354840000002</v>
      </c>
    </row>
    <row r="17" spans="1:25" ht="16.5" thickBot="1" x14ac:dyDescent="0.3">
      <c r="A17" s="9">
        <v>44635</v>
      </c>
      <c r="B17" s="3">
        <v>442282</v>
      </c>
      <c r="C17" s="40">
        <f t="shared" si="5"/>
        <v>1090</v>
      </c>
      <c r="D17" s="3">
        <v>4936</v>
      </c>
      <c r="E17" s="40">
        <f t="shared" si="0"/>
        <v>470</v>
      </c>
      <c r="F17" s="3">
        <v>8161000</v>
      </c>
      <c r="G17" s="40">
        <f t="shared" si="3"/>
        <v>337.5</v>
      </c>
      <c r="H17" s="3">
        <v>779716</v>
      </c>
      <c r="I17" s="45">
        <f t="shared" si="4"/>
        <v>5.5620000000000003</v>
      </c>
      <c r="J17" s="20">
        <f t="shared" si="1"/>
        <v>1903.0619999999999</v>
      </c>
      <c r="K17" s="21">
        <f t="shared" si="2"/>
        <v>11151.94332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>
        <v>442392</v>
      </c>
      <c r="C18" s="40">
        <f t="shared" si="5"/>
        <v>1100</v>
      </c>
      <c r="D18" s="3">
        <v>4986</v>
      </c>
      <c r="E18" s="40">
        <f t="shared" si="0"/>
        <v>500</v>
      </c>
      <c r="F18" s="3">
        <v>8174800</v>
      </c>
      <c r="G18" s="40">
        <f t="shared" si="3"/>
        <v>372.6</v>
      </c>
      <c r="H18" s="3">
        <v>779941</v>
      </c>
      <c r="I18" s="45">
        <f t="shared" si="4"/>
        <v>6.0750000000000002</v>
      </c>
      <c r="J18" s="20">
        <f t="shared" si="1"/>
        <v>1978.675</v>
      </c>
      <c r="K18" s="21">
        <f t="shared" si="2"/>
        <v>11595.0355</v>
      </c>
      <c r="Q18" t="s">
        <v>43</v>
      </c>
    </row>
    <row r="19" spans="1:25" ht="16.5" thickBot="1" x14ac:dyDescent="0.3">
      <c r="A19" s="9">
        <v>44637</v>
      </c>
      <c r="B19" s="3">
        <v>442502</v>
      </c>
      <c r="C19" s="40">
        <f t="shared" si="5"/>
        <v>1100</v>
      </c>
      <c r="D19" s="3">
        <v>5036</v>
      </c>
      <c r="E19" s="40">
        <f t="shared" ref="E19:E30" si="6">(IF((D19-D18)&lt;0,"0",(D19-D18)))*10</f>
        <v>500</v>
      </c>
      <c r="F19" s="3">
        <v>8188600</v>
      </c>
      <c r="G19" s="40">
        <f t="shared" si="3"/>
        <v>372.6</v>
      </c>
      <c r="H19" s="3">
        <v>780166</v>
      </c>
      <c r="I19" s="45">
        <f t="shared" si="4"/>
        <v>6.0750000000000002</v>
      </c>
      <c r="J19" s="20">
        <f t="shared" si="1"/>
        <v>1978.675</v>
      </c>
      <c r="K19" s="21">
        <f t="shared" si="2"/>
        <v>11595.0355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16750</v>
      </c>
      <c r="D31" s="3"/>
      <c r="E31" s="57">
        <f>SUM(E4:E30)</f>
        <v>8530</v>
      </c>
      <c r="F31" s="3"/>
      <c r="G31" s="57">
        <f>SUM(G4:G30)</f>
        <v>5956.2000000000007</v>
      </c>
      <c r="H31" s="3"/>
      <c r="I31" s="57">
        <f>SUM(I4:I30)</f>
        <v>73.845000000000013</v>
      </c>
      <c r="J31" s="57">
        <f>SUM(J4:J30)</f>
        <v>31310.044999999998</v>
      </c>
      <c r="K31" s="57">
        <f>SUM(K4:K30)</f>
        <v>183476.86370000002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19" sqref="A19:XFD19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>
        <v>18079846</v>
      </c>
      <c r="C10" s="46">
        <f t="shared" si="0"/>
        <v>2395</v>
      </c>
    </row>
    <row r="11" spans="1:9" ht="24" thickBot="1" x14ac:dyDescent="0.4">
      <c r="A11" s="9">
        <v>44629</v>
      </c>
      <c r="B11" s="134">
        <v>18083209</v>
      </c>
      <c r="C11" s="46">
        <f>IF((B11-B10)&lt;0,"0",(B11-B10))</f>
        <v>3363</v>
      </c>
    </row>
    <row r="12" spans="1:9" ht="24" thickBot="1" x14ac:dyDescent="0.4">
      <c r="A12" s="9">
        <v>44630</v>
      </c>
      <c r="B12" s="134">
        <v>18085941</v>
      </c>
      <c r="C12" s="46">
        <f t="shared" si="0"/>
        <v>2732</v>
      </c>
    </row>
    <row r="13" spans="1:9" ht="24" thickBot="1" x14ac:dyDescent="0.4">
      <c r="A13" s="9">
        <v>44631</v>
      </c>
      <c r="B13" s="134">
        <v>18088945</v>
      </c>
      <c r="C13" s="46">
        <f t="shared" si="0"/>
        <v>3004</v>
      </c>
    </row>
    <row r="14" spans="1:9" ht="24" thickBot="1" x14ac:dyDescent="0.4">
      <c r="A14" s="9">
        <v>44632</v>
      </c>
      <c r="B14" s="134">
        <v>18091993</v>
      </c>
      <c r="C14" s="46">
        <f t="shared" si="0"/>
        <v>3048</v>
      </c>
    </row>
    <row r="15" spans="1:9" ht="24" thickBot="1" x14ac:dyDescent="0.4">
      <c r="A15" s="9">
        <v>44633</v>
      </c>
      <c r="B15" s="134">
        <v>18095021</v>
      </c>
      <c r="C15" s="46">
        <f t="shared" si="0"/>
        <v>3028</v>
      </c>
      <c r="I15" t="s">
        <v>12</v>
      </c>
    </row>
    <row r="16" spans="1:9" ht="26.25" customHeight="1" thickBot="1" x14ac:dyDescent="0.4">
      <c r="A16" s="9">
        <v>44634</v>
      </c>
      <c r="B16" s="134">
        <v>18098827</v>
      </c>
      <c r="C16" s="46">
        <f t="shared" si="0"/>
        <v>3806</v>
      </c>
      <c r="F16" s="157"/>
    </row>
    <row r="17" spans="1:9" ht="25.5" customHeight="1" thickBot="1" x14ac:dyDescent="0.4">
      <c r="A17" s="9">
        <v>44635</v>
      </c>
      <c r="B17" s="134">
        <v>18102182</v>
      </c>
      <c r="C17" s="46">
        <f t="shared" si="0"/>
        <v>3355</v>
      </c>
    </row>
    <row r="18" spans="1:9" ht="24" thickBot="1" x14ac:dyDescent="0.4">
      <c r="A18" s="9">
        <v>44636</v>
      </c>
      <c r="B18" s="134">
        <v>18105637</v>
      </c>
      <c r="C18" s="46">
        <f t="shared" si="0"/>
        <v>3455</v>
      </c>
      <c r="I18" s="36"/>
    </row>
    <row r="19" spans="1:9" ht="24" thickBot="1" x14ac:dyDescent="0.4">
      <c r="A19" s="9">
        <v>44637</v>
      </c>
      <c r="B19" s="134">
        <v>18108865</v>
      </c>
      <c r="C19" s="46">
        <f t="shared" si="0"/>
        <v>3228</v>
      </c>
    </row>
    <row r="20" spans="1:9" ht="24" thickBot="1" x14ac:dyDescent="0.4">
      <c r="A20" s="9">
        <v>44638</v>
      </c>
      <c r="B20" s="134"/>
      <c r="C20" s="46" t="str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46725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2" activePane="bottomLeft" state="frozen"/>
      <selection pane="bottomLeft" activeCell="A19" sqref="A19:XFD19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>
        <v>22939.67</v>
      </c>
      <c r="C10" s="45">
        <f t="shared" si="21"/>
        <v>3.9849999999969441</v>
      </c>
      <c r="D10" s="29">
        <f t="shared" si="22"/>
        <v>7571.4999999941938</v>
      </c>
      <c r="E10" s="1">
        <v>4122.9930000000004</v>
      </c>
      <c r="F10" s="45">
        <f t="shared" si="23"/>
        <v>1.0480000000006839</v>
      </c>
      <c r="G10" s="29">
        <f t="shared" si="24"/>
        <v>1991.2000000012995</v>
      </c>
      <c r="H10" s="1">
        <v>4861</v>
      </c>
      <c r="I10" s="45">
        <f t="shared" si="25"/>
        <v>6</v>
      </c>
      <c r="J10" s="29">
        <f t="shared" si="26"/>
        <v>11399.999999999998</v>
      </c>
      <c r="K10" s="7">
        <v>13889.7</v>
      </c>
      <c r="L10" s="45">
        <f t="shared" si="27"/>
        <v>0</v>
      </c>
      <c r="M10" s="29">
        <f t="shared" si="28"/>
        <v>0</v>
      </c>
      <c r="N10" s="7">
        <v>3441.8150000000001</v>
      </c>
      <c r="O10" s="45">
        <f>IF((N10-N9)&lt;0,"0",(N10-N9))</f>
        <v>1.1390000000001237</v>
      </c>
      <c r="P10" s="29">
        <f t="shared" si="30"/>
        <v>2164.100000000235</v>
      </c>
      <c r="Q10" s="7">
        <v>5293.04</v>
      </c>
      <c r="R10" s="45">
        <f t="shared" si="31"/>
        <v>0.3999999999996362</v>
      </c>
      <c r="S10" s="29">
        <f t="shared" si="32"/>
        <v>759.99999999930878</v>
      </c>
      <c r="T10" s="8">
        <f t="shared" si="34"/>
        <v>12.571999999997388</v>
      </c>
      <c r="U10" s="31">
        <f t="shared" si="33"/>
        <v>23886.799999995033</v>
      </c>
      <c r="W10" s="158">
        <v>44628</v>
      </c>
      <c r="X10" s="159">
        <v>165515</v>
      </c>
      <c r="Y10" s="164">
        <f t="shared" si="20"/>
        <v>107</v>
      </c>
      <c r="Z10" s="159">
        <v>8609</v>
      </c>
      <c r="AA10" s="164">
        <f t="shared" si="20"/>
        <v>16</v>
      </c>
      <c r="AB10" s="159">
        <v>23</v>
      </c>
      <c r="AC10" s="164">
        <f t="shared" si="20"/>
        <v>0.10000000000000142</v>
      </c>
      <c r="AD10" s="159">
        <v>280</v>
      </c>
      <c r="AE10" s="164">
        <f t="shared" si="20"/>
        <v>2</v>
      </c>
      <c r="AF10" s="159">
        <v>5877</v>
      </c>
      <c r="AG10" s="164">
        <f t="shared" si="20"/>
        <v>19</v>
      </c>
    </row>
    <row r="11" spans="1:33" ht="16.5" thickBot="1" x14ac:dyDescent="0.25">
      <c r="A11" s="9">
        <v>44629</v>
      </c>
      <c r="B11" s="161">
        <v>22943.712</v>
      </c>
      <c r="C11" s="45">
        <f t="shared" si="21"/>
        <v>4.0420000000012806</v>
      </c>
      <c r="D11" s="29">
        <f t="shared" si="22"/>
        <v>7679.8000000024331</v>
      </c>
      <c r="E11" s="1">
        <v>4124.5959999999995</v>
      </c>
      <c r="F11" s="45">
        <f t="shared" si="23"/>
        <v>1.602999999999156</v>
      </c>
      <c r="G11" s="29">
        <f t="shared" si="24"/>
        <v>3045.6999999983959</v>
      </c>
      <c r="H11" s="1">
        <v>4867</v>
      </c>
      <c r="I11" s="45">
        <f t="shared" si="25"/>
        <v>6</v>
      </c>
      <c r="J11" s="29">
        <f t="shared" si="26"/>
        <v>11399.999999999998</v>
      </c>
      <c r="K11" s="7">
        <v>13889.7</v>
      </c>
      <c r="L11" s="45">
        <f t="shared" si="27"/>
        <v>0</v>
      </c>
      <c r="M11" s="29">
        <f t="shared" si="28"/>
        <v>0</v>
      </c>
      <c r="N11" s="7">
        <v>3443.2190000000001</v>
      </c>
      <c r="O11" s="45">
        <f t="shared" si="29"/>
        <v>1.4039999999999964</v>
      </c>
      <c r="P11" s="29">
        <f t="shared" si="30"/>
        <v>2667.5999999999931</v>
      </c>
      <c r="Q11" s="7">
        <v>5293.64</v>
      </c>
      <c r="R11" s="45">
        <f t="shared" si="31"/>
        <v>0.6000000000003638</v>
      </c>
      <c r="S11" s="29">
        <f t="shared" si="32"/>
        <v>1140.0000000006912</v>
      </c>
      <c r="T11" s="8">
        <f t="shared" si="34"/>
        <v>13.649000000000797</v>
      </c>
      <c r="U11" s="31">
        <f t="shared" si="33"/>
        <v>25933.100000001512</v>
      </c>
      <c r="W11" s="158">
        <v>44629</v>
      </c>
      <c r="X11" s="159">
        <v>165612</v>
      </c>
      <c r="Y11" s="164">
        <f t="shared" si="20"/>
        <v>97</v>
      </c>
      <c r="Z11" s="159">
        <v>8622</v>
      </c>
      <c r="AA11" s="164">
        <f t="shared" si="20"/>
        <v>13</v>
      </c>
      <c r="AB11" s="159">
        <v>23</v>
      </c>
      <c r="AC11" s="164">
        <f t="shared" si="20"/>
        <v>0</v>
      </c>
      <c r="AD11" s="159">
        <v>284</v>
      </c>
      <c r="AE11" s="164">
        <f t="shared" si="20"/>
        <v>4</v>
      </c>
      <c r="AF11" s="159">
        <v>5896</v>
      </c>
      <c r="AG11" s="164">
        <f t="shared" si="20"/>
        <v>19</v>
      </c>
    </row>
    <row r="12" spans="1:33" ht="16.5" thickBot="1" x14ac:dyDescent="0.25">
      <c r="A12" s="9">
        <v>44630</v>
      </c>
      <c r="B12" s="161">
        <v>22947.323</v>
      </c>
      <c r="C12" s="45">
        <f t="shared" si="21"/>
        <v>3.6110000000007858</v>
      </c>
      <c r="D12" s="29">
        <f t="shared" si="22"/>
        <v>6860.900000001493</v>
      </c>
      <c r="E12" s="1">
        <v>4125.7280000000001</v>
      </c>
      <c r="F12" s="45">
        <f t="shared" si="23"/>
        <v>1.1320000000005166</v>
      </c>
      <c r="G12" s="29">
        <f t="shared" si="24"/>
        <v>2150.8000000009811</v>
      </c>
      <c r="H12" s="1">
        <v>4873</v>
      </c>
      <c r="I12" s="45">
        <f t="shared" si="25"/>
        <v>6</v>
      </c>
      <c r="J12" s="29">
        <f t="shared" si="26"/>
        <v>11399.999999999998</v>
      </c>
      <c r="K12" s="7">
        <v>13889.7</v>
      </c>
      <c r="L12" s="45">
        <f t="shared" si="27"/>
        <v>0</v>
      </c>
      <c r="M12" s="29">
        <f t="shared" si="28"/>
        <v>0</v>
      </c>
      <c r="N12" s="7">
        <v>3444.634</v>
      </c>
      <c r="O12" s="45">
        <f t="shared" si="29"/>
        <v>1.4149999999999636</v>
      </c>
      <c r="P12" s="29">
        <f t="shared" si="30"/>
        <v>2688.4999999999304</v>
      </c>
      <c r="Q12" s="7">
        <v>5293.64</v>
      </c>
      <c r="R12" s="45">
        <f t="shared" si="31"/>
        <v>0</v>
      </c>
      <c r="S12" s="29">
        <f t="shared" si="32"/>
        <v>0</v>
      </c>
      <c r="T12" s="8">
        <f t="shared" si="34"/>
        <v>12.158000000001266</v>
      </c>
      <c r="U12" s="31">
        <f t="shared" si="33"/>
        <v>23100.200000002402</v>
      </c>
      <c r="W12" s="158">
        <v>44630</v>
      </c>
      <c r="X12" s="159">
        <v>165699</v>
      </c>
      <c r="Y12" s="164">
        <f t="shared" si="20"/>
        <v>87</v>
      </c>
      <c r="Z12" s="159">
        <v>8632</v>
      </c>
      <c r="AA12" s="164">
        <f t="shared" si="20"/>
        <v>10</v>
      </c>
      <c r="AB12" s="159">
        <v>23</v>
      </c>
      <c r="AC12" s="164">
        <f t="shared" si="20"/>
        <v>0</v>
      </c>
      <c r="AD12" s="159">
        <v>286</v>
      </c>
      <c r="AE12" s="164">
        <f t="shared" si="20"/>
        <v>2</v>
      </c>
      <c r="AF12" s="159">
        <v>5908</v>
      </c>
      <c r="AG12" s="164">
        <f t="shared" si="20"/>
        <v>12</v>
      </c>
    </row>
    <row r="13" spans="1:33" ht="16.5" thickBot="1" x14ac:dyDescent="0.25">
      <c r="A13" s="9">
        <v>44631</v>
      </c>
      <c r="B13" s="161">
        <v>22950</v>
      </c>
      <c r="C13" s="45">
        <f t="shared" si="21"/>
        <v>2.6769999999996799</v>
      </c>
      <c r="D13" s="29">
        <f t="shared" si="22"/>
        <v>5086.2999999993908</v>
      </c>
      <c r="E13" s="1">
        <v>4126.2619999999997</v>
      </c>
      <c r="F13" s="45">
        <f t="shared" si="23"/>
        <v>0.53399999999965075</v>
      </c>
      <c r="G13" s="29">
        <f t="shared" si="24"/>
        <v>1014.5999999993364</v>
      </c>
      <c r="H13" s="1">
        <v>4879</v>
      </c>
      <c r="I13" s="45">
        <f t="shared" si="25"/>
        <v>6</v>
      </c>
      <c r="J13" s="29">
        <f t="shared" si="26"/>
        <v>11399.999999999998</v>
      </c>
      <c r="K13" s="7">
        <v>13889.7</v>
      </c>
      <c r="L13" s="45">
        <f t="shared" si="27"/>
        <v>0</v>
      </c>
      <c r="M13" s="29">
        <f t="shared" si="28"/>
        <v>0</v>
      </c>
      <c r="N13" s="7">
        <v>3445.886</v>
      </c>
      <c r="O13" s="45">
        <f t="shared" si="29"/>
        <v>1.2519999999999527</v>
      </c>
      <c r="P13" s="29">
        <f t="shared" si="30"/>
        <v>2378.7999999999097</v>
      </c>
      <c r="Q13" s="7">
        <v>5293.67</v>
      </c>
      <c r="R13" s="45">
        <f t="shared" si="31"/>
        <v>2.9999999999745341E-2</v>
      </c>
      <c r="S13" s="29">
        <f t="shared" si="32"/>
        <v>56.999999999516149</v>
      </c>
      <c r="T13" s="8">
        <f t="shared" si="34"/>
        <v>10.492999999999029</v>
      </c>
      <c r="U13" s="31">
        <f t="shared" si="33"/>
        <v>19936.699999998156</v>
      </c>
      <c r="W13" s="158">
        <v>44631</v>
      </c>
      <c r="X13" s="159">
        <v>165795</v>
      </c>
      <c r="Y13" s="164">
        <f t="shared" si="20"/>
        <v>96</v>
      </c>
      <c r="Z13" s="159">
        <v>8645</v>
      </c>
      <c r="AA13" s="164">
        <f t="shared" si="20"/>
        <v>13</v>
      </c>
      <c r="AB13" s="159">
        <v>23.5</v>
      </c>
      <c r="AC13" s="164">
        <f t="shared" si="20"/>
        <v>0.5</v>
      </c>
      <c r="AD13" s="159">
        <v>289</v>
      </c>
      <c r="AE13" s="164">
        <f t="shared" si="20"/>
        <v>3</v>
      </c>
      <c r="AF13" s="159">
        <v>5935</v>
      </c>
      <c r="AG13" s="164">
        <f t="shared" si="20"/>
        <v>27</v>
      </c>
    </row>
    <row r="14" spans="1:33" ht="16.5" thickBot="1" x14ac:dyDescent="0.25">
      <c r="A14" s="9">
        <v>44632</v>
      </c>
      <c r="B14" s="161">
        <v>22952.909</v>
      </c>
      <c r="C14" s="45">
        <f t="shared" si="21"/>
        <v>2.9089999999996508</v>
      </c>
      <c r="D14" s="29">
        <f t="shared" si="22"/>
        <v>5527.0999999993364</v>
      </c>
      <c r="E14" s="1">
        <v>4126.8029999999999</v>
      </c>
      <c r="F14" s="45">
        <f t="shared" si="23"/>
        <v>0.54100000000016735</v>
      </c>
      <c r="G14" s="29">
        <f t="shared" si="24"/>
        <v>1027.900000000318</v>
      </c>
      <c r="H14" s="1">
        <v>4884</v>
      </c>
      <c r="I14" s="45">
        <f t="shared" si="25"/>
        <v>5</v>
      </c>
      <c r="J14" s="29">
        <f t="shared" si="26"/>
        <v>9500</v>
      </c>
      <c r="K14" s="7">
        <v>13889.7</v>
      </c>
      <c r="L14" s="45">
        <f t="shared" si="27"/>
        <v>0</v>
      </c>
      <c r="M14" s="29">
        <f t="shared" si="28"/>
        <v>0</v>
      </c>
      <c r="N14" s="7">
        <v>3447.069</v>
      </c>
      <c r="O14" s="45">
        <f>IF((N14-N13)&lt;0,"0",(N14-N13))</f>
        <v>1.1829999999999927</v>
      </c>
      <c r="P14" s="29">
        <f t="shared" si="30"/>
        <v>2247.6999999999862</v>
      </c>
      <c r="Q14" s="7">
        <v>5293.67</v>
      </c>
      <c r="R14" s="45">
        <f t="shared" si="31"/>
        <v>0</v>
      </c>
      <c r="S14" s="29">
        <f t="shared" si="32"/>
        <v>0</v>
      </c>
      <c r="T14" s="8">
        <f t="shared" si="34"/>
        <v>9.6329999999998108</v>
      </c>
      <c r="U14" s="31">
        <f t="shared" si="33"/>
        <v>18302.699999999641</v>
      </c>
      <c r="W14" s="158">
        <v>44632</v>
      </c>
      <c r="X14" s="159">
        <v>165884</v>
      </c>
      <c r="Y14" s="164">
        <f t="shared" si="20"/>
        <v>89</v>
      </c>
      <c r="Z14" s="159">
        <v>8651</v>
      </c>
      <c r="AA14" s="164">
        <f t="shared" si="20"/>
        <v>6</v>
      </c>
      <c r="AB14" s="159">
        <v>23.5</v>
      </c>
      <c r="AC14" s="164">
        <f t="shared" si="20"/>
        <v>0</v>
      </c>
      <c r="AD14" s="159">
        <v>292</v>
      </c>
      <c r="AE14" s="164">
        <f t="shared" si="20"/>
        <v>3</v>
      </c>
      <c r="AF14" s="159">
        <v>5964</v>
      </c>
      <c r="AG14" s="164">
        <f t="shared" si="20"/>
        <v>29</v>
      </c>
    </row>
    <row r="15" spans="1:33" ht="16.5" thickBot="1" x14ac:dyDescent="0.25">
      <c r="A15" s="9">
        <v>44633</v>
      </c>
      <c r="B15" s="161">
        <v>22954.996999999999</v>
      </c>
      <c r="C15" s="45">
        <f t="shared" ref="C15" si="35">IF((B15-B14)&lt;0,"0",(B15-B14))</f>
        <v>2.0879999999997381</v>
      </c>
      <c r="D15" s="29">
        <f t="shared" ref="D15" si="36">C15*1.9*1000</f>
        <v>3967.1999999995023</v>
      </c>
      <c r="E15" s="1">
        <v>4127.5460000000003</v>
      </c>
      <c r="F15" s="45">
        <f t="shared" ref="F15" si="37">IF((E15-E14)&lt;0,"0",(E15-E14))</f>
        <v>0.7430000000003929</v>
      </c>
      <c r="G15" s="29">
        <f t="shared" ref="G15" si="38">F15*1.9*1000</f>
        <v>1411.7000000007465</v>
      </c>
      <c r="H15" s="1">
        <v>4889</v>
      </c>
      <c r="I15" s="45">
        <f t="shared" ref="I15" si="39">IF((H15-H14)&lt;0,"0",(H15-H14))</f>
        <v>5</v>
      </c>
      <c r="J15" s="29">
        <f t="shared" ref="J15" si="40">I15*1.9*1000</f>
        <v>9500</v>
      </c>
      <c r="K15" s="7">
        <v>13889.7</v>
      </c>
      <c r="L15" s="45">
        <f t="shared" ref="L15" si="41">IF((K15-K14)&lt;0,"0",(K15-K14))</f>
        <v>0</v>
      </c>
      <c r="M15" s="29">
        <f t="shared" ref="M15" si="42">L15*1.9*1000</f>
        <v>0</v>
      </c>
      <c r="N15" s="7">
        <v>3448.1709999999998</v>
      </c>
      <c r="O15" s="45">
        <f>IF((N15-N14)&lt;0,"0",(N15-N14))</f>
        <v>1.1019999999998618</v>
      </c>
      <c r="P15" s="29">
        <f t="shared" ref="P15" si="43">O15*1.9*1000</f>
        <v>2093.7999999997373</v>
      </c>
      <c r="Q15" s="7">
        <v>5293.67</v>
      </c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8.9329999999999927</v>
      </c>
      <c r="U15" s="31">
        <f t="shared" ref="U15" si="47">T15*1.9*1000</f>
        <v>16972.699999999986</v>
      </c>
      <c r="W15" s="158">
        <v>44633</v>
      </c>
      <c r="X15" s="159">
        <v>165967</v>
      </c>
      <c r="Y15" s="164">
        <f t="shared" si="20"/>
        <v>83</v>
      </c>
      <c r="Z15" s="159">
        <v>8661</v>
      </c>
      <c r="AA15" s="164">
        <f t="shared" si="20"/>
        <v>10</v>
      </c>
      <c r="AB15" s="159">
        <v>23.8</v>
      </c>
      <c r="AC15" s="164">
        <f t="shared" si="20"/>
        <v>0.30000000000000071</v>
      </c>
      <c r="AD15" s="159">
        <v>295</v>
      </c>
      <c r="AE15" s="164">
        <f t="shared" si="20"/>
        <v>3</v>
      </c>
      <c r="AF15" s="159">
        <v>5985</v>
      </c>
      <c r="AG15" s="164">
        <f t="shared" si="20"/>
        <v>21</v>
      </c>
    </row>
    <row r="16" spans="1:33" ht="16.5" thickBot="1" x14ac:dyDescent="0.25">
      <c r="A16" s="9">
        <v>44634</v>
      </c>
      <c r="B16" s="161">
        <v>22957.228999999999</v>
      </c>
      <c r="C16" s="45">
        <f t="shared" si="21"/>
        <v>2.2319999999999709</v>
      </c>
      <c r="D16" s="29">
        <f t="shared" si="22"/>
        <v>4240.7999999999438</v>
      </c>
      <c r="E16" s="1">
        <v>4127.9660000000003</v>
      </c>
      <c r="F16" s="45">
        <f t="shared" si="23"/>
        <v>0.42000000000007276</v>
      </c>
      <c r="G16" s="29">
        <f t="shared" si="24"/>
        <v>798.00000000013813</v>
      </c>
      <c r="H16" s="1">
        <v>4896</v>
      </c>
      <c r="I16" s="45">
        <f t="shared" si="25"/>
        <v>7</v>
      </c>
      <c r="J16" s="29">
        <f t="shared" si="26"/>
        <v>13299.999999999998</v>
      </c>
      <c r="K16" s="7">
        <v>13889.7</v>
      </c>
      <c r="L16" s="45">
        <f t="shared" si="27"/>
        <v>0</v>
      </c>
      <c r="M16" s="29">
        <f t="shared" si="28"/>
        <v>0</v>
      </c>
      <c r="N16" s="7">
        <v>3449.4810000000002</v>
      </c>
      <c r="O16" s="45">
        <f t="shared" si="29"/>
        <v>1.3100000000004002</v>
      </c>
      <c r="P16" s="29">
        <f t="shared" si="30"/>
        <v>2489.0000000007603</v>
      </c>
      <c r="Q16" s="7">
        <v>5293.68</v>
      </c>
      <c r="R16" s="45">
        <f t="shared" si="31"/>
        <v>1.0000000000218279E-2</v>
      </c>
      <c r="S16" s="29">
        <f t="shared" si="32"/>
        <v>19.00000000041473</v>
      </c>
      <c r="T16" s="8">
        <f t="shared" si="34"/>
        <v>10.972000000000662</v>
      </c>
      <c r="U16" s="31">
        <f t="shared" si="33"/>
        <v>20846.800000001254</v>
      </c>
      <c r="W16" s="158">
        <v>44634</v>
      </c>
      <c r="X16" s="159">
        <v>166049</v>
      </c>
      <c r="Y16" s="164">
        <f t="shared" si="20"/>
        <v>82</v>
      </c>
      <c r="Z16" s="159">
        <v>8669</v>
      </c>
      <c r="AA16" s="164">
        <f t="shared" si="20"/>
        <v>8</v>
      </c>
      <c r="AB16" s="159">
        <v>23.8</v>
      </c>
      <c r="AC16" s="164">
        <f t="shared" si="20"/>
        <v>0</v>
      </c>
      <c r="AD16" s="159">
        <v>298</v>
      </c>
      <c r="AE16" s="164">
        <f t="shared" si="20"/>
        <v>3</v>
      </c>
      <c r="AF16" s="159">
        <v>6013</v>
      </c>
      <c r="AG16" s="164">
        <f t="shared" si="20"/>
        <v>28</v>
      </c>
    </row>
    <row r="17" spans="1:33" ht="16.5" thickBot="1" x14ac:dyDescent="0.25">
      <c r="A17" s="9">
        <v>44635</v>
      </c>
      <c r="B17" s="161">
        <v>22959.453000000001</v>
      </c>
      <c r="C17" s="45">
        <f t="shared" si="21"/>
        <v>2.2240000000019791</v>
      </c>
      <c r="D17" s="29">
        <f t="shared" si="22"/>
        <v>4225.6000000037593</v>
      </c>
      <c r="E17" s="1">
        <v>4128.78</v>
      </c>
      <c r="F17" s="45">
        <f t="shared" si="23"/>
        <v>0.8139999999993961</v>
      </c>
      <c r="G17" s="29">
        <f t="shared" si="24"/>
        <v>1546.5999999988524</v>
      </c>
      <c r="H17" s="1">
        <v>4902</v>
      </c>
      <c r="I17" s="45">
        <f t="shared" si="25"/>
        <v>6</v>
      </c>
      <c r="J17" s="29">
        <f t="shared" si="26"/>
        <v>11399.999999999998</v>
      </c>
      <c r="K17" s="7">
        <v>13889.7</v>
      </c>
      <c r="L17" s="45">
        <f t="shared" si="27"/>
        <v>0</v>
      </c>
      <c r="M17" s="29">
        <f t="shared" si="28"/>
        <v>0</v>
      </c>
      <c r="N17" s="7">
        <v>3450.7620000000002</v>
      </c>
      <c r="O17" s="45">
        <f t="shared" si="29"/>
        <v>1.2809999999999491</v>
      </c>
      <c r="P17" s="29">
        <f t="shared" si="30"/>
        <v>2433.8999999999032</v>
      </c>
      <c r="Q17" s="7">
        <v>5293.68</v>
      </c>
      <c r="R17" s="45">
        <f t="shared" si="31"/>
        <v>0</v>
      </c>
      <c r="S17" s="29">
        <f t="shared" si="32"/>
        <v>0</v>
      </c>
      <c r="T17" s="8">
        <f t="shared" si="34"/>
        <v>10.319000000001324</v>
      </c>
      <c r="U17" s="31">
        <f t="shared" si="33"/>
        <v>19606.100000002516</v>
      </c>
      <c r="W17" s="158">
        <v>44635</v>
      </c>
      <c r="X17" s="159">
        <v>166083</v>
      </c>
      <c r="Y17" s="164">
        <f t="shared" si="20"/>
        <v>34</v>
      </c>
      <c r="Z17" s="159">
        <v>8677</v>
      </c>
      <c r="AA17" s="164">
        <f t="shared" si="20"/>
        <v>8</v>
      </c>
      <c r="AB17" s="159">
        <v>23.8</v>
      </c>
      <c r="AC17" s="164">
        <f t="shared" si="20"/>
        <v>0</v>
      </c>
      <c r="AD17" s="159">
        <v>301</v>
      </c>
      <c r="AE17" s="164">
        <f t="shared" si="20"/>
        <v>3</v>
      </c>
      <c r="AF17" s="159">
        <v>6041</v>
      </c>
      <c r="AG17" s="164">
        <f t="shared" si="20"/>
        <v>28</v>
      </c>
    </row>
    <row r="18" spans="1:33" ht="16.5" thickBot="1" x14ac:dyDescent="0.25">
      <c r="A18" s="9">
        <v>44636</v>
      </c>
      <c r="B18" s="161">
        <v>22961.352999999999</v>
      </c>
      <c r="C18" s="45">
        <f t="shared" si="21"/>
        <v>1.8999999999978172</v>
      </c>
      <c r="D18" s="29">
        <f t="shared" si="22"/>
        <v>3609.9999999958527</v>
      </c>
      <c r="E18" s="1">
        <v>4129.3969999999999</v>
      </c>
      <c r="F18" s="45">
        <f t="shared" si="23"/>
        <v>0.61700000000018917</v>
      </c>
      <c r="G18" s="29">
        <f t="shared" si="24"/>
        <v>1172.3000000003594</v>
      </c>
      <c r="H18" s="1">
        <v>4907</v>
      </c>
      <c r="I18" s="45">
        <f t="shared" si="25"/>
        <v>5</v>
      </c>
      <c r="J18" s="29">
        <f t="shared" si="26"/>
        <v>9500</v>
      </c>
      <c r="K18" s="7">
        <v>13889.7</v>
      </c>
      <c r="L18" s="45">
        <f t="shared" si="27"/>
        <v>0</v>
      </c>
      <c r="M18" s="29">
        <f t="shared" si="28"/>
        <v>0</v>
      </c>
      <c r="N18" s="7">
        <v>3451.933</v>
      </c>
      <c r="O18" s="45">
        <f t="shared" si="29"/>
        <v>1.1709999999998217</v>
      </c>
      <c r="P18" s="29">
        <f t="shared" si="30"/>
        <v>2224.8999999996608</v>
      </c>
      <c r="Q18" s="7">
        <v>5293.68</v>
      </c>
      <c r="R18" s="45">
        <f t="shared" si="31"/>
        <v>0</v>
      </c>
      <c r="S18" s="29">
        <f t="shared" si="32"/>
        <v>0</v>
      </c>
      <c r="T18" s="8">
        <f t="shared" si="34"/>
        <v>8.6879999999978281</v>
      </c>
      <c r="U18" s="31">
        <f t="shared" si="33"/>
        <v>16507.199999995872</v>
      </c>
      <c r="W18" s="158">
        <v>44636</v>
      </c>
      <c r="X18" s="159">
        <v>166164</v>
      </c>
      <c r="Y18" s="164">
        <f t="shared" si="20"/>
        <v>81</v>
      </c>
      <c r="Z18" s="159">
        <v>8685</v>
      </c>
      <c r="AA18" s="164">
        <f t="shared" si="20"/>
        <v>8</v>
      </c>
      <c r="AB18" s="159">
        <v>23.85</v>
      </c>
      <c r="AC18" s="164">
        <f t="shared" si="20"/>
        <v>5.0000000000000711E-2</v>
      </c>
      <c r="AD18" s="159">
        <v>304</v>
      </c>
      <c r="AE18" s="164">
        <f t="shared" si="20"/>
        <v>3</v>
      </c>
      <c r="AF18" s="159">
        <v>6065</v>
      </c>
      <c r="AG18" s="164">
        <f t="shared" si="20"/>
        <v>24</v>
      </c>
    </row>
    <row r="19" spans="1:33" ht="16.5" thickBot="1" x14ac:dyDescent="0.25">
      <c r="A19" s="9">
        <v>44637</v>
      </c>
      <c r="B19" s="161">
        <v>22963.413</v>
      </c>
      <c r="C19" s="45">
        <f t="shared" si="21"/>
        <v>2.0600000000013097</v>
      </c>
      <c r="D19" s="29">
        <f t="shared" si="22"/>
        <v>3914.0000000024884</v>
      </c>
      <c r="E19" s="1">
        <v>4129.9650000000001</v>
      </c>
      <c r="F19" s="45">
        <f t="shared" si="23"/>
        <v>0.568000000000211</v>
      </c>
      <c r="G19" s="29">
        <f t="shared" si="24"/>
        <v>1079.2000000004009</v>
      </c>
      <c r="H19" s="1">
        <v>4913</v>
      </c>
      <c r="I19" s="45">
        <f t="shared" si="25"/>
        <v>6</v>
      </c>
      <c r="J19" s="29">
        <f t="shared" si="26"/>
        <v>11399.999999999998</v>
      </c>
      <c r="K19" s="7">
        <v>13889.7</v>
      </c>
      <c r="L19" s="45">
        <f t="shared" si="27"/>
        <v>0</v>
      </c>
      <c r="M19" s="29">
        <f t="shared" si="28"/>
        <v>0</v>
      </c>
      <c r="N19" s="7">
        <v>3453.1190000000001</v>
      </c>
      <c r="O19" s="45">
        <f t="shared" si="29"/>
        <v>1.1860000000001492</v>
      </c>
      <c r="P19" s="29">
        <f t="shared" si="30"/>
        <v>2253.4000000002834</v>
      </c>
      <c r="Q19" s="7">
        <v>5293.69</v>
      </c>
      <c r="R19" s="45">
        <f t="shared" si="31"/>
        <v>9.999999999308784E-3</v>
      </c>
      <c r="S19" s="29">
        <f t="shared" si="32"/>
        <v>18.99999999868669</v>
      </c>
      <c r="T19" s="8">
        <f t="shared" si="34"/>
        <v>9.8240000000009786</v>
      </c>
      <c r="U19" s="31">
        <f t="shared" si="33"/>
        <v>18665.600000001861</v>
      </c>
      <c r="W19" s="158">
        <v>44637</v>
      </c>
      <c r="X19" s="159">
        <v>166239</v>
      </c>
      <c r="Y19" s="164">
        <f t="shared" si="20"/>
        <v>75</v>
      </c>
      <c r="Z19" s="159">
        <v>8692</v>
      </c>
      <c r="AA19" s="164">
        <f t="shared" si="20"/>
        <v>7</v>
      </c>
      <c r="AB19" s="159">
        <v>23.85</v>
      </c>
      <c r="AC19" s="164">
        <f t="shared" si="20"/>
        <v>0</v>
      </c>
      <c r="AD19" s="159">
        <v>308</v>
      </c>
      <c r="AE19" s="164">
        <f t="shared" si="20"/>
        <v>4</v>
      </c>
      <c r="AF19" s="159">
        <v>6092</v>
      </c>
      <c r="AG19" s="164">
        <f t="shared" si="20"/>
        <v>27</v>
      </c>
    </row>
    <row r="20" spans="1:33" ht="16.5" thickBot="1" x14ac:dyDescent="0.25">
      <c r="A20" s="9">
        <v>44638</v>
      </c>
      <c r="B20" s="161"/>
      <c r="C20" s="45" t="str">
        <f t="shared" si="21"/>
        <v>0</v>
      </c>
      <c r="D20" s="29">
        <f t="shared" si="22"/>
        <v>0</v>
      </c>
      <c r="E20" s="1"/>
      <c r="F20" s="45" t="str">
        <f t="shared" si="23"/>
        <v>0</v>
      </c>
      <c r="G20" s="29">
        <f t="shared" si="24"/>
        <v>0</v>
      </c>
      <c r="H20" s="1"/>
      <c r="I20" s="45" t="str">
        <f t="shared" si="25"/>
        <v>0</v>
      </c>
      <c r="J20" s="29">
        <f t="shared" si="26"/>
        <v>0</v>
      </c>
      <c r="K20" s="7"/>
      <c r="L20" s="45" t="str">
        <f t="shared" si="27"/>
        <v>0</v>
      </c>
      <c r="M20" s="29">
        <f t="shared" si="28"/>
        <v>0</v>
      </c>
      <c r="N20" s="7"/>
      <c r="O20" s="45" t="str">
        <f t="shared" si="29"/>
        <v>0</v>
      </c>
      <c r="P20" s="29">
        <f t="shared" si="30"/>
        <v>0</v>
      </c>
      <c r="Q20" s="7"/>
      <c r="R20" s="45" t="str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 t="str">
        <f t="shared" si="20"/>
        <v>0</v>
      </c>
      <c r="Z20" s="159"/>
      <c r="AA20" s="164" t="str">
        <f t="shared" si="20"/>
        <v>0</v>
      </c>
      <c r="AB20" s="159"/>
      <c r="AC20" s="164" t="str">
        <f t="shared" si="20"/>
        <v>0</v>
      </c>
      <c r="AD20" s="159"/>
      <c r="AE20" s="164" t="str">
        <f t="shared" si="20"/>
        <v>0</v>
      </c>
      <c r="AF20" s="159"/>
      <c r="AG20" s="164" t="str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52.269000000000233</v>
      </c>
      <c r="D31" s="138">
        <f>SUM(D3:D30)</f>
        <v>99311.100000000442</v>
      </c>
      <c r="E31" s="138"/>
      <c r="F31" s="45">
        <f>SUM(F2:F30)</f>
        <v>14.225000000000364</v>
      </c>
      <c r="G31" s="138">
        <f>SUM(G3:G30)</f>
        <v>27027.500000000691</v>
      </c>
      <c r="H31" s="138"/>
      <c r="I31" s="45">
        <f>SUM(I2:I30)</f>
        <v>94</v>
      </c>
      <c r="J31" s="138">
        <f>SUM(J3:J30)</f>
        <v>178600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20.760000000000218</v>
      </c>
      <c r="P31" s="138">
        <f>SUM(P3:P30)</f>
        <v>39444.000000000407</v>
      </c>
      <c r="Q31" s="138"/>
      <c r="R31" s="45">
        <f>SUM(R3:R30)</f>
        <v>2.319999999999709</v>
      </c>
      <c r="S31" s="138">
        <f>SUM(S3:S30)</f>
        <v>4407.999999999447</v>
      </c>
      <c r="T31" s="138">
        <f>SUM(T3:T30)</f>
        <v>183.57400000000052</v>
      </c>
      <c r="U31" s="138">
        <f>SUM(U3:U30)</f>
        <v>348790.60000000102</v>
      </c>
      <c r="V31"/>
      <c r="W31" s="138" t="s">
        <v>141</v>
      </c>
      <c r="X31" s="138"/>
      <c r="Y31" s="138">
        <f>SUM(Y2:Y30)</f>
        <v>166239</v>
      </c>
      <c r="Z31" s="138"/>
      <c r="AA31" s="138">
        <f>SUM(AA2:AA30)</f>
        <v>8692</v>
      </c>
      <c r="AB31" s="138"/>
      <c r="AC31" s="138">
        <f>SUM(AC2:AC30)</f>
        <v>3.8500000000000014</v>
      </c>
      <c r="AD31" s="138"/>
      <c r="AE31" s="138">
        <f>SUM(AE2:AE30)</f>
        <v>54</v>
      </c>
      <c r="AF31" s="138">
        <v>0</v>
      </c>
      <c r="AG31" s="138">
        <f>SUM(AG2:AG30)</f>
        <v>310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K36" sqref="K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-16263927</v>
      </c>
      <c r="D7" s="106">
        <f t="shared" si="0"/>
        <v>-20655187.289999999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19622</v>
      </c>
      <c r="D8" s="106">
        <f t="shared" si="0"/>
        <v>24919.94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287868</v>
      </c>
      <c r="D9" s="106">
        <f t="shared" si="0"/>
        <v>365592.36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8320</v>
      </c>
      <c r="D10" s="106">
        <f t="shared" si="0"/>
        <v>10566.4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1392</v>
      </c>
      <c r="D11" s="106">
        <f t="shared" si="0"/>
        <v>1767.84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3959</v>
      </c>
      <c r="K16" s="95">
        <f>(J16-I16)*160</f>
        <v>3040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305293</v>
      </c>
      <c r="K17" s="95">
        <f>(J17-I17)*160</f>
        <v>284160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25950</v>
      </c>
      <c r="K18" s="95">
        <f>(J18-I18)*160</f>
        <v>8320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143493</v>
      </c>
      <c r="J19" s="118">
        <f>'Mall, Citadel, Rotana'!P30</f>
        <v>144885</v>
      </c>
      <c r="K19" s="95">
        <f>J19-I19</f>
        <v>1392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46774</v>
      </c>
      <c r="K21" s="95">
        <f>(J21-I21)*120</f>
        <v>9360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40399</v>
      </c>
      <c r="K22" s="95">
        <f>(J22-I22)*160</f>
        <v>8800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21436</v>
      </c>
      <c r="K23" s="95">
        <f>(J23-I23)*20</f>
        <v>1220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254229</v>
      </c>
      <c r="K24" s="95">
        <f>J24-I24</f>
        <v>242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225794</v>
      </c>
      <c r="K25" s="95">
        <f>J25-I25</f>
        <v>668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76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76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78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78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77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77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76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76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78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78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77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77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76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76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78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78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77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77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76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76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78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78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77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77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76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76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78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78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77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77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76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76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78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78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77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77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76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76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78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78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77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77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76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76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78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78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77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77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76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76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78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78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77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77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76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76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78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78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77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77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76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76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78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78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77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77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76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76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78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78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77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77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76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76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78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78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77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77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6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76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78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78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77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77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6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76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78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78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76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76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78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78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76">
        <v>23</v>
      </c>
      <c r="D49" s="62" t="s">
        <v>83</v>
      </c>
      <c r="E49" s="63"/>
      <c r="F49" s="63"/>
      <c r="G49" s="64">
        <f t="shared" si="2"/>
        <v>0</v>
      </c>
      <c r="H49" s="65"/>
      <c r="J49" s="176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78"/>
      <c r="D50" s="62" t="s">
        <v>82</v>
      </c>
      <c r="E50" s="63"/>
      <c r="F50" s="63"/>
      <c r="G50" s="64">
        <f t="shared" si="2"/>
        <v>0</v>
      </c>
      <c r="H50" s="65"/>
      <c r="J50" s="178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79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79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80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80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81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81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76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76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77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77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6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76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77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77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76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76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77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77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6">
        <v>28</v>
      </c>
      <c r="D62" s="185" t="s">
        <v>86</v>
      </c>
      <c r="E62" s="63"/>
      <c r="F62" s="63"/>
      <c r="G62" s="64"/>
      <c r="H62" s="187" t="s">
        <v>87</v>
      </c>
      <c r="I62" s="68"/>
      <c r="J62" s="176">
        <v>28</v>
      </c>
      <c r="K62" s="185" t="s">
        <v>86</v>
      </c>
      <c r="L62" s="63"/>
      <c r="M62" s="63"/>
      <c r="N62" s="64"/>
      <c r="O62" s="187" t="s">
        <v>87</v>
      </c>
    </row>
    <row r="63" spans="1:15" ht="15" x14ac:dyDescent="0.2">
      <c r="A63" s="68"/>
      <c r="B63" s="58"/>
      <c r="C63" s="177"/>
      <c r="D63" s="186"/>
      <c r="E63" s="63"/>
      <c r="F63" s="63"/>
      <c r="G63" s="64"/>
      <c r="H63" s="188"/>
      <c r="I63" s="68"/>
      <c r="J63" s="177"/>
      <c r="K63" s="186"/>
      <c r="L63" s="63"/>
      <c r="M63" s="63"/>
      <c r="N63" s="64"/>
      <c r="O63" s="188"/>
    </row>
    <row r="64" spans="1:15" x14ac:dyDescent="0.2">
      <c r="A64" s="68"/>
      <c r="B64" s="58"/>
      <c r="C64" s="189" t="s">
        <v>88</v>
      </c>
      <c r="D64" s="189"/>
      <c r="E64" s="189"/>
      <c r="F64" s="189"/>
      <c r="G64" s="82">
        <f>SUM(G2:G63)</f>
        <v>43022</v>
      </c>
      <c r="H64" s="83"/>
      <c r="I64" s="68"/>
      <c r="J64" s="189" t="s">
        <v>88</v>
      </c>
      <c r="K64" s="189"/>
      <c r="L64" s="189"/>
      <c r="M64" s="189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0">
        <v>44562</v>
      </c>
      <c r="C69" s="191"/>
      <c r="D69" s="191"/>
      <c r="E69" s="192"/>
      <c r="F69" s="86"/>
      <c r="G69" s="193">
        <v>44593</v>
      </c>
      <c r="H69" s="194"/>
      <c r="I69" s="194"/>
      <c r="J69" s="195"/>
      <c r="K69" s="86"/>
      <c r="L69" s="182" t="s">
        <v>25</v>
      </c>
      <c r="M69" s="183"/>
      <c r="N69" s="183"/>
      <c r="O69" s="184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2022-03-18T03:29:48Z</dcterms:modified>
</cp:coreProperties>
</file>