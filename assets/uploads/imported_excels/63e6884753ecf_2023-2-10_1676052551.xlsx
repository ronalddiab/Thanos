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H2" i="1" l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F4" i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" i="1"/>
  <c r="J4" i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" i="1"/>
  <c r="C2" i="1" l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4" i="3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" i="3"/>
  <c r="D2" i="1" l="1"/>
  <c r="D3" i="3"/>
  <c r="D3" i="1" s="1"/>
  <c r="D4" i="3" l="1"/>
  <c r="D5" i="3" s="1"/>
  <c r="D6" i="3"/>
  <c r="D5" i="1"/>
  <c r="D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<sst xmlns="http://schemas.openxmlformats.org/spreadsheetml/2006/main" count="102" uniqueCount="33">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</sst>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29"/>
  <sheetViews>
    <sheetView topLeftCell="B1" workbookViewId="0">
      <selection activeCell="H3" sqref="H3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f>Submetering!C6</f>
        <v>2</v>
      </c>
      <c r="D2" s="9">
        <f>Submetering!D2</f>
        <v>2023</v>
      </c>
      <c r="E2" s="20">
        <f>Submetering!E2</f>
        <v>6972.53</v>
      </c>
      <c r="F2" s="16">
        <v>0.13209000000000001</v>
      </c>
      <c r="G2" s="20">
        <f>Submetering!F2+Submetering!G2</f>
        <v>652.59999999999991</v>
      </c>
      <c r="H2" s="16">
        <f>0.10098*10.7</f>
        <v>1.0804859999999998</v>
      </c>
      <c r="I2" s="20">
        <f>Submetering!J2+Submetering!I2+Submetering!H2</f>
        <v>83.88</v>
      </c>
      <c r="J2" s="16">
        <v>3.84</v>
      </c>
      <c r="K2" s="20">
        <f>Submetering!K2</f>
        <v>86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2</v>
      </c>
      <c r="D3" s="9">
        <f>Submetering!D3</f>
        <v>2023</v>
      </c>
      <c r="E3" s="20">
        <f>Submetering!E3</f>
        <v>7232.25</v>
      </c>
      <c r="F3" s="16">
        <f>F2</f>
        <v>0.13209000000000001</v>
      </c>
      <c r="G3" s="20">
        <f>Submetering!F3+Submetering!G3</f>
        <v>492.95</v>
      </c>
      <c r="H3" s="16">
        <f>H2</f>
        <v>1.0804859999999998</v>
      </c>
      <c r="I3" s="20">
        <f>Submetering!J3+Submetering!I3+Submetering!H3</f>
        <v>79.27</v>
      </c>
      <c r="J3" s="16">
        <f>J2</f>
        <v>3.84</v>
      </c>
      <c r="K3" s="20">
        <f>Submetering!K3</f>
        <v>71</v>
      </c>
      <c r="L3" s="20">
        <f>Submetering!L3</f>
        <v>0</v>
      </c>
    </row>
    <row r="4" spans="1:24" x14ac:dyDescent="0.25">
      <c r="A4" s="17" t="s">
        <v>32</v>
      </c>
      <c r="B4" s="9">
        <f t="shared" ref="B4:B29" si="0">B3+1</f>
        <v>3</v>
      </c>
      <c r="C4" s="6">
        <f t="shared" ref="C4:C29" si="1">C3</f>
        <v>2</v>
      </c>
      <c r="D4" s="9">
        <f>Submetering!D4</f>
        <v>2023</v>
      </c>
      <c r="E4" s="20">
        <f>Submetering!E4</f>
        <v>7173.19</v>
      </c>
      <c r="F4" s="16">
        <f t="shared" ref="F4:F29" si="2">F3</f>
        <v>0.13209000000000001</v>
      </c>
      <c r="G4" s="20">
        <f>Submetering!F4+Submetering!G4</f>
        <v>533.03000000000009</v>
      </c>
      <c r="H4" s="16">
        <f t="shared" ref="H4:H29" si="3">H3</f>
        <v>1.0804859999999998</v>
      </c>
      <c r="I4" s="20">
        <f>Submetering!J4+Submetering!I4+Submetering!H4</f>
        <v>82.36</v>
      </c>
      <c r="J4" s="16">
        <f t="shared" ref="J4:J29" si="4">J3</f>
        <v>3.84</v>
      </c>
      <c r="K4" s="20">
        <f>Submetering!K4</f>
        <v>88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2</v>
      </c>
      <c r="D5" s="9">
        <f>Submetering!D5</f>
        <v>2023</v>
      </c>
      <c r="E5" s="20">
        <f>Submetering!E5</f>
        <v>7168.09</v>
      </c>
      <c r="F5" s="16">
        <f t="shared" si="2"/>
        <v>0.13209000000000001</v>
      </c>
      <c r="G5" s="20">
        <f>Submetering!F5+Submetering!G5</f>
        <v>428.91</v>
      </c>
      <c r="H5" s="16">
        <f t="shared" si="3"/>
        <v>1.0804859999999998</v>
      </c>
      <c r="I5" s="20">
        <f>Submetering!J5+Submetering!I5+Submetering!H5</f>
        <v>82.56</v>
      </c>
      <c r="J5" s="16">
        <f t="shared" si="4"/>
        <v>3.84</v>
      </c>
      <c r="K5" s="20">
        <f>Submetering!K5</f>
        <v>85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2</v>
      </c>
      <c r="D6" s="9">
        <f>Submetering!D6</f>
        <v>2023</v>
      </c>
      <c r="E6" s="20">
        <f>Submetering!E6</f>
        <v>7201.16</v>
      </c>
      <c r="F6" s="16">
        <f t="shared" si="2"/>
        <v>0.13209000000000001</v>
      </c>
      <c r="G6" s="20">
        <f>Submetering!F6+Submetering!G6</f>
        <v>509.51</v>
      </c>
      <c r="H6" s="16">
        <f t="shared" si="3"/>
        <v>1.0804859999999998</v>
      </c>
      <c r="I6" s="20">
        <f>Submetering!J6+Submetering!I6+Submetering!H6</f>
        <v>82.8</v>
      </c>
      <c r="J6" s="16">
        <f t="shared" si="4"/>
        <v>3.84</v>
      </c>
      <c r="K6" s="20">
        <f>Submetering!K6</f>
        <v>80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2</v>
      </c>
      <c r="D7" s="9">
        <f>Submetering!D7</f>
        <v>2023</v>
      </c>
      <c r="E7" s="20">
        <f>Submetering!E7</f>
        <v>7388.1</v>
      </c>
      <c r="F7" s="16">
        <f t="shared" si="2"/>
        <v>0.13209000000000001</v>
      </c>
      <c r="G7" s="20">
        <f>Submetering!F7+Submetering!G7</f>
        <v>562.72</v>
      </c>
      <c r="H7" s="16">
        <f t="shared" si="3"/>
        <v>1.0804859999999998</v>
      </c>
      <c r="I7" s="20">
        <f>Submetering!J7+Submetering!I7+Submetering!H7</f>
        <v>83.84</v>
      </c>
      <c r="J7" s="16">
        <f t="shared" si="4"/>
        <v>3.84</v>
      </c>
      <c r="K7" s="20">
        <f>Submetering!K7</f>
        <v>80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2</v>
      </c>
      <c r="D8" s="9">
        <f>Submetering!D8</f>
        <v>2023</v>
      </c>
      <c r="E8" s="20">
        <f>Submetering!E8</f>
        <v>7112.29</v>
      </c>
      <c r="F8" s="16">
        <f t="shared" si="2"/>
        <v>0.13209000000000001</v>
      </c>
      <c r="G8" s="20">
        <f>Submetering!F8+Submetering!G8</f>
        <v>607.75</v>
      </c>
      <c r="H8" s="16">
        <f t="shared" si="3"/>
        <v>1.0804859999999998</v>
      </c>
      <c r="I8" s="20">
        <f>Submetering!J8+Submetering!I8+Submetering!H8</f>
        <v>94.69</v>
      </c>
      <c r="J8" s="16">
        <f t="shared" si="4"/>
        <v>3.84</v>
      </c>
      <c r="K8" s="20">
        <f>Submetering!K8</f>
        <v>75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2</v>
      </c>
      <c r="D9" s="9">
        <f>Submetering!D9</f>
        <v>2023</v>
      </c>
      <c r="E9" s="20">
        <f>Submetering!E9</f>
        <v>7037.96</v>
      </c>
      <c r="F9" s="16">
        <f t="shared" si="2"/>
        <v>0.13209000000000001</v>
      </c>
      <c r="G9" s="20">
        <f>Submetering!F9+Submetering!G9</f>
        <v>584.12</v>
      </c>
      <c r="H9" s="16">
        <f t="shared" si="3"/>
        <v>1.0804859999999998</v>
      </c>
      <c r="I9" s="20">
        <f>Submetering!J9+Submetering!I9+Submetering!H9</f>
        <v>79.17</v>
      </c>
      <c r="J9" s="16">
        <f t="shared" si="4"/>
        <v>3.84</v>
      </c>
      <c r="K9" s="20">
        <f>Submetering!K9</f>
        <v>67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2</v>
      </c>
      <c r="D10" s="9">
        <f>Submetering!D10</f>
        <v>2023</v>
      </c>
      <c r="E10" s="20">
        <f>Submetering!E10</f>
        <v>6495.98</v>
      </c>
      <c r="F10" s="16">
        <f t="shared" si="2"/>
        <v>0.13209000000000001</v>
      </c>
      <c r="G10" s="20">
        <f>Submetering!F10+Submetering!G10</f>
        <v>0</v>
      </c>
      <c r="H10" s="16">
        <f t="shared" si="3"/>
        <v>1.0804859999999998</v>
      </c>
      <c r="I10" s="20">
        <f>Submetering!J10+Submetering!I10+Submetering!H10</f>
        <v>0</v>
      </c>
      <c r="J10" s="16">
        <f t="shared" si="4"/>
        <v>3.84</v>
      </c>
      <c r="K10" s="20">
        <f>Submetering!K10</f>
        <v>55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2</v>
      </c>
      <c r="D11" s="9">
        <f>Submetering!D11</f>
        <v>2023</v>
      </c>
      <c r="E11" s="20">
        <f>Submetering!E11</f>
        <v>0</v>
      </c>
      <c r="F11" s="16">
        <f t="shared" si="2"/>
        <v>0.13209000000000001</v>
      </c>
      <c r="G11" s="20">
        <f>Submetering!F11+Submetering!G11</f>
        <v>0</v>
      </c>
      <c r="H11" s="16">
        <f t="shared" si="3"/>
        <v>1.0804859999999998</v>
      </c>
      <c r="I11" s="20">
        <f>Submetering!J11+Submetering!I11+Submetering!H11</f>
        <v>0</v>
      </c>
      <c r="J11" s="16">
        <f t="shared" si="4"/>
        <v>3.84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2</v>
      </c>
      <c r="D12" s="9">
        <f>Submetering!D12</f>
        <v>2023</v>
      </c>
      <c r="E12" s="20">
        <f>Submetering!E12</f>
        <v>0</v>
      </c>
      <c r="F12" s="16">
        <f t="shared" si="2"/>
        <v>0.13209000000000001</v>
      </c>
      <c r="G12" s="20">
        <f>Submetering!F12+Submetering!G12</f>
        <v>0</v>
      </c>
      <c r="H12" s="16">
        <f t="shared" si="3"/>
        <v>1.0804859999999998</v>
      </c>
      <c r="I12" s="20">
        <f>Submetering!J12+Submetering!I12+Submetering!H12</f>
        <v>0</v>
      </c>
      <c r="J12" s="16">
        <f t="shared" si="4"/>
        <v>3.84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2</v>
      </c>
      <c r="D13" s="9">
        <f>Submetering!D13</f>
        <v>2023</v>
      </c>
      <c r="E13" s="20">
        <f>Submetering!E13</f>
        <v>0</v>
      </c>
      <c r="F13" s="16">
        <f t="shared" si="2"/>
        <v>0.13209000000000001</v>
      </c>
      <c r="G13" s="20">
        <f>Submetering!F13+Submetering!G13</f>
        <v>0</v>
      </c>
      <c r="H13" s="16">
        <f t="shared" si="3"/>
        <v>1.0804859999999998</v>
      </c>
      <c r="I13" s="20">
        <f>Submetering!J13+Submetering!I13+Submetering!H13</f>
        <v>0</v>
      </c>
      <c r="J13" s="16">
        <f t="shared" si="4"/>
        <v>3.84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2</v>
      </c>
      <c r="D14" s="9">
        <f>Submetering!D14</f>
        <v>2023</v>
      </c>
      <c r="E14" s="20">
        <f>Submetering!E14</f>
        <v>0</v>
      </c>
      <c r="F14" s="16">
        <f t="shared" si="2"/>
        <v>0.13209000000000001</v>
      </c>
      <c r="G14" s="20">
        <f>Submetering!F14+Submetering!G14</f>
        <v>0</v>
      </c>
      <c r="H14" s="16">
        <f t="shared" si="3"/>
        <v>1.0804859999999998</v>
      </c>
      <c r="I14" s="20">
        <f>Submetering!J14+Submetering!I14+Submetering!H14</f>
        <v>0</v>
      </c>
      <c r="J14" s="16">
        <f t="shared" si="4"/>
        <v>3.84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2</v>
      </c>
      <c r="D15" s="9">
        <f>Submetering!D15</f>
        <v>2023</v>
      </c>
      <c r="E15" s="20">
        <f>Submetering!E15</f>
        <v>0</v>
      </c>
      <c r="F15" s="16">
        <f t="shared" si="2"/>
        <v>0.13209000000000001</v>
      </c>
      <c r="G15" s="20">
        <f>Submetering!F15+Submetering!G15</f>
        <v>0</v>
      </c>
      <c r="H15" s="16">
        <f t="shared" si="3"/>
        <v>1.0804859999999998</v>
      </c>
      <c r="I15" s="20">
        <f>Submetering!J15+Submetering!I15+Submetering!H15</f>
        <v>0</v>
      </c>
      <c r="J15" s="16">
        <f t="shared" si="4"/>
        <v>3.84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2</v>
      </c>
      <c r="D16" s="9">
        <f>Submetering!D16</f>
        <v>2023</v>
      </c>
      <c r="E16" s="20">
        <f>Submetering!E16</f>
        <v>0</v>
      </c>
      <c r="F16" s="16">
        <f t="shared" si="2"/>
        <v>0.13209000000000001</v>
      </c>
      <c r="G16" s="20">
        <f>Submetering!F16+Submetering!G16</f>
        <v>0</v>
      </c>
      <c r="H16" s="16">
        <f t="shared" si="3"/>
        <v>1.0804859999999998</v>
      </c>
      <c r="I16" s="20">
        <f>Submetering!J16+Submetering!I16+Submetering!H16</f>
        <v>0</v>
      </c>
      <c r="J16" s="16">
        <f t="shared" si="4"/>
        <v>3.84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2</v>
      </c>
      <c r="D17" s="9">
        <f>Submetering!D17</f>
        <v>2023</v>
      </c>
      <c r="E17" s="20">
        <f>Submetering!E17</f>
        <v>0</v>
      </c>
      <c r="F17" s="16">
        <f t="shared" si="2"/>
        <v>0.13209000000000001</v>
      </c>
      <c r="G17" s="20">
        <f>Submetering!F17+Submetering!G17</f>
        <v>0</v>
      </c>
      <c r="H17" s="16">
        <f t="shared" si="3"/>
        <v>1.0804859999999998</v>
      </c>
      <c r="I17" s="20">
        <f>Submetering!J17+Submetering!I17+Submetering!H17</f>
        <v>0</v>
      </c>
      <c r="J17" s="16">
        <f t="shared" si="4"/>
        <v>3.84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2</v>
      </c>
      <c r="D18" s="9">
        <f>Submetering!D18</f>
        <v>2023</v>
      </c>
      <c r="E18" s="20">
        <f>Submetering!E18</f>
        <v>0</v>
      </c>
      <c r="F18" s="16">
        <f t="shared" si="2"/>
        <v>0.13209000000000001</v>
      </c>
      <c r="G18" s="20">
        <f>Submetering!F18+Submetering!G18</f>
        <v>0</v>
      </c>
      <c r="H18" s="16">
        <f t="shared" si="3"/>
        <v>1.0804859999999998</v>
      </c>
      <c r="I18" s="20">
        <f>Submetering!J18+Submetering!I18+Submetering!H18</f>
        <v>0</v>
      </c>
      <c r="J18" s="16">
        <f t="shared" si="4"/>
        <v>3.84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2</v>
      </c>
      <c r="D19" s="9">
        <f>Submetering!D19</f>
        <v>2023</v>
      </c>
      <c r="E19" s="20">
        <f>Submetering!E19</f>
        <v>0</v>
      </c>
      <c r="F19" s="16">
        <f t="shared" si="2"/>
        <v>0.13209000000000001</v>
      </c>
      <c r="G19" s="20">
        <f>Submetering!F19+Submetering!G19</f>
        <v>0</v>
      </c>
      <c r="H19" s="16">
        <f t="shared" si="3"/>
        <v>1.0804859999999998</v>
      </c>
      <c r="I19" s="20">
        <f>Submetering!J19+Submetering!I19+Submetering!H19</f>
        <v>0</v>
      </c>
      <c r="J19" s="16">
        <f t="shared" si="4"/>
        <v>3.84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2</v>
      </c>
      <c r="D20" s="9">
        <f>Submetering!D20</f>
        <v>2023</v>
      </c>
      <c r="E20" s="20">
        <f>Submetering!E20</f>
        <v>0</v>
      </c>
      <c r="F20" s="16">
        <f t="shared" si="2"/>
        <v>0.13209000000000001</v>
      </c>
      <c r="G20" s="20">
        <f>Submetering!F20+Submetering!G20</f>
        <v>0</v>
      </c>
      <c r="H20" s="16">
        <f t="shared" si="3"/>
        <v>1.0804859999999998</v>
      </c>
      <c r="I20" s="20">
        <f>Submetering!J20+Submetering!I20+Submetering!H20</f>
        <v>0</v>
      </c>
      <c r="J20" s="16">
        <f t="shared" si="4"/>
        <v>3.84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2</v>
      </c>
      <c r="D21" s="9">
        <f>Submetering!D21</f>
        <v>2023</v>
      </c>
      <c r="E21" s="20">
        <f>Submetering!E21</f>
        <v>0</v>
      </c>
      <c r="F21" s="16">
        <f t="shared" si="2"/>
        <v>0.13209000000000001</v>
      </c>
      <c r="G21" s="20">
        <f>Submetering!F21+Submetering!G21</f>
        <v>0</v>
      </c>
      <c r="H21" s="16">
        <f t="shared" si="3"/>
        <v>1.0804859999999998</v>
      </c>
      <c r="I21" s="20">
        <f>Submetering!J21+Submetering!I21+Submetering!H21</f>
        <v>0</v>
      </c>
      <c r="J21" s="16">
        <f t="shared" si="4"/>
        <v>3.84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2</v>
      </c>
      <c r="D22" s="9">
        <f>Submetering!D22</f>
        <v>2023</v>
      </c>
      <c r="E22" s="20">
        <f>Submetering!E22</f>
        <v>0</v>
      </c>
      <c r="F22" s="16">
        <f t="shared" si="2"/>
        <v>0.13209000000000001</v>
      </c>
      <c r="G22" s="20">
        <f>Submetering!F22+Submetering!G22</f>
        <v>0</v>
      </c>
      <c r="H22" s="16">
        <f t="shared" si="3"/>
        <v>1.0804859999999998</v>
      </c>
      <c r="I22" s="20">
        <f>Submetering!J22+Submetering!I22+Submetering!H22</f>
        <v>0</v>
      </c>
      <c r="J22" s="16">
        <f t="shared" si="4"/>
        <v>3.84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2</v>
      </c>
      <c r="D23" s="9">
        <f>Submetering!D23</f>
        <v>2023</v>
      </c>
      <c r="E23" s="20">
        <f>Submetering!E23</f>
        <v>0</v>
      </c>
      <c r="F23" s="16">
        <f t="shared" si="2"/>
        <v>0.13209000000000001</v>
      </c>
      <c r="G23" s="20">
        <f>Submetering!F23+Submetering!G23</f>
        <v>0</v>
      </c>
      <c r="H23" s="16">
        <f t="shared" si="3"/>
        <v>1.0804859999999998</v>
      </c>
      <c r="I23" s="20">
        <f>Submetering!J23+Submetering!I23+Submetering!H23</f>
        <v>0</v>
      </c>
      <c r="J23" s="16">
        <f t="shared" si="4"/>
        <v>3.84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2</v>
      </c>
      <c r="D24" s="9">
        <f>Submetering!D24</f>
        <v>2023</v>
      </c>
      <c r="E24" s="20">
        <f>Submetering!E24</f>
        <v>0</v>
      </c>
      <c r="F24" s="16">
        <f t="shared" si="2"/>
        <v>0.13209000000000001</v>
      </c>
      <c r="G24" s="20">
        <f>Submetering!F24+Submetering!G24</f>
        <v>0</v>
      </c>
      <c r="H24" s="16">
        <f t="shared" si="3"/>
        <v>1.0804859999999998</v>
      </c>
      <c r="I24" s="20">
        <f>Submetering!J24+Submetering!I24+Submetering!H24</f>
        <v>0</v>
      </c>
      <c r="J24" s="16">
        <f t="shared" si="4"/>
        <v>3.84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2</v>
      </c>
      <c r="D25" s="9">
        <f>Submetering!D25</f>
        <v>2023</v>
      </c>
      <c r="E25" s="20">
        <f>Submetering!E25</f>
        <v>0</v>
      </c>
      <c r="F25" s="16">
        <f t="shared" si="2"/>
        <v>0.13209000000000001</v>
      </c>
      <c r="G25" s="20">
        <f>Submetering!F25+Submetering!G25</f>
        <v>0</v>
      </c>
      <c r="H25" s="16">
        <f t="shared" si="3"/>
        <v>1.0804859999999998</v>
      </c>
      <c r="I25" s="20">
        <f>Submetering!J25+Submetering!I25+Submetering!H25</f>
        <v>0</v>
      </c>
      <c r="J25" s="16">
        <f t="shared" si="4"/>
        <v>3.84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2</v>
      </c>
      <c r="D26" s="9">
        <f>Submetering!D26</f>
        <v>2023</v>
      </c>
      <c r="E26" s="20">
        <f>Submetering!E26</f>
        <v>0</v>
      </c>
      <c r="F26" s="16">
        <f t="shared" si="2"/>
        <v>0.13209000000000001</v>
      </c>
      <c r="G26" s="20">
        <f>Submetering!F26+Submetering!G26</f>
        <v>0</v>
      </c>
      <c r="H26" s="16">
        <f t="shared" si="3"/>
        <v>1.0804859999999998</v>
      </c>
      <c r="I26" s="20">
        <f>Submetering!J26+Submetering!I26+Submetering!H26</f>
        <v>0</v>
      </c>
      <c r="J26" s="16">
        <f t="shared" si="4"/>
        <v>3.84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2</v>
      </c>
      <c r="D27" s="9">
        <f>Submetering!D27</f>
        <v>2023</v>
      </c>
      <c r="E27" s="20">
        <f>Submetering!E27</f>
        <v>0</v>
      </c>
      <c r="F27" s="16">
        <f t="shared" si="2"/>
        <v>0.13209000000000001</v>
      </c>
      <c r="G27" s="20">
        <f>Submetering!F27+Submetering!G27</f>
        <v>0</v>
      </c>
      <c r="H27" s="16">
        <f t="shared" si="3"/>
        <v>1.0804859999999998</v>
      </c>
      <c r="I27" s="20">
        <f>Submetering!J27+Submetering!I27+Submetering!H27</f>
        <v>0</v>
      </c>
      <c r="J27" s="16">
        <f t="shared" si="4"/>
        <v>3.84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2</v>
      </c>
      <c r="D28" s="9">
        <f>Submetering!D28</f>
        <v>2023</v>
      </c>
      <c r="E28" s="20">
        <f>Submetering!E28</f>
        <v>0</v>
      </c>
      <c r="F28" s="16">
        <f t="shared" si="2"/>
        <v>0.13209000000000001</v>
      </c>
      <c r="G28" s="20">
        <f>Submetering!F28+Submetering!G28</f>
        <v>0</v>
      </c>
      <c r="H28" s="16">
        <f t="shared" si="3"/>
        <v>1.0804859999999998</v>
      </c>
      <c r="I28" s="20">
        <f>Submetering!J28+Submetering!I28+Submetering!H28</f>
        <v>0</v>
      </c>
      <c r="J28" s="16">
        <f t="shared" si="4"/>
        <v>3.84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2</v>
      </c>
      <c r="D29" s="9">
        <f>Submetering!D29</f>
        <v>2023</v>
      </c>
      <c r="E29" s="20">
        <f>Submetering!E29</f>
        <v>0</v>
      </c>
      <c r="F29" s="16">
        <f t="shared" si="2"/>
        <v>0.13209000000000001</v>
      </c>
      <c r="G29" s="20">
        <f>Submetering!F29+Submetering!G29</f>
        <v>0</v>
      </c>
      <c r="H29" s="16">
        <f t="shared" si="3"/>
        <v>1.0804859999999998</v>
      </c>
      <c r="I29" s="20">
        <f>Submetering!J29+Submetering!I29+Submetering!H29</f>
        <v>0</v>
      </c>
      <c r="J29" s="16">
        <f t="shared" si="4"/>
        <v>3.84</v>
      </c>
      <c r="K29" s="20">
        <f>Submetering!K29</f>
        <v>0</v>
      </c>
      <c r="L29" s="20">
        <f>Submetering!L29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29"/>
  <sheetViews>
    <sheetView tabSelected="1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E29" sqref="E29:K29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9" t="s">
        <v>7</v>
      </c>
      <c r="E1" s="40" t="s">
        <v>22</v>
      </c>
      <c r="F1" s="40" t="s">
        <v>26</v>
      </c>
      <c r="G1" s="40" t="s">
        <v>25</v>
      </c>
      <c r="H1" s="40" t="s">
        <v>30</v>
      </c>
      <c r="I1" s="40" t="s">
        <v>31</v>
      </c>
      <c r="J1" s="40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2</v>
      </c>
      <c r="D2" s="41">
        <v>2023</v>
      </c>
      <c r="E2" s="38">
        <v>6972.53</v>
      </c>
      <c r="F2" s="38">
        <v>631.66999999999996</v>
      </c>
      <c r="G2" s="38">
        <v>20.93</v>
      </c>
      <c r="H2" s="38">
        <v>0.88</v>
      </c>
      <c r="I2" s="38">
        <v>56</v>
      </c>
      <c r="J2" s="38">
        <v>27</v>
      </c>
      <c r="K2">
        <v>86</v>
      </c>
      <c r="P2" s="34"/>
      <c r="Q2" s="33"/>
    </row>
    <row r="3" spans="1:17" x14ac:dyDescent="0.25">
      <c r="A3" s="17" t="s">
        <v>32</v>
      </c>
      <c r="B3" s="6">
        <f>B2+1</f>
        <v>2</v>
      </c>
      <c r="C3" s="6">
        <f>C2</f>
        <v>2</v>
      </c>
      <c r="D3" s="41">
        <f>D2</f>
        <v>2023</v>
      </c>
      <c r="E3" s="38">
        <v>7232.25</v>
      </c>
      <c r="F3" s="38">
        <v>474.51</v>
      </c>
      <c r="G3" s="38">
        <v>18.440000000000001</v>
      </c>
      <c r="H3" s="38">
        <v>0.77</v>
      </c>
      <c r="I3" s="38">
        <v>53.5</v>
      </c>
      <c r="J3" s="38">
        <v>25</v>
      </c>
      <c r="K3">
        <v>71</v>
      </c>
      <c r="P3" s="35"/>
      <c r="Q3" s="34"/>
    </row>
    <row r="4" spans="1:17" x14ac:dyDescent="0.25">
      <c r="A4" s="17" t="s">
        <v>32</v>
      </c>
      <c r="B4" s="6">
        <f t="shared" ref="B4:B29" si="0">B3+1</f>
        <v>3</v>
      </c>
      <c r="C4" s="6">
        <f t="shared" ref="C4:C29" si="1">C3</f>
        <v>2</v>
      </c>
      <c r="D4" s="41">
        <f t="shared" ref="D4:D29" si="2">D3</f>
        <v>2023</v>
      </c>
      <c r="E4" s="38">
        <v>7173.19</v>
      </c>
      <c r="F4" s="38">
        <v>515.09</v>
      </c>
      <c r="G4" s="38">
        <v>17.940000000000001</v>
      </c>
      <c r="H4" s="38">
        <v>0.86</v>
      </c>
      <c r="I4" s="38">
        <v>55.5</v>
      </c>
      <c r="J4" s="38">
        <v>26</v>
      </c>
      <c r="K4">
        <v>88</v>
      </c>
      <c r="P4" s="35"/>
      <c r="Q4" s="34"/>
    </row>
    <row r="5" spans="1:17" x14ac:dyDescent="0.25">
      <c r="A5" s="17" t="s">
        <v>32</v>
      </c>
      <c r="B5" s="6">
        <f t="shared" si="0"/>
        <v>4</v>
      </c>
      <c r="C5" s="6">
        <f t="shared" si="1"/>
        <v>2</v>
      </c>
      <c r="D5" s="41">
        <f t="shared" si="2"/>
        <v>2023</v>
      </c>
      <c r="E5" s="38">
        <v>7168.09</v>
      </c>
      <c r="F5" s="38">
        <v>409.97</v>
      </c>
      <c r="G5" s="38">
        <v>18.940000000000001</v>
      </c>
      <c r="H5" s="38">
        <v>1.06</v>
      </c>
      <c r="I5" s="38">
        <v>58</v>
      </c>
      <c r="J5" s="38">
        <v>23.5</v>
      </c>
      <c r="K5">
        <v>85</v>
      </c>
      <c r="P5" s="35"/>
      <c r="Q5" s="34"/>
    </row>
    <row r="6" spans="1:17" x14ac:dyDescent="0.25">
      <c r="A6" s="17" t="s">
        <v>32</v>
      </c>
      <c r="B6" s="6">
        <f t="shared" si="0"/>
        <v>5</v>
      </c>
      <c r="C6" s="6">
        <f t="shared" si="1"/>
        <v>2</v>
      </c>
      <c r="D6" s="41">
        <f t="shared" si="2"/>
        <v>2023</v>
      </c>
      <c r="E6" s="38">
        <v>7201.16</v>
      </c>
      <c r="F6" s="38">
        <v>486.58</v>
      </c>
      <c r="G6" s="38">
        <v>22.93</v>
      </c>
      <c r="H6" s="38">
        <v>0.8</v>
      </c>
      <c r="I6" s="38">
        <v>57</v>
      </c>
      <c r="J6" s="38">
        <v>25</v>
      </c>
      <c r="K6">
        <v>80</v>
      </c>
      <c r="P6" s="35"/>
      <c r="Q6" s="34"/>
    </row>
    <row r="7" spans="1:17" x14ac:dyDescent="0.25">
      <c r="A7" s="17" t="s">
        <v>32</v>
      </c>
      <c r="B7" s="6">
        <f t="shared" si="0"/>
        <v>6</v>
      </c>
      <c r="C7" s="6">
        <f t="shared" si="1"/>
        <v>2</v>
      </c>
      <c r="D7" s="41">
        <f t="shared" si="2"/>
        <v>2023</v>
      </c>
      <c r="E7" s="38">
        <v>7388.1</v>
      </c>
      <c r="F7" s="38">
        <v>543.78</v>
      </c>
      <c r="G7" s="38">
        <v>18.940000000000001</v>
      </c>
      <c r="H7" s="38">
        <v>4.84</v>
      </c>
      <c r="I7" s="38">
        <v>56</v>
      </c>
      <c r="J7" s="38">
        <v>23</v>
      </c>
      <c r="K7">
        <v>80</v>
      </c>
      <c r="P7" s="35"/>
      <c r="Q7" s="34"/>
    </row>
    <row r="8" spans="1:17" x14ac:dyDescent="0.25">
      <c r="A8" s="17" t="s">
        <v>32</v>
      </c>
      <c r="B8" s="6">
        <f t="shared" si="0"/>
        <v>7</v>
      </c>
      <c r="C8" s="6">
        <f t="shared" si="1"/>
        <v>2</v>
      </c>
      <c r="D8" s="41">
        <f t="shared" si="2"/>
        <v>2023</v>
      </c>
      <c r="E8" s="38">
        <v>7112.29</v>
      </c>
      <c r="F8" s="38">
        <v>589.80999999999995</v>
      </c>
      <c r="G8" s="38">
        <v>17.940000000000001</v>
      </c>
      <c r="H8" s="38">
        <v>4.1900000000000004</v>
      </c>
      <c r="I8" s="38">
        <v>63</v>
      </c>
      <c r="J8" s="38">
        <v>27.5</v>
      </c>
      <c r="K8">
        <v>75</v>
      </c>
      <c r="P8" s="35"/>
      <c r="Q8" s="34"/>
    </row>
    <row r="9" spans="1:17" x14ac:dyDescent="0.25">
      <c r="A9" s="17" t="s">
        <v>32</v>
      </c>
      <c r="B9" s="6">
        <f t="shared" si="0"/>
        <v>8</v>
      </c>
      <c r="C9" s="6">
        <f t="shared" si="1"/>
        <v>2</v>
      </c>
      <c r="D9" s="41">
        <f t="shared" si="2"/>
        <v>2023</v>
      </c>
      <c r="E9" s="38">
        <v>7037.96</v>
      </c>
      <c r="F9" s="38">
        <v>565.17999999999995</v>
      </c>
      <c r="G9" s="38">
        <v>18.940000000000001</v>
      </c>
      <c r="H9" s="38">
        <v>0.67</v>
      </c>
      <c r="I9" s="38">
        <v>53</v>
      </c>
      <c r="J9" s="38">
        <v>25.5</v>
      </c>
      <c r="K9">
        <v>67</v>
      </c>
      <c r="P9" s="35"/>
      <c r="Q9" s="34"/>
    </row>
    <row r="10" spans="1:17" x14ac:dyDescent="0.25">
      <c r="A10" s="17" t="s">
        <v>32</v>
      </c>
      <c r="B10" s="6">
        <f t="shared" si="0"/>
        <v>9</v>
      </c>
      <c r="C10" s="6">
        <f t="shared" si="1"/>
        <v>2</v>
      </c>
      <c r="D10" s="41">
        <f t="shared" si="2"/>
        <v>2023</v>
      </c>
      <c r="E10" s="38">
        <v>6495.98</v>
      </c>
      <c r="F10" s="38"/>
      <c r="G10" s="38"/>
      <c r="H10" s="38"/>
      <c r="I10" s="38"/>
      <c r="J10" s="38"/>
      <c r="K10">
        <v>55</v>
      </c>
      <c r="P10" s="35"/>
      <c r="Q10" s="34"/>
    </row>
    <row r="11" spans="1:17" x14ac:dyDescent="0.25">
      <c r="A11" s="17" t="s">
        <v>32</v>
      </c>
      <c r="B11" s="6">
        <f t="shared" si="0"/>
        <v>10</v>
      </c>
      <c r="C11" s="6">
        <f t="shared" si="1"/>
        <v>2</v>
      </c>
      <c r="D11" s="41">
        <f t="shared" si="2"/>
        <v>2023</v>
      </c>
      <c r="E11" s="38"/>
      <c r="F11" s="38"/>
      <c r="G11" s="38"/>
      <c r="H11" s="38"/>
      <c r="I11" s="38"/>
      <c r="J11" s="38"/>
      <c r="P11" s="35"/>
      <c r="Q11" s="34"/>
    </row>
    <row r="12" spans="1:17" x14ac:dyDescent="0.25">
      <c r="A12" s="17" t="s">
        <v>32</v>
      </c>
      <c r="B12" s="6">
        <f t="shared" si="0"/>
        <v>11</v>
      </c>
      <c r="C12" s="6">
        <f t="shared" si="1"/>
        <v>2</v>
      </c>
      <c r="D12" s="41">
        <f t="shared" si="2"/>
        <v>2023</v>
      </c>
      <c r="E12" s="38"/>
      <c r="F12" s="38"/>
      <c r="G12" s="38"/>
      <c r="H12" s="38"/>
      <c r="I12" s="38"/>
      <c r="J12" s="38"/>
      <c r="K12"/>
      <c r="P12" s="35"/>
      <c r="Q12" s="34"/>
    </row>
    <row r="13" spans="1:17" x14ac:dyDescent="0.25">
      <c r="A13" s="17" t="s">
        <v>32</v>
      </c>
      <c r="B13" s="6">
        <f t="shared" si="0"/>
        <v>12</v>
      </c>
      <c r="C13" s="6">
        <f t="shared" si="1"/>
        <v>2</v>
      </c>
      <c r="D13" s="41">
        <f t="shared" si="2"/>
        <v>2023</v>
      </c>
      <c r="E13" s="38"/>
      <c r="F13" s="38"/>
      <c r="G13" s="38"/>
      <c r="H13" s="38"/>
      <c r="I13" s="38"/>
      <c r="J13" s="38"/>
      <c r="P13" s="35"/>
      <c r="Q13" s="34"/>
    </row>
    <row r="14" spans="1:17" x14ac:dyDescent="0.25">
      <c r="A14" s="17" t="s">
        <v>32</v>
      </c>
      <c r="B14" s="6">
        <f t="shared" si="0"/>
        <v>13</v>
      </c>
      <c r="C14" s="6">
        <f t="shared" si="1"/>
        <v>2</v>
      </c>
      <c r="D14" s="41">
        <f t="shared" si="2"/>
        <v>2023</v>
      </c>
      <c r="E14" s="38"/>
      <c r="F14" s="38"/>
      <c r="G14" s="38"/>
      <c r="H14" s="38"/>
      <c r="I14" s="38"/>
      <c r="J14" s="38"/>
      <c r="K14"/>
    </row>
    <row r="15" spans="1:17" x14ac:dyDescent="0.25">
      <c r="A15" s="17" t="s">
        <v>32</v>
      </c>
      <c r="B15" s="6">
        <f t="shared" si="0"/>
        <v>14</v>
      </c>
      <c r="C15" s="6">
        <f t="shared" si="1"/>
        <v>2</v>
      </c>
      <c r="D15" s="41">
        <f t="shared" si="2"/>
        <v>2023</v>
      </c>
      <c r="E15" s="38"/>
      <c r="F15" s="38"/>
      <c r="G15" s="38"/>
      <c r="H15" s="38"/>
      <c r="I15" s="38"/>
      <c r="J15" s="38"/>
      <c r="K15"/>
    </row>
    <row r="16" spans="1:17" x14ac:dyDescent="0.25">
      <c r="A16" s="17" t="s">
        <v>32</v>
      </c>
      <c r="B16" s="6">
        <f t="shared" si="0"/>
        <v>15</v>
      </c>
      <c r="C16" s="6">
        <f t="shared" si="1"/>
        <v>2</v>
      </c>
      <c r="D16" s="41">
        <f t="shared" si="2"/>
        <v>2023</v>
      </c>
      <c r="E16" s="38"/>
      <c r="F16" s="38"/>
      <c r="G16" s="38"/>
      <c r="H16" s="38"/>
      <c r="I16" s="38"/>
      <c r="J16" s="38"/>
      <c r="K16"/>
    </row>
    <row r="17" spans="1:13" x14ac:dyDescent="0.25">
      <c r="A17" s="17" t="s">
        <v>32</v>
      </c>
      <c r="B17" s="6">
        <f t="shared" si="0"/>
        <v>16</v>
      </c>
      <c r="C17" s="6">
        <f t="shared" si="1"/>
        <v>2</v>
      </c>
      <c r="D17" s="41">
        <f t="shared" si="2"/>
        <v>2023</v>
      </c>
      <c r="E17" s="38"/>
      <c r="F17" s="38"/>
      <c r="G17" s="38"/>
      <c r="H17" s="38"/>
      <c r="I17" s="38"/>
      <c r="J17" s="38"/>
      <c r="K17"/>
    </row>
    <row r="18" spans="1:13" x14ac:dyDescent="0.25">
      <c r="A18" s="17" t="s">
        <v>32</v>
      </c>
      <c r="B18" s="6">
        <f t="shared" si="0"/>
        <v>17</v>
      </c>
      <c r="C18" s="6">
        <f t="shared" si="1"/>
        <v>2</v>
      </c>
      <c r="D18" s="41">
        <f t="shared" si="2"/>
        <v>2023</v>
      </c>
      <c r="E18" s="38"/>
      <c r="F18" s="38"/>
      <c r="G18" s="38"/>
      <c r="H18" s="38"/>
      <c r="I18" s="38"/>
      <c r="J18" s="38"/>
      <c r="K18"/>
      <c r="L18" s="38"/>
      <c r="M18" s="42"/>
    </row>
    <row r="19" spans="1:13" x14ac:dyDescent="0.25">
      <c r="A19" s="17" t="s">
        <v>32</v>
      </c>
      <c r="B19" s="6">
        <f t="shared" si="0"/>
        <v>18</v>
      </c>
      <c r="C19" s="6">
        <f t="shared" si="1"/>
        <v>2</v>
      </c>
      <c r="D19" s="41">
        <f t="shared" si="2"/>
        <v>2023</v>
      </c>
      <c r="E19" s="38"/>
      <c r="F19" s="38"/>
      <c r="G19" s="38"/>
      <c r="H19" s="38"/>
      <c r="I19" s="38"/>
      <c r="J19" s="38"/>
      <c r="K19"/>
      <c r="L19" s="38"/>
      <c r="M19" s="42"/>
    </row>
    <row r="20" spans="1:13" x14ac:dyDescent="0.25">
      <c r="A20" s="17" t="s">
        <v>32</v>
      </c>
      <c r="B20" s="6">
        <f t="shared" si="0"/>
        <v>19</v>
      </c>
      <c r="C20" s="6">
        <f t="shared" si="1"/>
        <v>2</v>
      </c>
      <c r="D20" s="41">
        <f t="shared" si="2"/>
        <v>2023</v>
      </c>
      <c r="E20" s="38"/>
      <c r="F20" s="38"/>
      <c r="G20" s="38"/>
      <c r="H20" s="38"/>
      <c r="I20" s="38"/>
      <c r="J20" s="38"/>
      <c r="K20"/>
      <c r="L20" s="38"/>
      <c r="M20" s="42"/>
    </row>
    <row r="21" spans="1:13" x14ac:dyDescent="0.25">
      <c r="A21" s="36" t="s">
        <v>32</v>
      </c>
      <c r="B21" s="37">
        <f t="shared" si="0"/>
        <v>20</v>
      </c>
      <c r="C21" s="6">
        <f t="shared" si="1"/>
        <v>2</v>
      </c>
      <c r="D21" s="41">
        <f t="shared" si="2"/>
        <v>2023</v>
      </c>
      <c r="E21" s="38"/>
      <c r="F21" s="38"/>
      <c r="G21" s="38"/>
      <c r="H21" s="38"/>
      <c r="I21" s="38"/>
      <c r="J21" s="38"/>
      <c r="K21"/>
      <c r="L21" s="38"/>
      <c r="M21" s="41"/>
    </row>
    <row r="22" spans="1:13" x14ac:dyDescent="0.25">
      <c r="A22" s="17" t="s">
        <v>32</v>
      </c>
      <c r="B22" s="6">
        <f t="shared" si="0"/>
        <v>21</v>
      </c>
      <c r="C22" s="6">
        <f t="shared" si="1"/>
        <v>2</v>
      </c>
      <c r="D22" s="41">
        <f t="shared" si="2"/>
        <v>2023</v>
      </c>
      <c r="E22" s="38"/>
      <c r="F22" s="38"/>
      <c r="G22" s="38"/>
      <c r="H22" s="38"/>
      <c r="I22" s="38"/>
      <c r="J22" s="38"/>
      <c r="K22"/>
      <c r="L22" s="38"/>
      <c r="M22" s="42"/>
    </row>
    <row r="23" spans="1:13" x14ac:dyDescent="0.25">
      <c r="A23" s="17" t="s">
        <v>32</v>
      </c>
      <c r="B23" s="6">
        <f t="shared" si="0"/>
        <v>22</v>
      </c>
      <c r="C23" s="6">
        <f t="shared" si="1"/>
        <v>2</v>
      </c>
      <c r="D23" s="41">
        <f t="shared" si="2"/>
        <v>2023</v>
      </c>
      <c r="E23" s="38"/>
      <c r="F23" s="38"/>
      <c r="G23" s="38"/>
      <c r="H23" s="38"/>
      <c r="I23" s="38"/>
      <c r="J23" s="38"/>
      <c r="K23"/>
      <c r="L23" s="38"/>
      <c r="M23" s="42"/>
    </row>
    <row r="24" spans="1:13" x14ac:dyDescent="0.25">
      <c r="A24" s="17" t="s">
        <v>32</v>
      </c>
      <c r="B24" s="6">
        <f t="shared" si="0"/>
        <v>23</v>
      </c>
      <c r="C24" s="6">
        <f t="shared" si="1"/>
        <v>2</v>
      </c>
      <c r="D24" s="41">
        <f t="shared" si="2"/>
        <v>2023</v>
      </c>
      <c r="E24" s="38"/>
      <c r="F24" s="38"/>
      <c r="G24" s="38"/>
      <c r="H24" s="38"/>
      <c r="I24" s="38"/>
      <c r="J24" s="38"/>
      <c r="K24" s="42"/>
      <c r="L24" s="38"/>
      <c r="M24" s="42"/>
    </row>
    <row r="25" spans="1:13" x14ac:dyDescent="0.25">
      <c r="A25" s="17" t="s">
        <v>32</v>
      </c>
      <c r="B25" s="6">
        <f t="shared" si="0"/>
        <v>24</v>
      </c>
      <c r="C25" s="6">
        <f t="shared" si="1"/>
        <v>2</v>
      </c>
      <c r="D25" s="41">
        <f t="shared" si="2"/>
        <v>2023</v>
      </c>
      <c r="E25" s="38"/>
      <c r="F25" s="38"/>
      <c r="G25" s="38"/>
      <c r="H25" s="38"/>
      <c r="I25" s="38"/>
      <c r="J25" s="38"/>
      <c r="K25"/>
      <c r="L25" s="38"/>
      <c r="M25" s="42"/>
    </row>
    <row r="26" spans="1:13" x14ac:dyDescent="0.25">
      <c r="A26" s="17" t="s">
        <v>32</v>
      </c>
      <c r="B26" s="6">
        <f>B25+1</f>
        <v>25</v>
      </c>
      <c r="C26" s="6">
        <f t="shared" si="1"/>
        <v>2</v>
      </c>
      <c r="D26" s="41">
        <f t="shared" si="2"/>
        <v>2023</v>
      </c>
      <c r="E26" s="38"/>
      <c r="F26" s="38"/>
      <c r="G26" s="38"/>
      <c r="H26" s="38"/>
      <c r="I26" s="38"/>
      <c r="J26" s="38"/>
      <c r="K26"/>
      <c r="L26" s="38"/>
      <c r="M26" s="42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2</v>
      </c>
      <c r="D27" s="6">
        <f t="shared" si="2"/>
        <v>2023</v>
      </c>
      <c r="E27" s="38"/>
      <c r="F27" s="38"/>
      <c r="G27" s="38"/>
      <c r="H27" s="38"/>
      <c r="I27" s="38"/>
      <c r="J27" s="38"/>
      <c r="K27"/>
      <c r="L27" s="38"/>
      <c r="M27" s="42"/>
    </row>
    <row r="28" spans="1:13" x14ac:dyDescent="0.25">
      <c r="A28" s="17" t="s">
        <v>32</v>
      </c>
      <c r="B28" s="6">
        <f t="shared" si="0"/>
        <v>27</v>
      </c>
      <c r="C28" s="6">
        <f t="shared" si="1"/>
        <v>2</v>
      </c>
      <c r="D28" s="6">
        <f t="shared" si="2"/>
        <v>2023</v>
      </c>
      <c r="E28" s="38"/>
      <c r="F28" s="38"/>
      <c r="G28" s="38"/>
      <c r="H28" s="38"/>
      <c r="I28" s="38"/>
      <c r="J28" s="38"/>
      <c r="K28"/>
      <c r="L28" s="38"/>
      <c r="M28" s="42"/>
    </row>
    <row r="29" spans="1:13" x14ac:dyDescent="0.25">
      <c r="A29" s="17" t="s">
        <v>32</v>
      </c>
      <c r="B29" s="6">
        <f t="shared" si="0"/>
        <v>28</v>
      </c>
      <c r="C29" s="6">
        <f t="shared" si="1"/>
        <v>2</v>
      </c>
      <c r="D29" s="6">
        <f t="shared" si="2"/>
        <v>2023</v>
      </c>
      <c r="E29" s="38"/>
      <c r="F29" s="38"/>
      <c r="G29" s="38"/>
      <c r="H29" s="38"/>
      <c r="I29" s="38"/>
      <c r="J29" s="38"/>
      <c r="K29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53"/>
      <c r="C1" s="1"/>
      <c r="D1" s="11"/>
      <c r="E1" s="1"/>
      <c r="F1" s="14"/>
      <c r="G1" s="1"/>
      <c r="H1" s="1"/>
      <c r="I1" s="54"/>
      <c r="J1" s="43"/>
      <c r="K1" s="44"/>
      <c r="L1" s="44"/>
      <c r="M1" s="44"/>
      <c r="N1" s="44"/>
      <c r="O1" s="44"/>
      <c r="P1" s="21"/>
      <c r="Q1" s="21"/>
    </row>
    <row r="2" spans="1:17" ht="35.25" customHeight="1" thickBot="1" x14ac:dyDescent="0.3">
      <c r="A2" s="19" t="s">
        <v>15</v>
      </c>
      <c r="B2" s="53"/>
      <c r="C2" s="47" t="s">
        <v>22</v>
      </c>
      <c r="D2" s="48"/>
      <c r="E2" s="57" t="s">
        <v>23</v>
      </c>
      <c r="F2" s="57"/>
      <c r="G2" s="57" t="s">
        <v>24</v>
      </c>
      <c r="H2" s="57"/>
      <c r="I2" s="55"/>
      <c r="J2" s="45" t="s">
        <v>27</v>
      </c>
      <c r="K2" s="46"/>
      <c r="L2" s="49" t="s">
        <v>28</v>
      </c>
      <c r="M2" s="49"/>
      <c r="N2" s="49" t="s">
        <v>29</v>
      </c>
      <c r="O2" s="49"/>
      <c r="P2" s="10"/>
      <c r="Q2" s="10"/>
    </row>
    <row r="3" spans="1:17" ht="44.25" customHeight="1" x14ac:dyDescent="0.25">
      <c r="A3" s="2" t="s">
        <v>0</v>
      </c>
      <c r="B3" s="5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5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53"/>
      <c r="C4" s="18">
        <v>22342913</v>
      </c>
      <c r="D4" s="50">
        <f>IF((C5-C4&lt;0), "",C5-C4)</f>
        <v>7975</v>
      </c>
      <c r="E4" s="18">
        <v>23837512</v>
      </c>
      <c r="F4" s="51">
        <f>IF((E5-E4&lt;0), "",E5-E4)</f>
        <v>5799</v>
      </c>
      <c r="G4" s="18">
        <v>9975816</v>
      </c>
      <c r="H4" s="50">
        <f>IF((G5-G4&lt;0), "",G5-G4)</f>
        <v>3477</v>
      </c>
      <c r="I4" s="55"/>
      <c r="J4" s="18"/>
      <c r="K4" s="50">
        <v>0</v>
      </c>
      <c r="L4" s="18"/>
      <c r="M4" s="50">
        <v>0</v>
      </c>
      <c r="N4" s="18">
        <v>75776</v>
      </c>
      <c r="O4" s="50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53"/>
      <c r="C5" s="18">
        <v>22350888</v>
      </c>
      <c r="D5" s="50"/>
      <c r="E5" s="18">
        <v>23843311</v>
      </c>
      <c r="F5" s="52"/>
      <c r="G5" s="18">
        <v>9979293</v>
      </c>
      <c r="H5" s="50"/>
      <c r="I5" s="55"/>
      <c r="J5" s="18">
        <v>0</v>
      </c>
      <c r="K5" s="50"/>
      <c r="L5" s="18">
        <v>0</v>
      </c>
      <c r="M5" s="50"/>
      <c r="N5" s="18">
        <v>75809</v>
      </c>
      <c r="O5" s="50"/>
      <c r="P5" s="23"/>
      <c r="Q5" s="23"/>
    </row>
    <row r="6" spans="1:17" ht="45" customHeight="1" x14ac:dyDescent="0.3">
      <c r="A6" s="7">
        <v>43557</v>
      </c>
      <c r="B6" s="5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5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5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5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5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5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5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5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5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5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5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5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5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5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5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5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5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5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5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5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5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5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5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5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5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5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5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5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5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5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5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5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5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5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5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5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5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5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5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5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5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5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5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5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5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5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5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5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5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5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5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5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5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5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2023-02-10T17:07:22Z</dcterms:modified>
</cp:coreProperties>
</file>