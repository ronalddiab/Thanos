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F15" i="3"/>
  <c r="F14" i="3" l="1"/>
  <c r="E14" i="3"/>
  <c r="E13" i="3"/>
  <c r="F13" i="3" l="1"/>
  <c r="E12" i="3"/>
  <c r="F12" i="3" l="1"/>
  <c r="E11" i="3"/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K12" i="3" s="1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M12" i="3" s="1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N12" i="3" s="1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O11" i="3" s="1"/>
  <c r="AA20" i="4"/>
  <c r="O12" i="3" s="1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P12" i="3" s="1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Q11" i="3" s="1"/>
  <c r="AG20" i="4"/>
  <c r="Q12" i="3" s="1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R12" i="3" s="1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S11" i="3" s="1"/>
  <c r="AM20" i="4"/>
  <c r="S12" i="3" s="1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T12" i="3" s="1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U11" i="3" s="1"/>
  <c r="AS20" i="4"/>
  <c r="U12" i="3" s="1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V12" i="3" s="1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W11" i="3" s="1"/>
  <c r="AZ20" i="4"/>
  <c r="W12" i="3" s="1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X12" i="3" s="1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Y11" i="3" s="1"/>
  <c r="BF20" i="4"/>
  <c r="Y12" i="3" s="1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AF11" i="3" s="1"/>
  <c r="CC20" i="4"/>
  <c r="AF12" i="3" s="1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AI7" i="3" s="1"/>
  <c r="CI16" i="4"/>
  <c r="CI17" i="4"/>
  <c r="CI18" i="4"/>
  <c r="CI19" i="4"/>
  <c r="AI11" i="3" s="1"/>
  <c r="CI20" i="4"/>
  <c r="AI12" i="3" s="1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Z5" i="3" s="1"/>
  <c r="CK14" i="4"/>
  <c r="CK15" i="4"/>
  <c r="CK16" i="4"/>
  <c r="CK17" i="4"/>
  <c r="CK18" i="4"/>
  <c r="CK19" i="4"/>
  <c r="Z11" i="3" s="1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AA8" i="3" s="1"/>
  <c r="CN17" i="4"/>
  <c r="CN18" i="4"/>
  <c r="CN19" i="4"/>
  <c r="CN20" i="4"/>
  <c r="AA12" i="3" s="1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AB5" i="3" s="1"/>
  <c r="CQ14" i="4"/>
  <c r="CQ15" i="4"/>
  <c r="CQ16" i="4"/>
  <c r="CQ17" i="4"/>
  <c r="CQ18" i="4"/>
  <c r="CQ19" i="4"/>
  <c r="AB11" i="3" s="1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AC8" i="3" s="1"/>
  <c r="CT17" i="4"/>
  <c r="CT18" i="4"/>
  <c r="CT19" i="4"/>
  <c r="CT20" i="4"/>
  <c r="AC12" i="3" s="1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AK6" i="3" s="1"/>
  <c r="CW15" i="4"/>
  <c r="CW16" i="4"/>
  <c r="CW17" i="4"/>
  <c r="CW18" i="4"/>
  <c r="CW19" i="4"/>
  <c r="CW20" i="4"/>
  <c r="AK12" i="3" s="1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AJ9" i="3" s="1"/>
  <c r="CY18" i="4"/>
  <c r="AJ10" i="3" s="1"/>
  <c r="CY19" i="4"/>
  <c r="CY20" i="4"/>
  <c r="AJ12" i="3" s="1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AM7" i="3" s="1"/>
  <c r="DA16" i="4"/>
  <c r="AM8" i="3" s="1"/>
  <c r="DA17" i="4"/>
  <c r="DA18" i="4"/>
  <c r="DA19" i="4"/>
  <c r="DA20" i="4"/>
  <c r="AM12" i="3" s="1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AL5" i="3" s="1"/>
  <c r="DC14" i="4"/>
  <c r="AL6" i="3" s="1"/>
  <c r="DC15" i="4"/>
  <c r="DC16" i="4"/>
  <c r="DC17" i="4"/>
  <c r="DC18" i="4"/>
  <c r="DC19" i="4"/>
  <c r="AL11" i="3" s="1"/>
  <c r="DC20" i="4"/>
  <c r="AL12" i="3" s="1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DE16" i="4"/>
  <c r="DE17" i="4"/>
  <c r="AO9" i="3" s="1"/>
  <c r="DE18" i="4"/>
  <c r="AO10" i="3" s="1"/>
  <c r="DE19" i="4"/>
  <c r="DE20" i="4"/>
  <c r="AO12" i="3" s="1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AN7" i="3" s="1"/>
  <c r="DG16" i="4"/>
  <c r="AN8" i="3" s="1"/>
  <c r="DG17" i="4"/>
  <c r="DG18" i="4"/>
  <c r="DG19" i="4"/>
  <c r="DG20" i="4"/>
  <c r="AN12" i="3" s="1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AQ5" i="3" s="1"/>
  <c r="DI14" i="4"/>
  <c r="AQ6" i="3" s="1"/>
  <c r="DI15" i="4"/>
  <c r="DI16" i="4"/>
  <c r="DI17" i="4"/>
  <c r="DI18" i="4"/>
  <c r="DI19" i="4"/>
  <c r="AQ11" i="3" s="1"/>
  <c r="DI20" i="4"/>
  <c r="AQ12" i="3" s="1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AP9" i="3" s="1"/>
  <c r="DK18" i="4"/>
  <c r="DK19" i="4"/>
  <c r="DK20" i="4"/>
  <c r="AP12" i="3" s="1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AS7" i="3" s="1"/>
  <c r="DM16" i="4"/>
  <c r="DM17" i="4"/>
  <c r="DM18" i="4"/>
  <c r="DM19" i="4"/>
  <c r="DM20" i="4"/>
  <c r="AS12" i="3" s="1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AR5" i="3" s="1"/>
  <c r="DO14" i="4"/>
  <c r="DO15" i="4"/>
  <c r="DO16" i="4"/>
  <c r="DO17" i="4"/>
  <c r="DO18" i="4"/>
  <c r="DO19" i="4"/>
  <c r="AR11" i="3" s="1"/>
  <c r="DO20" i="4"/>
  <c r="AR12" i="3" s="1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AT9" i="3" s="1"/>
  <c r="DQ18" i="4"/>
  <c r="DQ19" i="4"/>
  <c r="DQ20" i="4"/>
  <c r="AT12" i="3" s="1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AU7" i="3" s="1"/>
  <c r="DT16" i="4"/>
  <c r="DT17" i="4"/>
  <c r="DT18" i="4"/>
  <c r="DT19" i="4"/>
  <c r="DT20" i="4"/>
  <c r="AU12" i="3" s="1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AW9" i="3" s="1"/>
  <c r="DX18" i="4"/>
  <c r="DX19" i="4"/>
  <c r="DX20" i="4"/>
  <c r="AW12" i="3" s="1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AX7" i="3" s="1"/>
  <c r="DZ16" i="4"/>
  <c r="DZ17" i="4"/>
  <c r="DZ18" i="4"/>
  <c r="DZ19" i="4"/>
  <c r="DZ20" i="4"/>
  <c r="AX12" i="3" s="1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AY5" i="3" s="1"/>
  <c r="EB14" i="4"/>
  <c r="EB15" i="4"/>
  <c r="EB16" i="4"/>
  <c r="EB17" i="4"/>
  <c r="EB18" i="4"/>
  <c r="EB19" i="4"/>
  <c r="AY11" i="3" s="1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AZ9" i="3" s="1"/>
  <c r="ED18" i="4"/>
  <c r="ED19" i="4"/>
  <c r="ED20" i="4"/>
  <c r="AZ12" i="3" s="1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BA7" i="3" s="1"/>
  <c r="EG16" i="4"/>
  <c r="EG17" i="4"/>
  <c r="EG18" i="4"/>
  <c r="EG19" i="4"/>
  <c r="EG20" i="4"/>
  <c r="BA12" i="3" s="1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BB11" i="3" s="1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BD12" i="3" s="1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BE12" i="3" s="1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BF11" i="3" s="1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BC9" i="3" s="1"/>
  <c r="EQ18" i="4"/>
  <c r="EQ19" i="4"/>
  <c r="EQ20" i="4"/>
  <c r="BC12" i="3" s="1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BG7" i="3" s="1"/>
  <c r="ET16" i="4"/>
  <c r="ET17" i="4"/>
  <c r="ET18" i="4"/>
  <c r="ET19" i="4"/>
  <c r="ET20" i="4"/>
  <c r="BG12" i="3" s="1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BH11" i="3" s="1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BJ9" i="3" s="1"/>
  <c r="EX18" i="4"/>
  <c r="EX19" i="4"/>
  <c r="EX20" i="4"/>
  <c r="BJ12" i="3" s="1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BI7" i="3" s="1"/>
  <c r="EZ16" i="4"/>
  <c r="EZ17" i="4"/>
  <c r="EZ18" i="4"/>
  <c r="EZ19" i="4"/>
  <c r="EZ20" i="4"/>
  <c r="BI12" i="3" s="1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BK11" i="3" s="1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J11" i="3" l="1"/>
  <c r="BC11" i="3"/>
  <c r="BD11" i="3"/>
  <c r="AZ11" i="3"/>
  <c r="AW11" i="3"/>
  <c r="AT11" i="3"/>
  <c r="AP11" i="3"/>
  <c r="AO11" i="3"/>
  <c r="AJ11" i="3"/>
  <c r="AB12" i="3"/>
  <c r="Z12" i="3"/>
  <c r="AG12" i="3"/>
  <c r="AD12" i="3"/>
  <c r="X11" i="3"/>
  <c r="V11" i="3"/>
  <c r="T11" i="3"/>
  <c r="R11" i="3"/>
  <c r="P11" i="3"/>
  <c r="N11" i="3"/>
  <c r="BK12" i="3"/>
  <c r="BH12" i="3"/>
  <c r="BF12" i="3"/>
  <c r="BB12" i="3"/>
  <c r="AY12" i="3"/>
  <c r="AH9" i="3"/>
  <c r="AG11" i="3"/>
  <c r="AG5" i="3"/>
  <c r="AF7" i="3"/>
  <c r="AE9" i="3"/>
  <c r="AD11" i="3"/>
  <c r="AD5" i="3"/>
  <c r="Y7" i="3"/>
  <c r="X10" i="3"/>
  <c r="W7" i="3"/>
  <c r="V10" i="3"/>
  <c r="U7" i="3"/>
  <c r="T10" i="3"/>
  <c r="S7" i="3"/>
  <c r="R10" i="3"/>
  <c r="Q7" i="3"/>
  <c r="P10" i="3"/>
  <c r="O7" i="3"/>
  <c r="N10" i="3"/>
  <c r="M7" i="3"/>
  <c r="K11" i="3"/>
  <c r="M11" i="3"/>
  <c r="BI11" i="3"/>
  <c r="BG11" i="3"/>
  <c r="BE11" i="3"/>
  <c r="BA11" i="3"/>
  <c r="AX11" i="3"/>
  <c r="AU11" i="3"/>
  <c r="AS11" i="3"/>
  <c r="AN11" i="3"/>
  <c r="AH12" i="3"/>
  <c r="AE12" i="3"/>
  <c r="L12" i="3"/>
  <c r="AT10" i="3"/>
  <c r="AP10" i="3"/>
  <c r="L9" i="3"/>
  <c r="K6" i="3"/>
  <c r="AK11" i="3"/>
  <c r="AK5" i="3"/>
  <c r="AC7" i="3"/>
  <c r="AB10" i="3"/>
  <c r="AA7" i="3"/>
  <c r="Z10" i="3"/>
  <c r="Z4" i="3"/>
  <c r="AI6" i="3"/>
  <c r="AH8" i="3"/>
  <c r="AG10" i="3"/>
  <c r="AG4" i="3"/>
  <c r="AM11" i="3"/>
  <c r="AC11" i="3"/>
  <c r="AA11" i="3"/>
  <c r="AH11" i="3"/>
  <c r="AE11" i="3"/>
  <c r="L11" i="3"/>
  <c r="BI9" i="3"/>
  <c r="BG9" i="3"/>
  <c r="BE9" i="3"/>
  <c r="BA9" i="3"/>
  <c r="AX9" i="3"/>
  <c r="AU9" i="3"/>
  <c r="AS9" i="3"/>
  <c r="AN9" i="3"/>
  <c r="AM9" i="3"/>
  <c r="AC9" i="3"/>
  <c r="AA9" i="3"/>
  <c r="AI8" i="3"/>
  <c r="AH10" i="3"/>
  <c r="AF8" i="3"/>
  <c r="AE10" i="3"/>
  <c r="Y8" i="3"/>
  <c r="W8" i="3"/>
  <c r="U8" i="3"/>
  <c r="S8" i="3"/>
  <c r="Q8" i="3"/>
  <c r="M8" i="3"/>
  <c r="L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B8" i="3"/>
  <c r="AA5" i="3"/>
  <c r="Z8" i="3"/>
  <c r="AI10" i="3"/>
  <c r="AH6" i="3"/>
  <c r="AG8" i="3"/>
  <c r="AF10" i="3"/>
  <c r="AE6" i="3"/>
  <c r="AD8" i="3"/>
  <c r="Y10" i="3"/>
  <c r="X7" i="3"/>
  <c r="W10" i="3"/>
  <c r="V7" i="3"/>
  <c r="U10" i="3"/>
  <c r="T7" i="3"/>
  <c r="S10" i="3"/>
  <c r="R7" i="3"/>
  <c r="Q10" i="3"/>
  <c r="P7" i="3"/>
  <c r="O10" i="3"/>
  <c r="N7" i="3"/>
  <c r="M10" i="3"/>
  <c r="L6" i="3"/>
  <c r="K9" i="3"/>
  <c r="BJ10" i="3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H12" i="3" s="1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H11" i="3" l="1"/>
  <c r="I12" i="3"/>
  <c r="J12" i="3"/>
  <c r="G12" i="3"/>
  <c r="G11" i="3"/>
  <c r="I11" i="3"/>
  <c r="J11" i="3"/>
  <c r="G10" i="3"/>
  <c r="H8" i="3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<sst xmlns="http://schemas.openxmlformats.org/spreadsheetml/2006/main" count="412" uniqueCount="203">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</sst>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F23">
            <v>-76340</v>
          </cell>
          <cell r="G23">
            <v>453</v>
          </cell>
          <cell r="I23">
            <v>-132351</v>
          </cell>
          <cell r="J23">
            <v>367</v>
          </cell>
          <cell r="L23">
            <v>-164625</v>
          </cell>
          <cell r="O23">
            <v>-835489</v>
          </cell>
          <cell r="R23">
            <v>-194492</v>
          </cell>
          <cell r="V23">
            <v>-60465.14</v>
          </cell>
          <cell r="W23">
            <v>28</v>
          </cell>
          <cell r="Y23">
            <v>-4706</v>
          </cell>
          <cell r="AF23">
            <v>-7418302.0800000001</v>
          </cell>
          <cell r="AG23">
            <v>1802.6399999996647</v>
          </cell>
          <cell r="AI23">
            <v>-14197495.199999999</v>
          </cell>
          <cell r="AJ23">
            <v>4336.0800000000745</v>
          </cell>
          <cell r="AL23">
            <v>-13962031.439999999</v>
          </cell>
          <cell r="AM23">
            <v>194.88000000081956</v>
          </cell>
          <cell r="AO23">
            <v>-16993487.280000001</v>
          </cell>
          <cell r="AP23">
            <v>8769.6000000014901</v>
          </cell>
          <cell r="AR23">
            <v>-17412820.32</v>
          </cell>
          <cell r="AS23">
            <v>438.48000000230968</v>
          </cell>
          <cell r="AU23">
            <v>-16022107.919999998</v>
          </cell>
          <cell r="AV23">
            <v>4774.5600000023842</v>
          </cell>
          <cell r="AX23">
            <v>-13573392</v>
          </cell>
          <cell r="AY23">
            <v>3946.3199999984354</v>
          </cell>
          <cell r="BB23">
            <v>3946.3199999984354</v>
          </cell>
          <cell r="BD23">
            <v>-10388078.4</v>
          </cell>
          <cell r="BE23">
            <v>2630.8800000008196</v>
          </cell>
          <cell r="BG23">
            <v>-16181324.880000001</v>
          </cell>
          <cell r="BH23">
            <v>5895.1200000010431</v>
          </cell>
          <cell r="BN23">
            <v>-69258000</v>
          </cell>
          <cell r="BO23">
            <v>0</v>
          </cell>
          <cell r="BQ23">
            <v>-71746500</v>
          </cell>
          <cell r="BR23">
            <v>44700</v>
          </cell>
          <cell r="BT23">
            <v>-66458900</v>
          </cell>
          <cell r="BU23">
            <v>0</v>
          </cell>
          <cell r="BW23">
            <v>-8251060</v>
          </cell>
          <cell r="BZ23">
            <v>0.67</v>
          </cell>
          <cell r="CA23">
            <v>6.9999999999999951E-2</v>
          </cell>
          <cell r="CC23">
            <v>-58829</v>
          </cell>
          <cell r="CE23">
            <v>-50345</v>
          </cell>
          <cell r="CG23">
            <v>-17220</v>
          </cell>
          <cell r="CI23">
            <v>-23070</v>
          </cell>
          <cell r="CK23">
            <v>-25179</v>
          </cell>
          <cell r="CM23">
            <v>-55848</v>
          </cell>
          <cell r="CO23">
            <v>-243941</v>
          </cell>
          <cell r="CP23">
            <v>93</v>
          </cell>
          <cell r="CR23">
            <v>-191266</v>
          </cell>
          <cell r="CS23">
            <v>98</v>
          </cell>
          <cell r="CU23">
            <v>-344706</v>
          </cell>
          <cell r="CV23">
            <v>266</v>
          </cell>
          <cell r="CX23">
            <v>-642026</v>
          </cell>
          <cell r="DA23">
            <v>-7233</v>
          </cell>
          <cell r="DC23">
            <v>-4622</v>
          </cell>
          <cell r="DE23">
            <v>-28503</v>
          </cell>
          <cell r="DG23">
            <v>-29108</v>
          </cell>
          <cell r="DI23">
            <v>-19535</v>
          </cell>
          <cell r="DK23">
            <v>-22543</v>
          </cell>
          <cell r="DM23">
            <v>-4345</v>
          </cell>
          <cell r="DO23">
            <v>-7781</v>
          </cell>
          <cell r="DQ23">
            <v>-2237</v>
          </cell>
          <cell r="DS23">
            <v>-4268</v>
          </cell>
          <cell r="DU23">
            <v>-26945</v>
          </cell>
          <cell r="DX23">
            <v>-3955.2</v>
          </cell>
          <cell r="DZ23">
            <v>-8908.4</v>
          </cell>
          <cell r="EB23">
            <v>-2994.6</v>
          </cell>
          <cell r="ED23">
            <v>-3154</v>
          </cell>
          <cell r="EF23">
            <v>-925079</v>
          </cell>
          <cell r="EJ23">
            <v>-190942.4</v>
          </cell>
          <cell r="EM23">
            <v>-10673600</v>
          </cell>
          <cell r="EO23">
            <v>-851300</v>
          </cell>
          <cell r="EQ23">
            <v>-6459500</v>
          </cell>
          <cell r="ES23">
            <v>-2279500</v>
          </cell>
          <cell r="EU23">
            <v>-1056600</v>
          </cell>
          <cell r="EW23">
            <v>-14522800</v>
          </cell>
          <cell r="EZ23">
            <v>-38863</v>
          </cell>
          <cell r="FB23">
            <v>-33659</v>
          </cell>
          <cell r="FD23">
            <v>-4756</v>
          </cell>
          <cell r="FF23">
            <v>-55851</v>
          </cell>
          <cell r="FH23">
            <v>-40728</v>
          </cell>
        </row>
        <row r="24">
          <cell r="F24">
            <v>0</v>
          </cell>
          <cell r="G24">
            <v>436</v>
          </cell>
          <cell r="I24">
            <v>0</v>
          </cell>
          <cell r="J24">
            <v>382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26</v>
          </cell>
          <cell r="Y24">
            <v>0</v>
          </cell>
          <cell r="AF24">
            <v>0</v>
          </cell>
          <cell r="AG24">
            <v>1851.3600000003353</v>
          </cell>
          <cell r="AI24">
            <v>0</v>
          </cell>
          <cell r="AJ24">
            <v>4482.2399999983609</v>
          </cell>
          <cell r="AL24">
            <v>0</v>
          </cell>
          <cell r="AM24">
            <v>194.87999999895692</v>
          </cell>
          <cell r="AO24">
            <v>0</v>
          </cell>
          <cell r="AP24">
            <v>8672.1599999982864</v>
          </cell>
          <cell r="AR24">
            <v>0</v>
          </cell>
          <cell r="AS24">
            <v>925.67999999970198</v>
          </cell>
          <cell r="AU24">
            <v>0</v>
          </cell>
          <cell r="AV24">
            <v>4872</v>
          </cell>
          <cell r="AX24">
            <v>0</v>
          </cell>
          <cell r="AY24">
            <v>4043.7599999997765</v>
          </cell>
          <cell r="BB24">
            <v>4092.4800000023097</v>
          </cell>
          <cell r="BD24">
            <v>0</v>
          </cell>
          <cell r="BE24">
            <v>2874.4799999985844</v>
          </cell>
          <cell r="BG24">
            <v>0</v>
          </cell>
          <cell r="BH24">
            <v>5943.839999999851</v>
          </cell>
          <cell r="BN24">
            <v>0</v>
          </cell>
          <cell r="BO24">
            <v>0</v>
          </cell>
          <cell r="BQ24">
            <v>0</v>
          </cell>
          <cell r="BR24">
            <v>43200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-1.9999999999999907E-2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91</v>
          </cell>
          <cell r="CR24">
            <v>0</v>
          </cell>
          <cell r="CS24">
            <v>94</v>
          </cell>
          <cell r="CU24">
            <v>0</v>
          </cell>
          <cell r="CV24">
            <v>253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444</v>
          </cell>
          <cell r="I25">
            <v>0</v>
          </cell>
          <cell r="J25">
            <v>378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28</v>
          </cell>
          <cell r="Y25">
            <v>0</v>
          </cell>
          <cell r="AF25">
            <v>0</v>
          </cell>
          <cell r="AG25">
            <v>1753.9199999999255</v>
          </cell>
          <cell r="AI25">
            <v>0</v>
          </cell>
          <cell r="AJ25">
            <v>4287.3600000012666</v>
          </cell>
          <cell r="AL25">
            <v>0</v>
          </cell>
          <cell r="AM25">
            <v>194.88000000081956</v>
          </cell>
          <cell r="AO25">
            <v>0</v>
          </cell>
          <cell r="AP25">
            <v>8574.7200000006706</v>
          </cell>
          <cell r="AR25">
            <v>0</v>
          </cell>
          <cell r="AS25">
            <v>0</v>
          </cell>
          <cell r="AU25">
            <v>0</v>
          </cell>
          <cell r="AV25">
            <v>4628.4000000003725</v>
          </cell>
          <cell r="AX25">
            <v>0</v>
          </cell>
          <cell r="AY25">
            <v>3995.0400000009686</v>
          </cell>
          <cell r="BB25">
            <v>3848.8799999989569</v>
          </cell>
          <cell r="BD25">
            <v>0</v>
          </cell>
          <cell r="BE25">
            <v>2777.0400000009686</v>
          </cell>
          <cell r="BG25">
            <v>0</v>
          </cell>
          <cell r="BH25">
            <v>5895.1199999991804</v>
          </cell>
          <cell r="BN25">
            <v>0</v>
          </cell>
          <cell r="BO25">
            <v>0</v>
          </cell>
          <cell r="BQ25">
            <v>0</v>
          </cell>
          <cell r="BR25">
            <v>44600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95</v>
          </cell>
          <cell r="CU25">
            <v>0</v>
          </cell>
          <cell r="CV25">
            <v>229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3" sqref="I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1"/>
        <v>3.6730769230769229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1"/>
        <v>3.6730769230769229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Submetering!Z12+Submetering!AA12+Submetering!AB12</f>
        <v>699.3</v>
      </c>
      <c r="H12" s="237">
        <f t="shared" si="1"/>
        <v>3.6730769230769229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825.93</v>
      </c>
      <c r="H13" s="237">
        <f t="shared" si="1"/>
        <v>3.6730769230769229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Submetering!Z14+Submetering!AA14+Submetering!AB14</f>
        <v>678.51</v>
      </c>
      <c r="H14" s="237">
        <f t="shared" si="1"/>
        <v>3.6730769230769229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394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0" sqref="M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F15" s="79">
        <f>360+34</f>
        <v>394</v>
      </c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510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76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382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443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428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366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41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510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76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382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443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428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366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41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510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76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382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443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428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366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41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510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76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382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443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428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366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41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510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76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382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443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428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366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41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510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76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382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443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428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366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41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510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76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382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443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428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366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41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510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76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382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443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428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366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41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510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76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382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443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428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366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41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510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76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382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443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428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366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41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-76340</v>
      </c>
      <c r="E23" s="168">
        <f>'[1]March - 2022'!G23</f>
        <v>453</v>
      </c>
      <c r="F23" s="168">
        <f>'[1]March - 2022'!H23</f>
        <v>0</v>
      </c>
      <c r="G23" s="169">
        <f>'[1]March - 2022'!I23</f>
        <v>-132351</v>
      </c>
      <c r="H23" s="168">
        <f>'[1]March - 2022'!J23</f>
        <v>367</v>
      </c>
      <c r="I23" s="168">
        <f>'[1]March - 2022'!K23</f>
        <v>0</v>
      </c>
      <c r="J23" s="169">
        <f>'[1]March - 2022'!L23</f>
        <v>-164625</v>
      </c>
      <c r="K23" s="168">
        <f>'[1]March - 2022'!N23</f>
        <v>0</v>
      </c>
      <c r="L23" s="169">
        <f>'[1]March - 2022'!O23</f>
        <v>-835489</v>
      </c>
      <c r="M23" s="168">
        <f>'[1]March - 2022'!Q23</f>
        <v>0</v>
      </c>
      <c r="N23" s="169">
        <f>'[1]March - 2022'!R23</f>
        <v>-194492</v>
      </c>
      <c r="O23" s="261">
        <f>'[1]March - 2022'!U23</f>
        <v>0</v>
      </c>
      <c r="P23" s="169">
        <f>'[1]March - 2022'!V23</f>
        <v>-60465.14</v>
      </c>
      <c r="Q23" s="168">
        <f>'[1]March - 2022'!W23</f>
        <v>28</v>
      </c>
      <c r="R23" s="261">
        <f>'[1]March - 2022'!X23</f>
        <v>0</v>
      </c>
      <c r="S23" s="207">
        <f>'[1]March - 2022'!Y23</f>
        <v>-4706</v>
      </c>
      <c r="T23" s="510"/>
      <c r="U23" s="266">
        <f>'[1]March - 2022'!AE23</f>
        <v>0</v>
      </c>
      <c r="V23" s="287">
        <f>'[1]March - 2022'!AF23</f>
        <v>-7418302.0800000001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-14197495.199999999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-13962031.439999999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-16993487.280000001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-17412820.32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-16022107.919999998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-13573392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-10388078.4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-10388078.4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-16181324.880000001</v>
      </c>
      <c r="AX23" s="252">
        <f>'[1]March - 2022'!BH23</f>
        <v>5895.1200000010431</v>
      </c>
      <c r="AY23" s="476"/>
      <c r="AZ23" s="269">
        <f>'[1]March - 2022'!BM23</f>
        <v>0</v>
      </c>
      <c r="BA23" s="178">
        <f>'[1]March - 2022'!BN23</f>
        <v>-69258000</v>
      </c>
      <c r="BB23" s="93">
        <f>'[1]March - 2022'!BO23</f>
        <v>0</v>
      </c>
      <c r="BC23" s="269">
        <f>'[1]March - 2022'!BP23</f>
        <v>0</v>
      </c>
      <c r="BD23" s="244">
        <f>'[1]March - 2022'!BQ23</f>
        <v>-71746500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-66458900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-8251060</v>
      </c>
      <c r="BU23" s="382"/>
      <c r="BV23" s="88">
        <f>'[1]March - 2022'!BY23</f>
        <v>0</v>
      </c>
      <c r="BW23" s="240">
        <f>'[1]March - 2022'!BZ23</f>
        <v>0.67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-58829</v>
      </c>
      <c r="CA23" s="89">
        <f>'[1]March - 2022'!CD23</f>
        <v>0</v>
      </c>
      <c r="CB23" s="190">
        <f>'[1]March - 2022'!CE23</f>
        <v>-50345</v>
      </c>
      <c r="CC23" s="89">
        <f>'[1]March - 2022'!CF23</f>
        <v>0</v>
      </c>
      <c r="CD23" s="190">
        <f>'[1]March - 2022'!CG23</f>
        <v>-17220</v>
      </c>
      <c r="CE23" s="89">
        <f>'[1]March - 2022'!CH23</f>
        <v>0</v>
      </c>
      <c r="CF23" s="190">
        <f>'[1]March - 2022'!CI23</f>
        <v>-23070</v>
      </c>
      <c r="CG23" s="89">
        <f>'[1]March - 2022'!CJ23</f>
        <v>0</v>
      </c>
      <c r="CH23" s="190">
        <f>'[1]March - 2022'!CK23</f>
        <v>-25179</v>
      </c>
      <c r="CI23" s="89">
        <f>'[1]March - 2022'!CL23</f>
        <v>0</v>
      </c>
      <c r="CJ23" s="190">
        <f>'[1]March - 2022'!CM23</f>
        <v>-55848</v>
      </c>
      <c r="CK23" s="89">
        <f>'[1]March - 2022'!CN23</f>
        <v>0</v>
      </c>
      <c r="CL23" s="245">
        <f>'[1]March - 2022'!CO23</f>
        <v>-243941</v>
      </c>
      <c r="CM23" s="89">
        <f>'[1]March - 2022'!CP23</f>
        <v>93</v>
      </c>
      <c r="CN23" s="89">
        <f>'[1]March - 2022'!CQ23</f>
        <v>0</v>
      </c>
      <c r="CO23" s="245">
        <f>'[1]March - 2022'!CR23</f>
        <v>-191266</v>
      </c>
      <c r="CP23" s="89">
        <f>'[1]March - 2022'!CS23</f>
        <v>98</v>
      </c>
      <c r="CQ23" s="89">
        <f>'[1]March - 2022'!CT23</f>
        <v>0</v>
      </c>
      <c r="CR23" s="245">
        <f>'[1]March - 2022'!CU23</f>
        <v>-344706</v>
      </c>
      <c r="CS23" s="89">
        <f>'[1]March - 2022'!CV23</f>
        <v>266</v>
      </c>
      <c r="CT23" s="89">
        <f>'[1]March - 2022'!CW23</f>
        <v>0</v>
      </c>
      <c r="CU23" s="190">
        <f>'[1]March - 2022'!CX23</f>
        <v>-642026</v>
      </c>
      <c r="CV23" s="443"/>
      <c r="CW23" s="284">
        <f>'[1]March - 2022'!CZ23</f>
        <v>0</v>
      </c>
      <c r="CX23" s="197">
        <f>'[1]March - 2022'!DA23</f>
        <v>-7233</v>
      </c>
      <c r="CY23" s="285">
        <f>'[1]March - 2022'!DB23</f>
        <v>0</v>
      </c>
      <c r="CZ23" s="197">
        <f>'[1]March - 2022'!DC23</f>
        <v>-4622</v>
      </c>
      <c r="DA23" s="285">
        <f>'[1]March - 2022'!DD23</f>
        <v>0</v>
      </c>
      <c r="DB23" s="197">
        <f>'[1]March - 2022'!DE23</f>
        <v>-28503</v>
      </c>
      <c r="DC23" s="285">
        <f>'[1]March - 2022'!DF23</f>
        <v>0</v>
      </c>
      <c r="DD23" s="197">
        <f>'[1]March - 2022'!DG23</f>
        <v>-29108</v>
      </c>
      <c r="DE23" s="285">
        <f>'[1]March - 2022'!DH23</f>
        <v>0</v>
      </c>
      <c r="DF23" s="197">
        <f>'[1]March - 2022'!DI23</f>
        <v>-19535</v>
      </c>
      <c r="DG23" s="285">
        <f>'[1]March - 2022'!DJ23</f>
        <v>0</v>
      </c>
      <c r="DH23" s="197">
        <f>'[1]March - 2022'!DK23</f>
        <v>-22543</v>
      </c>
      <c r="DI23" s="285">
        <f>'[1]March - 2022'!DL23</f>
        <v>0</v>
      </c>
      <c r="DJ23" s="197">
        <f>'[1]March - 2022'!DM23</f>
        <v>-4345</v>
      </c>
      <c r="DK23" s="285">
        <f>'[1]March - 2022'!DN23</f>
        <v>0</v>
      </c>
      <c r="DL23" s="197">
        <f>'[1]March - 2022'!DO23</f>
        <v>-7781</v>
      </c>
      <c r="DM23" s="285">
        <f>'[1]March - 2022'!DP23</f>
        <v>0</v>
      </c>
      <c r="DN23" s="197">
        <f>'[1]March - 2022'!DQ23</f>
        <v>-2237</v>
      </c>
      <c r="DO23" s="285">
        <f>'[1]March - 2022'!DR23</f>
        <v>0</v>
      </c>
      <c r="DP23" s="197">
        <f>'[1]March - 2022'!DS23</f>
        <v>-4268</v>
      </c>
      <c r="DQ23" s="285">
        <f>'[1]March - 2022'!DT23</f>
        <v>0</v>
      </c>
      <c r="DR23" s="205">
        <f>'[1]March - 2022'!DU23</f>
        <v>-26945</v>
      </c>
      <c r="DS23" s="428"/>
      <c r="DT23" s="209">
        <f>'[1]March - 2022'!DW23</f>
        <v>0</v>
      </c>
      <c r="DU23" s="220">
        <f>'[1]March - 2022'!DX23</f>
        <v>-3955.2</v>
      </c>
      <c r="DV23" s="91">
        <f>'[1]March - 2022'!DY23</f>
        <v>0</v>
      </c>
      <c r="DW23" s="214">
        <f>'[1]March - 2022'!DZ23</f>
        <v>-8908.4</v>
      </c>
      <c r="DX23" s="91">
        <f>'[1]March - 2022'!EA23</f>
        <v>0</v>
      </c>
      <c r="DY23" s="214">
        <f>'[1]March - 2022'!EB23</f>
        <v>-2994.6</v>
      </c>
      <c r="DZ23" s="91">
        <f>'[1]March - 2022'!EC23</f>
        <v>0</v>
      </c>
      <c r="EA23" s="214">
        <f>'[1]March - 2022'!ED23</f>
        <v>-3154</v>
      </c>
      <c r="EB23" s="91">
        <f>'[1]March - 2022'!EE23</f>
        <v>0</v>
      </c>
      <c r="EC23" s="214">
        <f>'[1]March - 2022'!EF23</f>
        <v>-925079</v>
      </c>
      <c r="ED23" s="91">
        <f>'[1]March - 2022'!EI23</f>
        <v>0</v>
      </c>
      <c r="EE23" s="228">
        <f>'[1]March - 2022'!EJ23</f>
        <v>-190942.4</v>
      </c>
      <c r="EF23" s="366"/>
      <c r="EG23" s="234">
        <f>'[1]March - 2022'!EL23</f>
        <v>0</v>
      </c>
      <c r="EH23" s="229">
        <f>'[1]March - 2022'!EM23</f>
        <v>-10673600</v>
      </c>
      <c r="EI23" s="90">
        <f>'[1]March - 2022'!EN23</f>
        <v>0</v>
      </c>
      <c r="EJ23" s="229">
        <f>'[1]March - 2022'!EO23</f>
        <v>-851300</v>
      </c>
      <c r="EK23" s="90">
        <f>'[1]March - 2022'!EP23</f>
        <v>0</v>
      </c>
      <c r="EL23" s="229">
        <f>'[1]March - 2022'!EQ23</f>
        <v>-6459500</v>
      </c>
      <c r="EM23" s="90">
        <f>'[1]March - 2022'!ER23</f>
        <v>0</v>
      </c>
      <c r="EN23" s="229">
        <f>'[1]March - 2022'!ES23</f>
        <v>-2279500</v>
      </c>
      <c r="EO23" s="90">
        <f>'[1]March - 2022'!ET23</f>
        <v>0</v>
      </c>
      <c r="EP23" s="229">
        <f>'[1]March - 2022'!EU23</f>
        <v>-1056600</v>
      </c>
      <c r="EQ23" s="90">
        <f>'[1]March - 2022'!EV23</f>
        <v>0</v>
      </c>
      <c r="ER23" s="229">
        <f>'[1]March - 2022'!EW23</f>
        <v>-14522800</v>
      </c>
      <c r="ES23" s="414"/>
      <c r="ET23" s="278">
        <f>'[1]March - 2022'!EY23</f>
        <v>0</v>
      </c>
      <c r="EU23" s="272">
        <f>'[1]March - 2022'!EZ23</f>
        <v>-38863</v>
      </c>
      <c r="EV23" s="279">
        <f>'[1]March - 2022'!FA23</f>
        <v>0</v>
      </c>
      <c r="EW23" s="272">
        <f>'[1]March - 2022'!FB23</f>
        <v>-33659</v>
      </c>
      <c r="EX23" s="279">
        <f>'[1]March - 2022'!FC23</f>
        <v>0</v>
      </c>
      <c r="EY23" s="272">
        <f>'[1]March - 2022'!FD23</f>
        <v>-4756</v>
      </c>
      <c r="EZ23" s="279">
        <f>'[1]March - 2022'!FE23</f>
        <v>0</v>
      </c>
      <c r="FA23" s="272">
        <f>'[1]March - 2022'!FF23</f>
        <v>-55851</v>
      </c>
      <c r="FB23" s="279">
        <f>'[1]March - 2022'!FG23</f>
        <v>0</v>
      </c>
      <c r="FC23" s="273">
        <f>'[1]March - 2022'!FH23</f>
        <v>-40728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510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76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382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443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428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366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41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510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76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382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443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428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366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41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510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76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382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443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428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366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41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510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76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382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443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428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366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41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510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76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382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443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428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366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41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510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76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382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443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428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366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41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510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76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382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443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428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366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41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510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76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382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443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428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366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41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510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76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382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443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428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366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41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510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76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382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443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428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366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41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510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76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382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443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428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366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41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510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76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382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443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428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366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41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510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76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382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443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428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366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41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510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76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382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443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428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366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41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510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76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382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443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428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366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41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510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76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383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443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428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366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41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443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428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366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416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-67675</v>
      </c>
      <c r="D45" s="348"/>
      <c r="E45" s="349"/>
      <c r="F45" s="348">
        <f>SUM(G9:G24)</f>
        <v>-126373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-59180.43</v>
      </c>
      <c r="P45" s="348"/>
      <c r="Q45" s="349"/>
      <c r="R45" s="354"/>
      <c r="S45" s="355"/>
      <c r="T45" s="516"/>
      <c r="U45" s="339">
        <f>SUM(V9:V24)</f>
        <v>-7385026.3200000003</v>
      </c>
      <c r="V45" s="339"/>
      <c r="W45" s="340"/>
      <c r="X45" s="339">
        <f>SUM(Y9:Y24)</f>
        <v>-14135474.640000001</v>
      </c>
      <c r="Y45" s="339"/>
      <c r="Z45" s="340"/>
      <c r="AA45" s="339">
        <f>SUM(AB9:AB24)</f>
        <v>-13909754.880000001</v>
      </c>
      <c r="AB45" s="339"/>
      <c r="AC45" s="340"/>
      <c r="AD45" s="339">
        <f>SUM(AE9:AE24)</f>
        <v>-16967032.32</v>
      </c>
      <c r="AE45" s="339"/>
      <c r="AF45" s="340"/>
      <c r="AG45" s="339">
        <f>SUM(AH9:AH24)</f>
        <v>-17352212.639999997</v>
      </c>
      <c r="AH45" s="339"/>
      <c r="AI45" s="340"/>
      <c r="AJ45" s="339">
        <f>SUM(AK9:AK24)</f>
        <v>-15947907.359999999</v>
      </c>
      <c r="AK45" s="339"/>
      <c r="AL45" s="340"/>
      <c r="AM45" s="339">
        <f>SUM(AN9:AN24)</f>
        <v>-13518484.559999999</v>
      </c>
      <c r="AN45" s="339"/>
      <c r="AO45" s="340"/>
      <c r="AP45" s="339">
        <f>SUM(AQ9:AQ24)</f>
        <v>-10345399.68</v>
      </c>
      <c r="AQ45" s="339"/>
      <c r="AR45" s="340"/>
      <c r="AS45" s="339">
        <f>SUM(AT9:AT24)</f>
        <v>-10347251.040000001</v>
      </c>
      <c r="AT45" s="339"/>
      <c r="AU45" s="340"/>
      <c r="AV45" s="339">
        <f>SUM(AW9:AW24)</f>
        <v>-16105029.360000001</v>
      </c>
      <c r="AW45" s="339"/>
      <c r="AX45" s="339"/>
      <c r="AY45" s="574"/>
      <c r="AZ45" s="340">
        <f>SUM(BA9:BA24)</f>
        <v>-69009400</v>
      </c>
      <c r="BA45" s="346"/>
      <c r="BB45" s="346"/>
      <c r="BC45" s="346">
        <f>SUM(BD9:BD24)</f>
        <v>-71613900</v>
      </c>
      <c r="BD45" s="346"/>
      <c r="BE45" s="346"/>
      <c r="BF45" s="346">
        <f>SUM(BG9:BG24)</f>
        <v>-66152700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-242638</v>
      </c>
      <c r="CL45" s="346"/>
      <c r="CM45" s="346"/>
      <c r="CN45" s="346">
        <f>SUM(CO9:CO24)</f>
        <v>-189745</v>
      </c>
      <c r="CO45" s="346"/>
      <c r="CP45" s="346"/>
      <c r="CQ45" s="346">
        <f>SUM(CR9:CR24)</f>
        <v>-342319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69325700</v>
      </c>
      <c r="BA46" s="345"/>
      <c r="BB46" s="345"/>
      <c r="BC46" s="344">
        <f>BC45-BC44</f>
        <v>-71749700</v>
      </c>
      <c r="BD46" s="345"/>
      <c r="BE46" s="345"/>
      <c r="BF46" s="344">
        <f>BF45-BF44</f>
        <v>-66391400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-68225</v>
      </c>
      <c r="D48" s="566"/>
      <c r="E48" s="567"/>
      <c r="F48" s="565">
        <f>SUM(G9:G39)</f>
        <v>-126373</v>
      </c>
      <c r="G48" s="566"/>
      <c r="H48" s="567"/>
      <c r="I48" s="565">
        <f>SUM(J10:J39)</f>
        <v>-164625</v>
      </c>
      <c r="J48" s="567"/>
      <c r="K48" s="565">
        <f>SUM(L9:L39)</f>
        <v>-832518</v>
      </c>
      <c r="L48" s="567"/>
      <c r="M48" s="565"/>
      <c r="N48" s="567"/>
      <c r="O48" s="565">
        <f>SUM(P9:P39)</f>
        <v>-59180.43</v>
      </c>
      <c r="P48" s="566"/>
      <c r="Q48" s="567"/>
      <c r="R48" s="565">
        <f>SUM(S9:S39)</f>
        <v>-4524</v>
      </c>
      <c r="S48" s="566"/>
      <c r="T48" s="575"/>
      <c r="U48" s="576">
        <f>SUM(V9:V39)</f>
        <v>-7385026.3200000003</v>
      </c>
      <c r="V48" s="577"/>
      <c r="W48" s="578"/>
      <c r="X48" s="576">
        <f>SUM(Y9:Y39)</f>
        <v>-14135474.640000001</v>
      </c>
      <c r="Y48" s="577"/>
      <c r="Z48" s="578"/>
      <c r="AA48" s="328">
        <f>SUM(AB9:AB39)</f>
        <v>-13909754.880000001</v>
      </c>
      <c r="AB48" s="329"/>
      <c r="AC48" s="330"/>
      <c r="AD48" s="328">
        <f>SUM(AE9:AE39)</f>
        <v>-16967032.32</v>
      </c>
      <c r="AE48" s="329"/>
      <c r="AF48" s="330"/>
      <c r="AG48" s="328">
        <f>SUM(AH9:AH39)</f>
        <v>-17352212.639999997</v>
      </c>
      <c r="AH48" s="329"/>
      <c r="AI48" s="330"/>
      <c r="AJ48" s="328">
        <f>SUM(AK9:AK39)</f>
        <v>-15947907.359999999</v>
      </c>
      <c r="AK48" s="329"/>
      <c r="AL48" s="330"/>
      <c r="AM48" s="328">
        <f>SUM(AN9:AN39)</f>
        <v>-13518484.559999999</v>
      </c>
      <c r="AN48" s="329"/>
      <c r="AO48" s="330"/>
      <c r="AP48" s="328">
        <f>SUM(AQ9:AQ39)</f>
        <v>-10345399.68</v>
      </c>
      <c r="AQ48" s="329"/>
      <c r="AR48" s="330"/>
      <c r="AS48" s="328">
        <f>SUM(AT9:AT39)</f>
        <v>-10347251.040000001</v>
      </c>
      <c r="AT48" s="329"/>
      <c r="AU48" s="330"/>
      <c r="AV48" s="328">
        <f>SUM(AW9:AW39)</f>
        <v>-16105029.360000001</v>
      </c>
      <c r="AW48" s="329"/>
      <c r="AX48" s="329"/>
      <c r="AY48" s="574"/>
      <c r="AZ48" s="324">
        <f>SUM(BA9:BA40)</f>
        <v>-69009400</v>
      </c>
      <c r="BA48" s="324"/>
      <c r="BB48" s="325"/>
      <c r="BC48" s="324">
        <f t="shared" ref="BC48" si="0">SUM(BD9:BD40)</f>
        <v>-71613900</v>
      </c>
      <c r="BD48" s="324"/>
      <c r="BE48" s="325"/>
      <c r="BF48" s="324">
        <f t="shared" ref="BF48" si="1">SUM(BG9:BG40)</f>
        <v>-66152700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-8170760</v>
      </c>
      <c r="BT48" s="331"/>
      <c r="BU48" s="555"/>
      <c r="BV48" s="341"/>
      <c r="BW48" s="342"/>
      <c r="BX48" s="117"/>
      <c r="BY48" s="336">
        <f>SUM(BZ9:BZ39)</f>
        <v>-58604</v>
      </c>
      <c r="BZ48" s="337"/>
      <c r="CA48" s="336">
        <f>SUM(CB9:CB39)</f>
        <v>-50104</v>
      </c>
      <c r="CB48" s="337"/>
      <c r="CC48" s="336">
        <f>SUM(CD9:CD39)</f>
        <v>-17144</v>
      </c>
      <c r="CD48" s="337"/>
      <c r="CE48" s="336">
        <f>SUM(CF9:CF39)</f>
        <v>-22942</v>
      </c>
      <c r="CF48" s="337"/>
      <c r="CG48" s="336">
        <f>SUM(CH9:CH39)</f>
        <v>-25009</v>
      </c>
      <c r="CH48" s="337"/>
      <c r="CI48" s="336">
        <f>SUM(CJ9:CJ39)</f>
        <v>-55485</v>
      </c>
      <c r="CJ48" s="337"/>
      <c r="CK48" s="336">
        <f>SUM(CL9:CL39)</f>
        <v>-242638</v>
      </c>
      <c r="CL48" s="343"/>
      <c r="CM48" s="337"/>
      <c r="CN48" s="336">
        <f>SUM(CO9:CO39)</f>
        <v>-189745</v>
      </c>
      <c r="CO48" s="343"/>
      <c r="CP48" s="337"/>
      <c r="CQ48" s="336">
        <f>SUM(CR9:CR39)</f>
        <v>-342319</v>
      </c>
      <c r="CR48" s="343"/>
      <c r="CS48" s="337"/>
      <c r="CT48" s="336">
        <f>SUM(CU9:CU39)</f>
        <v>-639149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82541</v>
      </c>
      <c r="D49" s="292"/>
      <c r="E49" s="293"/>
      <c r="F49" s="291">
        <f>F47-F48</f>
        <v>137702.12</v>
      </c>
      <c r="G49" s="292"/>
      <c r="H49" s="293"/>
      <c r="I49" s="291">
        <f>I47-I48</f>
        <v>171673.9</v>
      </c>
      <c r="J49" s="293"/>
      <c r="K49" s="291">
        <f>K47-K48</f>
        <v>840220.2</v>
      </c>
      <c r="L49" s="293"/>
      <c r="M49" s="291"/>
      <c r="N49" s="293"/>
      <c r="O49" s="579">
        <f>O47-O48</f>
        <v>-83275.690000000031</v>
      </c>
      <c r="P49" s="579"/>
      <c r="Q49" s="579"/>
      <c r="R49" s="291">
        <f>R47-R48</f>
        <v>5000</v>
      </c>
      <c r="S49" s="292"/>
      <c r="T49" s="575"/>
      <c r="U49" s="288">
        <f>U48-U47</f>
        <v>-7457229.3600000003</v>
      </c>
      <c r="V49" s="289"/>
      <c r="W49" s="581"/>
      <c r="X49" s="288">
        <f>X47-X48</f>
        <v>14266872.48</v>
      </c>
      <c r="Y49" s="289"/>
      <c r="Z49" s="581"/>
      <c r="AA49" s="288">
        <f>AA47-AA48</f>
        <v>14008120.560000002</v>
      </c>
      <c r="AB49" s="289"/>
      <c r="AC49" s="581"/>
      <c r="AD49" s="288">
        <f>AD47-AD48</f>
        <v>17046640.799999997</v>
      </c>
      <c r="AE49" s="289"/>
      <c r="AF49" s="581"/>
      <c r="AG49" s="288">
        <f>AG47-AG48</f>
        <v>17479323.119999997</v>
      </c>
      <c r="AH49" s="289"/>
      <c r="AI49" s="581"/>
      <c r="AJ49" s="288">
        <f>AJ47-AJ48</f>
        <v>16094310.959999999</v>
      </c>
      <c r="AK49" s="289"/>
      <c r="AL49" s="581"/>
      <c r="AM49" s="288">
        <f>AM47-AM48</f>
        <v>13642866.719999999</v>
      </c>
      <c r="AN49" s="289"/>
      <c r="AO49" s="581"/>
      <c r="AP49" s="288">
        <f>AP47-AP48</f>
        <v>10463935.439999999</v>
      </c>
      <c r="AQ49" s="289"/>
      <c r="AR49" s="581"/>
      <c r="AS49" s="288">
        <f>AS47-AS48</f>
        <v>10434752.160000002</v>
      </c>
      <c r="AT49" s="289"/>
      <c r="AU49" s="581"/>
      <c r="AV49" s="288">
        <f>AV47-AV48</f>
        <v>16286024.160000002</v>
      </c>
      <c r="AW49" s="289"/>
      <c r="AX49" s="289"/>
      <c r="AY49" s="574"/>
      <c r="AZ49" s="324">
        <f>AZ48-AZ47</f>
        <v>-69356700</v>
      </c>
      <c r="BA49" s="324"/>
      <c r="BB49" s="325"/>
      <c r="BC49" s="324">
        <f t="shared" ref="BC49" si="2">BC48-BC47</f>
        <v>-71975000</v>
      </c>
      <c r="BD49" s="324"/>
      <c r="BE49" s="325"/>
      <c r="BF49" s="324">
        <f t="shared" ref="BF49" si="3">BF48-BF47</f>
        <v>-66711542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245452.15</v>
      </c>
      <c r="CL49" s="582"/>
      <c r="CM49" s="583"/>
      <c r="CN49" s="295">
        <f>CN47-CN48</f>
        <v>192645.88</v>
      </c>
      <c r="CO49" s="582"/>
      <c r="CP49" s="583"/>
      <c r="CQ49" s="295">
        <f>CQ47-CQ48</f>
        <v>348866.92000000004</v>
      </c>
      <c r="CR49" s="582"/>
      <c r="CS49" s="583"/>
      <c r="CT49" s="294">
        <f>CT47-CT48</f>
        <v>643043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-136013572.80000001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137180075.76000002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-136013572.80000001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136568201.28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-206776000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2022-03-14T07:47:38Z</dcterms:modified>
</cp:coreProperties>
</file>