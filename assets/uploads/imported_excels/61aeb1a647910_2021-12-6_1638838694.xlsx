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omar.saber\Desktop\"/>
    </mc:Choice>
  </mc:AlternateContent>
  <bookViews>
    <workbookView xWindow="0" yWindow="0" windowWidth="28800" windowHeight="14100" tabRatio="599"/>
  </bookViews>
  <sheets>
    <sheet name="TOTAL" sheetId="9" r:id="rId1"/>
    <sheet name="Submetering" sheetId="8" r:id="rId2"/>
    <sheet name="Mall, Citadel, Rotana" sheetId="2" r:id="rId3"/>
    <sheet name="ELECT." sheetId="4" r:id="rId4"/>
    <sheet name="Water" sheetId="3" r:id="rId5"/>
    <sheet name="Gas" sheetId="5" r:id="rId6"/>
    <sheet name="BTU" sheetId="1" r:id="rId7"/>
    <sheet name="Energy Monthly Statement" sheetId="11" r:id="rId8"/>
    <sheet name="Plaza and residential" sheetId="10" r:id="rId9"/>
  </sheets>
  <definedNames>
    <definedName name="_xlnm.Print_Area" localSheetId="5">Gas!$A$1:$C$31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" i="3" l="1"/>
  <c r="E5" i="3"/>
  <c r="E6" i="3"/>
  <c r="E3" i="3"/>
  <c r="K5" i="4" l="1"/>
  <c r="K4" i="4"/>
  <c r="K3" i="4"/>
  <c r="K7" i="4" l="1"/>
  <c r="K6" i="4"/>
  <c r="R3" i="1"/>
  <c r="S3" i="1" s="1"/>
  <c r="O3" i="1"/>
  <c r="P3" i="1" s="1"/>
  <c r="L3" i="1"/>
  <c r="M3" i="1" s="1"/>
  <c r="I3" i="1"/>
  <c r="J3" i="1" s="1"/>
  <c r="F3" i="1"/>
  <c r="G3" i="1" s="1"/>
  <c r="C3" i="1"/>
  <c r="D3" i="1" s="1"/>
  <c r="K8" i="4" l="1"/>
  <c r="J9" i="4"/>
  <c r="T3" i="1"/>
  <c r="U3" i="1" s="1"/>
  <c r="D3" i="4"/>
  <c r="X32" i="8"/>
  <c r="Q32" i="8"/>
  <c r="P32" i="8"/>
  <c r="O32" i="8"/>
  <c r="N32" i="8"/>
  <c r="B32" i="8"/>
  <c r="K32" i="9"/>
  <c r="B32" i="9"/>
  <c r="AF9" i="1"/>
  <c r="AF10" i="1" s="1"/>
  <c r="AF11" i="1" s="1"/>
  <c r="AF12" i="1" s="1"/>
  <c r="AF13" i="1" s="1"/>
  <c r="AF14" i="1" s="1"/>
  <c r="AF15" i="1" s="1"/>
  <c r="AF16" i="1" s="1"/>
  <c r="AF17" i="1" s="1"/>
  <c r="AF18" i="1" s="1"/>
  <c r="AF19" i="1" s="1"/>
  <c r="AF20" i="1" s="1"/>
  <c r="AF21" i="1" s="1"/>
  <c r="AF22" i="1" s="1"/>
  <c r="AF23" i="1" s="1"/>
  <c r="AF24" i="1" s="1"/>
  <c r="AF25" i="1" s="1"/>
  <c r="AF26" i="1" s="1"/>
  <c r="AF27" i="1" s="1"/>
  <c r="AF28" i="1" s="1"/>
  <c r="AF29" i="1" s="1"/>
  <c r="AF30" i="1" s="1"/>
  <c r="AF31" i="1" s="1"/>
  <c r="AF32" i="1" s="1"/>
  <c r="AF33" i="1" s="1"/>
  <c r="AG33" i="1" s="1"/>
  <c r="AD8" i="1"/>
  <c r="AD9" i="1" s="1"/>
  <c r="AD10" i="1" s="1"/>
  <c r="AD11" i="1" s="1"/>
  <c r="AD12" i="1" s="1"/>
  <c r="AD13" i="1" s="1"/>
  <c r="AD14" i="1" s="1"/>
  <c r="AD15" i="1" s="1"/>
  <c r="AD16" i="1" s="1"/>
  <c r="AD17" i="1" s="1"/>
  <c r="AD18" i="1" s="1"/>
  <c r="AD19" i="1" s="1"/>
  <c r="AD20" i="1" s="1"/>
  <c r="AD21" i="1" s="1"/>
  <c r="AD22" i="1" s="1"/>
  <c r="AD23" i="1" s="1"/>
  <c r="AD24" i="1" s="1"/>
  <c r="AD25" i="1" s="1"/>
  <c r="AD26" i="1" s="1"/>
  <c r="AD27" i="1" s="1"/>
  <c r="AD28" i="1" s="1"/>
  <c r="AD29" i="1" s="1"/>
  <c r="AD30" i="1" s="1"/>
  <c r="AD31" i="1" s="1"/>
  <c r="AD32" i="1" s="1"/>
  <c r="AD33" i="1" s="1"/>
  <c r="AE33" i="1" s="1"/>
  <c r="AB5" i="1"/>
  <c r="AB9" i="1"/>
  <c r="AB10" i="1" s="1"/>
  <c r="AB11" i="1" s="1"/>
  <c r="AB12" i="1" s="1"/>
  <c r="AB13" i="1" s="1"/>
  <c r="AB14" i="1" s="1"/>
  <c r="AB15" i="1" s="1"/>
  <c r="AB16" i="1" s="1"/>
  <c r="AB17" i="1" s="1"/>
  <c r="AB18" i="1" s="1"/>
  <c r="AB19" i="1" s="1"/>
  <c r="AB20" i="1" s="1"/>
  <c r="AB21" i="1" s="1"/>
  <c r="AB22" i="1" s="1"/>
  <c r="AB23" i="1" s="1"/>
  <c r="AB24" i="1" s="1"/>
  <c r="AB25" i="1" s="1"/>
  <c r="AB26" i="1" s="1"/>
  <c r="AB27" i="1" s="1"/>
  <c r="AB28" i="1" s="1"/>
  <c r="AB29" i="1" s="1"/>
  <c r="AB30" i="1" s="1"/>
  <c r="AB31" i="1" s="1"/>
  <c r="AB32" i="1" s="1"/>
  <c r="AB33" i="1" s="1"/>
  <c r="Z9" i="1"/>
  <c r="Z10" i="1" s="1"/>
  <c r="Z11" i="1" s="1"/>
  <c r="Z12" i="1" s="1"/>
  <c r="Z13" i="1" s="1"/>
  <c r="Z14" i="1" s="1"/>
  <c r="Z15" i="1" s="1"/>
  <c r="Z16" i="1" s="1"/>
  <c r="Z17" i="1" s="1"/>
  <c r="Z18" i="1" s="1"/>
  <c r="Z19" i="1" s="1"/>
  <c r="Z20" i="1" s="1"/>
  <c r="Z21" i="1" s="1"/>
  <c r="Z22" i="1" s="1"/>
  <c r="Z23" i="1" s="1"/>
  <c r="Z24" i="1" s="1"/>
  <c r="Z25" i="1" s="1"/>
  <c r="Z26" i="1" s="1"/>
  <c r="Z27" i="1" s="1"/>
  <c r="Z28" i="1" s="1"/>
  <c r="Z29" i="1" s="1"/>
  <c r="Z30" i="1" s="1"/>
  <c r="Z31" i="1" s="1"/>
  <c r="Z32" i="1" s="1"/>
  <c r="Z33" i="1" s="1"/>
  <c r="AA33" i="1" s="1"/>
  <c r="X9" i="1"/>
  <c r="X10" i="1" s="1"/>
  <c r="X11" i="1" s="1"/>
  <c r="X12" i="1" s="1"/>
  <c r="X13" i="1" s="1"/>
  <c r="X14" i="1" s="1"/>
  <c r="X15" i="1" s="1"/>
  <c r="X16" i="1" s="1"/>
  <c r="X17" i="1" s="1"/>
  <c r="X18" i="1" s="1"/>
  <c r="X19" i="1" s="1"/>
  <c r="X20" i="1" s="1"/>
  <c r="X21" i="1" s="1"/>
  <c r="X22" i="1" s="1"/>
  <c r="X23" i="1" s="1"/>
  <c r="X24" i="1" s="1"/>
  <c r="X25" i="1" s="1"/>
  <c r="X26" i="1" s="1"/>
  <c r="X27" i="1" s="1"/>
  <c r="X28" i="1" s="1"/>
  <c r="X29" i="1" s="1"/>
  <c r="X30" i="1" s="1"/>
  <c r="X31" i="1" s="1"/>
  <c r="X32" i="1" s="1"/>
  <c r="X33" i="1" s="1"/>
  <c r="Y33" i="1" s="1"/>
  <c r="Q9" i="1"/>
  <c r="Q10" i="1" s="1"/>
  <c r="Q11" i="1" s="1"/>
  <c r="Q12" i="1" s="1"/>
  <c r="Q13" i="1" s="1"/>
  <c r="Q14" i="1" s="1"/>
  <c r="Q15" i="1" s="1"/>
  <c r="Q16" i="1" s="1"/>
  <c r="Q17" i="1" s="1"/>
  <c r="Q18" i="1" s="1"/>
  <c r="Q19" i="1" s="1"/>
  <c r="Q20" i="1" s="1"/>
  <c r="Q21" i="1" s="1"/>
  <c r="Q22" i="1" s="1"/>
  <c r="Q23" i="1" s="1"/>
  <c r="Q24" i="1" s="1"/>
  <c r="Q25" i="1" s="1"/>
  <c r="Q26" i="1" s="1"/>
  <c r="Q27" i="1" s="1"/>
  <c r="Q28" i="1" s="1"/>
  <c r="Q29" i="1" s="1"/>
  <c r="Q30" i="1" s="1"/>
  <c r="Q31" i="1" s="1"/>
  <c r="Q32" i="1" s="1"/>
  <c r="Q33" i="1" s="1"/>
  <c r="R33" i="1" s="1"/>
  <c r="S33" i="1" s="1"/>
  <c r="N9" i="1"/>
  <c r="N10" i="1" s="1"/>
  <c r="N11" i="1" s="1"/>
  <c r="N12" i="1" s="1"/>
  <c r="N13" i="1" s="1"/>
  <c r="N14" i="1" s="1"/>
  <c r="N15" i="1" s="1"/>
  <c r="N16" i="1" s="1"/>
  <c r="N17" i="1" s="1"/>
  <c r="N18" i="1" s="1"/>
  <c r="N19" i="1" s="1"/>
  <c r="N20" i="1" s="1"/>
  <c r="N21" i="1" s="1"/>
  <c r="N22" i="1" s="1"/>
  <c r="N23" i="1" s="1"/>
  <c r="N24" i="1" s="1"/>
  <c r="N25" i="1" s="1"/>
  <c r="N26" i="1" s="1"/>
  <c r="N27" i="1" s="1"/>
  <c r="N28" i="1" s="1"/>
  <c r="N29" i="1" s="1"/>
  <c r="N30" i="1" s="1"/>
  <c r="N31" i="1" s="1"/>
  <c r="N32" i="1" s="1"/>
  <c r="N33" i="1" s="1"/>
  <c r="O34" i="1" s="1"/>
  <c r="K9" i="1"/>
  <c r="K10" i="1" s="1"/>
  <c r="K11" i="1" s="1"/>
  <c r="K12" i="1" s="1"/>
  <c r="K13" i="1" s="1"/>
  <c r="K14" i="1" s="1"/>
  <c r="K15" i="1" s="1"/>
  <c r="K16" i="1" s="1"/>
  <c r="K17" i="1" s="1"/>
  <c r="K18" i="1" s="1"/>
  <c r="K19" i="1" s="1"/>
  <c r="K20" i="1" s="1"/>
  <c r="K21" i="1" s="1"/>
  <c r="K22" i="1" s="1"/>
  <c r="K23" i="1" s="1"/>
  <c r="K24" i="1" s="1"/>
  <c r="K25" i="1" s="1"/>
  <c r="K26" i="1" s="1"/>
  <c r="K27" i="1" s="1"/>
  <c r="K28" i="1" s="1"/>
  <c r="K29" i="1" s="1"/>
  <c r="K30" i="1" s="1"/>
  <c r="K31" i="1" s="1"/>
  <c r="K32" i="1" s="1"/>
  <c r="K33" i="1" s="1"/>
  <c r="L33" i="1" s="1"/>
  <c r="H9" i="1"/>
  <c r="H10" i="1" s="1"/>
  <c r="H11" i="1" s="1"/>
  <c r="H12" i="1" s="1"/>
  <c r="H13" i="1" s="1"/>
  <c r="H14" i="1" s="1"/>
  <c r="H15" i="1" s="1"/>
  <c r="H16" i="1" s="1"/>
  <c r="H17" i="1" s="1"/>
  <c r="H18" i="1" s="1"/>
  <c r="H19" i="1" s="1"/>
  <c r="H20" i="1" s="1"/>
  <c r="H21" i="1" s="1"/>
  <c r="H22" i="1" s="1"/>
  <c r="H23" i="1" s="1"/>
  <c r="H24" i="1" s="1"/>
  <c r="H25" i="1" s="1"/>
  <c r="H26" i="1" s="1"/>
  <c r="H27" i="1" s="1"/>
  <c r="H28" i="1" s="1"/>
  <c r="H29" i="1" s="1"/>
  <c r="H30" i="1" s="1"/>
  <c r="H31" i="1" s="1"/>
  <c r="H32" i="1" s="1"/>
  <c r="H33" i="1" s="1"/>
  <c r="I33" i="1" s="1"/>
  <c r="E9" i="1"/>
  <c r="E10" i="1" s="1"/>
  <c r="E11" i="1" s="1"/>
  <c r="E12" i="1" s="1"/>
  <c r="E13" i="1" s="1"/>
  <c r="E14" i="1" s="1"/>
  <c r="E15" i="1" s="1"/>
  <c r="E16" i="1" s="1"/>
  <c r="E17" i="1" s="1"/>
  <c r="E18" i="1" s="1"/>
  <c r="E19" i="1" s="1"/>
  <c r="E20" i="1" s="1"/>
  <c r="E21" i="1" s="1"/>
  <c r="E22" i="1" s="1"/>
  <c r="E23" i="1" s="1"/>
  <c r="E24" i="1" s="1"/>
  <c r="E25" i="1" s="1"/>
  <c r="E26" i="1" s="1"/>
  <c r="E27" i="1" s="1"/>
  <c r="E28" i="1" s="1"/>
  <c r="E29" i="1" s="1"/>
  <c r="E30" i="1" s="1"/>
  <c r="E31" i="1" s="1"/>
  <c r="E32" i="1" s="1"/>
  <c r="E33" i="1" s="1"/>
  <c r="F33" i="1" s="1"/>
  <c r="G33" i="1" s="1"/>
  <c r="B9" i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C33" i="1" s="1"/>
  <c r="S2" i="1"/>
  <c r="P2" i="1"/>
  <c r="M2" i="1"/>
  <c r="J2" i="1"/>
  <c r="G2" i="1"/>
  <c r="D2" i="1"/>
  <c r="B9" i="5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B32" i="5" s="1"/>
  <c r="B33" i="5" s="1"/>
  <c r="C33" i="5" s="1"/>
  <c r="G32" i="9" s="1"/>
  <c r="J2" i="3"/>
  <c r="K2" i="3" s="1"/>
  <c r="H9" i="3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H33" i="3" s="1"/>
  <c r="I33" i="3" s="1"/>
  <c r="H32" i="8" s="1"/>
  <c r="F9" i="3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F33" i="3" s="1"/>
  <c r="G33" i="3" s="1"/>
  <c r="I32" i="8" s="1"/>
  <c r="B9" i="3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B33" i="3" s="1"/>
  <c r="C33" i="3" s="1"/>
  <c r="T9" i="2"/>
  <c r="T10" i="2" s="1"/>
  <c r="T11" i="2" s="1"/>
  <c r="T12" i="2" s="1"/>
  <c r="T13" i="2" s="1"/>
  <c r="T14" i="2" s="1"/>
  <c r="T15" i="2" s="1"/>
  <c r="T16" i="2" s="1"/>
  <c r="T17" i="2" s="1"/>
  <c r="T18" i="2" s="1"/>
  <c r="T19" i="2" s="1"/>
  <c r="T20" i="2" s="1"/>
  <c r="T21" i="2" s="1"/>
  <c r="T22" i="2" s="1"/>
  <c r="T23" i="2" s="1"/>
  <c r="T24" i="2" s="1"/>
  <c r="T25" i="2" s="1"/>
  <c r="T26" i="2" s="1"/>
  <c r="T27" i="2" s="1"/>
  <c r="T28" i="2" s="1"/>
  <c r="T29" i="2" s="1"/>
  <c r="T30" i="2" s="1"/>
  <c r="T31" i="2" s="1"/>
  <c r="T32" i="2" s="1"/>
  <c r="T33" i="2" s="1"/>
  <c r="U33" i="2" s="1"/>
  <c r="P7" i="2"/>
  <c r="P8" i="2" s="1"/>
  <c r="P9" i="2" s="1"/>
  <c r="P10" i="2" s="1"/>
  <c r="P11" i="2" s="1"/>
  <c r="P12" i="2" s="1"/>
  <c r="P13" i="2" s="1"/>
  <c r="P14" i="2" s="1"/>
  <c r="P15" i="2" s="1"/>
  <c r="P16" i="2" s="1"/>
  <c r="P17" i="2" s="1"/>
  <c r="P18" i="2" s="1"/>
  <c r="P19" i="2" s="1"/>
  <c r="P20" i="2" s="1"/>
  <c r="P21" i="2" s="1"/>
  <c r="P22" i="2" s="1"/>
  <c r="P23" i="2" s="1"/>
  <c r="P24" i="2" s="1"/>
  <c r="P25" i="2" s="1"/>
  <c r="P26" i="2" s="1"/>
  <c r="P27" i="2" s="1"/>
  <c r="P28" i="2" s="1"/>
  <c r="P29" i="2" s="1"/>
  <c r="P30" i="2" s="1"/>
  <c r="P31" i="2" s="1"/>
  <c r="P32" i="2" s="1"/>
  <c r="P33" i="2" s="1"/>
  <c r="Q33" i="2" s="1"/>
  <c r="AC32" i="8" s="1"/>
  <c r="N9" i="2"/>
  <c r="N10" i="2" s="1"/>
  <c r="N11" i="2" s="1"/>
  <c r="N12" i="2" s="1"/>
  <c r="N13" i="2" s="1"/>
  <c r="N14" i="2" s="1"/>
  <c r="N15" i="2" s="1"/>
  <c r="N16" i="2" s="1"/>
  <c r="N17" i="2" s="1"/>
  <c r="N18" i="2" s="1"/>
  <c r="N19" i="2" s="1"/>
  <c r="N20" i="2" s="1"/>
  <c r="N21" i="2" s="1"/>
  <c r="N22" i="2" s="1"/>
  <c r="N23" i="2" s="1"/>
  <c r="N24" i="2" s="1"/>
  <c r="N25" i="2" s="1"/>
  <c r="N26" i="2" s="1"/>
  <c r="N27" i="2" s="1"/>
  <c r="N28" i="2" s="1"/>
  <c r="N29" i="2" s="1"/>
  <c r="N30" i="2" s="1"/>
  <c r="N31" i="2" s="1"/>
  <c r="N32" i="2" s="1"/>
  <c r="N33" i="2" s="1"/>
  <c r="O33" i="2" s="1"/>
  <c r="AB32" i="8" s="1"/>
  <c r="L9" i="2"/>
  <c r="L10" i="2" s="1"/>
  <c r="L11" i="2" s="1"/>
  <c r="L12" i="2" s="1"/>
  <c r="L13" i="2" s="1"/>
  <c r="L14" i="2" s="1"/>
  <c r="L15" i="2" s="1"/>
  <c r="L16" i="2" s="1"/>
  <c r="L17" i="2" s="1"/>
  <c r="L18" i="2" s="1"/>
  <c r="L19" i="2" s="1"/>
  <c r="L20" i="2" s="1"/>
  <c r="L21" i="2" s="1"/>
  <c r="L22" i="2" s="1"/>
  <c r="L23" i="2" s="1"/>
  <c r="L24" i="2" s="1"/>
  <c r="L25" i="2" s="1"/>
  <c r="L26" i="2" s="1"/>
  <c r="L27" i="2" s="1"/>
  <c r="L28" i="2" s="1"/>
  <c r="L29" i="2" s="1"/>
  <c r="L30" i="2" s="1"/>
  <c r="L31" i="2" s="1"/>
  <c r="L32" i="2" s="1"/>
  <c r="L33" i="2" s="1"/>
  <c r="M33" i="2" s="1"/>
  <c r="AA32" i="8" s="1"/>
  <c r="H9" i="2"/>
  <c r="H10" i="2" s="1"/>
  <c r="H11" i="2" s="1"/>
  <c r="H12" i="2" s="1"/>
  <c r="H13" i="2" s="1"/>
  <c r="H14" i="2" s="1"/>
  <c r="H15" i="2" s="1"/>
  <c r="H16" i="2" s="1"/>
  <c r="H17" i="2" s="1"/>
  <c r="H18" i="2" s="1"/>
  <c r="H19" i="2" s="1"/>
  <c r="H20" i="2" s="1"/>
  <c r="H21" i="2" s="1"/>
  <c r="H22" i="2" s="1"/>
  <c r="H23" i="2" s="1"/>
  <c r="H24" i="2" s="1"/>
  <c r="H25" i="2" s="1"/>
  <c r="H26" i="2" s="1"/>
  <c r="H27" i="2" s="1"/>
  <c r="H28" i="2" s="1"/>
  <c r="H29" i="2" s="1"/>
  <c r="H30" i="2" s="1"/>
  <c r="H31" i="2" s="1"/>
  <c r="H32" i="2" s="1"/>
  <c r="H33" i="2" s="1"/>
  <c r="I33" i="2" s="1"/>
  <c r="F9" i="2"/>
  <c r="F10" i="2" s="1"/>
  <c r="F11" i="2" s="1"/>
  <c r="F12" i="2" s="1"/>
  <c r="F13" i="2" s="1"/>
  <c r="F14" i="2" s="1"/>
  <c r="F15" i="2" s="1"/>
  <c r="F16" i="2" s="1"/>
  <c r="F17" i="2" s="1"/>
  <c r="F18" i="2" s="1"/>
  <c r="F19" i="2" s="1"/>
  <c r="F20" i="2" s="1"/>
  <c r="F21" i="2" s="1"/>
  <c r="F22" i="2" s="1"/>
  <c r="F23" i="2" s="1"/>
  <c r="F24" i="2" s="1"/>
  <c r="F25" i="2" s="1"/>
  <c r="F26" i="2" s="1"/>
  <c r="F27" i="2" s="1"/>
  <c r="F28" i="2" s="1"/>
  <c r="F29" i="2" s="1"/>
  <c r="F30" i="2" s="1"/>
  <c r="F31" i="2" s="1"/>
  <c r="F32" i="2" s="1"/>
  <c r="F33" i="2" s="1"/>
  <c r="G33" i="2" s="1"/>
  <c r="D9" i="2"/>
  <c r="D10" i="2" s="1"/>
  <c r="D11" i="2" s="1"/>
  <c r="D12" i="2" s="1"/>
  <c r="D13" i="2" s="1"/>
  <c r="D14" i="2" s="1"/>
  <c r="D15" i="2" s="1"/>
  <c r="D16" i="2" s="1"/>
  <c r="D17" i="2" s="1"/>
  <c r="D18" i="2" s="1"/>
  <c r="D19" i="2" s="1"/>
  <c r="D20" i="2" s="1"/>
  <c r="D21" i="2" s="1"/>
  <c r="D22" i="2" s="1"/>
  <c r="D23" i="2" s="1"/>
  <c r="D24" i="2" s="1"/>
  <c r="D25" i="2" s="1"/>
  <c r="D26" i="2" s="1"/>
  <c r="D27" i="2" s="1"/>
  <c r="D28" i="2" s="1"/>
  <c r="D29" i="2" s="1"/>
  <c r="D30" i="2" s="1"/>
  <c r="D31" i="2" s="1"/>
  <c r="D32" i="2" s="1"/>
  <c r="D33" i="2" s="1"/>
  <c r="E33" i="2" s="1"/>
  <c r="B9" i="2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B33" i="2" s="1"/>
  <c r="C33" i="2" s="1"/>
  <c r="S34" i="2"/>
  <c r="K34" i="2"/>
  <c r="V9" i="4"/>
  <c r="V10" i="4" s="1"/>
  <c r="V11" i="4" s="1"/>
  <c r="V12" i="4" s="1"/>
  <c r="V13" i="4" s="1"/>
  <c r="V14" i="4" s="1"/>
  <c r="V15" i="4" s="1"/>
  <c r="V16" i="4" s="1"/>
  <c r="V17" i="4" s="1"/>
  <c r="V18" i="4" s="1"/>
  <c r="V19" i="4" s="1"/>
  <c r="V20" i="4" s="1"/>
  <c r="V21" i="4" s="1"/>
  <c r="V22" i="4" s="1"/>
  <c r="V23" i="4" s="1"/>
  <c r="V24" i="4" s="1"/>
  <c r="V25" i="4" s="1"/>
  <c r="V26" i="4" s="1"/>
  <c r="V27" i="4" s="1"/>
  <c r="V28" i="4" s="1"/>
  <c r="V29" i="4" s="1"/>
  <c r="V30" i="4" s="1"/>
  <c r="V31" i="4" s="1"/>
  <c r="V32" i="4" s="1"/>
  <c r="V33" i="4" s="1"/>
  <c r="W33" i="4" s="1"/>
  <c r="R9" i="4"/>
  <c r="R10" i="4" s="1"/>
  <c r="R11" i="4" s="1"/>
  <c r="R12" i="4" s="1"/>
  <c r="R13" i="4" s="1"/>
  <c r="R14" i="4" s="1"/>
  <c r="R15" i="4" s="1"/>
  <c r="R16" i="4" s="1"/>
  <c r="R17" i="4" s="1"/>
  <c r="R18" i="4" s="1"/>
  <c r="R19" i="4" s="1"/>
  <c r="R20" i="4" s="1"/>
  <c r="R21" i="4" s="1"/>
  <c r="R22" i="4" s="1"/>
  <c r="R23" i="4" s="1"/>
  <c r="R24" i="4" s="1"/>
  <c r="R25" i="4" s="1"/>
  <c r="R26" i="4" s="1"/>
  <c r="R27" i="4" s="1"/>
  <c r="R28" i="4" s="1"/>
  <c r="R29" i="4" s="1"/>
  <c r="R30" i="4" s="1"/>
  <c r="R31" i="4" s="1"/>
  <c r="R32" i="4" s="1"/>
  <c r="R33" i="4" s="1"/>
  <c r="S33" i="4" s="1"/>
  <c r="P9" i="4"/>
  <c r="P10" i="4" s="1"/>
  <c r="P11" i="4" s="1"/>
  <c r="P12" i="4" s="1"/>
  <c r="P13" i="4" s="1"/>
  <c r="P14" i="4" s="1"/>
  <c r="P15" i="4" s="1"/>
  <c r="P16" i="4" s="1"/>
  <c r="P17" i="4" s="1"/>
  <c r="P18" i="4" s="1"/>
  <c r="P19" i="4" s="1"/>
  <c r="P20" i="4" s="1"/>
  <c r="P21" i="4" s="1"/>
  <c r="P22" i="4" s="1"/>
  <c r="P23" i="4" s="1"/>
  <c r="P24" i="4" s="1"/>
  <c r="P25" i="4" s="1"/>
  <c r="P26" i="4" s="1"/>
  <c r="P27" i="4" s="1"/>
  <c r="P28" i="4" s="1"/>
  <c r="P29" i="4" s="1"/>
  <c r="P30" i="4" s="1"/>
  <c r="P31" i="4" s="1"/>
  <c r="P32" i="4" s="1"/>
  <c r="P33" i="4" s="1"/>
  <c r="Q33" i="4" s="1"/>
  <c r="N9" i="4"/>
  <c r="N10" i="4" s="1"/>
  <c r="N11" i="4" s="1"/>
  <c r="N12" i="4" s="1"/>
  <c r="N13" i="4" s="1"/>
  <c r="N14" i="4" s="1"/>
  <c r="N15" i="4" s="1"/>
  <c r="N16" i="4" s="1"/>
  <c r="N17" i="4" s="1"/>
  <c r="N18" i="4" s="1"/>
  <c r="N19" i="4" s="1"/>
  <c r="N20" i="4" s="1"/>
  <c r="N21" i="4" s="1"/>
  <c r="N22" i="4" s="1"/>
  <c r="N23" i="4" s="1"/>
  <c r="N24" i="4" s="1"/>
  <c r="N25" i="4" s="1"/>
  <c r="N26" i="4" s="1"/>
  <c r="N27" i="4" s="1"/>
  <c r="N28" i="4" s="1"/>
  <c r="N29" i="4" s="1"/>
  <c r="N30" i="4" s="1"/>
  <c r="N31" i="4" s="1"/>
  <c r="N32" i="4" s="1"/>
  <c r="N33" i="4" s="1"/>
  <c r="O33" i="4" s="1"/>
  <c r="L9" i="4"/>
  <c r="L10" i="4" s="1"/>
  <c r="L11" i="4" s="1"/>
  <c r="L12" i="4" s="1"/>
  <c r="L13" i="4" s="1"/>
  <c r="L14" i="4" s="1"/>
  <c r="L15" i="4" s="1"/>
  <c r="L16" i="4" s="1"/>
  <c r="L17" i="4" s="1"/>
  <c r="L18" i="4" s="1"/>
  <c r="L19" i="4" s="1"/>
  <c r="L20" i="4" s="1"/>
  <c r="L21" i="4" s="1"/>
  <c r="L22" i="4" s="1"/>
  <c r="L23" i="4" s="1"/>
  <c r="L24" i="4" s="1"/>
  <c r="L25" i="4" s="1"/>
  <c r="L26" i="4" s="1"/>
  <c r="L27" i="4" s="1"/>
  <c r="L28" i="4" s="1"/>
  <c r="L29" i="4" s="1"/>
  <c r="L30" i="4" s="1"/>
  <c r="L31" i="4" s="1"/>
  <c r="L32" i="4" s="1"/>
  <c r="L33" i="4" s="1"/>
  <c r="M33" i="4" s="1"/>
  <c r="G9" i="4"/>
  <c r="G10" i="4" s="1"/>
  <c r="G11" i="4" s="1"/>
  <c r="G12" i="4" s="1"/>
  <c r="G13" i="4" s="1"/>
  <c r="G14" i="4" s="1"/>
  <c r="G15" i="4" s="1"/>
  <c r="G16" i="4" s="1"/>
  <c r="G17" i="4" s="1"/>
  <c r="G18" i="4" s="1"/>
  <c r="G19" i="4" s="1"/>
  <c r="G20" i="4" s="1"/>
  <c r="G21" i="4" s="1"/>
  <c r="G22" i="4" s="1"/>
  <c r="G23" i="4" s="1"/>
  <c r="G24" i="4" s="1"/>
  <c r="G25" i="4" s="1"/>
  <c r="G26" i="4" s="1"/>
  <c r="G27" i="4" s="1"/>
  <c r="G28" i="4" s="1"/>
  <c r="G29" i="4" s="1"/>
  <c r="G30" i="4" s="1"/>
  <c r="G31" i="4" s="1"/>
  <c r="G32" i="4" s="1"/>
  <c r="G33" i="4" s="1"/>
  <c r="H33" i="4" s="1"/>
  <c r="J32" i="8" s="1"/>
  <c r="E9" i="4"/>
  <c r="E10" i="4" s="1"/>
  <c r="E11" i="4" s="1"/>
  <c r="E12" i="4" s="1"/>
  <c r="E13" i="4" s="1"/>
  <c r="E14" i="4" s="1"/>
  <c r="E15" i="4" s="1"/>
  <c r="E16" i="4" s="1"/>
  <c r="E17" i="4" s="1"/>
  <c r="E18" i="4" s="1"/>
  <c r="E19" i="4" s="1"/>
  <c r="E20" i="4" s="1"/>
  <c r="E21" i="4" s="1"/>
  <c r="E22" i="4" s="1"/>
  <c r="E23" i="4" s="1"/>
  <c r="E24" i="4" s="1"/>
  <c r="E25" i="4" s="1"/>
  <c r="E26" i="4" s="1"/>
  <c r="E27" i="4" s="1"/>
  <c r="E28" i="4" s="1"/>
  <c r="E29" i="4" s="1"/>
  <c r="E30" i="4" s="1"/>
  <c r="E31" i="4" s="1"/>
  <c r="E32" i="4" s="1"/>
  <c r="E33" i="4" s="1"/>
  <c r="F33" i="4" s="1"/>
  <c r="C9" i="4"/>
  <c r="C10" i="4" s="1"/>
  <c r="C11" i="4" s="1"/>
  <c r="C12" i="4" s="1"/>
  <c r="C13" i="4" s="1"/>
  <c r="C14" i="4" s="1"/>
  <c r="C15" i="4" s="1"/>
  <c r="C16" i="4" s="1"/>
  <c r="C17" i="4" s="1"/>
  <c r="C18" i="4" s="1"/>
  <c r="C19" i="4" s="1"/>
  <c r="C20" i="4" s="1"/>
  <c r="C21" i="4" s="1"/>
  <c r="C22" i="4" s="1"/>
  <c r="C23" i="4" s="1"/>
  <c r="C24" i="4" s="1"/>
  <c r="C25" i="4" s="1"/>
  <c r="C26" i="4" s="1"/>
  <c r="C27" i="4" s="1"/>
  <c r="C28" i="4" s="1"/>
  <c r="C29" i="4" s="1"/>
  <c r="C30" i="4" s="1"/>
  <c r="C31" i="4" s="1"/>
  <c r="C32" i="4" s="1"/>
  <c r="C33" i="4" s="1"/>
  <c r="D33" i="4" s="1"/>
  <c r="U34" i="4"/>
  <c r="T34" i="4"/>
  <c r="Z2" i="4"/>
  <c r="X2" i="4"/>
  <c r="I2" i="4"/>
  <c r="E7" i="3" l="1"/>
  <c r="J10" i="4"/>
  <c r="K9" i="4"/>
  <c r="V32" i="8"/>
  <c r="M33" i="1"/>
  <c r="I33" i="4"/>
  <c r="O33" i="1"/>
  <c r="U32" i="8" s="1"/>
  <c r="W32" i="8"/>
  <c r="J33" i="1"/>
  <c r="T32" i="8"/>
  <c r="D33" i="1"/>
  <c r="R32" i="8"/>
  <c r="Z32" i="8"/>
  <c r="K32" i="8"/>
  <c r="E32" i="8"/>
  <c r="AD32" i="8" s="1"/>
  <c r="Z33" i="4"/>
  <c r="T2" i="1"/>
  <c r="U2" i="1" s="1"/>
  <c r="Y2" i="4"/>
  <c r="D9" i="3" l="1"/>
  <c r="E8" i="3"/>
  <c r="J11" i="4"/>
  <c r="K10" i="4"/>
  <c r="P33" i="1"/>
  <c r="AE32" i="8"/>
  <c r="I32" i="9" s="1"/>
  <c r="C30" i="5"/>
  <c r="G29" i="9" s="1"/>
  <c r="C31" i="5"/>
  <c r="G30" i="9" s="1"/>
  <c r="C32" i="5"/>
  <c r="G31" i="9" s="1"/>
  <c r="D10" i="3" l="1"/>
  <c r="E9" i="3"/>
  <c r="K11" i="4"/>
  <c r="J12" i="4"/>
  <c r="L26" i="1"/>
  <c r="D11" i="3" l="1"/>
  <c r="E10" i="3"/>
  <c r="J13" i="4"/>
  <c r="K12" i="4"/>
  <c r="AE12" i="1"/>
  <c r="AE14" i="1"/>
  <c r="AE15" i="1"/>
  <c r="AE16" i="1"/>
  <c r="AE17" i="1"/>
  <c r="AE18" i="1"/>
  <c r="AE19" i="1"/>
  <c r="AE21" i="1"/>
  <c r="AE22" i="1"/>
  <c r="AE23" i="1"/>
  <c r="AE24" i="1"/>
  <c r="AE25" i="1"/>
  <c r="AE26" i="1"/>
  <c r="AE27" i="1"/>
  <c r="AE28" i="1"/>
  <c r="AE29" i="1"/>
  <c r="AE30" i="1"/>
  <c r="AE32" i="1"/>
  <c r="AE10" i="1"/>
  <c r="AE9" i="1"/>
  <c r="AE8" i="1"/>
  <c r="AE7" i="1"/>
  <c r="AE6" i="1"/>
  <c r="AE5" i="1"/>
  <c r="AE4" i="1"/>
  <c r="AE3" i="1"/>
  <c r="D12" i="3" l="1"/>
  <c r="E11" i="3"/>
  <c r="J14" i="4"/>
  <c r="K13" i="4"/>
  <c r="AG17" i="1"/>
  <c r="AG16" i="1"/>
  <c r="AG15" i="1"/>
  <c r="AG14" i="1"/>
  <c r="AG13" i="1"/>
  <c r="AG12" i="1"/>
  <c r="AG11" i="1"/>
  <c r="AG10" i="1"/>
  <c r="AG9" i="1"/>
  <c r="AG8" i="1"/>
  <c r="AG7" i="1"/>
  <c r="AG6" i="1"/>
  <c r="AG5" i="1"/>
  <c r="AG4" i="1"/>
  <c r="AG3" i="1"/>
  <c r="D13" i="3" l="1"/>
  <c r="E12" i="3"/>
  <c r="K14" i="4"/>
  <c r="J15" i="4"/>
  <c r="AG20" i="1"/>
  <c r="O18" i="4"/>
  <c r="D14" i="3" l="1"/>
  <c r="E13" i="3"/>
  <c r="J16" i="4"/>
  <c r="K15" i="4"/>
  <c r="AG21" i="1"/>
  <c r="AC15" i="1"/>
  <c r="AA15" i="1"/>
  <c r="Y15" i="1"/>
  <c r="R15" i="1"/>
  <c r="S15" i="1" s="1"/>
  <c r="O15" i="1"/>
  <c r="P15" i="1" s="1"/>
  <c r="L15" i="1"/>
  <c r="M15" i="1" s="1"/>
  <c r="I15" i="1"/>
  <c r="J15" i="1" s="1"/>
  <c r="F15" i="1"/>
  <c r="G15" i="1" s="1"/>
  <c r="C15" i="1"/>
  <c r="D15" i="1" s="1"/>
  <c r="D15" i="3" l="1"/>
  <c r="E14" i="3"/>
  <c r="J17" i="4"/>
  <c r="K16" i="4"/>
  <c r="AG22" i="1"/>
  <c r="T15" i="1"/>
  <c r="U15" i="1" s="1"/>
  <c r="U15" i="2"/>
  <c r="R15" i="2"/>
  <c r="Q15" i="2"/>
  <c r="O15" i="2"/>
  <c r="M15" i="2"/>
  <c r="I15" i="2"/>
  <c r="G15" i="2"/>
  <c r="D16" i="3" l="1"/>
  <c r="E15" i="3"/>
  <c r="K17" i="4"/>
  <c r="J18" i="4"/>
  <c r="AG23" i="1"/>
  <c r="D17" i="3" l="1"/>
  <c r="E16" i="3"/>
  <c r="J19" i="4"/>
  <c r="K18" i="4"/>
  <c r="AG24" i="1"/>
  <c r="W13" i="4"/>
  <c r="S13" i="4"/>
  <c r="Q13" i="4"/>
  <c r="O13" i="4"/>
  <c r="M13" i="4"/>
  <c r="H13" i="4"/>
  <c r="F13" i="4"/>
  <c r="D18" i="3" l="1"/>
  <c r="E17" i="3"/>
  <c r="J20" i="4"/>
  <c r="K19" i="4"/>
  <c r="Z13" i="4"/>
  <c r="AG25" i="1"/>
  <c r="X13" i="4"/>
  <c r="I13" i="4"/>
  <c r="W12" i="4"/>
  <c r="D19" i="3" l="1"/>
  <c r="E18" i="3"/>
  <c r="K20" i="4"/>
  <c r="J21" i="4"/>
  <c r="Y13" i="4"/>
  <c r="AG26" i="1"/>
  <c r="D20" i="3" l="1"/>
  <c r="E19" i="3"/>
  <c r="J22" i="4"/>
  <c r="K21" i="4"/>
  <c r="AG27" i="1"/>
  <c r="D21" i="3" l="1"/>
  <c r="E20" i="3"/>
  <c r="J23" i="4"/>
  <c r="K22" i="4"/>
  <c r="AG28" i="1"/>
  <c r="D22" i="3" l="1"/>
  <c r="E21" i="3"/>
  <c r="K23" i="4"/>
  <c r="J24" i="4"/>
  <c r="AG29" i="1"/>
  <c r="D23" i="3" l="1"/>
  <c r="E22" i="3"/>
  <c r="J25" i="4"/>
  <c r="K24" i="4"/>
  <c r="AG30" i="1"/>
  <c r="G60" i="10"/>
  <c r="G59" i="10"/>
  <c r="G58" i="10"/>
  <c r="G57" i="10"/>
  <c r="G56" i="10"/>
  <c r="G55" i="10"/>
  <c r="G54" i="10"/>
  <c r="G53" i="10"/>
  <c r="G52" i="10"/>
  <c r="G50" i="10"/>
  <c r="G49" i="10"/>
  <c r="G48" i="10"/>
  <c r="G47" i="10"/>
  <c r="G46" i="10"/>
  <c r="G45" i="10"/>
  <c r="G43" i="10"/>
  <c r="G42" i="10"/>
  <c r="G41" i="10"/>
  <c r="G40" i="10"/>
  <c r="G39" i="10"/>
  <c r="G38" i="10"/>
  <c r="G37" i="10"/>
  <c r="G36" i="10"/>
  <c r="G35" i="10"/>
  <c r="G34" i="10"/>
  <c r="G33" i="10"/>
  <c r="G32" i="10"/>
  <c r="G31" i="10"/>
  <c r="G30" i="10"/>
  <c r="G29" i="10"/>
  <c r="G28" i="10"/>
  <c r="G27" i="10"/>
  <c r="G26" i="10"/>
  <c r="G25" i="10"/>
  <c r="G24" i="10"/>
  <c r="G23" i="10"/>
  <c r="G22" i="10"/>
  <c r="G21" i="10"/>
  <c r="G20" i="10"/>
  <c r="G19" i="10"/>
  <c r="G18" i="10"/>
  <c r="G17" i="10"/>
  <c r="G16" i="10"/>
  <c r="G15" i="10"/>
  <c r="G14" i="10"/>
  <c r="G13" i="10"/>
  <c r="G12" i="10"/>
  <c r="G11" i="10"/>
  <c r="G10" i="10"/>
  <c r="G9" i="10"/>
  <c r="G8" i="10"/>
  <c r="G7" i="10"/>
  <c r="G6" i="10"/>
  <c r="G5" i="10"/>
  <c r="G64" i="10" s="1"/>
  <c r="G4" i="10"/>
  <c r="G3" i="10"/>
  <c r="G2" i="10"/>
  <c r="D24" i="3" l="1"/>
  <c r="E23" i="3"/>
  <c r="J26" i="4"/>
  <c r="K25" i="4"/>
  <c r="AG31" i="1"/>
  <c r="AG32" i="1"/>
  <c r="AC25" i="1"/>
  <c r="D25" i="3" l="1"/>
  <c r="E24" i="3"/>
  <c r="K26" i="4"/>
  <c r="J27" i="4"/>
  <c r="AC27" i="1"/>
  <c r="AC26" i="1"/>
  <c r="D18" i="4"/>
  <c r="D26" i="3" l="1"/>
  <c r="E25" i="3"/>
  <c r="J28" i="4"/>
  <c r="K27" i="4"/>
  <c r="AA30" i="1"/>
  <c r="AC28" i="1"/>
  <c r="AC4" i="1"/>
  <c r="AC5" i="1"/>
  <c r="AC6" i="1"/>
  <c r="AC7" i="1"/>
  <c r="AC8" i="1"/>
  <c r="D27" i="3" l="1"/>
  <c r="E26" i="3"/>
  <c r="J29" i="4"/>
  <c r="K28" i="4"/>
  <c r="AC29" i="1"/>
  <c r="C11" i="5"/>
  <c r="D28" i="3" l="1"/>
  <c r="E27" i="3"/>
  <c r="K29" i="4"/>
  <c r="J30" i="4"/>
  <c r="AC30" i="1"/>
  <c r="C9" i="5"/>
  <c r="O10" i="1"/>
  <c r="D29" i="3" l="1"/>
  <c r="E28" i="3"/>
  <c r="J31" i="4"/>
  <c r="K30" i="4"/>
  <c r="AC31" i="1"/>
  <c r="AC10" i="1"/>
  <c r="AC11" i="1"/>
  <c r="AC12" i="1"/>
  <c r="AC13" i="1"/>
  <c r="AC14" i="1"/>
  <c r="AC16" i="1"/>
  <c r="AC17" i="1"/>
  <c r="AC18" i="1"/>
  <c r="AC19" i="1"/>
  <c r="AC20" i="1"/>
  <c r="AC21" i="1"/>
  <c r="AC22" i="1"/>
  <c r="AC23" i="1"/>
  <c r="AC24" i="1"/>
  <c r="AC9" i="1"/>
  <c r="AA3" i="1"/>
  <c r="Y4" i="1"/>
  <c r="AA6" i="1"/>
  <c r="D30" i="3" l="1"/>
  <c r="E29" i="3"/>
  <c r="J32" i="4"/>
  <c r="K31" i="4"/>
  <c r="Y3" i="1"/>
  <c r="AA4" i="1"/>
  <c r="J3" i="2"/>
  <c r="D31" i="3" l="1"/>
  <c r="E30" i="3"/>
  <c r="K32" i="4"/>
  <c r="J33" i="4"/>
  <c r="K33" i="4" s="1"/>
  <c r="X33" i="4" s="1"/>
  <c r="Y33" i="4" s="1"/>
  <c r="O14" i="1"/>
  <c r="G15" i="3"/>
  <c r="G14" i="3"/>
  <c r="I14" i="2"/>
  <c r="U14" i="2"/>
  <c r="O14" i="2"/>
  <c r="O13" i="2"/>
  <c r="M14" i="2"/>
  <c r="G14" i="2"/>
  <c r="E14" i="2"/>
  <c r="C15" i="2"/>
  <c r="C14" i="2"/>
  <c r="G25" i="3"/>
  <c r="G26" i="3"/>
  <c r="G27" i="3"/>
  <c r="D32" i="3" l="1"/>
  <c r="E31" i="3"/>
  <c r="E15" i="2"/>
  <c r="G25" i="2"/>
  <c r="D33" i="3" l="1"/>
  <c r="E33" i="3" s="1"/>
  <c r="E32" i="3"/>
  <c r="R14" i="2"/>
  <c r="R17" i="2" s="1"/>
  <c r="R18" i="2" s="1"/>
  <c r="R27" i="2" s="1"/>
  <c r="F32" i="8" l="1"/>
  <c r="G32" i="8"/>
  <c r="J33" i="3"/>
  <c r="M26" i="2"/>
  <c r="K33" i="3" l="1"/>
  <c r="M32" i="8" s="1"/>
  <c r="L32" i="8"/>
  <c r="AA32" i="1"/>
  <c r="Y7" i="1"/>
  <c r="Y8" i="1"/>
  <c r="Y9" i="1"/>
  <c r="Y10" i="1"/>
  <c r="Y11" i="1"/>
  <c r="Y12" i="1"/>
  <c r="Y13" i="1"/>
  <c r="Y14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AA5" i="1"/>
  <c r="AA7" i="1"/>
  <c r="AA8" i="1"/>
  <c r="AA9" i="1"/>
  <c r="AA10" i="1"/>
  <c r="AA11" i="1"/>
  <c r="AA12" i="1"/>
  <c r="AA13" i="1"/>
  <c r="AA14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1" i="1"/>
  <c r="Y5" i="1"/>
  <c r="Y6" i="1"/>
  <c r="Y32" i="8" l="1"/>
  <c r="E32" i="9" s="1"/>
  <c r="AA34" i="1"/>
  <c r="Y34" i="1"/>
  <c r="R4" i="1"/>
  <c r="S4" i="1" s="1"/>
  <c r="R7" i="1"/>
  <c r="S7" i="1" s="1"/>
  <c r="R8" i="1"/>
  <c r="S8" i="1" s="1"/>
  <c r="R9" i="1"/>
  <c r="S9" i="1" s="1"/>
  <c r="R10" i="1"/>
  <c r="S10" i="1" s="1"/>
  <c r="R11" i="1"/>
  <c r="S11" i="1" s="1"/>
  <c r="R12" i="1"/>
  <c r="S12" i="1" s="1"/>
  <c r="R13" i="1"/>
  <c r="S13" i="1" s="1"/>
  <c r="R14" i="1"/>
  <c r="S14" i="1" s="1"/>
  <c r="R16" i="1"/>
  <c r="S16" i="1" s="1"/>
  <c r="R17" i="1"/>
  <c r="S17" i="1" s="1"/>
  <c r="R18" i="1"/>
  <c r="S18" i="1" s="1"/>
  <c r="R19" i="1"/>
  <c r="S19" i="1" s="1"/>
  <c r="R20" i="1"/>
  <c r="S20" i="1" s="1"/>
  <c r="R21" i="1"/>
  <c r="S21" i="1" s="1"/>
  <c r="R22" i="1"/>
  <c r="S22" i="1" s="1"/>
  <c r="R23" i="1"/>
  <c r="S23" i="1" s="1"/>
  <c r="R24" i="1"/>
  <c r="S24" i="1" s="1"/>
  <c r="R25" i="1"/>
  <c r="S25" i="1" s="1"/>
  <c r="R26" i="1"/>
  <c r="S26" i="1" s="1"/>
  <c r="R27" i="1"/>
  <c r="S27" i="1" s="1"/>
  <c r="R28" i="1"/>
  <c r="S28" i="1" s="1"/>
  <c r="R29" i="1"/>
  <c r="S29" i="1" s="1"/>
  <c r="R30" i="1"/>
  <c r="S30" i="1" s="1"/>
  <c r="R31" i="1"/>
  <c r="S31" i="1" s="1"/>
  <c r="R32" i="1"/>
  <c r="S32" i="1" s="1"/>
  <c r="O4" i="1"/>
  <c r="P4" i="1" s="1"/>
  <c r="O7" i="1"/>
  <c r="P7" i="1" s="1"/>
  <c r="O8" i="1"/>
  <c r="P8" i="1" s="1"/>
  <c r="O9" i="1"/>
  <c r="P9" i="1" s="1"/>
  <c r="P10" i="1"/>
  <c r="O11" i="1"/>
  <c r="P11" i="1" s="1"/>
  <c r="O12" i="1"/>
  <c r="P12" i="1" s="1"/>
  <c r="O13" i="1"/>
  <c r="P13" i="1" s="1"/>
  <c r="P14" i="1"/>
  <c r="O16" i="1"/>
  <c r="P16" i="1" s="1"/>
  <c r="O17" i="1"/>
  <c r="P17" i="1" s="1"/>
  <c r="O18" i="1"/>
  <c r="P18" i="1" s="1"/>
  <c r="O19" i="1"/>
  <c r="P19" i="1" s="1"/>
  <c r="O20" i="1"/>
  <c r="P20" i="1" s="1"/>
  <c r="O21" i="1"/>
  <c r="P21" i="1" s="1"/>
  <c r="O22" i="1"/>
  <c r="P22" i="1" s="1"/>
  <c r="O23" i="1"/>
  <c r="P23" i="1" s="1"/>
  <c r="O24" i="1"/>
  <c r="P24" i="1" s="1"/>
  <c r="O25" i="1"/>
  <c r="P25" i="1" s="1"/>
  <c r="O26" i="1"/>
  <c r="P26" i="1" s="1"/>
  <c r="O27" i="1"/>
  <c r="P27" i="1" s="1"/>
  <c r="O28" i="1"/>
  <c r="P28" i="1" s="1"/>
  <c r="O29" i="1"/>
  <c r="P29" i="1" s="1"/>
  <c r="O30" i="1"/>
  <c r="P30" i="1" s="1"/>
  <c r="O31" i="1"/>
  <c r="P31" i="1" s="1"/>
  <c r="O32" i="1"/>
  <c r="P32" i="1" s="1"/>
  <c r="L4" i="1"/>
  <c r="L7" i="1"/>
  <c r="L8" i="1"/>
  <c r="L9" i="1"/>
  <c r="L10" i="1"/>
  <c r="L11" i="1"/>
  <c r="L12" i="1"/>
  <c r="L13" i="1"/>
  <c r="L14" i="1"/>
  <c r="L16" i="1"/>
  <c r="L17" i="1"/>
  <c r="L18" i="1"/>
  <c r="L19" i="1"/>
  <c r="L20" i="1"/>
  <c r="L21" i="1"/>
  <c r="L22" i="1"/>
  <c r="L23" i="1"/>
  <c r="L24" i="1"/>
  <c r="L25" i="1"/>
  <c r="L27" i="1"/>
  <c r="L28" i="1"/>
  <c r="L29" i="1"/>
  <c r="L30" i="1"/>
  <c r="L31" i="1"/>
  <c r="L32" i="1"/>
  <c r="I4" i="1"/>
  <c r="J4" i="1" s="1"/>
  <c r="I7" i="1"/>
  <c r="J7" i="1" s="1"/>
  <c r="I8" i="1"/>
  <c r="J8" i="1" s="1"/>
  <c r="I9" i="1"/>
  <c r="J9" i="1" s="1"/>
  <c r="I10" i="1"/>
  <c r="J10" i="1" s="1"/>
  <c r="I11" i="1"/>
  <c r="J11" i="1" s="1"/>
  <c r="I12" i="1"/>
  <c r="J12" i="1" s="1"/>
  <c r="I13" i="1"/>
  <c r="J13" i="1" s="1"/>
  <c r="I14" i="1"/>
  <c r="J14" i="1" s="1"/>
  <c r="I16" i="1"/>
  <c r="J16" i="1" s="1"/>
  <c r="I17" i="1"/>
  <c r="J17" i="1" s="1"/>
  <c r="I18" i="1"/>
  <c r="J18" i="1" s="1"/>
  <c r="I19" i="1"/>
  <c r="J19" i="1" s="1"/>
  <c r="I20" i="1"/>
  <c r="J20" i="1" s="1"/>
  <c r="I21" i="1"/>
  <c r="J21" i="1" s="1"/>
  <c r="I22" i="1"/>
  <c r="J22" i="1" s="1"/>
  <c r="I23" i="1"/>
  <c r="J23" i="1" s="1"/>
  <c r="I24" i="1"/>
  <c r="J24" i="1" s="1"/>
  <c r="I25" i="1"/>
  <c r="J25" i="1" s="1"/>
  <c r="I26" i="1"/>
  <c r="J26" i="1" s="1"/>
  <c r="I27" i="1"/>
  <c r="J27" i="1" s="1"/>
  <c r="I28" i="1"/>
  <c r="J28" i="1" s="1"/>
  <c r="I29" i="1"/>
  <c r="J29" i="1" s="1"/>
  <c r="I30" i="1"/>
  <c r="J30" i="1" s="1"/>
  <c r="I31" i="1"/>
  <c r="J31" i="1" s="1"/>
  <c r="I32" i="1"/>
  <c r="J32" i="1" s="1"/>
  <c r="F4" i="1"/>
  <c r="G4" i="1" s="1"/>
  <c r="F7" i="1"/>
  <c r="G7" i="1" s="1"/>
  <c r="F8" i="1"/>
  <c r="G8" i="1" s="1"/>
  <c r="F9" i="1"/>
  <c r="G9" i="1" s="1"/>
  <c r="F10" i="1"/>
  <c r="G10" i="1" s="1"/>
  <c r="F11" i="1"/>
  <c r="G11" i="1" s="1"/>
  <c r="F12" i="1"/>
  <c r="G12" i="1" s="1"/>
  <c r="F13" i="1"/>
  <c r="G13" i="1" s="1"/>
  <c r="F14" i="1"/>
  <c r="G14" i="1" s="1"/>
  <c r="F16" i="1"/>
  <c r="G16" i="1" s="1"/>
  <c r="F17" i="1"/>
  <c r="G17" i="1" s="1"/>
  <c r="F18" i="1"/>
  <c r="G18" i="1" s="1"/>
  <c r="F19" i="1"/>
  <c r="G19" i="1" s="1"/>
  <c r="F20" i="1"/>
  <c r="G20" i="1" s="1"/>
  <c r="F21" i="1"/>
  <c r="G21" i="1" s="1"/>
  <c r="F22" i="1"/>
  <c r="G22" i="1" s="1"/>
  <c r="F23" i="1"/>
  <c r="G23" i="1" s="1"/>
  <c r="F24" i="1"/>
  <c r="G24" i="1" s="1"/>
  <c r="F25" i="1"/>
  <c r="G25" i="1" s="1"/>
  <c r="F26" i="1"/>
  <c r="G26" i="1" s="1"/>
  <c r="F27" i="1"/>
  <c r="G27" i="1" s="1"/>
  <c r="F28" i="1"/>
  <c r="G28" i="1" s="1"/>
  <c r="F29" i="1"/>
  <c r="G29" i="1" s="1"/>
  <c r="F30" i="1"/>
  <c r="G30" i="1" s="1"/>
  <c r="F31" i="1"/>
  <c r="G31" i="1" s="1"/>
  <c r="F32" i="1"/>
  <c r="G32" i="1" s="1"/>
  <c r="C4" i="1"/>
  <c r="C7" i="1"/>
  <c r="D7" i="1" s="1"/>
  <c r="C8" i="1"/>
  <c r="D8" i="1" s="1"/>
  <c r="C9" i="1"/>
  <c r="D9" i="1" s="1"/>
  <c r="C10" i="1"/>
  <c r="D10" i="1" s="1"/>
  <c r="C11" i="1"/>
  <c r="D11" i="1" s="1"/>
  <c r="C12" i="1"/>
  <c r="D12" i="1" s="1"/>
  <c r="C13" i="1"/>
  <c r="D13" i="1" s="1"/>
  <c r="C14" i="1"/>
  <c r="D14" i="1" s="1"/>
  <c r="C16" i="1"/>
  <c r="D16" i="1" s="1"/>
  <c r="C17" i="1"/>
  <c r="D17" i="1" s="1"/>
  <c r="C18" i="1"/>
  <c r="D18" i="1" s="1"/>
  <c r="C19" i="1"/>
  <c r="D19" i="1" s="1"/>
  <c r="C20" i="1"/>
  <c r="D20" i="1" s="1"/>
  <c r="C21" i="1"/>
  <c r="D21" i="1" s="1"/>
  <c r="C22" i="1"/>
  <c r="C23" i="1"/>
  <c r="C24" i="1"/>
  <c r="C25" i="1"/>
  <c r="D25" i="1" s="1"/>
  <c r="C26" i="1"/>
  <c r="D26" i="1" s="1"/>
  <c r="C27" i="1"/>
  <c r="D27" i="1" s="1"/>
  <c r="C28" i="1"/>
  <c r="D28" i="1" s="1"/>
  <c r="C29" i="1"/>
  <c r="D29" i="1" s="1"/>
  <c r="C30" i="1"/>
  <c r="D30" i="1" s="1"/>
  <c r="C31" i="1"/>
  <c r="D31" i="1" s="1"/>
  <c r="C32" i="1"/>
  <c r="D32" i="1" s="1"/>
  <c r="B34" i="4"/>
  <c r="D4" i="1" l="1"/>
  <c r="D22" i="1"/>
  <c r="T22" i="1"/>
  <c r="D24" i="1"/>
  <c r="T24" i="1"/>
  <c r="D23" i="1"/>
  <c r="T23" i="1"/>
  <c r="U30" i="2"/>
  <c r="H4" i="4"/>
  <c r="H5" i="4"/>
  <c r="H6" i="4"/>
  <c r="H7" i="4"/>
  <c r="H8" i="4"/>
  <c r="H9" i="4"/>
  <c r="H10" i="4"/>
  <c r="H11" i="4"/>
  <c r="H12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F4" i="4"/>
  <c r="F5" i="4"/>
  <c r="F6" i="4"/>
  <c r="F7" i="4"/>
  <c r="F8" i="4"/>
  <c r="F9" i="4"/>
  <c r="F10" i="4"/>
  <c r="F11" i="4"/>
  <c r="I11" i="4" s="1"/>
  <c r="F12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Q20" i="2" l="1"/>
  <c r="L5" i="1" l="1"/>
  <c r="M5" i="1" s="1"/>
  <c r="L6" i="1"/>
  <c r="M6" i="1" s="1"/>
  <c r="O5" i="1"/>
  <c r="P5" i="1" s="1"/>
  <c r="O6" i="1"/>
  <c r="P6" i="1" s="1"/>
  <c r="R5" i="1"/>
  <c r="S5" i="1" s="1"/>
  <c r="R6" i="1"/>
  <c r="S6" i="1" s="1"/>
  <c r="C5" i="1"/>
  <c r="D5" i="1" s="1"/>
  <c r="C6" i="1"/>
  <c r="D6" i="1" s="1"/>
  <c r="F5" i="1"/>
  <c r="G5" i="1" s="1"/>
  <c r="F6" i="1"/>
  <c r="G6" i="1" s="1"/>
  <c r="I5" i="1"/>
  <c r="J5" i="1" s="1"/>
  <c r="I6" i="1"/>
  <c r="J6" i="1" s="1"/>
  <c r="H14" i="4"/>
  <c r="H15" i="4"/>
  <c r="M4" i="1"/>
  <c r="M7" i="1"/>
  <c r="M8" i="1"/>
  <c r="M9" i="1"/>
  <c r="M10" i="1"/>
  <c r="M11" i="1"/>
  <c r="M12" i="1"/>
  <c r="M13" i="1"/>
  <c r="M14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G16" i="3" l="1"/>
  <c r="G17" i="3"/>
  <c r="G18" i="3"/>
  <c r="M32" i="1" l="1"/>
  <c r="N26" i="10"/>
  <c r="Q22" i="2" l="1"/>
  <c r="U3" i="2" l="1"/>
  <c r="O3" i="2"/>
  <c r="M3" i="2"/>
  <c r="I3" i="2"/>
  <c r="G3" i="2"/>
  <c r="E3" i="2"/>
  <c r="C3" i="2"/>
  <c r="I3" i="3"/>
  <c r="G3" i="3"/>
  <c r="C3" i="3"/>
  <c r="C6" i="5"/>
  <c r="W3" i="4"/>
  <c r="S3" i="4"/>
  <c r="Q3" i="4"/>
  <c r="O3" i="4"/>
  <c r="M3" i="4"/>
  <c r="H3" i="4"/>
  <c r="F3" i="4"/>
  <c r="J3" i="3" l="1"/>
  <c r="K3" i="3" s="1"/>
  <c r="Z3" i="4"/>
  <c r="X3" i="4"/>
  <c r="I3" i="4"/>
  <c r="AA3" i="4" l="1"/>
  <c r="Y3" i="4"/>
  <c r="B3" i="8"/>
  <c r="B4" i="8" s="1"/>
  <c r="B5" i="8" s="1"/>
  <c r="B6" i="8" s="1"/>
  <c r="B7" i="8" s="1"/>
  <c r="B8" i="8" s="1"/>
  <c r="B9" i="8" s="1"/>
  <c r="B10" i="8" s="1"/>
  <c r="B11" i="8" s="1"/>
  <c r="B12" i="8" s="1"/>
  <c r="B13" i="8" s="1"/>
  <c r="B14" i="8" s="1"/>
  <c r="B15" i="8" s="1"/>
  <c r="B16" i="8" s="1"/>
  <c r="B17" i="8" s="1"/>
  <c r="B18" i="8" s="1"/>
  <c r="B19" i="8" s="1"/>
  <c r="B20" i="8" s="1"/>
  <c r="B21" i="8" s="1"/>
  <c r="B22" i="8" s="1"/>
  <c r="B23" i="8" s="1"/>
  <c r="B24" i="8" s="1"/>
  <c r="B25" i="8" s="1"/>
  <c r="B26" i="8" s="1"/>
  <c r="B27" i="8" s="1"/>
  <c r="B28" i="8" s="1"/>
  <c r="B29" i="8" s="1"/>
  <c r="B30" i="8" s="1"/>
  <c r="B31" i="8" s="1"/>
  <c r="M88" i="10" l="1"/>
  <c r="J16" i="11"/>
  <c r="J17" i="11"/>
  <c r="J18" i="11"/>
  <c r="J19" i="11"/>
  <c r="J20" i="11"/>
  <c r="J21" i="11"/>
  <c r="J22" i="11"/>
  <c r="J23" i="11"/>
  <c r="J24" i="11"/>
  <c r="J25" i="11"/>
  <c r="J26" i="11"/>
  <c r="J29" i="11"/>
  <c r="J30" i="11"/>
  <c r="J31" i="11"/>
  <c r="J32" i="11"/>
  <c r="J35" i="11"/>
  <c r="J3" i="11"/>
  <c r="J4" i="11"/>
  <c r="J6" i="11"/>
  <c r="J7" i="11"/>
  <c r="J8" i="11"/>
  <c r="J9" i="11"/>
  <c r="J10" i="11"/>
  <c r="J11" i="11"/>
  <c r="J12" i="11"/>
  <c r="C20" i="3" l="1"/>
  <c r="C15" i="5" l="1"/>
  <c r="C12" i="5" l="1"/>
  <c r="C8" i="3" l="1"/>
  <c r="C3" i="5" l="1"/>
  <c r="I4" i="3"/>
  <c r="U8" i="2" l="1"/>
  <c r="Q8" i="2"/>
  <c r="O8" i="2"/>
  <c r="M8" i="2"/>
  <c r="I8" i="2"/>
  <c r="G8" i="2"/>
  <c r="E8" i="2"/>
  <c r="C8" i="2"/>
  <c r="I8" i="3"/>
  <c r="G8" i="3"/>
  <c r="W8" i="4"/>
  <c r="S8" i="4"/>
  <c r="Q8" i="4"/>
  <c r="O8" i="4"/>
  <c r="M8" i="4"/>
  <c r="J8" i="3" l="1"/>
  <c r="K8" i="3" s="1"/>
  <c r="I8" i="4"/>
  <c r="T8" i="1"/>
  <c r="U8" i="1" s="1"/>
  <c r="Z8" i="4"/>
  <c r="X8" i="4"/>
  <c r="Y8" i="4" l="1"/>
  <c r="C4" i="5"/>
  <c r="N94" i="10" l="1"/>
  <c r="D34" i="1" l="1"/>
  <c r="C34" i="1"/>
  <c r="K11" i="11" l="1"/>
  <c r="I3" i="11"/>
  <c r="I4" i="11"/>
  <c r="I6" i="11"/>
  <c r="I7" i="11"/>
  <c r="I8" i="11"/>
  <c r="I9" i="11"/>
  <c r="I10" i="11"/>
  <c r="I12" i="11"/>
  <c r="K30" i="9" l="1"/>
  <c r="K31" i="9"/>
  <c r="X30" i="8"/>
  <c r="X31" i="8"/>
  <c r="Q31" i="8"/>
  <c r="P31" i="8"/>
  <c r="O31" i="8"/>
  <c r="N31" i="8"/>
  <c r="Q30" i="8"/>
  <c r="P30" i="8"/>
  <c r="O30" i="8"/>
  <c r="N30" i="8"/>
  <c r="S8" i="2" l="1"/>
  <c r="K9" i="11"/>
  <c r="K7" i="11"/>
  <c r="K10" i="11"/>
  <c r="K4" i="11"/>
  <c r="K3" i="11"/>
  <c r="K8" i="11"/>
  <c r="K6" i="11"/>
  <c r="C32" i="2"/>
  <c r="M32" i="4"/>
  <c r="J30" i="8"/>
  <c r="U30" i="8"/>
  <c r="V30" i="8"/>
  <c r="U32" i="2"/>
  <c r="U31" i="2"/>
  <c r="Q32" i="2"/>
  <c r="Q31" i="2"/>
  <c r="O32" i="2"/>
  <c r="AB31" i="8" s="1"/>
  <c r="O31" i="2"/>
  <c r="AB30" i="8" s="1"/>
  <c r="M32" i="2"/>
  <c r="M31" i="2"/>
  <c r="I32" i="2"/>
  <c r="I31" i="2"/>
  <c r="G32" i="2"/>
  <c r="G31" i="2"/>
  <c r="E31" i="2"/>
  <c r="E32" i="2"/>
  <c r="C31" i="2"/>
  <c r="I31" i="3"/>
  <c r="I32" i="3"/>
  <c r="G31" i="3"/>
  <c r="I30" i="8" s="1"/>
  <c r="G32" i="3"/>
  <c r="I31" i="8" s="1"/>
  <c r="C32" i="3"/>
  <c r="C31" i="3"/>
  <c r="S32" i="4"/>
  <c r="S31" i="4"/>
  <c r="Q32" i="4"/>
  <c r="Q31" i="4"/>
  <c r="O32" i="4"/>
  <c r="O31" i="4"/>
  <c r="M31" i="4"/>
  <c r="J31" i="8"/>
  <c r="J31" i="3" l="1"/>
  <c r="J32" i="3"/>
  <c r="AA30" i="8"/>
  <c r="K5" i="11"/>
  <c r="AA31" i="8"/>
  <c r="I32" i="4"/>
  <c r="W30" i="8"/>
  <c r="W31" i="8"/>
  <c r="U31" i="8"/>
  <c r="V31" i="8"/>
  <c r="S30" i="8"/>
  <c r="S31" i="8"/>
  <c r="Z30" i="8"/>
  <c r="Z31" i="8"/>
  <c r="H31" i="8"/>
  <c r="K31" i="8"/>
  <c r="K30" i="8"/>
  <c r="H30" i="8"/>
  <c r="G30" i="8"/>
  <c r="F30" i="8"/>
  <c r="G31" i="8"/>
  <c r="F31" i="8"/>
  <c r="E31" i="8"/>
  <c r="E30" i="8"/>
  <c r="W31" i="4"/>
  <c r="X31" i="4" s="1"/>
  <c r="S31" i="2" l="1"/>
  <c r="AC30" i="8" s="1"/>
  <c r="AC31" i="8"/>
  <c r="Z31" i="4"/>
  <c r="L30" i="8"/>
  <c r="K31" i="3"/>
  <c r="M30" i="8" s="1"/>
  <c r="AD30" i="8"/>
  <c r="K32" i="3"/>
  <c r="M31" i="8" s="1"/>
  <c r="L31" i="8"/>
  <c r="AD31" i="8"/>
  <c r="W32" i="4"/>
  <c r="W25" i="4"/>
  <c r="AE30" i="8" l="1"/>
  <c r="I30" i="9" s="1"/>
  <c r="AE31" i="8"/>
  <c r="I31" i="9" s="1"/>
  <c r="T30" i="8"/>
  <c r="K12" i="11"/>
  <c r="K13" i="11" s="1"/>
  <c r="K14" i="11" s="1"/>
  <c r="Y31" i="8"/>
  <c r="E31" i="9" s="1"/>
  <c r="Y30" i="8"/>
  <c r="E30" i="9" s="1"/>
  <c r="X32" i="4"/>
  <c r="Y32" i="4" s="1"/>
  <c r="Z32" i="4"/>
  <c r="I34" i="1" l="1"/>
  <c r="J34" i="1"/>
  <c r="T31" i="8"/>
  <c r="I20" i="3" l="1"/>
  <c r="S30" i="2" l="1"/>
  <c r="W29" i="8" l="1"/>
  <c r="U29" i="8"/>
  <c r="V29" i="8"/>
  <c r="T29" i="8"/>
  <c r="S29" i="8"/>
  <c r="W15" i="4" l="1"/>
  <c r="S15" i="4"/>
  <c r="Q15" i="4"/>
  <c r="O15" i="4"/>
  <c r="M15" i="4"/>
  <c r="W14" i="4"/>
  <c r="S14" i="4"/>
  <c r="Q14" i="4"/>
  <c r="O14" i="4"/>
  <c r="M14" i="4"/>
  <c r="C14" i="5"/>
  <c r="I15" i="3"/>
  <c r="C15" i="3"/>
  <c r="I14" i="3"/>
  <c r="C14" i="3"/>
  <c r="Q14" i="2"/>
  <c r="J14" i="3" l="1"/>
  <c r="K14" i="3" s="1"/>
  <c r="J15" i="3"/>
  <c r="K15" i="3" s="1"/>
  <c r="Z15" i="4"/>
  <c r="X15" i="4"/>
  <c r="I15" i="4"/>
  <c r="X14" i="4"/>
  <c r="Z14" i="4"/>
  <c r="I14" i="4"/>
  <c r="T14" i="1" l="1"/>
  <c r="U14" i="1" s="1"/>
  <c r="Y15" i="4"/>
  <c r="Y14" i="4"/>
  <c r="E11" i="2" l="1"/>
  <c r="C5" i="5" l="1"/>
  <c r="C7" i="5"/>
  <c r="C8" i="5"/>
  <c r="C10" i="5"/>
  <c r="C13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19" i="2"/>
  <c r="C34" i="5" l="1"/>
  <c r="C13" i="2"/>
  <c r="C26" i="2" l="1"/>
  <c r="I19" i="2" l="1"/>
  <c r="I20" i="2"/>
  <c r="G10" i="2" l="1"/>
  <c r="I6" i="4" l="1"/>
  <c r="C4" i="3"/>
  <c r="C5" i="3"/>
  <c r="C6" i="3"/>
  <c r="C7" i="3"/>
  <c r="N60" i="10" l="1"/>
  <c r="N59" i="10"/>
  <c r="N58" i="10"/>
  <c r="N57" i="10"/>
  <c r="N56" i="10"/>
  <c r="N55" i="10"/>
  <c r="N54" i="10"/>
  <c r="N53" i="10"/>
  <c r="N52" i="10"/>
  <c r="N50" i="10"/>
  <c r="N49" i="10"/>
  <c r="N48" i="10"/>
  <c r="N47" i="10"/>
  <c r="N46" i="10"/>
  <c r="N45" i="10"/>
  <c r="N43" i="10"/>
  <c r="N42" i="10"/>
  <c r="N41" i="10"/>
  <c r="N40" i="10"/>
  <c r="N39" i="10"/>
  <c r="N38" i="10"/>
  <c r="N37" i="10"/>
  <c r="N36" i="10"/>
  <c r="N35" i="10"/>
  <c r="N34" i="10"/>
  <c r="N33" i="10"/>
  <c r="N32" i="10"/>
  <c r="N31" i="10"/>
  <c r="N30" i="10"/>
  <c r="N29" i="10"/>
  <c r="N28" i="10"/>
  <c r="N27" i="10"/>
  <c r="N25" i="10"/>
  <c r="N24" i="10"/>
  <c r="N23" i="10"/>
  <c r="N22" i="10"/>
  <c r="N21" i="10"/>
  <c r="N20" i="10"/>
  <c r="N19" i="10"/>
  <c r="N18" i="10"/>
  <c r="N17" i="10"/>
  <c r="N16" i="10"/>
  <c r="N15" i="10"/>
  <c r="N14" i="10"/>
  <c r="N13" i="10"/>
  <c r="N12" i="10"/>
  <c r="N11" i="10"/>
  <c r="N10" i="10"/>
  <c r="N9" i="10"/>
  <c r="N8" i="10"/>
  <c r="N7" i="10"/>
  <c r="N6" i="10"/>
  <c r="N5" i="10"/>
  <c r="N4" i="10"/>
  <c r="N3" i="10"/>
  <c r="N2" i="10"/>
  <c r="Q10" i="4"/>
  <c r="N9" i="8" s="1"/>
  <c r="J9" i="8"/>
  <c r="F2" i="8"/>
  <c r="E6" i="2"/>
  <c r="O5" i="2"/>
  <c r="AB4" i="8" s="1"/>
  <c r="O6" i="2"/>
  <c r="AB5" i="8" s="1"/>
  <c r="R4" i="8"/>
  <c r="R8" i="8"/>
  <c r="G2" i="9"/>
  <c r="AB2" i="8"/>
  <c r="AC2" i="8"/>
  <c r="S18" i="2"/>
  <c r="S19" i="2"/>
  <c r="Q7" i="8"/>
  <c r="W9" i="8"/>
  <c r="M5" i="4"/>
  <c r="M78" i="10"/>
  <c r="E4" i="2"/>
  <c r="V6" i="8"/>
  <c r="W4" i="8"/>
  <c r="W5" i="8"/>
  <c r="T4" i="8"/>
  <c r="G6" i="9"/>
  <c r="K4" i="8"/>
  <c r="M71" i="10"/>
  <c r="N71" i="10"/>
  <c r="O71" i="10"/>
  <c r="M72" i="10"/>
  <c r="N72" i="10"/>
  <c r="O72" i="10"/>
  <c r="M73" i="10"/>
  <c r="N73" i="10"/>
  <c r="O73" i="10"/>
  <c r="M74" i="10"/>
  <c r="N74" i="10"/>
  <c r="O74" i="10"/>
  <c r="M75" i="10"/>
  <c r="N75" i="10"/>
  <c r="O75" i="10"/>
  <c r="M76" i="10"/>
  <c r="N76" i="10"/>
  <c r="O76" i="10"/>
  <c r="M77" i="10"/>
  <c r="N77" i="10"/>
  <c r="O77" i="10"/>
  <c r="N78" i="10"/>
  <c r="O78" i="10"/>
  <c r="M79" i="10"/>
  <c r="N79" i="10"/>
  <c r="O79" i="10"/>
  <c r="M80" i="10"/>
  <c r="N80" i="10"/>
  <c r="O80" i="10"/>
  <c r="M81" i="10"/>
  <c r="N81" i="10"/>
  <c r="O81" i="10"/>
  <c r="M82" i="10"/>
  <c r="N82" i="10"/>
  <c r="O82" i="10"/>
  <c r="M83" i="10"/>
  <c r="N83" i="10"/>
  <c r="O83" i="10"/>
  <c r="M84" i="10"/>
  <c r="N84" i="10"/>
  <c r="O84" i="10"/>
  <c r="M85" i="10"/>
  <c r="N85" i="10"/>
  <c r="O85" i="10"/>
  <c r="M86" i="10"/>
  <c r="N86" i="10"/>
  <c r="O86" i="10"/>
  <c r="M87" i="10"/>
  <c r="N87" i="10"/>
  <c r="O87" i="10"/>
  <c r="N88" i="10"/>
  <c r="O88" i="10"/>
  <c r="M89" i="10"/>
  <c r="N89" i="10"/>
  <c r="O89" i="10"/>
  <c r="M90" i="10"/>
  <c r="N90" i="10"/>
  <c r="O90" i="10"/>
  <c r="M91" i="10"/>
  <c r="N91" i="10"/>
  <c r="O91" i="10"/>
  <c r="M92" i="10"/>
  <c r="N92" i="10"/>
  <c r="O92" i="10"/>
  <c r="M93" i="10"/>
  <c r="N93" i="10"/>
  <c r="M94" i="10"/>
  <c r="I16" i="11"/>
  <c r="K16" i="11" s="1"/>
  <c r="D17" i="11"/>
  <c r="I17" i="11"/>
  <c r="K17" i="11" s="1"/>
  <c r="D18" i="11"/>
  <c r="I18" i="11"/>
  <c r="K18" i="11" s="1"/>
  <c r="C10" i="11" s="1"/>
  <c r="D10" i="11" s="1"/>
  <c r="D19" i="11"/>
  <c r="I19" i="11"/>
  <c r="K19" i="11" s="1"/>
  <c r="D20" i="11"/>
  <c r="I20" i="11"/>
  <c r="K20" i="11" s="1"/>
  <c r="D21" i="11"/>
  <c r="I21" i="11"/>
  <c r="K21" i="11" s="1"/>
  <c r="I22" i="11"/>
  <c r="K22" i="11" s="1"/>
  <c r="I23" i="11"/>
  <c r="K23" i="11" s="1"/>
  <c r="I24" i="11"/>
  <c r="K24" i="11" s="1"/>
  <c r="I25" i="11"/>
  <c r="K25" i="11" s="1"/>
  <c r="I26" i="11"/>
  <c r="I29" i="11"/>
  <c r="K29" i="11" s="1"/>
  <c r="C14" i="11" s="1"/>
  <c r="I30" i="11"/>
  <c r="K30" i="11" s="1"/>
  <c r="C15" i="11" s="1"/>
  <c r="D15" i="11" s="1"/>
  <c r="I31" i="11"/>
  <c r="K31" i="11" s="1"/>
  <c r="I32" i="11"/>
  <c r="K32" i="11" s="1"/>
  <c r="I35" i="11"/>
  <c r="K35" i="11" s="1"/>
  <c r="C26" i="11" s="1"/>
  <c r="T2" i="8"/>
  <c r="U2" i="8"/>
  <c r="G3" i="9"/>
  <c r="G4" i="9"/>
  <c r="G5" i="9"/>
  <c r="K2" i="8"/>
  <c r="M4" i="4"/>
  <c r="O4" i="4"/>
  <c r="Q4" i="4"/>
  <c r="S4" i="4"/>
  <c r="W4" i="4"/>
  <c r="Q4" i="8"/>
  <c r="I4" i="8"/>
  <c r="J4" i="8"/>
  <c r="Q5" i="4"/>
  <c r="N4" i="8" s="1"/>
  <c r="S5" i="4"/>
  <c r="W5" i="4"/>
  <c r="E2" i="8"/>
  <c r="G2" i="8"/>
  <c r="H2" i="8"/>
  <c r="E3" i="8"/>
  <c r="G4" i="3"/>
  <c r="E4" i="8"/>
  <c r="F4" i="8"/>
  <c r="G5" i="3"/>
  <c r="G4" i="8" s="1"/>
  <c r="I5" i="3"/>
  <c r="G4" i="2"/>
  <c r="M4" i="2"/>
  <c r="O4" i="2"/>
  <c r="Q4" i="2"/>
  <c r="S4" i="2"/>
  <c r="U4" i="2"/>
  <c r="E5" i="2"/>
  <c r="G5" i="2"/>
  <c r="M5" i="2"/>
  <c r="Q5" i="2"/>
  <c r="S5" i="2"/>
  <c r="U5" i="2"/>
  <c r="X2" i="8"/>
  <c r="X3" i="8"/>
  <c r="X4" i="8"/>
  <c r="X5" i="8"/>
  <c r="X6" i="8"/>
  <c r="X7" i="8"/>
  <c r="X8" i="8"/>
  <c r="X9" i="8"/>
  <c r="X10" i="8"/>
  <c r="X11" i="8"/>
  <c r="X12" i="8"/>
  <c r="X13" i="8"/>
  <c r="X14" i="8"/>
  <c r="X15" i="8"/>
  <c r="X16" i="8"/>
  <c r="X17" i="8"/>
  <c r="X18" i="8"/>
  <c r="X19" i="8"/>
  <c r="X20" i="8"/>
  <c r="X21" i="8"/>
  <c r="X22" i="8"/>
  <c r="X23" i="8"/>
  <c r="X24" i="8"/>
  <c r="X25" i="8"/>
  <c r="X26" i="8"/>
  <c r="X27" i="8"/>
  <c r="X28" i="8"/>
  <c r="X29" i="8"/>
  <c r="K2" i="9"/>
  <c r="B3" i="9"/>
  <c r="B4" i="9" s="1"/>
  <c r="B5" i="9" s="1"/>
  <c r="B6" i="9" s="1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K3" i="9"/>
  <c r="K4" i="9"/>
  <c r="K5" i="9"/>
  <c r="K6" i="9"/>
  <c r="K7" i="9"/>
  <c r="K8" i="9"/>
  <c r="K9" i="9"/>
  <c r="K10" i="9"/>
  <c r="K11" i="9"/>
  <c r="K12" i="9"/>
  <c r="K13" i="9"/>
  <c r="K14" i="9"/>
  <c r="K15" i="9"/>
  <c r="K16" i="9"/>
  <c r="K17" i="9"/>
  <c r="K18" i="9"/>
  <c r="K19" i="9"/>
  <c r="K20" i="9"/>
  <c r="K21" i="9"/>
  <c r="K22" i="9"/>
  <c r="K23" i="9"/>
  <c r="K24" i="9"/>
  <c r="K25" i="9"/>
  <c r="K26" i="9"/>
  <c r="K27" i="9"/>
  <c r="K28" i="9"/>
  <c r="K29" i="9"/>
  <c r="I6" i="3"/>
  <c r="S6" i="4"/>
  <c r="O5" i="8" s="1"/>
  <c r="O6" i="4"/>
  <c r="O5" i="4"/>
  <c r="M4" i="8" s="1"/>
  <c r="I5" i="8"/>
  <c r="K6" i="8"/>
  <c r="M6" i="4"/>
  <c r="O7" i="4"/>
  <c r="M6" i="8" s="1"/>
  <c r="Q6" i="4"/>
  <c r="W6" i="4"/>
  <c r="P5" i="8" s="1"/>
  <c r="U6" i="8"/>
  <c r="Q6" i="8"/>
  <c r="J6" i="8"/>
  <c r="K7" i="8"/>
  <c r="M7" i="8"/>
  <c r="U7" i="8"/>
  <c r="S9" i="2"/>
  <c r="S7" i="4"/>
  <c r="O6" i="8" s="1"/>
  <c r="W7" i="4"/>
  <c r="Q7" i="4"/>
  <c r="N6" i="8" s="1"/>
  <c r="M7" i="4"/>
  <c r="L6" i="8" s="1"/>
  <c r="C7" i="2"/>
  <c r="E7" i="2"/>
  <c r="G7" i="2"/>
  <c r="I7" i="2"/>
  <c r="M7" i="2"/>
  <c r="O7" i="2"/>
  <c r="AB6" i="8" s="1"/>
  <c r="Q6" i="2"/>
  <c r="C6" i="2"/>
  <c r="G6" i="2"/>
  <c r="I6" i="2"/>
  <c r="M6" i="2"/>
  <c r="O9" i="4"/>
  <c r="G8" i="9"/>
  <c r="G7" i="9"/>
  <c r="P7" i="8"/>
  <c r="W9" i="4"/>
  <c r="O7" i="8"/>
  <c r="L7" i="8"/>
  <c r="S9" i="4"/>
  <c r="O8" i="8" s="1"/>
  <c r="M9" i="4"/>
  <c r="L8" i="8" s="1"/>
  <c r="K8" i="8"/>
  <c r="I8" i="8"/>
  <c r="I7" i="8"/>
  <c r="W19" i="8"/>
  <c r="J8" i="8"/>
  <c r="V10" i="8"/>
  <c r="S9" i="8"/>
  <c r="S11" i="2"/>
  <c r="S12" i="2"/>
  <c r="S10" i="2"/>
  <c r="S13" i="2"/>
  <c r="S16" i="2"/>
  <c r="S17" i="2" s="1"/>
  <c r="S20" i="2"/>
  <c r="S21" i="2"/>
  <c r="S22" i="2"/>
  <c r="S23" i="2"/>
  <c r="S24" i="2"/>
  <c r="S26" i="2"/>
  <c r="S25" i="2"/>
  <c r="S27" i="2"/>
  <c r="S28" i="2"/>
  <c r="S29" i="2"/>
  <c r="P24" i="8"/>
  <c r="C4" i="2"/>
  <c r="I5" i="2"/>
  <c r="I4" i="2"/>
  <c r="AB7" i="8"/>
  <c r="C5" i="2"/>
  <c r="F6" i="8"/>
  <c r="G6" i="3"/>
  <c r="F7" i="8"/>
  <c r="U6" i="2"/>
  <c r="U7" i="2"/>
  <c r="U9" i="2"/>
  <c r="C9" i="2"/>
  <c r="M10" i="2"/>
  <c r="M9" i="2"/>
  <c r="F8" i="8"/>
  <c r="I7" i="3"/>
  <c r="H6" i="8" s="1"/>
  <c r="G9" i="3"/>
  <c r="G8" i="8" s="1"/>
  <c r="G7" i="8"/>
  <c r="G7" i="3"/>
  <c r="G6" i="8" s="1"/>
  <c r="E5" i="8"/>
  <c r="H7" i="8"/>
  <c r="E6" i="8"/>
  <c r="E7" i="8"/>
  <c r="C10" i="3"/>
  <c r="C11" i="3"/>
  <c r="C9" i="3"/>
  <c r="M11" i="2"/>
  <c r="E9" i="2"/>
  <c r="O9" i="2"/>
  <c r="AB8" i="8" s="1"/>
  <c r="I9" i="2"/>
  <c r="G9" i="2"/>
  <c r="Q8" i="8"/>
  <c r="O10" i="2"/>
  <c r="AB9" i="8" s="1"/>
  <c r="I10" i="2"/>
  <c r="I10" i="3"/>
  <c r="H9" i="8" s="1"/>
  <c r="I9" i="3"/>
  <c r="H8" i="8" s="1"/>
  <c r="C12" i="3"/>
  <c r="S11" i="4"/>
  <c r="O10" i="8" s="1"/>
  <c r="S10" i="4"/>
  <c r="O9" i="8" s="1"/>
  <c r="Q12" i="4"/>
  <c r="N11" i="8" s="1"/>
  <c r="Q9" i="4"/>
  <c r="N8" i="8" s="1"/>
  <c r="Q9" i="8"/>
  <c r="W10" i="4"/>
  <c r="P9" i="8" s="1"/>
  <c r="W11" i="4"/>
  <c r="P10" i="8" s="1"/>
  <c r="O10" i="4"/>
  <c r="M9" i="8" s="1"/>
  <c r="M10" i="4"/>
  <c r="L9" i="8" s="1"/>
  <c r="K9" i="8"/>
  <c r="K10" i="8"/>
  <c r="I9" i="8"/>
  <c r="T7" i="8"/>
  <c r="U10" i="2"/>
  <c r="O11" i="2"/>
  <c r="AB10" i="8" s="1"/>
  <c r="C10" i="2"/>
  <c r="G10" i="3"/>
  <c r="G9" i="8" s="1"/>
  <c r="U12" i="2"/>
  <c r="U11" i="2"/>
  <c r="O12" i="2"/>
  <c r="AB11" i="8" s="1"/>
  <c r="AB12" i="8"/>
  <c r="AB13" i="8"/>
  <c r="I12" i="3"/>
  <c r="I11" i="3"/>
  <c r="H10" i="8" s="1"/>
  <c r="G12" i="3"/>
  <c r="G11" i="8" s="1"/>
  <c r="G11" i="3"/>
  <c r="G10" i="8" s="1"/>
  <c r="F9" i="8"/>
  <c r="O12" i="8"/>
  <c r="S12" i="4"/>
  <c r="O11" i="8" s="1"/>
  <c r="O11" i="4"/>
  <c r="M11" i="4"/>
  <c r="L10" i="8" s="1"/>
  <c r="G9" i="9"/>
  <c r="M12" i="2"/>
  <c r="E12" i="2"/>
  <c r="E10" i="2"/>
  <c r="Q10" i="2"/>
  <c r="Q9" i="2"/>
  <c r="F11" i="8"/>
  <c r="C13" i="3"/>
  <c r="O13" i="8"/>
  <c r="M12" i="4"/>
  <c r="L11" i="8" s="1"/>
  <c r="J13" i="8"/>
  <c r="U13" i="2"/>
  <c r="M13" i="2"/>
  <c r="Q11" i="2"/>
  <c r="Q12" i="2"/>
  <c r="I13" i="3"/>
  <c r="H12" i="8" s="1"/>
  <c r="H13" i="8"/>
  <c r="F12" i="8"/>
  <c r="O14" i="8"/>
  <c r="L12" i="8"/>
  <c r="E13" i="2"/>
  <c r="S16" i="4"/>
  <c r="O15" i="8" s="1"/>
  <c r="L13" i="8"/>
  <c r="M16" i="2"/>
  <c r="Q13" i="2"/>
  <c r="H14" i="8"/>
  <c r="E14" i="8"/>
  <c r="I17" i="2"/>
  <c r="I16" i="2"/>
  <c r="S10" i="8"/>
  <c r="P12" i="8"/>
  <c r="N12" i="8"/>
  <c r="M13" i="8"/>
  <c r="J14" i="8"/>
  <c r="G11" i="9"/>
  <c r="G10" i="9"/>
  <c r="G13" i="3"/>
  <c r="G12" i="8" s="1"/>
  <c r="F13" i="8"/>
  <c r="E13" i="8"/>
  <c r="T14" i="8"/>
  <c r="P13" i="8"/>
  <c r="N13" i="8"/>
  <c r="M14" i="8"/>
  <c r="O16" i="4"/>
  <c r="M15" i="8" s="1"/>
  <c r="G12" i="9"/>
  <c r="G13" i="8"/>
  <c r="F15" i="8"/>
  <c r="F14" i="8"/>
  <c r="W14" i="8"/>
  <c r="V13" i="8"/>
  <c r="N14" i="8"/>
  <c r="G13" i="9"/>
  <c r="G15" i="8"/>
  <c r="G14" i="8"/>
  <c r="K13" i="8"/>
  <c r="K14" i="8"/>
  <c r="K15" i="8"/>
  <c r="I16" i="3"/>
  <c r="H15" i="8" s="1"/>
  <c r="I17" i="3"/>
  <c r="H16" i="8" s="1"/>
  <c r="C16" i="3"/>
  <c r="G17" i="9"/>
  <c r="G15" i="9"/>
  <c r="G14" i="9"/>
  <c r="M17" i="4"/>
  <c r="L16" i="8" s="1"/>
  <c r="M16" i="4"/>
  <c r="L15" i="8" s="1"/>
  <c r="L14" i="8"/>
  <c r="I14" i="8"/>
  <c r="F16" i="8"/>
  <c r="Q16" i="2"/>
  <c r="W16" i="4"/>
  <c r="Q16" i="4"/>
  <c r="C16" i="2"/>
  <c r="E16" i="2"/>
  <c r="G16" i="2"/>
  <c r="O16" i="2"/>
  <c r="AB15" i="8" s="1"/>
  <c r="O19" i="2"/>
  <c r="AB18" i="8" s="1"/>
  <c r="AB14" i="8"/>
  <c r="E17" i="2"/>
  <c r="C17" i="2"/>
  <c r="W16" i="8"/>
  <c r="U15" i="8"/>
  <c r="W17" i="4"/>
  <c r="P16" i="8" s="1"/>
  <c r="Q17" i="4"/>
  <c r="N16" i="8" s="1"/>
  <c r="I16" i="8"/>
  <c r="I18" i="8"/>
  <c r="U16" i="2"/>
  <c r="Q18" i="2"/>
  <c r="C18" i="2"/>
  <c r="E18" i="2"/>
  <c r="G18" i="2"/>
  <c r="M18" i="2"/>
  <c r="Q17" i="2"/>
  <c r="G17" i="2"/>
  <c r="M17" i="2"/>
  <c r="O17" i="2"/>
  <c r="AB16" i="8" s="1"/>
  <c r="E19" i="2"/>
  <c r="G19" i="2"/>
  <c r="M19" i="2"/>
  <c r="Q19" i="2"/>
  <c r="U17" i="2"/>
  <c r="W18" i="8"/>
  <c r="M22" i="4"/>
  <c r="L21" i="8" s="1"/>
  <c r="U18" i="2"/>
  <c r="U19" i="2"/>
  <c r="G20" i="2"/>
  <c r="U20" i="2"/>
  <c r="G21" i="2"/>
  <c r="U22" i="2"/>
  <c r="U21" i="2"/>
  <c r="W20" i="4"/>
  <c r="P19" i="8" s="1"/>
  <c r="I19" i="8"/>
  <c r="G16" i="9"/>
  <c r="U23" i="2"/>
  <c r="E20" i="2"/>
  <c r="E21" i="2"/>
  <c r="C20" i="2"/>
  <c r="S22" i="4"/>
  <c r="O21" i="8" s="1"/>
  <c r="K19" i="8"/>
  <c r="G18" i="9"/>
  <c r="G19" i="9"/>
  <c r="U17" i="8"/>
  <c r="U24" i="2"/>
  <c r="M20" i="2"/>
  <c r="AA19" i="8" s="1"/>
  <c r="C21" i="2"/>
  <c r="S20" i="4"/>
  <c r="O19" i="8" s="1"/>
  <c r="K20" i="8"/>
  <c r="U25" i="2"/>
  <c r="Q21" i="2"/>
  <c r="C22" i="2"/>
  <c r="C23" i="2"/>
  <c r="O20" i="4"/>
  <c r="M19" i="8" s="1"/>
  <c r="K21" i="8"/>
  <c r="G20" i="9"/>
  <c r="S20" i="8"/>
  <c r="U26" i="2"/>
  <c r="K22" i="8"/>
  <c r="K23" i="8"/>
  <c r="G21" i="9"/>
  <c r="G24" i="9"/>
  <c r="U27" i="2"/>
  <c r="Q23" i="2"/>
  <c r="U28" i="2"/>
  <c r="Q24" i="2"/>
  <c r="U29" i="2"/>
  <c r="Q25" i="2"/>
  <c r="Q26" i="2"/>
  <c r="Q27" i="2"/>
  <c r="Q28" i="2"/>
  <c r="Q29" i="2"/>
  <c r="S29" i="4"/>
  <c r="O28" i="8" s="1"/>
  <c r="O29" i="4"/>
  <c r="M28" i="8" s="1"/>
  <c r="Q29" i="4"/>
  <c r="N28" i="8" s="1"/>
  <c r="K28" i="8"/>
  <c r="M29" i="4"/>
  <c r="L28" i="8" s="1"/>
  <c r="C29" i="2"/>
  <c r="E29" i="2"/>
  <c r="G29" i="2"/>
  <c r="I29" i="2"/>
  <c r="M29" i="2"/>
  <c r="O29" i="2"/>
  <c r="AB28" i="8" s="1"/>
  <c r="Q30" i="2"/>
  <c r="S30" i="4"/>
  <c r="O29" i="8" s="1"/>
  <c r="O30" i="4"/>
  <c r="M29" i="8" s="1"/>
  <c r="Q30" i="4"/>
  <c r="N29" i="8" s="1"/>
  <c r="K29" i="8"/>
  <c r="M30" i="4"/>
  <c r="L29" i="8" s="1"/>
  <c r="C30" i="2"/>
  <c r="E30" i="2"/>
  <c r="G30" i="2"/>
  <c r="I30" i="2"/>
  <c r="M30" i="2"/>
  <c r="O30" i="2"/>
  <c r="AB29" i="8" s="1"/>
  <c r="I18" i="3"/>
  <c r="G17" i="8"/>
  <c r="H19" i="8"/>
  <c r="I19" i="3"/>
  <c r="H18" i="8" s="1"/>
  <c r="E19" i="8"/>
  <c r="I21" i="3"/>
  <c r="H20" i="8" s="1"/>
  <c r="G19" i="3"/>
  <c r="G18" i="8" s="1"/>
  <c r="G20" i="3"/>
  <c r="G21" i="3"/>
  <c r="G20" i="8" s="1"/>
  <c r="C21" i="3"/>
  <c r="G22" i="3"/>
  <c r="G21" i="8" s="1"/>
  <c r="G23" i="3"/>
  <c r="G22" i="8" s="1"/>
  <c r="U20" i="8"/>
  <c r="U21" i="8"/>
  <c r="U19" i="8"/>
  <c r="T20" i="8"/>
  <c r="I22" i="3"/>
  <c r="H21" i="8" s="1"/>
  <c r="F21" i="8"/>
  <c r="F20" i="8"/>
  <c r="F19" i="8"/>
  <c r="C22" i="3"/>
  <c r="I23" i="3"/>
  <c r="H22" i="8" s="1"/>
  <c r="C23" i="3"/>
  <c r="T25" i="8"/>
  <c r="I24" i="3"/>
  <c r="H23" i="8" s="1"/>
  <c r="C24" i="3"/>
  <c r="S21" i="4"/>
  <c r="O20" i="8" s="1"/>
  <c r="Q22" i="4"/>
  <c r="N21" i="8" s="1"/>
  <c r="Q21" i="4"/>
  <c r="N20" i="8" s="1"/>
  <c r="Q20" i="4"/>
  <c r="N19" i="8" s="1"/>
  <c r="O21" i="4"/>
  <c r="M20" i="8" s="1"/>
  <c r="O22" i="4"/>
  <c r="M21" i="8" s="1"/>
  <c r="O21" i="2"/>
  <c r="AB20" i="8" s="1"/>
  <c r="O22" i="2"/>
  <c r="AB21" i="8" s="1"/>
  <c r="O20" i="2"/>
  <c r="AB19" i="8" s="1"/>
  <c r="M21" i="2"/>
  <c r="I23" i="2"/>
  <c r="I22" i="2"/>
  <c r="I21" i="2"/>
  <c r="G24" i="2"/>
  <c r="G22" i="2"/>
  <c r="E22" i="2"/>
  <c r="G22" i="9"/>
  <c r="W21" i="4"/>
  <c r="P20" i="8" s="1"/>
  <c r="Q23" i="4"/>
  <c r="N22" i="8" s="1"/>
  <c r="O23" i="4"/>
  <c r="M22" i="8" s="1"/>
  <c r="M22" i="2"/>
  <c r="G23" i="2"/>
  <c r="E23" i="2"/>
  <c r="W22" i="4"/>
  <c r="P21" i="8" s="1"/>
  <c r="O24" i="4"/>
  <c r="M23" i="8" s="1"/>
  <c r="W24" i="4"/>
  <c r="P23" i="8" s="1"/>
  <c r="W26" i="4"/>
  <c r="W23" i="4"/>
  <c r="S23" i="4"/>
  <c r="O22" i="8" s="1"/>
  <c r="V23" i="8"/>
  <c r="W20" i="8"/>
  <c r="F22" i="8"/>
  <c r="I21" i="8"/>
  <c r="W21" i="8"/>
  <c r="W22" i="8"/>
  <c r="M23" i="2"/>
  <c r="I25" i="3"/>
  <c r="H24" i="8" s="1"/>
  <c r="G24" i="3"/>
  <c r="G23" i="8" s="1"/>
  <c r="F23" i="8"/>
  <c r="T23" i="8"/>
  <c r="S24" i="4"/>
  <c r="O23" i="8" s="1"/>
  <c r="S25" i="4"/>
  <c r="O24" i="8" s="1"/>
  <c r="M23" i="4"/>
  <c r="L22" i="8" s="1"/>
  <c r="G23" i="9"/>
  <c r="C24" i="2"/>
  <c r="O23" i="2"/>
  <c r="AB22" i="8" s="1"/>
  <c r="M24" i="2"/>
  <c r="I24" i="2"/>
  <c r="E24" i="2"/>
  <c r="F24" i="8"/>
  <c r="W23" i="8"/>
  <c r="S26" i="4"/>
  <c r="O25" i="8" s="1"/>
  <c r="O25" i="2"/>
  <c r="AB24" i="8" s="1"/>
  <c r="O24" i="2"/>
  <c r="AB23" i="8" s="1"/>
  <c r="M25" i="2"/>
  <c r="I25" i="2"/>
  <c r="I26" i="2"/>
  <c r="E25" i="2"/>
  <c r="G25" i="8"/>
  <c r="G24" i="8"/>
  <c r="C26" i="3"/>
  <c r="C25" i="3"/>
  <c r="W27" i="4"/>
  <c r="P26" i="8" s="1"/>
  <c r="Q25" i="4"/>
  <c r="N24" i="8" s="1"/>
  <c r="Q24" i="4"/>
  <c r="N23" i="8" s="1"/>
  <c r="M25" i="4"/>
  <c r="L24" i="8" s="1"/>
  <c r="M24" i="4"/>
  <c r="L23" i="8" s="1"/>
  <c r="K25" i="8"/>
  <c r="K24" i="8"/>
  <c r="G25" i="9"/>
  <c r="W24" i="8"/>
  <c r="T26" i="8"/>
  <c r="E26" i="2"/>
  <c r="Q26" i="4"/>
  <c r="N25" i="8" s="1"/>
  <c r="Q27" i="4"/>
  <c r="N26" i="8" s="1"/>
  <c r="O25" i="4"/>
  <c r="M24" i="8" s="1"/>
  <c r="M26" i="4"/>
  <c r="L25" i="8" s="1"/>
  <c r="W25" i="8"/>
  <c r="E27" i="2"/>
  <c r="O26" i="4"/>
  <c r="M25" i="8" s="1"/>
  <c r="M27" i="4"/>
  <c r="L26" i="8" s="1"/>
  <c r="E28" i="2"/>
  <c r="O26" i="2"/>
  <c r="AB25" i="8" s="1"/>
  <c r="I28" i="2"/>
  <c r="I27" i="2"/>
  <c r="G27" i="2"/>
  <c r="G26" i="2"/>
  <c r="F25" i="8"/>
  <c r="O27" i="4"/>
  <c r="M26" i="8" s="1"/>
  <c r="M28" i="4"/>
  <c r="L27" i="8" s="1"/>
  <c r="S28" i="4"/>
  <c r="O27" i="8" s="1"/>
  <c r="S27" i="4"/>
  <c r="O26" i="8" s="1"/>
  <c r="O28" i="4"/>
  <c r="M27" i="8" s="1"/>
  <c r="K26" i="8"/>
  <c r="I27" i="3"/>
  <c r="H26" i="8" s="1"/>
  <c r="I26" i="3"/>
  <c r="H25" i="8" s="1"/>
  <c r="F26" i="8"/>
  <c r="C29" i="3"/>
  <c r="C28" i="3"/>
  <c r="C27" i="3"/>
  <c r="O27" i="2"/>
  <c r="AB26" i="8" s="1"/>
  <c r="M27" i="2"/>
  <c r="C25" i="2"/>
  <c r="G28" i="2"/>
  <c r="W28" i="4"/>
  <c r="P27" i="8" s="1"/>
  <c r="Q28" i="4"/>
  <c r="N27" i="8" s="1"/>
  <c r="K27" i="8"/>
  <c r="I29" i="3"/>
  <c r="H28" i="8" s="1"/>
  <c r="I28" i="3"/>
  <c r="H27" i="8" s="1"/>
  <c r="G26" i="8"/>
  <c r="F27" i="8"/>
  <c r="C30" i="3"/>
  <c r="O28" i="2"/>
  <c r="AB27" i="8" s="1"/>
  <c r="M28" i="2"/>
  <c r="C27" i="2"/>
  <c r="I30" i="3"/>
  <c r="H29" i="8" s="1"/>
  <c r="G28" i="3"/>
  <c r="G27" i="8" s="1"/>
  <c r="G29" i="3"/>
  <c r="G28" i="8" s="1"/>
  <c r="F28" i="8"/>
  <c r="C28" i="2"/>
  <c r="W27" i="8"/>
  <c r="U25" i="8"/>
  <c r="S24" i="8"/>
  <c r="F29" i="8"/>
  <c r="U26" i="8"/>
  <c r="V25" i="8"/>
  <c r="G27" i="9"/>
  <c r="G26" i="9"/>
  <c r="G28" i="9"/>
  <c r="S27" i="8"/>
  <c r="V27" i="8"/>
  <c r="J6" i="3" l="1"/>
  <c r="J20" i="3"/>
  <c r="K20" i="3" s="1"/>
  <c r="J5" i="3"/>
  <c r="K5" i="3" s="1"/>
  <c r="J29" i="3"/>
  <c r="K29" i="3" s="1"/>
  <c r="J9" i="3"/>
  <c r="K9" i="3" s="1"/>
  <c r="J7" i="3"/>
  <c r="K7" i="3" s="1"/>
  <c r="E11" i="8"/>
  <c r="J12" i="3"/>
  <c r="K12" i="3" s="1"/>
  <c r="E25" i="8"/>
  <c r="AD25" i="8" s="1"/>
  <c r="J26" i="3"/>
  <c r="K26" i="3" s="1"/>
  <c r="E21" i="8"/>
  <c r="AD21" i="8" s="1"/>
  <c r="J22" i="3"/>
  <c r="K22" i="3" s="1"/>
  <c r="E10" i="8"/>
  <c r="J11" i="3"/>
  <c r="K11" i="3" s="1"/>
  <c r="E29" i="8"/>
  <c r="AD29" i="8" s="1"/>
  <c r="E27" i="8"/>
  <c r="AD27" i="8" s="1"/>
  <c r="J28" i="3"/>
  <c r="K28" i="3" s="1"/>
  <c r="E24" i="8"/>
  <c r="AD24" i="8" s="1"/>
  <c r="J25" i="3"/>
  <c r="K25" i="3" s="1"/>
  <c r="E23" i="8"/>
  <c r="AD23" i="8" s="1"/>
  <c r="J24" i="3"/>
  <c r="K24" i="3" s="1"/>
  <c r="E12" i="8"/>
  <c r="AD12" i="8" s="1"/>
  <c r="J13" i="3"/>
  <c r="K13" i="3" s="1"/>
  <c r="E9" i="8"/>
  <c r="AD9" i="8" s="1"/>
  <c r="AE9" i="8" s="1"/>
  <c r="J10" i="3"/>
  <c r="K10" i="3" s="1"/>
  <c r="E26" i="8"/>
  <c r="AD26" i="8" s="1"/>
  <c r="J27" i="3"/>
  <c r="K27" i="3" s="1"/>
  <c r="E22" i="8"/>
  <c r="AD22" i="8" s="1"/>
  <c r="J23" i="3"/>
  <c r="K23" i="3" s="1"/>
  <c r="E20" i="8"/>
  <c r="AD20" i="8" s="1"/>
  <c r="J21" i="3"/>
  <c r="K21" i="3" s="1"/>
  <c r="E15" i="8"/>
  <c r="AD15" i="8" s="1"/>
  <c r="J16" i="3"/>
  <c r="K16" i="3" s="1"/>
  <c r="AC8" i="8"/>
  <c r="AC15" i="8"/>
  <c r="T4" i="1"/>
  <c r="T5" i="1"/>
  <c r="U5" i="1" s="1"/>
  <c r="V3" i="8"/>
  <c r="U3" i="8"/>
  <c r="M3" i="8"/>
  <c r="L3" i="8"/>
  <c r="K3" i="8"/>
  <c r="N3" i="8"/>
  <c r="J3" i="8"/>
  <c r="P3" i="8"/>
  <c r="Q3" i="8"/>
  <c r="O3" i="8"/>
  <c r="F3" i="8"/>
  <c r="AB3" i="8"/>
  <c r="M34" i="2"/>
  <c r="Q34" i="2"/>
  <c r="U34" i="2"/>
  <c r="E34" i="2"/>
  <c r="AA27" i="8"/>
  <c r="T5" i="8"/>
  <c r="N5" i="8"/>
  <c r="M5" i="8"/>
  <c r="L5" i="8"/>
  <c r="J7" i="8"/>
  <c r="I7" i="4"/>
  <c r="Q5" i="8"/>
  <c r="H5" i="8"/>
  <c r="AD5" i="8" s="1"/>
  <c r="AE5" i="8" s="1"/>
  <c r="G5" i="8"/>
  <c r="F5" i="8"/>
  <c r="E8" i="8"/>
  <c r="AD8" i="8" s="1"/>
  <c r="AE8" i="8" s="1"/>
  <c r="O4" i="8"/>
  <c r="AC18" i="8"/>
  <c r="Z19" i="8"/>
  <c r="AA2" i="8"/>
  <c r="AC25" i="8"/>
  <c r="AC20" i="8"/>
  <c r="AC28" i="8"/>
  <c r="AA14" i="8"/>
  <c r="U4" i="8"/>
  <c r="AA6" i="8"/>
  <c r="AA23" i="8"/>
  <c r="AC10" i="8"/>
  <c r="AC14" i="8"/>
  <c r="AA4" i="8"/>
  <c r="AC7" i="8"/>
  <c r="S25" i="8"/>
  <c r="AA3" i="8"/>
  <c r="V15" i="8"/>
  <c r="T13" i="8"/>
  <c r="I5" i="4"/>
  <c r="AD13" i="8"/>
  <c r="AC5" i="8"/>
  <c r="AC27" i="8"/>
  <c r="AC23" i="8"/>
  <c r="AC21" i="8"/>
  <c r="AC19" i="8"/>
  <c r="AC11" i="8"/>
  <c r="AA5" i="8"/>
  <c r="E5" i="9" s="1"/>
  <c r="AC29" i="8"/>
  <c r="W26" i="8"/>
  <c r="T19" i="8"/>
  <c r="U13" i="8"/>
  <c r="V21" i="8"/>
  <c r="Z27" i="8"/>
  <c r="Z20" i="8"/>
  <c r="AC17" i="8"/>
  <c r="AC24" i="8"/>
  <c r="AC16" i="8"/>
  <c r="Z25" i="8"/>
  <c r="U18" i="8"/>
  <c r="U27" i="8"/>
  <c r="V19" i="8"/>
  <c r="V26" i="8"/>
  <c r="T24" i="8"/>
  <c r="Z27" i="4"/>
  <c r="X27" i="4"/>
  <c r="I16" i="4"/>
  <c r="W17" i="8"/>
  <c r="U16" i="8"/>
  <c r="U24" i="8"/>
  <c r="V14" i="8"/>
  <c r="T15" i="8"/>
  <c r="S22" i="8"/>
  <c r="S28" i="8"/>
  <c r="S15" i="8"/>
  <c r="V9" i="8"/>
  <c r="T9" i="8"/>
  <c r="I15" i="8"/>
  <c r="Z20" i="4"/>
  <c r="Z26" i="8"/>
  <c r="Z16" i="8"/>
  <c r="AA25" i="8"/>
  <c r="AA15" i="8"/>
  <c r="AA24" i="8"/>
  <c r="AA29" i="8"/>
  <c r="AA28" i="8"/>
  <c r="AC13" i="8"/>
  <c r="AC12" i="8"/>
  <c r="AC9" i="8"/>
  <c r="Z10" i="4"/>
  <c r="AC4" i="8"/>
  <c r="AA7" i="8"/>
  <c r="Z6" i="8"/>
  <c r="I6" i="8"/>
  <c r="U8" i="8"/>
  <c r="S6" i="8"/>
  <c r="V5" i="8"/>
  <c r="R6" i="8"/>
  <c r="V28" i="8"/>
  <c r="V22" i="8"/>
  <c r="S13" i="8"/>
  <c r="U14" i="8"/>
  <c r="U9" i="8"/>
  <c r="S5" i="8"/>
  <c r="R5" i="8"/>
  <c r="V20" i="8"/>
  <c r="T22" i="8"/>
  <c r="W7" i="8"/>
  <c r="R7" i="8"/>
  <c r="T6" i="1"/>
  <c r="W13" i="8"/>
  <c r="W10" i="8"/>
  <c r="V24" i="8"/>
  <c r="T27" i="8"/>
  <c r="S7" i="8"/>
  <c r="S23" i="8"/>
  <c r="S4" i="8"/>
  <c r="R10" i="8"/>
  <c r="R11" i="8"/>
  <c r="T10" i="1"/>
  <c r="U10" i="1" s="1"/>
  <c r="R9" i="8"/>
  <c r="I4" i="4"/>
  <c r="S2" i="8"/>
  <c r="R3" i="8"/>
  <c r="V2" i="8"/>
  <c r="X24" i="4"/>
  <c r="Z24" i="4"/>
  <c r="Z6" i="4"/>
  <c r="Z23" i="4"/>
  <c r="X7" i="4"/>
  <c r="Z25" i="4"/>
  <c r="Z22" i="4"/>
  <c r="X22" i="4"/>
  <c r="X10" i="4"/>
  <c r="I10" i="4"/>
  <c r="Y9" i="8"/>
  <c r="I9" i="4"/>
  <c r="I3" i="8"/>
  <c r="I13" i="8"/>
  <c r="Y13" i="8" s="1"/>
  <c r="Z4" i="4"/>
  <c r="X4" i="4"/>
  <c r="AD10" i="8"/>
  <c r="AE10" i="8" s="1"/>
  <c r="AC22" i="8"/>
  <c r="AC26" i="8"/>
  <c r="AA26" i="8"/>
  <c r="Z7" i="8"/>
  <c r="Z5" i="8"/>
  <c r="Z24" i="8"/>
  <c r="Z8" i="8"/>
  <c r="Z23" i="8"/>
  <c r="Z29" i="8"/>
  <c r="Z14" i="8"/>
  <c r="Z15" i="8"/>
  <c r="Z13" i="8"/>
  <c r="Z21" i="8"/>
  <c r="Z22" i="8"/>
  <c r="Z3" i="8"/>
  <c r="C9" i="11"/>
  <c r="D9" i="11" s="1"/>
  <c r="C11" i="11"/>
  <c r="D11" i="11" s="1"/>
  <c r="Z26" i="4"/>
  <c r="P25" i="8"/>
  <c r="T28" i="8"/>
  <c r="Z18" i="8"/>
  <c r="I18" i="2"/>
  <c r="Z17" i="8" s="1"/>
  <c r="V4" i="8"/>
  <c r="L4" i="8"/>
  <c r="X5" i="4"/>
  <c r="T11" i="1"/>
  <c r="U11" i="1" s="1"/>
  <c r="S26" i="8"/>
  <c r="X26" i="4"/>
  <c r="X23" i="4"/>
  <c r="U23" i="8"/>
  <c r="I22" i="8"/>
  <c r="Z21" i="4"/>
  <c r="S21" i="8"/>
  <c r="M20" i="4"/>
  <c r="M21" i="4"/>
  <c r="O18" i="2"/>
  <c r="AB17" i="8" s="1"/>
  <c r="Q18" i="4"/>
  <c r="N17" i="8" s="1"/>
  <c r="Q19" i="4"/>
  <c r="N18" i="8" s="1"/>
  <c r="W18" i="4"/>
  <c r="W19" i="4"/>
  <c r="P15" i="8"/>
  <c r="Z16" i="4"/>
  <c r="P14" i="8"/>
  <c r="C11" i="2"/>
  <c r="U5" i="8"/>
  <c r="I17" i="8"/>
  <c r="I11" i="2"/>
  <c r="S3" i="8"/>
  <c r="G34" i="1"/>
  <c r="U28" i="8"/>
  <c r="G30" i="3"/>
  <c r="G29" i="8" s="1"/>
  <c r="X28" i="4"/>
  <c r="X25" i="4"/>
  <c r="P22" i="8"/>
  <c r="T21" i="8"/>
  <c r="U22" i="8"/>
  <c r="Z28" i="8"/>
  <c r="T16" i="8"/>
  <c r="M18" i="4"/>
  <c r="L17" i="8" s="1"/>
  <c r="M19" i="4"/>
  <c r="L18" i="8" s="1"/>
  <c r="I10" i="8"/>
  <c r="M10" i="8"/>
  <c r="P11" i="8"/>
  <c r="W8" i="8"/>
  <c r="T8" i="8"/>
  <c r="P8" i="8"/>
  <c r="Z9" i="4"/>
  <c r="M8" i="8"/>
  <c r="X9" i="4"/>
  <c r="Z28" i="4"/>
  <c r="W29" i="4"/>
  <c r="W30" i="4"/>
  <c r="N15" i="8"/>
  <c r="X16" i="4"/>
  <c r="S14" i="8"/>
  <c r="C17" i="3"/>
  <c r="W15" i="8"/>
  <c r="O17" i="4"/>
  <c r="M16" i="8" s="1"/>
  <c r="S17" i="4"/>
  <c r="T9" i="1"/>
  <c r="U9" i="1" s="1"/>
  <c r="O12" i="4"/>
  <c r="M11" i="8" s="1"/>
  <c r="Z4" i="8"/>
  <c r="P6" i="8"/>
  <c r="Z7" i="4"/>
  <c r="K5" i="8"/>
  <c r="X6" i="4"/>
  <c r="H4" i="8"/>
  <c r="J5" i="8"/>
  <c r="Z2" i="8"/>
  <c r="J10" i="8"/>
  <c r="W2" i="8"/>
  <c r="N7" i="8"/>
  <c r="W6" i="8"/>
  <c r="V7" i="8"/>
  <c r="AC3" i="8"/>
  <c r="P4" i="8"/>
  <c r="Z5" i="4"/>
  <c r="R2" i="8"/>
  <c r="C8" i="11"/>
  <c r="D8" i="11" s="1"/>
  <c r="AA16" i="8"/>
  <c r="AC6" i="8"/>
  <c r="T6" i="8"/>
  <c r="G3" i="8"/>
  <c r="Q11" i="4"/>
  <c r="AD2" i="8"/>
  <c r="AE2" i="8" s="1"/>
  <c r="N64" i="10"/>
  <c r="V16" i="8"/>
  <c r="S19" i="8"/>
  <c r="V8" i="8"/>
  <c r="T7" i="1"/>
  <c r="U7" i="1" s="1"/>
  <c r="T3" i="8"/>
  <c r="W3" i="8"/>
  <c r="T10" i="8"/>
  <c r="S8" i="8"/>
  <c r="L2" i="8"/>
  <c r="O2" i="8"/>
  <c r="N2" i="8"/>
  <c r="M2" i="8"/>
  <c r="J2" i="8"/>
  <c r="I2" i="8"/>
  <c r="Q2" i="8"/>
  <c r="P2" i="8"/>
  <c r="G19" i="8"/>
  <c r="G16" i="8"/>
  <c r="F17" i="8"/>
  <c r="E28" i="8"/>
  <c r="AD7" i="8"/>
  <c r="AE7" i="8" s="1"/>
  <c r="AD19" i="8"/>
  <c r="F10" i="8"/>
  <c r="H17" i="8"/>
  <c r="AD14" i="8"/>
  <c r="H11" i="8"/>
  <c r="AD6" i="8"/>
  <c r="AE6" i="8" s="1"/>
  <c r="C27" i="11"/>
  <c r="D27" i="11" s="1"/>
  <c r="D26" i="11"/>
  <c r="C16" i="11"/>
  <c r="D16" i="11" s="1"/>
  <c r="D14" i="11"/>
  <c r="Y6" i="4" l="1"/>
  <c r="J30" i="3"/>
  <c r="K30" i="3" s="1"/>
  <c r="E16" i="8"/>
  <c r="AD16" i="8" s="1"/>
  <c r="J17" i="3"/>
  <c r="K17" i="3" s="1"/>
  <c r="AD4" i="8"/>
  <c r="AE4" i="8" s="1"/>
  <c r="I4" i="9" s="1"/>
  <c r="I2" i="9"/>
  <c r="I8" i="9"/>
  <c r="I6" i="9"/>
  <c r="AD11" i="8"/>
  <c r="AE11" i="8" s="1"/>
  <c r="I11" i="9" s="1"/>
  <c r="I5" i="9"/>
  <c r="I7" i="9"/>
  <c r="I10" i="9"/>
  <c r="I9" i="9"/>
  <c r="AE13" i="8"/>
  <c r="I13" i="9" s="1"/>
  <c r="AE20" i="8"/>
  <c r="I20" i="9" s="1"/>
  <c r="AE23" i="8"/>
  <c r="I23" i="9" s="1"/>
  <c r="AE26" i="8"/>
  <c r="I26" i="9" s="1"/>
  <c r="AE21" i="8"/>
  <c r="I21" i="9" s="1"/>
  <c r="AE24" i="8"/>
  <c r="I24" i="9" s="1"/>
  <c r="AE22" i="8"/>
  <c r="I22" i="9" s="1"/>
  <c r="AE14" i="8"/>
  <c r="I14" i="9" s="1"/>
  <c r="AE25" i="8"/>
  <c r="I25" i="9" s="1"/>
  <c r="AE27" i="8"/>
  <c r="I27" i="9" s="1"/>
  <c r="AE12" i="8"/>
  <c r="I12" i="9" s="1"/>
  <c r="AE29" i="8"/>
  <c r="I29" i="9" s="1"/>
  <c r="AE15" i="8"/>
  <c r="I15" i="9" s="1"/>
  <c r="AE19" i="8"/>
  <c r="I19" i="9" s="1"/>
  <c r="R34" i="1"/>
  <c r="AA8" i="4"/>
  <c r="W34" i="4"/>
  <c r="Y7" i="4"/>
  <c r="G34" i="3"/>
  <c r="M34" i="4"/>
  <c r="Y3" i="8"/>
  <c r="E3" i="9" s="1"/>
  <c r="Q34" i="4"/>
  <c r="E34" i="3"/>
  <c r="O34" i="2"/>
  <c r="U6" i="1"/>
  <c r="K6" i="3"/>
  <c r="Y5" i="4"/>
  <c r="Y4" i="4"/>
  <c r="S12" i="8"/>
  <c r="Y16" i="4"/>
  <c r="J15" i="8"/>
  <c r="Y15" i="8" s="1"/>
  <c r="Z12" i="4"/>
  <c r="Y9" i="4"/>
  <c r="Y5" i="8"/>
  <c r="Y6" i="8"/>
  <c r="E6" i="9" s="1"/>
  <c r="Y4" i="8"/>
  <c r="E4" i="9" s="1"/>
  <c r="Y8" i="8"/>
  <c r="AA23" i="4"/>
  <c r="AA26" i="4"/>
  <c r="AA25" i="4"/>
  <c r="AA24" i="4"/>
  <c r="Y10" i="4"/>
  <c r="AD28" i="8"/>
  <c r="O16" i="8"/>
  <c r="Z17" i="4"/>
  <c r="AA17" i="4" s="1"/>
  <c r="AA9" i="8"/>
  <c r="AA10" i="4"/>
  <c r="AA9" i="4"/>
  <c r="M12" i="8"/>
  <c r="AA16" i="4"/>
  <c r="S19" i="4"/>
  <c r="O18" i="8" s="1"/>
  <c r="S18" i="4"/>
  <c r="O17" i="8" s="1"/>
  <c r="P29" i="8"/>
  <c r="Z30" i="4"/>
  <c r="AA33" i="4" s="1"/>
  <c r="X30" i="4"/>
  <c r="I20" i="8"/>
  <c r="X17" i="4"/>
  <c r="K16" i="8"/>
  <c r="I12" i="2"/>
  <c r="I13" i="2"/>
  <c r="I12" i="8"/>
  <c r="K12" i="8"/>
  <c r="P18" i="8"/>
  <c r="S11" i="8"/>
  <c r="W28" i="8"/>
  <c r="J12" i="8"/>
  <c r="J11" i="8"/>
  <c r="C12" i="2"/>
  <c r="C34" i="2" s="1"/>
  <c r="K11" i="8"/>
  <c r="X12" i="4"/>
  <c r="C22" i="11"/>
  <c r="D22" i="11" s="1"/>
  <c r="AA17" i="8"/>
  <c r="AA8" i="8"/>
  <c r="O19" i="4"/>
  <c r="M18" i="8" s="1"/>
  <c r="C19" i="3"/>
  <c r="C18" i="3"/>
  <c r="J18" i="3" s="1"/>
  <c r="P28" i="8"/>
  <c r="Z29" i="4"/>
  <c r="Z9" i="8"/>
  <c r="P17" i="8"/>
  <c r="X21" i="4"/>
  <c r="L20" i="8"/>
  <c r="AA27" i="4"/>
  <c r="I11" i="8"/>
  <c r="Z11" i="4"/>
  <c r="N10" i="8"/>
  <c r="AA5" i="4"/>
  <c r="AA4" i="4"/>
  <c r="AA6" i="4"/>
  <c r="AA7" i="4"/>
  <c r="Y7" i="8"/>
  <c r="E7" i="9" s="1"/>
  <c r="G11" i="2"/>
  <c r="Y14" i="8"/>
  <c r="X11" i="4"/>
  <c r="Y11" i="4" s="1"/>
  <c r="L19" i="8"/>
  <c r="X20" i="4"/>
  <c r="X29" i="4"/>
  <c r="U10" i="8"/>
  <c r="AA28" i="4"/>
  <c r="U4" i="1"/>
  <c r="U11" i="8"/>
  <c r="T12" i="8"/>
  <c r="T17" i="8"/>
  <c r="W11" i="8"/>
  <c r="V12" i="8"/>
  <c r="S17" i="8"/>
  <c r="S16" i="8"/>
  <c r="U12" i="8"/>
  <c r="T11" i="8"/>
  <c r="T12" i="1"/>
  <c r="U12" i="1" s="1"/>
  <c r="T18" i="8"/>
  <c r="W12" i="8"/>
  <c r="V11" i="8"/>
  <c r="S18" i="8"/>
  <c r="Y2" i="8"/>
  <c r="E2" i="9" s="1"/>
  <c r="F18" i="8"/>
  <c r="F34" i="1" l="1"/>
  <c r="S32" i="8"/>
  <c r="T33" i="1"/>
  <c r="U33" i="1" s="1"/>
  <c r="AA13" i="4"/>
  <c r="AE16" i="8"/>
  <c r="I16" i="9" s="1"/>
  <c r="E18" i="8"/>
  <c r="AD18" i="8" s="1"/>
  <c r="J19" i="3"/>
  <c r="K19" i="3" s="1"/>
  <c r="AE28" i="8"/>
  <c r="I28" i="9" s="1"/>
  <c r="I34" i="2"/>
  <c r="K34" i="4"/>
  <c r="S34" i="1"/>
  <c r="L34" i="1"/>
  <c r="P34" i="1"/>
  <c r="O34" i="4"/>
  <c r="S34" i="4"/>
  <c r="C34" i="3"/>
  <c r="Z10" i="8"/>
  <c r="AA32" i="4"/>
  <c r="AA31" i="4"/>
  <c r="AA11" i="4"/>
  <c r="AA14" i="4"/>
  <c r="AA15" i="4"/>
  <c r="I17" i="4"/>
  <c r="Y17" i="4" s="1"/>
  <c r="J16" i="8"/>
  <c r="Y16" i="8" s="1"/>
  <c r="Y11" i="8"/>
  <c r="Z18" i="4"/>
  <c r="AA18" i="4" s="1"/>
  <c r="E8" i="9"/>
  <c r="AA30" i="4"/>
  <c r="AA29" i="4"/>
  <c r="I12" i="4"/>
  <c r="E9" i="9"/>
  <c r="X18" i="4"/>
  <c r="K17" i="8"/>
  <c r="Y12" i="8"/>
  <c r="E17" i="8"/>
  <c r="AD17" i="8" s="1"/>
  <c r="AA18" i="8"/>
  <c r="G12" i="2"/>
  <c r="G13" i="2"/>
  <c r="Z12" i="8" s="1"/>
  <c r="AA12" i="4"/>
  <c r="K18" i="8"/>
  <c r="X19" i="4"/>
  <c r="M17" i="8"/>
  <c r="Z19" i="4"/>
  <c r="Y10" i="8"/>
  <c r="V18" i="8"/>
  <c r="V17" i="8"/>
  <c r="Y12" i="4" l="1"/>
  <c r="AE17" i="8"/>
  <c r="I17" i="9" s="1"/>
  <c r="AE18" i="8"/>
  <c r="I18" i="9" s="1"/>
  <c r="M34" i="1"/>
  <c r="G34" i="2"/>
  <c r="Z34" i="4"/>
  <c r="J17" i="8"/>
  <c r="Y17" i="8" s="1"/>
  <c r="I18" i="4"/>
  <c r="Y18" i="4" s="1"/>
  <c r="I19" i="4"/>
  <c r="AA11" i="8"/>
  <c r="Z11" i="8"/>
  <c r="AA22" i="4"/>
  <c r="AA19" i="4"/>
  <c r="AA21" i="4"/>
  <c r="K18" i="3"/>
  <c r="AA20" i="4"/>
  <c r="AA20" i="8"/>
  <c r="AA10" i="8"/>
  <c r="X34" i="4"/>
  <c r="R29" i="8" l="1"/>
  <c r="AA34" i="4"/>
  <c r="T30" i="1"/>
  <c r="U30" i="1" s="1"/>
  <c r="J18" i="8"/>
  <c r="Y18" i="8" s="1"/>
  <c r="Y19" i="4"/>
  <c r="AA21" i="8"/>
  <c r="AA13" i="8"/>
  <c r="AA22" i="8" l="1"/>
  <c r="R30" i="8"/>
  <c r="T31" i="1"/>
  <c r="U31" i="1" s="1"/>
  <c r="J19" i="8"/>
  <c r="Y19" i="8" s="1"/>
  <c r="I20" i="4"/>
  <c r="Y20" i="4" s="1"/>
  <c r="AA12" i="8"/>
  <c r="R31" i="8" l="1"/>
  <c r="T32" i="1"/>
  <c r="U32" i="1" s="1"/>
  <c r="I21" i="4"/>
  <c r="Y21" i="4" s="1"/>
  <c r="J20" i="8"/>
  <c r="Y20" i="8" s="1"/>
  <c r="I22" i="4" l="1"/>
  <c r="Y22" i="4" s="1"/>
  <c r="J21" i="8"/>
  <c r="Y21" i="8" s="1"/>
  <c r="I23" i="4" l="1"/>
  <c r="Y23" i="4" s="1"/>
  <c r="J22" i="8"/>
  <c r="Y22" i="8" s="1"/>
  <c r="J23" i="8" l="1"/>
  <c r="J24" i="8" l="1"/>
  <c r="J25" i="8" l="1"/>
  <c r="J26" i="8" l="1"/>
  <c r="J27" i="8" l="1"/>
  <c r="H34" i="4" l="1"/>
  <c r="J28" i="8"/>
  <c r="J29" i="8" l="1"/>
  <c r="C2" i="11" l="1"/>
  <c r="D2" i="11" s="1"/>
  <c r="R12" i="8" l="1"/>
  <c r="T13" i="1" l="1"/>
  <c r="R13" i="8"/>
  <c r="U13" i="1" l="1"/>
  <c r="R14" i="8"/>
  <c r="T16" i="1" l="1"/>
  <c r="R15" i="8"/>
  <c r="U16" i="1" l="1"/>
  <c r="R16" i="8"/>
  <c r="T17" i="1"/>
  <c r="U17" i="1" s="1"/>
  <c r="R17" i="8" l="1"/>
  <c r="T18" i="1"/>
  <c r="U18" i="1" l="1"/>
  <c r="R18" i="8"/>
  <c r="T19" i="1"/>
  <c r="U19" i="1" s="1"/>
  <c r="R19" i="8" l="1"/>
  <c r="T20" i="1"/>
  <c r="U20" i="1" s="1"/>
  <c r="R20" i="8" l="1"/>
  <c r="T21" i="1"/>
  <c r="U21" i="1" s="1"/>
  <c r="R21" i="8" l="1"/>
  <c r="U22" i="1"/>
  <c r="R22" i="8" l="1"/>
  <c r="U23" i="1"/>
  <c r="R23" i="8" l="1"/>
  <c r="U24" i="1"/>
  <c r="T25" i="1" l="1"/>
  <c r="U25" i="1" s="1"/>
  <c r="R24" i="8"/>
  <c r="T26" i="1" l="1"/>
  <c r="U26" i="1" s="1"/>
  <c r="R25" i="8"/>
  <c r="T27" i="1" l="1"/>
  <c r="U27" i="1" s="1"/>
  <c r="R26" i="8"/>
  <c r="T28" i="1" l="1"/>
  <c r="U28" i="1" s="1"/>
  <c r="R27" i="8"/>
  <c r="T29" i="1" l="1"/>
  <c r="T34" i="1" s="1"/>
  <c r="R28" i="8"/>
  <c r="U29" i="1" l="1"/>
  <c r="U34" i="1" s="1"/>
  <c r="I23" i="8" l="1"/>
  <c r="Y23" i="8" s="1"/>
  <c r="I25" i="4"/>
  <c r="Y25" i="4" s="1"/>
  <c r="I24" i="8"/>
  <c r="Y24" i="8" s="1"/>
  <c r="I24" i="4"/>
  <c r="Y24" i="4" s="1"/>
  <c r="I27" i="4" l="1"/>
  <c r="Y27" i="4" s="1"/>
  <c r="I26" i="8"/>
  <c r="Y26" i="8" s="1"/>
  <c r="I26" i="4"/>
  <c r="Y26" i="4" s="1"/>
  <c r="I25" i="8"/>
  <c r="Y25" i="8" s="1"/>
  <c r="I31" i="4" l="1"/>
  <c r="I28" i="4"/>
  <c r="Y28" i="4" s="1"/>
  <c r="I27" i="8"/>
  <c r="Y27" i="8" s="1"/>
  <c r="F34" i="4" l="1"/>
  <c r="I28" i="8"/>
  <c r="Y28" i="8" s="1"/>
  <c r="I29" i="4"/>
  <c r="Y29" i="4" s="1"/>
  <c r="I29" i="8" l="1"/>
  <c r="Y29" i="8" s="1"/>
  <c r="I30" i="4"/>
  <c r="Y30" i="4" s="1"/>
  <c r="Y31" i="4" l="1"/>
  <c r="Y34" i="4" s="1"/>
  <c r="I34" i="4"/>
  <c r="Q10" i="8"/>
  <c r="E10" i="9" s="1"/>
  <c r="Q11" i="8"/>
  <c r="E11" i="9" s="1"/>
  <c r="Q12" i="8" l="1"/>
  <c r="E12" i="9" s="1"/>
  <c r="Q13" i="8" l="1"/>
  <c r="E13" i="9" s="1"/>
  <c r="Q14" i="8" l="1"/>
  <c r="E14" i="9" s="1"/>
  <c r="Q15" i="8" l="1"/>
  <c r="E15" i="9" s="1"/>
  <c r="Q16" i="8" l="1"/>
  <c r="E16" i="9" s="1"/>
  <c r="Q17" i="8" l="1"/>
  <c r="E17" i="9" s="1"/>
  <c r="Q18" i="8" l="1"/>
  <c r="E18" i="9" s="1"/>
  <c r="Q19" i="8" l="1"/>
  <c r="E19" i="9" s="1"/>
  <c r="Q20" i="8" l="1"/>
  <c r="E20" i="9" s="1"/>
  <c r="Q21" i="8" l="1"/>
  <c r="E21" i="9" s="1"/>
  <c r="Q22" i="8" l="1"/>
  <c r="E22" i="9" s="1"/>
  <c r="Q23" i="8" l="1"/>
  <c r="E23" i="9" s="1"/>
  <c r="Q24" i="8" l="1"/>
  <c r="E24" i="9" s="1"/>
  <c r="Q25" i="8" l="1"/>
  <c r="E25" i="9" s="1"/>
  <c r="Q26" i="8" l="1"/>
  <c r="E26" i="9" s="1"/>
  <c r="Q27" i="8" l="1"/>
  <c r="E27" i="9" s="1"/>
  <c r="Q28" i="8" l="1"/>
  <c r="E28" i="9" s="1"/>
  <c r="Q29" i="8" l="1"/>
  <c r="E29" i="9" s="1"/>
  <c r="D34" i="4" l="1"/>
  <c r="K26" i="11"/>
  <c r="C7" i="11" l="1"/>
  <c r="D7" i="11" s="1"/>
  <c r="C5" i="11"/>
  <c r="D5" i="11" s="1"/>
  <c r="C6" i="11"/>
  <c r="D6" i="11" s="1"/>
  <c r="I34" i="3"/>
  <c r="H3" i="8"/>
  <c r="J4" i="3"/>
  <c r="J34" i="3" l="1"/>
  <c r="AD3" i="8"/>
  <c r="AE3" i="8" s="1"/>
  <c r="I3" i="9" s="1"/>
  <c r="K4" i="3"/>
  <c r="K34" i="3" l="1"/>
</calcChain>
</file>

<file path=xl/sharedStrings.xml><?xml version="1.0" encoding="utf-8"?>
<sst xmlns="http://schemas.openxmlformats.org/spreadsheetml/2006/main" count="445" uniqueCount="149">
  <si>
    <t>Day</t>
  </si>
  <si>
    <t xml:space="preserve">Hotel </t>
  </si>
  <si>
    <t>Cons. Mwh</t>
  </si>
  <si>
    <t>Cost (LE)</t>
  </si>
  <si>
    <t xml:space="preserve">B.S </t>
  </si>
  <si>
    <t xml:space="preserve">LS </t>
  </si>
  <si>
    <t>Cons.Mwh</t>
  </si>
  <si>
    <t xml:space="preserve">AHU # 25 </t>
  </si>
  <si>
    <t xml:space="preserve">Mall </t>
  </si>
  <si>
    <t xml:space="preserve">AHU # 9 </t>
  </si>
  <si>
    <t>Total Cons.</t>
  </si>
  <si>
    <t>Total Cost (LE)</t>
  </si>
  <si>
    <t xml:space="preserve"> </t>
  </si>
  <si>
    <t>R1</t>
  </si>
  <si>
    <t xml:space="preserve">Cons </t>
  </si>
  <si>
    <t>R2</t>
  </si>
  <si>
    <t>Cons</t>
  </si>
  <si>
    <t>R3</t>
  </si>
  <si>
    <t>R4</t>
  </si>
  <si>
    <t>RO1</t>
  </si>
  <si>
    <t>RO2</t>
  </si>
  <si>
    <t>CIB. 1</t>
  </si>
  <si>
    <t>CIB. E</t>
  </si>
  <si>
    <t>Total</t>
  </si>
  <si>
    <t>Main Reading</t>
  </si>
  <si>
    <t>Cons.</t>
  </si>
  <si>
    <t>Podium</t>
  </si>
  <si>
    <t>Hotel</t>
  </si>
  <si>
    <t>Large</t>
  </si>
  <si>
    <t>cost.LE</t>
  </si>
  <si>
    <t>F-1</t>
  </si>
  <si>
    <t>F-2</t>
  </si>
  <si>
    <t>T-1</t>
  </si>
  <si>
    <t>T-2</t>
  </si>
  <si>
    <t>T-3</t>
  </si>
  <si>
    <t>T-4</t>
  </si>
  <si>
    <t>T-5</t>
  </si>
  <si>
    <t>T-6</t>
  </si>
  <si>
    <t>T-7</t>
  </si>
  <si>
    <t>Diff</t>
  </si>
  <si>
    <t>Daily Money Value</t>
  </si>
  <si>
    <t>MTD Total Money</t>
  </si>
  <si>
    <t>Main</t>
  </si>
  <si>
    <t>`</t>
  </si>
  <si>
    <t>ROE</t>
  </si>
  <si>
    <t>Site Name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</si>
  <si>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</si>
  <si>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</si>
  <si>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</si>
  <si>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</si>
  <si>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</si>
  <si>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</si>
  <si>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</si>
  <si>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>Cairo at Nile Plaza</t>
  </si>
  <si>
    <t>Rooms Sold</t>
  </si>
  <si>
    <t>T1 (KWh)</t>
  </si>
  <si>
    <t>Feeder 2 (KWh)</t>
  </si>
  <si>
    <t>Feeder 1 (KWh)</t>
  </si>
  <si>
    <t>T2 (KWh)</t>
  </si>
  <si>
    <t>T3 (KWh)</t>
  </si>
  <si>
    <t>T4 (KWh)</t>
  </si>
  <si>
    <t>T5 (KWh)</t>
  </si>
  <si>
    <t>T7 (KWh)</t>
  </si>
  <si>
    <t>New Chillers</t>
  </si>
  <si>
    <t>Main (m3)</t>
  </si>
  <si>
    <t>Podium (m3)</t>
  </si>
  <si>
    <t>Hotel (m3)</t>
  </si>
  <si>
    <t>Large  (m3)</t>
  </si>
  <si>
    <t>Hotel (BTU)</t>
  </si>
  <si>
    <r>
      <t>B.S (BTU</t>
    </r>
    <r>
      <rPr>
        <b/>
        <sz val="11"/>
        <color indexed="8"/>
        <rFont val="Calibri"/>
        <family val="2"/>
      </rPr>
      <t>)</t>
    </r>
  </si>
  <si>
    <r>
      <t>LS (BTU</t>
    </r>
    <r>
      <rPr>
        <b/>
        <sz val="11"/>
        <color indexed="8"/>
        <rFont val="Calibri"/>
        <family val="2"/>
      </rPr>
      <t>)</t>
    </r>
  </si>
  <si>
    <r>
      <t>Mall (BTU</t>
    </r>
    <r>
      <rPr>
        <b/>
        <sz val="11"/>
        <color indexed="8"/>
        <rFont val="Calibri"/>
        <family val="2"/>
      </rPr>
      <t>)</t>
    </r>
  </si>
  <si>
    <r>
      <t>AHU#25 (BTU</t>
    </r>
    <r>
      <rPr>
        <b/>
        <sz val="11"/>
        <color indexed="8"/>
        <rFont val="Calibri"/>
        <family val="2"/>
      </rPr>
      <t>)</t>
    </r>
  </si>
  <si>
    <r>
      <t>AHU#9 (BTU</t>
    </r>
    <r>
      <rPr>
        <b/>
        <sz val="11"/>
        <color indexed="8"/>
        <rFont val="Calibri"/>
        <family val="2"/>
      </rPr>
      <t>)</t>
    </r>
  </si>
  <si>
    <t>Natual Gas (m3)</t>
  </si>
  <si>
    <t>Natural Gas $/m3</t>
  </si>
  <si>
    <t>New Chiller (KWh)</t>
  </si>
  <si>
    <t>Floor</t>
  </si>
  <si>
    <t>Type</t>
  </si>
  <si>
    <t>Note</t>
  </si>
  <si>
    <t>Jade</t>
  </si>
  <si>
    <t>Pearl</t>
  </si>
  <si>
    <t>Topaz</t>
  </si>
  <si>
    <t>Emerald</t>
  </si>
  <si>
    <t>Sapphire</t>
  </si>
  <si>
    <t>Ruby</t>
  </si>
  <si>
    <t>Diamond</t>
  </si>
  <si>
    <t>without</t>
  </si>
  <si>
    <t>Total Electricity Consumption KW</t>
  </si>
  <si>
    <t>35,40</t>
  </si>
  <si>
    <t>45,50</t>
  </si>
  <si>
    <t>Consumption</t>
  </si>
  <si>
    <t>Plant room</t>
  </si>
  <si>
    <t>Electric</t>
  </si>
  <si>
    <t>Feeder 1</t>
  </si>
  <si>
    <t>With out Plant room</t>
  </si>
  <si>
    <t>Kwh</t>
  </si>
  <si>
    <t>LE</t>
  </si>
  <si>
    <t>Feeder 2</t>
  </si>
  <si>
    <t>Plaza</t>
  </si>
  <si>
    <t>Tr1</t>
  </si>
  <si>
    <t>Large s.</t>
  </si>
  <si>
    <t>Tr2</t>
  </si>
  <si>
    <t>Mall</t>
  </si>
  <si>
    <t>Tr3</t>
  </si>
  <si>
    <t>Tr4</t>
  </si>
  <si>
    <t>Citadle</t>
  </si>
  <si>
    <t>Tr5</t>
  </si>
  <si>
    <t>CIB Bank</t>
  </si>
  <si>
    <t>Tr6</t>
  </si>
  <si>
    <t>Tr7</t>
  </si>
  <si>
    <t>Water</t>
  </si>
  <si>
    <t>M3</t>
  </si>
  <si>
    <t xml:space="preserve">Total </t>
  </si>
  <si>
    <t>loss</t>
  </si>
  <si>
    <t>Large suite</t>
  </si>
  <si>
    <t xml:space="preserve">Estimated value as there is no water Flow meter </t>
  </si>
  <si>
    <t>CIB 1</t>
  </si>
  <si>
    <t>CIB E</t>
  </si>
  <si>
    <t xml:space="preserve">Hotel    </t>
  </si>
  <si>
    <t>Gas</t>
  </si>
  <si>
    <t>L.E</t>
  </si>
  <si>
    <t>RO.E</t>
  </si>
  <si>
    <t>New chiller</t>
  </si>
  <si>
    <t>Plant Room</t>
  </si>
  <si>
    <t>Large Reading</t>
  </si>
  <si>
    <t>Pdium Reading</t>
  </si>
  <si>
    <t>Hotel reading</t>
  </si>
  <si>
    <t>Loss (KWH)</t>
  </si>
  <si>
    <t>Mall (KWH)</t>
  </si>
  <si>
    <t>Citadel (KWH)</t>
  </si>
  <si>
    <t>Rotana (KWH)</t>
  </si>
  <si>
    <t>CIB (KWH)</t>
  </si>
  <si>
    <t>Plaza suits water consumption (M3)</t>
  </si>
  <si>
    <t>Hotel water consumption (M3)</t>
  </si>
  <si>
    <t>Co</t>
  </si>
  <si>
    <t>CO</t>
  </si>
  <si>
    <t>EZZ</t>
  </si>
  <si>
    <t xml:space="preserve">              Total</t>
  </si>
  <si>
    <t>.</t>
  </si>
  <si>
    <t>Acutal till July 2021</t>
  </si>
  <si>
    <t>Acutal till August 2021</t>
  </si>
  <si>
    <t>Water consumption for cooling towers</t>
  </si>
  <si>
    <t>Total cons.</t>
  </si>
  <si>
    <t>Chilled Water</t>
  </si>
  <si>
    <t>Acutal till Octobar 2021</t>
  </si>
  <si>
    <t>Oil Boiler</t>
  </si>
  <si>
    <t xml:space="preserve">B2 Cooling tower </t>
  </si>
  <si>
    <t>Energy Monthly Statement   December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</si>
</sst>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8">
    <numFmt numFmtId="41" formatCode="_(* #,##0_);_(* \(#,##0\);_(* &quot;-&quot;_);_(@_)"/>
    <numFmt numFmtId="43" formatCode="_(* #,##0.00_);_(* \(#,##0.00\);_(* &quot;-&quot;??_);_(@_)"/>
    <numFmt numFmtId="164" formatCode="#,##0.0"/>
    <numFmt numFmtId="165" formatCode="[$-409]d\-mmm\-yyyy;@"/>
    <numFmt numFmtId="166" formatCode="0.000"/>
    <numFmt numFmtId="167" formatCode="0.00;[Red]0.00"/>
    <numFmt numFmtId="168" formatCode="0;[Red]0"/>
    <numFmt numFmtId="169" formatCode="[$-409]d\-mmm;@"/>
  </numFmts>
  <fonts count="43" x14ac:knownFonts="1">
    <font>
      <sz val="10"/>
      <name val="Arial"/>
    </font>
    <font>
      <sz val="10"/>
      <name val="Arial"/>
      <family val="2"/>
    </font>
    <font>
      <b/>
      <sz val="10"/>
      <color indexed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color indexed="12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b/>
      <sz val="16"/>
      <name val="Arial"/>
      <family val="2"/>
    </font>
    <font>
      <b/>
      <sz val="12"/>
      <color indexed="10"/>
      <name val="Arial"/>
      <family val="2"/>
    </font>
    <font>
      <b/>
      <sz val="10"/>
      <color indexed="48"/>
      <name val="Arial"/>
      <family val="2"/>
    </font>
    <font>
      <b/>
      <sz val="18"/>
      <name val="Arial"/>
      <family val="2"/>
    </font>
    <font>
      <sz val="11"/>
      <color indexed="20"/>
      <name val="Calibri"/>
      <family val="2"/>
    </font>
    <font>
      <sz val="12"/>
      <name val="Arial"/>
      <family val="2"/>
    </font>
    <font>
      <sz val="12"/>
      <color indexed="10"/>
      <name val="Arial"/>
      <family val="2"/>
    </font>
    <font>
      <b/>
      <sz val="18"/>
      <color indexed="10"/>
      <name val="Arial"/>
      <family val="2"/>
    </font>
    <font>
      <b/>
      <sz val="11"/>
      <color indexed="8"/>
      <name val="Calibri"/>
      <family val="2"/>
    </font>
    <font>
      <sz val="18"/>
      <name val="Arial"/>
      <family val="2"/>
    </font>
    <font>
      <sz val="20"/>
      <name val="Arial"/>
      <family val="2"/>
    </font>
    <font>
      <b/>
      <sz val="10"/>
      <name val="Trebuchet MS"/>
      <family val="2"/>
    </font>
    <font>
      <b/>
      <sz val="10"/>
      <color indexed="12"/>
      <name val="Trebuchet MS"/>
      <family val="2"/>
    </font>
    <font>
      <sz val="10"/>
      <name val="Trebuchet MS"/>
      <family val="2"/>
    </font>
    <font>
      <sz val="10"/>
      <color indexed="12"/>
      <name val="Trebuchet MS"/>
      <family val="2"/>
    </font>
    <font>
      <sz val="10"/>
      <color indexed="30"/>
      <name val="Trebuchet MS"/>
      <family val="2"/>
    </font>
    <font>
      <b/>
      <sz val="10"/>
      <color indexed="10"/>
      <name val="Trebuchet MS"/>
      <family val="2"/>
    </font>
    <font>
      <b/>
      <sz val="10"/>
      <color indexed="8"/>
      <name val="Calibri"/>
      <family val="2"/>
    </font>
    <font>
      <sz val="10"/>
      <color indexed="12"/>
      <name val="Calibri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b/>
      <sz val="12"/>
      <color rgb="FF00B050"/>
      <name val="Arial"/>
      <family val="2"/>
    </font>
    <font>
      <sz val="12"/>
      <color rgb="FF00B050"/>
      <name val="Arial"/>
      <family val="2"/>
    </font>
    <font>
      <b/>
      <sz val="12"/>
      <color rgb="FFFF0000"/>
      <name val="Arial"/>
      <family val="2"/>
    </font>
    <font>
      <b/>
      <sz val="18"/>
      <color rgb="FF00B050"/>
      <name val="Arial"/>
      <family val="2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sz val="8"/>
      <color rgb="FFFF0000"/>
      <name val="Arial"/>
      <family val="2"/>
    </font>
    <font>
      <sz val="10"/>
      <color rgb="FF0000FF"/>
      <name val="Arial"/>
      <family val="2"/>
    </font>
    <font>
      <b/>
      <u/>
      <sz val="18"/>
      <color rgb="FFFF0000"/>
      <name val="Arial"/>
      <family val="2"/>
    </font>
    <font>
      <sz val="10"/>
      <name val="Arial"/>
    </font>
    <font>
      <b/>
      <sz val="12"/>
      <color indexed="12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indexed="45"/>
      </patternFill>
    </fill>
    <fill>
      <patternFill patternType="solid">
        <fgColor indexed="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99CCFF"/>
        <bgColor rgb="FF000000"/>
      </patternFill>
    </fill>
    <fill>
      <patternFill patternType="solid">
        <fgColor rgb="FF00FFFF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0C0C0"/>
        <bgColor rgb="FF000000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6">
    <xf numFmtId="0" fontId="0" fillId="0" borderId="0"/>
    <xf numFmtId="0" fontId="12" fillId="2" borderId="0" applyNumberFormat="0" applyBorder="0" applyAlignment="0" applyProtection="0"/>
    <xf numFmtId="165" fontId="12" fillId="2" borderId="0" applyNumberFormat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165" fontId="1" fillId="0" borderId="0"/>
    <xf numFmtId="0" fontId="1" fillId="0" borderId="0"/>
    <xf numFmtId="0" fontId="3" fillId="0" borderId="0"/>
    <xf numFmtId="0" fontId="1" fillId="0" borderId="0"/>
    <xf numFmtId="165" fontId="1" fillId="0" borderId="0"/>
    <xf numFmtId="165" fontId="1" fillId="0" borderId="0"/>
    <xf numFmtId="0" fontId="1" fillId="0" borderId="0"/>
    <xf numFmtId="165" fontId="27" fillId="0" borderId="0"/>
    <xf numFmtId="0" fontId="1" fillId="0" borderId="0"/>
    <xf numFmtId="0" fontId="1" fillId="0" borderId="0"/>
    <xf numFmtId="165" fontId="41" fillId="0" borderId="0"/>
  </cellStyleXfs>
  <cellXfs count="196">
    <xf numFmtId="0" fontId="0" fillId="0" borderId="0" xfId="0"/>
    <xf numFmtId="0" fontId="4" fillId="0" borderId="1" xfId="0" applyFont="1" applyBorder="1" applyAlignment="1">
      <alignment horizontal="center"/>
    </xf>
    <xf numFmtId="165" fontId="6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7" fillId="3" borderId="1" xfId="0" applyFont="1" applyFill="1" applyBorder="1" applyAlignment="1">
      <alignment horizontal="center"/>
    </xf>
    <xf numFmtId="0" fontId="7" fillId="0" borderId="2" xfId="0" applyFont="1" applyBorder="1" applyAlignment="1">
      <alignment horizontal="center"/>
    </xf>
    <xf numFmtId="165" fontId="7" fillId="0" borderId="1" xfId="0" applyNumberFormat="1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165" fontId="8" fillId="0" borderId="1" xfId="0" applyNumberFormat="1" applyFont="1" applyBorder="1" applyAlignment="1">
      <alignment horizontal="center" vertical="center"/>
    </xf>
    <xf numFmtId="165" fontId="4" fillId="0" borderId="1" xfId="0" applyNumberFormat="1" applyFont="1" applyBorder="1" applyAlignment="1">
      <alignment horizontal="center" vertical="center"/>
    </xf>
    <xf numFmtId="0" fontId="9" fillId="4" borderId="1" xfId="0" applyFont="1" applyFill="1" applyBorder="1" applyAlignment="1">
      <alignment horizontal="center"/>
    </xf>
    <xf numFmtId="165" fontId="6" fillId="0" borderId="2" xfId="0" applyNumberFormat="1" applyFont="1" applyBorder="1" applyAlignment="1">
      <alignment horizontal="center" vertical="center"/>
    </xf>
    <xf numFmtId="0" fontId="10" fillId="0" borderId="1" xfId="0" applyFont="1" applyFill="1" applyBorder="1" applyAlignment="1">
      <alignment horizontal="center"/>
    </xf>
    <xf numFmtId="0" fontId="10" fillId="3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10" fillId="4" borderId="1" xfId="0" applyFont="1" applyFill="1" applyBorder="1" applyAlignment="1">
      <alignment horizontal="center"/>
    </xf>
    <xf numFmtId="0" fontId="10" fillId="4" borderId="3" xfId="0" applyFont="1" applyFill="1" applyBorder="1" applyAlignment="1">
      <alignment horizontal="center"/>
    </xf>
    <xf numFmtId="165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10" fillId="0" borderId="0" xfId="0" applyFont="1" applyFill="1" applyAlignment="1">
      <alignment horizontal="center"/>
    </xf>
    <xf numFmtId="0" fontId="9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7" fillId="0" borderId="1" xfId="0" applyFont="1" applyFill="1" applyBorder="1" applyAlignment="1">
      <alignment horizontal="center"/>
    </xf>
    <xf numFmtId="0" fontId="13" fillId="0" borderId="0" xfId="0" applyFont="1"/>
    <xf numFmtId="165" fontId="7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/>
    </xf>
    <xf numFmtId="165" fontId="11" fillId="0" borderId="1" xfId="0" applyNumberFormat="1" applyFont="1" applyBorder="1" applyAlignment="1">
      <alignment horizontal="center" vertical="center"/>
    </xf>
    <xf numFmtId="0" fontId="11" fillId="0" borderId="1" xfId="0" applyFont="1" applyBorder="1" applyAlignment="1">
      <alignment horizontal="center"/>
    </xf>
    <xf numFmtId="0" fontId="11" fillId="4" borderId="1" xfId="0" applyFont="1" applyFill="1" applyBorder="1" applyAlignment="1">
      <alignment horizontal="center"/>
    </xf>
    <xf numFmtId="0" fontId="1" fillId="0" borderId="0" xfId="0" applyFont="1"/>
    <xf numFmtId="0" fontId="7" fillId="12" borderId="1" xfId="0" applyFont="1" applyFill="1" applyBorder="1" applyAlignment="1">
      <alignment horizontal="center"/>
    </xf>
    <xf numFmtId="0" fontId="5" fillId="12" borderId="1" xfId="0" applyFont="1" applyFill="1" applyBorder="1" applyAlignment="1">
      <alignment horizontal="center"/>
    </xf>
    <xf numFmtId="0" fontId="7" fillId="12" borderId="4" xfId="0" applyFont="1" applyFill="1" applyBorder="1" applyAlignment="1">
      <alignment horizontal="center"/>
    </xf>
    <xf numFmtId="0" fontId="0" fillId="12" borderId="4" xfId="0" applyFill="1" applyBorder="1" applyAlignment="1">
      <alignment horizontal="center"/>
    </xf>
    <xf numFmtId="0" fontId="10" fillId="13" borderId="0" xfId="0" applyFont="1" applyFill="1" applyAlignment="1">
      <alignment horizontal="center"/>
    </xf>
    <xf numFmtId="0" fontId="29" fillId="13" borderId="1" xfId="0" applyFont="1" applyFill="1" applyBorder="1" applyAlignment="1">
      <alignment horizontal="center"/>
    </xf>
    <xf numFmtId="0" fontId="30" fillId="13" borderId="1" xfId="0" applyFont="1" applyFill="1" applyBorder="1" applyAlignment="1">
      <alignment horizontal="center"/>
    </xf>
    <xf numFmtId="0" fontId="28" fillId="0" borderId="0" xfId="0" applyFont="1"/>
    <xf numFmtId="1" fontId="0" fillId="0" borderId="0" xfId="0" applyNumberFormat="1"/>
    <xf numFmtId="2" fontId="0" fillId="0" borderId="0" xfId="0" applyNumberFormat="1"/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1" fontId="31" fillId="0" borderId="1" xfId="0" applyNumberFormat="1" applyFont="1" applyBorder="1" applyAlignment="1">
      <alignment horizontal="center" vertical="center"/>
    </xf>
    <xf numFmtId="1" fontId="32" fillId="0" borderId="0" xfId="0" applyNumberFormat="1" applyFont="1"/>
    <xf numFmtId="1" fontId="31" fillId="0" borderId="0" xfId="0" applyNumberFormat="1" applyFont="1" applyAlignment="1">
      <alignment horizontal="center" vertical="center"/>
    </xf>
    <xf numFmtId="1" fontId="33" fillId="0" borderId="1" xfId="0" applyNumberFormat="1" applyFont="1" applyBorder="1" applyAlignment="1">
      <alignment horizontal="center" vertical="center"/>
    </xf>
    <xf numFmtId="2" fontId="7" fillId="3" borderId="1" xfId="0" applyNumberFormat="1" applyFont="1" applyFill="1" applyBorder="1" applyAlignment="1">
      <alignment horizontal="center"/>
    </xf>
    <xf numFmtId="2" fontId="31" fillId="0" borderId="1" xfId="0" applyNumberFormat="1" applyFont="1" applyBorder="1" applyAlignment="1">
      <alignment horizontal="center" vertical="center"/>
    </xf>
    <xf numFmtId="1" fontId="34" fillId="0" borderId="1" xfId="0" applyNumberFormat="1" applyFont="1" applyBorder="1" applyAlignment="1">
      <alignment horizontal="center" vertical="center"/>
    </xf>
    <xf numFmtId="0" fontId="17" fillId="0" borderId="0" xfId="0" applyFont="1"/>
    <xf numFmtId="0" fontId="35" fillId="0" borderId="5" xfId="0" applyFont="1" applyBorder="1"/>
    <xf numFmtId="0" fontId="36" fillId="0" borderId="0" xfId="0" applyFont="1"/>
    <xf numFmtId="1" fontId="28" fillId="0" borderId="5" xfId="0" applyNumberFormat="1" applyFont="1" applyBorder="1" applyAlignment="1">
      <alignment wrapText="1"/>
    </xf>
    <xf numFmtId="0" fontId="28" fillId="0" borderId="5" xfId="0" applyFont="1" applyBorder="1" applyAlignment="1">
      <alignment horizontal="center" wrapText="1"/>
    </xf>
    <xf numFmtId="0" fontId="37" fillId="0" borderId="5" xfId="0" applyFont="1" applyBorder="1" applyAlignment="1">
      <alignment horizontal="center"/>
    </xf>
    <xf numFmtId="1" fontId="28" fillId="0" borderId="5" xfId="0" applyNumberFormat="1" applyFont="1" applyBorder="1" applyAlignment="1">
      <alignment horizontal="center" wrapText="1"/>
    </xf>
    <xf numFmtId="0" fontId="36" fillId="0" borderId="0" xfId="0" applyFont="1" applyAlignment="1">
      <alignment horizontal="center"/>
    </xf>
    <xf numFmtId="2" fontId="28" fillId="0" borderId="5" xfId="0" applyNumberFormat="1" applyFont="1" applyBorder="1" applyAlignment="1">
      <alignment horizontal="center" wrapText="1"/>
    </xf>
    <xf numFmtId="166" fontId="18" fillId="0" borderId="0" xfId="0" applyNumberFormat="1" applyFont="1"/>
    <xf numFmtId="1" fontId="9" fillId="4" borderId="1" xfId="0" applyNumberFormat="1" applyFont="1" applyFill="1" applyBorder="1" applyAlignment="1">
      <alignment horizontal="center"/>
    </xf>
    <xf numFmtId="0" fontId="1" fillId="0" borderId="0" xfId="7" applyFont="1"/>
    <xf numFmtId="0" fontId="19" fillId="4" borderId="4" xfId="8" applyFont="1" applyFill="1" applyBorder="1" applyAlignment="1">
      <alignment horizontal="center" vertical="center" wrapText="1"/>
    </xf>
    <xf numFmtId="0" fontId="19" fillId="4" borderId="4" xfId="8" applyFont="1" applyFill="1" applyBorder="1" applyAlignment="1">
      <alignment horizontal="left" vertical="center" wrapText="1"/>
    </xf>
    <xf numFmtId="0" fontId="20" fillId="4" borderId="4" xfId="8" applyFont="1" applyFill="1" applyBorder="1" applyAlignment="1">
      <alignment horizontal="center" vertical="center" wrapText="1"/>
    </xf>
    <xf numFmtId="0" fontId="21" fillId="0" borderId="4" xfId="8" applyFont="1" applyBorder="1" applyAlignment="1">
      <alignment horizontal="left" vertical="center" wrapText="1"/>
    </xf>
    <xf numFmtId="3" fontId="21" fillId="5" borderId="4" xfId="8" applyNumberFormat="1" applyFont="1" applyFill="1" applyBorder="1" applyAlignment="1">
      <alignment horizontal="left" vertical="center" wrapText="1"/>
    </xf>
    <xf numFmtId="3" fontId="19" fillId="0" borderId="4" xfId="8" applyNumberFormat="1" applyFont="1" applyBorder="1" applyAlignment="1">
      <alignment horizontal="left" vertical="center" wrapText="1"/>
    </xf>
    <xf numFmtId="0" fontId="22" fillId="0" borderId="4" xfId="8" applyFont="1" applyBorder="1" applyAlignment="1">
      <alignment horizontal="center" vertical="center" wrapText="1"/>
    </xf>
    <xf numFmtId="0" fontId="20" fillId="0" borderId="4" xfId="8" applyFont="1" applyBorder="1" applyAlignment="1">
      <alignment horizontal="left" vertical="center" wrapText="1"/>
    </xf>
    <xf numFmtId="0" fontId="1" fillId="0" borderId="6" xfId="7" applyFont="1" applyFill="1" applyBorder="1" applyAlignment="1"/>
    <xf numFmtId="0" fontId="3" fillId="0" borderId="0" xfId="7"/>
    <xf numFmtId="0" fontId="3" fillId="3" borderId="0" xfId="7" applyFill="1"/>
    <xf numFmtId="3" fontId="23" fillId="5" borderId="4" xfId="8" applyNumberFormat="1" applyFont="1" applyFill="1" applyBorder="1" applyAlignment="1">
      <alignment horizontal="left" vertical="center" wrapText="1"/>
    </xf>
    <xf numFmtId="0" fontId="22" fillId="3" borderId="4" xfId="8" applyFont="1" applyFill="1" applyBorder="1" applyAlignment="1">
      <alignment horizontal="center" vertical="center" wrapText="1"/>
    </xf>
    <xf numFmtId="0" fontId="19" fillId="6" borderId="7" xfId="8" applyFont="1" applyFill="1" applyBorder="1" applyAlignment="1">
      <alignment horizontal="center" vertical="center" wrapText="1"/>
    </xf>
    <xf numFmtId="0" fontId="21" fillId="6" borderId="4" xfId="8" applyFont="1" applyFill="1" applyBorder="1" applyAlignment="1">
      <alignment horizontal="left" vertical="center" wrapText="1"/>
    </xf>
    <xf numFmtId="3" fontId="21" fillId="6" borderId="4" xfId="8" applyNumberFormat="1" applyFont="1" applyFill="1" applyBorder="1" applyAlignment="1">
      <alignment horizontal="left" vertical="center" wrapText="1"/>
    </xf>
    <xf numFmtId="0" fontId="22" fillId="6" borderId="4" xfId="8" applyFont="1" applyFill="1" applyBorder="1" applyAlignment="1">
      <alignment horizontal="center" vertical="center" wrapText="1"/>
    </xf>
    <xf numFmtId="0" fontId="21" fillId="0" borderId="4" xfId="8" applyFont="1" applyFill="1" applyBorder="1" applyAlignment="1">
      <alignment horizontal="left" vertical="center" wrapText="1"/>
    </xf>
    <xf numFmtId="3" fontId="22" fillId="5" borderId="4" xfId="8" applyNumberFormat="1" applyFont="1" applyFill="1" applyBorder="1" applyAlignment="1">
      <alignment horizontal="left" vertical="center" wrapText="1"/>
    </xf>
    <xf numFmtId="0" fontId="19" fillId="6" borderId="4" xfId="8" applyFont="1" applyFill="1" applyBorder="1" applyAlignment="1">
      <alignment horizontal="center" vertical="center" wrapText="1"/>
    </xf>
    <xf numFmtId="0" fontId="22" fillId="0" borderId="4" xfId="8" applyFont="1" applyFill="1" applyBorder="1" applyAlignment="1">
      <alignment horizontal="center" vertical="center" wrapText="1"/>
    </xf>
    <xf numFmtId="0" fontId="24" fillId="0" borderId="4" xfId="8" applyFont="1" applyFill="1" applyBorder="1" applyAlignment="1">
      <alignment horizontal="left" vertical="center" wrapText="1"/>
    </xf>
    <xf numFmtId="3" fontId="19" fillId="6" borderId="4" xfId="8" applyNumberFormat="1" applyFont="1" applyFill="1" applyBorder="1" applyAlignment="1">
      <alignment horizontal="left" vertical="center" wrapText="1"/>
    </xf>
    <xf numFmtId="3" fontId="25" fillId="4" borderId="4" xfId="8" applyNumberFormat="1" applyFont="1" applyFill="1" applyBorder="1" applyAlignment="1">
      <alignment horizontal="left" vertical="center"/>
    </xf>
    <xf numFmtId="0" fontId="26" fillId="0" borderId="0" xfId="8" applyFont="1" applyAlignment="1">
      <alignment vertical="center"/>
    </xf>
    <xf numFmtId="0" fontId="3" fillId="0" borderId="0" xfId="4"/>
    <xf numFmtId="17" fontId="2" fillId="0" borderId="0" xfId="4" applyNumberFormat="1" applyFont="1"/>
    <xf numFmtId="0" fontId="3" fillId="0" borderId="0" xfId="4" applyAlignment="1">
      <alignment horizontal="center" vertical="center"/>
    </xf>
    <xf numFmtId="0" fontId="4" fillId="7" borderId="1" xfId="4" applyFont="1" applyFill="1" applyBorder="1" applyAlignment="1">
      <alignment horizontal="center"/>
    </xf>
    <xf numFmtId="0" fontId="6" fillId="8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2" fillId="11" borderId="1" xfId="4" applyFont="1" applyFill="1" applyBorder="1" applyAlignment="1">
      <alignment horizontal="center"/>
    </xf>
    <xf numFmtId="0" fontId="1" fillId="0" borderId="1" xfId="13" applyFont="1" applyFill="1" applyBorder="1" applyAlignment="1">
      <alignment horizontal="center" vertical="center"/>
    </xf>
    <xf numFmtId="43" fontId="1" fillId="0" borderId="1" xfId="13" applyNumberFormat="1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36" fillId="14" borderId="1" xfId="0" applyFont="1" applyFill="1" applyBorder="1" applyAlignment="1">
      <alignment horizontal="center" vertical="center"/>
    </xf>
    <xf numFmtId="43" fontId="36" fillId="0" borderId="1" xfId="0" applyNumberFormat="1" applyFont="1" applyFill="1" applyBorder="1" applyAlignment="1">
      <alignment horizontal="center" vertical="center"/>
    </xf>
    <xf numFmtId="43" fontId="36" fillId="0" borderId="0" xfId="0" applyNumberFormat="1" applyFont="1" applyFill="1" applyBorder="1" applyAlignment="1">
      <alignment horizontal="center" vertical="center"/>
    </xf>
    <xf numFmtId="0" fontId="36" fillId="0" borderId="0" xfId="13" applyFont="1" applyFill="1" applyBorder="1" applyAlignment="1">
      <alignment horizontal="center" vertical="center"/>
    </xf>
    <xf numFmtId="0" fontId="1" fillId="0" borderId="0" xfId="13" applyFont="1" applyFill="1" applyBorder="1" applyAlignment="1">
      <alignment horizontal="center" vertical="center"/>
    </xf>
    <xf numFmtId="0" fontId="36" fillId="14" borderId="1" xfId="13" applyFont="1" applyFill="1" applyBorder="1" applyAlignment="1">
      <alignment horizontal="center" vertical="center"/>
    </xf>
    <xf numFmtId="0" fontId="1" fillId="15" borderId="1" xfId="0" applyFont="1" applyFill="1" applyBorder="1" applyAlignment="1">
      <alignment horizontal="center" vertical="center"/>
    </xf>
    <xf numFmtId="0" fontId="38" fillId="0" borderId="0" xfId="0" applyFont="1" applyFill="1" applyBorder="1" applyAlignment="1">
      <alignment horizontal="center" vertical="center"/>
    </xf>
    <xf numFmtId="0" fontId="36" fillId="0" borderId="0" xfId="0" applyFont="1" applyFill="1" applyBorder="1" applyAlignment="1">
      <alignment horizontal="center" vertical="center"/>
    </xf>
    <xf numFmtId="164" fontId="36" fillId="0" borderId="1" xfId="0" applyNumberFormat="1" applyFont="1" applyFill="1" applyBorder="1" applyAlignment="1">
      <alignment horizontal="center" vertical="center"/>
    </xf>
    <xf numFmtId="164" fontId="36" fillId="0" borderId="0" xfId="0" applyNumberFormat="1" applyFont="1" applyFill="1" applyBorder="1" applyAlignment="1">
      <alignment horizontal="center" vertical="center"/>
    </xf>
    <xf numFmtId="0" fontId="1" fillId="16" borderId="1" xfId="13" applyFont="1" applyFill="1" applyBorder="1" applyAlignment="1">
      <alignment horizontal="center" vertical="center"/>
    </xf>
    <xf numFmtId="0" fontId="1" fillId="16" borderId="1" xfId="0" applyFont="1" applyFill="1" applyBorder="1" applyAlignment="1">
      <alignment horizontal="center" vertical="center"/>
    </xf>
    <xf numFmtId="164" fontId="1" fillId="0" borderId="0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17" borderId="1" xfId="0" applyFont="1" applyFill="1" applyBorder="1" applyAlignment="1">
      <alignment horizontal="center" vertical="center"/>
    </xf>
    <xf numFmtId="0" fontId="36" fillId="0" borderId="1" xfId="13" applyFont="1" applyFill="1" applyBorder="1" applyAlignment="1">
      <alignment horizontal="center" vertical="center"/>
    </xf>
    <xf numFmtId="164" fontId="36" fillId="0" borderId="1" xfId="13" applyNumberFormat="1" applyFont="1" applyFill="1" applyBorder="1" applyAlignment="1">
      <alignment horizontal="center" vertical="center"/>
    </xf>
    <xf numFmtId="164" fontId="36" fillId="0" borderId="0" xfId="13" applyNumberFormat="1" applyFont="1" applyFill="1" applyBorder="1" applyAlignment="1">
      <alignment horizontal="center" vertical="center"/>
    </xf>
    <xf numFmtId="164" fontId="36" fillId="0" borderId="1" xfId="3" applyNumberFormat="1" applyFont="1" applyFill="1" applyBorder="1" applyAlignment="1">
      <alignment horizontal="center" vertical="center"/>
    </xf>
    <xf numFmtId="0" fontId="36" fillId="14" borderId="4" xfId="13" applyFont="1" applyFill="1" applyBorder="1" applyAlignment="1">
      <alignment horizontal="center" vertical="center"/>
    </xf>
    <xf numFmtId="0" fontId="1" fillId="16" borderId="4" xfId="0" applyFont="1" applyFill="1" applyBorder="1" applyAlignment="1">
      <alignment horizontal="center" vertical="center"/>
    </xf>
    <xf numFmtId="164" fontId="36" fillId="0" borderId="8" xfId="13" applyNumberFormat="1" applyFont="1" applyFill="1" applyBorder="1" applyAlignment="1">
      <alignment horizontal="center" vertical="center"/>
    </xf>
    <xf numFmtId="164" fontId="39" fillId="0" borderId="1" xfId="0" applyNumberFormat="1" applyFont="1" applyFill="1" applyBorder="1" applyAlignment="1">
      <alignment horizontal="center" vertical="center"/>
    </xf>
    <xf numFmtId="0" fontId="1" fillId="0" borderId="0" xfId="3" applyNumberFormat="1" applyFont="1" applyFill="1" applyBorder="1" applyAlignment="1">
      <alignment horizontal="center" vertical="center"/>
    </xf>
    <xf numFmtId="0" fontId="1" fillId="0" borderId="0" xfId="0" applyFont="1" applyFill="1" applyBorder="1"/>
    <xf numFmtId="0" fontId="36" fillId="0" borderId="0" xfId="13" applyFont="1" applyFill="1" applyBorder="1" applyAlignment="1">
      <alignment horizontal="center"/>
    </xf>
    <xf numFmtId="0" fontId="36" fillId="14" borderId="4" xfId="13" applyFont="1" applyFill="1" applyBorder="1"/>
    <xf numFmtId="0" fontId="1" fillId="16" borderId="4" xfId="0" applyFont="1" applyFill="1" applyBorder="1"/>
    <xf numFmtId="0" fontId="1" fillId="0" borderId="4" xfId="0" applyFont="1" applyFill="1" applyBorder="1"/>
    <xf numFmtId="1" fontId="1" fillId="16" borderId="4" xfId="0" applyNumberFormat="1" applyFont="1" applyFill="1" applyBorder="1" applyAlignment="1">
      <alignment horizontal="center" vertical="center"/>
    </xf>
    <xf numFmtId="41" fontId="36" fillId="0" borderId="1" xfId="3" applyNumberFormat="1" applyFont="1" applyFill="1" applyBorder="1" applyAlignment="1">
      <alignment horizontal="center" vertical="center"/>
    </xf>
    <xf numFmtId="1" fontId="28" fillId="0" borderId="0" xfId="0" applyNumberFormat="1" applyFont="1" applyBorder="1" applyAlignment="1">
      <alignment wrapText="1"/>
    </xf>
    <xf numFmtId="0" fontId="28" fillId="0" borderId="0" xfId="0" applyFont="1" applyAlignment="1">
      <alignment horizontal="center" vertical="center" wrapText="1"/>
    </xf>
    <xf numFmtId="1" fontId="31" fillId="13" borderId="1" xfId="0" applyNumberFormat="1" applyFont="1" applyFill="1" applyBorder="1" applyAlignment="1">
      <alignment horizontal="center" vertical="center"/>
    </xf>
    <xf numFmtId="0" fontId="13" fillId="13" borderId="0" xfId="0" applyFont="1" applyFill="1"/>
    <xf numFmtId="0" fontId="0" fillId="13" borderId="0" xfId="0" applyFill="1"/>
    <xf numFmtId="1" fontId="11" fillId="3" borderId="1" xfId="0" applyNumberFormat="1" applyFont="1" applyFill="1" applyBorder="1" applyAlignment="1">
      <alignment horizontal="center"/>
    </xf>
    <xf numFmtId="1" fontId="1" fillId="15" borderId="1" xfId="0" applyNumberFormat="1" applyFont="1" applyFill="1" applyBorder="1" applyAlignment="1">
      <alignment horizontal="center" vertical="center"/>
    </xf>
    <xf numFmtId="1" fontId="1" fillId="16" borderId="1" xfId="13" applyNumberFormat="1" applyFont="1" applyFill="1" applyBorder="1" applyAlignment="1">
      <alignment horizontal="center" vertical="center"/>
    </xf>
    <xf numFmtId="1" fontId="15" fillId="4" borderId="1" xfId="0" applyNumberFormat="1" applyFont="1" applyFill="1" applyBorder="1" applyAlignment="1">
      <alignment horizontal="center"/>
    </xf>
    <xf numFmtId="1" fontId="1" fillId="16" borderId="4" xfId="0" applyNumberFormat="1" applyFont="1" applyFill="1" applyBorder="1"/>
    <xf numFmtId="1" fontId="14" fillId="4" borderId="1" xfId="0" applyNumberFormat="1" applyFont="1" applyFill="1" applyBorder="1" applyAlignment="1">
      <alignment horizontal="center"/>
    </xf>
    <xf numFmtId="1" fontId="1" fillId="16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3" fontId="21" fillId="0" borderId="4" xfId="8" applyNumberFormat="1" applyFont="1" applyBorder="1" applyAlignment="1">
      <alignment horizontal="left" vertical="center" wrapText="1"/>
    </xf>
    <xf numFmtId="0" fontId="4" fillId="0" borderId="1" xfId="14" applyFont="1" applyBorder="1" applyAlignment="1">
      <alignment horizontal="center"/>
    </xf>
    <xf numFmtId="1" fontId="30" fillId="0" borderId="1" xfId="0" applyNumberFormat="1" applyFont="1" applyBorder="1" applyAlignment="1">
      <alignment horizontal="center" vertical="center"/>
    </xf>
    <xf numFmtId="1" fontId="7" fillId="0" borderId="1" xfId="0" applyNumberFormat="1" applyFont="1" applyBorder="1" applyAlignment="1">
      <alignment horizontal="center"/>
    </xf>
    <xf numFmtId="168" fontId="7" fillId="0" borderId="1" xfId="0" applyNumberFormat="1" applyFont="1" applyBorder="1" applyAlignment="1">
      <alignment horizontal="center"/>
    </xf>
    <xf numFmtId="1" fontId="9" fillId="0" borderId="1" xfId="0" applyNumberFormat="1" applyFont="1" applyBorder="1" applyAlignment="1">
      <alignment horizontal="center"/>
    </xf>
    <xf numFmtId="1" fontId="7" fillId="0" borderId="1" xfId="0" applyNumberFormat="1" applyFont="1" applyFill="1" applyBorder="1" applyAlignment="1">
      <alignment horizontal="center"/>
    </xf>
    <xf numFmtId="1" fontId="42" fillId="4" borderId="1" xfId="0" applyNumberFormat="1" applyFont="1" applyFill="1" applyBorder="1" applyAlignment="1">
      <alignment horizontal="center"/>
    </xf>
    <xf numFmtId="167" fontId="7" fillId="3" borderId="1" xfId="0" applyNumberFormat="1" applyFont="1" applyFill="1" applyBorder="1" applyAlignment="1">
      <alignment horizontal="center"/>
    </xf>
    <xf numFmtId="1" fontId="9" fillId="13" borderId="1" xfId="0" applyNumberFormat="1" applyFont="1" applyFill="1" applyBorder="1" applyAlignment="1">
      <alignment horizontal="center"/>
    </xf>
    <xf numFmtId="1" fontId="7" fillId="13" borderId="1" xfId="0" applyNumberFormat="1" applyFont="1" applyFill="1" applyBorder="1" applyAlignment="1">
      <alignment horizontal="center"/>
    </xf>
    <xf numFmtId="167" fontId="7" fillId="13" borderId="1" xfId="0" applyNumberFormat="1" applyFont="1" applyFill="1" applyBorder="1" applyAlignment="1">
      <alignment horizontal="center"/>
    </xf>
    <xf numFmtId="0" fontId="7" fillId="13" borderId="1" xfId="0" applyFont="1" applyFill="1" applyBorder="1" applyAlignment="1">
      <alignment horizontal="center"/>
    </xf>
    <xf numFmtId="169" fontId="0" fillId="0" borderId="0" xfId="0" applyNumberFormat="1"/>
    <xf numFmtId="169" fontId="0" fillId="0" borderId="4" xfId="0" applyNumberForma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" fontId="14" fillId="4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0" borderId="13" xfId="0" applyFill="1" applyBorder="1" applyAlignment="1">
      <alignment horizontal="center"/>
    </xf>
    <xf numFmtId="0" fontId="0" fillId="20" borderId="4" xfId="0" applyFill="1" applyBorder="1" applyAlignment="1">
      <alignment horizontal="center"/>
    </xf>
    <xf numFmtId="165" fontId="11" fillId="0" borderId="2" xfId="0" applyNumberFormat="1" applyFont="1" applyBorder="1" applyAlignment="1">
      <alignment horizontal="left" vertical="center" indent="1"/>
    </xf>
    <xf numFmtId="165" fontId="11" fillId="0" borderId="9" xfId="0" applyNumberFormat="1" applyFont="1" applyBorder="1" applyAlignment="1">
      <alignment horizontal="left" vertical="center" indent="1"/>
    </xf>
    <xf numFmtId="0" fontId="1" fillId="19" borderId="2" xfId="0" applyFont="1" applyFill="1" applyBorder="1" applyAlignment="1">
      <alignment horizontal="center" vertical="center"/>
    </xf>
    <xf numFmtId="0" fontId="0" fillId="19" borderId="11" xfId="0" applyFill="1" applyBorder="1" applyAlignment="1">
      <alignment horizontal="center" vertical="center"/>
    </xf>
    <xf numFmtId="0" fontId="0" fillId="19" borderId="9" xfId="0" applyFill="1" applyBorder="1" applyAlignment="1">
      <alignment horizontal="center" vertical="center"/>
    </xf>
    <xf numFmtId="0" fontId="0" fillId="19" borderId="2" xfId="0" applyFill="1" applyBorder="1" applyAlignment="1">
      <alignment horizontal="center" vertical="center"/>
    </xf>
    <xf numFmtId="0" fontId="40" fillId="0" borderId="0" xfId="0" applyFont="1" applyFill="1" applyBorder="1" applyAlignment="1">
      <alignment horizontal="center" vertical="center"/>
    </xf>
    <xf numFmtId="0" fontId="13" fillId="18" borderId="10" xfId="0" applyFont="1" applyFill="1" applyBorder="1" applyAlignment="1">
      <alignment horizontal="left" vertical="center"/>
    </xf>
    <xf numFmtId="0" fontId="13" fillId="18" borderId="0" xfId="0" applyFont="1" applyFill="1" applyBorder="1" applyAlignment="1">
      <alignment horizontal="left" vertical="center"/>
    </xf>
    <xf numFmtId="0" fontId="19" fillId="0" borderId="12" xfId="8" applyFont="1" applyBorder="1" applyAlignment="1">
      <alignment horizontal="center" vertical="center" wrapText="1"/>
    </xf>
    <xf numFmtId="0" fontId="19" fillId="0" borderId="13" xfId="8" applyFont="1" applyBorder="1" applyAlignment="1">
      <alignment horizontal="center" vertical="center" wrapText="1"/>
    </xf>
    <xf numFmtId="0" fontId="19" fillId="0" borderId="7" xfId="8" applyFont="1" applyBorder="1" applyAlignment="1">
      <alignment horizontal="center" vertical="center" wrapText="1"/>
    </xf>
    <xf numFmtId="0" fontId="19" fillId="0" borderId="12" xfId="8" applyFont="1" applyFill="1" applyBorder="1" applyAlignment="1">
      <alignment horizontal="center" vertical="center" wrapText="1"/>
    </xf>
    <xf numFmtId="0" fontId="19" fillId="0" borderId="7" xfId="8" applyFont="1" applyFill="1" applyBorder="1" applyAlignment="1">
      <alignment horizontal="center" vertical="center" wrapText="1"/>
    </xf>
    <xf numFmtId="0" fontId="19" fillId="0" borderId="13" xfId="8" applyFont="1" applyFill="1" applyBorder="1" applyAlignment="1">
      <alignment horizontal="center" vertical="center" wrapText="1"/>
    </xf>
    <xf numFmtId="0" fontId="2" fillId="0" borderId="2" xfId="4" applyFont="1" applyBorder="1" applyAlignment="1">
      <alignment horizontal="center" vertical="center"/>
    </xf>
    <xf numFmtId="0" fontId="2" fillId="0" borderId="11" xfId="4" applyFont="1" applyBorder="1" applyAlignment="1">
      <alignment horizontal="center" vertical="center"/>
    </xf>
    <xf numFmtId="0" fontId="2" fillId="0" borderId="9" xfId="4" applyFont="1" applyBorder="1" applyAlignment="1">
      <alignment horizontal="center" vertical="center"/>
    </xf>
    <xf numFmtId="0" fontId="21" fillId="0" borderId="12" xfId="8" applyFont="1" applyBorder="1" applyAlignment="1">
      <alignment horizontal="left" vertical="center" wrapText="1"/>
    </xf>
    <xf numFmtId="0" fontId="21" fillId="0" borderId="13" xfId="8" applyFont="1" applyBorder="1" applyAlignment="1">
      <alignment horizontal="left" vertical="center" wrapText="1"/>
    </xf>
    <xf numFmtId="0" fontId="20" fillId="0" borderId="12" xfId="8" applyFont="1" applyBorder="1" applyAlignment="1">
      <alignment horizontal="left" vertical="center" wrapText="1"/>
    </xf>
    <xf numFmtId="0" fontId="20" fillId="0" borderId="13" xfId="8" applyFont="1" applyBorder="1" applyAlignment="1">
      <alignment horizontal="left" vertical="center" wrapText="1"/>
    </xf>
    <xf numFmtId="0" fontId="25" fillId="4" borderId="4" xfId="8" applyFont="1" applyFill="1" applyBorder="1" applyAlignment="1">
      <alignment horizontal="center" vertical="center"/>
    </xf>
    <xf numFmtId="17" fontId="2" fillId="0" borderId="2" xfId="4" applyNumberFormat="1" applyFont="1" applyBorder="1" applyAlignment="1">
      <alignment horizontal="center" vertical="center"/>
    </xf>
    <xf numFmtId="17" fontId="2" fillId="0" borderId="11" xfId="4" applyNumberFormat="1" applyFont="1" applyBorder="1" applyAlignment="1">
      <alignment horizontal="center" vertical="center"/>
    </xf>
    <xf numFmtId="17" fontId="2" fillId="0" borderId="9" xfId="4" applyNumberFormat="1" applyFont="1" applyBorder="1" applyAlignment="1">
      <alignment horizontal="center" vertical="center"/>
    </xf>
  </cellXfs>
  <cellStyles count="16">
    <cellStyle name="Bad" xfId="1" builtinId="27" customBuiltin="1"/>
    <cellStyle name="Bad 2" xfId="2"/>
    <cellStyle name="Comma" xfId="3" builtinId="3"/>
    <cellStyle name="Normal" xfId="0" builtinId="0"/>
    <cellStyle name="Normal 12" xfId="4"/>
    <cellStyle name="Normal 12 2" xfId="5"/>
    <cellStyle name="Normal 12 3" xfId="14"/>
    <cellStyle name="Normal 12_Plaza and residential" xfId="6"/>
    <cellStyle name="Normal 14" xfId="7"/>
    <cellStyle name="Normal 14 2" xfId="8"/>
    <cellStyle name="Normal 14 2 2" xfId="9"/>
    <cellStyle name="Normal 14 3" xfId="10"/>
    <cellStyle name="Normal 14_Plaza and residential" xfId="11"/>
    <cellStyle name="Normal 2" xfId="12"/>
    <cellStyle name="Normal 2 2" xfId="15"/>
    <cellStyle name="Normal_~0313373" xfId="13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N32"/>
  <sheetViews>
    <sheetView tabSelected="1" zoomScale="85" zoomScaleNormal="85" workbookViewId="0">
      <pane ySplit="1" topLeftCell="A2" activePane="bottomLeft" state="frozen"/>
      <selection pane="bottomLeft" activeCell="H17" sqref="H17"/>
    </sheetView>
  </sheetViews>
  <sheetFormatPr defaultColWidth="11.5703125" defaultRowHeight="12.75" x14ac:dyDescent="0.2"/>
  <cols>
    <col min="1" max="1" width="15.85546875" style="52" bestFit="1" customWidth="1"/>
    <col min="2" max="3" width="11.5703125" style="57"/>
    <col min="4" max="4" width="13.42578125" style="57" customWidth="1"/>
    <col min="5" max="6" width="12.5703125" style="15" customWidth="1"/>
    <col min="7" max="7" width="12.140625" style="15" customWidth="1"/>
    <col min="8" max="11" width="11.5703125" style="15"/>
  </cols>
  <sheetData>
    <row r="1" spans="1:14" s="38" customFormat="1" ht="60" x14ac:dyDescent="0.25">
      <c r="A1" s="51" t="s">
        <v>45</v>
      </c>
      <c r="B1" s="55" t="s">
        <v>0</v>
      </c>
      <c r="C1" s="55" t="s">
        <v>46</v>
      </c>
      <c r="D1" s="55" t="s">
        <v>47</v>
      </c>
      <c r="E1" s="54" t="s">
        <v>48</v>
      </c>
      <c r="F1" s="54" t="s">
        <v>49</v>
      </c>
      <c r="G1" s="54" t="s">
        <v>74</v>
      </c>
      <c r="H1" s="54" t="s">
        <v>75</v>
      </c>
      <c r="I1" s="54" t="s">
        <v>50</v>
      </c>
      <c r="J1" s="54" t="s">
        <v>51</v>
      </c>
      <c r="K1" s="54" t="s">
        <v>52</v>
      </c>
    </row>
    <row r="2" spans="1:14" x14ac:dyDescent="0.2">
      <c r="A2" s="52" t="s">
        <v>53</v>
      </c>
      <c r="B2" s="57">
        <v>1</v>
      </c>
      <c r="C2" s="57">
        <v>12</v>
      </c>
      <c r="D2" s="57">
        <v>2021</v>
      </c>
      <c r="E2" s="41">
        <f>(((Submetering!O2+Submetering!P2)*0.842284+Submetering!Q2+(Submetering!M2+Submetering!N2+Submetering!Y2)*0.7362)+(Submetering!O2+Submetering!P2+Submetering!Q2)*0.1488+(Submetering!M2+Submetering!N2+Submetering!Y2)*0.1167+(Submetering!K2+Submetering!L2-Submetering!Z2-Submetering!AA2-Submetering!AB2-Submetering!AC2-Submetering!Q2)+(Submetering!M2+Submetering!N2+Submetering!Y2)*0.1139)</f>
        <v>64852.500935999997</v>
      </c>
      <c r="F2" s="144">
        <v>1.27</v>
      </c>
      <c r="G2" s="41">
        <f>Gas!C3*0.9147</f>
        <v>2125.7628</v>
      </c>
      <c r="H2" s="145">
        <v>3.65</v>
      </c>
      <c r="I2" s="146">
        <f>Submetering!H2+Submetering!AD2+Submetering!AE2</f>
        <v>1026</v>
      </c>
      <c r="J2" s="147">
        <v>10.029999999999999</v>
      </c>
      <c r="K2" s="41">
        <f>ELECT.!B3</f>
        <v>315</v>
      </c>
    </row>
    <row r="3" spans="1:14" x14ac:dyDescent="0.2">
      <c r="A3" s="52" t="s">
        <v>53</v>
      </c>
      <c r="B3" s="57">
        <f>B2+1</f>
        <v>2</v>
      </c>
      <c r="C3" s="57">
        <v>12</v>
      </c>
      <c r="D3" s="57">
        <v>2021</v>
      </c>
      <c r="E3" s="41">
        <f>(((Submetering!O3+Submetering!P3)*0.842284+Submetering!Q3+(Submetering!M3+Submetering!N3+Submetering!Y3)*0.7362)+(Submetering!O3+Submetering!P3+Submetering!Q3)*0.1488+(Submetering!M3+Submetering!N3+Submetering!Y3)*0.1167+(Submetering!K3+Submetering!L3-Submetering!Z3-Submetering!AA3-Submetering!AB3-Submetering!AC3-Submetering!Q3)+(Submetering!M3+Submetering!N3+Submetering!Y3)*0.1139)</f>
        <v>61514.201808000005</v>
      </c>
      <c r="F3" s="144">
        <v>1.27</v>
      </c>
      <c r="G3" s="41">
        <f>Gas!C4*0.9147</f>
        <v>2166.9242999999997</v>
      </c>
      <c r="H3" s="145">
        <v>3.65</v>
      </c>
      <c r="I3" s="147">
        <f>Submetering!H3+Submetering!AD3+Submetering!AE3</f>
        <v>1075.9999999999998</v>
      </c>
      <c r="J3" s="147">
        <v>10.029999999999999</v>
      </c>
      <c r="K3" s="41">
        <f>ELECT.!B4</f>
        <v>294</v>
      </c>
    </row>
    <row r="4" spans="1:14" x14ac:dyDescent="0.2">
      <c r="A4" s="52" t="s">
        <v>53</v>
      </c>
      <c r="B4" s="57">
        <f t="shared" ref="B4:B32" si="0">B3+1</f>
        <v>3</v>
      </c>
      <c r="C4" s="57">
        <v>12</v>
      </c>
      <c r="D4" s="57">
        <v>2021</v>
      </c>
      <c r="E4" s="41">
        <f>(((Submetering!O4+Submetering!P4)*0.842284+Submetering!Q4+(Submetering!M4+Submetering!N4+Submetering!Y4)*0.7362)+(Submetering!O4+Submetering!P4+Submetering!Q4)*0.1488+(Submetering!M4+Submetering!N4+Submetering!Y4)*0.1167+(Submetering!K4+Submetering!L4-Submetering!Z4-Submetering!AA4-Submetering!AB4-Submetering!AC4-Submetering!Q4)+(Submetering!M4+Submetering!N4+Submetering!Y4)*0.1139)</f>
        <v>47941.073795999997</v>
      </c>
      <c r="F4" s="144">
        <v>1.27</v>
      </c>
      <c r="G4" s="41">
        <f>Gas!C5*0.9147</f>
        <v>2859.3521999999998</v>
      </c>
      <c r="H4" s="145">
        <v>3.65</v>
      </c>
      <c r="I4" s="147">
        <f>Submetering!H4+Submetering!AD4+Submetering!AE4</f>
        <v>1005.9999999999999</v>
      </c>
      <c r="J4" s="147">
        <v>10.029999999999999</v>
      </c>
      <c r="K4" s="41">
        <f>ELECT.!B5</f>
        <v>290</v>
      </c>
    </row>
    <row r="5" spans="1:14" x14ac:dyDescent="0.2">
      <c r="A5" s="52" t="s">
        <v>53</v>
      </c>
      <c r="B5" s="57">
        <f t="shared" si="0"/>
        <v>4</v>
      </c>
      <c r="C5" s="57">
        <v>12</v>
      </c>
      <c r="D5" s="57">
        <v>2021</v>
      </c>
      <c r="E5" s="41">
        <f>(((Submetering!O5+Submetering!P5)*0.842284+Submetering!Q5+(Submetering!M5+Submetering!N5+Submetering!Y5)*0.7362)+(Submetering!O5+Submetering!P5+Submetering!Q5)*0.1488+(Submetering!M5+Submetering!N5+Submetering!Y5)*0.1167+(Submetering!K5+Submetering!L5-Submetering!Z5-Submetering!AA5-Submetering!AB5-Submetering!AC5-Submetering!Q5)+(Submetering!M5+Submetering!N5+Submetering!Y5)*0.1139)</f>
        <v>49485.706819999999</v>
      </c>
      <c r="F5" s="144">
        <v>1.27</v>
      </c>
      <c r="G5" s="41">
        <f>Gas!C6*0.9147</f>
        <v>2498.9603999999999</v>
      </c>
      <c r="H5" s="145">
        <v>3.65</v>
      </c>
      <c r="I5" s="147">
        <f>Submetering!H5+Submetering!AD5+Submetering!AE5</f>
        <v>1316</v>
      </c>
      <c r="J5" s="147">
        <v>10.029999999999999</v>
      </c>
      <c r="K5" s="41">
        <f>ELECT.!B6</f>
        <v>237</v>
      </c>
    </row>
    <row r="6" spans="1:14" x14ac:dyDescent="0.2">
      <c r="A6" s="52" t="s">
        <v>53</v>
      </c>
      <c r="B6" s="57">
        <f t="shared" si="0"/>
        <v>5</v>
      </c>
      <c r="C6" s="57">
        <v>12</v>
      </c>
      <c r="D6" s="57">
        <v>2021</v>
      </c>
      <c r="E6" s="41">
        <f>(((Submetering!O6+Submetering!P6)*0.842284+Submetering!Q6+(Submetering!M6+Submetering!N6+Submetering!Y6)*0.7362)+(Submetering!O6+Submetering!P6+Submetering!Q6)*0.1488+(Submetering!M6+Submetering!N6+Submetering!Y6)*0.1167+(Submetering!K6+Submetering!L6-Submetering!Z6-Submetering!AA6-Submetering!AB6-Submetering!AC6-Submetering!Q6)+(Submetering!M6+Submetering!N6+Submetering!Y6)*0.1139)</f>
        <v>48224.901815999998</v>
      </c>
      <c r="F6" s="144">
        <v>1.27</v>
      </c>
      <c r="G6" s="41">
        <f>Gas!C7*0.9147</f>
        <v>2174.2419</v>
      </c>
      <c r="H6" s="145">
        <v>3.65</v>
      </c>
      <c r="I6" s="147">
        <f>Submetering!H6+Submetering!AD6+Submetering!AE6</f>
        <v>986.00000000000011</v>
      </c>
      <c r="J6" s="147">
        <v>10.029999999999999</v>
      </c>
      <c r="K6" s="41">
        <f>ELECT.!B7</f>
        <v>236</v>
      </c>
    </row>
    <row r="7" spans="1:14" x14ac:dyDescent="0.2">
      <c r="A7" s="52" t="s">
        <v>53</v>
      </c>
      <c r="B7" s="57">
        <f t="shared" si="0"/>
        <v>6</v>
      </c>
      <c r="C7" s="57">
        <v>12</v>
      </c>
      <c r="D7" s="57">
        <v>2021</v>
      </c>
      <c r="E7" s="41">
        <f>(((Submetering!O7+Submetering!P7)*0.842284+Submetering!Q7+(Submetering!M7+Submetering!N7+Submetering!Y7)*0.7362)+(Submetering!O7+Submetering!P7+Submetering!Q7)*0.1488+(Submetering!M7+Submetering!N7+Submetering!Y7)*0.1167+(Submetering!K7+Submetering!L7-Submetering!Z7-Submetering!AA7-Submetering!AB7-Submetering!AC7-Submetering!Q7)+(Submetering!M7+Submetering!N7+Submetering!Y7)*0.1139)</f>
        <v>64518.237548000005</v>
      </c>
      <c r="F7" s="144">
        <v>1.27</v>
      </c>
      <c r="G7" s="41">
        <f>Gas!C8*0.9147</f>
        <v>2285.8352999999997</v>
      </c>
      <c r="H7" s="145">
        <v>3.65</v>
      </c>
      <c r="I7" s="147">
        <f>Submetering!H7+Submetering!AD7+Submetering!AE7</f>
        <v>575.99999999999989</v>
      </c>
      <c r="J7" s="147">
        <v>10.029999999999999</v>
      </c>
      <c r="K7" s="41">
        <f>ELECT.!B8</f>
        <v>263</v>
      </c>
    </row>
    <row r="8" spans="1:14" x14ac:dyDescent="0.2">
      <c r="A8" s="52" t="s">
        <v>53</v>
      </c>
      <c r="B8" s="57">
        <f t="shared" si="0"/>
        <v>7</v>
      </c>
      <c r="C8" s="57">
        <v>12</v>
      </c>
      <c r="D8" s="57">
        <v>2021</v>
      </c>
      <c r="E8" s="41">
        <f>(((Submetering!O8+Submetering!P8)*0.842284+Submetering!Q8+(Submetering!M8+Submetering!N8+Submetering!Y8)*0.7362)+(Submetering!O8+Submetering!P8+Submetering!Q8)*0.1488+(Submetering!M8+Submetering!N8+Submetering!Y8)*0.1167+(Submetering!K8+Submetering!L8-Submetering!Z8-Submetering!AA8-Submetering!AB8-Submetering!AC8-Submetering!Q8)+(Submetering!M8+Submetering!N8+Submetering!Y8)*0.1139)</f>
        <v>0</v>
      </c>
      <c r="F8" s="144">
        <v>1.27</v>
      </c>
      <c r="G8" s="41">
        <f>Gas!C9*0.9147</f>
        <v>0</v>
      </c>
      <c r="H8" s="145">
        <v>3.65</v>
      </c>
      <c r="I8" s="147">
        <f>Submetering!H8+Submetering!AD8+Submetering!AE8</f>
        <v>-194</v>
      </c>
      <c r="J8" s="147">
        <v>10.029999999999999</v>
      </c>
      <c r="K8" s="41">
        <f>ELECT.!B9</f>
        <v>0</v>
      </c>
    </row>
    <row r="9" spans="1:14" x14ac:dyDescent="0.2">
      <c r="A9" s="52" t="s">
        <v>53</v>
      </c>
      <c r="B9" s="57">
        <f t="shared" si="0"/>
        <v>8</v>
      </c>
      <c r="C9" s="57">
        <v>12</v>
      </c>
      <c r="D9" s="57">
        <v>2021</v>
      </c>
      <c r="E9" s="41">
        <f>(((Submetering!O9+Submetering!P9)*0.842284+Submetering!Q9+(Submetering!M9+Submetering!N9+Submetering!Y9)*0.7362)+(Submetering!O9+Submetering!P9+Submetering!Q9)*0.1488+(Submetering!M9+Submetering!N9+Submetering!Y9)*0.1167+(Submetering!K9+Submetering!L9-Submetering!Z9-Submetering!AA9-Submetering!AB9-Submetering!AC9-Submetering!Q9)+(Submetering!M9+Submetering!N9+Submetering!Y9)*0.1139)</f>
        <v>0</v>
      </c>
      <c r="F9" s="144">
        <v>1.27</v>
      </c>
      <c r="G9" s="41">
        <f>Gas!C10*0.9147</f>
        <v>0</v>
      </c>
      <c r="H9" s="145">
        <v>3.65</v>
      </c>
      <c r="I9" s="147">
        <f>Submetering!H9+Submetering!AD9+Submetering!AE9</f>
        <v>-194</v>
      </c>
      <c r="J9" s="147">
        <v>10.029999999999999</v>
      </c>
      <c r="K9" s="41">
        <f>ELECT.!B10</f>
        <v>0</v>
      </c>
      <c r="N9" t="s">
        <v>12</v>
      </c>
    </row>
    <row r="10" spans="1:14" x14ac:dyDescent="0.2">
      <c r="A10" s="52" t="s">
        <v>53</v>
      </c>
      <c r="B10" s="57">
        <f t="shared" si="0"/>
        <v>9</v>
      </c>
      <c r="C10" s="57">
        <v>12</v>
      </c>
      <c r="D10" s="57">
        <v>2021</v>
      </c>
      <c r="E10" s="41">
        <f>(((Submetering!O10+Submetering!P10)*0.842284+Submetering!Q10+(Submetering!M10+Submetering!N10+Submetering!Y10)*0.7362)+(Submetering!O10+Submetering!P10+Submetering!Q10)*0.1488+(Submetering!M10+Submetering!N10+Submetering!Y10)*0.1167+(Submetering!K10+Submetering!L10-Submetering!Z10-Submetering!AA10-Submetering!AB10-Submetering!AC10-Submetering!Q10)+(Submetering!M10+Submetering!N10+Submetering!Y10)*0.1139)</f>
        <v>0</v>
      </c>
      <c r="F10" s="144">
        <v>1.27</v>
      </c>
      <c r="G10" s="41">
        <f>Gas!C11*0.9147</f>
        <v>0</v>
      </c>
      <c r="H10" s="145">
        <v>3.65</v>
      </c>
      <c r="I10" s="147">
        <f>Submetering!H10+Submetering!AD10+Submetering!AE10</f>
        <v>-194</v>
      </c>
      <c r="J10" s="147">
        <v>10.029999999999999</v>
      </c>
      <c r="K10" s="41">
        <f>ELECT.!B11</f>
        <v>0</v>
      </c>
    </row>
    <row r="11" spans="1:14" x14ac:dyDescent="0.2">
      <c r="A11" s="52" t="s">
        <v>53</v>
      </c>
      <c r="B11" s="57">
        <f t="shared" si="0"/>
        <v>10</v>
      </c>
      <c r="C11" s="57">
        <v>12</v>
      </c>
      <c r="D11" s="57">
        <v>2021</v>
      </c>
      <c r="E11" s="41">
        <f>(((Submetering!O11+Submetering!P11)*0.842284+Submetering!Q11+(Submetering!M11+Submetering!N11+Submetering!Y11)*0.7362)+(Submetering!O11+Submetering!P11+Submetering!Q11)*0.1488+(Submetering!M11+Submetering!N11+Submetering!Y11)*0.1167+(Submetering!K11+Submetering!L11-Submetering!Z11-Submetering!AA11-Submetering!AB11-Submetering!AC11-Submetering!Q11)+(Submetering!M11+Submetering!N11+Submetering!Y11)*0.1139)</f>
        <v>0</v>
      </c>
      <c r="F11" s="144">
        <v>1.27</v>
      </c>
      <c r="G11" s="41">
        <f>Gas!C12*0.9147</f>
        <v>0</v>
      </c>
      <c r="H11" s="145">
        <v>3.65</v>
      </c>
      <c r="I11" s="147">
        <f>Submetering!H11+Submetering!AD11+Submetering!AE11</f>
        <v>-194</v>
      </c>
      <c r="J11" s="147">
        <v>10.029999999999999</v>
      </c>
      <c r="K11" s="41">
        <f>ELECT.!B12</f>
        <v>0</v>
      </c>
    </row>
    <row r="12" spans="1:14" x14ac:dyDescent="0.2">
      <c r="A12" s="52" t="s">
        <v>53</v>
      </c>
      <c r="B12" s="57">
        <f t="shared" si="0"/>
        <v>11</v>
      </c>
      <c r="C12" s="57">
        <v>12</v>
      </c>
      <c r="D12" s="57">
        <v>2021</v>
      </c>
      <c r="E12" s="41">
        <f>(((Submetering!O12+Submetering!P12)*0.842284+Submetering!Q12+(Submetering!M12+Submetering!N12+Submetering!Y12)*0.7362)+(Submetering!O12+Submetering!P12+Submetering!Q12)*0.1488+(Submetering!M12+Submetering!N12+Submetering!Y12)*0.1167+(Submetering!K12+Submetering!L12-Submetering!Z12-Submetering!AA12-Submetering!AB12-Submetering!AC12-Submetering!Q12)+(Submetering!M12+Submetering!N12+Submetering!Y12)*0.1139)</f>
        <v>0</v>
      </c>
      <c r="F12" s="144">
        <v>1.27</v>
      </c>
      <c r="G12" s="41">
        <f>Gas!C13*0.9147</f>
        <v>0</v>
      </c>
      <c r="H12" s="145">
        <v>3.65</v>
      </c>
      <c r="I12" s="147">
        <f>Submetering!H12+Submetering!AD12+Submetering!AE12</f>
        <v>-194</v>
      </c>
      <c r="J12" s="147">
        <v>10.029999999999999</v>
      </c>
      <c r="K12" s="41">
        <f>ELECT.!B13</f>
        <v>0</v>
      </c>
    </row>
    <row r="13" spans="1:14" x14ac:dyDescent="0.2">
      <c r="A13" s="52" t="s">
        <v>53</v>
      </c>
      <c r="B13" s="57">
        <f t="shared" si="0"/>
        <v>12</v>
      </c>
      <c r="C13" s="57">
        <v>12</v>
      </c>
      <c r="D13" s="57">
        <v>2021</v>
      </c>
      <c r="E13" s="41">
        <f>(((Submetering!O13+Submetering!P13)*0.842284+Submetering!Q13+(Submetering!M13+Submetering!N13+Submetering!Y13)*0.7362)+(Submetering!O13+Submetering!P13+Submetering!Q13)*0.1488+(Submetering!M13+Submetering!N13+Submetering!Y13)*0.1167+(Submetering!K13+Submetering!L13-Submetering!Z13-Submetering!AA13-Submetering!AB13-Submetering!AC13-Submetering!Q13)+(Submetering!M13+Submetering!N13+Submetering!Y13)*0.1139)</f>
        <v>0</v>
      </c>
      <c r="F13" s="144">
        <v>1.27</v>
      </c>
      <c r="G13" s="41">
        <f>Gas!C14*0.9147</f>
        <v>0</v>
      </c>
      <c r="H13" s="145">
        <v>3.65</v>
      </c>
      <c r="I13" s="147">
        <f>Submetering!H13+Submetering!AD13+Submetering!AE13</f>
        <v>-194</v>
      </c>
      <c r="J13" s="147">
        <v>10.029999999999999</v>
      </c>
      <c r="K13" s="41">
        <f>ELECT.!B14</f>
        <v>0</v>
      </c>
    </row>
    <row r="14" spans="1:14" x14ac:dyDescent="0.2">
      <c r="A14" s="52" t="s">
        <v>53</v>
      </c>
      <c r="B14" s="57">
        <f t="shared" si="0"/>
        <v>13</v>
      </c>
      <c r="C14" s="57">
        <v>12</v>
      </c>
      <c r="D14" s="57">
        <v>2021</v>
      </c>
      <c r="E14" s="41">
        <f>(((Submetering!O14+Submetering!P14)*0.842284+Submetering!Q14+(Submetering!M14+Submetering!N14+Submetering!Y14)*0.7362)+(Submetering!O14+Submetering!P14+Submetering!Q14)*0.1488+(Submetering!M14+Submetering!N14+Submetering!Y14)*0.1167+(Submetering!K14+Submetering!L14-Submetering!Z14-Submetering!AA14-Submetering!AB14-Submetering!AC14-Submetering!Q14)+(Submetering!M14+Submetering!N14+Submetering!Y14)*0.1139)</f>
        <v>0</v>
      </c>
      <c r="F14" s="144">
        <v>1.27</v>
      </c>
      <c r="G14" s="41">
        <f>Gas!C15*0.9147</f>
        <v>0</v>
      </c>
      <c r="H14" s="145">
        <v>3.65</v>
      </c>
      <c r="I14" s="147">
        <f>Submetering!H14+Submetering!AD14+Submetering!AE14</f>
        <v>-194</v>
      </c>
      <c r="J14" s="147">
        <v>10.029999999999999</v>
      </c>
      <c r="K14" s="41">
        <f>ELECT.!B15</f>
        <v>0</v>
      </c>
    </row>
    <row r="15" spans="1:14" x14ac:dyDescent="0.2">
      <c r="A15" s="52" t="s">
        <v>53</v>
      </c>
      <c r="B15" s="57">
        <f t="shared" si="0"/>
        <v>14</v>
      </c>
      <c r="C15" s="57">
        <v>12</v>
      </c>
      <c r="D15" s="57">
        <v>2021</v>
      </c>
      <c r="E15" s="41">
        <f>(((Submetering!O15+Submetering!P15)*0.842284+Submetering!Q15+(Submetering!M15+Submetering!N15+Submetering!Y15)*0.7362)+(Submetering!O15+Submetering!P15+Submetering!Q15)*0.1488+(Submetering!M15+Submetering!N15+Submetering!Y15)*0.1167+(Submetering!K15+Submetering!L15-Submetering!Z15-Submetering!AA15-Submetering!AB15-Submetering!AC15-Submetering!Q15)+(Submetering!M15+Submetering!N15+Submetering!Y15)*0.1139)</f>
        <v>0</v>
      </c>
      <c r="F15" s="144">
        <v>1.27</v>
      </c>
      <c r="G15" s="41">
        <f>Gas!C16*0.9147</f>
        <v>0</v>
      </c>
      <c r="H15" s="145">
        <v>3.65</v>
      </c>
      <c r="I15" s="147">
        <f>Submetering!H15+Submetering!AD15+Submetering!AE15</f>
        <v>-194</v>
      </c>
      <c r="J15" s="147">
        <v>10.029999999999999</v>
      </c>
      <c r="K15" s="41">
        <f>ELECT.!B16</f>
        <v>0</v>
      </c>
    </row>
    <row r="16" spans="1:14" x14ac:dyDescent="0.2">
      <c r="A16" s="52" t="s">
        <v>53</v>
      </c>
      <c r="B16" s="57">
        <f t="shared" si="0"/>
        <v>15</v>
      </c>
      <c r="C16" s="57">
        <v>12</v>
      </c>
      <c r="D16" s="57">
        <v>2021</v>
      </c>
      <c r="E16" s="41">
        <f>(((Submetering!O16+Submetering!P16)*0.842284+Submetering!Q16+(Submetering!M16+Submetering!N16+Submetering!Y16)*0.7362)+(Submetering!O16+Submetering!P16+Submetering!Q16)*0.1488+(Submetering!M16+Submetering!N16+Submetering!Y16)*0.1167+(Submetering!K16+Submetering!L16-Submetering!Z16-Submetering!AA16-Submetering!AB16-Submetering!AC16-Submetering!Q16)+(Submetering!M16+Submetering!N16+Submetering!Y16)*0.1139)</f>
        <v>0</v>
      </c>
      <c r="F16" s="144">
        <v>1.27</v>
      </c>
      <c r="G16" s="41">
        <f>Gas!C17*0.9147</f>
        <v>0</v>
      </c>
      <c r="H16" s="145">
        <v>3.65</v>
      </c>
      <c r="I16" s="147">
        <f>Submetering!H16+Submetering!AD16+Submetering!AE16</f>
        <v>-194</v>
      </c>
      <c r="J16" s="147">
        <v>10.029999999999999</v>
      </c>
      <c r="K16" s="41">
        <f>ELECT.!B17</f>
        <v>0</v>
      </c>
    </row>
    <row r="17" spans="1:13" x14ac:dyDescent="0.2">
      <c r="A17" s="52" t="s">
        <v>53</v>
      </c>
      <c r="B17" s="57">
        <f t="shared" si="0"/>
        <v>16</v>
      </c>
      <c r="C17" s="57">
        <v>12</v>
      </c>
      <c r="D17" s="57">
        <v>2021</v>
      </c>
      <c r="E17" s="41">
        <f>(((Submetering!O17+Submetering!P17)*0.842284+Submetering!Q17+(Submetering!M17+Submetering!N17+Submetering!Y17)*0.7362)+(Submetering!O17+Submetering!P17+Submetering!Q17)*0.1488+(Submetering!M17+Submetering!N17+Submetering!Y17)*0.1167+(Submetering!K17+Submetering!L17-Submetering!Z17-Submetering!AA17-Submetering!AB17-Submetering!AC17-Submetering!Q17)+(Submetering!M17+Submetering!N17+Submetering!Y17)*0.1139)</f>
        <v>0</v>
      </c>
      <c r="F17" s="144">
        <v>1.27</v>
      </c>
      <c r="G17" s="41">
        <f>Gas!C18*0.9147</f>
        <v>0</v>
      </c>
      <c r="H17" s="145">
        <v>3.65</v>
      </c>
      <c r="I17" s="147">
        <f>Submetering!H17+Submetering!AD17+Submetering!AE17</f>
        <v>-194</v>
      </c>
      <c r="J17" s="147">
        <v>10.029999999999999</v>
      </c>
      <c r="K17" s="41">
        <f>ELECT.!B18</f>
        <v>0</v>
      </c>
    </row>
    <row r="18" spans="1:13" x14ac:dyDescent="0.2">
      <c r="A18" s="52" t="s">
        <v>53</v>
      </c>
      <c r="B18" s="57">
        <f t="shared" si="0"/>
        <v>17</v>
      </c>
      <c r="C18" s="57">
        <v>12</v>
      </c>
      <c r="D18" s="57">
        <v>2021</v>
      </c>
      <c r="E18" s="41">
        <f>(((Submetering!O18+Submetering!P18)*0.842284+Submetering!Q18+(Submetering!M18+Submetering!N18+Submetering!Y18)*0.7362)+(Submetering!O18+Submetering!P18+Submetering!Q18)*0.1488+(Submetering!M18+Submetering!N18+Submetering!Y18)*0.1167+(Submetering!K18+Submetering!L18-Submetering!Z18-Submetering!AA18-Submetering!AB18-Submetering!AC18-Submetering!Q18)+(Submetering!M18+Submetering!N18+Submetering!Y18)*0.1139)</f>
        <v>0</v>
      </c>
      <c r="F18" s="144">
        <v>1.27</v>
      </c>
      <c r="G18" s="41">
        <f>Gas!C19*0.9147</f>
        <v>0</v>
      </c>
      <c r="H18" s="145">
        <v>3.65</v>
      </c>
      <c r="I18" s="147">
        <f>Submetering!H18+Submetering!AD18+Submetering!AE18</f>
        <v>-194</v>
      </c>
      <c r="J18" s="147">
        <v>10.029999999999999</v>
      </c>
      <c r="K18" s="41">
        <f>ELECT.!B19</f>
        <v>0</v>
      </c>
    </row>
    <row r="19" spans="1:13" x14ac:dyDescent="0.2">
      <c r="A19" s="52" t="s">
        <v>53</v>
      </c>
      <c r="B19" s="57">
        <f t="shared" si="0"/>
        <v>18</v>
      </c>
      <c r="C19" s="57">
        <v>12</v>
      </c>
      <c r="D19" s="57">
        <v>2021</v>
      </c>
      <c r="E19" s="41">
        <f>(((Submetering!O19+Submetering!P19)*0.842284+Submetering!Q19+(Submetering!M19+Submetering!N19+Submetering!Y19)*0.7362)+(Submetering!O19+Submetering!P19+Submetering!Q19)*0.1488+(Submetering!M19+Submetering!N19+Submetering!Y19)*0.1167+(Submetering!K19+Submetering!L19-Submetering!Z19-Submetering!AA19-Submetering!AB19-Submetering!AC19-Submetering!Q19)+(Submetering!M19+Submetering!N19+Submetering!Y19)*0.1139)</f>
        <v>0</v>
      </c>
      <c r="F19" s="144">
        <v>1.27</v>
      </c>
      <c r="G19" s="41">
        <f>Gas!C20*0.9147</f>
        <v>0</v>
      </c>
      <c r="H19" s="145">
        <v>3.65</v>
      </c>
      <c r="I19" s="147">
        <f>Submetering!H19+Submetering!AD19+Submetering!AE19</f>
        <v>-194</v>
      </c>
      <c r="J19" s="147">
        <v>10.029999999999999</v>
      </c>
      <c r="K19" s="41">
        <f>ELECT.!B20</f>
        <v>0</v>
      </c>
    </row>
    <row r="20" spans="1:13" x14ac:dyDescent="0.2">
      <c r="A20" s="52" t="s">
        <v>53</v>
      </c>
      <c r="B20" s="57">
        <f t="shared" si="0"/>
        <v>19</v>
      </c>
      <c r="C20" s="57">
        <v>12</v>
      </c>
      <c r="D20" s="57">
        <v>2021</v>
      </c>
      <c r="E20" s="41">
        <f>(((Submetering!O20+Submetering!P20)*0.842284+Submetering!Q20+(Submetering!M20+Submetering!N20+Submetering!Y20)*0.7362)+(Submetering!O20+Submetering!P20+Submetering!Q20)*0.1488+(Submetering!M20+Submetering!N20+Submetering!Y20)*0.1167+(Submetering!K20+Submetering!L20-Submetering!Z20-Submetering!AA20-Submetering!AB20-Submetering!AC20-Submetering!Q20)+(Submetering!M20+Submetering!N20+Submetering!Y20)*0.1139)</f>
        <v>0</v>
      </c>
      <c r="F20" s="144">
        <v>1.27</v>
      </c>
      <c r="G20" s="41">
        <f>Gas!C21*0.9147</f>
        <v>0</v>
      </c>
      <c r="H20" s="145">
        <v>3.65</v>
      </c>
      <c r="I20" s="147">
        <f>Submetering!H20+Submetering!AD20+Submetering!AE20</f>
        <v>-194</v>
      </c>
      <c r="J20" s="147">
        <v>10.029999999999999</v>
      </c>
      <c r="K20" s="41">
        <f>ELECT.!B21</f>
        <v>0</v>
      </c>
    </row>
    <row r="21" spans="1:13" x14ac:dyDescent="0.2">
      <c r="A21" s="52" t="s">
        <v>53</v>
      </c>
      <c r="B21" s="57">
        <f t="shared" si="0"/>
        <v>20</v>
      </c>
      <c r="C21" s="57">
        <v>12</v>
      </c>
      <c r="D21" s="57">
        <v>2021</v>
      </c>
      <c r="E21" s="41">
        <f>(((Submetering!O21+Submetering!P21)*0.842284+Submetering!Q21+(Submetering!M21+Submetering!N21+Submetering!Y21)*0.7362)+(Submetering!O21+Submetering!P21+Submetering!Q21)*0.1488+(Submetering!M21+Submetering!N21+Submetering!Y21)*0.1167+(Submetering!K21+Submetering!L21-Submetering!Z21-Submetering!AA21-Submetering!AB21-Submetering!AC21-Submetering!Q21)+(Submetering!M21+Submetering!N21+Submetering!Y21)*0.1139)</f>
        <v>0</v>
      </c>
      <c r="F21" s="144">
        <v>1.27</v>
      </c>
      <c r="G21" s="41">
        <f>Gas!C22*0.9147</f>
        <v>0</v>
      </c>
      <c r="H21" s="145">
        <v>3.65</v>
      </c>
      <c r="I21" s="147">
        <f>Submetering!H21+Submetering!AD21+Submetering!AE21</f>
        <v>-194</v>
      </c>
      <c r="J21" s="147">
        <v>10.029999999999999</v>
      </c>
      <c r="K21" s="41">
        <f>ELECT.!B22</f>
        <v>0</v>
      </c>
    </row>
    <row r="22" spans="1:13" x14ac:dyDescent="0.2">
      <c r="A22" s="52" t="s">
        <v>53</v>
      </c>
      <c r="B22" s="57">
        <f t="shared" si="0"/>
        <v>21</v>
      </c>
      <c r="C22" s="57">
        <v>12</v>
      </c>
      <c r="D22" s="57">
        <v>2021</v>
      </c>
      <c r="E22" s="41">
        <f>(((Submetering!O22+Submetering!P22)*0.842284+Submetering!Q22+(Submetering!M22+Submetering!N22+Submetering!Y22)*0.7362)+(Submetering!O22+Submetering!P22+Submetering!Q22)*0.1488+(Submetering!M22+Submetering!N22+Submetering!Y22)*0.1167+(Submetering!K22+Submetering!L22-Submetering!Z22-Submetering!AA22-Submetering!AB22-Submetering!AC22-Submetering!Q22)+(Submetering!M22+Submetering!N22+Submetering!Y22)*0.1139)</f>
        <v>0</v>
      </c>
      <c r="F22" s="144">
        <v>1.27</v>
      </c>
      <c r="G22" s="41">
        <f>Gas!C23*0.9147</f>
        <v>0</v>
      </c>
      <c r="H22" s="145">
        <v>3.65</v>
      </c>
      <c r="I22" s="147">
        <f>Submetering!H22+Submetering!AD22+Submetering!AE22</f>
        <v>-194</v>
      </c>
      <c r="J22" s="147">
        <v>10.029999999999999</v>
      </c>
      <c r="K22" s="41">
        <f>ELECT.!B23</f>
        <v>0</v>
      </c>
    </row>
    <row r="23" spans="1:13" x14ac:dyDescent="0.2">
      <c r="A23" s="52" t="s">
        <v>53</v>
      </c>
      <c r="B23" s="57">
        <f t="shared" si="0"/>
        <v>22</v>
      </c>
      <c r="C23" s="57">
        <v>12</v>
      </c>
      <c r="D23" s="57">
        <v>2021</v>
      </c>
      <c r="E23" s="41">
        <f>(((Submetering!O23+Submetering!P23)*0.842284+Submetering!Q23+(Submetering!M23+Submetering!N23+Submetering!Y23)*0.7362)+(Submetering!O23+Submetering!P23+Submetering!Q23)*0.1488+(Submetering!M23+Submetering!N23+Submetering!Y23)*0.1167+(Submetering!K23+Submetering!L23-Submetering!Z23-Submetering!AA23-Submetering!AB23-Submetering!AC23-Submetering!Q23)+(Submetering!M23+Submetering!N23+Submetering!Y23)*0.1139)</f>
        <v>0</v>
      </c>
      <c r="F23" s="144">
        <v>1.27</v>
      </c>
      <c r="G23" s="41">
        <f>Gas!C24*0.9147</f>
        <v>0</v>
      </c>
      <c r="H23" s="145">
        <v>3.65</v>
      </c>
      <c r="I23" s="147">
        <f>Submetering!H23+Submetering!AD23+Submetering!AE23</f>
        <v>-194</v>
      </c>
      <c r="J23" s="147">
        <v>10.029999999999999</v>
      </c>
      <c r="K23" s="41">
        <f>ELECT.!B24</f>
        <v>0</v>
      </c>
    </row>
    <row r="24" spans="1:13" x14ac:dyDescent="0.2">
      <c r="A24" s="52" t="s">
        <v>53</v>
      </c>
      <c r="B24" s="57">
        <f t="shared" si="0"/>
        <v>23</v>
      </c>
      <c r="C24" s="57">
        <v>12</v>
      </c>
      <c r="D24" s="57">
        <v>2021</v>
      </c>
      <c r="E24" s="41">
        <f>(((Submetering!O24+Submetering!P24)*0.842284+Submetering!Q24+(Submetering!M24+Submetering!N24+Submetering!Y24)*0.7362)+(Submetering!O24+Submetering!P24+Submetering!Q24)*0.1488+(Submetering!M24+Submetering!N24+Submetering!Y24)*0.1167+(Submetering!K24+Submetering!L24-Submetering!Z24-Submetering!AA24-Submetering!AB24-Submetering!AC24-Submetering!Q24)+(Submetering!M24+Submetering!N24+Submetering!Y24)*0.1139)</f>
        <v>0</v>
      </c>
      <c r="F24" s="144">
        <v>1.27</v>
      </c>
      <c r="G24" s="41">
        <f>Gas!C25*0.9147</f>
        <v>0</v>
      </c>
      <c r="H24" s="145">
        <v>3.65</v>
      </c>
      <c r="I24" s="147">
        <f>Submetering!H24+Submetering!AD24+Submetering!AE24</f>
        <v>-194</v>
      </c>
      <c r="J24" s="147">
        <v>10.029999999999999</v>
      </c>
      <c r="K24" s="41">
        <f>ELECT.!B25</f>
        <v>0</v>
      </c>
    </row>
    <row r="25" spans="1:13" x14ac:dyDescent="0.2">
      <c r="A25" s="52" t="s">
        <v>53</v>
      </c>
      <c r="B25" s="57">
        <f t="shared" si="0"/>
        <v>24</v>
      </c>
      <c r="C25" s="57">
        <v>12</v>
      </c>
      <c r="D25" s="57">
        <v>2021</v>
      </c>
      <c r="E25" s="41">
        <f>(((Submetering!O25+Submetering!P25)*0.842284+Submetering!Q25+(Submetering!M25+Submetering!N25+Submetering!Y25)*0.7362)+(Submetering!O25+Submetering!P25+Submetering!Q25)*0.1488+(Submetering!M25+Submetering!N25+Submetering!Y25)*0.1167+(Submetering!K25+Submetering!L25-Submetering!Z25-Submetering!AA25-Submetering!AB25-Submetering!AC25-Submetering!Q25)+(Submetering!M25+Submetering!N25+Submetering!Y25)*0.1139)</f>
        <v>0</v>
      </c>
      <c r="F25" s="144">
        <v>1.27</v>
      </c>
      <c r="G25" s="41">
        <f>Gas!C26*0.9147</f>
        <v>0</v>
      </c>
      <c r="H25" s="145">
        <v>3.65</v>
      </c>
      <c r="I25" s="147">
        <f>Submetering!H25+Submetering!AD25+Submetering!AE25</f>
        <v>-194</v>
      </c>
      <c r="J25" s="147">
        <v>10.029999999999999</v>
      </c>
      <c r="K25" s="41">
        <f>ELECT.!B26</f>
        <v>0</v>
      </c>
    </row>
    <row r="26" spans="1:13" x14ac:dyDescent="0.2">
      <c r="A26" s="52" t="s">
        <v>53</v>
      </c>
      <c r="B26" s="57">
        <f>B25+1</f>
        <v>25</v>
      </c>
      <c r="C26" s="57">
        <v>12</v>
      </c>
      <c r="D26" s="57">
        <v>2021</v>
      </c>
      <c r="E26" s="41">
        <f>(((Submetering!O26+Submetering!P26)*0.842284+Submetering!Q26+(Submetering!M26+Submetering!N26+Submetering!Y26)*0.7362)+(Submetering!O26+Submetering!P26+Submetering!Q26)*0.1488+(Submetering!M26+Submetering!N26+Submetering!Y26)*0.1167+(Submetering!K26+Submetering!L26-Submetering!Z26-Submetering!AA26-Submetering!AB26-Submetering!AC26-Submetering!Q26)+(Submetering!M26+Submetering!N26+Submetering!Y26)*0.1139)</f>
        <v>0</v>
      </c>
      <c r="F26" s="144">
        <v>1.27</v>
      </c>
      <c r="G26" s="41">
        <f>Gas!C27*0.9147</f>
        <v>0</v>
      </c>
      <c r="H26" s="145">
        <v>3.65</v>
      </c>
      <c r="I26" s="147">
        <f>Submetering!H26+Submetering!AD26+Submetering!AE26</f>
        <v>-194</v>
      </c>
      <c r="J26" s="147">
        <v>10.029999999999999</v>
      </c>
      <c r="K26" s="41">
        <f>ELECT.!B27</f>
        <v>0</v>
      </c>
      <c r="M26" s="30" t="s">
        <v>12</v>
      </c>
    </row>
    <row r="27" spans="1:13" x14ac:dyDescent="0.2">
      <c r="A27" s="52" t="s">
        <v>53</v>
      </c>
      <c r="B27" s="57">
        <f t="shared" si="0"/>
        <v>26</v>
      </c>
      <c r="C27" s="57">
        <v>12</v>
      </c>
      <c r="D27" s="57">
        <v>2021</v>
      </c>
      <c r="E27" s="41">
        <f>(((Submetering!O27+Submetering!P27)*0.842284+Submetering!Q27+(Submetering!M27+Submetering!N27+Submetering!Y27)*0.7362)+(Submetering!O27+Submetering!P27+Submetering!Q27)*0.1488+(Submetering!M27+Submetering!N27+Submetering!Y27)*0.1167+(Submetering!K27+Submetering!L27-Submetering!Z27-Submetering!AA27-Submetering!AB27-Submetering!AC27-Submetering!Q27)+(Submetering!M27+Submetering!N27+Submetering!Y27)*0.1139)</f>
        <v>0</v>
      </c>
      <c r="F27" s="144">
        <v>1.27</v>
      </c>
      <c r="G27" s="41">
        <f>Gas!C28*0.9147</f>
        <v>0</v>
      </c>
      <c r="H27" s="145">
        <v>3.65</v>
      </c>
      <c r="I27" s="147">
        <f>Submetering!H27+Submetering!AD27+Submetering!AE27</f>
        <v>-194</v>
      </c>
      <c r="J27" s="147">
        <v>10.029999999999999</v>
      </c>
      <c r="K27" s="41">
        <f>ELECT.!B28</f>
        <v>0</v>
      </c>
    </row>
    <row r="28" spans="1:13" x14ac:dyDescent="0.2">
      <c r="A28" s="52" t="s">
        <v>53</v>
      </c>
      <c r="B28" s="57">
        <f t="shared" si="0"/>
        <v>27</v>
      </c>
      <c r="C28" s="57">
        <v>12</v>
      </c>
      <c r="D28" s="57">
        <v>2021</v>
      </c>
      <c r="E28" s="41">
        <f>(((Submetering!O28+Submetering!P28)*0.842284+Submetering!Q28+(Submetering!M28+Submetering!N28+Submetering!Y28)*0.7362)+(Submetering!O28+Submetering!P28+Submetering!Q28)*0.1488+(Submetering!M28+Submetering!N28+Submetering!Y28)*0.1167+(Submetering!K28+Submetering!L28-Submetering!Z28-Submetering!AA28-Submetering!AB28-Submetering!AC28-Submetering!Q28)+(Submetering!M28+Submetering!N28+Submetering!Y28)*0.1139)</f>
        <v>0</v>
      </c>
      <c r="F28" s="144">
        <v>1.27</v>
      </c>
      <c r="G28" s="41">
        <f>Gas!C29*0.9147</f>
        <v>0</v>
      </c>
      <c r="H28" s="145">
        <v>3.65</v>
      </c>
      <c r="I28" s="147">
        <f>Submetering!H28+Submetering!AD28+Submetering!AE28</f>
        <v>-194</v>
      </c>
      <c r="J28" s="147">
        <v>10.029999999999999</v>
      </c>
      <c r="K28" s="41">
        <f>ELECT.!B29</f>
        <v>0</v>
      </c>
    </row>
    <row r="29" spans="1:13" x14ac:dyDescent="0.2">
      <c r="A29" s="52" t="s">
        <v>53</v>
      </c>
      <c r="B29" s="57">
        <f t="shared" si="0"/>
        <v>28</v>
      </c>
      <c r="C29" s="57">
        <v>12</v>
      </c>
      <c r="D29" s="57">
        <v>2021</v>
      </c>
      <c r="E29" s="41">
        <f>(((Submetering!O29+Submetering!P29)*0.842284+Submetering!Q29+(Submetering!M29+Submetering!N29+Submetering!Y29)*0.7362)+(Submetering!O29+Submetering!P29+Submetering!Q29)*0.1488+(Submetering!M29+Submetering!N29+Submetering!Y29)*0.1167+(Submetering!K29+Submetering!L29-Submetering!Z29-Submetering!AA29-Submetering!AB29-Submetering!AC29-Submetering!Q29)+(Submetering!M29+Submetering!N29+Submetering!Y29)*0.1139)</f>
        <v>0</v>
      </c>
      <c r="F29" s="144">
        <v>1.27</v>
      </c>
      <c r="G29" s="41">
        <f>Gas!C30*0.9147</f>
        <v>0</v>
      </c>
      <c r="H29" s="145">
        <v>3.65</v>
      </c>
      <c r="I29" s="147">
        <f>Submetering!H29+Submetering!AD29+Submetering!AE29</f>
        <v>-194</v>
      </c>
      <c r="J29" s="147">
        <v>10.029999999999999</v>
      </c>
      <c r="K29" s="41">
        <f>ELECT.!B30</f>
        <v>0</v>
      </c>
    </row>
    <row r="30" spans="1:13" x14ac:dyDescent="0.2">
      <c r="A30" s="52" t="s">
        <v>53</v>
      </c>
      <c r="B30" s="57">
        <f t="shared" si="0"/>
        <v>29</v>
      </c>
      <c r="C30" s="57">
        <v>12</v>
      </c>
      <c r="D30" s="57">
        <v>2021</v>
      </c>
      <c r="E30" s="41">
        <f>(((Submetering!O30+Submetering!P30)*0.842284+Submetering!Q30+(Submetering!M30+Submetering!N30+Submetering!Y30)*0.7362)+(Submetering!O30+Submetering!P30+Submetering!Q30)*0.1488+(Submetering!M30+Submetering!N30+Submetering!Y30)*0.1167+(Submetering!K30+Submetering!L30-Submetering!Z30-Submetering!AA30-Submetering!AB30-Submetering!AC30-Submetering!Q30)+(Submetering!M30+Submetering!N30+Submetering!Y30)*0.1139)</f>
        <v>0</v>
      </c>
      <c r="F30" s="144">
        <v>1.27</v>
      </c>
      <c r="G30" s="41">
        <f>Gas!C31*0.9147</f>
        <v>0</v>
      </c>
      <c r="H30" s="145">
        <v>3.65</v>
      </c>
      <c r="I30" s="147">
        <f>Submetering!H30+Submetering!AD30+Submetering!AE30</f>
        <v>-194</v>
      </c>
      <c r="J30" s="147">
        <v>10.029999999999999</v>
      </c>
      <c r="K30" s="41">
        <f>ELECT.!B31</f>
        <v>0</v>
      </c>
    </row>
    <row r="31" spans="1:13" x14ac:dyDescent="0.2">
      <c r="A31" s="52" t="s">
        <v>53</v>
      </c>
      <c r="B31" s="57">
        <f t="shared" si="0"/>
        <v>30</v>
      </c>
      <c r="C31" s="57">
        <v>12</v>
      </c>
      <c r="D31" s="57">
        <v>2021</v>
      </c>
      <c r="E31" s="41">
        <f>(((Submetering!O31+Submetering!P31)*0.842284+Submetering!Q31+(Submetering!M31+Submetering!N31+Submetering!Y31)*0.7362)+(Submetering!O31+Submetering!P31+Submetering!Q31)*0.1488+(Submetering!M31+Submetering!N31+Submetering!Y31)*0.1167+(Submetering!K31+Submetering!L31-Submetering!Z31-Submetering!AA31-Submetering!AB31-Submetering!AC31-Submetering!Q31)+(Submetering!M31+Submetering!N31+Submetering!Y31)*0.1139)</f>
        <v>0</v>
      </c>
      <c r="F31" s="144">
        <v>1.27</v>
      </c>
      <c r="G31" s="41">
        <f>Gas!C32*0.9147</f>
        <v>0</v>
      </c>
      <c r="H31" s="145">
        <v>3.65</v>
      </c>
      <c r="I31" s="147">
        <f>Submetering!H31+Submetering!AD31+Submetering!AE31</f>
        <v>-194</v>
      </c>
      <c r="J31" s="147">
        <v>10.029999999999999</v>
      </c>
      <c r="K31" s="41">
        <f>ELECT.!B32</f>
        <v>0</v>
      </c>
    </row>
    <row r="32" spans="1:13" x14ac:dyDescent="0.2">
      <c r="A32" s="52" t="s">
        <v>53</v>
      </c>
      <c r="B32" s="57">
        <f t="shared" si="0"/>
        <v>31</v>
      </c>
      <c r="C32" s="57">
        <v>12</v>
      </c>
      <c r="D32" s="57">
        <v>2021</v>
      </c>
      <c r="E32" s="41">
        <f>(((Submetering!O32+Submetering!P32)*0.842284+Submetering!Q32+(Submetering!M32+Submetering!N32+Submetering!Y32)*0.7362)+(Submetering!O32+Submetering!P32+Submetering!Q32)*0.1488+(Submetering!M32+Submetering!N32+Submetering!Y32)*0.1167+(Submetering!K32+Submetering!L32-Submetering!Z32-Submetering!AA32-Submetering!AB32-Submetering!AC32-Submetering!Q32)+(Submetering!M32+Submetering!N32+Submetering!Y32)*0.1139)</f>
        <v>0</v>
      </c>
      <c r="F32" s="145">
        <v>1.27</v>
      </c>
      <c r="G32" s="41">
        <f>Gas!C33*0.9147</f>
        <v>0</v>
      </c>
      <c r="H32" s="145">
        <v>3.65</v>
      </c>
      <c r="I32" s="147">
        <f>Submetering!H32+Submetering!AD32+Submetering!AE32</f>
        <v>-194</v>
      </c>
      <c r="J32" s="147">
        <v>10.029999999999999</v>
      </c>
      <c r="K32" s="41">
        <f>ELECT.!B33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E32"/>
  <sheetViews>
    <sheetView zoomScale="85" zoomScaleNormal="85" workbookViewId="0">
      <selection activeCell="A32" sqref="A32"/>
    </sheetView>
  </sheetViews>
  <sheetFormatPr defaultColWidth="11.5703125" defaultRowHeight="12.75" x14ac:dyDescent="0.2"/>
  <cols>
    <col min="1" max="1" width="15.85546875" style="52" bestFit="1" customWidth="1"/>
    <col min="2" max="3" width="11.5703125" style="57"/>
    <col min="4" max="4" width="13.42578125" style="57" customWidth="1"/>
    <col min="5" max="17" width="12.5703125" style="41" customWidth="1"/>
    <col min="18" max="23" width="12.5703125" style="42" customWidth="1"/>
    <col min="24" max="25" width="11.5703125" style="39"/>
    <col min="27" max="27" width="13.7109375" bestFit="1" customWidth="1"/>
    <col min="28" max="28" width="13.5703125" bestFit="1" customWidth="1"/>
    <col min="30" max="30" width="15.5703125" customWidth="1"/>
  </cols>
  <sheetData>
    <row r="1" spans="1:31" s="38" customFormat="1" ht="60" x14ac:dyDescent="0.25">
      <c r="A1" s="51" t="s">
        <v>45</v>
      </c>
      <c r="B1" s="55" t="s">
        <v>0</v>
      </c>
      <c r="C1" s="55" t="s">
        <v>46</v>
      </c>
      <c r="D1" s="55" t="s">
        <v>47</v>
      </c>
      <c r="E1" s="56" t="s">
        <v>64</v>
      </c>
      <c r="F1" s="56" t="s">
        <v>65</v>
      </c>
      <c r="G1" s="56" t="s">
        <v>66</v>
      </c>
      <c r="H1" s="56" t="s">
        <v>67</v>
      </c>
      <c r="I1" s="56" t="s">
        <v>57</v>
      </c>
      <c r="J1" s="56" t="s">
        <v>56</v>
      </c>
      <c r="K1" s="56" t="s">
        <v>55</v>
      </c>
      <c r="L1" s="56" t="s">
        <v>58</v>
      </c>
      <c r="M1" s="56" t="s">
        <v>59</v>
      </c>
      <c r="N1" s="56" t="s">
        <v>60</v>
      </c>
      <c r="O1" s="56" t="s">
        <v>61</v>
      </c>
      <c r="P1" s="56" t="s">
        <v>62</v>
      </c>
      <c r="Q1" s="56" t="s">
        <v>76</v>
      </c>
      <c r="R1" s="58" t="s">
        <v>68</v>
      </c>
      <c r="S1" s="58" t="s">
        <v>69</v>
      </c>
      <c r="T1" s="58" t="s">
        <v>70</v>
      </c>
      <c r="U1" s="58" t="s">
        <v>71</v>
      </c>
      <c r="V1" s="58" t="s">
        <v>72</v>
      </c>
      <c r="W1" s="58" t="s">
        <v>73</v>
      </c>
      <c r="X1" s="53" t="s">
        <v>52</v>
      </c>
      <c r="Y1" s="132" t="s">
        <v>128</v>
      </c>
      <c r="Z1" s="38" t="s">
        <v>129</v>
      </c>
      <c r="AA1" s="38" t="s">
        <v>130</v>
      </c>
      <c r="AB1" s="38" t="s">
        <v>131</v>
      </c>
      <c r="AC1" s="38" t="s">
        <v>132</v>
      </c>
      <c r="AD1" s="133" t="s">
        <v>133</v>
      </c>
      <c r="AE1" s="133" t="s">
        <v>134</v>
      </c>
    </row>
    <row r="2" spans="1:31" x14ac:dyDescent="0.2">
      <c r="A2" s="52" t="s">
        <v>53</v>
      </c>
      <c r="B2" s="57">
        <v>1</v>
      </c>
      <c r="C2" s="57">
        <v>12</v>
      </c>
      <c r="D2" s="57">
        <v>2021</v>
      </c>
      <c r="E2" s="41">
        <f>Water!C3</f>
        <v>1220</v>
      </c>
      <c r="F2" s="41">
        <f>Water!E3</f>
        <v>490</v>
      </c>
      <c r="G2" s="41">
        <f>Water!G3</f>
        <v>788.4</v>
      </c>
      <c r="H2" s="41">
        <f>Water!I3</f>
        <v>5.6970000000000001</v>
      </c>
      <c r="I2" s="41">
        <f>ELECT.!F3</f>
        <v>15583</v>
      </c>
      <c r="J2" s="41">
        <f>ELECT.!H3</f>
        <v>52747</v>
      </c>
      <c r="K2" s="41">
        <f>ELECT.!K3</f>
        <v>12124</v>
      </c>
      <c r="L2" s="41">
        <f>ELECT.!M3</f>
        <v>7311</v>
      </c>
      <c r="M2" s="41">
        <f>ELECT.!O3</f>
        <v>8060</v>
      </c>
      <c r="N2" s="41">
        <f>ELECT.!Q3</f>
        <v>8474</v>
      </c>
      <c r="O2" s="41">
        <f>ELECT.!S3</f>
        <v>11578</v>
      </c>
      <c r="P2" s="41">
        <f>ELECT.!W3*2</f>
        <v>25376</v>
      </c>
      <c r="Q2" s="41">
        <f>ELECT.!D3</f>
        <v>480</v>
      </c>
      <c r="R2" s="42">
        <f>BTU!C3</f>
        <v>2.7360000000007858</v>
      </c>
      <c r="S2" s="42">
        <f>BTU!F3</f>
        <v>0.91199999999980719</v>
      </c>
      <c r="T2" s="42">
        <f>BTU!I3</f>
        <v>3</v>
      </c>
      <c r="U2" s="42">
        <f>BTU!O3</f>
        <v>0.91699999999991633</v>
      </c>
      <c r="V2" s="42">
        <f>BTU!L3</f>
        <v>0.80000000000109139</v>
      </c>
      <c r="W2" s="42">
        <f>BTU!R3</f>
        <v>0.69000000000050932</v>
      </c>
      <c r="X2" s="39">
        <f>ELECT.!B3</f>
        <v>315</v>
      </c>
      <c r="Y2" s="39">
        <f>I2+J2-(K2+L2+M2+N2+O2+P2)</f>
        <v>-4593</v>
      </c>
      <c r="Z2">
        <f>'Mall, Citadel, Rotana'!C3+'Mall, Citadel, Rotana'!E3+'Mall, Citadel, Rotana'!G3+'Mall, Citadel, Rotana'!I3</f>
        <v>1879</v>
      </c>
      <c r="AA2">
        <f>'Mall, Citadel, Rotana'!K3+'Mall, Citadel, Rotana'!M3</f>
        <v>800</v>
      </c>
      <c r="AB2">
        <f>'Mall, Citadel, Rotana'!O3</f>
        <v>4</v>
      </c>
      <c r="AC2">
        <f>'Mall, Citadel, Rotana'!Q3+'Mall, Citadel, Rotana'!S3</f>
        <v>140</v>
      </c>
      <c r="AD2" s="39">
        <f>(E2-H2-194)*0.1318</f>
        <v>134.47593540000003</v>
      </c>
      <c r="AE2" s="39">
        <f>E2-H2-AD2-194</f>
        <v>885.82706460000009</v>
      </c>
    </row>
    <row r="3" spans="1:31" x14ac:dyDescent="0.2">
      <c r="A3" s="52" t="s">
        <v>53</v>
      </c>
      <c r="B3" s="57">
        <f>B2+1</f>
        <v>2</v>
      </c>
      <c r="C3" s="57">
        <v>12</v>
      </c>
      <c r="D3" s="57">
        <v>2021</v>
      </c>
      <c r="E3" s="41">
        <f>Water!C4</f>
        <v>1270</v>
      </c>
      <c r="F3" s="41">
        <f>Water!E4</f>
        <v>510</v>
      </c>
      <c r="G3" s="41">
        <f>Water!G4</f>
        <v>680.4</v>
      </c>
      <c r="H3" s="41">
        <f>Water!I4</f>
        <v>5.67</v>
      </c>
      <c r="I3" s="41">
        <f>ELECT.!F4</f>
        <v>17891</v>
      </c>
      <c r="J3" s="41">
        <f>ELECT.!H4</f>
        <v>45561</v>
      </c>
      <c r="K3" s="41">
        <f>ELECT.!K4</f>
        <v>11670</v>
      </c>
      <c r="L3" s="41">
        <f>ELECT.!M4</f>
        <v>6962</v>
      </c>
      <c r="M3" s="41">
        <f>ELECT.!O4</f>
        <v>10808</v>
      </c>
      <c r="N3" s="41">
        <f>ELECT.!Q4</f>
        <v>3142</v>
      </c>
      <c r="O3" s="41">
        <f>ELECT.!S4</f>
        <v>11496</v>
      </c>
      <c r="P3" s="41">
        <f>ELECT.!W4*2</f>
        <v>24116</v>
      </c>
      <c r="Q3" s="41">
        <f>ELECT.!D4</f>
        <v>480</v>
      </c>
      <c r="R3" s="42">
        <f>BTU!C4</f>
        <v>3.6659999999974389</v>
      </c>
      <c r="S3" s="42">
        <f>BTU!F4</f>
        <v>1.2719999999999345</v>
      </c>
      <c r="T3" s="42">
        <f>BTU!I4</f>
        <v>4</v>
      </c>
      <c r="U3" s="42">
        <f>BTU!O4</f>
        <v>1.4239999999999782</v>
      </c>
      <c r="V3" s="42">
        <f>BTU!L4</f>
        <v>1.9899999999997817</v>
      </c>
      <c r="W3" s="42">
        <f>BTU!R4</f>
        <v>0.36999999999989086</v>
      </c>
      <c r="X3" s="39">
        <f>ELECT.!B4</f>
        <v>294</v>
      </c>
      <c r="Y3" s="39">
        <f t="shared" ref="Y3:Y31" si="0">I3+J3-(K3+L3+M3+N3+O3+P3)</f>
        <v>-4742</v>
      </c>
      <c r="Z3">
        <f>'Mall, Citadel, Rotana'!C4+'Mall, Citadel, Rotana'!E4+'Mall, Citadel, Rotana'!G4+'Mall, Citadel, Rotana'!I4</f>
        <v>924</v>
      </c>
      <c r="AA3">
        <f>'Mall, Citadel, Rotana'!K4+'Mall, Citadel, Rotana'!M4</f>
        <v>320</v>
      </c>
      <c r="AB3">
        <f>'Mall, Citadel, Rotana'!O4</f>
        <v>1</v>
      </c>
      <c r="AC3">
        <f>'Mall, Citadel, Rotana'!Q4+'Mall, Citadel, Rotana'!S4</f>
        <v>141</v>
      </c>
      <c r="AD3" s="39">
        <f t="shared" ref="AD3:AD31" si="1">(E3-H3-194)*0.1318</f>
        <v>141.06949399999999</v>
      </c>
      <c r="AE3" s="39">
        <f t="shared" ref="AE3:AE31" si="2">E3-H3-AD3-194</f>
        <v>929.26050599999985</v>
      </c>
    </row>
    <row r="4" spans="1:31" x14ac:dyDescent="0.2">
      <c r="A4" s="52" t="s">
        <v>53</v>
      </c>
      <c r="B4" s="57">
        <f t="shared" ref="B4:B32" si="3">B3+1</f>
        <v>3</v>
      </c>
      <c r="C4" s="57">
        <v>12</v>
      </c>
      <c r="D4" s="57">
        <v>2021</v>
      </c>
      <c r="E4" s="41">
        <f>Water!C5</f>
        <v>1200</v>
      </c>
      <c r="F4" s="41">
        <f>Water!E5</f>
        <v>510</v>
      </c>
      <c r="G4" s="41">
        <f>Water!G5</f>
        <v>691.2</v>
      </c>
      <c r="H4" s="41">
        <f>Water!I5</f>
        <v>4.1310000000000002</v>
      </c>
      <c r="I4" s="41">
        <f>ELECT.!F5</f>
        <v>14835</v>
      </c>
      <c r="J4" s="41">
        <f>ELECT.!H5</f>
        <v>35206</v>
      </c>
      <c r="K4" s="41">
        <f>ELECT.!K5</f>
        <v>8032</v>
      </c>
      <c r="L4" s="41">
        <f>ELECT.!M5</f>
        <v>6157</v>
      </c>
      <c r="M4" s="41">
        <f>ELECT.!O5</f>
        <v>8464</v>
      </c>
      <c r="N4" s="41">
        <f>ELECT.!Q5</f>
        <v>2524</v>
      </c>
      <c r="O4" s="41">
        <f>ELECT.!S5</f>
        <v>8667</v>
      </c>
      <c r="P4" s="41">
        <f>ELECT.!W5*2</f>
        <v>19052</v>
      </c>
      <c r="Q4" s="41">
        <f>ELECT.!D5</f>
        <v>640</v>
      </c>
      <c r="R4" s="42">
        <f>BTU!C5</f>
        <v>3.3700000000026193</v>
      </c>
      <c r="S4" s="42">
        <f>BTU!F5</f>
        <v>0.76700000000028012</v>
      </c>
      <c r="T4" s="42">
        <f>BTU!I5</f>
        <v>4</v>
      </c>
      <c r="U4" s="42">
        <f>BTU!O5</f>
        <v>1.4639999999999418</v>
      </c>
      <c r="V4" s="42">
        <f>BTU!L5</f>
        <v>3.0200000000004366</v>
      </c>
      <c r="W4" s="42">
        <f>BTU!R5</f>
        <v>0</v>
      </c>
      <c r="X4" s="39">
        <f>ELECT.!B5</f>
        <v>290</v>
      </c>
      <c r="Y4" s="39">
        <f t="shared" si="0"/>
        <v>-2855</v>
      </c>
      <c r="Z4">
        <f>'Mall, Citadel, Rotana'!C5+'Mall, Citadel, Rotana'!E5+'Mall, Citadel, Rotana'!G5+'Mall, Citadel, Rotana'!I5</f>
        <v>1215</v>
      </c>
      <c r="AA4">
        <f>'Mall, Citadel, Rotana'!K5+'Mall, Citadel, Rotana'!M5</f>
        <v>320</v>
      </c>
      <c r="AB4">
        <f>'Mall, Citadel, Rotana'!O5</f>
        <v>3</v>
      </c>
      <c r="AC4">
        <f>'Mall, Citadel, Rotana'!Q5+'Mall, Citadel, Rotana'!S5</f>
        <v>140</v>
      </c>
      <c r="AD4" s="39">
        <f t="shared" si="1"/>
        <v>132.04633419999999</v>
      </c>
      <c r="AE4" s="39">
        <f t="shared" si="2"/>
        <v>869.82266579999987</v>
      </c>
    </row>
    <row r="5" spans="1:31" x14ac:dyDescent="0.2">
      <c r="A5" s="52" t="s">
        <v>53</v>
      </c>
      <c r="B5" s="57">
        <f t="shared" si="3"/>
        <v>4</v>
      </c>
      <c r="C5" s="57">
        <v>12</v>
      </c>
      <c r="D5" s="57">
        <v>2021</v>
      </c>
      <c r="E5" s="41">
        <f>Water!C6</f>
        <v>1510</v>
      </c>
      <c r="F5" s="41">
        <f>Water!E6</f>
        <v>380</v>
      </c>
      <c r="G5" s="41">
        <f>Water!G6</f>
        <v>1015.1999999999999</v>
      </c>
      <c r="H5" s="41">
        <f>Water!I6</f>
        <v>4.1580000000000004</v>
      </c>
      <c r="I5" s="41">
        <f>ELECT.!F6</f>
        <v>14477</v>
      </c>
      <c r="J5" s="41">
        <f>ELECT.!H6</f>
        <v>37741</v>
      </c>
      <c r="K5" s="41">
        <f>ELECT.!K6</f>
        <v>7846</v>
      </c>
      <c r="L5" s="41">
        <f>ELECT.!M6</f>
        <v>5571</v>
      </c>
      <c r="M5" s="41">
        <f>ELECT.!O6</f>
        <v>8792</v>
      </c>
      <c r="N5" s="41">
        <f>ELECT.!Q6</f>
        <v>2860</v>
      </c>
      <c r="O5" s="41">
        <f>ELECT.!S6</f>
        <v>9415</v>
      </c>
      <c r="P5" s="41">
        <f>ELECT.!W6*2</f>
        <v>20740</v>
      </c>
      <c r="Q5" s="41">
        <f>ELECT.!D6</f>
        <v>320</v>
      </c>
      <c r="R5" s="42">
        <f>BTU!C6</f>
        <v>2.9589999999989232</v>
      </c>
      <c r="S5" s="42">
        <f>BTU!F6</f>
        <v>0.75999999999976353</v>
      </c>
      <c r="T5" s="42">
        <f>BTU!I6</f>
        <v>4</v>
      </c>
      <c r="U5" s="42">
        <f>BTU!O6</f>
        <v>1.4329999999999927</v>
      </c>
      <c r="V5" s="42">
        <f>BTU!L6</f>
        <v>1.8499999999985448</v>
      </c>
      <c r="W5" s="42">
        <f>BTU!R6</f>
        <v>0</v>
      </c>
      <c r="X5" s="39">
        <f>ELECT.!B6</f>
        <v>237</v>
      </c>
      <c r="Y5" s="39">
        <f t="shared" si="0"/>
        <v>-3006</v>
      </c>
      <c r="Z5">
        <f>'Mall, Citadel, Rotana'!C6+'Mall, Citadel, Rotana'!E6+'Mall, Citadel, Rotana'!G6+'Mall, Citadel, Rotana'!I6</f>
        <v>1390</v>
      </c>
      <c r="AA5">
        <f>'Mall, Citadel, Rotana'!K6+'Mall, Citadel, Rotana'!M6</f>
        <v>640</v>
      </c>
      <c r="AB5">
        <f>'Mall, Citadel, Rotana'!O6</f>
        <v>4</v>
      </c>
      <c r="AC5">
        <f>'Mall, Citadel, Rotana'!Q6+'Mall, Citadel, Rotana'!S6</f>
        <v>190</v>
      </c>
      <c r="AD5" s="39">
        <f t="shared" si="1"/>
        <v>172.9007756</v>
      </c>
      <c r="AE5" s="39">
        <f t="shared" si="2"/>
        <v>1138.9412244</v>
      </c>
    </row>
    <row r="6" spans="1:31" x14ac:dyDescent="0.2">
      <c r="A6" s="52" t="s">
        <v>53</v>
      </c>
      <c r="B6" s="57">
        <f t="shared" si="3"/>
        <v>5</v>
      </c>
      <c r="C6" s="57">
        <v>12</v>
      </c>
      <c r="D6" s="57">
        <v>2021</v>
      </c>
      <c r="E6" s="41">
        <f>Water!C7</f>
        <v>1180</v>
      </c>
      <c r="F6" s="41">
        <f>Water!E7</f>
        <v>410</v>
      </c>
      <c r="G6" s="41">
        <f>Water!G7</f>
        <v>669.6</v>
      </c>
      <c r="H6" s="41">
        <f>Water!I7</f>
        <v>4.8869999999999996</v>
      </c>
      <c r="I6" s="41">
        <f>ELECT.!F7</f>
        <v>14523</v>
      </c>
      <c r="J6" s="41">
        <f>ELECT.!H7</f>
        <v>35295</v>
      </c>
      <c r="K6" s="41">
        <f>ELECT.!K7</f>
        <v>8132</v>
      </c>
      <c r="L6" s="41">
        <f>ELECT.!M7</f>
        <v>6414</v>
      </c>
      <c r="M6" s="41">
        <f>ELECT.!O7</f>
        <v>7956</v>
      </c>
      <c r="N6" s="41">
        <f>ELECT.!Q7</f>
        <v>2530</v>
      </c>
      <c r="O6" s="41">
        <f>ELECT.!S7</f>
        <v>8762</v>
      </c>
      <c r="P6" s="41">
        <f>ELECT.!W7*2</f>
        <v>19112</v>
      </c>
      <c r="Q6" s="41">
        <f>ELECT.!D7</f>
        <v>800</v>
      </c>
      <c r="R6" s="42">
        <f>BTU!C7</f>
        <v>2.8359999999993306</v>
      </c>
      <c r="S6" s="42">
        <f>BTU!F7</f>
        <v>1.1849999999999454</v>
      </c>
      <c r="T6" s="42">
        <f>BTU!I7</f>
        <v>5</v>
      </c>
      <c r="U6" s="42">
        <f>BTU!O7</f>
        <v>1.7989999999999782</v>
      </c>
      <c r="V6" s="42">
        <f>BTU!L7</f>
        <v>3.8299999999999272</v>
      </c>
      <c r="W6" s="42">
        <f>BTU!R7</f>
        <v>1.8299999999999272</v>
      </c>
      <c r="X6" s="39">
        <f>ELECT.!B7</f>
        <v>236</v>
      </c>
      <c r="Y6" s="39">
        <f t="shared" si="0"/>
        <v>-3088</v>
      </c>
      <c r="Z6">
        <f>'Mall, Citadel, Rotana'!C7+'Mall, Citadel, Rotana'!E7+'Mall, Citadel, Rotana'!G7+'Mall, Citadel, Rotana'!I7</f>
        <v>1055</v>
      </c>
      <c r="AA6">
        <f>'Mall, Citadel, Rotana'!K7+'Mall, Citadel, Rotana'!M7</f>
        <v>160</v>
      </c>
      <c r="AB6">
        <f>'Mall, Citadel, Rotana'!O7</f>
        <v>3</v>
      </c>
      <c r="AC6">
        <f>'Mall, Citadel, Rotana'!Q7+'Mall, Citadel, Rotana'!S7</f>
        <v>0</v>
      </c>
      <c r="AD6" s="39">
        <f t="shared" si="1"/>
        <v>129.31069340000002</v>
      </c>
      <c r="AE6" s="39">
        <f t="shared" si="2"/>
        <v>851.80230660000007</v>
      </c>
    </row>
    <row r="7" spans="1:31" x14ac:dyDescent="0.2">
      <c r="A7" s="52" t="s">
        <v>53</v>
      </c>
      <c r="B7" s="57">
        <f t="shared" si="3"/>
        <v>6</v>
      </c>
      <c r="C7" s="57">
        <v>12</v>
      </c>
      <c r="D7" s="57">
        <v>2021</v>
      </c>
      <c r="E7" s="41">
        <f>Water!C8</f>
        <v>770</v>
      </c>
      <c r="F7" s="41">
        <f>Water!E8</f>
        <v>420</v>
      </c>
      <c r="G7" s="41">
        <f>Water!G8</f>
        <v>307.8</v>
      </c>
      <c r="H7" s="41">
        <f>Water!I8</f>
        <v>4.806</v>
      </c>
      <c r="I7" s="41">
        <f>ELECT.!F8</f>
        <v>19694</v>
      </c>
      <c r="J7" s="41">
        <f>ELECT.!H8</f>
        <v>47433</v>
      </c>
      <c r="K7" s="41">
        <f>ELECT.!K8</f>
        <v>11018</v>
      </c>
      <c r="L7" s="41">
        <f>ELECT.!M8</f>
        <v>8586</v>
      </c>
      <c r="M7" s="41">
        <f>ELECT.!O8</f>
        <v>10920</v>
      </c>
      <c r="N7" s="41">
        <f>ELECT.!Q8</f>
        <v>3268</v>
      </c>
      <c r="O7" s="41">
        <f>ELECT.!S8</f>
        <v>11701</v>
      </c>
      <c r="P7" s="41">
        <f>ELECT.!W8*2</f>
        <v>25796</v>
      </c>
      <c r="Q7" s="41">
        <f>ELECT.!D8</f>
        <v>480</v>
      </c>
      <c r="R7" s="42">
        <f>BTU!C8</f>
        <v>2.5900000000001455</v>
      </c>
      <c r="S7" s="42">
        <f>BTU!F8</f>
        <v>0.64000000000032742</v>
      </c>
      <c r="T7" s="42">
        <f>BTU!I8</f>
        <v>2</v>
      </c>
      <c r="U7" s="42">
        <f>BTU!O8</f>
        <v>0.80500000000029104</v>
      </c>
      <c r="V7" s="42">
        <f>BTU!L8</f>
        <v>1.7700000000004366</v>
      </c>
      <c r="W7" s="42" t="str">
        <f>BTU!R8</f>
        <v>0</v>
      </c>
      <c r="X7" s="39">
        <f>ELECT.!B8</f>
        <v>263</v>
      </c>
      <c r="Y7" s="39">
        <f t="shared" si="0"/>
        <v>-4162</v>
      </c>
      <c r="Z7">
        <f>'Mall, Citadel, Rotana'!C8+'Mall, Citadel, Rotana'!E8+'Mall, Citadel, Rotana'!G8+'Mall, Citadel, Rotana'!I8</f>
        <v>1530</v>
      </c>
      <c r="AA7">
        <f>'Mall, Citadel, Rotana'!K8+'Mall, Citadel, Rotana'!M8</f>
        <v>480</v>
      </c>
      <c r="AB7">
        <f>'Mall, Citadel, Rotana'!O8</f>
        <v>3</v>
      </c>
      <c r="AC7">
        <f>'Mall, Citadel, Rotana'!Q8+'Mall, Citadel, Rotana'!S8</f>
        <v>0</v>
      </c>
      <c r="AD7" s="39">
        <f t="shared" si="1"/>
        <v>75.283369199999996</v>
      </c>
      <c r="AE7" s="39">
        <f t="shared" si="2"/>
        <v>495.91063079999992</v>
      </c>
    </row>
    <row r="8" spans="1:31" x14ac:dyDescent="0.2">
      <c r="A8" s="52" t="s">
        <v>53</v>
      </c>
      <c r="B8" s="57">
        <f t="shared" si="3"/>
        <v>7</v>
      </c>
      <c r="C8" s="57">
        <v>12</v>
      </c>
      <c r="D8" s="57">
        <v>2021</v>
      </c>
      <c r="E8" s="41">
        <f>Water!C9</f>
        <v>0</v>
      </c>
      <c r="F8" s="41">
        <f>Water!E9</f>
        <v>0</v>
      </c>
      <c r="G8" s="41">
        <f>Water!G9</f>
        <v>0</v>
      </c>
      <c r="H8" s="41">
        <f>Water!I9</f>
        <v>0</v>
      </c>
      <c r="I8" s="41">
        <f>ELECT.!F9</f>
        <v>0</v>
      </c>
      <c r="J8" s="41">
        <f>ELECT.!H9</f>
        <v>0</v>
      </c>
      <c r="K8" s="41">
        <f>ELECT.!K9</f>
        <v>0</v>
      </c>
      <c r="L8" s="41">
        <f>ELECT.!M9</f>
        <v>0</v>
      </c>
      <c r="M8" s="41">
        <f>ELECT.!O9</f>
        <v>0</v>
      </c>
      <c r="N8" s="41">
        <f>ELECT.!Q9</f>
        <v>0</v>
      </c>
      <c r="O8" s="41">
        <f>ELECT.!S9</f>
        <v>0</v>
      </c>
      <c r="P8" s="41">
        <f>ELECT.!W9*2</f>
        <v>0</v>
      </c>
      <c r="Q8" s="41">
        <f>ELECT.!D9</f>
        <v>0</v>
      </c>
      <c r="R8" s="42">
        <f>BTU!C9</f>
        <v>0</v>
      </c>
      <c r="S8" s="42">
        <f>BTU!F9</f>
        <v>0</v>
      </c>
      <c r="T8" s="42">
        <f>BTU!I9</f>
        <v>0</v>
      </c>
      <c r="U8" s="42">
        <f>BTU!O9</f>
        <v>0</v>
      </c>
      <c r="V8" s="42">
        <f>BTU!L9</f>
        <v>0</v>
      </c>
      <c r="W8" s="42">
        <f>BTU!R9</f>
        <v>0</v>
      </c>
      <c r="X8" s="39">
        <f>ELECT.!B9</f>
        <v>0</v>
      </c>
      <c r="Y8" s="39">
        <f t="shared" si="0"/>
        <v>0</v>
      </c>
      <c r="Z8">
        <f>'Mall, Citadel, Rotana'!C9+'Mall, Citadel, Rotana'!E9+'Mall, Citadel, Rotana'!G9+'Mall, Citadel, Rotana'!I9</f>
        <v>0</v>
      </c>
      <c r="AA8">
        <f>'Mall, Citadel, Rotana'!K9+'Mall, Citadel, Rotana'!M9</f>
        <v>0</v>
      </c>
      <c r="AB8">
        <f>'Mall, Citadel, Rotana'!O9</f>
        <v>0</v>
      </c>
      <c r="AC8">
        <f>'Mall, Citadel, Rotana'!Q9+'Mall, Citadel, Rotana'!S9</f>
        <v>0</v>
      </c>
      <c r="AD8" s="39">
        <f t="shared" si="1"/>
        <v>-25.569199999999999</v>
      </c>
      <c r="AE8" s="39">
        <f t="shared" si="2"/>
        <v>-168.4308</v>
      </c>
    </row>
    <row r="9" spans="1:31" x14ac:dyDescent="0.2">
      <c r="A9" s="52" t="s">
        <v>53</v>
      </c>
      <c r="B9" s="57">
        <f t="shared" si="3"/>
        <v>8</v>
      </c>
      <c r="C9" s="57">
        <v>12</v>
      </c>
      <c r="D9" s="57">
        <v>2021</v>
      </c>
      <c r="E9" s="41">
        <f>Water!C10</f>
        <v>0</v>
      </c>
      <c r="F9" s="41">
        <f>Water!E10</f>
        <v>0</v>
      </c>
      <c r="G9" s="41">
        <f>Water!G10</f>
        <v>0</v>
      </c>
      <c r="H9" s="41">
        <f>Water!I10</f>
        <v>0</v>
      </c>
      <c r="I9" s="41">
        <f>ELECT.!F10</f>
        <v>0</v>
      </c>
      <c r="J9" s="41">
        <f>ELECT.!H10</f>
        <v>0</v>
      </c>
      <c r="K9" s="41">
        <f>ELECT.!K10</f>
        <v>0</v>
      </c>
      <c r="L9" s="41">
        <f>ELECT.!M10</f>
        <v>0</v>
      </c>
      <c r="M9" s="41">
        <f>ELECT.!O10</f>
        <v>0</v>
      </c>
      <c r="N9" s="41">
        <f>ELECT.!Q10</f>
        <v>0</v>
      </c>
      <c r="O9" s="41">
        <f>ELECT.!S10</f>
        <v>0</v>
      </c>
      <c r="P9" s="41">
        <f>ELECT.!W10*2</f>
        <v>0</v>
      </c>
      <c r="Q9" s="41">
        <f>ELECT.!D10</f>
        <v>0</v>
      </c>
      <c r="R9" s="42">
        <f>BTU!C10</f>
        <v>0</v>
      </c>
      <c r="S9" s="42">
        <f>BTU!F10</f>
        <v>0</v>
      </c>
      <c r="T9" s="42">
        <f>BTU!I10</f>
        <v>0</v>
      </c>
      <c r="U9" s="42">
        <f>BTU!O10</f>
        <v>0</v>
      </c>
      <c r="V9" s="42">
        <f>BTU!L10</f>
        <v>0</v>
      </c>
      <c r="W9" s="42">
        <f>BTU!R10</f>
        <v>0</v>
      </c>
      <c r="X9" s="39">
        <f>ELECT.!B10</f>
        <v>0</v>
      </c>
      <c r="Y9" s="39">
        <f t="shared" si="0"/>
        <v>0</v>
      </c>
      <c r="Z9">
        <f>'Mall, Citadel, Rotana'!C10+'Mall, Citadel, Rotana'!E10+'Mall, Citadel, Rotana'!G10+'Mall, Citadel, Rotana'!I10</f>
        <v>0</v>
      </c>
      <c r="AA9">
        <f>'Mall, Citadel, Rotana'!K10+'Mall, Citadel, Rotana'!M10</f>
        <v>0</v>
      </c>
      <c r="AB9">
        <f>'Mall, Citadel, Rotana'!O10</f>
        <v>0</v>
      </c>
      <c r="AC9">
        <f>'Mall, Citadel, Rotana'!Q10+'Mall, Citadel, Rotana'!S10</f>
        <v>0</v>
      </c>
      <c r="AD9" s="39">
        <f t="shared" si="1"/>
        <v>-25.569199999999999</v>
      </c>
      <c r="AE9" s="39">
        <f t="shared" si="2"/>
        <v>-168.4308</v>
      </c>
    </row>
    <row r="10" spans="1:31" x14ac:dyDescent="0.2">
      <c r="A10" s="52" t="s">
        <v>53</v>
      </c>
      <c r="B10" s="57">
        <f t="shared" si="3"/>
        <v>9</v>
      </c>
      <c r="C10" s="57">
        <v>12</v>
      </c>
      <c r="D10" s="57">
        <v>2021</v>
      </c>
      <c r="E10" s="41">
        <f>Water!C11</f>
        <v>0</v>
      </c>
      <c r="F10" s="41">
        <f>Water!E11</f>
        <v>0</v>
      </c>
      <c r="G10" s="41">
        <f>Water!G11</f>
        <v>0</v>
      </c>
      <c r="H10" s="41">
        <f>Water!I11</f>
        <v>0</v>
      </c>
      <c r="I10" s="41">
        <f>ELECT.!F11</f>
        <v>0</v>
      </c>
      <c r="J10" s="41">
        <f>ELECT.!H11</f>
        <v>0</v>
      </c>
      <c r="K10" s="41">
        <f>ELECT.!K11</f>
        <v>0</v>
      </c>
      <c r="L10" s="41">
        <f>ELECT.!M11</f>
        <v>0</v>
      </c>
      <c r="M10" s="41">
        <f>ELECT.!O11</f>
        <v>0</v>
      </c>
      <c r="N10" s="41">
        <f>ELECT.!Q11</f>
        <v>0</v>
      </c>
      <c r="O10" s="41">
        <f>ELECT.!S11</f>
        <v>0</v>
      </c>
      <c r="P10" s="41">
        <f>ELECT.!W11*2</f>
        <v>0</v>
      </c>
      <c r="Q10" s="41">
        <f>ELECT.!D11</f>
        <v>0</v>
      </c>
      <c r="R10" s="42">
        <f>BTU!C11</f>
        <v>0</v>
      </c>
      <c r="S10" s="42">
        <f>BTU!F11</f>
        <v>0</v>
      </c>
      <c r="T10" s="42">
        <f>BTU!I11</f>
        <v>0</v>
      </c>
      <c r="U10" s="42">
        <f>BTU!O11</f>
        <v>0</v>
      </c>
      <c r="V10" s="42">
        <f>BTU!L11</f>
        <v>0</v>
      </c>
      <c r="W10" s="42">
        <f>BTU!R11</f>
        <v>0</v>
      </c>
      <c r="X10" s="39">
        <f>ELECT.!B11</f>
        <v>0</v>
      </c>
      <c r="Y10" s="39">
        <f t="shared" si="0"/>
        <v>0</v>
      </c>
      <c r="Z10">
        <f>'Mall, Citadel, Rotana'!C11+'Mall, Citadel, Rotana'!E11+'Mall, Citadel, Rotana'!G11+'Mall, Citadel, Rotana'!I11</f>
        <v>0</v>
      </c>
      <c r="AA10">
        <f>'Mall, Citadel, Rotana'!K11+'Mall, Citadel, Rotana'!M11</f>
        <v>0</v>
      </c>
      <c r="AB10">
        <f>'Mall, Citadel, Rotana'!O11</f>
        <v>0</v>
      </c>
      <c r="AC10">
        <f>'Mall, Citadel, Rotana'!Q11+'Mall, Citadel, Rotana'!S11</f>
        <v>0</v>
      </c>
      <c r="AD10" s="39">
        <f t="shared" si="1"/>
        <v>-25.569199999999999</v>
      </c>
      <c r="AE10" s="39">
        <f t="shared" si="2"/>
        <v>-168.4308</v>
      </c>
    </row>
    <row r="11" spans="1:31" x14ac:dyDescent="0.2">
      <c r="A11" s="52" t="s">
        <v>53</v>
      </c>
      <c r="B11" s="57">
        <f t="shared" si="3"/>
        <v>10</v>
      </c>
      <c r="C11" s="57">
        <v>12</v>
      </c>
      <c r="D11" s="57">
        <v>2021</v>
      </c>
      <c r="E11" s="41">
        <f>Water!C12</f>
        <v>0</v>
      </c>
      <c r="F11" s="41">
        <f>Water!E12</f>
        <v>0</v>
      </c>
      <c r="G11" s="41">
        <f>Water!G12</f>
        <v>0</v>
      </c>
      <c r="H11" s="41">
        <f>Water!I12</f>
        <v>0</v>
      </c>
      <c r="I11" s="41">
        <f>ELECT.!F12</f>
        <v>0</v>
      </c>
      <c r="J11" s="41">
        <f>ELECT.!H12</f>
        <v>0</v>
      </c>
      <c r="K11" s="41">
        <f>ELECT.!K12</f>
        <v>0</v>
      </c>
      <c r="L11" s="41">
        <f>ELECT.!M12</f>
        <v>0</v>
      </c>
      <c r="M11" s="41">
        <f>ELECT.!O12</f>
        <v>0</v>
      </c>
      <c r="N11" s="41">
        <f>ELECT.!Q12</f>
        <v>0</v>
      </c>
      <c r="O11" s="41">
        <f>ELECT.!S12</f>
        <v>0</v>
      </c>
      <c r="P11" s="41">
        <f>ELECT.!W12*2</f>
        <v>0</v>
      </c>
      <c r="Q11" s="41">
        <f>ELECT.!D12</f>
        <v>0</v>
      </c>
      <c r="R11" s="42">
        <f>BTU!C12</f>
        <v>0</v>
      </c>
      <c r="S11" s="42">
        <f>BTU!F12</f>
        <v>0</v>
      </c>
      <c r="T11" s="42">
        <f>BTU!I12</f>
        <v>0</v>
      </c>
      <c r="U11" s="42">
        <f>BTU!O12</f>
        <v>0</v>
      </c>
      <c r="V11" s="42">
        <f>BTU!L12</f>
        <v>0</v>
      </c>
      <c r="W11" s="42">
        <f>BTU!R12</f>
        <v>0</v>
      </c>
      <c r="X11" s="39">
        <f>ELECT.!B12</f>
        <v>0</v>
      </c>
      <c r="Y11" s="39">
        <f t="shared" si="0"/>
        <v>0</v>
      </c>
      <c r="Z11">
        <f>'Mall, Citadel, Rotana'!C12+'Mall, Citadel, Rotana'!E12+'Mall, Citadel, Rotana'!G12+'Mall, Citadel, Rotana'!I12</f>
        <v>0</v>
      </c>
      <c r="AA11">
        <f>'Mall, Citadel, Rotana'!K12+'Mall, Citadel, Rotana'!M12</f>
        <v>0</v>
      </c>
      <c r="AB11">
        <f>'Mall, Citadel, Rotana'!O12</f>
        <v>0</v>
      </c>
      <c r="AC11">
        <f>'Mall, Citadel, Rotana'!Q12+'Mall, Citadel, Rotana'!S12</f>
        <v>0</v>
      </c>
      <c r="AD11" s="39">
        <f t="shared" si="1"/>
        <v>-25.569199999999999</v>
      </c>
      <c r="AE11" s="39">
        <f t="shared" si="2"/>
        <v>-168.4308</v>
      </c>
    </row>
    <row r="12" spans="1:31" x14ac:dyDescent="0.2">
      <c r="A12" s="52" t="s">
        <v>53</v>
      </c>
      <c r="B12" s="57">
        <f t="shared" si="3"/>
        <v>11</v>
      </c>
      <c r="C12" s="57">
        <v>12</v>
      </c>
      <c r="D12" s="57">
        <v>2021</v>
      </c>
      <c r="E12" s="41">
        <f>Water!C13</f>
        <v>0</v>
      </c>
      <c r="F12" s="41">
        <f>Water!E13</f>
        <v>0</v>
      </c>
      <c r="G12" s="41">
        <f>Water!G13</f>
        <v>0</v>
      </c>
      <c r="H12" s="41">
        <f>Water!I13</f>
        <v>0</v>
      </c>
      <c r="I12" s="41">
        <f>ELECT.!F13</f>
        <v>0</v>
      </c>
      <c r="J12" s="41">
        <f>ELECT.!H13</f>
        <v>0</v>
      </c>
      <c r="K12" s="41">
        <f>ELECT.!K13</f>
        <v>0</v>
      </c>
      <c r="L12" s="41">
        <f>ELECT.!M13</f>
        <v>0</v>
      </c>
      <c r="M12" s="41">
        <f>ELECT.!O13</f>
        <v>0</v>
      </c>
      <c r="N12" s="41">
        <f>ELECT.!Q13</f>
        <v>0</v>
      </c>
      <c r="O12" s="41">
        <f>ELECT.!S13</f>
        <v>0</v>
      </c>
      <c r="P12" s="41">
        <f>ELECT.!W13*2</f>
        <v>0</v>
      </c>
      <c r="Q12" s="41">
        <f>ELECT.!D13</f>
        <v>0</v>
      </c>
      <c r="R12" s="42">
        <f>BTU!C13</f>
        <v>0</v>
      </c>
      <c r="S12" s="42">
        <f>BTU!F13</f>
        <v>0</v>
      </c>
      <c r="T12" s="42">
        <f>BTU!I13</f>
        <v>0</v>
      </c>
      <c r="U12" s="42">
        <f>BTU!O13</f>
        <v>0</v>
      </c>
      <c r="V12" s="42">
        <f>BTU!L13</f>
        <v>0</v>
      </c>
      <c r="W12" s="42">
        <f>BTU!R13</f>
        <v>0</v>
      </c>
      <c r="X12" s="39">
        <f>ELECT.!B13</f>
        <v>0</v>
      </c>
      <c r="Y12" s="39">
        <f t="shared" si="0"/>
        <v>0</v>
      </c>
      <c r="Z12">
        <f>'Mall, Citadel, Rotana'!C13+'Mall, Citadel, Rotana'!E13+'Mall, Citadel, Rotana'!G13+'Mall, Citadel, Rotana'!I13</f>
        <v>0</v>
      </c>
      <c r="AA12">
        <f>'Mall, Citadel, Rotana'!K13+'Mall, Citadel, Rotana'!M13</f>
        <v>0</v>
      </c>
      <c r="AB12">
        <f>'Mall, Citadel, Rotana'!O13</f>
        <v>0</v>
      </c>
      <c r="AC12">
        <f>'Mall, Citadel, Rotana'!Q13+'Mall, Citadel, Rotana'!S13</f>
        <v>0</v>
      </c>
      <c r="AD12" s="39">
        <f t="shared" si="1"/>
        <v>-25.569199999999999</v>
      </c>
      <c r="AE12" s="39">
        <f t="shared" si="2"/>
        <v>-168.4308</v>
      </c>
    </row>
    <row r="13" spans="1:31" x14ac:dyDescent="0.2">
      <c r="A13" s="52" t="s">
        <v>53</v>
      </c>
      <c r="B13" s="57">
        <f t="shared" si="3"/>
        <v>12</v>
      </c>
      <c r="C13" s="57">
        <v>12</v>
      </c>
      <c r="D13" s="57">
        <v>2021</v>
      </c>
      <c r="E13" s="41">
        <f>Water!C14</f>
        <v>0</v>
      </c>
      <c r="F13" s="41">
        <f>Water!E14</f>
        <v>0</v>
      </c>
      <c r="G13" s="41">
        <f>Water!G14</f>
        <v>0</v>
      </c>
      <c r="H13" s="41">
        <f>Water!I14</f>
        <v>0</v>
      </c>
      <c r="I13" s="41">
        <f>ELECT.!F14</f>
        <v>0</v>
      </c>
      <c r="J13" s="41">
        <f>ELECT.!H14</f>
        <v>0</v>
      </c>
      <c r="K13" s="41">
        <f>ELECT.!K14</f>
        <v>0</v>
      </c>
      <c r="L13" s="41">
        <f>ELECT.!M14</f>
        <v>0</v>
      </c>
      <c r="M13" s="41">
        <f>ELECT.!O14</f>
        <v>0</v>
      </c>
      <c r="N13" s="41">
        <f>ELECT.!Q14</f>
        <v>0</v>
      </c>
      <c r="O13" s="41">
        <f>ELECT.!S14</f>
        <v>0</v>
      </c>
      <c r="P13" s="41">
        <f>ELECT.!W14*2</f>
        <v>0</v>
      </c>
      <c r="Q13" s="41">
        <f>ELECT.!D14</f>
        <v>0</v>
      </c>
      <c r="R13" s="42">
        <f>BTU!C14</f>
        <v>0</v>
      </c>
      <c r="S13" s="42">
        <f>BTU!F14</f>
        <v>0</v>
      </c>
      <c r="T13" s="42">
        <f>BTU!I14</f>
        <v>0</v>
      </c>
      <c r="U13" s="42">
        <f>BTU!O14</f>
        <v>0</v>
      </c>
      <c r="V13" s="42">
        <f>BTU!L14</f>
        <v>0</v>
      </c>
      <c r="W13" s="42">
        <f>BTU!R14</f>
        <v>0</v>
      </c>
      <c r="X13" s="39">
        <f>ELECT.!B14</f>
        <v>0</v>
      </c>
      <c r="Y13" s="39">
        <f t="shared" si="0"/>
        <v>0</v>
      </c>
      <c r="Z13">
        <f>'Mall, Citadel, Rotana'!C14+'Mall, Citadel, Rotana'!E14+'Mall, Citadel, Rotana'!G14+'Mall, Citadel, Rotana'!I14</f>
        <v>0</v>
      </c>
      <c r="AA13">
        <f>'Mall, Citadel, Rotana'!K14+'Mall, Citadel, Rotana'!M14</f>
        <v>0</v>
      </c>
      <c r="AB13">
        <f>'Mall, Citadel, Rotana'!O14</f>
        <v>0</v>
      </c>
      <c r="AC13">
        <f>'Mall, Citadel, Rotana'!Q14+'Mall, Citadel, Rotana'!S14</f>
        <v>0</v>
      </c>
      <c r="AD13" s="39">
        <f t="shared" si="1"/>
        <v>-25.569199999999999</v>
      </c>
      <c r="AE13" s="39">
        <f t="shared" si="2"/>
        <v>-168.4308</v>
      </c>
    </row>
    <row r="14" spans="1:31" x14ac:dyDescent="0.2">
      <c r="A14" s="52" t="s">
        <v>53</v>
      </c>
      <c r="B14" s="57">
        <f t="shared" si="3"/>
        <v>13</v>
      </c>
      <c r="C14" s="57">
        <v>12</v>
      </c>
      <c r="D14" s="57">
        <v>2021</v>
      </c>
      <c r="E14" s="41">
        <f>Water!C15</f>
        <v>0</v>
      </c>
      <c r="F14" s="41">
        <f>Water!E15</f>
        <v>0</v>
      </c>
      <c r="G14" s="41">
        <f>Water!G15</f>
        <v>0</v>
      </c>
      <c r="H14" s="41">
        <f>Water!I15</f>
        <v>0</v>
      </c>
      <c r="I14" s="41">
        <f>ELECT.!F15</f>
        <v>0</v>
      </c>
      <c r="J14" s="41">
        <f>ELECT.!H15</f>
        <v>0</v>
      </c>
      <c r="K14" s="41">
        <f>ELECT.!K15</f>
        <v>0</v>
      </c>
      <c r="L14" s="41">
        <f>ELECT.!M15</f>
        <v>0</v>
      </c>
      <c r="M14" s="41">
        <f>ELECT.!O15</f>
        <v>0</v>
      </c>
      <c r="N14" s="41">
        <f>ELECT.!Q15</f>
        <v>0</v>
      </c>
      <c r="O14" s="41">
        <f>ELECT.!S15</f>
        <v>0</v>
      </c>
      <c r="P14" s="41">
        <f>ELECT.!W15*2</f>
        <v>0</v>
      </c>
      <c r="Q14" s="41">
        <f>ELECT.!D15</f>
        <v>0</v>
      </c>
      <c r="R14" s="42">
        <f>BTU!C15</f>
        <v>0</v>
      </c>
      <c r="S14" s="42">
        <f>BTU!F15</f>
        <v>0</v>
      </c>
      <c r="T14" s="42">
        <f>BTU!I15</f>
        <v>0</v>
      </c>
      <c r="U14" s="42">
        <f>BTU!O15</f>
        <v>0</v>
      </c>
      <c r="V14" s="42">
        <f>BTU!L15</f>
        <v>0</v>
      </c>
      <c r="W14" s="42">
        <f>BTU!R15</f>
        <v>0</v>
      </c>
      <c r="X14" s="39">
        <f>ELECT.!B15</f>
        <v>0</v>
      </c>
      <c r="Y14" s="39">
        <f t="shared" si="0"/>
        <v>0</v>
      </c>
      <c r="Z14">
        <f>'Mall, Citadel, Rotana'!C15+'Mall, Citadel, Rotana'!E15+'Mall, Citadel, Rotana'!G15+'Mall, Citadel, Rotana'!I15</f>
        <v>0</v>
      </c>
      <c r="AA14">
        <f>'Mall, Citadel, Rotana'!K15+'Mall, Citadel, Rotana'!M15</f>
        <v>0</v>
      </c>
      <c r="AB14">
        <f>'Mall, Citadel, Rotana'!O15</f>
        <v>0</v>
      </c>
      <c r="AC14">
        <f>'Mall, Citadel, Rotana'!Q15+'Mall, Citadel, Rotana'!S15</f>
        <v>0</v>
      </c>
      <c r="AD14" s="39">
        <f t="shared" si="1"/>
        <v>-25.569199999999999</v>
      </c>
      <c r="AE14" s="39">
        <f t="shared" si="2"/>
        <v>-168.4308</v>
      </c>
    </row>
    <row r="15" spans="1:31" x14ac:dyDescent="0.2">
      <c r="A15" s="52" t="s">
        <v>53</v>
      </c>
      <c r="B15" s="57">
        <f t="shared" si="3"/>
        <v>14</v>
      </c>
      <c r="C15" s="57">
        <v>12</v>
      </c>
      <c r="D15" s="57">
        <v>2021</v>
      </c>
      <c r="E15" s="41">
        <f>Water!C16</f>
        <v>0</v>
      </c>
      <c r="F15" s="41">
        <f>Water!E16</f>
        <v>0</v>
      </c>
      <c r="G15" s="41">
        <f>Water!G16</f>
        <v>0</v>
      </c>
      <c r="H15" s="41">
        <f>Water!I16</f>
        <v>0</v>
      </c>
      <c r="I15" s="41">
        <f>ELECT.!F16</f>
        <v>0</v>
      </c>
      <c r="J15" s="41">
        <f>ELECT.!H16</f>
        <v>0</v>
      </c>
      <c r="K15" s="41">
        <f>ELECT.!K16</f>
        <v>0</v>
      </c>
      <c r="L15" s="41">
        <f>ELECT.!M16</f>
        <v>0</v>
      </c>
      <c r="M15" s="41">
        <f>ELECT.!O16</f>
        <v>0</v>
      </c>
      <c r="N15" s="41">
        <f>ELECT.!Q16</f>
        <v>0</v>
      </c>
      <c r="O15" s="41">
        <f>ELECT.!S16</f>
        <v>0</v>
      </c>
      <c r="P15" s="41">
        <f>ELECT.!W16*2</f>
        <v>0</v>
      </c>
      <c r="Q15" s="41">
        <f>ELECT.!D16</f>
        <v>0</v>
      </c>
      <c r="R15" s="42">
        <f>BTU!C16</f>
        <v>0</v>
      </c>
      <c r="S15" s="42">
        <f>BTU!F16</f>
        <v>0</v>
      </c>
      <c r="T15" s="42">
        <f>BTU!I16</f>
        <v>0</v>
      </c>
      <c r="U15" s="42">
        <f>BTU!O16</f>
        <v>0</v>
      </c>
      <c r="V15" s="42">
        <f>BTU!L16</f>
        <v>0</v>
      </c>
      <c r="W15" s="42">
        <f>BTU!R16</f>
        <v>0</v>
      </c>
      <c r="X15" s="39">
        <f>ELECT.!B16</f>
        <v>0</v>
      </c>
      <c r="Y15" s="39">
        <f t="shared" si="0"/>
        <v>0</v>
      </c>
      <c r="Z15">
        <f>'Mall, Citadel, Rotana'!C16+'Mall, Citadel, Rotana'!E16+'Mall, Citadel, Rotana'!G16+'Mall, Citadel, Rotana'!I16</f>
        <v>0</v>
      </c>
      <c r="AA15">
        <f>'Mall, Citadel, Rotana'!K16+'Mall, Citadel, Rotana'!M16</f>
        <v>0</v>
      </c>
      <c r="AB15">
        <f>'Mall, Citadel, Rotana'!O16</f>
        <v>0</v>
      </c>
      <c r="AC15">
        <f>'Mall, Citadel, Rotana'!Q16+'Mall, Citadel, Rotana'!S16</f>
        <v>0</v>
      </c>
      <c r="AD15" s="39">
        <f t="shared" si="1"/>
        <v>-25.569199999999999</v>
      </c>
      <c r="AE15" s="39">
        <f t="shared" si="2"/>
        <v>-168.4308</v>
      </c>
    </row>
    <row r="16" spans="1:31" x14ac:dyDescent="0.2">
      <c r="A16" s="52" t="s">
        <v>53</v>
      </c>
      <c r="B16" s="57">
        <f t="shared" si="3"/>
        <v>15</v>
      </c>
      <c r="C16" s="57">
        <v>12</v>
      </c>
      <c r="D16" s="57">
        <v>2021</v>
      </c>
      <c r="E16" s="41">
        <f>Water!C17</f>
        <v>0</v>
      </c>
      <c r="F16" s="41">
        <f>Water!E17</f>
        <v>0</v>
      </c>
      <c r="G16" s="41">
        <f>Water!G17</f>
        <v>0</v>
      </c>
      <c r="H16" s="41">
        <f>Water!I17</f>
        <v>0</v>
      </c>
      <c r="I16" s="41">
        <f>ELECT.!F17</f>
        <v>0</v>
      </c>
      <c r="J16" s="41">
        <f>ELECT.!H17</f>
        <v>0</v>
      </c>
      <c r="K16" s="41">
        <f>ELECT.!K17</f>
        <v>0</v>
      </c>
      <c r="L16" s="41">
        <f>ELECT.!M17</f>
        <v>0</v>
      </c>
      <c r="M16" s="41">
        <f>ELECT.!O17</f>
        <v>0</v>
      </c>
      <c r="N16" s="41">
        <f>ELECT.!Q17</f>
        <v>0</v>
      </c>
      <c r="O16" s="41">
        <f>ELECT.!S17</f>
        <v>0</v>
      </c>
      <c r="P16" s="41">
        <f>ELECT.!W17*2</f>
        <v>0</v>
      </c>
      <c r="Q16" s="41">
        <f>ELECT.!D17</f>
        <v>0</v>
      </c>
      <c r="R16" s="42">
        <f>BTU!C17</f>
        <v>0</v>
      </c>
      <c r="S16" s="42">
        <f>BTU!F17</f>
        <v>0</v>
      </c>
      <c r="T16" s="42">
        <f>BTU!I17</f>
        <v>0</v>
      </c>
      <c r="U16" s="42">
        <f>BTU!O17</f>
        <v>0</v>
      </c>
      <c r="V16" s="42">
        <f>BTU!L17</f>
        <v>0</v>
      </c>
      <c r="W16" s="42">
        <f>BTU!R17</f>
        <v>0</v>
      </c>
      <c r="X16" s="39">
        <f>ELECT.!B17</f>
        <v>0</v>
      </c>
      <c r="Y16" s="39">
        <f t="shared" si="0"/>
        <v>0</v>
      </c>
      <c r="Z16">
        <f>'Mall, Citadel, Rotana'!C17+'Mall, Citadel, Rotana'!E17+'Mall, Citadel, Rotana'!G17+'Mall, Citadel, Rotana'!I17</f>
        <v>0</v>
      </c>
      <c r="AA16">
        <f>'Mall, Citadel, Rotana'!K17+'Mall, Citadel, Rotana'!M17</f>
        <v>0</v>
      </c>
      <c r="AB16">
        <f>'Mall, Citadel, Rotana'!O17</f>
        <v>0</v>
      </c>
      <c r="AC16">
        <f>'Mall, Citadel, Rotana'!Q17+'Mall, Citadel, Rotana'!S17</f>
        <v>0</v>
      </c>
      <c r="AD16" s="39">
        <f t="shared" si="1"/>
        <v>-25.569199999999999</v>
      </c>
      <c r="AE16" s="39">
        <f t="shared" si="2"/>
        <v>-168.4308</v>
      </c>
    </row>
    <row r="17" spans="1:31" x14ac:dyDescent="0.2">
      <c r="A17" s="52" t="s">
        <v>53</v>
      </c>
      <c r="B17" s="57">
        <f t="shared" si="3"/>
        <v>16</v>
      </c>
      <c r="C17" s="57">
        <v>12</v>
      </c>
      <c r="D17" s="57">
        <v>2021</v>
      </c>
      <c r="E17" s="41">
        <f>Water!C18</f>
        <v>0</v>
      </c>
      <c r="F17" s="41">
        <f>Water!E18</f>
        <v>0</v>
      </c>
      <c r="G17" s="41">
        <f>Water!G18</f>
        <v>0</v>
      </c>
      <c r="H17" s="41">
        <f>Water!I18</f>
        <v>0</v>
      </c>
      <c r="I17" s="41">
        <f>ELECT.!F18</f>
        <v>0</v>
      </c>
      <c r="J17" s="41">
        <f>ELECT.!H18</f>
        <v>0</v>
      </c>
      <c r="K17" s="41">
        <f>ELECT.!K18</f>
        <v>0</v>
      </c>
      <c r="L17" s="41">
        <f>ELECT.!M18</f>
        <v>0</v>
      </c>
      <c r="M17" s="41">
        <f>ELECT.!O18</f>
        <v>0</v>
      </c>
      <c r="N17" s="41">
        <f>ELECT.!Q18</f>
        <v>0</v>
      </c>
      <c r="O17" s="41">
        <f>ELECT.!S18</f>
        <v>0</v>
      </c>
      <c r="P17" s="41">
        <f>ELECT.!W18*2</f>
        <v>0</v>
      </c>
      <c r="Q17" s="41">
        <f>ELECT.!D18</f>
        <v>0</v>
      </c>
      <c r="R17" s="42">
        <f>BTU!C18</f>
        <v>0</v>
      </c>
      <c r="S17" s="42">
        <f>BTU!F18</f>
        <v>0</v>
      </c>
      <c r="T17" s="42">
        <f>BTU!I18</f>
        <v>0</v>
      </c>
      <c r="U17" s="42">
        <f>BTU!O18</f>
        <v>0</v>
      </c>
      <c r="V17" s="42">
        <f>BTU!L18</f>
        <v>0</v>
      </c>
      <c r="W17" s="42">
        <f>BTU!R18</f>
        <v>0</v>
      </c>
      <c r="X17" s="39">
        <f>ELECT.!B18</f>
        <v>0</v>
      </c>
      <c r="Y17" s="39">
        <f t="shared" si="0"/>
        <v>0</v>
      </c>
      <c r="Z17">
        <f>'Mall, Citadel, Rotana'!C18+'Mall, Citadel, Rotana'!E18+'Mall, Citadel, Rotana'!G18+'Mall, Citadel, Rotana'!I18</f>
        <v>0</v>
      </c>
      <c r="AA17">
        <f>'Mall, Citadel, Rotana'!K18+'Mall, Citadel, Rotana'!M18</f>
        <v>0</v>
      </c>
      <c r="AB17">
        <f>'Mall, Citadel, Rotana'!O18</f>
        <v>0</v>
      </c>
      <c r="AC17">
        <f>'Mall, Citadel, Rotana'!Q18+'Mall, Citadel, Rotana'!S18</f>
        <v>0</v>
      </c>
      <c r="AD17" s="39">
        <f t="shared" si="1"/>
        <v>-25.569199999999999</v>
      </c>
      <c r="AE17" s="39">
        <f t="shared" si="2"/>
        <v>-168.4308</v>
      </c>
    </row>
    <row r="18" spans="1:31" x14ac:dyDescent="0.2">
      <c r="A18" s="52" t="s">
        <v>53</v>
      </c>
      <c r="B18" s="57">
        <f t="shared" si="3"/>
        <v>17</v>
      </c>
      <c r="C18" s="57">
        <v>12</v>
      </c>
      <c r="D18" s="57">
        <v>2021</v>
      </c>
      <c r="E18" s="41">
        <f>Water!C19</f>
        <v>0</v>
      </c>
      <c r="F18" s="41">
        <f>Water!E19</f>
        <v>0</v>
      </c>
      <c r="G18" s="41">
        <f>Water!G19</f>
        <v>0</v>
      </c>
      <c r="H18" s="41">
        <f>Water!I19</f>
        <v>0</v>
      </c>
      <c r="I18" s="41">
        <f>ELECT.!F19</f>
        <v>0</v>
      </c>
      <c r="J18" s="41">
        <f>ELECT.!H19</f>
        <v>0</v>
      </c>
      <c r="K18" s="41">
        <f>ELECT.!K19</f>
        <v>0</v>
      </c>
      <c r="L18" s="41">
        <f>ELECT.!M19</f>
        <v>0</v>
      </c>
      <c r="M18" s="41">
        <f>ELECT.!O19</f>
        <v>0</v>
      </c>
      <c r="N18" s="41">
        <f>ELECT.!Q19</f>
        <v>0</v>
      </c>
      <c r="O18" s="41">
        <f>ELECT.!S19</f>
        <v>0</v>
      </c>
      <c r="P18" s="41">
        <f>ELECT.!W19*2</f>
        <v>0</v>
      </c>
      <c r="Q18" s="41">
        <f>ELECT.!D19</f>
        <v>0</v>
      </c>
      <c r="R18" s="42">
        <f>BTU!C19</f>
        <v>0</v>
      </c>
      <c r="S18" s="42">
        <f>BTU!F19</f>
        <v>0</v>
      </c>
      <c r="T18" s="42">
        <f>BTU!I19</f>
        <v>0</v>
      </c>
      <c r="U18" s="42">
        <f>BTU!O19</f>
        <v>0</v>
      </c>
      <c r="V18" s="42">
        <f>BTU!L19</f>
        <v>0</v>
      </c>
      <c r="W18" s="42">
        <f>BTU!R19</f>
        <v>0</v>
      </c>
      <c r="X18" s="39">
        <f>ELECT.!B19</f>
        <v>0</v>
      </c>
      <c r="Y18" s="39">
        <f t="shared" si="0"/>
        <v>0</v>
      </c>
      <c r="Z18">
        <f>'Mall, Citadel, Rotana'!C19+'Mall, Citadel, Rotana'!E19+'Mall, Citadel, Rotana'!G19+'Mall, Citadel, Rotana'!I19</f>
        <v>0</v>
      </c>
      <c r="AA18">
        <f>'Mall, Citadel, Rotana'!K19+'Mall, Citadel, Rotana'!M19</f>
        <v>0</v>
      </c>
      <c r="AB18">
        <f>'Mall, Citadel, Rotana'!O19</f>
        <v>0</v>
      </c>
      <c r="AC18">
        <f>'Mall, Citadel, Rotana'!Q19+'Mall, Citadel, Rotana'!S19</f>
        <v>0</v>
      </c>
      <c r="AD18" s="39">
        <f t="shared" si="1"/>
        <v>-25.569199999999999</v>
      </c>
      <c r="AE18" s="39">
        <f t="shared" si="2"/>
        <v>-168.4308</v>
      </c>
    </row>
    <row r="19" spans="1:31" x14ac:dyDescent="0.2">
      <c r="A19" s="52" t="s">
        <v>53</v>
      </c>
      <c r="B19" s="57">
        <f t="shared" si="3"/>
        <v>18</v>
      </c>
      <c r="C19" s="57">
        <v>12</v>
      </c>
      <c r="D19" s="57">
        <v>2021</v>
      </c>
      <c r="E19" s="41">
        <f>Water!C20</f>
        <v>0</v>
      </c>
      <c r="F19" s="41">
        <f>Water!E20</f>
        <v>0</v>
      </c>
      <c r="G19" s="41">
        <f>Water!G20</f>
        <v>0</v>
      </c>
      <c r="H19" s="41">
        <f>Water!I20</f>
        <v>0</v>
      </c>
      <c r="I19" s="41">
        <f>ELECT.!F20</f>
        <v>0</v>
      </c>
      <c r="J19" s="41">
        <f>ELECT.!H20</f>
        <v>0</v>
      </c>
      <c r="K19" s="41">
        <f>ELECT.!K20</f>
        <v>0</v>
      </c>
      <c r="L19" s="41">
        <f>ELECT.!M20</f>
        <v>0</v>
      </c>
      <c r="M19" s="41">
        <f>ELECT.!O20</f>
        <v>0</v>
      </c>
      <c r="N19" s="41">
        <f>ELECT.!Q20</f>
        <v>0</v>
      </c>
      <c r="O19" s="41">
        <f>ELECT.!S20</f>
        <v>0</v>
      </c>
      <c r="P19" s="41">
        <f>ELECT.!W20*2</f>
        <v>0</v>
      </c>
      <c r="Q19" s="41">
        <f>ELECT.!D20</f>
        <v>0</v>
      </c>
      <c r="R19" s="42">
        <f>BTU!C20</f>
        <v>0</v>
      </c>
      <c r="S19" s="42">
        <f>BTU!F20</f>
        <v>0</v>
      </c>
      <c r="T19" s="42">
        <f>BTU!I20</f>
        <v>0</v>
      </c>
      <c r="U19" s="42">
        <f>BTU!O20</f>
        <v>0</v>
      </c>
      <c r="V19" s="42">
        <f>BTU!L20</f>
        <v>0</v>
      </c>
      <c r="W19" s="42">
        <f>BTU!R20</f>
        <v>0</v>
      </c>
      <c r="X19" s="39">
        <f>ELECT.!B20</f>
        <v>0</v>
      </c>
      <c r="Y19" s="39">
        <f t="shared" si="0"/>
        <v>0</v>
      </c>
      <c r="Z19">
        <f>'Mall, Citadel, Rotana'!C20+'Mall, Citadel, Rotana'!E20+'Mall, Citadel, Rotana'!G20+'Mall, Citadel, Rotana'!I20</f>
        <v>0</v>
      </c>
      <c r="AA19">
        <f>'Mall, Citadel, Rotana'!K20+'Mall, Citadel, Rotana'!M20</f>
        <v>0</v>
      </c>
      <c r="AB19">
        <f>'Mall, Citadel, Rotana'!O20</f>
        <v>0</v>
      </c>
      <c r="AC19">
        <f>'Mall, Citadel, Rotana'!Q20+'Mall, Citadel, Rotana'!S20</f>
        <v>0</v>
      </c>
      <c r="AD19" s="39">
        <f t="shared" si="1"/>
        <v>-25.569199999999999</v>
      </c>
      <c r="AE19" s="39">
        <f t="shared" si="2"/>
        <v>-168.4308</v>
      </c>
    </row>
    <row r="20" spans="1:31" x14ac:dyDescent="0.2">
      <c r="A20" s="52" t="s">
        <v>53</v>
      </c>
      <c r="B20" s="57">
        <f t="shared" si="3"/>
        <v>19</v>
      </c>
      <c r="C20" s="57">
        <v>12</v>
      </c>
      <c r="D20" s="57">
        <v>2021</v>
      </c>
      <c r="E20" s="41">
        <f>Water!C21</f>
        <v>0</v>
      </c>
      <c r="F20" s="41">
        <f>Water!E21</f>
        <v>0</v>
      </c>
      <c r="G20" s="41">
        <f>Water!G21</f>
        <v>0</v>
      </c>
      <c r="H20" s="41">
        <f>Water!I21</f>
        <v>0</v>
      </c>
      <c r="I20" s="41">
        <f>ELECT.!F21</f>
        <v>0</v>
      </c>
      <c r="J20" s="41">
        <f>ELECT.!H21</f>
        <v>0</v>
      </c>
      <c r="K20" s="41">
        <f>ELECT.!K21</f>
        <v>0</v>
      </c>
      <c r="L20" s="41">
        <f>ELECT.!M21</f>
        <v>0</v>
      </c>
      <c r="M20" s="41">
        <f>ELECT.!O21</f>
        <v>0</v>
      </c>
      <c r="N20" s="41">
        <f>ELECT.!Q21</f>
        <v>0</v>
      </c>
      <c r="O20" s="41">
        <f>ELECT.!S21</f>
        <v>0</v>
      </c>
      <c r="P20" s="41">
        <f>ELECT.!W21*2</f>
        <v>0</v>
      </c>
      <c r="Q20" s="41">
        <f>ELECT.!D21</f>
        <v>0</v>
      </c>
      <c r="R20" s="42">
        <f>BTU!C21</f>
        <v>0</v>
      </c>
      <c r="S20" s="42">
        <f>BTU!F21</f>
        <v>0</v>
      </c>
      <c r="T20" s="42">
        <f>BTU!I21</f>
        <v>0</v>
      </c>
      <c r="U20" s="42">
        <f>BTU!O21</f>
        <v>0</v>
      </c>
      <c r="V20" s="42">
        <f>BTU!L21</f>
        <v>0</v>
      </c>
      <c r="W20" s="42">
        <f>BTU!R21</f>
        <v>0</v>
      </c>
      <c r="X20" s="39">
        <f>ELECT.!B21</f>
        <v>0</v>
      </c>
      <c r="Y20" s="39">
        <f t="shared" si="0"/>
        <v>0</v>
      </c>
      <c r="Z20">
        <f>'Mall, Citadel, Rotana'!C21+'Mall, Citadel, Rotana'!E21+'Mall, Citadel, Rotana'!G21+'Mall, Citadel, Rotana'!I21</f>
        <v>0</v>
      </c>
      <c r="AA20">
        <f>'Mall, Citadel, Rotana'!K21+'Mall, Citadel, Rotana'!M21</f>
        <v>0</v>
      </c>
      <c r="AB20">
        <f>'Mall, Citadel, Rotana'!O21</f>
        <v>0</v>
      </c>
      <c r="AC20">
        <f>'Mall, Citadel, Rotana'!Q21+'Mall, Citadel, Rotana'!S21</f>
        <v>0</v>
      </c>
      <c r="AD20" s="39">
        <f t="shared" si="1"/>
        <v>-25.569199999999999</v>
      </c>
      <c r="AE20" s="39">
        <f t="shared" si="2"/>
        <v>-168.4308</v>
      </c>
    </row>
    <row r="21" spans="1:31" x14ac:dyDescent="0.2">
      <c r="A21" s="52" t="s">
        <v>53</v>
      </c>
      <c r="B21" s="57">
        <f t="shared" si="3"/>
        <v>20</v>
      </c>
      <c r="C21" s="57">
        <v>12</v>
      </c>
      <c r="D21" s="57">
        <v>2021</v>
      </c>
      <c r="E21" s="41">
        <f>Water!C22</f>
        <v>0</v>
      </c>
      <c r="F21" s="41">
        <f>Water!E22</f>
        <v>0</v>
      </c>
      <c r="G21" s="41">
        <f>Water!G22</f>
        <v>0</v>
      </c>
      <c r="H21" s="41">
        <f>Water!I22</f>
        <v>0</v>
      </c>
      <c r="I21" s="41">
        <f>ELECT.!F22</f>
        <v>0</v>
      </c>
      <c r="J21" s="41">
        <f>ELECT.!H22</f>
        <v>0</v>
      </c>
      <c r="K21" s="41">
        <f>ELECT.!K22</f>
        <v>0</v>
      </c>
      <c r="L21" s="41">
        <f>ELECT.!M22</f>
        <v>0</v>
      </c>
      <c r="M21" s="41">
        <f>ELECT.!O22</f>
        <v>0</v>
      </c>
      <c r="N21" s="41">
        <f>ELECT.!Q22</f>
        <v>0</v>
      </c>
      <c r="O21" s="41">
        <f>ELECT.!S22</f>
        <v>0</v>
      </c>
      <c r="P21" s="41">
        <f>ELECT.!W22*2</f>
        <v>0</v>
      </c>
      <c r="Q21" s="41">
        <f>ELECT.!D22</f>
        <v>0</v>
      </c>
      <c r="R21" s="42">
        <f>BTU!C22</f>
        <v>0</v>
      </c>
      <c r="S21" s="42">
        <f>BTU!F22</f>
        <v>0</v>
      </c>
      <c r="T21" s="42">
        <f>BTU!I22</f>
        <v>0</v>
      </c>
      <c r="U21" s="42">
        <f>BTU!O22</f>
        <v>0</v>
      </c>
      <c r="V21" s="42">
        <f>BTU!L22</f>
        <v>0</v>
      </c>
      <c r="W21" s="42">
        <f>BTU!R22</f>
        <v>0</v>
      </c>
      <c r="X21" s="39">
        <f>ELECT.!B22</f>
        <v>0</v>
      </c>
      <c r="Y21" s="39">
        <f t="shared" si="0"/>
        <v>0</v>
      </c>
      <c r="Z21">
        <f>'Mall, Citadel, Rotana'!C22+'Mall, Citadel, Rotana'!E22+'Mall, Citadel, Rotana'!G22+'Mall, Citadel, Rotana'!I22</f>
        <v>0</v>
      </c>
      <c r="AA21">
        <f>'Mall, Citadel, Rotana'!K22+'Mall, Citadel, Rotana'!M22</f>
        <v>0</v>
      </c>
      <c r="AB21">
        <f>'Mall, Citadel, Rotana'!O22</f>
        <v>0</v>
      </c>
      <c r="AC21">
        <f>'Mall, Citadel, Rotana'!Q22+'Mall, Citadel, Rotana'!S22</f>
        <v>0</v>
      </c>
      <c r="AD21" s="39">
        <f t="shared" si="1"/>
        <v>-25.569199999999999</v>
      </c>
      <c r="AE21" s="39">
        <f t="shared" si="2"/>
        <v>-168.4308</v>
      </c>
    </row>
    <row r="22" spans="1:31" x14ac:dyDescent="0.2">
      <c r="A22" s="52" t="s">
        <v>53</v>
      </c>
      <c r="B22" s="57">
        <f t="shared" si="3"/>
        <v>21</v>
      </c>
      <c r="C22" s="57">
        <v>12</v>
      </c>
      <c r="D22" s="57">
        <v>2021</v>
      </c>
      <c r="E22" s="41">
        <f>Water!C23</f>
        <v>0</v>
      </c>
      <c r="F22" s="41">
        <f>Water!E23</f>
        <v>0</v>
      </c>
      <c r="G22" s="41">
        <f>Water!G23</f>
        <v>0</v>
      </c>
      <c r="H22" s="41">
        <f>Water!I23</f>
        <v>0</v>
      </c>
      <c r="I22" s="41">
        <f>ELECT.!F23</f>
        <v>0</v>
      </c>
      <c r="J22" s="41">
        <f>ELECT.!H23</f>
        <v>0</v>
      </c>
      <c r="K22" s="41">
        <f>ELECT.!K23</f>
        <v>0</v>
      </c>
      <c r="L22" s="41">
        <f>ELECT.!M23</f>
        <v>0</v>
      </c>
      <c r="M22" s="41">
        <f>ELECT.!O23</f>
        <v>0</v>
      </c>
      <c r="N22" s="41">
        <f>ELECT.!Q23</f>
        <v>0</v>
      </c>
      <c r="O22" s="41">
        <f>ELECT.!S23</f>
        <v>0</v>
      </c>
      <c r="P22" s="41">
        <f>ELECT.!W23*2</f>
        <v>0</v>
      </c>
      <c r="Q22" s="41">
        <f>ELECT.!D23</f>
        <v>0</v>
      </c>
      <c r="R22" s="42">
        <f>BTU!C23</f>
        <v>0</v>
      </c>
      <c r="S22" s="42">
        <f>BTU!F23</f>
        <v>0</v>
      </c>
      <c r="T22" s="42">
        <f>BTU!I23</f>
        <v>0</v>
      </c>
      <c r="U22" s="42">
        <f>BTU!O23</f>
        <v>0</v>
      </c>
      <c r="V22" s="42">
        <f>BTU!L23</f>
        <v>0</v>
      </c>
      <c r="W22" s="42">
        <f>BTU!R23</f>
        <v>0</v>
      </c>
      <c r="X22" s="39">
        <f>ELECT.!B23</f>
        <v>0</v>
      </c>
      <c r="Y22" s="39">
        <f t="shared" si="0"/>
        <v>0</v>
      </c>
      <c r="Z22">
        <f>'Mall, Citadel, Rotana'!C23+'Mall, Citadel, Rotana'!E23+'Mall, Citadel, Rotana'!G23+'Mall, Citadel, Rotana'!I23</f>
        <v>0</v>
      </c>
      <c r="AA22">
        <f>'Mall, Citadel, Rotana'!K23+'Mall, Citadel, Rotana'!M23</f>
        <v>0</v>
      </c>
      <c r="AB22">
        <f>'Mall, Citadel, Rotana'!O23</f>
        <v>0</v>
      </c>
      <c r="AC22">
        <f>'Mall, Citadel, Rotana'!Q23+'Mall, Citadel, Rotana'!S23</f>
        <v>0</v>
      </c>
      <c r="AD22" s="39">
        <f t="shared" si="1"/>
        <v>-25.569199999999999</v>
      </c>
      <c r="AE22" s="39">
        <f t="shared" si="2"/>
        <v>-168.4308</v>
      </c>
    </row>
    <row r="23" spans="1:31" x14ac:dyDescent="0.2">
      <c r="A23" s="52" t="s">
        <v>53</v>
      </c>
      <c r="B23" s="57">
        <f t="shared" si="3"/>
        <v>22</v>
      </c>
      <c r="C23" s="57">
        <v>12</v>
      </c>
      <c r="D23" s="57">
        <v>2021</v>
      </c>
      <c r="E23" s="41">
        <f>Water!C24</f>
        <v>0</v>
      </c>
      <c r="F23" s="41">
        <f>Water!E24</f>
        <v>0</v>
      </c>
      <c r="G23" s="41">
        <f>Water!G24</f>
        <v>0</v>
      </c>
      <c r="H23" s="41">
        <f>Water!I24</f>
        <v>0</v>
      </c>
      <c r="I23" s="41">
        <f>ELECT.!F24</f>
        <v>0</v>
      </c>
      <c r="J23" s="41">
        <f>ELECT.!H24</f>
        <v>0</v>
      </c>
      <c r="K23" s="41">
        <f>ELECT.!K24</f>
        <v>0</v>
      </c>
      <c r="L23" s="41">
        <f>ELECT.!M24</f>
        <v>0</v>
      </c>
      <c r="M23" s="41">
        <f>ELECT.!O24</f>
        <v>0</v>
      </c>
      <c r="N23" s="41">
        <f>ELECT.!Q24</f>
        <v>0</v>
      </c>
      <c r="O23" s="41">
        <f>ELECT.!S24</f>
        <v>0</v>
      </c>
      <c r="P23" s="41">
        <f>ELECT.!W24*2</f>
        <v>0</v>
      </c>
      <c r="Q23" s="41">
        <f>ELECT.!D24</f>
        <v>0</v>
      </c>
      <c r="R23" s="42">
        <f>BTU!C24</f>
        <v>0</v>
      </c>
      <c r="S23" s="42">
        <f>BTU!F24</f>
        <v>0</v>
      </c>
      <c r="T23" s="42">
        <f>BTU!I24</f>
        <v>0</v>
      </c>
      <c r="U23" s="42">
        <f>BTU!O24</f>
        <v>0</v>
      </c>
      <c r="V23" s="42">
        <f>BTU!L24</f>
        <v>0</v>
      </c>
      <c r="W23" s="42">
        <f>BTU!R24</f>
        <v>0</v>
      </c>
      <c r="X23" s="39">
        <f>ELECT.!B24</f>
        <v>0</v>
      </c>
      <c r="Y23" s="39">
        <f t="shared" si="0"/>
        <v>0</v>
      </c>
      <c r="Z23">
        <f>'Mall, Citadel, Rotana'!C24+'Mall, Citadel, Rotana'!E24+'Mall, Citadel, Rotana'!G24+'Mall, Citadel, Rotana'!I24</f>
        <v>0</v>
      </c>
      <c r="AA23">
        <f>'Mall, Citadel, Rotana'!K24+'Mall, Citadel, Rotana'!M24</f>
        <v>0</v>
      </c>
      <c r="AB23">
        <f>'Mall, Citadel, Rotana'!O24</f>
        <v>0</v>
      </c>
      <c r="AC23">
        <f>'Mall, Citadel, Rotana'!Q24+'Mall, Citadel, Rotana'!S24</f>
        <v>0</v>
      </c>
      <c r="AD23" s="39">
        <f t="shared" si="1"/>
        <v>-25.569199999999999</v>
      </c>
      <c r="AE23" s="39">
        <f t="shared" si="2"/>
        <v>-168.4308</v>
      </c>
    </row>
    <row r="24" spans="1:31" x14ac:dyDescent="0.2">
      <c r="A24" s="52" t="s">
        <v>53</v>
      </c>
      <c r="B24" s="57">
        <f t="shared" si="3"/>
        <v>23</v>
      </c>
      <c r="C24" s="57">
        <v>12</v>
      </c>
      <c r="D24" s="57">
        <v>2021</v>
      </c>
      <c r="E24" s="41">
        <f>Water!C25</f>
        <v>0</v>
      </c>
      <c r="F24" s="41">
        <f>Water!E25</f>
        <v>0</v>
      </c>
      <c r="G24" s="41">
        <f>Water!G25</f>
        <v>0</v>
      </c>
      <c r="H24" s="41">
        <f>Water!I25</f>
        <v>0</v>
      </c>
      <c r="I24" s="41">
        <f>ELECT.!F25</f>
        <v>0</v>
      </c>
      <c r="J24" s="41">
        <f>ELECT.!H25</f>
        <v>0</v>
      </c>
      <c r="K24" s="41">
        <f>ELECT.!K25</f>
        <v>0</v>
      </c>
      <c r="L24" s="41">
        <f>ELECT.!M25</f>
        <v>0</v>
      </c>
      <c r="M24" s="41">
        <f>ELECT.!O25</f>
        <v>0</v>
      </c>
      <c r="N24" s="41">
        <f>ELECT.!Q25</f>
        <v>0</v>
      </c>
      <c r="O24" s="41">
        <f>ELECT.!S25</f>
        <v>0</v>
      </c>
      <c r="P24" s="41">
        <f>ELECT.!W25*2</f>
        <v>0</v>
      </c>
      <c r="Q24" s="41">
        <f>ELECT.!D25</f>
        <v>0</v>
      </c>
      <c r="R24" s="42">
        <f>BTU!C25</f>
        <v>0</v>
      </c>
      <c r="S24" s="42">
        <f>BTU!F25</f>
        <v>0</v>
      </c>
      <c r="T24" s="42">
        <f>BTU!I25</f>
        <v>0</v>
      </c>
      <c r="U24" s="42">
        <f>BTU!O25</f>
        <v>0</v>
      </c>
      <c r="V24" s="42">
        <f>BTU!L25</f>
        <v>0</v>
      </c>
      <c r="W24" s="42">
        <f>BTU!R25</f>
        <v>0</v>
      </c>
      <c r="X24" s="39">
        <f>ELECT.!B25</f>
        <v>0</v>
      </c>
      <c r="Y24" s="39">
        <f t="shared" si="0"/>
        <v>0</v>
      </c>
      <c r="Z24">
        <f>'Mall, Citadel, Rotana'!C25+'Mall, Citadel, Rotana'!E25+'Mall, Citadel, Rotana'!G25+'Mall, Citadel, Rotana'!I25</f>
        <v>0</v>
      </c>
      <c r="AA24">
        <f>'Mall, Citadel, Rotana'!K25+'Mall, Citadel, Rotana'!M25</f>
        <v>0</v>
      </c>
      <c r="AB24">
        <f>'Mall, Citadel, Rotana'!O25</f>
        <v>0</v>
      </c>
      <c r="AC24">
        <f>'Mall, Citadel, Rotana'!Q25+'Mall, Citadel, Rotana'!S25</f>
        <v>0</v>
      </c>
      <c r="AD24" s="39">
        <f t="shared" si="1"/>
        <v>-25.569199999999999</v>
      </c>
      <c r="AE24" s="39">
        <f t="shared" si="2"/>
        <v>-168.4308</v>
      </c>
    </row>
    <row r="25" spans="1:31" x14ac:dyDescent="0.2">
      <c r="A25" s="52" t="s">
        <v>53</v>
      </c>
      <c r="B25" s="57">
        <f t="shared" si="3"/>
        <v>24</v>
      </c>
      <c r="C25" s="57">
        <v>12</v>
      </c>
      <c r="D25" s="57">
        <v>2021</v>
      </c>
      <c r="E25" s="41">
        <f>Water!C26</f>
        <v>0</v>
      </c>
      <c r="F25" s="41">
        <f>Water!E26</f>
        <v>0</v>
      </c>
      <c r="G25" s="41">
        <f>Water!G26</f>
        <v>0</v>
      </c>
      <c r="H25" s="41">
        <f>Water!I26</f>
        <v>0</v>
      </c>
      <c r="I25" s="41">
        <f>ELECT.!F26</f>
        <v>0</v>
      </c>
      <c r="J25" s="41">
        <f>ELECT.!H26</f>
        <v>0</v>
      </c>
      <c r="K25" s="41">
        <f>ELECT.!K26</f>
        <v>0</v>
      </c>
      <c r="L25" s="41">
        <f>ELECT.!M26</f>
        <v>0</v>
      </c>
      <c r="M25" s="41">
        <f>ELECT.!O26</f>
        <v>0</v>
      </c>
      <c r="N25" s="41">
        <f>ELECT.!Q26</f>
        <v>0</v>
      </c>
      <c r="O25" s="41">
        <f>ELECT.!S26</f>
        <v>0</v>
      </c>
      <c r="P25" s="41">
        <f>ELECT.!W26*2</f>
        <v>0</v>
      </c>
      <c r="Q25" s="41">
        <f>ELECT.!D26</f>
        <v>0</v>
      </c>
      <c r="R25" s="42">
        <f>BTU!C26</f>
        <v>0</v>
      </c>
      <c r="S25" s="42">
        <f>BTU!F26</f>
        <v>0</v>
      </c>
      <c r="T25" s="42">
        <f>BTU!I26</f>
        <v>0</v>
      </c>
      <c r="U25" s="42">
        <f>BTU!O26</f>
        <v>0</v>
      </c>
      <c r="V25" s="42">
        <f>BTU!L26</f>
        <v>0</v>
      </c>
      <c r="W25" s="42">
        <f>BTU!R26</f>
        <v>0</v>
      </c>
      <c r="X25" s="39">
        <f>ELECT.!B26</f>
        <v>0</v>
      </c>
      <c r="Y25" s="39">
        <f t="shared" si="0"/>
        <v>0</v>
      </c>
      <c r="Z25">
        <f>'Mall, Citadel, Rotana'!C26+'Mall, Citadel, Rotana'!E26+'Mall, Citadel, Rotana'!G26+'Mall, Citadel, Rotana'!I26</f>
        <v>0</v>
      </c>
      <c r="AA25">
        <f>'Mall, Citadel, Rotana'!K26+'Mall, Citadel, Rotana'!M26</f>
        <v>0</v>
      </c>
      <c r="AB25">
        <f>'Mall, Citadel, Rotana'!O26</f>
        <v>0</v>
      </c>
      <c r="AC25">
        <f>'Mall, Citadel, Rotana'!Q26+'Mall, Citadel, Rotana'!S26</f>
        <v>0</v>
      </c>
      <c r="AD25" s="39">
        <f t="shared" si="1"/>
        <v>-25.569199999999999</v>
      </c>
      <c r="AE25" s="39">
        <f t="shared" si="2"/>
        <v>-168.4308</v>
      </c>
    </row>
    <row r="26" spans="1:31" x14ac:dyDescent="0.2">
      <c r="A26" s="52" t="s">
        <v>53</v>
      </c>
      <c r="B26" s="57">
        <f>B25+1</f>
        <v>25</v>
      </c>
      <c r="C26" s="57">
        <v>12</v>
      </c>
      <c r="D26" s="57">
        <v>2021</v>
      </c>
      <c r="E26" s="41">
        <f>Water!C27</f>
        <v>0</v>
      </c>
      <c r="F26" s="41">
        <f>Water!E27</f>
        <v>0</v>
      </c>
      <c r="G26" s="41">
        <f>Water!G27</f>
        <v>0</v>
      </c>
      <c r="H26" s="41">
        <f>Water!I27</f>
        <v>0</v>
      </c>
      <c r="I26" s="41">
        <f>ELECT.!F27</f>
        <v>0</v>
      </c>
      <c r="J26" s="41">
        <f>ELECT.!H27</f>
        <v>0</v>
      </c>
      <c r="K26" s="41">
        <f>ELECT.!K27</f>
        <v>0</v>
      </c>
      <c r="L26" s="41">
        <f>ELECT.!M27</f>
        <v>0</v>
      </c>
      <c r="M26" s="41">
        <f>ELECT.!O27</f>
        <v>0</v>
      </c>
      <c r="N26" s="41">
        <f>ELECT.!Q27</f>
        <v>0</v>
      </c>
      <c r="O26" s="41">
        <f>ELECT.!S27</f>
        <v>0</v>
      </c>
      <c r="P26" s="41">
        <f>ELECT.!W27*2</f>
        <v>0</v>
      </c>
      <c r="Q26" s="41">
        <f>ELECT.!D27</f>
        <v>0</v>
      </c>
      <c r="R26" s="42">
        <f>BTU!C27</f>
        <v>0</v>
      </c>
      <c r="S26" s="42">
        <f>BTU!F27</f>
        <v>0</v>
      </c>
      <c r="T26" s="42">
        <f>BTU!I27</f>
        <v>0</v>
      </c>
      <c r="U26" s="42">
        <f>BTU!O27</f>
        <v>0</v>
      </c>
      <c r="V26" s="42">
        <f>BTU!L27</f>
        <v>0</v>
      </c>
      <c r="W26" s="42">
        <f>BTU!R27</f>
        <v>0</v>
      </c>
      <c r="X26" s="39">
        <f>ELECT.!B27</f>
        <v>0</v>
      </c>
      <c r="Y26" s="39">
        <f t="shared" si="0"/>
        <v>0</v>
      </c>
      <c r="Z26">
        <f>'Mall, Citadel, Rotana'!C27+'Mall, Citadel, Rotana'!E27+'Mall, Citadel, Rotana'!G27+'Mall, Citadel, Rotana'!I27</f>
        <v>0</v>
      </c>
      <c r="AA26">
        <f>'Mall, Citadel, Rotana'!K27+'Mall, Citadel, Rotana'!M27</f>
        <v>0</v>
      </c>
      <c r="AB26">
        <f>'Mall, Citadel, Rotana'!O27</f>
        <v>0</v>
      </c>
      <c r="AC26">
        <f>'Mall, Citadel, Rotana'!Q27+'Mall, Citadel, Rotana'!S27</f>
        <v>0</v>
      </c>
      <c r="AD26" s="39">
        <f t="shared" si="1"/>
        <v>-25.569199999999999</v>
      </c>
      <c r="AE26" s="39">
        <f t="shared" si="2"/>
        <v>-168.4308</v>
      </c>
    </row>
    <row r="27" spans="1:31" x14ac:dyDescent="0.2">
      <c r="A27" s="52" t="s">
        <v>53</v>
      </c>
      <c r="B27" s="57">
        <f t="shared" si="3"/>
        <v>26</v>
      </c>
      <c r="C27" s="57">
        <v>12</v>
      </c>
      <c r="D27" s="57">
        <v>2021</v>
      </c>
      <c r="E27" s="41">
        <f>Water!C28</f>
        <v>0</v>
      </c>
      <c r="F27" s="41">
        <f>Water!E28</f>
        <v>0</v>
      </c>
      <c r="G27" s="41">
        <f>Water!G28</f>
        <v>0</v>
      </c>
      <c r="H27" s="41">
        <f>Water!I28</f>
        <v>0</v>
      </c>
      <c r="I27" s="41">
        <f>ELECT.!F28</f>
        <v>0</v>
      </c>
      <c r="J27" s="41">
        <f>ELECT.!H28</f>
        <v>0</v>
      </c>
      <c r="K27" s="41">
        <f>ELECT.!K28</f>
        <v>0</v>
      </c>
      <c r="L27" s="41">
        <f>ELECT.!M28</f>
        <v>0</v>
      </c>
      <c r="M27" s="41">
        <f>ELECT.!O28</f>
        <v>0</v>
      </c>
      <c r="N27" s="41">
        <f>ELECT.!Q28</f>
        <v>0</v>
      </c>
      <c r="O27" s="41">
        <f>ELECT.!S28</f>
        <v>0</v>
      </c>
      <c r="P27" s="41">
        <f>ELECT.!W28*2</f>
        <v>0</v>
      </c>
      <c r="Q27" s="41">
        <f>ELECT.!D28</f>
        <v>0</v>
      </c>
      <c r="R27" s="42">
        <f>BTU!C28</f>
        <v>0</v>
      </c>
      <c r="S27" s="42">
        <f>BTU!F28</f>
        <v>0</v>
      </c>
      <c r="T27" s="42">
        <f>BTU!I28</f>
        <v>0</v>
      </c>
      <c r="U27" s="42">
        <f>BTU!O28</f>
        <v>0</v>
      </c>
      <c r="V27" s="42">
        <f>BTU!L28</f>
        <v>0</v>
      </c>
      <c r="W27" s="42">
        <f>BTU!R28</f>
        <v>0</v>
      </c>
      <c r="X27" s="39">
        <f>ELECT.!B28</f>
        <v>0</v>
      </c>
      <c r="Y27" s="39">
        <f t="shared" si="0"/>
        <v>0</v>
      </c>
      <c r="Z27">
        <f>'Mall, Citadel, Rotana'!C28+'Mall, Citadel, Rotana'!E28+'Mall, Citadel, Rotana'!G28+'Mall, Citadel, Rotana'!I28</f>
        <v>0</v>
      </c>
      <c r="AA27">
        <f>'Mall, Citadel, Rotana'!K28+'Mall, Citadel, Rotana'!M28</f>
        <v>0</v>
      </c>
      <c r="AB27">
        <f>'Mall, Citadel, Rotana'!O28</f>
        <v>0</v>
      </c>
      <c r="AC27">
        <f>'Mall, Citadel, Rotana'!Q28+'Mall, Citadel, Rotana'!S28</f>
        <v>0</v>
      </c>
      <c r="AD27" s="39">
        <f t="shared" si="1"/>
        <v>-25.569199999999999</v>
      </c>
      <c r="AE27" s="39">
        <f t="shared" si="2"/>
        <v>-168.4308</v>
      </c>
    </row>
    <row r="28" spans="1:31" x14ac:dyDescent="0.2">
      <c r="A28" s="52" t="s">
        <v>53</v>
      </c>
      <c r="B28" s="57">
        <f t="shared" si="3"/>
        <v>27</v>
      </c>
      <c r="C28" s="57">
        <v>12</v>
      </c>
      <c r="D28" s="57">
        <v>2021</v>
      </c>
      <c r="E28" s="41">
        <f>Water!C29</f>
        <v>0</v>
      </c>
      <c r="F28" s="41">
        <f>Water!E29</f>
        <v>0</v>
      </c>
      <c r="G28" s="41">
        <f>Water!G29</f>
        <v>0</v>
      </c>
      <c r="H28" s="41">
        <f>Water!I29</f>
        <v>0</v>
      </c>
      <c r="I28" s="41">
        <f>ELECT.!F29</f>
        <v>0</v>
      </c>
      <c r="J28" s="41">
        <f>ELECT.!H29</f>
        <v>0</v>
      </c>
      <c r="K28" s="41">
        <f>ELECT.!K29</f>
        <v>0</v>
      </c>
      <c r="L28" s="41">
        <f>ELECT.!M29</f>
        <v>0</v>
      </c>
      <c r="M28" s="41">
        <f>ELECT.!O29</f>
        <v>0</v>
      </c>
      <c r="N28" s="41">
        <f>ELECT.!Q29</f>
        <v>0</v>
      </c>
      <c r="O28" s="41">
        <f>ELECT.!S29</f>
        <v>0</v>
      </c>
      <c r="P28" s="41">
        <f>ELECT.!W29*2</f>
        <v>0</v>
      </c>
      <c r="Q28" s="41">
        <f>ELECT.!D29</f>
        <v>0</v>
      </c>
      <c r="R28" s="42">
        <f>BTU!C29</f>
        <v>0</v>
      </c>
      <c r="S28" s="42">
        <f>BTU!F29</f>
        <v>0</v>
      </c>
      <c r="T28" s="42">
        <f>BTU!I29</f>
        <v>0</v>
      </c>
      <c r="U28" s="42">
        <f>BTU!O29</f>
        <v>0</v>
      </c>
      <c r="V28" s="42">
        <f>BTU!L29</f>
        <v>0</v>
      </c>
      <c r="W28" s="42">
        <f>BTU!R29</f>
        <v>0</v>
      </c>
      <c r="X28" s="39">
        <f>ELECT.!B29</f>
        <v>0</v>
      </c>
      <c r="Y28" s="39">
        <f t="shared" si="0"/>
        <v>0</v>
      </c>
      <c r="Z28">
        <f>'Mall, Citadel, Rotana'!C29+'Mall, Citadel, Rotana'!E29+'Mall, Citadel, Rotana'!G29+'Mall, Citadel, Rotana'!I29</f>
        <v>0</v>
      </c>
      <c r="AA28">
        <f>'Mall, Citadel, Rotana'!K29+'Mall, Citadel, Rotana'!M29</f>
        <v>0</v>
      </c>
      <c r="AB28">
        <f>'Mall, Citadel, Rotana'!O29</f>
        <v>0</v>
      </c>
      <c r="AC28">
        <f>'Mall, Citadel, Rotana'!Q29+'Mall, Citadel, Rotana'!S29</f>
        <v>0</v>
      </c>
      <c r="AD28" s="39">
        <f t="shared" si="1"/>
        <v>-25.569199999999999</v>
      </c>
      <c r="AE28" s="39">
        <f t="shared" si="2"/>
        <v>-168.4308</v>
      </c>
    </row>
    <row r="29" spans="1:31" x14ac:dyDescent="0.2">
      <c r="A29" s="52" t="s">
        <v>53</v>
      </c>
      <c r="B29" s="57">
        <f t="shared" si="3"/>
        <v>28</v>
      </c>
      <c r="C29" s="57">
        <v>12</v>
      </c>
      <c r="D29" s="57">
        <v>2021</v>
      </c>
      <c r="E29" s="41">
        <f>Water!C30</f>
        <v>0</v>
      </c>
      <c r="F29" s="41">
        <f>Water!E30</f>
        <v>0</v>
      </c>
      <c r="G29" s="41">
        <f>Water!G30</f>
        <v>0</v>
      </c>
      <c r="H29" s="41">
        <f>Water!I30</f>
        <v>0</v>
      </c>
      <c r="I29" s="41">
        <f>ELECT.!F30</f>
        <v>0</v>
      </c>
      <c r="J29" s="41">
        <f>ELECT.!H30</f>
        <v>0</v>
      </c>
      <c r="K29" s="41">
        <f>ELECT.!K30</f>
        <v>0</v>
      </c>
      <c r="L29" s="41">
        <f>ELECT.!M30</f>
        <v>0</v>
      </c>
      <c r="M29" s="41">
        <f>ELECT.!O30</f>
        <v>0</v>
      </c>
      <c r="N29" s="41">
        <f>ELECT.!Q30</f>
        <v>0</v>
      </c>
      <c r="O29" s="41">
        <f>ELECT.!S30</f>
        <v>0</v>
      </c>
      <c r="P29" s="41">
        <f>ELECT.!W30*2</f>
        <v>0</v>
      </c>
      <c r="Q29" s="41">
        <f>ELECT.!D30</f>
        <v>0</v>
      </c>
      <c r="R29" s="42">
        <f>BTU!C30</f>
        <v>0</v>
      </c>
      <c r="S29" s="42">
        <f>BTU!F30</f>
        <v>0</v>
      </c>
      <c r="T29" s="42">
        <f>BTU!I30</f>
        <v>0</v>
      </c>
      <c r="U29" s="42">
        <f>BTU!O30</f>
        <v>0</v>
      </c>
      <c r="V29" s="42">
        <f>BTU!L30</f>
        <v>0</v>
      </c>
      <c r="W29" s="42">
        <f>BTU!R30</f>
        <v>0</v>
      </c>
      <c r="X29" s="39">
        <f>ELECT.!B30</f>
        <v>0</v>
      </c>
      <c r="Y29" s="39">
        <f t="shared" si="0"/>
        <v>0</v>
      </c>
      <c r="Z29">
        <f>'Mall, Citadel, Rotana'!C30+'Mall, Citadel, Rotana'!E30+'Mall, Citadel, Rotana'!G30+'Mall, Citadel, Rotana'!I30</f>
        <v>0</v>
      </c>
      <c r="AA29">
        <f>'Mall, Citadel, Rotana'!K30+'Mall, Citadel, Rotana'!M30</f>
        <v>0</v>
      </c>
      <c r="AB29">
        <f>'Mall, Citadel, Rotana'!O30</f>
        <v>0</v>
      </c>
      <c r="AC29">
        <f>'Mall, Citadel, Rotana'!Q30+'Mall, Citadel, Rotana'!S30</f>
        <v>0</v>
      </c>
      <c r="AD29" s="39">
        <f t="shared" si="1"/>
        <v>-25.569199999999999</v>
      </c>
      <c r="AE29" s="39">
        <f t="shared" si="2"/>
        <v>-168.4308</v>
      </c>
    </row>
    <row r="30" spans="1:31" x14ac:dyDescent="0.2">
      <c r="A30" s="52" t="s">
        <v>53</v>
      </c>
      <c r="B30" s="57">
        <f t="shared" si="3"/>
        <v>29</v>
      </c>
      <c r="C30" s="57">
        <v>12</v>
      </c>
      <c r="D30" s="57">
        <v>2021</v>
      </c>
      <c r="E30" s="41">
        <f>Water!C31</f>
        <v>0</v>
      </c>
      <c r="F30" s="41">
        <f>Water!E31</f>
        <v>0</v>
      </c>
      <c r="G30" s="41">
        <f>Water!E31</f>
        <v>0</v>
      </c>
      <c r="H30" s="41">
        <f>Water!I31</f>
        <v>0</v>
      </c>
      <c r="I30" s="41">
        <f>Water!G31</f>
        <v>0</v>
      </c>
      <c r="J30" s="41">
        <f>ELECT.!H31</f>
        <v>0</v>
      </c>
      <c r="K30" s="41">
        <f>Water!I31</f>
        <v>0</v>
      </c>
      <c r="L30" s="41">
        <f>Water!J31</f>
        <v>0</v>
      </c>
      <c r="M30" s="41">
        <f>Water!K31</f>
        <v>0</v>
      </c>
      <c r="N30" s="41">
        <f>Water!L31</f>
        <v>0</v>
      </c>
      <c r="O30" s="41">
        <f>Water!M31</f>
        <v>0</v>
      </c>
      <c r="P30" s="41">
        <f>Water!N31</f>
        <v>0</v>
      </c>
      <c r="Q30" s="41">
        <f>Water!O31</f>
        <v>0</v>
      </c>
      <c r="R30" s="42">
        <f>BTU!C31</f>
        <v>0</v>
      </c>
      <c r="S30" s="42">
        <f>BTU!F31</f>
        <v>0</v>
      </c>
      <c r="T30" s="42">
        <f>BTU!I31</f>
        <v>0</v>
      </c>
      <c r="U30" s="42">
        <f>BTU!O31</f>
        <v>0</v>
      </c>
      <c r="V30" s="42">
        <f>BTU!L31</f>
        <v>0</v>
      </c>
      <c r="W30" s="42">
        <f>BTU!R31</f>
        <v>0</v>
      </c>
      <c r="X30" s="39">
        <f>ELECT.!B31</f>
        <v>0</v>
      </c>
      <c r="Y30" s="39">
        <f t="shared" si="0"/>
        <v>0</v>
      </c>
      <c r="Z30">
        <f>'Mall, Citadel, Rotana'!C31+'Mall, Citadel, Rotana'!E31+'Mall, Citadel, Rotana'!G31+'Mall, Citadel, Rotana'!I31</f>
        <v>0</v>
      </c>
      <c r="AA30">
        <f>'Mall, Citadel, Rotana'!K31+'Mall, Citadel, Rotana'!M31</f>
        <v>0</v>
      </c>
      <c r="AB30">
        <f>'Mall, Citadel, Rotana'!O31</f>
        <v>0</v>
      </c>
      <c r="AC30">
        <f>'Mall, Citadel, Rotana'!Q31+'Mall, Citadel, Rotana'!S31</f>
        <v>0</v>
      </c>
      <c r="AD30" s="39">
        <f t="shared" si="1"/>
        <v>-25.569199999999999</v>
      </c>
      <c r="AE30" s="39">
        <f t="shared" si="2"/>
        <v>-168.4308</v>
      </c>
    </row>
    <row r="31" spans="1:31" x14ac:dyDescent="0.2">
      <c r="A31" s="52" t="s">
        <v>53</v>
      </c>
      <c r="B31" s="57">
        <f t="shared" si="3"/>
        <v>30</v>
      </c>
      <c r="C31" s="57">
        <v>12</v>
      </c>
      <c r="D31" s="57">
        <v>2021</v>
      </c>
      <c r="E31" s="41">
        <f>Water!C32</f>
        <v>0</v>
      </c>
      <c r="F31" s="41">
        <f>Water!E32</f>
        <v>0</v>
      </c>
      <c r="G31" s="41">
        <f>Water!E32</f>
        <v>0</v>
      </c>
      <c r="H31" s="41">
        <f>Water!I32</f>
        <v>0</v>
      </c>
      <c r="I31" s="41">
        <f>Water!G32</f>
        <v>0</v>
      </c>
      <c r="J31" s="41">
        <f>ELECT.!H32</f>
        <v>0</v>
      </c>
      <c r="K31" s="41">
        <f>Water!I32</f>
        <v>0</v>
      </c>
      <c r="L31" s="41">
        <f>Water!J32</f>
        <v>0</v>
      </c>
      <c r="M31" s="41">
        <f>Water!K32</f>
        <v>0</v>
      </c>
      <c r="N31" s="41">
        <f>Water!L32</f>
        <v>0</v>
      </c>
      <c r="O31" s="41">
        <f>Water!M32</f>
        <v>0</v>
      </c>
      <c r="P31" s="41">
        <f>Water!N32</f>
        <v>0</v>
      </c>
      <c r="Q31" s="41">
        <f>Water!O32</f>
        <v>0</v>
      </c>
      <c r="R31" s="42">
        <f>BTU!C32</f>
        <v>0</v>
      </c>
      <c r="S31" s="42">
        <f>BTU!F32</f>
        <v>0</v>
      </c>
      <c r="T31" s="42">
        <f>BTU!I32</f>
        <v>0</v>
      </c>
      <c r="U31" s="42">
        <f>BTU!O32</f>
        <v>0</v>
      </c>
      <c r="V31" s="42">
        <f>BTU!L32</f>
        <v>0</v>
      </c>
      <c r="W31" s="42">
        <f>BTU!R32</f>
        <v>0</v>
      </c>
      <c r="X31" s="39">
        <f>ELECT.!B32</f>
        <v>0</v>
      </c>
      <c r="Y31" s="39">
        <f t="shared" si="0"/>
        <v>0</v>
      </c>
      <c r="Z31">
        <f>'Mall, Citadel, Rotana'!C32+'Mall, Citadel, Rotana'!E32+'Mall, Citadel, Rotana'!G32+'Mall, Citadel, Rotana'!I32</f>
        <v>0</v>
      </c>
      <c r="AA31">
        <f>'Mall, Citadel, Rotana'!K32+'Mall, Citadel, Rotana'!M32</f>
        <v>0</v>
      </c>
      <c r="AB31">
        <f>'Mall, Citadel, Rotana'!O32</f>
        <v>0</v>
      </c>
      <c r="AC31">
        <f>'Mall, Citadel, Rotana'!Q32+'Mall, Citadel, Rotana'!S32</f>
        <v>0</v>
      </c>
      <c r="AD31" s="39">
        <f t="shared" si="1"/>
        <v>-25.569199999999999</v>
      </c>
      <c r="AE31" s="39">
        <f t="shared" si="2"/>
        <v>-168.4308</v>
      </c>
    </row>
    <row r="32" spans="1:31" x14ac:dyDescent="0.2">
      <c r="A32" s="52" t="s">
        <v>53</v>
      </c>
      <c r="B32" s="57">
        <f t="shared" si="3"/>
        <v>31</v>
      </c>
      <c r="C32" s="57">
        <v>12</v>
      </c>
      <c r="D32" s="57">
        <v>2021</v>
      </c>
      <c r="E32" s="41">
        <f>Water!C33</f>
        <v>0</v>
      </c>
      <c r="F32" s="41">
        <f>Water!E33</f>
        <v>0</v>
      </c>
      <c r="G32" s="41">
        <f>Water!E33</f>
        <v>0</v>
      </c>
      <c r="H32" s="41">
        <f>Water!I33</f>
        <v>0</v>
      </c>
      <c r="I32" s="41">
        <f>Water!G33</f>
        <v>0</v>
      </c>
      <c r="J32" s="41">
        <f>ELECT.!H33</f>
        <v>0</v>
      </c>
      <c r="K32" s="41">
        <f>Water!I33</f>
        <v>0</v>
      </c>
      <c r="L32" s="41">
        <f>Water!J33</f>
        <v>0</v>
      </c>
      <c r="M32" s="41">
        <f>Water!K33</f>
        <v>0</v>
      </c>
      <c r="N32" s="41">
        <f>Water!L33</f>
        <v>0</v>
      </c>
      <c r="O32" s="41">
        <f>Water!M33</f>
        <v>0</v>
      </c>
      <c r="P32" s="41">
        <f>Water!N33</f>
        <v>0</v>
      </c>
      <c r="Q32" s="41">
        <f>Water!O33</f>
        <v>0</v>
      </c>
      <c r="R32" s="147">
        <f>BTU!C33</f>
        <v>0</v>
      </c>
      <c r="S32" s="147">
        <f>BTU!F33</f>
        <v>0</v>
      </c>
      <c r="T32" s="147">
        <f>BTU!I33</f>
        <v>0</v>
      </c>
      <c r="U32" s="147">
        <f>BTU!O33</f>
        <v>0</v>
      </c>
      <c r="V32" s="147">
        <f>BTU!L33</f>
        <v>0</v>
      </c>
      <c r="W32" s="147">
        <f>BTU!R33</f>
        <v>0</v>
      </c>
      <c r="X32" s="39">
        <f>ELECT.!B33</f>
        <v>0</v>
      </c>
      <c r="Y32" s="39">
        <f t="shared" ref="Y32" si="4">I32+J32-(K32+L32+M32+N32+O32+P32)</f>
        <v>0</v>
      </c>
      <c r="Z32">
        <f>'Mall, Citadel, Rotana'!C33+'Mall, Citadel, Rotana'!E33+'Mall, Citadel, Rotana'!G33+'Mall, Citadel, Rotana'!I33</f>
        <v>0</v>
      </c>
      <c r="AA32">
        <f>'Mall, Citadel, Rotana'!K33+'Mall, Citadel, Rotana'!M33</f>
        <v>0</v>
      </c>
      <c r="AB32">
        <f>'Mall, Citadel, Rotana'!O33</f>
        <v>0</v>
      </c>
      <c r="AC32">
        <f>'Mall, Citadel, Rotana'!Q33+'Mall, Citadel, Rotana'!S33</f>
        <v>0</v>
      </c>
      <c r="AD32" s="39">
        <f t="shared" ref="AD32" si="5">(E32-H32-194)*0.1318</f>
        <v>-25.569199999999999</v>
      </c>
      <c r="AE32" s="39">
        <f t="shared" ref="AE32" si="6">E32-H32-AD32-194</f>
        <v>-168.4308</v>
      </c>
    </row>
  </sheetData>
  <pageMargins left="0.7" right="0.7" top="0.75" bottom="0.75" header="0.3" footer="0.3"/>
  <pageSetup paperSize="9" orientation="portrait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34"/>
  <sheetViews>
    <sheetView zoomScale="110" zoomScaleNormal="110" workbookViewId="0">
      <pane ySplit="1" topLeftCell="A2" activePane="bottomLeft" state="frozen"/>
      <selection pane="bottomLeft" activeCell="O24" sqref="O24"/>
    </sheetView>
  </sheetViews>
  <sheetFormatPr defaultRowHeight="12.75" x14ac:dyDescent="0.2"/>
  <cols>
    <col min="1" max="1" width="16.5703125" style="18" bestFit="1" customWidth="1"/>
    <col min="2" max="2" width="10.5703125" style="19" bestFit="1" customWidth="1"/>
    <col min="3" max="3" width="11.42578125" style="20" bestFit="1" customWidth="1"/>
    <col min="4" max="4" width="10.7109375" style="19" bestFit="1" customWidth="1"/>
    <col min="5" max="5" width="11.42578125" style="20" bestFit="1" customWidth="1"/>
    <col min="6" max="6" width="8.7109375" style="19" customWidth="1"/>
    <col min="7" max="7" width="9.7109375" style="20" bestFit="1" customWidth="1"/>
    <col min="8" max="8" width="10" style="19" bestFit="1" customWidth="1"/>
    <col min="9" max="9" width="9.7109375" style="20" bestFit="1" customWidth="1"/>
    <col min="10" max="10" width="9.28515625" style="19" bestFit="1" customWidth="1"/>
    <col min="11" max="11" width="11" style="20" bestFit="1" customWidth="1"/>
    <col min="12" max="12" width="8.7109375" style="19" bestFit="1" customWidth="1"/>
    <col min="13" max="13" width="14.140625" style="20" bestFit="1" customWidth="1"/>
    <col min="14" max="14" width="11.42578125" style="35" customWidth="1"/>
    <col min="15" max="15" width="11.42578125" style="20" customWidth="1"/>
    <col min="16" max="16" width="10" style="19" bestFit="1" customWidth="1"/>
    <col min="17" max="17" width="9.7109375" style="20" bestFit="1" customWidth="1"/>
    <col min="18" max="18" width="8.7109375" style="19" customWidth="1"/>
    <col min="19" max="19" width="11" style="20" bestFit="1" customWidth="1"/>
  </cols>
  <sheetData>
    <row r="1" spans="1:24" s="15" customFormat="1" ht="15.75" thickBot="1" x14ac:dyDescent="0.25">
      <c r="A1" s="12" t="s">
        <v>0</v>
      </c>
      <c r="B1" s="1" t="s">
        <v>13</v>
      </c>
      <c r="C1" s="13" t="s">
        <v>14</v>
      </c>
      <c r="D1" s="1" t="s">
        <v>15</v>
      </c>
      <c r="E1" s="13" t="s">
        <v>16</v>
      </c>
      <c r="F1" s="1" t="s">
        <v>17</v>
      </c>
      <c r="G1" s="13" t="s">
        <v>16</v>
      </c>
      <c r="H1" s="1" t="s">
        <v>18</v>
      </c>
      <c r="I1" s="13" t="s">
        <v>16</v>
      </c>
      <c r="J1" s="1" t="s">
        <v>19</v>
      </c>
      <c r="K1" s="13" t="s">
        <v>16</v>
      </c>
      <c r="L1" s="1" t="s">
        <v>20</v>
      </c>
      <c r="M1" s="13" t="s">
        <v>16</v>
      </c>
      <c r="N1" s="36" t="s">
        <v>44</v>
      </c>
      <c r="O1" s="13" t="s">
        <v>16</v>
      </c>
      <c r="P1" s="1" t="s">
        <v>21</v>
      </c>
      <c r="Q1" s="13" t="s">
        <v>16</v>
      </c>
      <c r="R1" s="1" t="s">
        <v>22</v>
      </c>
      <c r="S1" s="14" t="s">
        <v>16</v>
      </c>
      <c r="T1" s="1" t="s">
        <v>135</v>
      </c>
      <c r="U1" s="14" t="s">
        <v>16</v>
      </c>
    </row>
    <row r="2" spans="1:24" ht="15" customHeight="1" thickBot="1" x14ac:dyDescent="0.25">
      <c r="A2" s="10">
        <v>44530</v>
      </c>
      <c r="B2" s="36">
        <v>46274</v>
      </c>
      <c r="C2" s="16">
        <v>0</v>
      </c>
      <c r="D2" s="36">
        <v>40081</v>
      </c>
      <c r="E2" s="16">
        <v>0</v>
      </c>
      <c r="F2" s="36">
        <v>21055</v>
      </c>
      <c r="G2" s="16">
        <v>0</v>
      </c>
      <c r="H2" s="36">
        <v>252282</v>
      </c>
      <c r="I2" s="16">
        <v>0</v>
      </c>
      <c r="J2" s="36">
        <v>303517</v>
      </c>
      <c r="K2" s="16">
        <v>0</v>
      </c>
      <c r="L2" s="36">
        <v>25637</v>
      </c>
      <c r="M2" s="16">
        <v>0</v>
      </c>
      <c r="N2" s="36">
        <v>216119</v>
      </c>
      <c r="O2" s="16">
        <v>0</v>
      </c>
      <c r="P2" s="36">
        <v>132781</v>
      </c>
      <c r="Q2" s="16">
        <v>0</v>
      </c>
      <c r="R2" s="1">
        <v>55047</v>
      </c>
      <c r="S2" s="16">
        <v>0</v>
      </c>
      <c r="T2" s="36">
        <v>3856</v>
      </c>
      <c r="U2" s="16">
        <v>0</v>
      </c>
      <c r="V2" t="s">
        <v>12</v>
      </c>
    </row>
    <row r="3" spans="1:24" ht="13.5" thickBot="1" x14ac:dyDescent="0.25">
      <c r="A3" s="10">
        <v>44531</v>
      </c>
      <c r="B3" s="36">
        <v>46279</v>
      </c>
      <c r="C3" s="16">
        <f>(B3-B2)*800/5</f>
        <v>800</v>
      </c>
      <c r="D3" s="36">
        <v>40087</v>
      </c>
      <c r="E3" s="16">
        <f>(D3-D2)*800/5</f>
        <v>960</v>
      </c>
      <c r="F3" s="36">
        <v>21059</v>
      </c>
      <c r="G3" s="16">
        <f>(F3-F2)*100/5</f>
        <v>80</v>
      </c>
      <c r="H3" s="36">
        <v>252321</v>
      </c>
      <c r="I3" s="16">
        <f>(H3-H2)</f>
        <v>39</v>
      </c>
      <c r="J3" s="36">
        <f>J2</f>
        <v>303517</v>
      </c>
      <c r="K3" s="16">
        <v>0</v>
      </c>
      <c r="L3" s="36">
        <v>25642</v>
      </c>
      <c r="M3" s="16">
        <f>(L3-L2)*800/5</f>
        <v>800</v>
      </c>
      <c r="N3" s="36">
        <v>216123</v>
      </c>
      <c r="O3" s="16">
        <f>N3-N2</f>
        <v>4</v>
      </c>
      <c r="P3" s="36">
        <v>132921</v>
      </c>
      <c r="Q3" s="16">
        <v>140</v>
      </c>
      <c r="R3" s="1">
        <v>55047</v>
      </c>
      <c r="S3" s="16">
        <v>0</v>
      </c>
      <c r="T3" s="36">
        <v>3857</v>
      </c>
      <c r="U3" s="16">
        <f>(T3-T2)*800/5</f>
        <v>160</v>
      </c>
    </row>
    <row r="4" spans="1:24" ht="13.5" thickBot="1" x14ac:dyDescent="0.25">
      <c r="A4" s="10">
        <v>44532</v>
      </c>
      <c r="B4" s="36">
        <v>46283</v>
      </c>
      <c r="C4" s="16">
        <f t="shared" ref="C4:C33" si="0">(B4-B3)*800/5</f>
        <v>640</v>
      </c>
      <c r="D4" s="36">
        <v>40088</v>
      </c>
      <c r="E4" s="16">
        <f t="shared" ref="E4:E33" si="1">(D4-D3)*800/5</f>
        <v>160</v>
      </c>
      <c r="F4" s="36">
        <v>21063</v>
      </c>
      <c r="G4" s="16">
        <f t="shared" ref="G4:G33" si="2">(F4-F3)*100/5</f>
        <v>80</v>
      </c>
      <c r="H4" s="36">
        <v>252365</v>
      </c>
      <c r="I4" s="16">
        <f t="shared" ref="I4:I33" si="3">(H4-H3)</f>
        <v>44</v>
      </c>
      <c r="J4" s="36">
        <v>303517</v>
      </c>
      <c r="K4" s="16">
        <v>0</v>
      </c>
      <c r="L4" s="36">
        <v>25644</v>
      </c>
      <c r="M4" s="16">
        <f t="shared" ref="M4:M33" si="4">(L4-L3)*800/5</f>
        <v>320</v>
      </c>
      <c r="N4" s="36">
        <v>216124</v>
      </c>
      <c r="O4" s="16">
        <f t="shared" ref="O4:O33" si="5">N4-N3</f>
        <v>1</v>
      </c>
      <c r="P4" s="36">
        <v>133062</v>
      </c>
      <c r="Q4" s="16">
        <f t="shared" ref="Q4:Q33" si="6">P4-P3</f>
        <v>141</v>
      </c>
      <c r="R4" s="1">
        <v>55047</v>
      </c>
      <c r="S4" s="16">
        <f t="shared" ref="S4:S31" si="7">R4-R3</f>
        <v>0</v>
      </c>
      <c r="T4" s="36">
        <v>3858</v>
      </c>
      <c r="U4" s="16">
        <f t="shared" ref="U4:U33" si="8">(T4-T3)*800/5</f>
        <v>160</v>
      </c>
    </row>
    <row r="5" spans="1:24" ht="13.5" thickBot="1" x14ac:dyDescent="0.25">
      <c r="A5" s="10">
        <v>44533</v>
      </c>
      <c r="B5" s="36">
        <v>46288</v>
      </c>
      <c r="C5" s="16">
        <f t="shared" si="0"/>
        <v>800</v>
      </c>
      <c r="D5" s="36">
        <v>40090</v>
      </c>
      <c r="E5" s="16">
        <f t="shared" si="1"/>
        <v>320</v>
      </c>
      <c r="F5" s="36">
        <v>21066</v>
      </c>
      <c r="G5" s="16">
        <f t="shared" si="2"/>
        <v>60</v>
      </c>
      <c r="H5" s="36">
        <v>252400</v>
      </c>
      <c r="I5" s="16">
        <f t="shared" si="3"/>
        <v>35</v>
      </c>
      <c r="J5" s="36">
        <v>303517</v>
      </c>
      <c r="K5" s="16">
        <v>0</v>
      </c>
      <c r="L5" s="36">
        <v>25646</v>
      </c>
      <c r="M5" s="16">
        <f t="shared" si="4"/>
        <v>320</v>
      </c>
      <c r="N5" s="36">
        <v>216127</v>
      </c>
      <c r="O5" s="16">
        <f t="shared" si="5"/>
        <v>3</v>
      </c>
      <c r="P5" s="36">
        <v>133202</v>
      </c>
      <c r="Q5" s="16">
        <f t="shared" si="6"/>
        <v>140</v>
      </c>
      <c r="R5" s="1">
        <v>55047</v>
      </c>
      <c r="S5" s="16">
        <f t="shared" si="7"/>
        <v>0</v>
      </c>
      <c r="T5" s="36">
        <v>3859</v>
      </c>
      <c r="U5" s="16">
        <f t="shared" si="8"/>
        <v>160</v>
      </c>
    </row>
    <row r="6" spans="1:24" ht="13.5" thickBot="1" x14ac:dyDescent="0.25">
      <c r="A6" s="10">
        <v>44534</v>
      </c>
      <c r="B6" s="36">
        <v>46293</v>
      </c>
      <c r="C6" s="16">
        <f t="shared" si="0"/>
        <v>800</v>
      </c>
      <c r="D6" s="36">
        <v>40093</v>
      </c>
      <c r="E6" s="16">
        <f t="shared" si="1"/>
        <v>480</v>
      </c>
      <c r="F6" s="36">
        <v>21069</v>
      </c>
      <c r="G6" s="16">
        <f t="shared" si="2"/>
        <v>60</v>
      </c>
      <c r="H6" s="36">
        <v>252450</v>
      </c>
      <c r="I6" s="16">
        <f t="shared" si="3"/>
        <v>50</v>
      </c>
      <c r="J6" s="36">
        <v>303517</v>
      </c>
      <c r="K6" s="16">
        <v>0</v>
      </c>
      <c r="L6" s="36">
        <v>25650</v>
      </c>
      <c r="M6" s="16">
        <f t="shared" si="4"/>
        <v>640</v>
      </c>
      <c r="N6" s="36">
        <v>216131</v>
      </c>
      <c r="O6" s="16">
        <f t="shared" si="5"/>
        <v>4</v>
      </c>
      <c r="P6" s="36">
        <v>133392</v>
      </c>
      <c r="Q6" s="16">
        <f t="shared" si="6"/>
        <v>190</v>
      </c>
      <c r="R6" s="1">
        <v>55047</v>
      </c>
      <c r="S6" s="16">
        <v>0</v>
      </c>
      <c r="T6" s="36">
        <v>3860</v>
      </c>
      <c r="U6" s="16">
        <f t="shared" si="8"/>
        <v>160</v>
      </c>
    </row>
    <row r="7" spans="1:24" ht="13.5" thickBot="1" x14ac:dyDescent="0.25">
      <c r="A7" s="10">
        <v>44535</v>
      </c>
      <c r="B7" s="36">
        <v>46297</v>
      </c>
      <c r="C7" s="16">
        <f t="shared" si="0"/>
        <v>640</v>
      </c>
      <c r="D7" s="36">
        <v>40095</v>
      </c>
      <c r="E7" s="16">
        <f t="shared" si="1"/>
        <v>320</v>
      </c>
      <c r="F7" s="36">
        <v>21073</v>
      </c>
      <c r="G7" s="16">
        <f t="shared" si="2"/>
        <v>80</v>
      </c>
      <c r="H7" s="36">
        <v>252465</v>
      </c>
      <c r="I7" s="16">
        <f t="shared" si="3"/>
        <v>15</v>
      </c>
      <c r="J7" s="36">
        <v>303517</v>
      </c>
      <c r="K7" s="16">
        <v>0</v>
      </c>
      <c r="L7" s="36">
        <v>25651</v>
      </c>
      <c r="M7" s="16">
        <f t="shared" si="4"/>
        <v>160</v>
      </c>
      <c r="N7" s="36">
        <v>216134</v>
      </c>
      <c r="O7" s="16">
        <f t="shared" si="5"/>
        <v>3</v>
      </c>
      <c r="P7" s="36">
        <f t="shared" ref="P7:P33" si="9">P6</f>
        <v>133392</v>
      </c>
      <c r="Q7" s="16">
        <v>0</v>
      </c>
      <c r="R7" s="1">
        <v>55047</v>
      </c>
      <c r="S7" s="16">
        <v>0</v>
      </c>
      <c r="T7" s="36">
        <v>3861</v>
      </c>
      <c r="U7" s="16">
        <f t="shared" si="8"/>
        <v>160</v>
      </c>
    </row>
    <row r="8" spans="1:24" ht="13.5" thickBot="1" x14ac:dyDescent="0.25">
      <c r="A8" s="10">
        <v>44536</v>
      </c>
      <c r="B8" s="36">
        <v>46302</v>
      </c>
      <c r="C8" s="16">
        <f t="shared" si="0"/>
        <v>800</v>
      </c>
      <c r="D8" s="36">
        <v>40099</v>
      </c>
      <c r="E8" s="16">
        <f t="shared" si="1"/>
        <v>640</v>
      </c>
      <c r="F8" s="36">
        <v>21076</v>
      </c>
      <c r="G8" s="16">
        <f t="shared" si="2"/>
        <v>60</v>
      </c>
      <c r="H8" s="36">
        <v>252495</v>
      </c>
      <c r="I8" s="16">
        <f t="shared" si="3"/>
        <v>30</v>
      </c>
      <c r="J8" s="36">
        <v>303517</v>
      </c>
      <c r="K8" s="16">
        <v>0</v>
      </c>
      <c r="L8" s="36">
        <v>25654</v>
      </c>
      <c r="M8" s="16">
        <f t="shared" si="4"/>
        <v>480</v>
      </c>
      <c r="N8" s="36">
        <v>216137</v>
      </c>
      <c r="O8" s="16">
        <f t="shared" si="5"/>
        <v>3</v>
      </c>
      <c r="P8" s="36">
        <f t="shared" si="9"/>
        <v>133392</v>
      </c>
      <c r="Q8" s="16">
        <f t="shared" si="6"/>
        <v>0</v>
      </c>
      <c r="R8" s="1">
        <v>55047</v>
      </c>
      <c r="S8" s="16">
        <f>R8-R7</f>
        <v>0</v>
      </c>
      <c r="T8" s="36">
        <v>3861</v>
      </c>
      <c r="U8" s="16">
        <f t="shared" si="8"/>
        <v>0</v>
      </c>
    </row>
    <row r="9" spans="1:24" ht="13.5" thickBot="1" x14ac:dyDescent="0.25">
      <c r="A9" s="10">
        <v>44537</v>
      </c>
      <c r="B9" s="36">
        <f t="shared" ref="B8:B33" si="10">B8</f>
        <v>46302</v>
      </c>
      <c r="C9" s="16">
        <f t="shared" si="0"/>
        <v>0</v>
      </c>
      <c r="D9" s="36">
        <f t="shared" ref="D8:D33" si="11">D8</f>
        <v>40099</v>
      </c>
      <c r="E9" s="16">
        <f t="shared" si="1"/>
        <v>0</v>
      </c>
      <c r="F9" s="36">
        <f t="shared" ref="F8:F33" si="12">F8</f>
        <v>21076</v>
      </c>
      <c r="G9" s="16">
        <f t="shared" si="2"/>
        <v>0</v>
      </c>
      <c r="H9" s="36">
        <f t="shared" ref="H8:H33" si="13">H8</f>
        <v>252495</v>
      </c>
      <c r="I9" s="16">
        <f t="shared" si="3"/>
        <v>0</v>
      </c>
      <c r="J9" s="36">
        <v>303517</v>
      </c>
      <c r="K9" s="16">
        <v>0</v>
      </c>
      <c r="L9" s="36">
        <f t="shared" ref="L8:L33" si="14">L8</f>
        <v>25654</v>
      </c>
      <c r="M9" s="16">
        <f t="shared" si="4"/>
        <v>0</v>
      </c>
      <c r="N9" s="36">
        <f t="shared" ref="N8:N33" si="15">N8</f>
        <v>216137</v>
      </c>
      <c r="O9" s="16">
        <f t="shared" si="5"/>
        <v>0</v>
      </c>
      <c r="P9" s="36">
        <f t="shared" si="9"/>
        <v>133392</v>
      </c>
      <c r="Q9" s="16">
        <f>P9-P8</f>
        <v>0</v>
      </c>
      <c r="R9" s="1">
        <v>55047</v>
      </c>
      <c r="S9" s="16">
        <f>R9-R8</f>
        <v>0</v>
      </c>
      <c r="T9" s="36">
        <f t="shared" ref="T8:T33" si="16">T8</f>
        <v>3861</v>
      </c>
      <c r="U9" s="16">
        <f t="shared" si="8"/>
        <v>0</v>
      </c>
    </row>
    <row r="10" spans="1:24" ht="13.5" thickBot="1" x14ac:dyDescent="0.25">
      <c r="A10" s="10">
        <v>44538</v>
      </c>
      <c r="B10" s="36">
        <f t="shared" si="10"/>
        <v>46302</v>
      </c>
      <c r="C10" s="16">
        <f t="shared" si="0"/>
        <v>0</v>
      </c>
      <c r="D10" s="36">
        <f t="shared" si="11"/>
        <v>40099</v>
      </c>
      <c r="E10" s="16">
        <f t="shared" si="1"/>
        <v>0</v>
      </c>
      <c r="F10" s="36">
        <f t="shared" si="12"/>
        <v>21076</v>
      </c>
      <c r="G10" s="16">
        <f t="shared" si="2"/>
        <v>0</v>
      </c>
      <c r="H10" s="36">
        <f t="shared" si="13"/>
        <v>252495</v>
      </c>
      <c r="I10" s="16">
        <f t="shared" si="3"/>
        <v>0</v>
      </c>
      <c r="J10" s="36">
        <v>303517</v>
      </c>
      <c r="K10" s="16">
        <v>0</v>
      </c>
      <c r="L10" s="36">
        <f t="shared" si="14"/>
        <v>25654</v>
      </c>
      <c r="M10" s="16">
        <f t="shared" si="4"/>
        <v>0</v>
      </c>
      <c r="N10" s="36">
        <f t="shared" si="15"/>
        <v>216137</v>
      </c>
      <c r="O10" s="16">
        <f t="shared" si="5"/>
        <v>0</v>
      </c>
      <c r="P10" s="36">
        <f t="shared" si="9"/>
        <v>133392</v>
      </c>
      <c r="Q10" s="16">
        <f>P10-P9</f>
        <v>0</v>
      </c>
      <c r="R10" s="1">
        <v>55047</v>
      </c>
      <c r="S10" s="16">
        <f>R10-R9</f>
        <v>0</v>
      </c>
      <c r="T10" s="36">
        <f t="shared" si="16"/>
        <v>3861</v>
      </c>
      <c r="U10" s="16">
        <f t="shared" si="8"/>
        <v>0</v>
      </c>
    </row>
    <row r="11" spans="1:24" ht="13.5" thickBot="1" x14ac:dyDescent="0.25">
      <c r="A11" s="10">
        <v>44539</v>
      </c>
      <c r="B11" s="36">
        <f t="shared" si="10"/>
        <v>46302</v>
      </c>
      <c r="C11" s="16">
        <f t="shared" si="0"/>
        <v>0</v>
      </c>
      <c r="D11" s="36">
        <f t="shared" si="11"/>
        <v>40099</v>
      </c>
      <c r="E11" s="16">
        <f t="shared" si="1"/>
        <v>0</v>
      </c>
      <c r="F11" s="36">
        <f t="shared" si="12"/>
        <v>21076</v>
      </c>
      <c r="G11" s="16">
        <f t="shared" si="2"/>
        <v>0</v>
      </c>
      <c r="H11" s="36">
        <f t="shared" si="13"/>
        <v>252495</v>
      </c>
      <c r="I11" s="16">
        <f t="shared" si="3"/>
        <v>0</v>
      </c>
      <c r="J11" s="36">
        <v>303517</v>
      </c>
      <c r="K11" s="16">
        <v>0</v>
      </c>
      <c r="L11" s="36">
        <f t="shared" si="14"/>
        <v>25654</v>
      </c>
      <c r="M11" s="16">
        <f t="shared" si="4"/>
        <v>0</v>
      </c>
      <c r="N11" s="36">
        <f t="shared" si="15"/>
        <v>216137</v>
      </c>
      <c r="O11" s="16">
        <f t="shared" si="5"/>
        <v>0</v>
      </c>
      <c r="P11" s="36">
        <f t="shared" si="9"/>
        <v>133392</v>
      </c>
      <c r="Q11" s="16">
        <f t="shared" si="6"/>
        <v>0</v>
      </c>
      <c r="R11" s="1">
        <v>55047</v>
      </c>
      <c r="S11" s="16">
        <f t="shared" si="7"/>
        <v>0</v>
      </c>
      <c r="T11" s="36">
        <f t="shared" si="16"/>
        <v>3861</v>
      </c>
      <c r="U11" s="16">
        <f t="shared" si="8"/>
        <v>0</v>
      </c>
    </row>
    <row r="12" spans="1:24" ht="13.5" thickBot="1" x14ac:dyDescent="0.25">
      <c r="A12" s="10">
        <v>44540</v>
      </c>
      <c r="B12" s="36">
        <f t="shared" si="10"/>
        <v>46302</v>
      </c>
      <c r="C12" s="16">
        <f t="shared" si="0"/>
        <v>0</v>
      </c>
      <c r="D12" s="36">
        <f t="shared" si="11"/>
        <v>40099</v>
      </c>
      <c r="E12" s="16">
        <f t="shared" si="1"/>
        <v>0</v>
      </c>
      <c r="F12" s="36">
        <f t="shared" si="12"/>
        <v>21076</v>
      </c>
      <c r="G12" s="16">
        <f t="shared" si="2"/>
        <v>0</v>
      </c>
      <c r="H12" s="36">
        <f t="shared" si="13"/>
        <v>252495</v>
      </c>
      <c r="I12" s="16">
        <f t="shared" si="3"/>
        <v>0</v>
      </c>
      <c r="J12" s="36">
        <v>303517</v>
      </c>
      <c r="K12" s="16">
        <v>0</v>
      </c>
      <c r="L12" s="36">
        <f t="shared" si="14"/>
        <v>25654</v>
      </c>
      <c r="M12" s="16">
        <f t="shared" si="4"/>
        <v>0</v>
      </c>
      <c r="N12" s="36">
        <f t="shared" si="15"/>
        <v>216137</v>
      </c>
      <c r="O12" s="16">
        <f t="shared" si="5"/>
        <v>0</v>
      </c>
      <c r="P12" s="36">
        <f t="shared" si="9"/>
        <v>133392</v>
      </c>
      <c r="Q12" s="16">
        <f t="shared" si="6"/>
        <v>0</v>
      </c>
      <c r="R12" s="1">
        <v>55047</v>
      </c>
      <c r="S12" s="16">
        <f t="shared" si="7"/>
        <v>0</v>
      </c>
      <c r="T12" s="36">
        <f t="shared" si="16"/>
        <v>3861</v>
      </c>
      <c r="U12" s="16">
        <f t="shared" si="8"/>
        <v>0</v>
      </c>
    </row>
    <row r="13" spans="1:24" ht="13.5" thickBot="1" x14ac:dyDescent="0.25">
      <c r="A13" s="10">
        <v>44541</v>
      </c>
      <c r="B13" s="36">
        <f t="shared" si="10"/>
        <v>46302</v>
      </c>
      <c r="C13" s="16">
        <f t="shared" si="0"/>
        <v>0</v>
      </c>
      <c r="D13" s="36">
        <f t="shared" si="11"/>
        <v>40099</v>
      </c>
      <c r="E13" s="16">
        <f t="shared" si="1"/>
        <v>0</v>
      </c>
      <c r="F13" s="36">
        <f t="shared" si="12"/>
        <v>21076</v>
      </c>
      <c r="G13" s="16">
        <f t="shared" si="2"/>
        <v>0</v>
      </c>
      <c r="H13" s="36">
        <f t="shared" si="13"/>
        <v>252495</v>
      </c>
      <c r="I13" s="16">
        <f t="shared" si="3"/>
        <v>0</v>
      </c>
      <c r="J13" s="36">
        <v>303517</v>
      </c>
      <c r="K13" s="16">
        <v>0</v>
      </c>
      <c r="L13" s="36">
        <f t="shared" si="14"/>
        <v>25654</v>
      </c>
      <c r="M13" s="16">
        <f t="shared" si="4"/>
        <v>0</v>
      </c>
      <c r="N13" s="36">
        <f t="shared" si="15"/>
        <v>216137</v>
      </c>
      <c r="O13" s="16">
        <f t="shared" si="5"/>
        <v>0</v>
      </c>
      <c r="P13" s="36">
        <f t="shared" si="9"/>
        <v>133392</v>
      </c>
      <c r="Q13" s="16">
        <f t="shared" si="6"/>
        <v>0</v>
      </c>
      <c r="R13" s="1">
        <v>55047</v>
      </c>
      <c r="S13" s="16">
        <f t="shared" si="7"/>
        <v>0</v>
      </c>
      <c r="T13" s="36">
        <f t="shared" si="16"/>
        <v>3861</v>
      </c>
      <c r="U13" s="16">
        <f t="shared" si="8"/>
        <v>0</v>
      </c>
    </row>
    <row r="14" spans="1:24" ht="13.5" thickBot="1" x14ac:dyDescent="0.25">
      <c r="A14" s="10">
        <v>44542</v>
      </c>
      <c r="B14" s="36">
        <f t="shared" si="10"/>
        <v>46302</v>
      </c>
      <c r="C14" s="16">
        <f t="shared" si="0"/>
        <v>0</v>
      </c>
      <c r="D14" s="36">
        <f t="shared" si="11"/>
        <v>40099</v>
      </c>
      <c r="E14" s="16">
        <f t="shared" si="1"/>
        <v>0</v>
      </c>
      <c r="F14" s="36">
        <f t="shared" si="12"/>
        <v>21076</v>
      </c>
      <c r="G14" s="16">
        <f t="shared" si="2"/>
        <v>0</v>
      </c>
      <c r="H14" s="36">
        <f t="shared" si="13"/>
        <v>252495</v>
      </c>
      <c r="I14" s="16">
        <f t="shared" si="3"/>
        <v>0</v>
      </c>
      <c r="J14" s="36">
        <v>303517</v>
      </c>
      <c r="K14" s="16">
        <v>0</v>
      </c>
      <c r="L14" s="36">
        <f t="shared" si="14"/>
        <v>25654</v>
      </c>
      <c r="M14" s="16">
        <f t="shared" si="4"/>
        <v>0</v>
      </c>
      <c r="N14" s="36">
        <f t="shared" si="15"/>
        <v>216137</v>
      </c>
      <c r="O14" s="16">
        <f t="shared" si="5"/>
        <v>0</v>
      </c>
      <c r="P14" s="36">
        <f t="shared" si="9"/>
        <v>133392</v>
      </c>
      <c r="Q14" s="16">
        <f t="shared" si="6"/>
        <v>0</v>
      </c>
      <c r="R14" s="1">
        <f t="shared" ref="R14:R27" si="17">R13</f>
        <v>55047</v>
      </c>
      <c r="S14" s="16">
        <v>0</v>
      </c>
      <c r="T14" s="36">
        <f t="shared" si="16"/>
        <v>3861</v>
      </c>
      <c r="U14" s="16">
        <f t="shared" si="8"/>
        <v>0</v>
      </c>
    </row>
    <row r="15" spans="1:24" ht="13.5" thickBot="1" x14ac:dyDescent="0.25">
      <c r="A15" s="10">
        <v>44543</v>
      </c>
      <c r="B15" s="36">
        <f t="shared" si="10"/>
        <v>46302</v>
      </c>
      <c r="C15" s="16">
        <f t="shared" si="0"/>
        <v>0</v>
      </c>
      <c r="D15" s="36">
        <f t="shared" si="11"/>
        <v>40099</v>
      </c>
      <c r="E15" s="16">
        <f t="shared" si="1"/>
        <v>0</v>
      </c>
      <c r="F15" s="36">
        <f t="shared" si="12"/>
        <v>21076</v>
      </c>
      <c r="G15" s="16">
        <f t="shared" ref="G15" si="18">(F15-F14)*100/5</f>
        <v>0</v>
      </c>
      <c r="H15" s="36">
        <f t="shared" si="13"/>
        <v>252495</v>
      </c>
      <c r="I15" s="16">
        <f t="shared" ref="I15" si="19">(H15-H14)</f>
        <v>0</v>
      </c>
      <c r="J15" s="36">
        <v>303517</v>
      </c>
      <c r="K15" s="16">
        <v>0</v>
      </c>
      <c r="L15" s="36">
        <f t="shared" si="14"/>
        <v>25654</v>
      </c>
      <c r="M15" s="16">
        <f t="shared" ref="M15" si="20">(L15-L14)*800/5</f>
        <v>0</v>
      </c>
      <c r="N15" s="36">
        <f t="shared" si="15"/>
        <v>216137</v>
      </c>
      <c r="O15" s="16">
        <f t="shared" ref="O15" si="21">N15-N14</f>
        <v>0</v>
      </c>
      <c r="P15" s="36">
        <f t="shared" si="9"/>
        <v>133392</v>
      </c>
      <c r="Q15" s="16">
        <f t="shared" ref="Q15" si="22">P15-P14</f>
        <v>0</v>
      </c>
      <c r="R15" s="1">
        <f t="shared" si="17"/>
        <v>55047</v>
      </c>
      <c r="S15" s="16">
        <v>0</v>
      </c>
      <c r="T15" s="36">
        <f t="shared" si="16"/>
        <v>3861</v>
      </c>
      <c r="U15" s="16">
        <f t="shared" ref="U15" si="23">(T15-T14)*800/5</f>
        <v>0</v>
      </c>
      <c r="X15" t="s">
        <v>12</v>
      </c>
    </row>
    <row r="16" spans="1:24" ht="13.5" thickBot="1" x14ac:dyDescent="0.25">
      <c r="A16" s="10">
        <v>44544</v>
      </c>
      <c r="B16" s="36">
        <f t="shared" si="10"/>
        <v>46302</v>
      </c>
      <c r="C16" s="16">
        <f t="shared" si="0"/>
        <v>0</v>
      </c>
      <c r="D16" s="36">
        <f t="shared" si="11"/>
        <v>40099</v>
      </c>
      <c r="E16" s="16">
        <f t="shared" si="1"/>
        <v>0</v>
      </c>
      <c r="F16" s="36">
        <f t="shared" si="12"/>
        <v>21076</v>
      </c>
      <c r="G16" s="16">
        <f t="shared" si="2"/>
        <v>0</v>
      </c>
      <c r="H16" s="36">
        <f t="shared" si="13"/>
        <v>252495</v>
      </c>
      <c r="I16" s="16">
        <f t="shared" si="3"/>
        <v>0</v>
      </c>
      <c r="J16" s="36">
        <v>303517</v>
      </c>
      <c r="K16" s="16">
        <v>0</v>
      </c>
      <c r="L16" s="36">
        <f t="shared" si="14"/>
        <v>25654</v>
      </c>
      <c r="M16" s="16">
        <f t="shared" si="4"/>
        <v>0</v>
      </c>
      <c r="N16" s="36">
        <f t="shared" si="15"/>
        <v>216137</v>
      </c>
      <c r="O16" s="16">
        <f t="shared" si="5"/>
        <v>0</v>
      </c>
      <c r="P16" s="36">
        <f t="shared" si="9"/>
        <v>133392</v>
      </c>
      <c r="Q16" s="16">
        <f t="shared" si="6"/>
        <v>0</v>
      </c>
      <c r="R16" s="1">
        <v>55047</v>
      </c>
      <c r="S16" s="16">
        <f t="shared" si="7"/>
        <v>0</v>
      </c>
      <c r="T16" s="36">
        <f t="shared" si="16"/>
        <v>3861</v>
      </c>
      <c r="U16" s="16">
        <f t="shared" si="8"/>
        <v>0</v>
      </c>
      <c r="W16" t="s">
        <v>12</v>
      </c>
    </row>
    <row r="17" spans="1:23" ht="13.5" thickBot="1" x14ac:dyDescent="0.25">
      <c r="A17" s="10">
        <v>44545</v>
      </c>
      <c r="B17" s="36">
        <f t="shared" si="10"/>
        <v>46302</v>
      </c>
      <c r="C17" s="16">
        <f t="shared" si="0"/>
        <v>0</v>
      </c>
      <c r="D17" s="36">
        <f t="shared" si="11"/>
        <v>40099</v>
      </c>
      <c r="E17" s="16">
        <f t="shared" si="1"/>
        <v>0</v>
      </c>
      <c r="F17" s="36">
        <f t="shared" si="12"/>
        <v>21076</v>
      </c>
      <c r="G17" s="16">
        <f t="shared" si="2"/>
        <v>0</v>
      </c>
      <c r="H17" s="36">
        <f t="shared" si="13"/>
        <v>252495</v>
      </c>
      <c r="I17" s="16">
        <f t="shared" si="3"/>
        <v>0</v>
      </c>
      <c r="J17" s="36">
        <v>303517</v>
      </c>
      <c r="K17" s="16">
        <v>0</v>
      </c>
      <c r="L17" s="36">
        <f t="shared" si="14"/>
        <v>25654</v>
      </c>
      <c r="M17" s="16">
        <f t="shared" si="4"/>
        <v>0</v>
      </c>
      <c r="N17" s="36">
        <f t="shared" si="15"/>
        <v>216137</v>
      </c>
      <c r="O17" s="16">
        <f t="shared" si="5"/>
        <v>0</v>
      </c>
      <c r="P17" s="36">
        <f t="shared" si="9"/>
        <v>133392</v>
      </c>
      <c r="Q17" s="16">
        <f t="shared" si="6"/>
        <v>0</v>
      </c>
      <c r="R17" s="1">
        <f t="shared" si="17"/>
        <v>55047</v>
      </c>
      <c r="S17" s="16">
        <f>S16</f>
        <v>0</v>
      </c>
      <c r="T17" s="36">
        <f t="shared" si="16"/>
        <v>3861</v>
      </c>
      <c r="U17" s="16">
        <f t="shared" si="8"/>
        <v>0</v>
      </c>
    </row>
    <row r="18" spans="1:23" ht="13.5" thickBot="1" x14ac:dyDescent="0.25">
      <c r="A18" s="10">
        <v>44546</v>
      </c>
      <c r="B18" s="36">
        <f t="shared" si="10"/>
        <v>46302</v>
      </c>
      <c r="C18" s="16">
        <f t="shared" si="0"/>
        <v>0</v>
      </c>
      <c r="D18" s="36">
        <f t="shared" si="11"/>
        <v>40099</v>
      </c>
      <c r="E18" s="16">
        <f t="shared" si="1"/>
        <v>0</v>
      </c>
      <c r="F18" s="36">
        <f t="shared" si="12"/>
        <v>21076</v>
      </c>
      <c r="G18" s="16">
        <f t="shared" si="2"/>
        <v>0</v>
      </c>
      <c r="H18" s="36">
        <f t="shared" si="13"/>
        <v>252495</v>
      </c>
      <c r="I18" s="16">
        <f t="shared" si="3"/>
        <v>0</v>
      </c>
      <c r="J18" s="36">
        <v>303517</v>
      </c>
      <c r="K18" s="16">
        <v>0</v>
      </c>
      <c r="L18" s="36">
        <f t="shared" si="14"/>
        <v>25654</v>
      </c>
      <c r="M18" s="16">
        <f t="shared" si="4"/>
        <v>0</v>
      </c>
      <c r="N18" s="36">
        <f t="shared" si="15"/>
        <v>216137</v>
      </c>
      <c r="O18" s="16">
        <f t="shared" si="5"/>
        <v>0</v>
      </c>
      <c r="P18" s="36">
        <f t="shared" si="9"/>
        <v>133392</v>
      </c>
      <c r="Q18" s="16">
        <f t="shared" si="6"/>
        <v>0</v>
      </c>
      <c r="R18" s="1">
        <f t="shared" si="17"/>
        <v>55047</v>
      </c>
      <c r="S18" s="16">
        <f t="shared" si="7"/>
        <v>0</v>
      </c>
      <c r="T18" s="36">
        <f t="shared" si="16"/>
        <v>3861</v>
      </c>
      <c r="U18" s="16">
        <f t="shared" si="8"/>
        <v>0</v>
      </c>
    </row>
    <row r="19" spans="1:23" ht="13.5" thickBot="1" x14ac:dyDescent="0.25">
      <c r="A19" s="10">
        <v>44547</v>
      </c>
      <c r="B19" s="36">
        <f t="shared" si="10"/>
        <v>46302</v>
      </c>
      <c r="C19" s="16">
        <f t="shared" si="0"/>
        <v>0</v>
      </c>
      <c r="D19" s="36">
        <f t="shared" si="11"/>
        <v>40099</v>
      </c>
      <c r="E19" s="16">
        <f t="shared" si="1"/>
        <v>0</v>
      </c>
      <c r="F19" s="36">
        <f t="shared" si="12"/>
        <v>21076</v>
      </c>
      <c r="G19" s="16">
        <f t="shared" si="2"/>
        <v>0</v>
      </c>
      <c r="H19" s="36">
        <f t="shared" si="13"/>
        <v>252495</v>
      </c>
      <c r="I19" s="16">
        <f t="shared" si="3"/>
        <v>0</v>
      </c>
      <c r="J19" s="36">
        <v>303517</v>
      </c>
      <c r="K19" s="16">
        <v>0</v>
      </c>
      <c r="L19" s="36">
        <f t="shared" si="14"/>
        <v>25654</v>
      </c>
      <c r="M19" s="16">
        <f t="shared" si="4"/>
        <v>0</v>
      </c>
      <c r="N19" s="36">
        <f t="shared" si="15"/>
        <v>216137</v>
      </c>
      <c r="O19" s="16">
        <f t="shared" si="5"/>
        <v>0</v>
      </c>
      <c r="P19" s="36">
        <f t="shared" si="9"/>
        <v>133392</v>
      </c>
      <c r="Q19" s="16">
        <f t="shared" si="6"/>
        <v>0</v>
      </c>
      <c r="R19" s="1">
        <v>55047</v>
      </c>
      <c r="S19" s="16">
        <f t="shared" si="7"/>
        <v>0</v>
      </c>
      <c r="T19" s="36">
        <f t="shared" si="16"/>
        <v>3861</v>
      </c>
      <c r="U19" s="16">
        <f t="shared" si="8"/>
        <v>0</v>
      </c>
      <c r="W19" t="s">
        <v>12</v>
      </c>
    </row>
    <row r="20" spans="1:23" ht="13.5" thickBot="1" x14ac:dyDescent="0.25">
      <c r="A20" s="10">
        <v>44548</v>
      </c>
      <c r="B20" s="36">
        <f t="shared" si="10"/>
        <v>46302</v>
      </c>
      <c r="C20" s="16">
        <f t="shared" si="0"/>
        <v>0</v>
      </c>
      <c r="D20" s="36">
        <f t="shared" si="11"/>
        <v>40099</v>
      </c>
      <c r="E20" s="16">
        <f t="shared" si="1"/>
        <v>0</v>
      </c>
      <c r="F20" s="36">
        <f t="shared" si="12"/>
        <v>21076</v>
      </c>
      <c r="G20" s="16">
        <f t="shared" si="2"/>
        <v>0</v>
      </c>
      <c r="H20" s="36">
        <f t="shared" si="13"/>
        <v>252495</v>
      </c>
      <c r="I20" s="16">
        <f t="shared" si="3"/>
        <v>0</v>
      </c>
      <c r="J20" s="36">
        <v>303517</v>
      </c>
      <c r="K20" s="16">
        <v>0</v>
      </c>
      <c r="L20" s="36">
        <f t="shared" si="14"/>
        <v>25654</v>
      </c>
      <c r="M20" s="16">
        <f t="shared" si="4"/>
        <v>0</v>
      </c>
      <c r="N20" s="36">
        <f t="shared" si="15"/>
        <v>216137</v>
      </c>
      <c r="O20" s="16">
        <f t="shared" si="5"/>
        <v>0</v>
      </c>
      <c r="P20" s="36">
        <f t="shared" si="9"/>
        <v>133392</v>
      </c>
      <c r="Q20" s="16">
        <f>P20-P19</f>
        <v>0</v>
      </c>
      <c r="R20" s="1">
        <v>55047</v>
      </c>
      <c r="S20" s="16">
        <f t="shared" si="7"/>
        <v>0</v>
      </c>
      <c r="T20" s="36">
        <f t="shared" si="16"/>
        <v>3861</v>
      </c>
      <c r="U20" s="16">
        <f t="shared" si="8"/>
        <v>0</v>
      </c>
    </row>
    <row r="21" spans="1:23" ht="13.5" thickBot="1" x14ac:dyDescent="0.25">
      <c r="A21" s="10">
        <v>44549</v>
      </c>
      <c r="B21" s="36">
        <f t="shared" si="10"/>
        <v>46302</v>
      </c>
      <c r="C21" s="16">
        <f t="shared" si="0"/>
        <v>0</v>
      </c>
      <c r="D21" s="36">
        <f t="shared" si="11"/>
        <v>40099</v>
      </c>
      <c r="E21" s="16">
        <f t="shared" si="1"/>
        <v>0</v>
      </c>
      <c r="F21" s="36">
        <f t="shared" si="12"/>
        <v>21076</v>
      </c>
      <c r="G21" s="16">
        <f t="shared" si="2"/>
        <v>0</v>
      </c>
      <c r="H21" s="36">
        <f t="shared" si="13"/>
        <v>252495</v>
      </c>
      <c r="I21" s="16">
        <f t="shared" si="3"/>
        <v>0</v>
      </c>
      <c r="J21" s="36">
        <v>303517</v>
      </c>
      <c r="K21" s="16">
        <v>0</v>
      </c>
      <c r="L21" s="36">
        <f t="shared" si="14"/>
        <v>25654</v>
      </c>
      <c r="M21" s="16">
        <f t="shared" si="4"/>
        <v>0</v>
      </c>
      <c r="N21" s="36">
        <f t="shared" si="15"/>
        <v>216137</v>
      </c>
      <c r="O21" s="16">
        <f t="shared" si="5"/>
        <v>0</v>
      </c>
      <c r="P21" s="36">
        <f t="shared" si="9"/>
        <v>133392</v>
      </c>
      <c r="Q21" s="16">
        <f t="shared" si="6"/>
        <v>0</v>
      </c>
      <c r="R21" s="1">
        <v>55047</v>
      </c>
      <c r="S21" s="16">
        <f t="shared" si="7"/>
        <v>0</v>
      </c>
      <c r="T21" s="36">
        <f t="shared" si="16"/>
        <v>3861</v>
      </c>
      <c r="U21" s="16">
        <f t="shared" si="8"/>
        <v>0</v>
      </c>
    </row>
    <row r="22" spans="1:23" ht="13.5" thickBot="1" x14ac:dyDescent="0.25">
      <c r="A22" s="10">
        <v>44550</v>
      </c>
      <c r="B22" s="36">
        <f t="shared" si="10"/>
        <v>46302</v>
      </c>
      <c r="C22" s="16">
        <f t="shared" si="0"/>
        <v>0</v>
      </c>
      <c r="D22" s="36">
        <f t="shared" si="11"/>
        <v>40099</v>
      </c>
      <c r="E22" s="16">
        <f t="shared" si="1"/>
        <v>0</v>
      </c>
      <c r="F22" s="36">
        <f t="shared" si="12"/>
        <v>21076</v>
      </c>
      <c r="G22" s="16">
        <f t="shared" si="2"/>
        <v>0</v>
      </c>
      <c r="H22" s="36">
        <f t="shared" si="13"/>
        <v>252495</v>
      </c>
      <c r="I22" s="16">
        <f t="shared" si="3"/>
        <v>0</v>
      </c>
      <c r="J22" s="36">
        <v>303517</v>
      </c>
      <c r="K22" s="16">
        <v>0</v>
      </c>
      <c r="L22" s="36">
        <f t="shared" si="14"/>
        <v>25654</v>
      </c>
      <c r="M22" s="16">
        <f t="shared" si="4"/>
        <v>0</v>
      </c>
      <c r="N22" s="36">
        <f t="shared" si="15"/>
        <v>216137</v>
      </c>
      <c r="O22" s="16">
        <f t="shared" si="5"/>
        <v>0</v>
      </c>
      <c r="P22" s="36">
        <f t="shared" si="9"/>
        <v>133392</v>
      </c>
      <c r="Q22" s="16">
        <f>P22-P21</f>
        <v>0</v>
      </c>
      <c r="R22" s="1">
        <v>55047</v>
      </c>
      <c r="S22" s="16">
        <f t="shared" si="7"/>
        <v>0</v>
      </c>
      <c r="T22" s="36">
        <f t="shared" si="16"/>
        <v>3861</v>
      </c>
      <c r="U22" s="16">
        <f t="shared" si="8"/>
        <v>0</v>
      </c>
    </row>
    <row r="23" spans="1:23" ht="13.5" thickBot="1" x14ac:dyDescent="0.25">
      <c r="A23" s="10">
        <v>44551</v>
      </c>
      <c r="B23" s="36">
        <f t="shared" si="10"/>
        <v>46302</v>
      </c>
      <c r="C23" s="16">
        <f t="shared" si="0"/>
        <v>0</v>
      </c>
      <c r="D23" s="36">
        <f t="shared" si="11"/>
        <v>40099</v>
      </c>
      <c r="E23" s="16">
        <f t="shared" si="1"/>
        <v>0</v>
      </c>
      <c r="F23" s="36">
        <f t="shared" si="12"/>
        <v>21076</v>
      </c>
      <c r="G23" s="16">
        <f t="shared" si="2"/>
        <v>0</v>
      </c>
      <c r="H23" s="36">
        <f t="shared" si="13"/>
        <v>252495</v>
      </c>
      <c r="I23" s="16">
        <f t="shared" si="3"/>
        <v>0</v>
      </c>
      <c r="J23" s="36">
        <v>303517</v>
      </c>
      <c r="K23" s="16">
        <v>0</v>
      </c>
      <c r="L23" s="36">
        <f t="shared" si="14"/>
        <v>25654</v>
      </c>
      <c r="M23" s="16">
        <f t="shared" si="4"/>
        <v>0</v>
      </c>
      <c r="N23" s="36">
        <f t="shared" si="15"/>
        <v>216137</v>
      </c>
      <c r="O23" s="16">
        <f t="shared" si="5"/>
        <v>0</v>
      </c>
      <c r="P23" s="36">
        <f t="shared" si="9"/>
        <v>133392</v>
      </c>
      <c r="Q23" s="16">
        <f t="shared" si="6"/>
        <v>0</v>
      </c>
      <c r="R23" s="1">
        <v>55047</v>
      </c>
      <c r="S23" s="16">
        <f t="shared" si="7"/>
        <v>0</v>
      </c>
      <c r="T23" s="36">
        <f t="shared" si="16"/>
        <v>3861</v>
      </c>
      <c r="U23" s="16">
        <f t="shared" si="8"/>
        <v>0</v>
      </c>
    </row>
    <row r="24" spans="1:23" s="136" customFormat="1" ht="13.5" thickBot="1" x14ac:dyDescent="0.25">
      <c r="A24" s="10">
        <v>44552</v>
      </c>
      <c r="B24" s="36">
        <f t="shared" si="10"/>
        <v>46302</v>
      </c>
      <c r="C24" s="16">
        <f t="shared" si="0"/>
        <v>0</v>
      </c>
      <c r="D24" s="36">
        <f t="shared" si="11"/>
        <v>40099</v>
      </c>
      <c r="E24" s="16">
        <f t="shared" si="1"/>
        <v>0</v>
      </c>
      <c r="F24" s="36">
        <f t="shared" si="12"/>
        <v>21076</v>
      </c>
      <c r="G24" s="16">
        <f t="shared" si="2"/>
        <v>0</v>
      </c>
      <c r="H24" s="36">
        <f t="shared" si="13"/>
        <v>252495</v>
      </c>
      <c r="I24" s="16">
        <f t="shared" si="3"/>
        <v>0</v>
      </c>
      <c r="J24" s="36">
        <v>303517</v>
      </c>
      <c r="K24" s="16">
        <v>0</v>
      </c>
      <c r="L24" s="36">
        <f t="shared" si="14"/>
        <v>25654</v>
      </c>
      <c r="M24" s="16">
        <f t="shared" si="4"/>
        <v>0</v>
      </c>
      <c r="N24" s="36">
        <f t="shared" si="15"/>
        <v>216137</v>
      </c>
      <c r="O24" s="16">
        <f t="shared" si="5"/>
        <v>0</v>
      </c>
      <c r="P24" s="36">
        <f t="shared" si="9"/>
        <v>133392</v>
      </c>
      <c r="Q24" s="16">
        <f t="shared" si="6"/>
        <v>0</v>
      </c>
      <c r="R24" s="1">
        <v>55047</v>
      </c>
      <c r="S24" s="16">
        <f t="shared" si="7"/>
        <v>0</v>
      </c>
      <c r="T24" s="36">
        <f t="shared" si="16"/>
        <v>3861</v>
      </c>
      <c r="U24" s="16">
        <f t="shared" si="8"/>
        <v>0</v>
      </c>
    </row>
    <row r="25" spans="1:23" ht="13.5" thickBot="1" x14ac:dyDescent="0.25">
      <c r="A25" s="10">
        <v>44553</v>
      </c>
      <c r="B25" s="36">
        <f t="shared" si="10"/>
        <v>46302</v>
      </c>
      <c r="C25" s="16">
        <f t="shared" si="0"/>
        <v>0</v>
      </c>
      <c r="D25" s="36">
        <f t="shared" si="11"/>
        <v>40099</v>
      </c>
      <c r="E25" s="16">
        <f t="shared" si="1"/>
        <v>0</v>
      </c>
      <c r="F25" s="36">
        <f t="shared" si="12"/>
        <v>21076</v>
      </c>
      <c r="G25" s="16">
        <f t="shared" si="2"/>
        <v>0</v>
      </c>
      <c r="H25" s="36">
        <f t="shared" si="13"/>
        <v>252495</v>
      </c>
      <c r="I25" s="16">
        <f t="shared" si="3"/>
        <v>0</v>
      </c>
      <c r="J25" s="36">
        <v>303517</v>
      </c>
      <c r="K25" s="16">
        <v>0</v>
      </c>
      <c r="L25" s="36">
        <f t="shared" si="14"/>
        <v>25654</v>
      </c>
      <c r="M25" s="16">
        <f t="shared" si="4"/>
        <v>0</v>
      </c>
      <c r="N25" s="36">
        <f t="shared" si="15"/>
        <v>216137</v>
      </c>
      <c r="O25" s="16">
        <f t="shared" si="5"/>
        <v>0</v>
      </c>
      <c r="P25" s="36">
        <f t="shared" si="9"/>
        <v>133392</v>
      </c>
      <c r="Q25" s="16">
        <f t="shared" si="6"/>
        <v>0</v>
      </c>
      <c r="R25" s="1">
        <v>55047</v>
      </c>
      <c r="S25" s="16">
        <f t="shared" si="7"/>
        <v>0</v>
      </c>
      <c r="T25" s="36">
        <f t="shared" si="16"/>
        <v>3861</v>
      </c>
      <c r="U25" s="16">
        <f t="shared" si="8"/>
        <v>0</v>
      </c>
      <c r="V25" t="s">
        <v>12</v>
      </c>
    </row>
    <row r="26" spans="1:23" ht="12.75" customHeight="1" thickBot="1" x14ac:dyDescent="0.25">
      <c r="A26" s="10">
        <v>44554</v>
      </c>
      <c r="B26" s="36">
        <f t="shared" si="10"/>
        <v>46302</v>
      </c>
      <c r="C26" s="16">
        <f t="shared" si="0"/>
        <v>0</v>
      </c>
      <c r="D26" s="36">
        <f t="shared" si="11"/>
        <v>40099</v>
      </c>
      <c r="E26" s="16">
        <f t="shared" si="1"/>
        <v>0</v>
      </c>
      <c r="F26" s="36">
        <f t="shared" si="12"/>
        <v>21076</v>
      </c>
      <c r="G26" s="16">
        <f t="shared" si="2"/>
        <v>0</v>
      </c>
      <c r="H26" s="36">
        <f t="shared" si="13"/>
        <v>252495</v>
      </c>
      <c r="I26" s="16">
        <f t="shared" si="3"/>
        <v>0</v>
      </c>
      <c r="J26" s="36">
        <v>303517</v>
      </c>
      <c r="K26" s="16">
        <v>0</v>
      </c>
      <c r="L26" s="36">
        <f t="shared" si="14"/>
        <v>25654</v>
      </c>
      <c r="M26" s="16">
        <f t="shared" si="4"/>
        <v>0</v>
      </c>
      <c r="N26" s="36">
        <f t="shared" si="15"/>
        <v>216137</v>
      </c>
      <c r="O26" s="16">
        <f t="shared" si="5"/>
        <v>0</v>
      </c>
      <c r="P26" s="36">
        <f t="shared" si="9"/>
        <v>133392</v>
      </c>
      <c r="Q26" s="16">
        <f t="shared" si="6"/>
        <v>0</v>
      </c>
      <c r="R26" s="1">
        <v>55047</v>
      </c>
      <c r="S26" s="16">
        <f t="shared" si="7"/>
        <v>0</v>
      </c>
      <c r="T26" s="36">
        <f t="shared" si="16"/>
        <v>3861</v>
      </c>
      <c r="U26" s="16">
        <f t="shared" si="8"/>
        <v>0</v>
      </c>
      <c r="W26" t="s">
        <v>12</v>
      </c>
    </row>
    <row r="27" spans="1:23" ht="13.5" thickBot="1" x14ac:dyDescent="0.25">
      <c r="A27" s="10">
        <v>44555</v>
      </c>
      <c r="B27" s="36">
        <f t="shared" si="10"/>
        <v>46302</v>
      </c>
      <c r="C27" s="16">
        <f t="shared" si="0"/>
        <v>0</v>
      </c>
      <c r="D27" s="36">
        <f t="shared" si="11"/>
        <v>40099</v>
      </c>
      <c r="E27" s="16">
        <f t="shared" si="1"/>
        <v>0</v>
      </c>
      <c r="F27" s="36">
        <f t="shared" si="12"/>
        <v>21076</v>
      </c>
      <c r="G27" s="16">
        <f t="shared" si="2"/>
        <v>0</v>
      </c>
      <c r="H27" s="36">
        <f t="shared" si="13"/>
        <v>252495</v>
      </c>
      <c r="I27" s="16">
        <f t="shared" si="3"/>
        <v>0</v>
      </c>
      <c r="J27" s="36">
        <v>303517</v>
      </c>
      <c r="K27" s="16">
        <v>0</v>
      </c>
      <c r="L27" s="36">
        <f t="shared" si="14"/>
        <v>25654</v>
      </c>
      <c r="M27" s="16">
        <f t="shared" si="4"/>
        <v>0</v>
      </c>
      <c r="N27" s="36">
        <f t="shared" si="15"/>
        <v>216137</v>
      </c>
      <c r="O27" s="16">
        <f t="shared" si="5"/>
        <v>0</v>
      </c>
      <c r="P27" s="36">
        <f t="shared" si="9"/>
        <v>133392</v>
      </c>
      <c r="Q27" s="16">
        <f t="shared" si="6"/>
        <v>0</v>
      </c>
      <c r="R27" s="1">
        <f t="shared" si="17"/>
        <v>55047</v>
      </c>
      <c r="S27" s="16">
        <f t="shared" si="7"/>
        <v>0</v>
      </c>
      <c r="T27" s="36">
        <f t="shared" si="16"/>
        <v>3861</v>
      </c>
      <c r="U27" s="16">
        <f t="shared" si="8"/>
        <v>0</v>
      </c>
    </row>
    <row r="28" spans="1:23" ht="13.5" thickBot="1" x14ac:dyDescent="0.25">
      <c r="A28" s="10">
        <v>44556</v>
      </c>
      <c r="B28" s="36">
        <f t="shared" si="10"/>
        <v>46302</v>
      </c>
      <c r="C28" s="16">
        <f t="shared" si="0"/>
        <v>0</v>
      </c>
      <c r="D28" s="36">
        <f t="shared" si="11"/>
        <v>40099</v>
      </c>
      <c r="E28" s="16">
        <f t="shared" si="1"/>
        <v>0</v>
      </c>
      <c r="F28" s="36">
        <f t="shared" si="12"/>
        <v>21076</v>
      </c>
      <c r="G28" s="16">
        <f t="shared" si="2"/>
        <v>0</v>
      </c>
      <c r="H28" s="36">
        <f t="shared" si="13"/>
        <v>252495</v>
      </c>
      <c r="I28" s="16">
        <f t="shared" si="3"/>
        <v>0</v>
      </c>
      <c r="J28" s="36">
        <v>303517</v>
      </c>
      <c r="K28" s="16">
        <v>0</v>
      </c>
      <c r="L28" s="36">
        <f t="shared" si="14"/>
        <v>25654</v>
      </c>
      <c r="M28" s="16">
        <f t="shared" si="4"/>
        <v>0</v>
      </c>
      <c r="N28" s="36">
        <f t="shared" si="15"/>
        <v>216137</v>
      </c>
      <c r="O28" s="16">
        <f t="shared" si="5"/>
        <v>0</v>
      </c>
      <c r="P28" s="36">
        <f t="shared" si="9"/>
        <v>133392</v>
      </c>
      <c r="Q28" s="17">
        <f t="shared" si="6"/>
        <v>0</v>
      </c>
      <c r="R28" s="1">
        <v>55047</v>
      </c>
      <c r="S28" s="17">
        <f t="shared" si="7"/>
        <v>0</v>
      </c>
      <c r="T28" s="36">
        <f t="shared" si="16"/>
        <v>3861</v>
      </c>
      <c r="U28" s="16">
        <f t="shared" si="8"/>
        <v>0</v>
      </c>
    </row>
    <row r="29" spans="1:23" ht="13.5" thickBot="1" x14ac:dyDescent="0.25">
      <c r="A29" s="10">
        <v>44557</v>
      </c>
      <c r="B29" s="36">
        <f t="shared" si="10"/>
        <v>46302</v>
      </c>
      <c r="C29" s="16">
        <f t="shared" si="0"/>
        <v>0</v>
      </c>
      <c r="D29" s="36">
        <f t="shared" si="11"/>
        <v>40099</v>
      </c>
      <c r="E29" s="16">
        <f t="shared" si="1"/>
        <v>0</v>
      </c>
      <c r="F29" s="36">
        <f t="shared" si="12"/>
        <v>21076</v>
      </c>
      <c r="G29" s="16">
        <f t="shared" si="2"/>
        <v>0</v>
      </c>
      <c r="H29" s="36">
        <f t="shared" si="13"/>
        <v>252495</v>
      </c>
      <c r="I29" s="16">
        <f t="shared" si="3"/>
        <v>0</v>
      </c>
      <c r="J29" s="36">
        <v>303517</v>
      </c>
      <c r="K29" s="16">
        <v>0</v>
      </c>
      <c r="L29" s="36">
        <f t="shared" si="14"/>
        <v>25654</v>
      </c>
      <c r="M29" s="16">
        <f t="shared" si="4"/>
        <v>0</v>
      </c>
      <c r="N29" s="36">
        <f t="shared" si="15"/>
        <v>216137</v>
      </c>
      <c r="O29" s="16">
        <f t="shared" si="5"/>
        <v>0</v>
      </c>
      <c r="P29" s="36">
        <f t="shared" si="9"/>
        <v>133392</v>
      </c>
      <c r="Q29" s="16">
        <f t="shared" si="6"/>
        <v>0</v>
      </c>
      <c r="R29" s="1">
        <v>55047</v>
      </c>
      <c r="S29" s="16">
        <f t="shared" si="7"/>
        <v>0</v>
      </c>
      <c r="T29" s="36">
        <f t="shared" si="16"/>
        <v>3861</v>
      </c>
      <c r="U29" s="16">
        <f t="shared" si="8"/>
        <v>0</v>
      </c>
    </row>
    <row r="30" spans="1:23" ht="13.5" thickBot="1" x14ac:dyDescent="0.25">
      <c r="A30" s="10">
        <v>44558</v>
      </c>
      <c r="B30" s="36">
        <f t="shared" si="10"/>
        <v>46302</v>
      </c>
      <c r="C30" s="16">
        <f t="shared" si="0"/>
        <v>0</v>
      </c>
      <c r="D30" s="36">
        <f t="shared" si="11"/>
        <v>40099</v>
      </c>
      <c r="E30" s="16">
        <f t="shared" si="1"/>
        <v>0</v>
      </c>
      <c r="F30" s="36">
        <f t="shared" si="12"/>
        <v>21076</v>
      </c>
      <c r="G30" s="16">
        <f t="shared" si="2"/>
        <v>0</v>
      </c>
      <c r="H30" s="36">
        <f t="shared" si="13"/>
        <v>252495</v>
      </c>
      <c r="I30" s="16">
        <f t="shared" si="3"/>
        <v>0</v>
      </c>
      <c r="J30" s="36">
        <v>303517</v>
      </c>
      <c r="K30" s="16">
        <v>0</v>
      </c>
      <c r="L30" s="36">
        <f t="shared" si="14"/>
        <v>25654</v>
      </c>
      <c r="M30" s="16">
        <f t="shared" si="4"/>
        <v>0</v>
      </c>
      <c r="N30" s="36">
        <f t="shared" si="15"/>
        <v>216137</v>
      </c>
      <c r="O30" s="16">
        <f t="shared" si="5"/>
        <v>0</v>
      </c>
      <c r="P30" s="36">
        <f t="shared" si="9"/>
        <v>133392</v>
      </c>
      <c r="Q30" s="16">
        <f t="shared" si="6"/>
        <v>0</v>
      </c>
      <c r="R30" s="1">
        <v>55047</v>
      </c>
      <c r="S30" s="16">
        <f t="shared" si="7"/>
        <v>0</v>
      </c>
      <c r="T30" s="36">
        <f t="shared" si="16"/>
        <v>3861</v>
      </c>
      <c r="U30" s="16">
        <f t="shared" si="8"/>
        <v>0</v>
      </c>
    </row>
    <row r="31" spans="1:23" ht="13.5" thickBot="1" x14ac:dyDescent="0.25">
      <c r="A31" s="10">
        <v>44559</v>
      </c>
      <c r="B31" s="36">
        <f t="shared" si="10"/>
        <v>46302</v>
      </c>
      <c r="C31" s="16">
        <f t="shared" si="0"/>
        <v>0</v>
      </c>
      <c r="D31" s="36">
        <f t="shared" si="11"/>
        <v>40099</v>
      </c>
      <c r="E31" s="16">
        <f t="shared" si="1"/>
        <v>0</v>
      </c>
      <c r="F31" s="36">
        <f t="shared" si="12"/>
        <v>21076</v>
      </c>
      <c r="G31" s="16">
        <f t="shared" si="2"/>
        <v>0</v>
      </c>
      <c r="H31" s="36">
        <f t="shared" si="13"/>
        <v>252495</v>
      </c>
      <c r="I31" s="16">
        <f t="shared" si="3"/>
        <v>0</v>
      </c>
      <c r="J31" s="36">
        <v>303517</v>
      </c>
      <c r="K31" s="16">
        <v>0</v>
      </c>
      <c r="L31" s="36">
        <f t="shared" si="14"/>
        <v>25654</v>
      </c>
      <c r="M31" s="16">
        <f t="shared" si="4"/>
        <v>0</v>
      </c>
      <c r="N31" s="36">
        <f t="shared" si="15"/>
        <v>216137</v>
      </c>
      <c r="O31" s="16">
        <f t="shared" si="5"/>
        <v>0</v>
      </c>
      <c r="P31" s="36">
        <f t="shared" si="9"/>
        <v>133392</v>
      </c>
      <c r="Q31" s="16">
        <f t="shared" si="6"/>
        <v>0</v>
      </c>
      <c r="R31" s="1">
        <v>55047</v>
      </c>
      <c r="S31" s="16">
        <f t="shared" si="7"/>
        <v>0</v>
      </c>
      <c r="T31" s="36">
        <f t="shared" si="16"/>
        <v>3861</v>
      </c>
      <c r="U31" s="16">
        <f t="shared" si="8"/>
        <v>0</v>
      </c>
    </row>
    <row r="32" spans="1:23" ht="15" customHeight="1" thickBot="1" x14ac:dyDescent="0.25">
      <c r="A32" s="10">
        <v>44560</v>
      </c>
      <c r="B32" s="36">
        <f t="shared" si="10"/>
        <v>46302</v>
      </c>
      <c r="C32" s="16">
        <f t="shared" si="0"/>
        <v>0</v>
      </c>
      <c r="D32" s="36">
        <f t="shared" si="11"/>
        <v>40099</v>
      </c>
      <c r="E32" s="16">
        <f t="shared" si="1"/>
        <v>0</v>
      </c>
      <c r="F32" s="36">
        <f t="shared" si="12"/>
        <v>21076</v>
      </c>
      <c r="G32" s="16">
        <f t="shared" si="2"/>
        <v>0</v>
      </c>
      <c r="H32" s="36">
        <f t="shared" si="13"/>
        <v>252495</v>
      </c>
      <c r="I32" s="16">
        <f t="shared" si="3"/>
        <v>0</v>
      </c>
      <c r="J32" s="36">
        <v>303517</v>
      </c>
      <c r="K32" s="16">
        <v>0</v>
      </c>
      <c r="L32" s="36">
        <f t="shared" si="14"/>
        <v>25654</v>
      </c>
      <c r="M32" s="16">
        <f t="shared" si="4"/>
        <v>0</v>
      </c>
      <c r="N32" s="36">
        <f t="shared" si="15"/>
        <v>216137</v>
      </c>
      <c r="O32" s="16">
        <f t="shared" si="5"/>
        <v>0</v>
      </c>
      <c r="P32" s="36">
        <f t="shared" si="9"/>
        <v>133392</v>
      </c>
      <c r="Q32" s="16">
        <f t="shared" si="6"/>
        <v>0</v>
      </c>
      <c r="R32" s="1">
        <v>55047</v>
      </c>
      <c r="S32" s="16">
        <v>0</v>
      </c>
      <c r="T32" s="36">
        <f t="shared" si="16"/>
        <v>3861</v>
      </c>
      <c r="U32" s="16">
        <f t="shared" si="8"/>
        <v>0</v>
      </c>
      <c r="V32" t="s">
        <v>12</v>
      </c>
    </row>
    <row r="33" spans="1:21" ht="13.5" thickBot="1" x14ac:dyDescent="0.25">
      <c r="A33" s="10">
        <v>44561</v>
      </c>
      <c r="B33" s="36">
        <f t="shared" si="10"/>
        <v>46302</v>
      </c>
      <c r="C33" s="16">
        <f t="shared" si="0"/>
        <v>0</v>
      </c>
      <c r="D33" s="36">
        <f t="shared" si="11"/>
        <v>40099</v>
      </c>
      <c r="E33" s="16">
        <f t="shared" si="1"/>
        <v>0</v>
      </c>
      <c r="F33" s="36">
        <f t="shared" si="12"/>
        <v>21076</v>
      </c>
      <c r="G33" s="16">
        <f t="shared" si="2"/>
        <v>0</v>
      </c>
      <c r="H33" s="36">
        <f t="shared" si="13"/>
        <v>252495</v>
      </c>
      <c r="I33" s="16">
        <f t="shared" si="3"/>
        <v>0</v>
      </c>
      <c r="J33" s="36">
        <v>303517</v>
      </c>
      <c r="K33" s="16">
        <v>0</v>
      </c>
      <c r="L33" s="36">
        <f t="shared" si="14"/>
        <v>25654</v>
      </c>
      <c r="M33" s="16">
        <f t="shared" si="4"/>
        <v>0</v>
      </c>
      <c r="N33" s="36">
        <f t="shared" si="15"/>
        <v>216137</v>
      </c>
      <c r="O33" s="16">
        <f t="shared" si="5"/>
        <v>0</v>
      </c>
      <c r="P33" s="36">
        <f t="shared" si="9"/>
        <v>133392</v>
      </c>
      <c r="Q33" s="16">
        <f t="shared" si="6"/>
        <v>0</v>
      </c>
      <c r="R33" s="1">
        <v>55047</v>
      </c>
      <c r="S33" s="16">
        <v>0</v>
      </c>
      <c r="T33" s="36">
        <f t="shared" si="16"/>
        <v>3861</v>
      </c>
      <c r="U33" s="16">
        <f t="shared" si="8"/>
        <v>0</v>
      </c>
    </row>
    <row r="34" spans="1:21" ht="16.5" thickBot="1" x14ac:dyDescent="0.3">
      <c r="A34" s="10" t="s">
        <v>23</v>
      </c>
      <c r="B34" s="1"/>
      <c r="C34" s="11">
        <f>SUM(C4:C33)</f>
        <v>3680</v>
      </c>
      <c r="D34" s="13"/>
      <c r="E34" s="11">
        <f>SUM(E4:E33)</f>
        <v>1920</v>
      </c>
      <c r="F34" s="13"/>
      <c r="G34" s="11">
        <f>SUM(G4:G33)</f>
        <v>340</v>
      </c>
      <c r="H34" s="13"/>
      <c r="I34" s="11">
        <f>SUM(I4:I33)</f>
        <v>174</v>
      </c>
      <c r="J34" s="13"/>
      <c r="K34" s="11">
        <f>SUM(K4:K33)</f>
        <v>0</v>
      </c>
      <c r="L34" s="13"/>
      <c r="M34" s="11">
        <f>SUM(M4:M33)</f>
        <v>1920</v>
      </c>
      <c r="N34" s="37"/>
      <c r="O34" s="11">
        <f>SUM(O4:O33)</f>
        <v>14</v>
      </c>
      <c r="P34" s="13"/>
      <c r="Q34" s="11">
        <f>SUM(Q4:Q33)</f>
        <v>471</v>
      </c>
      <c r="R34" s="1"/>
      <c r="S34" s="11">
        <f>SUM(S4:S33)</f>
        <v>0</v>
      </c>
      <c r="T34" s="1"/>
      <c r="U34" s="11">
        <f>SUM(U4:U33)</f>
        <v>640</v>
      </c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A45"/>
  <sheetViews>
    <sheetView topLeftCell="B1" zoomScaleNormal="100" zoomScaleSheetLayoutView="110" workbookViewId="0">
      <pane ySplit="1" topLeftCell="A2" activePane="bottomLeft" state="frozen"/>
      <selection pane="bottomLeft" activeCell="R8" sqref="R8"/>
    </sheetView>
  </sheetViews>
  <sheetFormatPr defaultColWidth="23" defaultRowHeight="15.75" x14ac:dyDescent="0.25"/>
  <cols>
    <col min="1" max="1" width="20.7109375" style="25" bestFit="1" customWidth="1"/>
    <col min="2" max="2" width="14.85546875" style="45" bestFit="1" customWidth="1"/>
    <col min="3" max="3" width="15.28515625" style="45" bestFit="1" customWidth="1"/>
    <col min="4" max="4" width="11.5703125" style="45" bestFit="1" customWidth="1"/>
    <col min="5" max="5" width="12.85546875" style="24" bestFit="1" customWidth="1"/>
    <col min="6" max="6" width="11.5703125" style="24" bestFit="1" customWidth="1"/>
    <col min="7" max="7" width="12.85546875" style="24" bestFit="1" customWidth="1"/>
    <col min="8" max="8" width="16.5703125" style="24" bestFit="1" customWidth="1"/>
    <col min="9" max="9" width="11.85546875" style="24" customWidth="1"/>
    <col min="10" max="10" width="11.5703125" style="24" bestFit="1" customWidth="1"/>
    <col min="11" max="11" width="10.28515625" style="24" bestFit="1" customWidth="1"/>
    <col min="12" max="12" width="11.5703125" style="24" bestFit="1" customWidth="1"/>
    <col min="13" max="13" width="10.28515625" style="24" bestFit="1" customWidth="1"/>
    <col min="14" max="17" width="11.5703125" style="24" bestFit="1" customWidth="1"/>
    <col min="18" max="18" width="12.85546875" style="24" bestFit="1" customWidth="1"/>
    <col min="19" max="19" width="9" style="24" bestFit="1" customWidth="1"/>
    <col min="20" max="20" width="4.7109375" style="24" bestFit="1" customWidth="1"/>
    <col min="21" max="21" width="10.28515625" style="24" bestFit="1" customWidth="1"/>
    <col min="22" max="22" width="11.5703125" style="24" bestFit="1" customWidth="1"/>
    <col min="23" max="23" width="9" style="24" bestFit="1" customWidth="1"/>
    <col min="24" max="24" width="10.7109375" style="24" bestFit="1" customWidth="1"/>
    <col min="25" max="25" width="12.28515625" style="24" customWidth="1"/>
    <col min="26" max="26" width="27.140625" style="26" bestFit="1" customWidth="1"/>
    <col min="27" max="27" width="26.85546875" style="26" bestFit="1" customWidth="1"/>
    <col min="28" max="16384" width="23" style="24"/>
  </cols>
  <sheetData>
    <row r="1" spans="1:27" ht="16.5" thickBot="1" x14ac:dyDescent="0.3">
      <c r="A1" s="6" t="s">
        <v>0</v>
      </c>
      <c r="B1" s="43" t="s">
        <v>54</v>
      </c>
      <c r="C1" s="46" t="s">
        <v>63</v>
      </c>
      <c r="D1" s="46" t="s">
        <v>16</v>
      </c>
      <c r="E1" s="3" t="s">
        <v>30</v>
      </c>
      <c r="F1" s="4" t="s">
        <v>25</v>
      </c>
      <c r="G1" s="3" t="s">
        <v>31</v>
      </c>
      <c r="H1" s="4" t="s">
        <v>25</v>
      </c>
      <c r="I1" s="3" t="s">
        <v>23</v>
      </c>
      <c r="J1" s="3" t="s">
        <v>32</v>
      </c>
      <c r="K1" s="4" t="s">
        <v>25</v>
      </c>
      <c r="L1" s="3" t="s">
        <v>33</v>
      </c>
      <c r="M1" s="4" t="s">
        <v>25</v>
      </c>
      <c r="N1" s="3" t="s">
        <v>34</v>
      </c>
      <c r="O1" s="4" t="s">
        <v>25</v>
      </c>
      <c r="P1" s="3" t="s">
        <v>35</v>
      </c>
      <c r="Q1" s="4" t="s">
        <v>25</v>
      </c>
      <c r="R1" s="3" t="s">
        <v>36</v>
      </c>
      <c r="S1" s="4" t="s">
        <v>25</v>
      </c>
      <c r="T1" s="3" t="s">
        <v>37</v>
      </c>
      <c r="U1" s="4" t="s">
        <v>25</v>
      </c>
      <c r="V1" s="3" t="s">
        <v>38</v>
      </c>
      <c r="W1" s="4" t="s">
        <v>25</v>
      </c>
      <c r="X1" s="3" t="s">
        <v>23</v>
      </c>
      <c r="Y1" s="3" t="s">
        <v>39</v>
      </c>
      <c r="Z1" s="23" t="s">
        <v>40</v>
      </c>
      <c r="AA1" s="23" t="s">
        <v>41</v>
      </c>
    </row>
    <row r="2" spans="1:27" ht="16.5" thickBot="1" x14ac:dyDescent="0.3">
      <c r="A2" s="10">
        <v>44530</v>
      </c>
      <c r="B2" s="43">
        <v>0</v>
      </c>
      <c r="C2" s="150">
        <v>19174</v>
      </c>
      <c r="D2" s="43">
        <v>0</v>
      </c>
      <c r="E2" s="151">
        <v>29003598</v>
      </c>
      <c r="F2" s="43">
        <v>0</v>
      </c>
      <c r="G2" s="152">
        <v>92139910</v>
      </c>
      <c r="H2" s="43">
        <v>0</v>
      </c>
      <c r="I2" s="21">
        <f>F2+H2</f>
        <v>0</v>
      </c>
      <c r="J2" s="151">
        <v>9100173</v>
      </c>
      <c r="K2" s="43">
        <v>0</v>
      </c>
      <c r="L2" s="154">
        <v>9052227</v>
      </c>
      <c r="M2" s="43">
        <v>0</v>
      </c>
      <c r="N2" s="151">
        <v>6133946</v>
      </c>
      <c r="O2" s="43">
        <v>0</v>
      </c>
      <c r="P2" s="154">
        <v>5618556</v>
      </c>
      <c r="Q2" s="43">
        <v>0</v>
      </c>
      <c r="R2" s="151">
        <v>19446426</v>
      </c>
      <c r="S2" s="43">
        <v>0</v>
      </c>
      <c r="T2" s="151">
        <v>0</v>
      </c>
      <c r="U2" s="11"/>
      <c r="V2" s="151">
        <v>7309228</v>
      </c>
      <c r="W2" s="43">
        <v>0</v>
      </c>
      <c r="X2" s="21">
        <f t="shared" ref="X2" si="0">K2+M2+O2+Q2+S2+U2+W2</f>
        <v>0</v>
      </c>
      <c r="Y2" s="156">
        <f t="shared" ref="Y2" si="1">I2-X2</f>
        <v>0</v>
      </c>
      <c r="Z2" s="3">
        <f t="shared" ref="Z2" si="2">(0.93352*(W2+S2)+0.5568*(Q2+O2))*0.26</f>
        <v>0</v>
      </c>
      <c r="AA2" s="3">
        <v>0</v>
      </c>
    </row>
    <row r="3" spans="1:27" ht="16.5" thickBot="1" x14ac:dyDescent="0.3">
      <c r="A3" s="10">
        <v>44531</v>
      </c>
      <c r="B3" s="43">
        <v>315</v>
      </c>
      <c r="C3" s="150">
        <v>19177</v>
      </c>
      <c r="D3" s="43">
        <f>IF((C3-C2)&lt;0,"0",(C3-C2))*160</f>
        <v>480</v>
      </c>
      <c r="E3" s="151">
        <v>29019181</v>
      </c>
      <c r="F3" s="43">
        <f>IF((E3-E2)&lt;0,"0",(E3-E2))</f>
        <v>15583</v>
      </c>
      <c r="G3" s="152">
        <v>92192657</v>
      </c>
      <c r="H3" s="43">
        <f>IF((G3-G2)&lt;0,"0",(G3-G2))</f>
        <v>52747</v>
      </c>
      <c r="I3" s="21">
        <f>F3+H3</f>
        <v>68330</v>
      </c>
      <c r="J3" s="151">
        <v>9106235</v>
      </c>
      <c r="K3" s="43">
        <f>(IF((J3-J2)&lt;L91,"0",(J3-J2)))*2</f>
        <v>12124</v>
      </c>
      <c r="L3" s="154">
        <v>9059538</v>
      </c>
      <c r="M3" s="43">
        <f>IF((L3-L2)&lt;0,"0",(L3-L2))</f>
        <v>7311</v>
      </c>
      <c r="N3" s="151">
        <v>6137976</v>
      </c>
      <c r="O3" s="43">
        <f>(IF((N3-N2)&lt;P91,"0",(N3-N2)))*2</f>
        <v>8060</v>
      </c>
      <c r="P3" s="154">
        <v>5627030</v>
      </c>
      <c r="Q3" s="43">
        <f>IF((P3-P2)&lt;0,"0",(P3-P2))</f>
        <v>8474</v>
      </c>
      <c r="R3" s="151">
        <v>19458004</v>
      </c>
      <c r="S3" s="43">
        <f>IF((R3-R2)&lt;0,"0",(R3-R2))</f>
        <v>11578</v>
      </c>
      <c r="T3" s="151">
        <v>0</v>
      </c>
      <c r="U3" s="155"/>
      <c r="V3" s="151">
        <v>7321916</v>
      </c>
      <c r="W3" s="43">
        <f>IF((V3-V2)&lt;0,"0",(V3-V2))</f>
        <v>12688</v>
      </c>
      <c r="X3" s="21">
        <f>K3+M3+O3+Q3+S3+U3+W3</f>
        <v>60235</v>
      </c>
      <c r="Y3" s="156">
        <f>I3-X3</f>
        <v>8095</v>
      </c>
      <c r="Z3" s="3">
        <f>(0.93352*(W3+S3)+0.5568*(Q3+O3))*0.26</f>
        <v>8283.3211552000012</v>
      </c>
      <c r="AA3" s="3">
        <f>SUM(Z1:Z3)</f>
        <v>8283.3211552000012</v>
      </c>
    </row>
    <row r="4" spans="1:27" ht="16.5" thickBot="1" x14ac:dyDescent="0.3">
      <c r="A4" s="10">
        <v>44532</v>
      </c>
      <c r="B4" s="43">
        <v>294</v>
      </c>
      <c r="C4" s="150">
        <v>19180</v>
      </c>
      <c r="D4" s="43">
        <f t="shared" ref="D4:D33" si="3">IF((C4-C3)&lt;0,"0",(C4-C3))*160</f>
        <v>480</v>
      </c>
      <c r="E4" s="151">
        <v>29037072</v>
      </c>
      <c r="F4" s="43">
        <f t="shared" ref="F4:F33" si="4">IF((E4-E3)&lt;0,"0",(E4-E3))</f>
        <v>17891</v>
      </c>
      <c r="G4" s="152">
        <v>92238218</v>
      </c>
      <c r="H4" s="43">
        <f t="shared" ref="H4:H33" si="5">IF((G4-G3)&lt;0,"0",(G4-G3))</f>
        <v>45561</v>
      </c>
      <c r="I4" s="153">
        <f t="shared" ref="I4:I31" si="6">F4+H4</f>
        <v>63452</v>
      </c>
      <c r="J4" s="151">
        <v>9112070</v>
      </c>
      <c r="K4" s="43">
        <f>(IF((J4-J3)&lt;L93,"0",(J4-J3)))*2</f>
        <v>11670</v>
      </c>
      <c r="L4" s="154">
        <v>9066500</v>
      </c>
      <c r="M4" s="43">
        <f t="shared" ref="M4:M33" si="7">IF((L4-L3)&lt;0,"0",(L4-L3))</f>
        <v>6962</v>
      </c>
      <c r="N4" s="151">
        <v>6143380</v>
      </c>
      <c r="O4" s="43">
        <f>(IF((N4-N3)&lt;P93,"0",(N4-N3)))*2</f>
        <v>10808</v>
      </c>
      <c r="P4" s="154">
        <v>5630172</v>
      </c>
      <c r="Q4" s="43">
        <f t="shared" ref="Q4:Q33" si="8">IF((P4-P3)&lt;0,"0",(P4-P3))</f>
        <v>3142</v>
      </c>
      <c r="R4" s="151">
        <v>19469500</v>
      </c>
      <c r="S4" s="43">
        <f t="shared" ref="S4:S33" si="9">IF((R4-R3)&lt;0,"0",(R4-R3))</f>
        <v>11496</v>
      </c>
      <c r="T4" s="151">
        <v>0</v>
      </c>
      <c r="U4" s="155"/>
      <c r="V4" s="151">
        <v>7333974</v>
      </c>
      <c r="W4" s="43">
        <f t="shared" ref="W4:W33" si="10">IF((V4-V3)&lt;0,"0",(V4-V3))</f>
        <v>12058</v>
      </c>
      <c r="X4" s="21">
        <f t="shared" ref="X4:X33" si="11">K4+M4+O4+Q4+S4+U4+W4</f>
        <v>56136</v>
      </c>
      <c r="Y4" s="156">
        <f t="shared" ref="Y4:Y33" si="12">I4-X4</f>
        <v>7316</v>
      </c>
      <c r="Z4" s="3">
        <f t="shared" ref="Z4:Z33" si="13">(0.93352*(W4+S4)+0.5568*(Q4+O4))*0.26</f>
        <v>7736.4274207999997</v>
      </c>
      <c r="AA4" s="3">
        <f>SUM(Z2:Z4)</f>
        <v>16019.748576000002</v>
      </c>
    </row>
    <row r="5" spans="1:27" ht="16.5" thickBot="1" x14ac:dyDescent="0.3">
      <c r="A5" s="10">
        <v>44533</v>
      </c>
      <c r="B5" s="43">
        <v>290</v>
      </c>
      <c r="C5" s="150">
        <v>19184</v>
      </c>
      <c r="D5" s="43">
        <f t="shared" si="3"/>
        <v>640</v>
      </c>
      <c r="E5" s="151">
        <v>29051907</v>
      </c>
      <c r="F5" s="43">
        <f t="shared" si="4"/>
        <v>14835</v>
      </c>
      <c r="G5" s="152">
        <v>92273424</v>
      </c>
      <c r="H5" s="43">
        <f t="shared" si="5"/>
        <v>35206</v>
      </c>
      <c r="I5" s="153">
        <f t="shared" si="6"/>
        <v>50041</v>
      </c>
      <c r="J5" s="151">
        <v>9116086</v>
      </c>
      <c r="K5" s="43">
        <f t="shared" ref="K5:K33" si="14">(IF((J5-J4)&lt;0,"0",(J5-J4)))*2</f>
        <v>8032</v>
      </c>
      <c r="L5" s="154">
        <v>9072657</v>
      </c>
      <c r="M5" s="43">
        <f t="shared" si="7"/>
        <v>6157</v>
      </c>
      <c r="N5" s="151">
        <v>6147612</v>
      </c>
      <c r="O5" s="43">
        <f t="shared" ref="O5:O33" si="15">(IF((N5-N4)&lt;0,"0",(N5-N4)))*2</f>
        <v>8464</v>
      </c>
      <c r="P5" s="154">
        <v>5632696</v>
      </c>
      <c r="Q5" s="43">
        <f t="shared" si="8"/>
        <v>2524</v>
      </c>
      <c r="R5" s="151">
        <v>19478167</v>
      </c>
      <c r="S5" s="43">
        <f t="shared" si="9"/>
        <v>8667</v>
      </c>
      <c r="T5" s="151">
        <v>0</v>
      </c>
      <c r="U5" s="155"/>
      <c r="V5" s="151">
        <v>7343500</v>
      </c>
      <c r="W5" s="43">
        <f t="shared" si="10"/>
        <v>9526</v>
      </c>
      <c r="X5" s="21">
        <f t="shared" si="11"/>
        <v>43370</v>
      </c>
      <c r="Y5" s="156">
        <f t="shared" si="12"/>
        <v>6671</v>
      </c>
      <c r="Z5" s="3">
        <f t="shared" si="13"/>
        <v>6006.4284176000001</v>
      </c>
      <c r="AA5" s="3">
        <f>SUM(Z3:Z5)</f>
        <v>22026.176993600002</v>
      </c>
    </row>
    <row r="6" spans="1:27" ht="16.5" thickBot="1" x14ac:dyDescent="0.3">
      <c r="A6" s="10">
        <v>44534</v>
      </c>
      <c r="B6" s="43">
        <v>237</v>
      </c>
      <c r="C6" s="150">
        <v>19186</v>
      </c>
      <c r="D6" s="43">
        <f t="shared" si="3"/>
        <v>320</v>
      </c>
      <c r="E6" s="151">
        <v>29066384</v>
      </c>
      <c r="F6" s="43">
        <f t="shared" si="4"/>
        <v>14477</v>
      </c>
      <c r="G6" s="152">
        <v>92311165</v>
      </c>
      <c r="H6" s="43">
        <f t="shared" si="5"/>
        <v>37741</v>
      </c>
      <c r="I6" s="153">
        <f t="shared" si="6"/>
        <v>52218</v>
      </c>
      <c r="J6" s="151">
        <v>9120009</v>
      </c>
      <c r="K6" s="43">
        <f t="shared" si="14"/>
        <v>7846</v>
      </c>
      <c r="L6" s="154">
        <v>9078228</v>
      </c>
      <c r="M6" s="43">
        <f t="shared" si="7"/>
        <v>5571</v>
      </c>
      <c r="N6" s="151">
        <v>6152008</v>
      </c>
      <c r="O6" s="43">
        <f t="shared" si="15"/>
        <v>8792</v>
      </c>
      <c r="P6" s="154">
        <v>5635556</v>
      </c>
      <c r="Q6" s="43">
        <f t="shared" si="8"/>
        <v>2860</v>
      </c>
      <c r="R6" s="151">
        <v>19487582</v>
      </c>
      <c r="S6" s="43">
        <f t="shared" si="9"/>
        <v>9415</v>
      </c>
      <c r="T6" s="151">
        <v>0</v>
      </c>
      <c r="U6" s="155"/>
      <c r="V6" s="151">
        <v>7353870</v>
      </c>
      <c r="W6" s="43">
        <f t="shared" si="10"/>
        <v>10370</v>
      </c>
      <c r="X6" s="21">
        <f t="shared" si="11"/>
        <v>44854</v>
      </c>
      <c r="Y6" s="156">
        <f t="shared" si="12"/>
        <v>7364</v>
      </c>
      <c r="Z6" s="3">
        <f t="shared" si="13"/>
        <v>6488.9569680000004</v>
      </c>
      <c r="AA6" s="3">
        <f>SUM(Z4:Z6)</f>
        <v>20231.812806399997</v>
      </c>
    </row>
    <row r="7" spans="1:27" ht="16.5" thickBot="1" x14ac:dyDescent="0.3">
      <c r="A7" s="10">
        <v>44535</v>
      </c>
      <c r="B7" s="43">
        <v>236</v>
      </c>
      <c r="C7" s="150">
        <v>19191</v>
      </c>
      <c r="D7" s="43">
        <f t="shared" si="3"/>
        <v>800</v>
      </c>
      <c r="E7" s="151">
        <v>29080907</v>
      </c>
      <c r="F7" s="43">
        <f t="shared" si="4"/>
        <v>14523</v>
      </c>
      <c r="G7" s="152">
        <v>92346460</v>
      </c>
      <c r="H7" s="43">
        <f t="shared" si="5"/>
        <v>35295</v>
      </c>
      <c r="I7" s="153">
        <f t="shared" si="6"/>
        <v>49818</v>
      </c>
      <c r="J7" s="151">
        <v>9124075</v>
      </c>
      <c r="K7" s="43">
        <f t="shared" si="14"/>
        <v>8132</v>
      </c>
      <c r="L7" s="154">
        <v>9084642</v>
      </c>
      <c r="M7" s="43">
        <f t="shared" si="7"/>
        <v>6414</v>
      </c>
      <c r="N7" s="151">
        <v>6155986</v>
      </c>
      <c r="O7" s="43">
        <f t="shared" si="15"/>
        <v>7956</v>
      </c>
      <c r="P7" s="154">
        <v>5638086</v>
      </c>
      <c r="Q7" s="43">
        <f t="shared" si="8"/>
        <v>2530</v>
      </c>
      <c r="R7" s="151">
        <v>19496344</v>
      </c>
      <c r="S7" s="43">
        <f t="shared" si="9"/>
        <v>8762</v>
      </c>
      <c r="T7" s="151">
        <v>0</v>
      </c>
      <c r="U7" s="155"/>
      <c r="V7" s="151">
        <v>7363426</v>
      </c>
      <c r="W7" s="43">
        <f t="shared" si="10"/>
        <v>9556</v>
      </c>
      <c r="X7" s="21">
        <f t="shared" si="11"/>
        <v>43350</v>
      </c>
      <c r="Y7" s="156">
        <f t="shared" si="12"/>
        <v>6468</v>
      </c>
      <c r="Z7" s="3">
        <f t="shared" si="13"/>
        <v>5964.0942815999997</v>
      </c>
      <c r="AA7" s="3">
        <f t="shared" ref="AA7:AA33" si="16">SUM(Z4:Z7)</f>
        <v>26195.907087999996</v>
      </c>
    </row>
    <row r="8" spans="1:27" ht="16.5" thickBot="1" x14ac:dyDescent="0.3">
      <c r="A8" s="10">
        <v>44536</v>
      </c>
      <c r="B8" s="43">
        <v>263</v>
      </c>
      <c r="C8" s="150">
        <v>19194</v>
      </c>
      <c r="D8" s="43">
        <f t="shared" si="3"/>
        <v>480</v>
      </c>
      <c r="E8" s="151">
        <v>29100601</v>
      </c>
      <c r="F8" s="43">
        <f t="shared" si="4"/>
        <v>19694</v>
      </c>
      <c r="G8" s="152">
        <v>92393893</v>
      </c>
      <c r="H8" s="43">
        <f t="shared" si="5"/>
        <v>47433</v>
      </c>
      <c r="I8" s="153">
        <f t="shared" si="6"/>
        <v>67127</v>
      </c>
      <c r="J8" s="151">
        <v>9129584</v>
      </c>
      <c r="K8" s="43">
        <f t="shared" si="14"/>
        <v>11018</v>
      </c>
      <c r="L8" s="154">
        <v>9093228</v>
      </c>
      <c r="M8" s="43">
        <f t="shared" si="7"/>
        <v>8586</v>
      </c>
      <c r="N8" s="151">
        <v>6161446</v>
      </c>
      <c r="O8" s="43">
        <f t="shared" si="15"/>
        <v>10920</v>
      </c>
      <c r="P8" s="154">
        <v>5641354</v>
      </c>
      <c r="Q8" s="43">
        <f t="shared" si="8"/>
        <v>3268</v>
      </c>
      <c r="R8" s="151">
        <v>19508045</v>
      </c>
      <c r="S8" s="43">
        <f t="shared" si="9"/>
        <v>11701</v>
      </c>
      <c r="T8" s="151">
        <v>0</v>
      </c>
      <c r="U8" s="155"/>
      <c r="V8" s="151">
        <v>7376324</v>
      </c>
      <c r="W8" s="43">
        <f t="shared" si="10"/>
        <v>12898</v>
      </c>
      <c r="X8" s="21">
        <f t="shared" si="11"/>
        <v>58391</v>
      </c>
      <c r="Y8" s="156">
        <f t="shared" si="12"/>
        <v>8736</v>
      </c>
      <c r="Z8" s="3">
        <f t="shared" si="13"/>
        <v>8024.5195887999998</v>
      </c>
      <c r="AA8" s="3">
        <f t="shared" si="16"/>
        <v>26483.999256000003</v>
      </c>
    </row>
    <row r="9" spans="1:27" ht="16.5" thickBot="1" x14ac:dyDescent="0.3">
      <c r="A9" s="10">
        <v>44537</v>
      </c>
      <c r="B9" s="43">
        <v>0</v>
      </c>
      <c r="C9" s="150">
        <f t="shared" ref="C8:C33" si="17">C8</f>
        <v>19194</v>
      </c>
      <c r="D9" s="43">
        <f t="shared" si="3"/>
        <v>0</v>
      </c>
      <c r="E9" s="151">
        <f t="shared" ref="E8:E33" si="18">E8</f>
        <v>29100601</v>
      </c>
      <c r="F9" s="43">
        <f t="shared" si="4"/>
        <v>0</v>
      </c>
      <c r="G9" s="152">
        <f t="shared" ref="G8:G33" si="19">G8</f>
        <v>92393893</v>
      </c>
      <c r="H9" s="43">
        <f t="shared" si="5"/>
        <v>0</v>
      </c>
      <c r="I9" s="153">
        <f t="shared" si="6"/>
        <v>0</v>
      </c>
      <c r="J9" s="151">
        <f t="shared" ref="J8:J33" si="20">J8</f>
        <v>9129584</v>
      </c>
      <c r="K9" s="43">
        <f t="shared" si="14"/>
        <v>0</v>
      </c>
      <c r="L9" s="154">
        <f t="shared" ref="L8:L33" si="21">L8</f>
        <v>9093228</v>
      </c>
      <c r="M9" s="43">
        <f t="shared" si="7"/>
        <v>0</v>
      </c>
      <c r="N9" s="151">
        <f t="shared" ref="N8:N33" si="22">N8</f>
        <v>6161446</v>
      </c>
      <c r="O9" s="43">
        <f t="shared" si="15"/>
        <v>0</v>
      </c>
      <c r="P9" s="154">
        <f t="shared" ref="P8:P33" si="23">P8</f>
        <v>5641354</v>
      </c>
      <c r="Q9" s="43">
        <f t="shared" si="8"/>
        <v>0</v>
      </c>
      <c r="R9" s="151">
        <f t="shared" ref="R8:R33" si="24">R8</f>
        <v>19508045</v>
      </c>
      <c r="S9" s="43">
        <f t="shared" si="9"/>
        <v>0</v>
      </c>
      <c r="T9" s="151">
        <v>0</v>
      </c>
      <c r="U9" s="155"/>
      <c r="V9" s="151">
        <f t="shared" ref="V8:V33" si="25">V8</f>
        <v>7376324</v>
      </c>
      <c r="W9" s="43">
        <f t="shared" si="10"/>
        <v>0</v>
      </c>
      <c r="X9" s="21">
        <f t="shared" si="11"/>
        <v>0</v>
      </c>
      <c r="Y9" s="156">
        <f t="shared" si="12"/>
        <v>0</v>
      </c>
      <c r="Z9" s="3">
        <f t="shared" si="13"/>
        <v>0</v>
      </c>
      <c r="AA9" s="3">
        <f t="shared" si="16"/>
        <v>20477.570838400003</v>
      </c>
    </row>
    <row r="10" spans="1:27" ht="16.5" thickBot="1" x14ac:dyDescent="0.3">
      <c r="A10" s="10">
        <v>44538</v>
      </c>
      <c r="B10" s="43">
        <v>0</v>
      </c>
      <c r="C10" s="150">
        <f t="shared" si="17"/>
        <v>19194</v>
      </c>
      <c r="D10" s="43">
        <f t="shared" si="3"/>
        <v>0</v>
      </c>
      <c r="E10" s="151">
        <f t="shared" si="18"/>
        <v>29100601</v>
      </c>
      <c r="F10" s="43">
        <f t="shared" si="4"/>
        <v>0</v>
      </c>
      <c r="G10" s="152">
        <f t="shared" si="19"/>
        <v>92393893</v>
      </c>
      <c r="H10" s="43">
        <f t="shared" si="5"/>
        <v>0</v>
      </c>
      <c r="I10" s="153">
        <f t="shared" si="6"/>
        <v>0</v>
      </c>
      <c r="J10" s="151">
        <f t="shared" si="20"/>
        <v>9129584</v>
      </c>
      <c r="K10" s="43">
        <f t="shared" si="14"/>
        <v>0</v>
      </c>
      <c r="L10" s="154">
        <f t="shared" si="21"/>
        <v>9093228</v>
      </c>
      <c r="M10" s="43">
        <f t="shared" si="7"/>
        <v>0</v>
      </c>
      <c r="N10" s="151">
        <f t="shared" si="22"/>
        <v>6161446</v>
      </c>
      <c r="O10" s="43">
        <f t="shared" si="15"/>
        <v>0</v>
      </c>
      <c r="P10" s="154">
        <f t="shared" si="23"/>
        <v>5641354</v>
      </c>
      <c r="Q10" s="43">
        <f t="shared" si="8"/>
        <v>0</v>
      </c>
      <c r="R10" s="151">
        <f t="shared" si="24"/>
        <v>19508045</v>
      </c>
      <c r="S10" s="43">
        <f t="shared" si="9"/>
        <v>0</v>
      </c>
      <c r="T10" s="151">
        <v>0</v>
      </c>
      <c r="U10" s="155"/>
      <c r="V10" s="151">
        <f t="shared" si="25"/>
        <v>7376324</v>
      </c>
      <c r="W10" s="43">
        <f t="shared" si="10"/>
        <v>0</v>
      </c>
      <c r="X10" s="21">
        <f t="shared" si="11"/>
        <v>0</v>
      </c>
      <c r="Y10" s="156">
        <f t="shared" si="12"/>
        <v>0</v>
      </c>
      <c r="Z10" s="3">
        <f t="shared" si="13"/>
        <v>0</v>
      </c>
      <c r="AA10" s="3">
        <f t="shared" si="16"/>
        <v>13988.6138704</v>
      </c>
    </row>
    <row r="11" spans="1:27" ht="15.75" customHeight="1" thickBot="1" x14ac:dyDescent="0.3">
      <c r="A11" s="10">
        <v>44539</v>
      </c>
      <c r="B11" s="43">
        <v>0</v>
      </c>
      <c r="C11" s="150">
        <f t="shared" si="17"/>
        <v>19194</v>
      </c>
      <c r="D11" s="43">
        <f t="shared" si="3"/>
        <v>0</v>
      </c>
      <c r="E11" s="151">
        <f t="shared" si="18"/>
        <v>29100601</v>
      </c>
      <c r="F11" s="43">
        <f t="shared" si="4"/>
        <v>0</v>
      </c>
      <c r="G11" s="152">
        <f t="shared" si="19"/>
        <v>92393893</v>
      </c>
      <c r="H11" s="43">
        <f t="shared" si="5"/>
        <v>0</v>
      </c>
      <c r="I11" s="153">
        <f t="shared" si="6"/>
        <v>0</v>
      </c>
      <c r="J11" s="151">
        <f t="shared" si="20"/>
        <v>9129584</v>
      </c>
      <c r="K11" s="43">
        <f t="shared" si="14"/>
        <v>0</v>
      </c>
      <c r="L11" s="154">
        <f t="shared" si="21"/>
        <v>9093228</v>
      </c>
      <c r="M11" s="43">
        <f t="shared" si="7"/>
        <v>0</v>
      </c>
      <c r="N11" s="151">
        <f t="shared" si="22"/>
        <v>6161446</v>
      </c>
      <c r="O11" s="43">
        <f t="shared" si="15"/>
        <v>0</v>
      </c>
      <c r="P11" s="154">
        <f t="shared" si="23"/>
        <v>5641354</v>
      </c>
      <c r="Q11" s="43">
        <f t="shared" si="8"/>
        <v>0</v>
      </c>
      <c r="R11" s="151">
        <f t="shared" si="24"/>
        <v>19508045</v>
      </c>
      <c r="S11" s="43">
        <f t="shared" si="9"/>
        <v>0</v>
      </c>
      <c r="T11" s="151">
        <v>0</v>
      </c>
      <c r="U11" s="155"/>
      <c r="V11" s="151">
        <f t="shared" si="25"/>
        <v>7376324</v>
      </c>
      <c r="W11" s="43">
        <f t="shared" si="10"/>
        <v>0</v>
      </c>
      <c r="X11" s="21">
        <f t="shared" si="11"/>
        <v>0</v>
      </c>
      <c r="Y11" s="156">
        <f t="shared" si="12"/>
        <v>0</v>
      </c>
      <c r="Z11" s="3">
        <f t="shared" si="13"/>
        <v>0</v>
      </c>
      <c r="AA11" s="3">
        <f t="shared" si="16"/>
        <v>8024.5195887999998</v>
      </c>
    </row>
    <row r="12" spans="1:27" ht="16.5" thickBot="1" x14ac:dyDescent="0.3">
      <c r="A12" s="10">
        <v>44540</v>
      </c>
      <c r="B12" s="43">
        <v>0</v>
      </c>
      <c r="C12" s="150">
        <f t="shared" si="17"/>
        <v>19194</v>
      </c>
      <c r="D12" s="43">
        <f t="shared" si="3"/>
        <v>0</v>
      </c>
      <c r="E12" s="151">
        <f t="shared" si="18"/>
        <v>29100601</v>
      </c>
      <c r="F12" s="43">
        <f t="shared" si="4"/>
        <v>0</v>
      </c>
      <c r="G12" s="152">
        <f t="shared" si="19"/>
        <v>92393893</v>
      </c>
      <c r="H12" s="43">
        <f t="shared" si="5"/>
        <v>0</v>
      </c>
      <c r="I12" s="153">
        <f t="shared" si="6"/>
        <v>0</v>
      </c>
      <c r="J12" s="151">
        <f t="shared" si="20"/>
        <v>9129584</v>
      </c>
      <c r="K12" s="43">
        <f t="shared" si="14"/>
        <v>0</v>
      </c>
      <c r="L12" s="154">
        <f t="shared" si="21"/>
        <v>9093228</v>
      </c>
      <c r="M12" s="43">
        <f t="shared" si="7"/>
        <v>0</v>
      </c>
      <c r="N12" s="151">
        <f t="shared" si="22"/>
        <v>6161446</v>
      </c>
      <c r="O12" s="43">
        <f t="shared" si="15"/>
        <v>0</v>
      </c>
      <c r="P12" s="154">
        <f t="shared" si="23"/>
        <v>5641354</v>
      </c>
      <c r="Q12" s="43">
        <f t="shared" si="8"/>
        <v>0</v>
      </c>
      <c r="R12" s="151">
        <f t="shared" si="24"/>
        <v>19508045</v>
      </c>
      <c r="S12" s="43">
        <f t="shared" si="9"/>
        <v>0</v>
      </c>
      <c r="T12" s="151">
        <v>0</v>
      </c>
      <c r="U12" s="155"/>
      <c r="V12" s="151">
        <f t="shared" si="25"/>
        <v>7376324</v>
      </c>
      <c r="W12" s="43">
        <f t="shared" si="10"/>
        <v>0</v>
      </c>
      <c r="X12" s="21">
        <f t="shared" si="11"/>
        <v>0</v>
      </c>
      <c r="Y12" s="156">
        <f t="shared" si="12"/>
        <v>0</v>
      </c>
      <c r="Z12" s="3">
        <f t="shared" si="13"/>
        <v>0</v>
      </c>
      <c r="AA12" s="3">
        <f t="shared" si="16"/>
        <v>0</v>
      </c>
    </row>
    <row r="13" spans="1:27" ht="16.5" thickBot="1" x14ac:dyDescent="0.3">
      <c r="A13" s="10">
        <v>44541</v>
      </c>
      <c r="B13" s="43">
        <v>0</v>
      </c>
      <c r="C13" s="150">
        <f t="shared" si="17"/>
        <v>19194</v>
      </c>
      <c r="D13" s="43">
        <f t="shared" si="3"/>
        <v>0</v>
      </c>
      <c r="E13" s="151">
        <f t="shared" si="18"/>
        <v>29100601</v>
      </c>
      <c r="F13" s="43">
        <f t="shared" ref="F13" si="26">IF((E13-E12)&lt;0,"0",(E13-E12))</f>
        <v>0</v>
      </c>
      <c r="G13" s="152">
        <f t="shared" si="19"/>
        <v>92393893</v>
      </c>
      <c r="H13" s="43">
        <f t="shared" ref="H13" si="27">IF((G13-G12)&lt;0,"0",(G13-G12))</f>
        <v>0</v>
      </c>
      <c r="I13" s="153">
        <f t="shared" ref="I13" si="28">F13+H13</f>
        <v>0</v>
      </c>
      <c r="J13" s="151">
        <f t="shared" si="20"/>
        <v>9129584</v>
      </c>
      <c r="K13" s="43">
        <f t="shared" si="14"/>
        <v>0</v>
      </c>
      <c r="L13" s="154">
        <f t="shared" si="21"/>
        <v>9093228</v>
      </c>
      <c r="M13" s="43">
        <f t="shared" ref="M13" si="29">IF((L13-L12)&lt;0,"0",(L13-L12))</f>
        <v>0</v>
      </c>
      <c r="N13" s="151">
        <f t="shared" si="22"/>
        <v>6161446</v>
      </c>
      <c r="O13" s="43">
        <f t="shared" ref="O13" si="30">(IF((N13-N12)&lt;0,"0",(N13-N12)))*2</f>
        <v>0</v>
      </c>
      <c r="P13" s="154">
        <f t="shared" si="23"/>
        <v>5641354</v>
      </c>
      <c r="Q13" s="43">
        <f t="shared" ref="Q13" si="31">IF((P13-P12)&lt;0,"0",(P13-P12))</f>
        <v>0</v>
      </c>
      <c r="R13" s="151">
        <f t="shared" si="24"/>
        <v>19508045</v>
      </c>
      <c r="S13" s="43">
        <f t="shared" ref="S13" si="32">IF((R13-R12)&lt;0,"0",(R13-R12))</f>
        <v>0</v>
      </c>
      <c r="T13" s="151">
        <v>0</v>
      </c>
      <c r="U13" s="155"/>
      <c r="V13" s="151">
        <f t="shared" si="25"/>
        <v>7376324</v>
      </c>
      <c r="W13" s="43">
        <f t="shared" ref="W13" si="33">IF((V13-V12)&lt;0,"0",(V13-V12))</f>
        <v>0</v>
      </c>
      <c r="X13" s="21">
        <f t="shared" ref="X13" si="34">K13+M13+O13+Q13+S13+U13+W13</f>
        <v>0</v>
      </c>
      <c r="Y13" s="156">
        <f t="shared" ref="Y13" si="35">I13-X13</f>
        <v>0</v>
      </c>
      <c r="Z13" s="3">
        <f t="shared" ref="Z13" si="36">(0.93352*(W13+S13)+0.5568*(Q13+O13))*0.26</f>
        <v>0</v>
      </c>
      <c r="AA13" s="3">
        <f t="shared" ref="AA13" si="37">SUM(Z10:Z13)</f>
        <v>0</v>
      </c>
    </row>
    <row r="14" spans="1:27" ht="16.5" thickBot="1" x14ac:dyDescent="0.3">
      <c r="A14" s="10">
        <v>44542</v>
      </c>
      <c r="B14" s="43">
        <v>0</v>
      </c>
      <c r="C14" s="150">
        <f t="shared" si="17"/>
        <v>19194</v>
      </c>
      <c r="D14" s="43">
        <f t="shared" si="3"/>
        <v>0</v>
      </c>
      <c r="E14" s="151">
        <f t="shared" si="18"/>
        <v>29100601</v>
      </c>
      <c r="F14" s="43">
        <f t="shared" si="4"/>
        <v>0</v>
      </c>
      <c r="G14" s="152">
        <f t="shared" si="19"/>
        <v>92393893</v>
      </c>
      <c r="H14" s="43">
        <f t="shared" si="5"/>
        <v>0</v>
      </c>
      <c r="I14" s="153">
        <f t="shared" si="6"/>
        <v>0</v>
      </c>
      <c r="J14" s="151">
        <f t="shared" si="20"/>
        <v>9129584</v>
      </c>
      <c r="K14" s="43">
        <f t="shared" si="14"/>
        <v>0</v>
      </c>
      <c r="L14" s="154">
        <f t="shared" si="21"/>
        <v>9093228</v>
      </c>
      <c r="M14" s="43">
        <f t="shared" si="7"/>
        <v>0</v>
      </c>
      <c r="N14" s="151">
        <f t="shared" si="22"/>
        <v>6161446</v>
      </c>
      <c r="O14" s="43">
        <f t="shared" si="15"/>
        <v>0</v>
      </c>
      <c r="P14" s="154">
        <f t="shared" si="23"/>
        <v>5641354</v>
      </c>
      <c r="Q14" s="43">
        <f t="shared" si="8"/>
        <v>0</v>
      </c>
      <c r="R14" s="151">
        <f t="shared" si="24"/>
        <v>19508045</v>
      </c>
      <c r="S14" s="43">
        <f>IF((R14-R13)&lt;0,"0",(R14-R13))</f>
        <v>0</v>
      </c>
      <c r="T14" s="151">
        <v>0</v>
      </c>
      <c r="U14" s="155"/>
      <c r="V14" s="151">
        <f t="shared" si="25"/>
        <v>7376324</v>
      </c>
      <c r="W14" s="43">
        <f t="shared" si="10"/>
        <v>0</v>
      </c>
      <c r="X14" s="21">
        <f t="shared" si="11"/>
        <v>0</v>
      </c>
      <c r="Y14" s="156">
        <f t="shared" si="12"/>
        <v>0</v>
      </c>
      <c r="Z14" s="3">
        <f t="shared" si="13"/>
        <v>0</v>
      </c>
      <c r="AA14" s="3">
        <f t="shared" si="16"/>
        <v>0</v>
      </c>
    </row>
    <row r="15" spans="1:27" ht="16.5" thickBot="1" x14ac:dyDescent="0.3">
      <c r="A15" s="10">
        <v>44543</v>
      </c>
      <c r="B15" s="43">
        <v>0</v>
      </c>
      <c r="C15" s="150">
        <f t="shared" si="17"/>
        <v>19194</v>
      </c>
      <c r="D15" s="43">
        <f t="shared" si="3"/>
        <v>0</v>
      </c>
      <c r="E15" s="151">
        <f t="shared" si="18"/>
        <v>29100601</v>
      </c>
      <c r="F15" s="43">
        <f t="shared" si="4"/>
        <v>0</v>
      </c>
      <c r="G15" s="152">
        <f t="shared" si="19"/>
        <v>92393893</v>
      </c>
      <c r="H15" s="43">
        <f t="shared" si="5"/>
        <v>0</v>
      </c>
      <c r="I15" s="153">
        <f t="shared" si="6"/>
        <v>0</v>
      </c>
      <c r="J15" s="151">
        <f t="shared" si="20"/>
        <v>9129584</v>
      </c>
      <c r="K15" s="43">
        <f t="shared" si="14"/>
        <v>0</v>
      </c>
      <c r="L15" s="154">
        <f t="shared" si="21"/>
        <v>9093228</v>
      </c>
      <c r="M15" s="43">
        <f t="shared" si="7"/>
        <v>0</v>
      </c>
      <c r="N15" s="151">
        <f t="shared" si="22"/>
        <v>6161446</v>
      </c>
      <c r="O15" s="43">
        <f t="shared" si="15"/>
        <v>0</v>
      </c>
      <c r="P15" s="154">
        <f t="shared" si="23"/>
        <v>5641354</v>
      </c>
      <c r="Q15" s="43">
        <f t="shared" si="8"/>
        <v>0</v>
      </c>
      <c r="R15" s="151">
        <f t="shared" si="24"/>
        <v>19508045</v>
      </c>
      <c r="S15" s="43">
        <f>IF((R15-R14)&lt;0,"0",(R15-R14))</f>
        <v>0</v>
      </c>
      <c r="T15" s="151">
        <v>0</v>
      </c>
      <c r="U15" s="155"/>
      <c r="V15" s="151">
        <f t="shared" si="25"/>
        <v>7376324</v>
      </c>
      <c r="W15" s="43">
        <f t="shared" si="10"/>
        <v>0</v>
      </c>
      <c r="X15" s="21">
        <f t="shared" si="11"/>
        <v>0</v>
      </c>
      <c r="Y15" s="156">
        <f t="shared" si="12"/>
        <v>0</v>
      </c>
      <c r="Z15" s="3">
        <f t="shared" si="13"/>
        <v>0</v>
      </c>
      <c r="AA15" s="3">
        <f t="shared" si="16"/>
        <v>0</v>
      </c>
    </row>
    <row r="16" spans="1:27" ht="16.5" thickBot="1" x14ac:dyDescent="0.3">
      <c r="A16" s="10">
        <v>44544</v>
      </c>
      <c r="B16" s="43">
        <v>0</v>
      </c>
      <c r="C16" s="150">
        <f t="shared" si="17"/>
        <v>19194</v>
      </c>
      <c r="D16" s="43">
        <f t="shared" si="3"/>
        <v>0</v>
      </c>
      <c r="E16" s="151">
        <f t="shared" si="18"/>
        <v>29100601</v>
      </c>
      <c r="F16" s="43">
        <f t="shared" si="4"/>
        <v>0</v>
      </c>
      <c r="G16" s="152">
        <f t="shared" si="19"/>
        <v>92393893</v>
      </c>
      <c r="H16" s="43">
        <f t="shared" si="5"/>
        <v>0</v>
      </c>
      <c r="I16" s="153">
        <f t="shared" si="6"/>
        <v>0</v>
      </c>
      <c r="J16" s="151">
        <f t="shared" si="20"/>
        <v>9129584</v>
      </c>
      <c r="K16" s="43">
        <f t="shared" si="14"/>
        <v>0</v>
      </c>
      <c r="L16" s="154">
        <f t="shared" si="21"/>
        <v>9093228</v>
      </c>
      <c r="M16" s="43">
        <f t="shared" si="7"/>
        <v>0</v>
      </c>
      <c r="N16" s="151">
        <f t="shared" si="22"/>
        <v>6161446</v>
      </c>
      <c r="O16" s="43">
        <f t="shared" si="15"/>
        <v>0</v>
      </c>
      <c r="P16" s="154">
        <f t="shared" si="23"/>
        <v>5641354</v>
      </c>
      <c r="Q16" s="43">
        <f t="shared" si="8"/>
        <v>0</v>
      </c>
      <c r="R16" s="151">
        <f t="shared" si="24"/>
        <v>19508045</v>
      </c>
      <c r="S16" s="43">
        <f t="shared" si="9"/>
        <v>0</v>
      </c>
      <c r="T16" s="151">
        <v>0</v>
      </c>
      <c r="U16" s="155"/>
      <c r="V16" s="151">
        <f t="shared" si="25"/>
        <v>7376324</v>
      </c>
      <c r="W16" s="43">
        <f t="shared" si="10"/>
        <v>0</v>
      </c>
      <c r="X16" s="21">
        <f t="shared" si="11"/>
        <v>0</v>
      </c>
      <c r="Y16" s="156">
        <f t="shared" si="12"/>
        <v>0</v>
      </c>
      <c r="Z16" s="3">
        <f t="shared" si="13"/>
        <v>0</v>
      </c>
      <c r="AA16" s="3">
        <f t="shared" si="16"/>
        <v>0</v>
      </c>
    </row>
    <row r="17" spans="1:27" s="135" customFormat="1" ht="16.5" thickBot="1" x14ac:dyDescent="0.3">
      <c r="A17" s="10">
        <v>44545</v>
      </c>
      <c r="B17" s="43">
        <v>0</v>
      </c>
      <c r="C17" s="150">
        <f t="shared" si="17"/>
        <v>19194</v>
      </c>
      <c r="D17" s="43">
        <f t="shared" si="3"/>
        <v>0</v>
      </c>
      <c r="E17" s="151">
        <f t="shared" si="18"/>
        <v>29100601</v>
      </c>
      <c r="F17" s="43">
        <f t="shared" si="4"/>
        <v>0</v>
      </c>
      <c r="G17" s="152">
        <f t="shared" si="19"/>
        <v>92393893</v>
      </c>
      <c r="H17" s="43">
        <f t="shared" si="5"/>
        <v>0</v>
      </c>
      <c r="I17" s="157">
        <f t="shared" si="6"/>
        <v>0</v>
      </c>
      <c r="J17" s="151">
        <f t="shared" si="20"/>
        <v>9129584</v>
      </c>
      <c r="K17" s="134">
        <f t="shared" si="14"/>
        <v>0</v>
      </c>
      <c r="L17" s="154">
        <f t="shared" si="21"/>
        <v>9093228</v>
      </c>
      <c r="M17" s="134">
        <f t="shared" si="7"/>
        <v>0</v>
      </c>
      <c r="N17" s="151">
        <f t="shared" si="22"/>
        <v>6161446</v>
      </c>
      <c r="O17" s="134">
        <f t="shared" si="15"/>
        <v>0</v>
      </c>
      <c r="P17" s="154">
        <f t="shared" si="23"/>
        <v>5641354</v>
      </c>
      <c r="Q17" s="134">
        <f t="shared" si="8"/>
        <v>0</v>
      </c>
      <c r="R17" s="151">
        <f t="shared" si="24"/>
        <v>19508045</v>
      </c>
      <c r="S17" s="134">
        <f t="shared" si="9"/>
        <v>0</v>
      </c>
      <c r="T17" s="158">
        <v>0</v>
      </c>
      <c r="U17" s="155"/>
      <c r="V17" s="151">
        <f t="shared" si="25"/>
        <v>7376324</v>
      </c>
      <c r="W17" s="134">
        <f t="shared" si="10"/>
        <v>0</v>
      </c>
      <c r="X17" s="21">
        <f t="shared" si="11"/>
        <v>0</v>
      </c>
      <c r="Y17" s="159">
        <f t="shared" si="12"/>
        <v>0</v>
      </c>
      <c r="Z17" s="160">
        <f t="shared" si="13"/>
        <v>0</v>
      </c>
      <c r="AA17" s="160">
        <f t="shared" si="16"/>
        <v>0</v>
      </c>
    </row>
    <row r="18" spans="1:27" s="135" customFormat="1" ht="16.5" thickBot="1" x14ac:dyDescent="0.3">
      <c r="A18" s="10">
        <v>44546</v>
      </c>
      <c r="B18" s="43">
        <v>0</v>
      </c>
      <c r="C18" s="150">
        <f t="shared" si="17"/>
        <v>19194</v>
      </c>
      <c r="D18" s="43">
        <f t="shared" si="3"/>
        <v>0</v>
      </c>
      <c r="E18" s="151">
        <f t="shared" si="18"/>
        <v>29100601</v>
      </c>
      <c r="F18" s="43">
        <f t="shared" si="4"/>
        <v>0</v>
      </c>
      <c r="G18" s="152">
        <f t="shared" si="19"/>
        <v>92393893</v>
      </c>
      <c r="H18" s="43">
        <f t="shared" si="5"/>
        <v>0</v>
      </c>
      <c r="I18" s="157">
        <f t="shared" si="6"/>
        <v>0</v>
      </c>
      <c r="J18" s="151">
        <f t="shared" si="20"/>
        <v>9129584</v>
      </c>
      <c r="K18" s="134">
        <f t="shared" si="14"/>
        <v>0</v>
      </c>
      <c r="L18" s="154">
        <f t="shared" si="21"/>
        <v>9093228</v>
      </c>
      <c r="M18" s="134">
        <f t="shared" si="7"/>
        <v>0</v>
      </c>
      <c r="N18" s="151">
        <f t="shared" si="22"/>
        <v>6161446</v>
      </c>
      <c r="O18" s="134">
        <f t="shared" si="15"/>
        <v>0</v>
      </c>
      <c r="P18" s="154">
        <f t="shared" si="23"/>
        <v>5641354</v>
      </c>
      <c r="Q18" s="134">
        <f t="shared" si="8"/>
        <v>0</v>
      </c>
      <c r="R18" s="151">
        <f t="shared" si="24"/>
        <v>19508045</v>
      </c>
      <c r="S18" s="134">
        <f t="shared" si="9"/>
        <v>0</v>
      </c>
      <c r="T18" s="158">
        <v>0</v>
      </c>
      <c r="U18" s="155"/>
      <c r="V18" s="151">
        <f t="shared" si="25"/>
        <v>7376324</v>
      </c>
      <c r="W18" s="134">
        <f t="shared" si="10"/>
        <v>0</v>
      </c>
      <c r="X18" s="21">
        <f t="shared" si="11"/>
        <v>0</v>
      </c>
      <c r="Y18" s="159">
        <f t="shared" si="12"/>
        <v>0</v>
      </c>
      <c r="Z18" s="160">
        <f t="shared" si="13"/>
        <v>0</v>
      </c>
      <c r="AA18" s="160">
        <f t="shared" si="16"/>
        <v>0</v>
      </c>
    </row>
    <row r="19" spans="1:27" s="135" customFormat="1" ht="16.5" thickBot="1" x14ac:dyDescent="0.3">
      <c r="A19" s="10">
        <v>44547</v>
      </c>
      <c r="B19" s="43">
        <v>0</v>
      </c>
      <c r="C19" s="150">
        <f t="shared" si="17"/>
        <v>19194</v>
      </c>
      <c r="D19" s="43">
        <f t="shared" si="3"/>
        <v>0</v>
      </c>
      <c r="E19" s="151">
        <f t="shared" si="18"/>
        <v>29100601</v>
      </c>
      <c r="F19" s="43">
        <f t="shared" si="4"/>
        <v>0</v>
      </c>
      <c r="G19" s="152">
        <f t="shared" si="19"/>
        <v>92393893</v>
      </c>
      <c r="H19" s="43">
        <f t="shared" si="5"/>
        <v>0</v>
      </c>
      <c r="I19" s="157">
        <f t="shared" si="6"/>
        <v>0</v>
      </c>
      <c r="J19" s="151">
        <f t="shared" si="20"/>
        <v>9129584</v>
      </c>
      <c r="K19" s="134">
        <f t="shared" si="14"/>
        <v>0</v>
      </c>
      <c r="L19" s="154">
        <f t="shared" si="21"/>
        <v>9093228</v>
      </c>
      <c r="M19" s="134">
        <f t="shared" si="7"/>
        <v>0</v>
      </c>
      <c r="N19" s="151">
        <f t="shared" si="22"/>
        <v>6161446</v>
      </c>
      <c r="O19" s="134">
        <f t="shared" si="15"/>
        <v>0</v>
      </c>
      <c r="P19" s="154">
        <f t="shared" si="23"/>
        <v>5641354</v>
      </c>
      <c r="Q19" s="134">
        <f t="shared" si="8"/>
        <v>0</v>
      </c>
      <c r="R19" s="151">
        <f t="shared" si="24"/>
        <v>19508045</v>
      </c>
      <c r="S19" s="134">
        <f t="shared" si="9"/>
        <v>0</v>
      </c>
      <c r="T19" s="158">
        <v>0</v>
      </c>
      <c r="U19" s="155"/>
      <c r="V19" s="151">
        <f t="shared" si="25"/>
        <v>7376324</v>
      </c>
      <c r="W19" s="134">
        <f t="shared" si="10"/>
        <v>0</v>
      </c>
      <c r="X19" s="21">
        <f t="shared" si="11"/>
        <v>0</v>
      </c>
      <c r="Y19" s="159">
        <f t="shared" si="12"/>
        <v>0</v>
      </c>
      <c r="Z19" s="160">
        <f t="shared" si="13"/>
        <v>0</v>
      </c>
      <c r="AA19" s="160">
        <f t="shared" si="16"/>
        <v>0</v>
      </c>
    </row>
    <row r="20" spans="1:27" s="135" customFormat="1" ht="16.5" thickBot="1" x14ac:dyDescent="0.3">
      <c r="A20" s="10">
        <v>44548</v>
      </c>
      <c r="B20" s="43">
        <v>0</v>
      </c>
      <c r="C20" s="150">
        <f t="shared" si="17"/>
        <v>19194</v>
      </c>
      <c r="D20" s="43">
        <f t="shared" si="3"/>
        <v>0</v>
      </c>
      <c r="E20" s="151">
        <f t="shared" si="18"/>
        <v>29100601</v>
      </c>
      <c r="F20" s="43">
        <f t="shared" si="4"/>
        <v>0</v>
      </c>
      <c r="G20" s="152">
        <f t="shared" si="19"/>
        <v>92393893</v>
      </c>
      <c r="H20" s="43">
        <f t="shared" si="5"/>
        <v>0</v>
      </c>
      <c r="I20" s="157">
        <f t="shared" si="6"/>
        <v>0</v>
      </c>
      <c r="J20" s="151">
        <f t="shared" si="20"/>
        <v>9129584</v>
      </c>
      <c r="K20" s="134">
        <f t="shared" si="14"/>
        <v>0</v>
      </c>
      <c r="L20" s="154">
        <f t="shared" si="21"/>
        <v>9093228</v>
      </c>
      <c r="M20" s="134">
        <f t="shared" si="7"/>
        <v>0</v>
      </c>
      <c r="N20" s="151">
        <f t="shared" si="22"/>
        <v>6161446</v>
      </c>
      <c r="O20" s="134">
        <f t="shared" si="15"/>
        <v>0</v>
      </c>
      <c r="P20" s="154">
        <f t="shared" si="23"/>
        <v>5641354</v>
      </c>
      <c r="Q20" s="134">
        <f t="shared" si="8"/>
        <v>0</v>
      </c>
      <c r="R20" s="151">
        <f t="shared" si="24"/>
        <v>19508045</v>
      </c>
      <c r="S20" s="134">
        <f t="shared" si="9"/>
        <v>0</v>
      </c>
      <c r="T20" s="158">
        <v>0</v>
      </c>
      <c r="U20" s="155"/>
      <c r="V20" s="151">
        <f t="shared" si="25"/>
        <v>7376324</v>
      </c>
      <c r="W20" s="134">
        <f t="shared" si="10"/>
        <v>0</v>
      </c>
      <c r="X20" s="21">
        <f t="shared" si="11"/>
        <v>0</v>
      </c>
      <c r="Y20" s="159">
        <f t="shared" si="12"/>
        <v>0</v>
      </c>
      <c r="Z20" s="160">
        <f t="shared" si="13"/>
        <v>0</v>
      </c>
      <c r="AA20" s="160">
        <f t="shared" si="16"/>
        <v>0</v>
      </c>
    </row>
    <row r="21" spans="1:27" s="135" customFormat="1" ht="16.5" thickBot="1" x14ac:dyDescent="0.3">
      <c r="A21" s="10">
        <v>44549</v>
      </c>
      <c r="B21" s="43">
        <v>0</v>
      </c>
      <c r="C21" s="150">
        <f t="shared" si="17"/>
        <v>19194</v>
      </c>
      <c r="D21" s="43">
        <f t="shared" si="3"/>
        <v>0</v>
      </c>
      <c r="E21" s="151">
        <f t="shared" si="18"/>
        <v>29100601</v>
      </c>
      <c r="F21" s="43">
        <f t="shared" si="4"/>
        <v>0</v>
      </c>
      <c r="G21" s="152">
        <f t="shared" si="19"/>
        <v>92393893</v>
      </c>
      <c r="H21" s="43">
        <f t="shared" si="5"/>
        <v>0</v>
      </c>
      <c r="I21" s="157">
        <f t="shared" si="6"/>
        <v>0</v>
      </c>
      <c r="J21" s="151">
        <f t="shared" si="20"/>
        <v>9129584</v>
      </c>
      <c r="K21" s="134">
        <f t="shared" si="14"/>
        <v>0</v>
      </c>
      <c r="L21" s="154">
        <f t="shared" si="21"/>
        <v>9093228</v>
      </c>
      <c r="M21" s="134">
        <f t="shared" si="7"/>
        <v>0</v>
      </c>
      <c r="N21" s="151">
        <f t="shared" si="22"/>
        <v>6161446</v>
      </c>
      <c r="O21" s="134">
        <f t="shared" si="15"/>
        <v>0</v>
      </c>
      <c r="P21" s="154">
        <f t="shared" si="23"/>
        <v>5641354</v>
      </c>
      <c r="Q21" s="134">
        <f t="shared" si="8"/>
        <v>0</v>
      </c>
      <c r="R21" s="151">
        <f t="shared" si="24"/>
        <v>19508045</v>
      </c>
      <c r="S21" s="134">
        <f t="shared" si="9"/>
        <v>0</v>
      </c>
      <c r="T21" s="158">
        <v>0</v>
      </c>
      <c r="U21" s="155"/>
      <c r="V21" s="151">
        <f t="shared" si="25"/>
        <v>7376324</v>
      </c>
      <c r="W21" s="134">
        <f t="shared" si="10"/>
        <v>0</v>
      </c>
      <c r="X21" s="21">
        <f t="shared" si="11"/>
        <v>0</v>
      </c>
      <c r="Y21" s="159">
        <f t="shared" si="12"/>
        <v>0</v>
      </c>
      <c r="Z21" s="160">
        <f t="shared" si="13"/>
        <v>0</v>
      </c>
      <c r="AA21" s="160">
        <f t="shared" si="16"/>
        <v>0</v>
      </c>
    </row>
    <row r="22" spans="1:27" ht="16.5" thickBot="1" x14ac:dyDescent="0.3">
      <c r="A22" s="10">
        <v>44550</v>
      </c>
      <c r="B22" s="43">
        <v>0</v>
      </c>
      <c r="C22" s="150">
        <f t="shared" si="17"/>
        <v>19194</v>
      </c>
      <c r="D22" s="43">
        <f t="shared" si="3"/>
        <v>0</v>
      </c>
      <c r="E22" s="151">
        <f t="shared" si="18"/>
        <v>29100601</v>
      </c>
      <c r="F22" s="43">
        <f t="shared" si="4"/>
        <v>0</v>
      </c>
      <c r="G22" s="152">
        <f t="shared" si="19"/>
        <v>92393893</v>
      </c>
      <c r="H22" s="43">
        <f t="shared" si="5"/>
        <v>0</v>
      </c>
      <c r="I22" s="153">
        <f t="shared" si="6"/>
        <v>0</v>
      </c>
      <c r="J22" s="151">
        <f t="shared" si="20"/>
        <v>9129584</v>
      </c>
      <c r="K22" s="43">
        <f t="shared" si="14"/>
        <v>0</v>
      </c>
      <c r="L22" s="154">
        <f t="shared" si="21"/>
        <v>9093228</v>
      </c>
      <c r="M22" s="43">
        <f t="shared" si="7"/>
        <v>0</v>
      </c>
      <c r="N22" s="151">
        <f t="shared" si="22"/>
        <v>6161446</v>
      </c>
      <c r="O22" s="43">
        <f t="shared" si="15"/>
        <v>0</v>
      </c>
      <c r="P22" s="154">
        <f t="shared" si="23"/>
        <v>5641354</v>
      </c>
      <c r="Q22" s="43">
        <f t="shared" si="8"/>
        <v>0</v>
      </c>
      <c r="R22" s="151">
        <f t="shared" si="24"/>
        <v>19508045</v>
      </c>
      <c r="S22" s="43">
        <f t="shared" si="9"/>
        <v>0</v>
      </c>
      <c r="T22" s="151">
        <v>0</v>
      </c>
      <c r="U22" s="155"/>
      <c r="V22" s="151">
        <f t="shared" si="25"/>
        <v>7376324</v>
      </c>
      <c r="W22" s="43">
        <f t="shared" si="10"/>
        <v>0</v>
      </c>
      <c r="X22" s="21">
        <f t="shared" si="11"/>
        <v>0</v>
      </c>
      <c r="Y22" s="156">
        <f t="shared" si="12"/>
        <v>0</v>
      </c>
      <c r="Z22" s="3">
        <f t="shared" si="13"/>
        <v>0</v>
      </c>
      <c r="AA22" s="3">
        <f t="shared" si="16"/>
        <v>0</v>
      </c>
    </row>
    <row r="23" spans="1:27" ht="16.5" thickBot="1" x14ac:dyDescent="0.3">
      <c r="A23" s="10">
        <v>44551</v>
      </c>
      <c r="B23" s="43">
        <v>0</v>
      </c>
      <c r="C23" s="150">
        <f t="shared" si="17"/>
        <v>19194</v>
      </c>
      <c r="D23" s="43">
        <f t="shared" si="3"/>
        <v>0</v>
      </c>
      <c r="E23" s="151">
        <f t="shared" si="18"/>
        <v>29100601</v>
      </c>
      <c r="F23" s="43">
        <f t="shared" si="4"/>
        <v>0</v>
      </c>
      <c r="G23" s="152">
        <f t="shared" si="19"/>
        <v>92393893</v>
      </c>
      <c r="H23" s="43">
        <f t="shared" si="5"/>
        <v>0</v>
      </c>
      <c r="I23" s="153">
        <f t="shared" si="6"/>
        <v>0</v>
      </c>
      <c r="J23" s="151">
        <f t="shared" si="20"/>
        <v>9129584</v>
      </c>
      <c r="K23" s="43">
        <f t="shared" si="14"/>
        <v>0</v>
      </c>
      <c r="L23" s="154">
        <f t="shared" si="21"/>
        <v>9093228</v>
      </c>
      <c r="M23" s="43">
        <f t="shared" si="7"/>
        <v>0</v>
      </c>
      <c r="N23" s="151">
        <f t="shared" si="22"/>
        <v>6161446</v>
      </c>
      <c r="O23" s="43">
        <f t="shared" si="15"/>
        <v>0</v>
      </c>
      <c r="P23" s="154">
        <f t="shared" si="23"/>
        <v>5641354</v>
      </c>
      <c r="Q23" s="43">
        <f t="shared" si="8"/>
        <v>0</v>
      </c>
      <c r="R23" s="151">
        <f t="shared" si="24"/>
        <v>19508045</v>
      </c>
      <c r="S23" s="43">
        <f t="shared" si="9"/>
        <v>0</v>
      </c>
      <c r="T23" s="151">
        <v>0</v>
      </c>
      <c r="U23" s="155"/>
      <c r="V23" s="151">
        <f t="shared" si="25"/>
        <v>7376324</v>
      </c>
      <c r="W23" s="43">
        <f t="shared" si="10"/>
        <v>0</v>
      </c>
      <c r="X23" s="21">
        <f t="shared" si="11"/>
        <v>0</v>
      </c>
      <c r="Y23" s="156">
        <f t="shared" si="12"/>
        <v>0</v>
      </c>
      <c r="Z23" s="3">
        <f t="shared" si="13"/>
        <v>0</v>
      </c>
      <c r="AA23" s="3">
        <f t="shared" si="16"/>
        <v>0</v>
      </c>
    </row>
    <row r="24" spans="1:27" ht="16.5" thickBot="1" x14ac:dyDescent="0.3">
      <c r="A24" s="10">
        <v>44552</v>
      </c>
      <c r="B24" s="43">
        <v>0</v>
      </c>
      <c r="C24" s="150">
        <f t="shared" si="17"/>
        <v>19194</v>
      </c>
      <c r="D24" s="43">
        <f t="shared" si="3"/>
        <v>0</v>
      </c>
      <c r="E24" s="151">
        <f t="shared" si="18"/>
        <v>29100601</v>
      </c>
      <c r="F24" s="43">
        <f t="shared" si="4"/>
        <v>0</v>
      </c>
      <c r="G24" s="152">
        <f t="shared" si="19"/>
        <v>92393893</v>
      </c>
      <c r="H24" s="43">
        <f t="shared" si="5"/>
        <v>0</v>
      </c>
      <c r="I24" s="153">
        <f t="shared" si="6"/>
        <v>0</v>
      </c>
      <c r="J24" s="151">
        <f t="shared" si="20"/>
        <v>9129584</v>
      </c>
      <c r="K24" s="43">
        <f t="shared" si="14"/>
        <v>0</v>
      </c>
      <c r="L24" s="154">
        <f t="shared" si="21"/>
        <v>9093228</v>
      </c>
      <c r="M24" s="43">
        <f t="shared" si="7"/>
        <v>0</v>
      </c>
      <c r="N24" s="151">
        <f t="shared" si="22"/>
        <v>6161446</v>
      </c>
      <c r="O24" s="43">
        <f t="shared" si="15"/>
        <v>0</v>
      </c>
      <c r="P24" s="154">
        <f t="shared" si="23"/>
        <v>5641354</v>
      </c>
      <c r="Q24" s="43">
        <f t="shared" si="8"/>
        <v>0</v>
      </c>
      <c r="R24" s="151">
        <f t="shared" si="24"/>
        <v>19508045</v>
      </c>
      <c r="S24" s="43">
        <f t="shared" si="9"/>
        <v>0</v>
      </c>
      <c r="T24" s="151">
        <v>0</v>
      </c>
      <c r="U24" s="155"/>
      <c r="V24" s="151">
        <f t="shared" si="25"/>
        <v>7376324</v>
      </c>
      <c r="W24" s="43">
        <f t="shared" si="10"/>
        <v>0</v>
      </c>
      <c r="X24" s="21">
        <f t="shared" si="11"/>
        <v>0</v>
      </c>
      <c r="Y24" s="156">
        <f t="shared" si="12"/>
        <v>0</v>
      </c>
      <c r="Z24" s="3">
        <f t="shared" si="13"/>
        <v>0</v>
      </c>
      <c r="AA24" s="3">
        <f t="shared" si="16"/>
        <v>0</v>
      </c>
    </row>
    <row r="25" spans="1:27" ht="16.5" thickBot="1" x14ac:dyDescent="0.3">
      <c r="A25" s="10">
        <v>44553</v>
      </c>
      <c r="B25" s="43">
        <v>0</v>
      </c>
      <c r="C25" s="150">
        <f t="shared" si="17"/>
        <v>19194</v>
      </c>
      <c r="D25" s="43">
        <f t="shared" si="3"/>
        <v>0</v>
      </c>
      <c r="E25" s="151">
        <f t="shared" si="18"/>
        <v>29100601</v>
      </c>
      <c r="F25" s="43">
        <f t="shared" si="4"/>
        <v>0</v>
      </c>
      <c r="G25" s="152">
        <f t="shared" si="19"/>
        <v>92393893</v>
      </c>
      <c r="H25" s="43">
        <f t="shared" si="5"/>
        <v>0</v>
      </c>
      <c r="I25" s="153">
        <f t="shared" si="6"/>
        <v>0</v>
      </c>
      <c r="J25" s="151">
        <f t="shared" si="20"/>
        <v>9129584</v>
      </c>
      <c r="K25" s="43">
        <f t="shared" si="14"/>
        <v>0</v>
      </c>
      <c r="L25" s="154">
        <f t="shared" si="21"/>
        <v>9093228</v>
      </c>
      <c r="M25" s="43">
        <f t="shared" si="7"/>
        <v>0</v>
      </c>
      <c r="N25" s="151">
        <f t="shared" si="22"/>
        <v>6161446</v>
      </c>
      <c r="O25" s="43">
        <f t="shared" si="15"/>
        <v>0</v>
      </c>
      <c r="P25" s="154">
        <f t="shared" si="23"/>
        <v>5641354</v>
      </c>
      <c r="Q25" s="43">
        <f t="shared" si="8"/>
        <v>0</v>
      </c>
      <c r="R25" s="151">
        <f t="shared" si="24"/>
        <v>19508045</v>
      </c>
      <c r="S25" s="43">
        <f t="shared" si="9"/>
        <v>0</v>
      </c>
      <c r="T25" s="151">
        <v>0</v>
      </c>
      <c r="U25" s="155"/>
      <c r="V25" s="151">
        <f t="shared" si="25"/>
        <v>7376324</v>
      </c>
      <c r="W25" s="43">
        <f t="shared" si="10"/>
        <v>0</v>
      </c>
      <c r="X25" s="21">
        <f t="shared" si="11"/>
        <v>0</v>
      </c>
      <c r="Y25" s="156">
        <f t="shared" si="12"/>
        <v>0</v>
      </c>
      <c r="Z25" s="3">
        <f t="shared" si="13"/>
        <v>0</v>
      </c>
      <c r="AA25" s="3">
        <f t="shared" si="16"/>
        <v>0</v>
      </c>
    </row>
    <row r="26" spans="1:27" ht="16.5" thickBot="1" x14ac:dyDescent="0.3">
      <c r="A26" s="10">
        <v>44554</v>
      </c>
      <c r="B26" s="43">
        <v>0</v>
      </c>
      <c r="C26" s="150">
        <f t="shared" si="17"/>
        <v>19194</v>
      </c>
      <c r="D26" s="43">
        <f t="shared" si="3"/>
        <v>0</v>
      </c>
      <c r="E26" s="151">
        <f t="shared" si="18"/>
        <v>29100601</v>
      </c>
      <c r="F26" s="43">
        <f t="shared" si="4"/>
        <v>0</v>
      </c>
      <c r="G26" s="152">
        <f t="shared" si="19"/>
        <v>92393893</v>
      </c>
      <c r="H26" s="43">
        <f t="shared" si="5"/>
        <v>0</v>
      </c>
      <c r="I26" s="153">
        <f t="shared" si="6"/>
        <v>0</v>
      </c>
      <c r="J26" s="151">
        <f t="shared" si="20"/>
        <v>9129584</v>
      </c>
      <c r="K26" s="43">
        <f t="shared" si="14"/>
        <v>0</v>
      </c>
      <c r="L26" s="154">
        <f t="shared" si="21"/>
        <v>9093228</v>
      </c>
      <c r="M26" s="43">
        <f t="shared" si="7"/>
        <v>0</v>
      </c>
      <c r="N26" s="151">
        <f t="shared" si="22"/>
        <v>6161446</v>
      </c>
      <c r="O26" s="43">
        <f t="shared" si="15"/>
        <v>0</v>
      </c>
      <c r="P26" s="154">
        <f t="shared" si="23"/>
        <v>5641354</v>
      </c>
      <c r="Q26" s="43">
        <f t="shared" si="8"/>
        <v>0</v>
      </c>
      <c r="R26" s="151">
        <f t="shared" si="24"/>
        <v>19508045</v>
      </c>
      <c r="S26" s="43">
        <f t="shared" si="9"/>
        <v>0</v>
      </c>
      <c r="T26" s="151">
        <v>0</v>
      </c>
      <c r="U26" s="155"/>
      <c r="V26" s="151">
        <f t="shared" si="25"/>
        <v>7376324</v>
      </c>
      <c r="W26" s="43">
        <f t="shared" si="10"/>
        <v>0</v>
      </c>
      <c r="X26" s="21">
        <f t="shared" si="11"/>
        <v>0</v>
      </c>
      <c r="Y26" s="156">
        <f t="shared" si="12"/>
        <v>0</v>
      </c>
      <c r="Z26" s="3">
        <f t="shared" si="13"/>
        <v>0</v>
      </c>
      <c r="AA26" s="3">
        <f t="shared" si="16"/>
        <v>0</v>
      </c>
    </row>
    <row r="27" spans="1:27" ht="16.5" thickBot="1" x14ac:dyDescent="0.3">
      <c r="A27" s="10">
        <v>44555</v>
      </c>
      <c r="B27" s="43">
        <v>0</v>
      </c>
      <c r="C27" s="150">
        <f t="shared" si="17"/>
        <v>19194</v>
      </c>
      <c r="D27" s="43">
        <f t="shared" si="3"/>
        <v>0</v>
      </c>
      <c r="E27" s="151">
        <f t="shared" si="18"/>
        <v>29100601</v>
      </c>
      <c r="F27" s="43">
        <f t="shared" si="4"/>
        <v>0</v>
      </c>
      <c r="G27" s="152">
        <f t="shared" si="19"/>
        <v>92393893</v>
      </c>
      <c r="H27" s="43">
        <f t="shared" si="5"/>
        <v>0</v>
      </c>
      <c r="I27" s="153">
        <f t="shared" si="6"/>
        <v>0</v>
      </c>
      <c r="J27" s="151">
        <f t="shared" si="20"/>
        <v>9129584</v>
      </c>
      <c r="K27" s="43">
        <f t="shared" si="14"/>
        <v>0</v>
      </c>
      <c r="L27" s="154">
        <f t="shared" si="21"/>
        <v>9093228</v>
      </c>
      <c r="M27" s="43">
        <f t="shared" si="7"/>
        <v>0</v>
      </c>
      <c r="N27" s="151">
        <f t="shared" si="22"/>
        <v>6161446</v>
      </c>
      <c r="O27" s="43">
        <f t="shared" si="15"/>
        <v>0</v>
      </c>
      <c r="P27" s="154">
        <f t="shared" si="23"/>
        <v>5641354</v>
      </c>
      <c r="Q27" s="43">
        <f t="shared" si="8"/>
        <v>0</v>
      </c>
      <c r="R27" s="151">
        <f t="shared" si="24"/>
        <v>19508045</v>
      </c>
      <c r="S27" s="43">
        <f t="shared" si="9"/>
        <v>0</v>
      </c>
      <c r="T27" s="151">
        <v>0</v>
      </c>
      <c r="U27" s="155"/>
      <c r="V27" s="151">
        <f t="shared" si="25"/>
        <v>7376324</v>
      </c>
      <c r="W27" s="43">
        <f t="shared" si="10"/>
        <v>0</v>
      </c>
      <c r="X27" s="21">
        <f t="shared" si="11"/>
        <v>0</v>
      </c>
      <c r="Y27" s="156">
        <f t="shared" si="12"/>
        <v>0</v>
      </c>
      <c r="Z27" s="3">
        <f t="shared" si="13"/>
        <v>0</v>
      </c>
      <c r="AA27" s="3">
        <f t="shared" si="16"/>
        <v>0</v>
      </c>
    </row>
    <row r="28" spans="1:27" ht="16.5" thickBot="1" x14ac:dyDescent="0.3">
      <c r="A28" s="10">
        <v>44556</v>
      </c>
      <c r="B28" s="43">
        <v>0</v>
      </c>
      <c r="C28" s="150">
        <f t="shared" si="17"/>
        <v>19194</v>
      </c>
      <c r="D28" s="43">
        <f t="shared" si="3"/>
        <v>0</v>
      </c>
      <c r="E28" s="151">
        <f t="shared" si="18"/>
        <v>29100601</v>
      </c>
      <c r="F28" s="43">
        <f t="shared" si="4"/>
        <v>0</v>
      </c>
      <c r="G28" s="152">
        <f t="shared" si="19"/>
        <v>92393893</v>
      </c>
      <c r="H28" s="43">
        <f t="shared" si="5"/>
        <v>0</v>
      </c>
      <c r="I28" s="153">
        <f t="shared" si="6"/>
        <v>0</v>
      </c>
      <c r="J28" s="151">
        <f t="shared" si="20"/>
        <v>9129584</v>
      </c>
      <c r="K28" s="43">
        <f t="shared" si="14"/>
        <v>0</v>
      </c>
      <c r="L28" s="154">
        <f t="shared" si="21"/>
        <v>9093228</v>
      </c>
      <c r="M28" s="43">
        <f t="shared" si="7"/>
        <v>0</v>
      </c>
      <c r="N28" s="151">
        <f t="shared" si="22"/>
        <v>6161446</v>
      </c>
      <c r="O28" s="43">
        <f t="shared" si="15"/>
        <v>0</v>
      </c>
      <c r="P28" s="154">
        <f t="shared" si="23"/>
        <v>5641354</v>
      </c>
      <c r="Q28" s="43">
        <f t="shared" si="8"/>
        <v>0</v>
      </c>
      <c r="R28" s="151">
        <f t="shared" si="24"/>
        <v>19508045</v>
      </c>
      <c r="S28" s="43">
        <f t="shared" si="9"/>
        <v>0</v>
      </c>
      <c r="T28" s="151">
        <v>0</v>
      </c>
      <c r="U28" s="155"/>
      <c r="V28" s="151">
        <f t="shared" si="25"/>
        <v>7376324</v>
      </c>
      <c r="W28" s="43">
        <f t="shared" si="10"/>
        <v>0</v>
      </c>
      <c r="X28" s="21">
        <f t="shared" si="11"/>
        <v>0</v>
      </c>
      <c r="Y28" s="156">
        <f t="shared" si="12"/>
        <v>0</v>
      </c>
      <c r="Z28" s="3">
        <f t="shared" si="13"/>
        <v>0</v>
      </c>
      <c r="AA28" s="3">
        <f t="shared" si="16"/>
        <v>0</v>
      </c>
    </row>
    <row r="29" spans="1:27" ht="16.5" thickBot="1" x14ac:dyDescent="0.3">
      <c r="A29" s="10">
        <v>44557</v>
      </c>
      <c r="B29" s="43">
        <v>0</v>
      </c>
      <c r="C29" s="150">
        <f t="shared" si="17"/>
        <v>19194</v>
      </c>
      <c r="D29" s="43">
        <f t="shared" si="3"/>
        <v>0</v>
      </c>
      <c r="E29" s="151">
        <f t="shared" si="18"/>
        <v>29100601</v>
      </c>
      <c r="F29" s="43">
        <f t="shared" si="4"/>
        <v>0</v>
      </c>
      <c r="G29" s="152">
        <f t="shared" si="19"/>
        <v>92393893</v>
      </c>
      <c r="H29" s="43">
        <f t="shared" si="5"/>
        <v>0</v>
      </c>
      <c r="I29" s="153">
        <f t="shared" si="6"/>
        <v>0</v>
      </c>
      <c r="J29" s="151">
        <f t="shared" si="20"/>
        <v>9129584</v>
      </c>
      <c r="K29" s="43">
        <f t="shared" si="14"/>
        <v>0</v>
      </c>
      <c r="L29" s="154">
        <f t="shared" si="21"/>
        <v>9093228</v>
      </c>
      <c r="M29" s="43">
        <f t="shared" si="7"/>
        <v>0</v>
      </c>
      <c r="N29" s="151">
        <f t="shared" si="22"/>
        <v>6161446</v>
      </c>
      <c r="O29" s="43">
        <f t="shared" si="15"/>
        <v>0</v>
      </c>
      <c r="P29" s="154">
        <f t="shared" si="23"/>
        <v>5641354</v>
      </c>
      <c r="Q29" s="43">
        <f t="shared" si="8"/>
        <v>0</v>
      </c>
      <c r="R29" s="151">
        <f t="shared" si="24"/>
        <v>19508045</v>
      </c>
      <c r="S29" s="43">
        <f t="shared" si="9"/>
        <v>0</v>
      </c>
      <c r="T29" s="151">
        <v>0</v>
      </c>
      <c r="U29" s="155"/>
      <c r="V29" s="151">
        <f t="shared" si="25"/>
        <v>7376324</v>
      </c>
      <c r="W29" s="43">
        <f t="shared" si="10"/>
        <v>0</v>
      </c>
      <c r="X29" s="21">
        <f t="shared" si="11"/>
        <v>0</v>
      </c>
      <c r="Y29" s="156">
        <f t="shared" si="12"/>
        <v>0</v>
      </c>
      <c r="Z29" s="3">
        <f t="shared" si="13"/>
        <v>0</v>
      </c>
      <c r="AA29" s="3">
        <f t="shared" si="16"/>
        <v>0</v>
      </c>
    </row>
    <row r="30" spans="1:27" ht="16.5" thickBot="1" x14ac:dyDescent="0.3">
      <c r="A30" s="10">
        <v>44558</v>
      </c>
      <c r="B30" s="43">
        <v>0</v>
      </c>
      <c r="C30" s="150">
        <f t="shared" si="17"/>
        <v>19194</v>
      </c>
      <c r="D30" s="43">
        <f t="shared" si="3"/>
        <v>0</v>
      </c>
      <c r="E30" s="151">
        <f t="shared" si="18"/>
        <v>29100601</v>
      </c>
      <c r="F30" s="43">
        <f t="shared" si="4"/>
        <v>0</v>
      </c>
      <c r="G30" s="152">
        <f t="shared" si="19"/>
        <v>92393893</v>
      </c>
      <c r="H30" s="43">
        <f t="shared" si="5"/>
        <v>0</v>
      </c>
      <c r="I30" s="153">
        <f t="shared" si="6"/>
        <v>0</v>
      </c>
      <c r="J30" s="151">
        <f t="shared" si="20"/>
        <v>9129584</v>
      </c>
      <c r="K30" s="43">
        <f t="shared" si="14"/>
        <v>0</v>
      </c>
      <c r="L30" s="154">
        <f t="shared" si="21"/>
        <v>9093228</v>
      </c>
      <c r="M30" s="43">
        <f t="shared" si="7"/>
        <v>0</v>
      </c>
      <c r="N30" s="151">
        <f t="shared" si="22"/>
        <v>6161446</v>
      </c>
      <c r="O30" s="43">
        <f t="shared" si="15"/>
        <v>0</v>
      </c>
      <c r="P30" s="154">
        <f t="shared" si="23"/>
        <v>5641354</v>
      </c>
      <c r="Q30" s="43">
        <f t="shared" si="8"/>
        <v>0</v>
      </c>
      <c r="R30" s="151">
        <f t="shared" si="24"/>
        <v>19508045</v>
      </c>
      <c r="S30" s="43">
        <f t="shared" si="9"/>
        <v>0</v>
      </c>
      <c r="T30" s="151">
        <v>0</v>
      </c>
      <c r="U30" s="155"/>
      <c r="V30" s="151">
        <f t="shared" si="25"/>
        <v>7376324</v>
      </c>
      <c r="W30" s="43">
        <f t="shared" si="10"/>
        <v>0</v>
      </c>
      <c r="X30" s="21">
        <f t="shared" si="11"/>
        <v>0</v>
      </c>
      <c r="Y30" s="156">
        <f t="shared" si="12"/>
        <v>0</v>
      </c>
      <c r="Z30" s="3">
        <f t="shared" si="13"/>
        <v>0</v>
      </c>
      <c r="AA30" s="3">
        <f t="shared" si="16"/>
        <v>0</v>
      </c>
    </row>
    <row r="31" spans="1:27" ht="16.5" thickBot="1" x14ac:dyDescent="0.3">
      <c r="A31" s="10">
        <v>44559</v>
      </c>
      <c r="B31" s="43">
        <v>0</v>
      </c>
      <c r="C31" s="150">
        <f t="shared" si="17"/>
        <v>19194</v>
      </c>
      <c r="D31" s="43">
        <f t="shared" si="3"/>
        <v>0</v>
      </c>
      <c r="E31" s="151">
        <f t="shared" si="18"/>
        <v>29100601</v>
      </c>
      <c r="F31" s="43">
        <f t="shared" si="4"/>
        <v>0</v>
      </c>
      <c r="G31" s="152">
        <f t="shared" si="19"/>
        <v>92393893</v>
      </c>
      <c r="H31" s="43">
        <f t="shared" si="5"/>
        <v>0</v>
      </c>
      <c r="I31" s="153">
        <f t="shared" si="6"/>
        <v>0</v>
      </c>
      <c r="J31" s="151">
        <f t="shared" si="20"/>
        <v>9129584</v>
      </c>
      <c r="K31" s="43">
        <f t="shared" si="14"/>
        <v>0</v>
      </c>
      <c r="L31" s="154">
        <f t="shared" si="21"/>
        <v>9093228</v>
      </c>
      <c r="M31" s="43">
        <f t="shared" si="7"/>
        <v>0</v>
      </c>
      <c r="N31" s="151">
        <f t="shared" si="22"/>
        <v>6161446</v>
      </c>
      <c r="O31" s="43">
        <f t="shared" si="15"/>
        <v>0</v>
      </c>
      <c r="P31" s="154">
        <f t="shared" si="23"/>
        <v>5641354</v>
      </c>
      <c r="Q31" s="43">
        <f t="shared" si="8"/>
        <v>0</v>
      </c>
      <c r="R31" s="151">
        <f t="shared" si="24"/>
        <v>19508045</v>
      </c>
      <c r="S31" s="43">
        <f t="shared" si="9"/>
        <v>0</v>
      </c>
      <c r="T31" s="151">
        <v>0</v>
      </c>
      <c r="U31" s="11"/>
      <c r="V31" s="151">
        <f t="shared" si="25"/>
        <v>7376324</v>
      </c>
      <c r="W31" s="43">
        <f t="shared" si="10"/>
        <v>0</v>
      </c>
      <c r="X31" s="21">
        <f t="shared" si="11"/>
        <v>0</v>
      </c>
      <c r="Y31" s="156">
        <f t="shared" si="12"/>
        <v>0</v>
      </c>
      <c r="Z31" s="3">
        <f t="shared" si="13"/>
        <v>0</v>
      </c>
      <c r="AA31" s="3">
        <f t="shared" si="16"/>
        <v>0</v>
      </c>
    </row>
    <row r="32" spans="1:27" ht="16.5" thickBot="1" x14ac:dyDescent="0.3">
      <c r="A32" s="10">
        <v>44560</v>
      </c>
      <c r="B32" s="43">
        <v>0</v>
      </c>
      <c r="C32" s="150">
        <f t="shared" si="17"/>
        <v>19194</v>
      </c>
      <c r="D32" s="43">
        <f t="shared" si="3"/>
        <v>0</v>
      </c>
      <c r="E32" s="151">
        <f t="shared" si="18"/>
        <v>29100601</v>
      </c>
      <c r="F32" s="43">
        <f t="shared" si="4"/>
        <v>0</v>
      </c>
      <c r="G32" s="152">
        <f t="shared" si="19"/>
        <v>92393893</v>
      </c>
      <c r="H32" s="43">
        <f t="shared" si="5"/>
        <v>0</v>
      </c>
      <c r="I32" s="21">
        <f>F32+H32</f>
        <v>0</v>
      </c>
      <c r="J32" s="151">
        <f t="shared" si="20"/>
        <v>9129584</v>
      </c>
      <c r="K32" s="43">
        <f t="shared" si="14"/>
        <v>0</v>
      </c>
      <c r="L32" s="154">
        <f t="shared" si="21"/>
        <v>9093228</v>
      </c>
      <c r="M32" s="43">
        <f t="shared" si="7"/>
        <v>0</v>
      </c>
      <c r="N32" s="151">
        <f t="shared" si="22"/>
        <v>6161446</v>
      </c>
      <c r="O32" s="43">
        <f t="shared" si="15"/>
        <v>0</v>
      </c>
      <c r="P32" s="154">
        <f t="shared" si="23"/>
        <v>5641354</v>
      </c>
      <c r="Q32" s="43">
        <f t="shared" si="8"/>
        <v>0</v>
      </c>
      <c r="R32" s="151">
        <f t="shared" si="24"/>
        <v>19508045</v>
      </c>
      <c r="S32" s="43">
        <f t="shared" si="9"/>
        <v>0</v>
      </c>
      <c r="T32" s="151">
        <v>0</v>
      </c>
      <c r="U32" s="11"/>
      <c r="V32" s="151">
        <f t="shared" si="25"/>
        <v>7376324</v>
      </c>
      <c r="W32" s="43">
        <f t="shared" si="10"/>
        <v>0</v>
      </c>
      <c r="X32" s="21">
        <f t="shared" si="11"/>
        <v>0</v>
      </c>
      <c r="Y32" s="156">
        <f t="shared" si="12"/>
        <v>0</v>
      </c>
      <c r="Z32" s="3">
        <f t="shared" si="13"/>
        <v>0</v>
      </c>
      <c r="AA32" s="3">
        <f t="shared" si="16"/>
        <v>0</v>
      </c>
    </row>
    <row r="33" spans="1:27" ht="16.5" thickBot="1" x14ac:dyDescent="0.3">
      <c r="A33" s="10">
        <v>44561</v>
      </c>
      <c r="B33" s="43">
        <v>0</v>
      </c>
      <c r="C33" s="150">
        <f t="shared" si="17"/>
        <v>19194</v>
      </c>
      <c r="D33" s="43">
        <f t="shared" si="3"/>
        <v>0</v>
      </c>
      <c r="E33" s="151">
        <f t="shared" si="18"/>
        <v>29100601</v>
      </c>
      <c r="F33" s="43">
        <f t="shared" si="4"/>
        <v>0</v>
      </c>
      <c r="G33" s="152">
        <f t="shared" si="19"/>
        <v>92393893</v>
      </c>
      <c r="H33" s="43">
        <f t="shared" si="5"/>
        <v>0</v>
      </c>
      <c r="I33" s="21">
        <f>F33+H33</f>
        <v>0</v>
      </c>
      <c r="J33" s="151">
        <f t="shared" si="20"/>
        <v>9129584</v>
      </c>
      <c r="K33" s="43">
        <f t="shared" si="14"/>
        <v>0</v>
      </c>
      <c r="L33" s="154">
        <f t="shared" si="21"/>
        <v>9093228</v>
      </c>
      <c r="M33" s="43">
        <f t="shared" si="7"/>
        <v>0</v>
      </c>
      <c r="N33" s="151">
        <f t="shared" si="22"/>
        <v>6161446</v>
      </c>
      <c r="O33" s="43">
        <f t="shared" si="15"/>
        <v>0</v>
      </c>
      <c r="P33" s="154">
        <f t="shared" si="23"/>
        <v>5641354</v>
      </c>
      <c r="Q33" s="43">
        <f t="shared" si="8"/>
        <v>0</v>
      </c>
      <c r="R33" s="151">
        <f t="shared" si="24"/>
        <v>19508045</v>
      </c>
      <c r="S33" s="43">
        <f t="shared" si="9"/>
        <v>0</v>
      </c>
      <c r="T33" s="151">
        <v>0</v>
      </c>
      <c r="U33" s="11"/>
      <c r="V33" s="151">
        <f t="shared" si="25"/>
        <v>7376324</v>
      </c>
      <c r="W33" s="43">
        <f t="shared" si="10"/>
        <v>0</v>
      </c>
      <c r="X33" s="21">
        <f t="shared" si="11"/>
        <v>0</v>
      </c>
      <c r="Y33" s="156">
        <f t="shared" si="12"/>
        <v>0</v>
      </c>
      <c r="Z33" s="3">
        <f t="shared" si="13"/>
        <v>0</v>
      </c>
      <c r="AA33" s="3">
        <f t="shared" si="16"/>
        <v>0</v>
      </c>
    </row>
    <row r="34" spans="1:27" ht="16.5" thickBot="1" x14ac:dyDescent="0.3">
      <c r="A34" s="6" t="s">
        <v>23</v>
      </c>
      <c r="B34" s="142">
        <f>SUM(B3:B33)</f>
        <v>1635</v>
      </c>
      <c r="C34" s="142"/>
      <c r="D34" s="142">
        <f>SUM(D3:D33)</f>
        <v>3200</v>
      </c>
      <c r="E34" s="60">
        <v>0</v>
      </c>
      <c r="F34" s="60">
        <f>SUM(F3:F33)</f>
        <v>97003</v>
      </c>
      <c r="G34" s="60">
        <v>0</v>
      </c>
      <c r="H34" s="60">
        <f>SUM(H3:H33)</f>
        <v>253983</v>
      </c>
      <c r="I34" s="60">
        <f>SUM(I6:I33)</f>
        <v>169163</v>
      </c>
      <c r="J34" s="60">
        <v>0</v>
      </c>
      <c r="K34" s="60">
        <f>SUM(K3:K33)</f>
        <v>58822</v>
      </c>
      <c r="L34" s="60">
        <v>0</v>
      </c>
      <c r="M34" s="60">
        <f>SUM(M3:M33)</f>
        <v>41001</v>
      </c>
      <c r="N34" s="60">
        <v>0</v>
      </c>
      <c r="O34" s="60">
        <f>SUM(O3:O33)</f>
        <v>55000</v>
      </c>
      <c r="P34" s="60">
        <v>0</v>
      </c>
      <c r="Q34" s="60">
        <f>SUM(Q3:Q33)</f>
        <v>22798</v>
      </c>
      <c r="R34" s="60">
        <v>0</v>
      </c>
      <c r="S34" s="60">
        <f>SUM(S3:S33)</f>
        <v>61619</v>
      </c>
      <c r="T34" s="60">
        <f>SUM(T6:T33)</f>
        <v>0</v>
      </c>
      <c r="U34" s="60">
        <f>SUM(U3:U33)</f>
        <v>0</v>
      </c>
      <c r="V34" s="60">
        <v>0</v>
      </c>
      <c r="W34" s="60">
        <f>SUM(W3:W33)</f>
        <v>67096</v>
      </c>
      <c r="X34" s="60">
        <f>SUM(X6:X33)</f>
        <v>146595</v>
      </c>
      <c r="Y34" s="60">
        <f>SUM(Y3:Y33)</f>
        <v>44650</v>
      </c>
      <c r="Z34" s="60">
        <f>SUM(Z3:Z33)</f>
        <v>42503.747832000008</v>
      </c>
      <c r="AA34" s="60">
        <f>SUM(AA3:AA33)</f>
        <v>161731.67017279999</v>
      </c>
    </row>
    <row r="45" spans="1:27" ht="15" x14ac:dyDescent="0.2">
      <c r="A45" s="24"/>
      <c r="B45" s="44"/>
      <c r="C45" s="44"/>
      <c r="D45" s="44"/>
      <c r="Z45" s="24"/>
      <c r="AA45" s="24"/>
    </row>
  </sheetData>
  <phoneticPr fontId="0" type="noConversion"/>
  <conditionalFormatting sqref="B1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{19E8B722-4A6F-4BDB-9F48-8623315396B2}</x14:id>
        </ext>
      </extLst>
    </cfRule>
  </conditionalFormatting>
  <pageMargins left="0.75" right="0.75" top="1" bottom="1" header="0.5" footer="0.5"/>
  <pageSetup paperSize="9" scale="26" orientation="portrait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9E8B722-4A6F-4BDB-9F48-8623315396B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B1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4"/>
  <sheetViews>
    <sheetView zoomScale="110" zoomScaleNormal="110" workbookViewId="0">
      <pane ySplit="1" topLeftCell="A2" activePane="bottomLeft" state="frozen"/>
      <selection pane="bottomLeft" activeCell="E3" sqref="E3"/>
    </sheetView>
  </sheetViews>
  <sheetFormatPr defaultRowHeight="12.75" x14ac:dyDescent="0.2"/>
  <cols>
    <col min="1" max="1" width="20.85546875" style="18" bestFit="1" customWidth="1"/>
    <col min="2" max="2" width="20.7109375" bestFit="1" customWidth="1"/>
    <col min="3" max="3" width="14.140625" customWidth="1"/>
    <col min="4" max="4" width="16.5703125" bestFit="1" customWidth="1"/>
    <col min="5" max="5" width="19.85546875" bestFit="1" customWidth="1"/>
    <col min="6" max="6" width="15.5703125" bestFit="1" customWidth="1"/>
    <col min="7" max="7" width="13.7109375" bestFit="1" customWidth="1"/>
    <col min="8" max="8" width="12.85546875" bestFit="1" customWidth="1"/>
    <col min="9" max="9" width="15" style="40" bestFit="1" customWidth="1"/>
    <col min="10" max="10" width="17.5703125" bestFit="1" customWidth="1"/>
    <col min="11" max="11" width="16.140625" bestFit="1" customWidth="1"/>
    <col min="13" max="13" width="10" bestFit="1" customWidth="1"/>
    <col min="25" max="25" width="18.28515625" bestFit="1" customWidth="1"/>
  </cols>
  <sheetData>
    <row r="1" spans="1:14" ht="16.5" thickBot="1" x14ac:dyDescent="0.3">
      <c r="A1" s="2" t="s">
        <v>0</v>
      </c>
      <c r="B1" s="3" t="s">
        <v>24</v>
      </c>
      <c r="C1" s="4" t="s">
        <v>25</v>
      </c>
      <c r="D1" s="3" t="s">
        <v>26</v>
      </c>
      <c r="E1" s="4" t="s">
        <v>25</v>
      </c>
      <c r="F1" s="3" t="s">
        <v>27</v>
      </c>
      <c r="G1" s="4" t="s">
        <v>25</v>
      </c>
      <c r="H1" s="3" t="s">
        <v>28</v>
      </c>
      <c r="I1" s="47" t="s">
        <v>25</v>
      </c>
      <c r="J1" s="3" t="s">
        <v>23</v>
      </c>
      <c r="K1" s="3" t="s">
        <v>29</v>
      </c>
    </row>
    <row r="2" spans="1:14" ht="16.5" thickBot="1" x14ac:dyDescent="0.3">
      <c r="A2" s="10">
        <v>44530</v>
      </c>
      <c r="B2" s="3">
        <v>433119</v>
      </c>
      <c r="C2" s="43">
        <v>0</v>
      </c>
      <c r="D2" s="3">
        <v>59</v>
      </c>
      <c r="E2" s="43">
        <v>0</v>
      </c>
      <c r="F2" s="3">
        <v>6928000</v>
      </c>
      <c r="G2" s="43">
        <v>0</v>
      </c>
      <c r="H2" s="3">
        <v>760516</v>
      </c>
      <c r="I2" s="48">
        <v>0</v>
      </c>
      <c r="J2" s="21">
        <f t="shared" ref="J2" si="0">C2+E2+G2+I2</f>
        <v>0</v>
      </c>
      <c r="K2" s="22">
        <f t="shared" ref="K2" si="1">J2*5.86</f>
        <v>0</v>
      </c>
    </row>
    <row r="3" spans="1:14" ht="16.5" thickBot="1" x14ac:dyDescent="0.3">
      <c r="A3" s="10">
        <v>44531</v>
      </c>
      <c r="B3" s="3">
        <v>433241</v>
      </c>
      <c r="C3" s="43">
        <f t="shared" ref="C3:C8" si="2">(IF((B3-B2)&lt;0,"0",(B3-B2)))*10</f>
        <v>1220</v>
      </c>
      <c r="D3" s="3">
        <v>108</v>
      </c>
      <c r="E3" s="43">
        <f>(D3-D2)*10</f>
        <v>490</v>
      </c>
      <c r="F3" s="3">
        <v>6957200</v>
      </c>
      <c r="G3" s="43">
        <f>(IF((F3-F2)&lt;0,"0",(F3-F2)))*0.027</f>
        <v>788.4</v>
      </c>
      <c r="H3" s="3">
        <v>760727</v>
      </c>
      <c r="I3" s="48">
        <f>(IF((H3-H2)&lt;0,"0",(H3-H2)))*0.027</f>
        <v>5.6970000000000001</v>
      </c>
      <c r="J3" s="21">
        <f>C3+E3+G3+I3</f>
        <v>2504.0970000000002</v>
      </c>
      <c r="K3" s="22">
        <f>J3*5.86</f>
        <v>14674.008420000002</v>
      </c>
    </row>
    <row r="4" spans="1:14" ht="16.5" thickBot="1" x14ac:dyDescent="0.3">
      <c r="A4" s="10">
        <v>44532</v>
      </c>
      <c r="B4" s="3">
        <v>433368</v>
      </c>
      <c r="C4" s="43">
        <f t="shared" si="2"/>
        <v>1270</v>
      </c>
      <c r="D4" s="3">
        <v>159</v>
      </c>
      <c r="E4" s="43">
        <f t="shared" ref="E4:E33" si="3">(D4-D3)*10</f>
        <v>510</v>
      </c>
      <c r="F4" s="3">
        <v>6982400</v>
      </c>
      <c r="G4" s="43">
        <f>(IF((F4-F3)&lt;0,"0",(F4-F3)))*0.027</f>
        <v>680.4</v>
      </c>
      <c r="H4" s="3">
        <v>760937</v>
      </c>
      <c r="I4" s="48">
        <f>(IF((H4-H3)&lt;0,"0",(H4-H3)))*0.027</f>
        <v>5.67</v>
      </c>
      <c r="J4" s="21">
        <f t="shared" ref="J4:J33" si="4">C4+E4+G4+I4</f>
        <v>2466.0700000000002</v>
      </c>
      <c r="K4" s="22">
        <f t="shared" ref="K4:K33" si="5">J4*5.86</f>
        <v>14451.170200000002</v>
      </c>
    </row>
    <row r="5" spans="1:14" ht="16.5" thickBot="1" x14ac:dyDescent="0.3">
      <c r="A5" s="10">
        <v>44533</v>
      </c>
      <c r="B5" s="3">
        <v>433488</v>
      </c>
      <c r="C5" s="43">
        <f t="shared" si="2"/>
        <v>1200</v>
      </c>
      <c r="D5" s="3">
        <v>210</v>
      </c>
      <c r="E5" s="43">
        <f t="shared" si="3"/>
        <v>510</v>
      </c>
      <c r="F5" s="3">
        <v>7008000</v>
      </c>
      <c r="G5" s="43">
        <f t="shared" ref="G5:G33" si="6">(IF((F5-F4)&lt;0,"0",(F5-F4)))*0.027</f>
        <v>691.2</v>
      </c>
      <c r="H5" s="3">
        <v>761090</v>
      </c>
      <c r="I5" s="48">
        <f t="shared" ref="I5:I33" si="7">(IF((H5-H4)&lt;0,"0",(H5-H4)))*0.027</f>
        <v>4.1310000000000002</v>
      </c>
      <c r="J5" s="21">
        <f t="shared" si="4"/>
        <v>2405.3309999999997</v>
      </c>
      <c r="K5" s="22">
        <f t="shared" si="5"/>
        <v>14095.239659999999</v>
      </c>
    </row>
    <row r="6" spans="1:14" ht="16.5" thickBot="1" x14ac:dyDescent="0.3">
      <c r="A6" s="10">
        <v>44534</v>
      </c>
      <c r="B6" s="3">
        <v>433639</v>
      </c>
      <c r="C6" s="43">
        <f t="shared" si="2"/>
        <v>1510</v>
      </c>
      <c r="D6" s="3">
        <v>248</v>
      </c>
      <c r="E6" s="43">
        <f t="shared" si="3"/>
        <v>380</v>
      </c>
      <c r="F6" s="3">
        <v>7045600</v>
      </c>
      <c r="G6" s="43">
        <f t="shared" si="6"/>
        <v>1015.1999999999999</v>
      </c>
      <c r="H6" s="3">
        <v>761244</v>
      </c>
      <c r="I6" s="48">
        <f t="shared" si="7"/>
        <v>4.1580000000000004</v>
      </c>
      <c r="J6" s="21">
        <f t="shared" si="4"/>
        <v>2909.3579999999997</v>
      </c>
      <c r="K6" s="22">
        <f t="shared" si="5"/>
        <v>17048.837879999999</v>
      </c>
    </row>
    <row r="7" spans="1:14" ht="16.5" thickBot="1" x14ac:dyDescent="0.3">
      <c r="A7" s="10">
        <v>44535</v>
      </c>
      <c r="B7" s="3">
        <v>433757</v>
      </c>
      <c r="C7" s="43">
        <f t="shared" si="2"/>
        <v>1180</v>
      </c>
      <c r="D7" s="3">
        <v>289</v>
      </c>
      <c r="E7" s="43">
        <f t="shared" si="3"/>
        <v>410</v>
      </c>
      <c r="F7" s="3">
        <v>7070400</v>
      </c>
      <c r="G7" s="43">
        <f t="shared" si="6"/>
        <v>669.6</v>
      </c>
      <c r="H7" s="3">
        <v>761425</v>
      </c>
      <c r="I7" s="48">
        <f t="shared" si="7"/>
        <v>4.8869999999999996</v>
      </c>
      <c r="J7" s="21">
        <f t="shared" si="4"/>
        <v>2264.4870000000001</v>
      </c>
      <c r="K7" s="22">
        <f t="shared" si="5"/>
        <v>13269.893820000001</v>
      </c>
      <c r="L7" t="s">
        <v>12</v>
      </c>
      <c r="N7" t="s">
        <v>12</v>
      </c>
    </row>
    <row r="8" spans="1:14" ht="16.5" thickBot="1" x14ac:dyDescent="0.3">
      <c r="A8" s="10">
        <v>44536</v>
      </c>
      <c r="B8" s="3">
        <v>433834</v>
      </c>
      <c r="C8" s="43">
        <f t="shared" si="2"/>
        <v>770</v>
      </c>
      <c r="D8" s="3">
        <v>331</v>
      </c>
      <c r="E8" s="43">
        <f t="shared" si="3"/>
        <v>420</v>
      </c>
      <c r="F8" s="3">
        <v>7081800</v>
      </c>
      <c r="G8" s="43">
        <f t="shared" si="6"/>
        <v>307.8</v>
      </c>
      <c r="H8" s="3">
        <v>761603</v>
      </c>
      <c r="I8" s="48">
        <f t="shared" si="7"/>
        <v>4.806</v>
      </c>
      <c r="J8" s="21">
        <f t="shared" si="4"/>
        <v>1502.606</v>
      </c>
      <c r="K8" s="22">
        <f t="shared" si="5"/>
        <v>8805.2711600000002</v>
      </c>
    </row>
    <row r="9" spans="1:14" ht="16.5" thickBot="1" x14ac:dyDescent="0.3">
      <c r="A9" s="10">
        <v>44537</v>
      </c>
      <c r="B9" s="3">
        <f t="shared" ref="B8:B33" si="8">B8</f>
        <v>433834</v>
      </c>
      <c r="C9" s="43">
        <f t="shared" ref="C9:C33" si="9">(IF((B9-B8)&lt;0,"0",(B9-B8)))*10</f>
        <v>0</v>
      </c>
      <c r="D9" s="3">
        <f t="shared" ref="D8:D33" si="10">D8</f>
        <v>331</v>
      </c>
      <c r="E9" s="43">
        <f t="shared" si="3"/>
        <v>0</v>
      </c>
      <c r="F9" s="3">
        <f t="shared" ref="F8:F33" si="11">F8</f>
        <v>7081800</v>
      </c>
      <c r="G9" s="43">
        <f t="shared" si="6"/>
        <v>0</v>
      </c>
      <c r="H9" s="3">
        <f t="shared" ref="H8:H33" si="12">H8</f>
        <v>761603</v>
      </c>
      <c r="I9" s="48">
        <f t="shared" si="7"/>
        <v>0</v>
      </c>
      <c r="J9" s="21">
        <f t="shared" si="4"/>
        <v>0</v>
      </c>
      <c r="K9" s="22">
        <f t="shared" si="5"/>
        <v>0</v>
      </c>
    </row>
    <row r="10" spans="1:14" ht="16.5" thickBot="1" x14ac:dyDescent="0.3">
      <c r="A10" s="10">
        <v>44538</v>
      </c>
      <c r="B10" s="3">
        <f t="shared" si="8"/>
        <v>433834</v>
      </c>
      <c r="C10" s="43">
        <f>(IF((B10-B9)&lt;0,"0",(B10-B9)))*10</f>
        <v>0</v>
      </c>
      <c r="D10" s="3">
        <f t="shared" si="10"/>
        <v>331</v>
      </c>
      <c r="E10" s="43">
        <f t="shared" si="3"/>
        <v>0</v>
      </c>
      <c r="F10" s="3">
        <f t="shared" si="11"/>
        <v>7081800</v>
      </c>
      <c r="G10" s="43">
        <f t="shared" si="6"/>
        <v>0</v>
      </c>
      <c r="H10" s="3">
        <f t="shared" si="12"/>
        <v>761603</v>
      </c>
      <c r="I10" s="48">
        <f t="shared" si="7"/>
        <v>0</v>
      </c>
      <c r="J10" s="21">
        <f t="shared" si="4"/>
        <v>0</v>
      </c>
      <c r="K10" s="22">
        <f t="shared" si="5"/>
        <v>0</v>
      </c>
    </row>
    <row r="11" spans="1:14" ht="16.5" thickBot="1" x14ac:dyDescent="0.3">
      <c r="A11" s="10">
        <v>44539</v>
      </c>
      <c r="B11" s="3">
        <f t="shared" si="8"/>
        <v>433834</v>
      </c>
      <c r="C11" s="43">
        <f t="shared" si="9"/>
        <v>0</v>
      </c>
      <c r="D11" s="3">
        <f t="shared" si="10"/>
        <v>331</v>
      </c>
      <c r="E11" s="43">
        <f t="shared" si="3"/>
        <v>0</v>
      </c>
      <c r="F11" s="3">
        <f t="shared" si="11"/>
        <v>7081800</v>
      </c>
      <c r="G11" s="43">
        <f t="shared" si="6"/>
        <v>0</v>
      </c>
      <c r="H11" s="3">
        <f t="shared" si="12"/>
        <v>761603</v>
      </c>
      <c r="I11" s="48">
        <f t="shared" si="7"/>
        <v>0</v>
      </c>
      <c r="J11" s="21">
        <f t="shared" si="4"/>
        <v>0</v>
      </c>
      <c r="K11" s="22">
        <f t="shared" si="5"/>
        <v>0</v>
      </c>
      <c r="N11" t="s">
        <v>12</v>
      </c>
    </row>
    <row r="12" spans="1:14" ht="16.5" thickBot="1" x14ac:dyDescent="0.3">
      <c r="A12" s="10">
        <v>44540</v>
      </c>
      <c r="B12" s="3">
        <f t="shared" si="8"/>
        <v>433834</v>
      </c>
      <c r="C12" s="43">
        <f t="shared" si="9"/>
        <v>0</v>
      </c>
      <c r="D12" s="3">
        <f t="shared" si="10"/>
        <v>331</v>
      </c>
      <c r="E12" s="43">
        <f t="shared" si="3"/>
        <v>0</v>
      </c>
      <c r="F12" s="3">
        <f t="shared" si="11"/>
        <v>7081800</v>
      </c>
      <c r="G12" s="43">
        <f t="shared" si="6"/>
        <v>0</v>
      </c>
      <c r="H12" s="3">
        <f t="shared" si="12"/>
        <v>761603</v>
      </c>
      <c r="I12" s="48">
        <f t="shared" si="7"/>
        <v>0</v>
      </c>
      <c r="J12" s="21">
        <f t="shared" si="4"/>
        <v>0</v>
      </c>
      <c r="K12" s="22">
        <f t="shared" si="5"/>
        <v>0</v>
      </c>
    </row>
    <row r="13" spans="1:14" ht="16.5" thickBot="1" x14ac:dyDescent="0.3">
      <c r="A13" s="10">
        <v>44541</v>
      </c>
      <c r="B13" s="3">
        <f t="shared" si="8"/>
        <v>433834</v>
      </c>
      <c r="C13" s="43">
        <f t="shared" si="9"/>
        <v>0</v>
      </c>
      <c r="D13" s="3">
        <f t="shared" si="10"/>
        <v>331</v>
      </c>
      <c r="E13" s="43">
        <f t="shared" si="3"/>
        <v>0</v>
      </c>
      <c r="F13" s="3">
        <f t="shared" si="11"/>
        <v>7081800</v>
      </c>
      <c r="G13" s="43">
        <f t="shared" si="6"/>
        <v>0</v>
      </c>
      <c r="H13" s="3">
        <f t="shared" si="12"/>
        <v>761603</v>
      </c>
      <c r="I13" s="48">
        <f t="shared" si="7"/>
        <v>0</v>
      </c>
      <c r="J13" s="21">
        <f t="shared" si="4"/>
        <v>0</v>
      </c>
      <c r="K13" s="22">
        <f t="shared" si="5"/>
        <v>0</v>
      </c>
    </row>
    <row r="14" spans="1:14" ht="16.5" thickBot="1" x14ac:dyDescent="0.3">
      <c r="A14" s="10">
        <v>44542</v>
      </c>
      <c r="B14" s="3">
        <f t="shared" si="8"/>
        <v>433834</v>
      </c>
      <c r="C14" s="43">
        <f t="shared" si="9"/>
        <v>0</v>
      </c>
      <c r="D14" s="3">
        <f t="shared" si="10"/>
        <v>331</v>
      </c>
      <c r="E14" s="43">
        <f t="shared" si="3"/>
        <v>0</v>
      </c>
      <c r="F14" s="3">
        <f t="shared" si="11"/>
        <v>7081800</v>
      </c>
      <c r="G14" s="43">
        <f t="shared" si="6"/>
        <v>0</v>
      </c>
      <c r="H14" s="3">
        <f t="shared" si="12"/>
        <v>761603</v>
      </c>
      <c r="I14" s="48">
        <f t="shared" si="7"/>
        <v>0</v>
      </c>
      <c r="J14" s="21">
        <f t="shared" si="4"/>
        <v>0</v>
      </c>
      <c r="K14" s="22">
        <f t="shared" si="5"/>
        <v>0</v>
      </c>
    </row>
    <row r="15" spans="1:14" ht="16.5" thickBot="1" x14ac:dyDescent="0.3">
      <c r="A15" s="10">
        <v>44543</v>
      </c>
      <c r="B15" s="3">
        <f t="shared" si="8"/>
        <v>433834</v>
      </c>
      <c r="C15" s="43">
        <f t="shared" si="9"/>
        <v>0</v>
      </c>
      <c r="D15" s="3">
        <f t="shared" si="10"/>
        <v>331</v>
      </c>
      <c r="E15" s="43">
        <f t="shared" si="3"/>
        <v>0</v>
      </c>
      <c r="F15" s="3">
        <f t="shared" si="11"/>
        <v>7081800</v>
      </c>
      <c r="G15" s="43">
        <f t="shared" si="6"/>
        <v>0</v>
      </c>
      <c r="H15" s="3">
        <f t="shared" si="12"/>
        <v>761603</v>
      </c>
      <c r="I15" s="48">
        <f t="shared" si="7"/>
        <v>0</v>
      </c>
      <c r="J15" s="21">
        <f t="shared" si="4"/>
        <v>0</v>
      </c>
      <c r="K15" s="22">
        <f t="shared" si="5"/>
        <v>0</v>
      </c>
    </row>
    <row r="16" spans="1:14" ht="16.5" thickBot="1" x14ac:dyDescent="0.3">
      <c r="A16" s="10">
        <v>44544</v>
      </c>
      <c r="B16" s="3">
        <f t="shared" si="8"/>
        <v>433834</v>
      </c>
      <c r="C16" s="43">
        <f t="shared" si="9"/>
        <v>0</v>
      </c>
      <c r="D16" s="3">
        <f t="shared" si="10"/>
        <v>331</v>
      </c>
      <c r="E16" s="43">
        <f t="shared" si="3"/>
        <v>0</v>
      </c>
      <c r="F16" s="3">
        <f t="shared" si="11"/>
        <v>7081800</v>
      </c>
      <c r="G16" s="43">
        <f t="shared" si="6"/>
        <v>0</v>
      </c>
      <c r="H16" s="3">
        <f t="shared" si="12"/>
        <v>761603</v>
      </c>
      <c r="I16" s="48">
        <f t="shared" si="7"/>
        <v>0</v>
      </c>
      <c r="J16" s="21">
        <f t="shared" si="4"/>
        <v>0</v>
      </c>
      <c r="K16" s="22">
        <f t="shared" si="5"/>
        <v>0</v>
      </c>
    </row>
    <row r="17" spans="1:25" ht="16.5" thickBot="1" x14ac:dyDescent="0.3">
      <c r="A17" s="10">
        <v>44545</v>
      </c>
      <c r="B17" s="3">
        <f t="shared" si="8"/>
        <v>433834</v>
      </c>
      <c r="C17" s="43">
        <f t="shared" si="9"/>
        <v>0</v>
      </c>
      <c r="D17" s="3">
        <f t="shared" si="10"/>
        <v>331</v>
      </c>
      <c r="E17" s="43">
        <f t="shared" si="3"/>
        <v>0</v>
      </c>
      <c r="F17" s="3">
        <f t="shared" si="11"/>
        <v>7081800</v>
      </c>
      <c r="G17" s="43">
        <f t="shared" si="6"/>
        <v>0</v>
      </c>
      <c r="H17" s="3">
        <f t="shared" si="12"/>
        <v>761603</v>
      </c>
      <c r="I17" s="48">
        <f t="shared" si="7"/>
        <v>0</v>
      </c>
      <c r="J17" s="21">
        <f t="shared" si="4"/>
        <v>0</v>
      </c>
      <c r="K17" s="22">
        <f t="shared" si="5"/>
        <v>0</v>
      </c>
      <c r="P17" t="s">
        <v>12</v>
      </c>
      <c r="R17" t="s">
        <v>12</v>
      </c>
    </row>
    <row r="18" spans="1:25" ht="16.5" thickBot="1" x14ac:dyDescent="0.3">
      <c r="A18" s="10">
        <v>44546</v>
      </c>
      <c r="B18" s="3">
        <f t="shared" si="8"/>
        <v>433834</v>
      </c>
      <c r="C18" s="43">
        <f t="shared" si="9"/>
        <v>0</v>
      </c>
      <c r="D18" s="3">
        <f t="shared" si="10"/>
        <v>331</v>
      </c>
      <c r="E18" s="43">
        <f t="shared" si="3"/>
        <v>0</v>
      </c>
      <c r="F18" s="3">
        <f t="shared" si="11"/>
        <v>7081800</v>
      </c>
      <c r="G18" s="43">
        <f t="shared" si="6"/>
        <v>0</v>
      </c>
      <c r="H18" s="3">
        <f t="shared" si="12"/>
        <v>761603</v>
      </c>
      <c r="I18" s="48">
        <f t="shared" si="7"/>
        <v>0</v>
      </c>
      <c r="J18" s="21">
        <f t="shared" si="4"/>
        <v>0</v>
      </c>
      <c r="K18" s="22">
        <f t="shared" si="5"/>
        <v>0</v>
      </c>
      <c r="Q18" t="s">
        <v>43</v>
      </c>
    </row>
    <row r="19" spans="1:25" ht="16.5" thickBot="1" x14ac:dyDescent="0.3">
      <c r="A19" s="10">
        <v>44547</v>
      </c>
      <c r="B19" s="3">
        <f t="shared" si="8"/>
        <v>433834</v>
      </c>
      <c r="C19" s="43">
        <f t="shared" si="9"/>
        <v>0</v>
      </c>
      <c r="D19" s="3">
        <f t="shared" si="10"/>
        <v>331</v>
      </c>
      <c r="E19" s="43">
        <f t="shared" si="3"/>
        <v>0</v>
      </c>
      <c r="F19" s="3">
        <f t="shared" si="11"/>
        <v>7081800</v>
      </c>
      <c r="G19" s="43">
        <f t="shared" si="6"/>
        <v>0</v>
      </c>
      <c r="H19" s="3">
        <f t="shared" si="12"/>
        <v>761603</v>
      </c>
      <c r="I19" s="48">
        <f t="shared" si="7"/>
        <v>0</v>
      </c>
      <c r="J19" s="21">
        <f t="shared" si="4"/>
        <v>0</v>
      </c>
      <c r="K19" s="22">
        <f t="shared" si="5"/>
        <v>0</v>
      </c>
      <c r="Q19" t="s">
        <v>12</v>
      </c>
    </row>
    <row r="20" spans="1:25" ht="16.5" thickBot="1" x14ac:dyDescent="0.3">
      <c r="A20" s="10">
        <v>44548</v>
      </c>
      <c r="B20" s="3">
        <f t="shared" si="8"/>
        <v>433834</v>
      </c>
      <c r="C20" s="43">
        <f t="shared" si="9"/>
        <v>0</v>
      </c>
      <c r="D20" s="3">
        <f t="shared" si="10"/>
        <v>331</v>
      </c>
      <c r="E20" s="43">
        <f t="shared" si="3"/>
        <v>0</v>
      </c>
      <c r="F20" s="3">
        <f t="shared" si="11"/>
        <v>7081800</v>
      </c>
      <c r="G20" s="43">
        <f t="shared" si="6"/>
        <v>0</v>
      </c>
      <c r="H20" s="3">
        <f t="shared" si="12"/>
        <v>761603</v>
      </c>
      <c r="I20" s="48">
        <f t="shared" si="7"/>
        <v>0</v>
      </c>
      <c r="J20" s="21">
        <f t="shared" si="4"/>
        <v>0</v>
      </c>
      <c r="K20" s="22">
        <f t="shared" si="5"/>
        <v>0</v>
      </c>
    </row>
    <row r="21" spans="1:25" ht="16.5" thickBot="1" x14ac:dyDescent="0.3">
      <c r="A21" s="10">
        <v>44549</v>
      </c>
      <c r="B21" s="3">
        <f t="shared" si="8"/>
        <v>433834</v>
      </c>
      <c r="C21" s="43">
        <f t="shared" si="9"/>
        <v>0</v>
      </c>
      <c r="D21" s="3">
        <f t="shared" si="10"/>
        <v>331</v>
      </c>
      <c r="E21" s="43">
        <f t="shared" si="3"/>
        <v>0</v>
      </c>
      <c r="F21" s="3">
        <f t="shared" si="11"/>
        <v>7081800</v>
      </c>
      <c r="G21" s="43">
        <f t="shared" si="6"/>
        <v>0</v>
      </c>
      <c r="H21" s="3">
        <f t="shared" si="12"/>
        <v>761603</v>
      </c>
      <c r="I21" s="48">
        <f t="shared" si="7"/>
        <v>0</v>
      </c>
      <c r="J21" s="21">
        <f t="shared" si="4"/>
        <v>0</v>
      </c>
      <c r="K21" s="22">
        <f t="shared" si="5"/>
        <v>0</v>
      </c>
    </row>
    <row r="22" spans="1:25" ht="16.5" thickBot="1" x14ac:dyDescent="0.3">
      <c r="A22" s="10">
        <v>44550</v>
      </c>
      <c r="B22" s="3">
        <f t="shared" si="8"/>
        <v>433834</v>
      </c>
      <c r="C22" s="43">
        <f t="shared" si="9"/>
        <v>0</v>
      </c>
      <c r="D22" s="3">
        <f t="shared" si="10"/>
        <v>331</v>
      </c>
      <c r="E22" s="43">
        <f t="shared" si="3"/>
        <v>0</v>
      </c>
      <c r="F22" s="3">
        <f t="shared" si="11"/>
        <v>7081800</v>
      </c>
      <c r="G22" s="43">
        <f t="shared" si="6"/>
        <v>0</v>
      </c>
      <c r="H22" s="3">
        <f t="shared" si="12"/>
        <v>761603</v>
      </c>
      <c r="I22" s="48">
        <f t="shared" si="7"/>
        <v>0</v>
      </c>
      <c r="J22" s="21">
        <f t="shared" si="4"/>
        <v>0</v>
      </c>
      <c r="K22" s="22">
        <f t="shared" si="5"/>
        <v>0</v>
      </c>
      <c r="P22" t="s">
        <v>12</v>
      </c>
      <c r="S22" s="30" t="s">
        <v>12</v>
      </c>
    </row>
    <row r="23" spans="1:25" ht="16.5" thickBot="1" x14ac:dyDescent="0.3">
      <c r="A23" s="10">
        <v>44551</v>
      </c>
      <c r="B23" s="3">
        <f t="shared" si="8"/>
        <v>433834</v>
      </c>
      <c r="C23" s="43">
        <f t="shared" si="9"/>
        <v>0</v>
      </c>
      <c r="D23" s="3">
        <f t="shared" si="10"/>
        <v>331</v>
      </c>
      <c r="E23" s="43">
        <f t="shared" si="3"/>
        <v>0</v>
      </c>
      <c r="F23" s="3">
        <f t="shared" si="11"/>
        <v>7081800</v>
      </c>
      <c r="G23" s="43">
        <f t="shared" si="6"/>
        <v>0</v>
      </c>
      <c r="H23" s="3">
        <f t="shared" si="12"/>
        <v>761603</v>
      </c>
      <c r="I23" s="48">
        <f t="shared" si="7"/>
        <v>0</v>
      </c>
      <c r="J23" s="21">
        <f t="shared" si="4"/>
        <v>0</v>
      </c>
      <c r="K23" s="22">
        <f t="shared" si="5"/>
        <v>0</v>
      </c>
      <c r="Q23" t="s">
        <v>12</v>
      </c>
    </row>
    <row r="24" spans="1:25" ht="16.5" thickBot="1" x14ac:dyDescent="0.3">
      <c r="A24" s="10">
        <v>44552</v>
      </c>
      <c r="B24" s="3">
        <f t="shared" si="8"/>
        <v>433834</v>
      </c>
      <c r="C24" s="43">
        <f t="shared" si="9"/>
        <v>0</v>
      </c>
      <c r="D24" s="3">
        <f t="shared" si="10"/>
        <v>331</v>
      </c>
      <c r="E24" s="43">
        <f t="shared" si="3"/>
        <v>0</v>
      </c>
      <c r="F24" s="3">
        <f t="shared" si="11"/>
        <v>7081800</v>
      </c>
      <c r="G24" s="43">
        <f t="shared" si="6"/>
        <v>0</v>
      </c>
      <c r="H24" s="3">
        <f t="shared" si="12"/>
        <v>761603</v>
      </c>
      <c r="I24" s="48">
        <f t="shared" si="7"/>
        <v>0</v>
      </c>
      <c r="J24" s="21">
        <f t="shared" si="4"/>
        <v>0</v>
      </c>
      <c r="K24" s="22">
        <f t="shared" si="5"/>
        <v>0</v>
      </c>
    </row>
    <row r="25" spans="1:25" ht="17.25" customHeight="1" thickBot="1" x14ac:dyDescent="0.4">
      <c r="A25" s="10">
        <v>44553</v>
      </c>
      <c r="B25" s="3">
        <f t="shared" si="8"/>
        <v>433834</v>
      </c>
      <c r="C25" s="43">
        <f t="shared" si="9"/>
        <v>0</v>
      </c>
      <c r="D25" s="3">
        <f t="shared" si="10"/>
        <v>331</v>
      </c>
      <c r="E25" s="43">
        <f t="shared" si="3"/>
        <v>0</v>
      </c>
      <c r="F25" s="3">
        <f t="shared" si="11"/>
        <v>7081800</v>
      </c>
      <c r="G25" s="43">
        <f t="shared" si="6"/>
        <v>0</v>
      </c>
      <c r="H25" s="3">
        <f t="shared" si="12"/>
        <v>761603</v>
      </c>
      <c r="I25" s="48">
        <f t="shared" si="7"/>
        <v>0</v>
      </c>
      <c r="J25" s="21">
        <f t="shared" si="4"/>
        <v>0</v>
      </c>
      <c r="K25" s="22">
        <f t="shared" si="5"/>
        <v>0</v>
      </c>
      <c r="Y25" s="59"/>
    </row>
    <row r="26" spans="1:25" ht="16.5" thickBot="1" x14ac:dyDescent="0.3">
      <c r="A26" s="10">
        <v>44554</v>
      </c>
      <c r="B26" s="3">
        <f t="shared" si="8"/>
        <v>433834</v>
      </c>
      <c r="C26" s="43">
        <f t="shared" si="9"/>
        <v>0</v>
      </c>
      <c r="D26" s="3">
        <f t="shared" si="10"/>
        <v>331</v>
      </c>
      <c r="E26" s="43">
        <f t="shared" si="3"/>
        <v>0</v>
      </c>
      <c r="F26" s="3">
        <f t="shared" si="11"/>
        <v>7081800</v>
      </c>
      <c r="G26" s="43">
        <f t="shared" si="6"/>
        <v>0</v>
      </c>
      <c r="H26" s="3">
        <f t="shared" si="12"/>
        <v>761603</v>
      </c>
      <c r="I26" s="48">
        <f t="shared" si="7"/>
        <v>0</v>
      </c>
      <c r="J26" s="21">
        <f t="shared" si="4"/>
        <v>0</v>
      </c>
      <c r="K26" s="22">
        <f t="shared" si="5"/>
        <v>0</v>
      </c>
      <c r="L26" t="s">
        <v>12</v>
      </c>
    </row>
    <row r="27" spans="1:25" ht="16.5" thickBot="1" x14ac:dyDescent="0.3">
      <c r="A27" s="10">
        <v>44555</v>
      </c>
      <c r="B27" s="3">
        <f t="shared" si="8"/>
        <v>433834</v>
      </c>
      <c r="C27" s="43">
        <f t="shared" si="9"/>
        <v>0</v>
      </c>
      <c r="D27" s="3">
        <f t="shared" si="10"/>
        <v>331</v>
      </c>
      <c r="E27" s="43">
        <f t="shared" si="3"/>
        <v>0</v>
      </c>
      <c r="F27" s="3">
        <f t="shared" si="11"/>
        <v>7081800</v>
      </c>
      <c r="G27" s="43">
        <f t="shared" si="6"/>
        <v>0</v>
      </c>
      <c r="H27" s="3">
        <f t="shared" si="12"/>
        <v>761603</v>
      </c>
      <c r="I27" s="48">
        <f t="shared" si="7"/>
        <v>0</v>
      </c>
      <c r="J27" s="21">
        <f t="shared" si="4"/>
        <v>0</v>
      </c>
      <c r="K27" s="22">
        <f t="shared" si="5"/>
        <v>0</v>
      </c>
      <c r="O27" t="s">
        <v>12</v>
      </c>
    </row>
    <row r="28" spans="1:25" ht="16.5" thickBot="1" x14ac:dyDescent="0.3">
      <c r="A28" s="10">
        <v>44556</v>
      </c>
      <c r="B28" s="3">
        <f t="shared" si="8"/>
        <v>433834</v>
      </c>
      <c r="C28" s="43">
        <f t="shared" si="9"/>
        <v>0</v>
      </c>
      <c r="D28" s="3">
        <f t="shared" si="10"/>
        <v>331</v>
      </c>
      <c r="E28" s="43">
        <f t="shared" si="3"/>
        <v>0</v>
      </c>
      <c r="F28" s="3">
        <f t="shared" si="11"/>
        <v>7081800</v>
      </c>
      <c r="G28" s="43">
        <f t="shared" si="6"/>
        <v>0</v>
      </c>
      <c r="H28" s="3">
        <f t="shared" si="12"/>
        <v>761603</v>
      </c>
      <c r="I28" s="48">
        <f t="shared" si="7"/>
        <v>0</v>
      </c>
      <c r="J28" s="21">
        <f t="shared" si="4"/>
        <v>0</v>
      </c>
      <c r="K28" s="22">
        <f t="shared" si="5"/>
        <v>0</v>
      </c>
    </row>
    <row r="29" spans="1:25" ht="16.5" thickBot="1" x14ac:dyDescent="0.3">
      <c r="A29" s="10">
        <v>44557</v>
      </c>
      <c r="B29" s="3">
        <f t="shared" si="8"/>
        <v>433834</v>
      </c>
      <c r="C29" s="43">
        <f t="shared" si="9"/>
        <v>0</v>
      </c>
      <c r="D29" s="3">
        <f t="shared" si="10"/>
        <v>331</v>
      </c>
      <c r="E29" s="43">
        <f t="shared" si="3"/>
        <v>0</v>
      </c>
      <c r="F29" s="3">
        <f t="shared" si="11"/>
        <v>7081800</v>
      </c>
      <c r="G29" s="43">
        <f t="shared" si="6"/>
        <v>0</v>
      </c>
      <c r="H29" s="3">
        <f t="shared" si="12"/>
        <v>761603</v>
      </c>
      <c r="I29" s="48">
        <f t="shared" si="7"/>
        <v>0</v>
      </c>
      <c r="J29" s="21">
        <f t="shared" si="4"/>
        <v>0</v>
      </c>
      <c r="K29" s="22">
        <f t="shared" si="5"/>
        <v>0</v>
      </c>
    </row>
    <row r="30" spans="1:25" ht="16.5" thickBot="1" x14ac:dyDescent="0.3">
      <c r="A30" s="10">
        <v>44558</v>
      </c>
      <c r="B30" s="3">
        <f t="shared" si="8"/>
        <v>433834</v>
      </c>
      <c r="C30" s="43">
        <f t="shared" si="9"/>
        <v>0</v>
      </c>
      <c r="D30" s="3">
        <f t="shared" si="10"/>
        <v>331</v>
      </c>
      <c r="E30" s="43">
        <f t="shared" si="3"/>
        <v>0</v>
      </c>
      <c r="F30" s="3">
        <f t="shared" si="11"/>
        <v>7081800</v>
      </c>
      <c r="G30" s="43">
        <f t="shared" si="6"/>
        <v>0</v>
      </c>
      <c r="H30" s="3">
        <f t="shared" si="12"/>
        <v>761603</v>
      </c>
      <c r="I30" s="48">
        <f t="shared" si="7"/>
        <v>0</v>
      </c>
      <c r="J30" s="21">
        <f t="shared" si="4"/>
        <v>0</v>
      </c>
      <c r="K30" s="22">
        <f t="shared" si="5"/>
        <v>0</v>
      </c>
    </row>
    <row r="31" spans="1:25" ht="16.5" thickBot="1" x14ac:dyDescent="0.3">
      <c r="A31" s="10">
        <v>44559</v>
      </c>
      <c r="B31" s="3">
        <f t="shared" si="8"/>
        <v>433834</v>
      </c>
      <c r="C31" s="43">
        <f t="shared" si="9"/>
        <v>0</v>
      </c>
      <c r="D31" s="3">
        <f t="shared" si="10"/>
        <v>331</v>
      </c>
      <c r="E31" s="43">
        <f t="shared" si="3"/>
        <v>0</v>
      </c>
      <c r="F31" s="3">
        <f t="shared" si="11"/>
        <v>7081800</v>
      </c>
      <c r="G31" s="43">
        <f t="shared" si="6"/>
        <v>0</v>
      </c>
      <c r="H31" s="3">
        <f t="shared" si="12"/>
        <v>761603</v>
      </c>
      <c r="I31" s="48">
        <f t="shared" si="7"/>
        <v>0</v>
      </c>
      <c r="J31" s="21">
        <f t="shared" si="4"/>
        <v>0</v>
      </c>
      <c r="K31" s="22">
        <f t="shared" si="5"/>
        <v>0</v>
      </c>
    </row>
    <row r="32" spans="1:25" ht="16.5" thickBot="1" x14ac:dyDescent="0.3">
      <c r="A32" s="10">
        <v>44560</v>
      </c>
      <c r="B32" s="3">
        <f t="shared" si="8"/>
        <v>433834</v>
      </c>
      <c r="C32" s="43">
        <f t="shared" si="9"/>
        <v>0</v>
      </c>
      <c r="D32" s="3">
        <f t="shared" si="10"/>
        <v>331</v>
      </c>
      <c r="E32" s="43">
        <f t="shared" si="3"/>
        <v>0</v>
      </c>
      <c r="F32" s="3">
        <f t="shared" si="11"/>
        <v>7081800</v>
      </c>
      <c r="G32" s="43">
        <f t="shared" si="6"/>
        <v>0</v>
      </c>
      <c r="H32" s="3">
        <f t="shared" si="12"/>
        <v>761603</v>
      </c>
      <c r="I32" s="48">
        <f t="shared" si="7"/>
        <v>0</v>
      </c>
      <c r="J32" s="21">
        <f t="shared" si="4"/>
        <v>0</v>
      </c>
      <c r="K32" s="22">
        <f t="shared" si="5"/>
        <v>0</v>
      </c>
    </row>
    <row r="33" spans="1:11" ht="16.5" thickBot="1" x14ac:dyDescent="0.3">
      <c r="A33" s="10">
        <v>44561</v>
      </c>
      <c r="B33" s="3">
        <f t="shared" si="8"/>
        <v>433834</v>
      </c>
      <c r="C33" s="43">
        <f t="shared" si="9"/>
        <v>0</v>
      </c>
      <c r="D33" s="3">
        <f t="shared" si="10"/>
        <v>331</v>
      </c>
      <c r="E33" s="43">
        <f t="shared" si="3"/>
        <v>0</v>
      </c>
      <c r="F33" s="3">
        <f t="shared" si="11"/>
        <v>7081800</v>
      </c>
      <c r="G33" s="43">
        <f t="shared" si="6"/>
        <v>0</v>
      </c>
      <c r="H33" s="3">
        <f t="shared" si="12"/>
        <v>761603</v>
      </c>
      <c r="I33" s="48">
        <f t="shared" si="7"/>
        <v>0</v>
      </c>
      <c r="J33" s="21">
        <f t="shared" si="4"/>
        <v>0</v>
      </c>
      <c r="K33" s="22">
        <f t="shared" si="5"/>
        <v>0</v>
      </c>
    </row>
    <row r="34" spans="1:11" ht="21" thickBot="1" x14ac:dyDescent="0.3">
      <c r="A34" s="9" t="s">
        <v>23</v>
      </c>
      <c r="B34" s="3"/>
      <c r="C34" s="60">
        <f>SUM(C4:C33)</f>
        <v>5930</v>
      </c>
      <c r="D34" s="3"/>
      <c r="E34" s="60">
        <f>SUM(E4:E33)</f>
        <v>2230</v>
      </c>
      <c r="F34" s="3"/>
      <c r="G34" s="60">
        <f>SUM(G4:G33)</f>
        <v>3364.2</v>
      </c>
      <c r="H34" s="3"/>
      <c r="I34" s="60">
        <f>SUM(I4:I33)</f>
        <v>23.652000000000001</v>
      </c>
      <c r="J34" s="60">
        <f>SUM(J4:J33)</f>
        <v>11547.851999999999</v>
      </c>
      <c r="K34" s="60">
        <f>SUM(K4:K33)</f>
        <v>67670.412720000008</v>
      </c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Views>
    <sheetView zoomScale="80" zoomScaleNormal="55" zoomScaleSheetLayoutView="80" workbookViewId="0">
      <pane xSplit="1" topLeftCell="B1" activePane="topRight" state="frozen"/>
      <selection pane="topRight" activeCell="B9" sqref="B9"/>
    </sheetView>
  </sheetViews>
  <sheetFormatPr defaultRowHeight="23.25" x14ac:dyDescent="0.35"/>
  <cols>
    <col min="1" max="1" width="37.140625" style="18" customWidth="1"/>
    <col min="2" max="2" width="37.140625" customWidth="1"/>
    <col min="3" max="3" width="37.140625" style="50" customWidth="1"/>
    <col min="4" max="4" width="8.5703125" bestFit="1" customWidth="1"/>
    <col min="5" max="5" width="9.28515625" customWidth="1"/>
    <col min="6" max="6" width="11" customWidth="1"/>
    <col min="7" max="7" width="9.7109375" customWidth="1"/>
  </cols>
  <sheetData>
    <row r="1" spans="1:9" ht="24" thickBot="1" x14ac:dyDescent="0.4">
      <c r="A1" s="27" t="s">
        <v>0</v>
      </c>
      <c r="B1" s="28" t="s">
        <v>42</v>
      </c>
      <c r="C1" s="29" t="s">
        <v>25</v>
      </c>
    </row>
    <row r="2" spans="1:9" ht="24" thickBot="1" x14ac:dyDescent="0.4">
      <c r="A2" s="10">
        <v>44530</v>
      </c>
      <c r="B2" s="137">
        <v>17783497</v>
      </c>
      <c r="C2" s="49">
        <v>0</v>
      </c>
    </row>
    <row r="3" spans="1:9" ht="24" thickBot="1" x14ac:dyDescent="0.4">
      <c r="A3" s="10">
        <v>44531</v>
      </c>
      <c r="B3" s="137">
        <v>17785821</v>
      </c>
      <c r="C3" s="49">
        <f>IF((B3-B2)&lt;0,"0",(B3-B2))</f>
        <v>2324</v>
      </c>
    </row>
    <row r="4" spans="1:9" ht="24" thickBot="1" x14ac:dyDescent="0.4">
      <c r="A4" s="10">
        <v>44532</v>
      </c>
      <c r="B4" s="137">
        <v>17788190</v>
      </c>
      <c r="C4" s="49">
        <f t="shared" ref="C4:C33" si="0">IF((B4-B3)&lt;0,"0",(B4-B3))</f>
        <v>2369</v>
      </c>
    </row>
    <row r="5" spans="1:9" ht="24" thickBot="1" x14ac:dyDescent="0.4">
      <c r="A5" s="10">
        <v>44533</v>
      </c>
      <c r="B5" s="137">
        <v>17791316</v>
      </c>
      <c r="C5" s="49">
        <f t="shared" si="0"/>
        <v>3126</v>
      </c>
    </row>
    <row r="6" spans="1:9" ht="24" thickBot="1" x14ac:dyDescent="0.4">
      <c r="A6" s="10">
        <v>44534</v>
      </c>
      <c r="B6" s="137">
        <v>17794048</v>
      </c>
      <c r="C6" s="49">
        <f>IF((B6-B5)&lt;0,"0",(B6-B5))</f>
        <v>2732</v>
      </c>
    </row>
    <row r="7" spans="1:9" ht="24" thickBot="1" x14ac:dyDescent="0.4">
      <c r="A7" s="10">
        <v>44535</v>
      </c>
      <c r="B7" s="137">
        <v>17796425</v>
      </c>
      <c r="C7" s="49">
        <f>IF((B7-B6)&lt;0,"0",(B7-B6))</f>
        <v>2377</v>
      </c>
    </row>
    <row r="8" spans="1:9" ht="24" thickBot="1" x14ac:dyDescent="0.4">
      <c r="A8" s="10">
        <v>44536</v>
      </c>
      <c r="B8" s="137">
        <v>17798924</v>
      </c>
      <c r="C8" s="49">
        <f>IF((B8-B7)&lt;0,"0",(B8-B7))</f>
        <v>2499</v>
      </c>
    </row>
    <row r="9" spans="1:9" ht="24" thickBot="1" x14ac:dyDescent="0.4">
      <c r="A9" s="10">
        <v>44537</v>
      </c>
      <c r="B9" s="137">
        <f t="shared" ref="B8:B33" si="1">B8</f>
        <v>17798924</v>
      </c>
      <c r="C9" s="49">
        <f>IF((B9-B8)&lt;0,"0",(B9-B8))</f>
        <v>0</v>
      </c>
    </row>
    <row r="10" spans="1:9" ht="24" thickBot="1" x14ac:dyDescent="0.4">
      <c r="A10" s="10">
        <v>44538</v>
      </c>
      <c r="B10" s="137">
        <f t="shared" si="1"/>
        <v>17798924</v>
      </c>
      <c r="C10" s="49">
        <f t="shared" si="0"/>
        <v>0</v>
      </c>
    </row>
    <row r="11" spans="1:9" ht="24" thickBot="1" x14ac:dyDescent="0.4">
      <c r="A11" s="10">
        <v>44539</v>
      </c>
      <c r="B11" s="137">
        <f t="shared" si="1"/>
        <v>17798924</v>
      </c>
      <c r="C11" s="49">
        <f>IF((B11-B10)&lt;0,"0",(B11-B10))</f>
        <v>0</v>
      </c>
    </row>
    <row r="12" spans="1:9" ht="24" thickBot="1" x14ac:dyDescent="0.4">
      <c r="A12" s="10">
        <v>44540</v>
      </c>
      <c r="B12" s="137">
        <f t="shared" si="1"/>
        <v>17798924</v>
      </c>
      <c r="C12" s="49">
        <f t="shared" si="0"/>
        <v>0</v>
      </c>
    </row>
    <row r="13" spans="1:9" ht="24" thickBot="1" x14ac:dyDescent="0.4">
      <c r="A13" s="10">
        <v>44541</v>
      </c>
      <c r="B13" s="137">
        <f t="shared" si="1"/>
        <v>17798924</v>
      </c>
      <c r="C13" s="49">
        <f t="shared" si="0"/>
        <v>0</v>
      </c>
    </row>
    <row r="14" spans="1:9" ht="24" thickBot="1" x14ac:dyDescent="0.4">
      <c r="A14" s="10">
        <v>44542</v>
      </c>
      <c r="B14" s="137">
        <f t="shared" si="1"/>
        <v>17798924</v>
      </c>
      <c r="C14" s="49">
        <f t="shared" si="0"/>
        <v>0</v>
      </c>
    </row>
    <row r="15" spans="1:9" ht="24" thickBot="1" x14ac:dyDescent="0.4">
      <c r="A15" s="10">
        <v>44543</v>
      </c>
      <c r="B15" s="137">
        <f t="shared" si="1"/>
        <v>17798924</v>
      </c>
      <c r="C15" s="49">
        <f t="shared" si="0"/>
        <v>0</v>
      </c>
      <c r="I15" t="s">
        <v>12</v>
      </c>
    </row>
    <row r="16" spans="1:9" ht="26.25" customHeight="1" thickBot="1" x14ac:dyDescent="0.4">
      <c r="A16" s="10">
        <v>44544</v>
      </c>
      <c r="B16" s="137">
        <f t="shared" si="1"/>
        <v>17798924</v>
      </c>
      <c r="C16" s="49">
        <f t="shared" si="0"/>
        <v>0</v>
      </c>
    </row>
    <row r="17" spans="1:9" ht="25.5" customHeight="1" thickBot="1" x14ac:dyDescent="0.4">
      <c r="A17" s="10">
        <v>44545</v>
      </c>
      <c r="B17" s="137">
        <f t="shared" si="1"/>
        <v>17798924</v>
      </c>
      <c r="C17" s="49">
        <f t="shared" si="0"/>
        <v>0</v>
      </c>
    </row>
    <row r="18" spans="1:9" ht="24" thickBot="1" x14ac:dyDescent="0.4">
      <c r="A18" s="10">
        <v>44546</v>
      </c>
      <c r="B18" s="137">
        <f t="shared" si="1"/>
        <v>17798924</v>
      </c>
      <c r="C18" s="49">
        <f t="shared" si="0"/>
        <v>0</v>
      </c>
    </row>
    <row r="19" spans="1:9" ht="24" thickBot="1" x14ac:dyDescent="0.4">
      <c r="A19" s="10">
        <v>44547</v>
      </c>
      <c r="B19" s="137">
        <f t="shared" si="1"/>
        <v>17798924</v>
      </c>
      <c r="C19" s="49">
        <f t="shared" si="0"/>
        <v>0</v>
      </c>
    </row>
    <row r="20" spans="1:9" ht="24" thickBot="1" x14ac:dyDescent="0.4">
      <c r="A20" s="10">
        <v>44548</v>
      </c>
      <c r="B20" s="137">
        <f t="shared" si="1"/>
        <v>17798924</v>
      </c>
      <c r="C20" s="49">
        <f t="shared" si="0"/>
        <v>0</v>
      </c>
    </row>
    <row r="21" spans="1:9" ht="24" thickBot="1" x14ac:dyDescent="0.4">
      <c r="A21" s="10">
        <v>44549</v>
      </c>
      <c r="B21" s="137">
        <f t="shared" si="1"/>
        <v>17798924</v>
      </c>
      <c r="C21" s="49">
        <f t="shared" si="0"/>
        <v>0</v>
      </c>
    </row>
    <row r="22" spans="1:9" ht="24" thickBot="1" x14ac:dyDescent="0.4">
      <c r="A22" s="10">
        <v>44550</v>
      </c>
      <c r="B22" s="137">
        <f t="shared" si="1"/>
        <v>17798924</v>
      </c>
      <c r="C22" s="49">
        <f t="shared" si="0"/>
        <v>0</v>
      </c>
    </row>
    <row r="23" spans="1:9" ht="24" thickBot="1" x14ac:dyDescent="0.4">
      <c r="A23" s="10">
        <v>44551</v>
      </c>
      <c r="B23" s="137">
        <f t="shared" si="1"/>
        <v>17798924</v>
      </c>
      <c r="C23" s="49">
        <f t="shared" si="0"/>
        <v>0</v>
      </c>
      <c r="F23" t="s">
        <v>12</v>
      </c>
    </row>
    <row r="24" spans="1:9" ht="24" thickBot="1" x14ac:dyDescent="0.4">
      <c r="A24" s="10">
        <v>44552</v>
      </c>
      <c r="B24" s="137">
        <f t="shared" si="1"/>
        <v>17798924</v>
      </c>
      <c r="C24" s="49">
        <f t="shared" si="0"/>
        <v>0</v>
      </c>
      <c r="E24" t="s">
        <v>12</v>
      </c>
    </row>
    <row r="25" spans="1:9" ht="24" thickBot="1" x14ac:dyDescent="0.4">
      <c r="A25" s="10">
        <v>44553</v>
      </c>
      <c r="B25" s="137">
        <f t="shared" si="1"/>
        <v>17798924</v>
      </c>
      <c r="C25" s="49">
        <f t="shared" si="0"/>
        <v>0</v>
      </c>
    </row>
    <row r="26" spans="1:9" ht="24" thickBot="1" x14ac:dyDescent="0.4">
      <c r="A26" s="10">
        <v>44554</v>
      </c>
      <c r="B26" s="137">
        <f t="shared" si="1"/>
        <v>17798924</v>
      </c>
      <c r="C26" s="49">
        <f t="shared" si="0"/>
        <v>0</v>
      </c>
    </row>
    <row r="27" spans="1:9" ht="24" thickBot="1" x14ac:dyDescent="0.4">
      <c r="A27" s="10">
        <v>44555</v>
      </c>
      <c r="B27" s="137">
        <f t="shared" si="1"/>
        <v>17798924</v>
      </c>
      <c r="C27" s="49">
        <f t="shared" si="0"/>
        <v>0</v>
      </c>
    </row>
    <row r="28" spans="1:9" ht="24" thickBot="1" x14ac:dyDescent="0.4">
      <c r="A28" s="10">
        <v>44556</v>
      </c>
      <c r="B28" s="137">
        <f t="shared" si="1"/>
        <v>17798924</v>
      </c>
      <c r="C28" s="49">
        <f t="shared" si="0"/>
        <v>0</v>
      </c>
      <c r="I28" t="s">
        <v>12</v>
      </c>
    </row>
    <row r="29" spans="1:9" ht="24" thickBot="1" x14ac:dyDescent="0.4">
      <c r="A29" s="10">
        <v>44557</v>
      </c>
      <c r="B29" s="137">
        <f t="shared" si="1"/>
        <v>17798924</v>
      </c>
      <c r="C29" s="49">
        <f t="shared" si="0"/>
        <v>0</v>
      </c>
    </row>
    <row r="30" spans="1:9" ht="24" thickBot="1" x14ac:dyDescent="0.4">
      <c r="A30" s="10">
        <v>44558</v>
      </c>
      <c r="B30" s="137">
        <f t="shared" si="1"/>
        <v>17798924</v>
      </c>
      <c r="C30" s="49">
        <f t="shared" si="0"/>
        <v>0</v>
      </c>
    </row>
    <row r="31" spans="1:9" ht="24" thickBot="1" x14ac:dyDescent="0.4">
      <c r="A31" s="10">
        <v>44559</v>
      </c>
      <c r="B31" s="137">
        <f t="shared" si="1"/>
        <v>17798924</v>
      </c>
      <c r="C31" s="49">
        <f t="shared" si="0"/>
        <v>0</v>
      </c>
    </row>
    <row r="32" spans="1:9" ht="24" thickBot="1" x14ac:dyDescent="0.4">
      <c r="A32" s="10">
        <v>44560</v>
      </c>
      <c r="B32" s="137">
        <f t="shared" si="1"/>
        <v>17798924</v>
      </c>
      <c r="C32" s="49">
        <f t="shared" si="0"/>
        <v>0</v>
      </c>
    </row>
    <row r="33" spans="1:3" ht="24" thickBot="1" x14ac:dyDescent="0.4">
      <c r="A33" s="10">
        <v>44561</v>
      </c>
      <c r="B33" s="137">
        <f t="shared" si="1"/>
        <v>17798924</v>
      </c>
      <c r="C33" s="49">
        <f t="shared" si="0"/>
        <v>0</v>
      </c>
    </row>
    <row r="34" spans="1:3" ht="24" thickBot="1" x14ac:dyDescent="0.4">
      <c r="A34" s="170" t="s">
        <v>138</v>
      </c>
      <c r="B34" s="171"/>
      <c r="C34" s="140">
        <f>SUM(C4:C33)</f>
        <v>13103</v>
      </c>
    </row>
  </sheetData>
  <mergeCells count="1">
    <mergeCell ref="A34:B34"/>
  </mergeCells>
  <phoneticPr fontId="0" type="noConversion"/>
  <pageMargins left="0.75" right="0.75" top="1" bottom="1" header="0.5" footer="0.5"/>
  <pageSetup paperSize="9" scale="79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37"/>
  <sheetViews>
    <sheetView topLeftCell="J1" zoomScale="90" zoomScaleNormal="90" workbookViewId="0">
      <pane ySplit="1" topLeftCell="A2" activePane="bottomLeft" state="frozen"/>
      <selection pane="bottomLeft" activeCell="AG8" sqref="AG8"/>
    </sheetView>
  </sheetViews>
  <sheetFormatPr defaultRowHeight="12.75" x14ac:dyDescent="0.2"/>
  <cols>
    <col min="1" max="1" width="20.85546875" bestFit="1" customWidth="1"/>
    <col min="2" max="2" width="12.85546875" style="167" bestFit="1" customWidth="1"/>
    <col min="3" max="3" width="14.85546875" style="40" customWidth="1"/>
    <col min="4" max="4" width="10.7109375" customWidth="1"/>
    <col min="5" max="5" width="11.28515625" customWidth="1"/>
    <col min="6" max="6" width="14.5703125" style="40" customWidth="1"/>
    <col min="7" max="7" width="10.7109375" customWidth="1"/>
    <col min="8" max="8" width="13.5703125" customWidth="1"/>
    <col min="9" max="9" width="12.85546875" style="40" bestFit="1" customWidth="1"/>
    <col min="10" max="10" width="10.7109375" customWidth="1"/>
    <col min="11" max="11" width="13.42578125" customWidth="1"/>
    <col min="12" max="12" width="12.42578125" style="40" customWidth="1"/>
    <col min="13" max="13" width="10.7109375" customWidth="1"/>
    <col min="14" max="14" width="11.28515625" bestFit="1" customWidth="1"/>
    <col min="15" max="15" width="12.42578125" style="40" customWidth="1"/>
    <col min="16" max="16" width="10.7109375" customWidth="1"/>
    <col min="17" max="17" width="11.7109375" customWidth="1"/>
    <col min="18" max="18" width="11.28515625" style="40" customWidth="1"/>
    <col min="19" max="19" width="10.7109375" customWidth="1"/>
    <col min="20" max="20" width="14.7109375" customWidth="1"/>
    <col min="21" max="21" width="18" customWidth="1"/>
    <col min="22" max="22" width="3" customWidth="1"/>
    <col min="23" max="23" width="11" style="161" bestFit="1" customWidth="1"/>
    <col min="24" max="24" width="22.28515625" bestFit="1" customWidth="1"/>
    <col min="25" max="25" width="13.140625" bestFit="1" customWidth="1"/>
    <col min="26" max="26" width="16.5703125" bestFit="1" customWidth="1"/>
    <col min="28" max="29" width="14.28515625" customWidth="1"/>
  </cols>
  <sheetData>
    <row r="1" spans="1:33" ht="16.5" thickBot="1" x14ac:dyDescent="0.3">
      <c r="A1" s="2" t="s">
        <v>0</v>
      </c>
      <c r="B1" s="164" t="s">
        <v>1</v>
      </c>
      <c r="C1" s="47" t="s">
        <v>2</v>
      </c>
      <c r="D1" s="31" t="s">
        <v>3</v>
      </c>
      <c r="E1" s="3" t="s">
        <v>4</v>
      </c>
      <c r="F1" s="47" t="s">
        <v>2</v>
      </c>
      <c r="G1" s="31" t="s">
        <v>3</v>
      </c>
      <c r="H1" s="3" t="s">
        <v>5</v>
      </c>
      <c r="I1" s="47" t="s">
        <v>6</v>
      </c>
      <c r="J1" s="31" t="s">
        <v>3</v>
      </c>
      <c r="K1" s="3" t="s">
        <v>7</v>
      </c>
      <c r="L1" s="47" t="s">
        <v>6</v>
      </c>
      <c r="M1" s="31" t="s">
        <v>3</v>
      </c>
      <c r="N1" s="4" t="s">
        <v>8</v>
      </c>
      <c r="O1" s="47" t="s">
        <v>6</v>
      </c>
      <c r="P1" s="31" t="s">
        <v>3</v>
      </c>
      <c r="Q1" s="4" t="s">
        <v>9</v>
      </c>
      <c r="R1" s="47" t="s">
        <v>6</v>
      </c>
      <c r="S1" s="31" t="s">
        <v>3</v>
      </c>
      <c r="T1" s="5" t="s">
        <v>10</v>
      </c>
      <c r="U1" s="33" t="s">
        <v>11</v>
      </c>
      <c r="W1" s="172" t="s">
        <v>142</v>
      </c>
      <c r="X1" s="173"/>
      <c r="Y1" s="173"/>
      <c r="Z1" s="173"/>
      <c r="AA1" s="174"/>
      <c r="AB1" s="175" t="s">
        <v>144</v>
      </c>
      <c r="AC1" s="173"/>
      <c r="AD1" s="175" t="s">
        <v>146</v>
      </c>
      <c r="AE1" s="173"/>
      <c r="AF1" s="172" t="s">
        <v>147</v>
      </c>
      <c r="AG1" s="173"/>
    </row>
    <row r="2" spans="1:33" ht="16.5" thickBot="1" x14ac:dyDescent="0.25">
      <c r="A2" s="10">
        <v>44530</v>
      </c>
      <c r="B2" s="165">
        <v>22709.433000000001</v>
      </c>
      <c r="C2" s="48">
        <v>0</v>
      </c>
      <c r="D2" s="32">
        <f t="shared" ref="D2:D3" si="0">C2*1.9*1000</f>
        <v>0</v>
      </c>
      <c r="E2" s="1">
        <v>4061.5030000000002</v>
      </c>
      <c r="F2" s="48">
        <v>0</v>
      </c>
      <c r="G2" s="32">
        <f t="shared" ref="G2:G3" si="1">F2*1.9*1000</f>
        <v>0</v>
      </c>
      <c r="H2" s="1">
        <v>4419</v>
      </c>
      <c r="I2" s="48">
        <v>0</v>
      </c>
      <c r="J2" s="32">
        <f t="shared" ref="J2:J3" si="2">I2*1.9*1000</f>
        <v>0</v>
      </c>
      <c r="K2" s="7">
        <v>13846.56</v>
      </c>
      <c r="L2" s="48">
        <v>0</v>
      </c>
      <c r="M2" s="32">
        <f t="shared" ref="M2:M3" si="3">L2*1.9*1000</f>
        <v>0</v>
      </c>
      <c r="N2" s="7">
        <v>3334.1210000000001</v>
      </c>
      <c r="O2" s="48">
        <v>0</v>
      </c>
      <c r="P2" s="32">
        <f t="shared" ref="P2:P3" si="4">O2*1.9*1000</f>
        <v>0</v>
      </c>
      <c r="Q2" s="7">
        <v>5280.91</v>
      </c>
      <c r="R2" s="48">
        <v>0</v>
      </c>
      <c r="S2" s="32">
        <f t="shared" ref="S2:S3" si="5">R2*1.9*1000</f>
        <v>0</v>
      </c>
      <c r="T2" s="8">
        <f t="shared" ref="T2" si="6">C2+F2+I2+L2+O2+R2</f>
        <v>0</v>
      </c>
      <c r="U2" s="34">
        <f t="shared" ref="U2:U3" si="7">T2*1.9*1000</f>
        <v>0</v>
      </c>
      <c r="W2" s="162">
        <v>44530</v>
      </c>
      <c r="X2" s="163">
        <v>159608</v>
      </c>
      <c r="Y2" s="169">
        <v>0</v>
      </c>
      <c r="Z2" s="163">
        <v>7989</v>
      </c>
      <c r="AA2" s="169">
        <v>0</v>
      </c>
      <c r="AB2" s="163">
        <v>13.66</v>
      </c>
      <c r="AC2" s="169">
        <v>0</v>
      </c>
      <c r="AD2" s="163">
        <v>9</v>
      </c>
      <c r="AE2" s="169">
        <v>0</v>
      </c>
      <c r="AF2" s="163">
        <v>4682</v>
      </c>
      <c r="AG2" s="169">
        <v>0</v>
      </c>
    </row>
    <row r="3" spans="1:33" ht="16.5" thickBot="1" x14ac:dyDescent="0.25">
      <c r="A3" s="10">
        <v>44531</v>
      </c>
      <c r="B3" s="165">
        <v>22712.169000000002</v>
      </c>
      <c r="C3" s="48">
        <f t="shared" ref="C3" si="8">IF((B3-B2)&lt;0,"0",(B3-B2))</f>
        <v>2.7360000000007858</v>
      </c>
      <c r="D3" s="32">
        <f t="shared" si="0"/>
        <v>5198.4000000014921</v>
      </c>
      <c r="E3" s="1">
        <v>4062.415</v>
      </c>
      <c r="F3" s="48">
        <f t="shared" ref="F3" si="9">IF((E3-E2)&lt;0,"0",(E3-E2))</f>
        <v>0.91199999999980719</v>
      </c>
      <c r="G3" s="32">
        <f t="shared" si="1"/>
        <v>1732.7999999996334</v>
      </c>
      <c r="H3" s="1">
        <v>4422</v>
      </c>
      <c r="I3" s="48">
        <f t="shared" ref="I3" si="10">IF((H3-H2)&lt;0,"0",(H3-H2))</f>
        <v>3</v>
      </c>
      <c r="J3" s="32">
        <f t="shared" si="2"/>
        <v>5699.9999999999991</v>
      </c>
      <c r="K3" s="7">
        <v>13847.36</v>
      </c>
      <c r="L3" s="48">
        <f t="shared" ref="L3" si="11">IF((K3-K2)&lt;0,"0",(K3-K2))</f>
        <v>0.80000000000109139</v>
      </c>
      <c r="M3" s="32">
        <f t="shared" si="3"/>
        <v>1520.0000000020734</v>
      </c>
      <c r="N3" s="7">
        <v>3335.038</v>
      </c>
      <c r="O3" s="48">
        <f t="shared" ref="O3" si="12">IF((N3-N2)&lt;0,"0",(N3-N2))</f>
        <v>0.91699999999991633</v>
      </c>
      <c r="P3" s="32">
        <f t="shared" si="4"/>
        <v>1742.299999999841</v>
      </c>
      <c r="Q3" s="7">
        <v>5281.6</v>
      </c>
      <c r="R3" s="48">
        <f t="shared" ref="R3" si="13">IF((Q3-Q2)&lt;0,"0",(Q3-Q2))</f>
        <v>0.69000000000050932</v>
      </c>
      <c r="S3" s="32">
        <f t="shared" si="5"/>
        <v>1311.0000000009677</v>
      </c>
      <c r="T3" s="8">
        <f>C3+F3+I3+L3+O3+R3</f>
        <v>9.05500000000211</v>
      </c>
      <c r="U3" s="34">
        <f t="shared" si="7"/>
        <v>17204.500000004005</v>
      </c>
      <c r="W3" s="162">
        <v>44531</v>
      </c>
      <c r="X3" s="163">
        <v>159891</v>
      </c>
      <c r="Y3" s="168">
        <f t="shared" ref="Y3" si="14">X3-X2</f>
        <v>283</v>
      </c>
      <c r="Z3" s="163">
        <v>8000</v>
      </c>
      <c r="AA3" s="168">
        <f>Z3-Z2</f>
        <v>11</v>
      </c>
      <c r="AB3" s="163">
        <v>13.66</v>
      </c>
      <c r="AC3" s="169">
        <v>0</v>
      </c>
      <c r="AD3" s="163">
        <v>10</v>
      </c>
      <c r="AE3" s="168">
        <f>AD3-AD2</f>
        <v>1</v>
      </c>
      <c r="AF3" s="163">
        <v>4691</v>
      </c>
      <c r="AG3" s="168">
        <f>AF3-AF2</f>
        <v>9</v>
      </c>
    </row>
    <row r="4" spans="1:33" ht="16.5" thickBot="1" x14ac:dyDescent="0.25">
      <c r="A4" s="10">
        <v>44532</v>
      </c>
      <c r="B4" s="165">
        <v>22715.834999999999</v>
      </c>
      <c r="C4" s="48">
        <f t="shared" ref="C4:C33" si="15">IF((B4-B3)&lt;0,"0",(B4-B3))</f>
        <v>3.6659999999974389</v>
      </c>
      <c r="D4" s="32">
        <f t="shared" ref="D4:D33" si="16">C4*1.9*1000</f>
        <v>6965.3999999951338</v>
      </c>
      <c r="E4" s="1">
        <v>4063.6869999999999</v>
      </c>
      <c r="F4" s="48">
        <f t="shared" ref="F4:F33" si="17">IF((E4-E3)&lt;0,"0",(E4-E3))</f>
        <v>1.2719999999999345</v>
      </c>
      <c r="G4" s="32">
        <f t="shared" ref="G4:G33" si="18">F4*1.9*1000</f>
        <v>2416.7999999998756</v>
      </c>
      <c r="H4" s="1">
        <v>4426</v>
      </c>
      <c r="I4" s="48">
        <f t="shared" ref="I4:I33" si="19">IF((H4-H3)&lt;0,"0",(H4-H3))</f>
        <v>4</v>
      </c>
      <c r="J4" s="32">
        <f t="shared" ref="J4:J33" si="20">I4*1.9*1000</f>
        <v>7600</v>
      </c>
      <c r="K4" s="7">
        <v>13849.35</v>
      </c>
      <c r="L4" s="48">
        <f t="shared" ref="L4:L33" si="21">IF((K4-K3)&lt;0,"0",(K4-K3))</f>
        <v>1.9899999999997817</v>
      </c>
      <c r="M4" s="32">
        <f t="shared" ref="M4:M33" si="22">L4*1.9*1000</f>
        <v>3780.9999999995848</v>
      </c>
      <c r="N4" s="7">
        <v>3336.462</v>
      </c>
      <c r="O4" s="48">
        <f t="shared" ref="O4:O34" si="23">IF((N4-N3)&lt;0,"0",(N4-N3))</f>
        <v>1.4239999999999782</v>
      </c>
      <c r="P4" s="32">
        <f t="shared" ref="P4:P33" si="24">O4*1.9*1000</f>
        <v>2705.5999999999581</v>
      </c>
      <c r="Q4" s="7">
        <v>5281.97</v>
      </c>
      <c r="R4" s="48">
        <f t="shared" ref="R4:R33" si="25">IF((Q4-Q3)&lt;0,"0",(Q4-Q3))</f>
        <v>0.36999999999989086</v>
      </c>
      <c r="S4" s="32">
        <f t="shared" ref="S4:S33" si="26">R4*1.9*1000</f>
        <v>702.99999999979252</v>
      </c>
      <c r="T4" s="8">
        <f>C4+F4+I4+L4+O4+R4</f>
        <v>12.721999999997024</v>
      </c>
      <c r="U4" s="34">
        <f t="shared" ref="U4:U33" si="27">T4*1.9*1000</f>
        <v>24171.799999994346</v>
      </c>
      <c r="W4" s="162">
        <v>44502</v>
      </c>
      <c r="X4" s="163">
        <v>160235</v>
      </c>
      <c r="Y4" s="168">
        <f>X4-X3</f>
        <v>344</v>
      </c>
      <c r="Z4" s="163">
        <v>8019</v>
      </c>
      <c r="AA4" s="168">
        <f>Z4-Z3</f>
        <v>19</v>
      </c>
      <c r="AB4" s="163">
        <v>13.66</v>
      </c>
      <c r="AC4" s="169">
        <f t="shared" ref="AC4:AC8" si="28">AB4-AB3</f>
        <v>0</v>
      </c>
      <c r="AD4" s="163">
        <v>11</v>
      </c>
      <c r="AE4" s="169">
        <f t="shared" ref="AE4:AE33" si="29">AD4-AD3</f>
        <v>1</v>
      </c>
      <c r="AF4" s="163">
        <v>4707</v>
      </c>
      <c r="AG4" s="169">
        <f t="shared" ref="AG4:AG33" si="30">AF4-AF3</f>
        <v>16</v>
      </c>
    </row>
    <row r="5" spans="1:33" ht="16.5" thickBot="1" x14ac:dyDescent="0.25">
      <c r="A5" s="10">
        <v>44533</v>
      </c>
      <c r="B5" s="165">
        <v>22719.205000000002</v>
      </c>
      <c r="C5" s="48">
        <f t="shared" si="15"/>
        <v>3.3700000000026193</v>
      </c>
      <c r="D5" s="32">
        <f t="shared" si="16"/>
        <v>6403.0000000049758</v>
      </c>
      <c r="E5" s="1">
        <v>4064.4540000000002</v>
      </c>
      <c r="F5" s="48">
        <f t="shared" si="17"/>
        <v>0.76700000000028012</v>
      </c>
      <c r="G5" s="32">
        <f t="shared" si="18"/>
        <v>1457.300000000532</v>
      </c>
      <c r="H5" s="1">
        <v>4430</v>
      </c>
      <c r="I5" s="48">
        <f t="shared" si="19"/>
        <v>4</v>
      </c>
      <c r="J5" s="32">
        <f t="shared" si="20"/>
        <v>7600</v>
      </c>
      <c r="K5" s="7">
        <v>13852.37</v>
      </c>
      <c r="L5" s="48">
        <f t="shared" si="21"/>
        <v>3.0200000000004366</v>
      </c>
      <c r="M5" s="32">
        <f t="shared" si="22"/>
        <v>5738.0000000008295</v>
      </c>
      <c r="N5" s="7">
        <v>3337.9259999999999</v>
      </c>
      <c r="O5" s="48">
        <f t="shared" si="23"/>
        <v>1.4639999999999418</v>
      </c>
      <c r="P5" s="32">
        <f t="shared" si="24"/>
        <v>2781.5999999998894</v>
      </c>
      <c r="Q5" s="7">
        <v>5281.97</v>
      </c>
      <c r="R5" s="48">
        <f t="shared" si="25"/>
        <v>0</v>
      </c>
      <c r="S5" s="32">
        <f t="shared" si="26"/>
        <v>0</v>
      </c>
      <c r="T5" s="8">
        <f>C5+F5+I5+L5+O5+R5</f>
        <v>12.621000000003278</v>
      </c>
      <c r="U5" s="34">
        <f t="shared" si="27"/>
        <v>23979.900000006226</v>
      </c>
      <c r="W5" s="162">
        <v>44503</v>
      </c>
      <c r="X5" s="163">
        <v>160600</v>
      </c>
      <c r="Y5" s="169">
        <f t="shared" ref="Y5:Y33" si="31">X5-X4</f>
        <v>365</v>
      </c>
      <c r="Z5" s="163">
        <v>8041</v>
      </c>
      <c r="AA5" s="169">
        <f t="shared" ref="AA5:AA33" si="32">Z5-Z4</f>
        <v>22</v>
      </c>
      <c r="AB5" s="163">
        <f t="shared" ref="AB5:AB33" si="33">AB4</f>
        <v>13.66</v>
      </c>
      <c r="AC5" s="169">
        <f t="shared" si="28"/>
        <v>0</v>
      </c>
      <c r="AD5" s="163">
        <v>12</v>
      </c>
      <c r="AE5" s="169">
        <f t="shared" si="29"/>
        <v>1</v>
      </c>
      <c r="AF5" s="163">
        <v>4730</v>
      </c>
      <c r="AG5" s="169">
        <f t="shared" si="30"/>
        <v>23</v>
      </c>
    </row>
    <row r="6" spans="1:33" ht="16.5" thickBot="1" x14ac:dyDescent="0.25">
      <c r="A6" s="10">
        <v>44534</v>
      </c>
      <c r="B6" s="165">
        <v>22722.164000000001</v>
      </c>
      <c r="C6" s="48">
        <f t="shared" si="15"/>
        <v>2.9589999999989232</v>
      </c>
      <c r="D6" s="32">
        <f t="shared" si="16"/>
        <v>5622.099999997954</v>
      </c>
      <c r="E6" s="1">
        <v>4065.2139999999999</v>
      </c>
      <c r="F6" s="48">
        <f t="shared" si="17"/>
        <v>0.75999999999976353</v>
      </c>
      <c r="G6" s="32">
        <f t="shared" si="18"/>
        <v>1443.9999999995505</v>
      </c>
      <c r="H6" s="1">
        <v>4434</v>
      </c>
      <c r="I6" s="48">
        <f t="shared" si="19"/>
        <v>4</v>
      </c>
      <c r="J6" s="32">
        <f t="shared" si="20"/>
        <v>7600</v>
      </c>
      <c r="K6" s="7">
        <v>13854.22</v>
      </c>
      <c r="L6" s="48">
        <f t="shared" si="21"/>
        <v>1.8499999999985448</v>
      </c>
      <c r="M6" s="32">
        <f t="shared" si="22"/>
        <v>3514.9999999972347</v>
      </c>
      <c r="N6" s="7">
        <v>3339.3589999999999</v>
      </c>
      <c r="O6" s="48">
        <f t="shared" si="23"/>
        <v>1.4329999999999927</v>
      </c>
      <c r="P6" s="32">
        <f t="shared" si="24"/>
        <v>2722.6999999999857</v>
      </c>
      <c r="Q6" s="7">
        <v>5281.97</v>
      </c>
      <c r="R6" s="48">
        <f t="shared" si="25"/>
        <v>0</v>
      </c>
      <c r="S6" s="32">
        <f t="shared" si="26"/>
        <v>0</v>
      </c>
      <c r="T6" s="8">
        <f t="shared" ref="T6:T33" si="34">C6+F6+I6+L6+O6+R6</f>
        <v>11.001999999997224</v>
      </c>
      <c r="U6" s="34">
        <f t="shared" si="27"/>
        <v>20903.799999994724</v>
      </c>
      <c r="W6" s="162">
        <v>44504</v>
      </c>
      <c r="X6" s="163">
        <v>161312</v>
      </c>
      <c r="Y6" s="169">
        <f t="shared" si="31"/>
        <v>712</v>
      </c>
      <c r="Z6" s="163">
        <v>8056</v>
      </c>
      <c r="AA6" s="169">
        <f t="shared" si="32"/>
        <v>15</v>
      </c>
      <c r="AB6" s="163">
        <v>13.66</v>
      </c>
      <c r="AC6" s="169">
        <f t="shared" si="28"/>
        <v>0</v>
      </c>
      <c r="AD6" s="163">
        <v>13</v>
      </c>
      <c r="AE6" s="169">
        <f t="shared" si="29"/>
        <v>1</v>
      </c>
      <c r="AF6" s="163">
        <v>4739</v>
      </c>
      <c r="AG6" s="169">
        <f t="shared" si="30"/>
        <v>9</v>
      </c>
    </row>
    <row r="7" spans="1:33" ht="16.5" thickBot="1" x14ac:dyDescent="0.25">
      <c r="A7" s="10">
        <v>44535</v>
      </c>
      <c r="B7" s="165">
        <v>22725</v>
      </c>
      <c r="C7" s="48">
        <f t="shared" si="15"/>
        <v>2.8359999999993306</v>
      </c>
      <c r="D7" s="32">
        <f t="shared" si="16"/>
        <v>5388.3999999987282</v>
      </c>
      <c r="E7" s="1">
        <v>4066.3989999999999</v>
      </c>
      <c r="F7" s="48">
        <f t="shared" si="17"/>
        <v>1.1849999999999454</v>
      </c>
      <c r="G7" s="32">
        <f t="shared" si="18"/>
        <v>2251.4999999998963</v>
      </c>
      <c r="H7" s="1">
        <v>4439</v>
      </c>
      <c r="I7" s="48">
        <f t="shared" si="19"/>
        <v>5</v>
      </c>
      <c r="J7" s="32">
        <f t="shared" si="20"/>
        <v>9500</v>
      </c>
      <c r="K7" s="7">
        <v>13858.05</v>
      </c>
      <c r="L7" s="48">
        <f t="shared" si="21"/>
        <v>3.8299999999999272</v>
      </c>
      <c r="M7" s="32">
        <f t="shared" si="22"/>
        <v>7276.9999999998618</v>
      </c>
      <c r="N7" s="7">
        <v>3341.1579999999999</v>
      </c>
      <c r="O7" s="48">
        <f t="shared" si="23"/>
        <v>1.7989999999999782</v>
      </c>
      <c r="P7" s="32">
        <f t="shared" si="24"/>
        <v>3418.0999999999581</v>
      </c>
      <c r="Q7" s="7">
        <v>5283.8</v>
      </c>
      <c r="R7" s="48">
        <f t="shared" si="25"/>
        <v>1.8299999999999272</v>
      </c>
      <c r="S7" s="32">
        <f t="shared" si="26"/>
        <v>3476.9999999998618</v>
      </c>
      <c r="T7" s="8">
        <f t="shared" si="34"/>
        <v>16.479999999999109</v>
      </c>
      <c r="U7" s="34">
        <f t="shared" si="27"/>
        <v>31311.999999998305</v>
      </c>
      <c r="W7" s="162">
        <v>44505</v>
      </c>
      <c r="X7" s="163">
        <v>161813</v>
      </c>
      <c r="Y7" s="169">
        <f t="shared" si="31"/>
        <v>501</v>
      </c>
      <c r="Z7" s="163">
        <v>8080</v>
      </c>
      <c r="AA7" s="169">
        <f t="shared" si="32"/>
        <v>24</v>
      </c>
      <c r="AB7" s="163">
        <v>14.85</v>
      </c>
      <c r="AC7" s="169">
        <f t="shared" si="28"/>
        <v>1.1899999999999995</v>
      </c>
      <c r="AD7" s="163">
        <v>18</v>
      </c>
      <c r="AE7" s="169">
        <f t="shared" si="29"/>
        <v>5</v>
      </c>
      <c r="AF7" s="163">
        <v>4782</v>
      </c>
      <c r="AG7" s="169">
        <f t="shared" si="30"/>
        <v>43</v>
      </c>
    </row>
    <row r="8" spans="1:33" ht="16.5" thickBot="1" x14ac:dyDescent="0.25">
      <c r="A8" s="10">
        <v>44536</v>
      </c>
      <c r="B8" s="165">
        <v>22727.59</v>
      </c>
      <c r="C8" s="48">
        <f t="shared" si="15"/>
        <v>2.5900000000001455</v>
      </c>
      <c r="D8" s="32">
        <f t="shared" si="16"/>
        <v>4921.0000000002765</v>
      </c>
      <c r="E8" s="1">
        <v>4067.0390000000002</v>
      </c>
      <c r="F8" s="48">
        <f t="shared" si="17"/>
        <v>0.64000000000032742</v>
      </c>
      <c r="G8" s="32">
        <f t="shared" si="18"/>
        <v>1216.0000000006221</v>
      </c>
      <c r="H8" s="1">
        <v>4441</v>
      </c>
      <c r="I8" s="48">
        <f t="shared" si="19"/>
        <v>2</v>
      </c>
      <c r="J8" s="32">
        <f t="shared" si="20"/>
        <v>3800</v>
      </c>
      <c r="K8" s="7">
        <v>13859.82</v>
      </c>
      <c r="L8" s="48">
        <f t="shared" si="21"/>
        <v>1.7700000000004366</v>
      </c>
      <c r="M8" s="32">
        <f t="shared" si="22"/>
        <v>3363.000000000829</v>
      </c>
      <c r="N8" s="7">
        <v>3341.9630000000002</v>
      </c>
      <c r="O8" s="48">
        <f t="shared" si="23"/>
        <v>0.80500000000029104</v>
      </c>
      <c r="P8" s="32">
        <f t="shared" si="24"/>
        <v>1529.500000000553</v>
      </c>
      <c r="Q8" s="7">
        <v>5281.97</v>
      </c>
      <c r="R8" s="48" t="str">
        <f t="shared" si="25"/>
        <v>0</v>
      </c>
      <c r="S8" s="32">
        <f t="shared" si="26"/>
        <v>0</v>
      </c>
      <c r="T8" s="8">
        <f t="shared" si="34"/>
        <v>7.8050000000012005</v>
      </c>
      <c r="U8" s="34">
        <f t="shared" si="27"/>
        <v>14829.500000002281</v>
      </c>
      <c r="W8" s="162">
        <v>44506</v>
      </c>
      <c r="X8" s="163">
        <v>161842</v>
      </c>
      <c r="Y8" s="169">
        <f t="shared" si="31"/>
        <v>29</v>
      </c>
      <c r="Z8" s="163">
        <v>8084</v>
      </c>
      <c r="AA8" s="169">
        <f t="shared" si="32"/>
        <v>4</v>
      </c>
      <c r="AB8" s="163">
        <v>14.85</v>
      </c>
      <c r="AC8" s="169">
        <f t="shared" si="28"/>
        <v>0</v>
      </c>
      <c r="AD8" s="163">
        <f t="shared" ref="AD8:AD33" si="35">AD7</f>
        <v>18</v>
      </c>
      <c r="AE8" s="169">
        <f t="shared" si="29"/>
        <v>0</v>
      </c>
      <c r="AF8" s="163">
        <v>4805</v>
      </c>
      <c r="AG8" s="169">
        <f t="shared" si="30"/>
        <v>23</v>
      </c>
    </row>
    <row r="9" spans="1:33" ht="16.5" thickBot="1" x14ac:dyDescent="0.25">
      <c r="A9" s="10">
        <v>44537</v>
      </c>
      <c r="B9" s="165">
        <f t="shared" ref="B8:B33" si="36">B8</f>
        <v>22727.59</v>
      </c>
      <c r="C9" s="48">
        <f t="shared" si="15"/>
        <v>0</v>
      </c>
      <c r="D9" s="32">
        <f t="shared" si="16"/>
        <v>0</v>
      </c>
      <c r="E9" s="1">
        <f t="shared" ref="E8:E33" si="37">E8</f>
        <v>4067.0390000000002</v>
      </c>
      <c r="F9" s="48">
        <f t="shared" si="17"/>
        <v>0</v>
      </c>
      <c r="G9" s="32">
        <f t="shared" si="18"/>
        <v>0</v>
      </c>
      <c r="H9" s="1">
        <f t="shared" ref="H8:H33" si="38">H8</f>
        <v>4441</v>
      </c>
      <c r="I9" s="48">
        <f t="shared" si="19"/>
        <v>0</v>
      </c>
      <c r="J9" s="32">
        <f t="shared" si="20"/>
        <v>0</v>
      </c>
      <c r="K9" s="7">
        <f t="shared" ref="K8:K33" si="39">K8</f>
        <v>13859.82</v>
      </c>
      <c r="L9" s="48">
        <f t="shared" si="21"/>
        <v>0</v>
      </c>
      <c r="M9" s="32">
        <f t="shared" si="22"/>
        <v>0</v>
      </c>
      <c r="N9" s="7">
        <f t="shared" ref="N8:N33" si="40">N8</f>
        <v>3341.9630000000002</v>
      </c>
      <c r="O9" s="48">
        <f t="shared" si="23"/>
        <v>0</v>
      </c>
      <c r="P9" s="32">
        <f t="shared" si="24"/>
        <v>0</v>
      </c>
      <c r="Q9" s="7">
        <f t="shared" ref="Q8:Q33" si="41">Q8</f>
        <v>5281.97</v>
      </c>
      <c r="R9" s="48">
        <f t="shared" si="25"/>
        <v>0</v>
      </c>
      <c r="S9" s="32">
        <f t="shared" si="26"/>
        <v>0</v>
      </c>
      <c r="T9" s="8">
        <f t="shared" si="34"/>
        <v>0</v>
      </c>
      <c r="U9" s="34">
        <f t="shared" si="27"/>
        <v>0</v>
      </c>
      <c r="W9" s="162">
        <v>44507</v>
      </c>
      <c r="X9" s="163">
        <f t="shared" ref="X8:X33" si="42">X8</f>
        <v>161842</v>
      </c>
      <c r="Y9" s="169">
        <f t="shared" si="31"/>
        <v>0</v>
      </c>
      <c r="Z9" s="163">
        <f t="shared" ref="Z8:Z33" si="43">Z8</f>
        <v>8084</v>
      </c>
      <c r="AA9" s="169">
        <f t="shared" si="32"/>
        <v>0</v>
      </c>
      <c r="AB9" s="163">
        <f t="shared" si="33"/>
        <v>14.85</v>
      </c>
      <c r="AC9" s="169">
        <f>AB9-AB8</f>
        <v>0</v>
      </c>
      <c r="AD9" s="163">
        <f t="shared" si="35"/>
        <v>18</v>
      </c>
      <c r="AE9" s="169">
        <f t="shared" si="29"/>
        <v>0</v>
      </c>
      <c r="AF9" s="163">
        <f t="shared" ref="AF8:AF33" si="44">AF8</f>
        <v>4805</v>
      </c>
      <c r="AG9" s="169">
        <f t="shared" si="30"/>
        <v>0</v>
      </c>
    </row>
    <row r="10" spans="1:33" ht="16.5" thickBot="1" x14ac:dyDescent="0.25">
      <c r="A10" s="10">
        <v>44538</v>
      </c>
      <c r="B10" s="165">
        <f t="shared" si="36"/>
        <v>22727.59</v>
      </c>
      <c r="C10" s="48">
        <f t="shared" si="15"/>
        <v>0</v>
      </c>
      <c r="D10" s="32">
        <f t="shared" si="16"/>
        <v>0</v>
      </c>
      <c r="E10" s="1">
        <f t="shared" si="37"/>
        <v>4067.0390000000002</v>
      </c>
      <c r="F10" s="48">
        <f t="shared" si="17"/>
        <v>0</v>
      </c>
      <c r="G10" s="32">
        <f t="shared" si="18"/>
        <v>0</v>
      </c>
      <c r="H10" s="1">
        <f t="shared" si="38"/>
        <v>4441</v>
      </c>
      <c r="I10" s="48">
        <f t="shared" si="19"/>
        <v>0</v>
      </c>
      <c r="J10" s="32">
        <f t="shared" si="20"/>
        <v>0</v>
      </c>
      <c r="K10" s="7">
        <f t="shared" si="39"/>
        <v>13859.82</v>
      </c>
      <c r="L10" s="48">
        <f t="shared" si="21"/>
        <v>0</v>
      </c>
      <c r="M10" s="32">
        <f t="shared" si="22"/>
        <v>0</v>
      </c>
      <c r="N10" s="7">
        <f t="shared" si="40"/>
        <v>3341.9630000000002</v>
      </c>
      <c r="O10" s="48">
        <f>IF((N10-N9)&lt;0,"0",(N10-N9))</f>
        <v>0</v>
      </c>
      <c r="P10" s="32">
        <f t="shared" si="24"/>
        <v>0</v>
      </c>
      <c r="Q10" s="7">
        <f t="shared" si="41"/>
        <v>5281.97</v>
      </c>
      <c r="R10" s="48">
        <f t="shared" si="25"/>
        <v>0</v>
      </c>
      <c r="S10" s="32">
        <f t="shared" si="26"/>
        <v>0</v>
      </c>
      <c r="T10" s="8">
        <f t="shared" si="34"/>
        <v>0</v>
      </c>
      <c r="U10" s="34">
        <f t="shared" si="27"/>
        <v>0</v>
      </c>
      <c r="W10" s="162">
        <v>44508</v>
      </c>
      <c r="X10" s="163">
        <f t="shared" si="42"/>
        <v>161842</v>
      </c>
      <c r="Y10" s="169">
        <f t="shared" si="31"/>
        <v>0</v>
      </c>
      <c r="Z10" s="163">
        <f t="shared" si="43"/>
        <v>8084</v>
      </c>
      <c r="AA10" s="169">
        <f t="shared" si="32"/>
        <v>0</v>
      </c>
      <c r="AB10" s="163">
        <f t="shared" si="33"/>
        <v>14.85</v>
      </c>
      <c r="AC10" s="169">
        <f t="shared" ref="AC10:AC31" si="45">AB10-AB9</f>
        <v>0</v>
      </c>
      <c r="AD10" s="163">
        <f t="shared" si="35"/>
        <v>18</v>
      </c>
      <c r="AE10" s="169">
        <f t="shared" si="29"/>
        <v>0</v>
      </c>
      <c r="AF10" s="163">
        <f t="shared" si="44"/>
        <v>4805</v>
      </c>
      <c r="AG10" s="169">
        <f t="shared" si="30"/>
        <v>0</v>
      </c>
    </row>
    <row r="11" spans="1:33" ht="16.5" thickBot="1" x14ac:dyDescent="0.25">
      <c r="A11" s="10">
        <v>44539</v>
      </c>
      <c r="B11" s="165">
        <f t="shared" si="36"/>
        <v>22727.59</v>
      </c>
      <c r="C11" s="48">
        <f t="shared" si="15"/>
        <v>0</v>
      </c>
      <c r="D11" s="32">
        <f t="shared" si="16"/>
        <v>0</v>
      </c>
      <c r="E11" s="1">
        <f t="shared" si="37"/>
        <v>4067.0390000000002</v>
      </c>
      <c r="F11" s="48">
        <f t="shared" si="17"/>
        <v>0</v>
      </c>
      <c r="G11" s="32">
        <f t="shared" si="18"/>
        <v>0</v>
      </c>
      <c r="H11" s="1">
        <f t="shared" si="38"/>
        <v>4441</v>
      </c>
      <c r="I11" s="48">
        <f t="shared" si="19"/>
        <v>0</v>
      </c>
      <c r="J11" s="32">
        <f t="shared" si="20"/>
        <v>0</v>
      </c>
      <c r="K11" s="7">
        <f t="shared" si="39"/>
        <v>13859.82</v>
      </c>
      <c r="L11" s="48">
        <f t="shared" si="21"/>
        <v>0</v>
      </c>
      <c r="M11" s="32">
        <f t="shared" si="22"/>
        <v>0</v>
      </c>
      <c r="N11" s="7">
        <f t="shared" si="40"/>
        <v>3341.9630000000002</v>
      </c>
      <c r="O11" s="48">
        <f t="shared" si="23"/>
        <v>0</v>
      </c>
      <c r="P11" s="32">
        <f t="shared" si="24"/>
        <v>0</v>
      </c>
      <c r="Q11" s="7">
        <f t="shared" si="41"/>
        <v>5281.97</v>
      </c>
      <c r="R11" s="48">
        <f t="shared" si="25"/>
        <v>0</v>
      </c>
      <c r="S11" s="32">
        <f t="shared" si="26"/>
        <v>0</v>
      </c>
      <c r="T11" s="8">
        <f t="shared" si="34"/>
        <v>0</v>
      </c>
      <c r="U11" s="34">
        <f t="shared" si="27"/>
        <v>0</v>
      </c>
      <c r="W11" s="162">
        <v>44509</v>
      </c>
      <c r="X11" s="163">
        <f t="shared" si="42"/>
        <v>161842</v>
      </c>
      <c r="Y11" s="169">
        <f t="shared" si="31"/>
        <v>0</v>
      </c>
      <c r="Z11" s="163">
        <f t="shared" si="43"/>
        <v>8084</v>
      </c>
      <c r="AA11" s="169">
        <f t="shared" si="32"/>
        <v>0</v>
      </c>
      <c r="AB11" s="163">
        <f t="shared" si="33"/>
        <v>14.85</v>
      </c>
      <c r="AC11" s="169">
        <f t="shared" si="45"/>
        <v>0</v>
      </c>
      <c r="AD11" s="163">
        <f t="shared" si="35"/>
        <v>18</v>
      </c>
      <c r="AE11" s="169">
        <v>1</v>
      </c>
      <c r="AF11" s="163">
        <f t="shared" si="44"/>
        <v>4805</v>
      </c>
      <c r="AG11" s="169">
        <f t="shared" si="30"/>
        <v>0</v>
      </c>
    </row>
    <row r="12" spans="1:33" ht="16.5" thickBot="1" x14ac:dyDescent="0.25">
      <c r="A12" s="10">
        <v>44540</v>
      </c>
      <c r="B12" s="165">
        <f t="shared" si="36"/>
        <v>22727.59</v>
      </c>
      <c r="C12" s="48">
        <f t="shared" si="15"/>
        <v>0</v>
      </c>
      <c r="D12" s="32">
        <f t="shared" si="16"/>
        <v>0</v>
      </c>
      <c r="E12" s="1">
        <f t="shared" si="37"/>
        <v>4067.0390000000002</v>
      </c>
      <c r="F12" s="48">
        <f t="shared" si="17"/>
        <v>0</v>
      </c>
      <c r="G12" s="32">
        <f t="shared" si="18"/>
        <v>0</v>
      </c>
      <c r="H12" s="1">
        <f t="shared" si="38"/>
        <v>4441</v>
      </c>
      <c r="I12" s="48">
        <f t="shared" si="19"/>
        <v>0</v>
      </c>
      <c r="J12" s="32">
        <f t="shared" si="20"/>
        <v>0</v>
      </c>
      <c r="K12" s="7">
        <f t="shared" si="39"/>
        <v>13859.82</v>
      </c>
      <c r="L12" s="48">
        <f t="shared" si="21"/>
        <v>0</v>
      </c>
      <c r="M12" s="32">
        <f t="shared" si="22"/>
        <v>0</v>
      </c>
      <c r="N12" s="7">
        <f t="shared" si="40"/>
        <v>3341.9630000000002</v>
      </c>
      <c r="O12" s="48">
        <f t="shared" si="23"/>
        <v>0</v>
      </c>
      <c r="P12" s="32">
        <f t="shared" si="24"/>
        <v>0</v>
      </c>
      <c r="Q12" s="7">
        <f t="shared" si="41"/>
        <v>5281.97</v>
      </c>
      <c r="R12" s="48">
        <f t="shared" si="25"/>
        <v>0</v>
      </c>
      <c r="S12" s="32">
        <f t="shared" si="26"/>
        <v>0</v>
      </c>
      <c r="T12" s="8">
        <f t="shared" si="34"/>
        <v>0</v>
      </c>
      <c r="U12" s="34">
        <f t="shared" si="27"/>
        <v>0</v>
      </c>
      <c r="W12" s="162">
        <v>44510</v>
      </c>
      <c r="X12" s="163">
        <f t="shared" si="42"/>
        <v>161842</v>
      </c>
      <c r="Y12" s="169">
        <f t="shared" si="31"/>
        <v>0</v>
      </c>
      <c r="Z12" s="163">
        <f t="shared" si="43"/>
        <v>8084</v>
      </c>
      <c r="AA12" s="169">
        <f t="shared" si="32"/>
        <v>0</v>
      </c>
      <c r="AB12" s="163">
        <f t="shared" si="33"/>
        <v>14.85</v>
      </c>
      <c r="AC12" s="169">
        <f t="shared" si="45"/>
        <v>0</v>
      </c>
      <c r="AD12" s="163">
        <f t="shared" si="35"/>
        <v>18</v>
      </c>
      <c r="AE12" s="169">
        <f t="shared" si="29"/>
        <v>0</v>
      </c>
      <c r="AF12" s="163">
        <f t="shared" si="44"/>
        <v>4805</v>
      </c>
      <c r="AG12" s="169">
        <f t="shared" si="30"/>
        <v>0</v>
      </c>
    </row>
    <row r="13" spans="1:33" ht="16.5" thickBot="1" x14ac:dyDescent="0.25">
      <c r="A13" s="10">
        <v>44541</v>
      </c>
      <c r="B13" s="165">
        <f t="shared" si="36"/>
        <v>22727.59</v>
      </c>
      <c r="C13" s="48">
        <f t="shared" si="15"/>
        <v>0</v>
      </c>
      <c r="D13" s="32">
        <f t="shared" si="16"/>
        <v>0</v>
      </c>
      <c r="E13" s="1">
        <f t="shared" si="37"/>
        <v>4067.0390000000002</v>
      </c>
      <c r="F13" s="48">
        <f t="shared" si="17"/>
        <v>0</v>
      </c>
      <c r="G13" s="32">
        <f t="shared" si="18"/>
        <v>0</v>
      </c>
      <c r="H13" s="1">
        <f t="shared" si="38"/>
        <v>4441</v>
      </c>
      <c r="I13" s="48">
        <f t="shared" si="19"/>
        <v>0</v>
      </c>
      <c r="J13" s="32">
        <f t="shared" si="20"/>
        <v>0</v>
      </c>
      <c r="K13" s="7">
        <f t="shared" si="39"/>
        <v>13859.82</v>
      </c>
      <c r="L13" s="48">
        <f t="shared" si="21"/>
        <v>0</v>
      </c>
      <c r="M13" s="32">
        <f t="shared" si="22"/>
        <v>0</v>
      </c>
      <c r="N13" s="7">
        <f t="shared" si="40"/>
        <v>3341.9630000000002</v>
      </c>
      <c r="O13" s="48">
        <f t="shared" si="23"/>
        <v>0</v>
      </c>
      <c r="P13" s="32">
        <f t="shared" si="24"/>
        <v>0</v>
      </c>
      <c r="Q13" s="7">
        <f t="shared" si="41"/>
        <v>5281.97</v>
      </c>
      <c r="R13" s="48">
        <f t="shared" si="25"/>
        <v>0</v>
      </c>
      <c r="S13" s="32">
        <f t="shared" si="26"/>
        <v>0</v>
      </c>
      <c r="T13" s="8">
        <f t="shared" si="34"/>
        <v>0</v>
      </c>
      <c r="U13" s="34">
        <f t="shared" si="27"/>
        <v>0</v>
      </c>
      <c r="W13" s="162">
        <v>44511</v>
      </c>
      <c r="X13" s="163">
        <f t="shared" si="42"/>
        <v>161842</v>
      </c>
      <c r="Y13" s="169">
        <f t="shared" si="31"/>
        <v>0</v>
      </c>
      <c r="Z13" s="163">
        <f t="shared" si="43"/>
        <v>8084</v>
      </c>
      <c r="AA13" s="169">
        <f t="shared" si="32"/>
        <v>0</v>
      </c>
      <c r="AB13" s="163">
        <f t="shared" si="33"/>
        <v>14.85</v>
      </c>
      <c r="AC13" s="169">
        <f t="shared" si="45"/>
        <v>0</v>
      </c>
      <c r="AD13" s="163">
        <f t="shared" si="35"/>
        <v>18</v>
      </c>
      <c r="AE13" s="169">
        <v>0</v>
      </c>
      <c r="AF13" s="163">
        <f t="shared" si="44"/>
        <v>4805</v>
      </c>
      <c r="AG13" s="169">
        <f t="shared" si="30"/>
        <v>0</v>
      </c>
    </row>
    <row r="14" spans="1:33" ht="16.5" thickBot="1" x14ac:dyDescent="0.25">
      <c r="A14" s="10">
        <v>44542</v>
      </c>
      <c r="B14" s="165">
        <f t="shared" si="36"/>
        <v>22727.59</v>
      </c>
      <c r="C14" s="48">
        <f t="shared" si="15"/>
        <v>0</v>
      </c>
      <c r="D14" s="32">
        <f t="shared" si="16"/>
        <v>0</v>
      </c>
      <c r="E14" s="1">
        <f t="shared" si="37"/>
        <v>4067.0390000000002</v>
      </c>
      <c r="F14" s="48">
        <f t="shared" si="17"/>
        <v>0</v>
      </c>
      <c r="G14" s="32">
        <f t="shared" si="18"/>
        <v>0</v>
      </c>
      <c r="H14" s="1">
        <f t="shared" si="38"/>
        <v>4441</v>
      </c>
      <c r="I14" s="48">
        <f t="shared" si="19"/>
        <v>0</v>
      </c>
      <c r="J14" s="32">
        <f t="shared" si="20"/>
        <v>0</v>
      </c>
      <c r="K14" s="7">
        <f t="shared" si="39"/>
        <v>13859.82</v>
      </c>
      <c r="L14" s="48">
        <f t="shared" si="21"/>
        <v>0</v>
      </c>
      <c r="M14" s="32">
        <f t="shared" si="22"/>
        <v>0</v>
      </c>
      <c r="N14" s="7">
        <f t="shared" si="40"/>
        <v>3341.9630000000002</v>
      </c>
      <c r="O14" s="48">
        <f>IF((N14-N13)&lt;0,"0",(N14-N13))</f>
        <v>0</v>
      </c>
      <c r="P14" s="32">
        <f t="shared" si="24"/>
        <v>0</v>
      </c>
      <c r="Q14" s="7">
        <f t="shared" si="41"/>
        <v>5281.97</v>
      </c>
      <c r="R14" s="48">
        <f t="shared" si="25"/>
        <v>0</v>
      </c>
      <c r="S14" s="32">
        <f t="shared" si="26"/>
        <v>0</v>
      </c>
      <c r="T14" s="8">
        <f t="shared" si="34"/>
        <v>0</v>
      </c>
      <c r="U14" s="34">
        <f t="shared" si="27"/>
        <v>0</v>
      </c>
      <c r="W14" s="162">
        <v>44512</v>
      </c>
      <c r="X14" s="163">
        <f t="shared" si="42"/>
        <v>161842</v>
      </c>
      <c r="Y14" s="169">
        <f t="shared" si="31"/>
        <v>0</v>
      </c>
      <c r="Z14" s="163">
        <f t="shared" si="43"/>
        <v>8084</v>
      </c>
      <c r="AA14" s="169">
        <f t="shared" si="32"/>
        <v>0</v>
      </c>
      <c r="AB14" s="163">
        <f t="shared" si="33"/>
        <v>14.85</v>
      </c>
      <c r="AC14" s="169">
        <f t="shared" si="45"/>
        <v>0</v>
      </c>
      <c r="AD14" s="163">
        <f t="shared" si="35"/>
        <v>18</v>
      </c>
      <c r="AE14" s="169">
        <f t="shared" si="29"/>
        <v>0</v>
      </c>
      <c r="AF14" s="163">
        <f t="shared" si="44"/>
        <v>4805</v>
      </c>
      <c r="AG14" s="169">
        <f t="shared" si="30"/>
        <v>0</v>
      </c>
    </row>
    <row r="15" spans="1:33" ht="16.5" thickBot="1" x14ac:dyDescent="0.25">
      <c r="A15" s="10">
        <v>44543</v>
      </c>
      <c r="B15" s="165">
        <f t="shared" si="36"/>
        <v>22727.59</v>
      </c>
      <c r="C15" s="48">
        <f t="shared" ref="C15" si="46">IF((B15-B14)&lt;0,"0",(B15-B14))</f>
        <v>0</v>
      </c>
      <c r="D15" s="32">
        <f t="shared" ref="D15" si="47">C15*1.9*1000</f>
        <v>0</v>
      </c>
      <c r="E15" s="1">
        <f t="shared" si="37"/>
        <v>4067.0390000000002</v>
      </c>
      <c r="F15" s="48">
        <f t="shared" ref="F15" si="48">IF((E15-E14)&lt;0,"0",(E15-E14))</f>
        <v>0</v>
      </c>
      <c r="G15" s="32">
        <f t="shared" ref="G15" si="49">F15*1.9*1000</f>
        <v>0</v>
      </c>
      <c r="H15" s="1">
        <f t="shared" si="38"/>
        <v>4441</v>
      </c>
      <c r="I15" s="48">
        <f t="shared" ref="I15" si="50">IF((H15-H14)&lt;0,"0",(H15-H14))</f>
        <v>0</v>
      </c>
      <c r="J15" s="32">
        <f t="shared" ref="J15" si="51">I15*1.9*1000</f>
        <v>0</v>
      </c>
      <c r="K15" s="7">
        <f t="shared" si="39"/>
        <v>13859.82</v>
      </c>
      <c r="L15" s="48">
        <f t="shared" ref="L15" si="52">IF((K15-K14)&lt;0,"0",(K15-K14))</f>
        <v>0</v>
      </c>
      <c r="M15" s="32">
        <f t="shared" ref="M15" si="53">L15*1.9*1000</f>
        <v>0</v>
      </c>
      <c r="N15" s="7">
        <f t="shared" si="40"/>
        <v>3341.9630000000002</v>
      </c>
      <c r="O15" s="48">
        <f>IF((N15-N14)&lt;0,"0",(N15-N14))</f>
        <v>0</v>
      </c>
      <c r="P15" s="32">
        <f t="shared" ref="P15" si="54">O15*1.9*1000</f>
        <v>0</v>
      </c>
      <c r="Q15" s="7">
        <f t="shared" si="41"/>
        <v>5281.97</v>
      </c>
      <c r="R15" s="48">
        <f t="shared" ref="R15" si="55">IF((Q15-Q14)&lt;0,"0",(Q15-Q14))</f>
        <v>0</v>
      </c>
      <c r="S15" s="32">
        <f t="shared" ref="S15" si="56">R15*1.9*1000</f>
        <v>0</v>
      </c>
      <c r="T15" s="8">
        <f t="shared" ref="T15" si="57">C15+F15+I15+L15+O15+R15</f>
        <v>0</v>
      </c>
      <c r="U15" s="34">
        <f t="shared" ref="U15" si="58">T15*1.9*1000</f>
        <v>0</v>
      </c>
      <c r="W15" s="162">
        <v>44512</v>
      </c>
      <c r="X15" s="163">
        <f t="shared" si="42"/>
        <v>161842</v>
      </c>
      <c r="Y15" s="169">
        <f t="shared" ref="Y15" si="59">X15-X14</f>
        <v>0</v>
      </c>
      <c r="Z15" s="163">
        <f t="shared" si="43"/>
        <v>8084</v>
      </c>
      <c r="AA15" s="169">
        <f t="shared" ref="AA15" si="60">Z15-Z14</f>
        <v>0</v>
      </c>
      <c r="AB15" s="163">
        <f t="shared" si="33"/>
        <v>14.85</v>
      </c>
      <c r="AC15" s="169">
        <f t="shared" ref="AC15" si="61">AB15-AB14</f>
        <v>0</v>
      </c>
      <c r="AD15" s="163">
        <f t="shared" si="35"/>
        <v>18</v>
      </c>
      <c r="AE15" s="169">
        <f t="shared" si="29"/>
        <v>0</v>
      </c>
      <c r="AF15" s="163">
        <f t="shared" si="44"/>
        <v>4805</v>
      </c>
      <c r="AG15" s="169">
        <f t="shared" si="30"/>
        <v>0</v>
      </c>
    </row>
    <row r="16" spans="1:33" ht="16.5" thickBot="1" x14ac:dyDescent="0.25">
      <c r="A16" s="10">
        <v>44544</v>
      </c>
      <c r="B16" s="165">
        <f t="shared" si="36"/>
        <v>22727.59</v>
      </c>
      <c r="C16" s="48">
        <f t="shared" si="15"/>
        <v>0</v>
      </c>
      <c r="D16" s="32">
        <f t="shared" si="16"/>
        <v>0</v>
      </c>
      <c r="E16" s="1">
        <f t="shared" si="37"/>
        <v>4067.0390000000002</v>
      </c>
      <c r="F16" s="48">
        <f t="shared" si="17"/>
        <v>0</v>
      </c>
      <c r="G16" s="32">
        <f t="shared" si="18"/>
        <v>0</v>
      </c>
      <c r="H16" s="1">
        <f t="shared" si="38"/>
        <v>4441</v>
      </c>
      <c r="I16" s="48">
        <f t="shared" si="19"/>
        <v>0</v>
      </c>
      <c r="J16" s="32">
        <f t="shared" si="20"/>
        <v>0</v>
      </c>
      <c r="K16" s="7">
        <f t="shared" si="39"/>
        <v>13859.82</v>
      </c>
      <c r="L16" s="48">
        <f t="shared" si="21"/>
        <v>0</v>
      </c>
      <c r="M16" s="32">
        <f t="shared" si="22"/>
        <v>0</v>
      </c>
      <c r="N16" s="7">
        <f t="shared" si="40"/>
        <v>3341.9630000000002</v>
      </c>
      <c r="O16" s="48">
        <f t="shared" si="23"/>
        <v>0</v>
      </c>
      <c r="P16" s="32">
        <f t="shared" si="24"/>
        <v>0</v>
      </c>
      <c r="Q16" s="7">
        <f t="shared" si="41"/>
        <v>5281.97</v>
      </c>
      <c r="R16" s="48">
        <f t="shared" si="25"/>
        <v>0</v>
      </c>
      <c r="S16" s="32">
        <f t="shared" si="26"/>
        <v>0</v>
      </c>
      <c r="T16" s="8">
        <f t="shared" si="34"/>
        <v>0</v>
      </c>
      <c r="U16" s="34">
        <f t="shared" si="27"/>
        <v>0</v>
      </c>
      <c r="W16" s="162">
        <v>44514</v>
      </c>
      <c r="X16" s="163">
        <f t="shared" si="42"/>
        <v>161842</v>
      </c>
      <c r="Y16" s="169">
        <f t="shared" si="31"/>
        <v>0</v>
      </c>
      <c r="Z16" s="163">
        <f t="shared" si="43"/>
        <v>8084</v>
      </c>
      <c r="AA16" s="169">
        <f t="shared" si="32"/>
        <v>0</v>
      </c>
      <c r="AB16" s="163">
        <f t="shared" si="33"/>
        <v>14.85</v>
      </c>
      <c r="AC16" s="169">
        <f t="shared" si="45"/>
        <v>0</v>
      </c>
      <c r="AD16" s="163">
        <f t="shared" si="35"/>
        <v>18</v>
      </c>
      <c r="AE16" s="169">
        <f t="shared" si="29"/>
        <v>0</v>
      </c>
      <c r="AF16" s="163">
        <f t="shared" si="44"/>
        <v>4805</v>
      </c>
      <c r="AG16" s="169">
        <f t="shared" si="30"/>
        <v>0</v>
      </c>
    </row>
    <row r="17" spans="1:33" ht="16.5" thickBot="1" x14ac:dyDescent="0.25">
      <c r="A17" s="10">
        <v>44545</v>
      </c>
      <c r="B17" s="165">
        <f t="shared" si="36"/>
        <v>22727.59</v>
      </c>
      <c r="C17" s="48">
        <f t="shared" si="15"/>
        <v>0</v>
      </c>
      <c r="D17" s="32">
        <f t="shared" si="16"/>
        <v>0</v>
      </c>
      <c r="E17" s="1">
        <f t="shared" si="37"/>
        <v>4067.0390000000002</v>
      </c>
      <c r="F17" s="48">
        <f t="shared" si="17"/>
        <v>0</v>
      </c>
      <c r="G17" s="32">
        <f t="shared" si="18"/>
        <v>0</v>
      </c>
      <c r="H17" s="1">
        <f t="shared" si="38"/>
        <v>4441</v>
      </c>
      <c r="I17" s="48">
        <f t="shared" si="19"/>
        <v>0</v>
      </c>
      <c r="J17" s="32">
        <f t="shared" si="20"/>
        <v>0</v>
      </c>
      <c r="K17" s="7">
        <f t="shared" si="39"/>
        <v>13859.82</v>
      </c>
      <c r="L17" s="48">
        <f t="shared" si="21"/>
        <v>0</v>
      </c>
      <c r="M17" s="32">
        <f t="shared" si="22"/>
        <v>0</v>
      </c>
      <c r="N17" s="7">
        <f t="shared" si="40"/>
        <v>3341.9630000000002</v>
      </c>
      <c r="O17" s="48">
        <f t="shared" si="23"/>
        <v>0</v>
      </c>
      <c r="P17" s="32">
        <f t="shared" si="24"/>
        <v>0</v>
      </c>
      <c r="Q17" s="7">
        <f t="shared" si="41"/>
        <v>5281.97</v>
      </c>
      <c r="R17" s="48">
        <f t="shared" si="25"/>
        <v>0</v>
      </c>
      <c r="S17" s="32">
        <f t="shared" si="26"/>
        <v>0</v>
      </c>
      <c r="T17" s="8">
        <f t="shared" si="34"/>
        <v>0</v>
      </c>
      <c r="U17" s="34">
        <f t="shared" si="27"/>
        <v>0</v>
      </c>
      <c r="W17" s="162">
        <v>44515</v>
      </c>
      <c r="X17" s="163">
        <f t="shared" si="42"/>
        <v>161842</v>
      </c>
      <c r="Y17" s="169">
        <f t="shared" si="31"/>
        <v>0</v>
      </c>
      <c r="Z17" s="163">
        <f t="shared" si="43"/>
        <v>8084</v>
      </c>
      <c r="AA17" s="169">
        <f t="shared" si="32"/>
        <v>0</v>
      </c>
      <c r="AB17" s="163">
        <f t="shared" si="33"/>
        <v>14.85</v>
      </c>
      <c r="AC17" s="169">
        <f t="shared" si="45"/>
        <v>0</v>
      </c>
      <c r="AD17" s="163">
        <f t="shared" si="35"/>
        <v>18</v>
      </c>
      <c r="AE17" s="169">
        <f t="shared" si="29"/>
        <v>0</v>
      </c>
      <c r="AF17" s="163">
        <f t="shared" si="44"/>
        <v>4805</v>
      </c>
      <c r="AG17" s="169">
        <f t="shared" si="30"/>
        <v>0</v>
      </c>
    </row>
    <row r="18" spans="1:33" ht="16.5" thickBot="1" x14ac:dyDescent="0.25">
      <c r="A18" s="10">
        <v>44546</v>
      </c>
      <c r="B18" s="165">
        <f t="shared" si="36"/>
        <v>22727.59</v>
      </c>
      <c r="C18" s="48">
        <f t="shared" si="15"/>
        <v>0</v>
      </c>
      <c r="D18" s="32">
        <f t="shared" si="16"/>
        <v>0</v>
      </c>
      <c r="E18" s="1">
        <f t="shared" si="37"/>
        <v>4067.0390000000002</v>
      </c>
      <c r="F18" s="48">
        <f t="shared" si="17"/>
        <v>0</v>
      </c>
      <c r="G18" s="32">
        <f t="shared" si="18"/>
        <v>0</v>
      </c>
      <c r="H18" s="1">
        <f t="shared" si="38"/>
        <v>4441</v>
      </c>
      <c r="I18" s="48">
        <f t="shared" si="19"/>
        <v>0</v>
      </c>
      <c r="J18" s="32">
        <f t="shared" si="20"/>
        <v>0</v>
      </c>
      <c r="K18" s="7">
        <f t="shared" si="39"/>
        <v>13859.82</v>
      </c>
      <c r="L18" s="48">
        <f t="shared" si="21"/>
        <v>0</v>
      </c>
      <c r="M18" s="32">
        <f t="shared" si="22"/>
        <v>0</v>
      </c>
      <c r="N18" s="7">
        <f t="shared" si="40"/>
        <v>3341.9630000000002</v>
      </c>
      <c r="O18" s="48">
        <f t="shared" si="23"/>
        <v>0</v>
      </c>
      <c r="P18" s="32">
        <f t="shared" si="24"/>
        <v>0</v>
      </c>
      <c r="Q18" s="7">
        <f t="shared" si="41"/>
        <v>5281.97</v>
      </c>
      <c r="R18" s="48">
        <f t="shared" si="25"/>
        <v>0</v>
      </c>
      <c r="S18" s="32">
        <f t="shared" si="26"/>
        <v>0</v>
      </c>
      <c r="T18" s="8">
        <f t="shared" si="34"/>
        <v>0</v>
      </c>
      <c r="U18" s="34">
        <f t="shared" si="27"/>
        <v>0</v>
      </c>
      <c r="W18" s="162">
        <v>44516</v>
      </c>
      <c r="X18" s="163">
        <f t="shared" si="42"/>
        <v>161842</v>
      </c>
      <c r="Y18" s="169">
        <f t="shared" si="31"/>
        <v>0</v>
      </c>
      <c r="Z18" s="163">
        <f t="shared" si="43"/>
        <v>8084</v>
      </c>
      <c r="AA18" s="169">
        <f t="shared" si="32"/>
        <v>0</v>
      </c>
      <c r="AB18" s="163">
        <f t="shared" si="33"/>
        <v>14.85</v>
      </c>
      <c r="AC18" s="169">
        <f t="shared" si="45"/>
        <v>0</v>
      </c>
      <c r="AD18" s="163">
        <f t="shared" si="35"/>
        <v>18</v>
      </c>
      <c r="AE18" s="169">
        <f t="shared" si="29"/>
        <v>0</v>
      </c>
      <c r="AF18" s="163">
        <f t="shared" si="44"/>
        <v>4805</v>
      </c>
      <c r="AG18" s="169">
        <v>0</v>
      </c>
    </row>
    <row r="19" spans="1:33" ht="16.5" thickBot="1" x14ac:dyDescent="0.25">
      <c r="A19" s="10">
        <v>44547</v>
      </c>
      <c r="B19" s="165">
        <f t="shared" si="36"/>
        <v>22727.59</v>
      </c>
      <c r="C19" s="48">
        <f t="shared" si="15"/>
        <v>0</v>
      </c>
      <c r="D19" s="32">
        <f t="shared" si="16"/>
        <v>0</v>
      </c>
      <c r="E19" s="1">
        <f t="shared" si="37"/>
        <v>4067.0390000000002</v>
      </c>
      <c r="F19" s="48">
        <f t="shared" si="17"/>
        <v>0</v>
      </c>
      <c r="G19" s="32">
        <f t="shared" si="18"/>
        <v>0</v>
      </c>
      <c r="H19" s="1">
        <f t="shared" si="38"/>
        <v>4441</v>
      </c>
      <c r="I19" s="48">
        <f t="shared" si="19"/>
        <v>0</v>
      </c>
      <c r="J19" s="32">
        <f t="shared" si="20"/>
        <v>0</v>
      </c>
      <c r="K19" s="7">
        <f t="shared" si="39"/>
        <v>13859.82</v>
      </c>
      <c r="L19" s="48">
        <f t="shared" si="21"/>
        <v>0</v>
      </c>
      <c r="M19" s="32">
        <f t="shared" si="22"/>
        <v>0</v>
      </c>
      <c r="N19" s="7">
        <f t="shared" si="40"/>
        <v>3341.9630000000002</v>
      </c>
      <c r="O19" s="48">
        <f t="shared" si="23"/>
        <v>0</v>
      </c>
      <c r="P19" s="32">
        <f t="shared" si="24"/>
        <v>0</v>
      </c>
      <c r="Q19" s="7">
        <f t="shared" si="41"/>
        <v>5281.97</v>
      </c>
      <c r="R19" s="48">
        <f t="shared" si="25"/>
        <v>0</v>
      </c>
      <c r="S19" s="32">
        <f t="shared" si="26"/>
        <v>0</v>
      </c>
      <c r="T19" s="8">
        <f t="shared" si="34"/>
        <v>0</v>
      </c>
      <c r="U19" s="34">
        <f t="shared" si="27"/>
        <v>0</v>
      </c>
      <c r="W19" s="162">
        <v>44517</v>
      </c>
      <c r="X19" s="163">
        <f t="shared" si="42"/>
        <v>161842</v>
      </c>
      <c r="Y19" s="169">
        <f t="shared" si="31"/>
        <v>0</v>
      </c>
      <c r="Z19" s="163">
        <f t="shared" si="43"/>
        <v>8084</v>
      </c>
      <c r="AA19" s="169">
        <f t="shared" si="32"/>
        <v>0</v>
      </c>
      <c r="AB19" s="163">
        <f t="shared" si="33"/>
        <v>14.85</v>
      </c>
      <c r="AC19" s="169">
        <f t="shared" si="45"/>
        <v>0</v>
      </c>
      <c r="AD19" s="163">
        <f t="shared" si="35"/>
        <v>18</v>
      </c>
      <c r="AE19" s="169">
        <f t="shared" si="29"/>
        <v>0</v>
      </c>
      <c r="AF19" s="163">
        <f t="shared" si="44"/>
        <v>4805</v>
      </c>
      <c r="AG19" s="169">
        <v>0</v>
      </c>
    </row>
    <row r="20" spans="1:33" ht="16.5" thickBot="1" x14ac:dyDescent="0.25">
      <c r="A20" s="10">
        <v>44548</v>
      </c>
      <c r="B20" s="165">
        <f t="shared" si="36"/>
        <v>22727.59</v>
      </c>
      <c r="C20" s="48">
        <f t="shared" si="15"/>
        <v>0</v>
      </c>
      <c r="D20" s="32">
        <f t="shared" si="16"/>
        <v>0</v>
      </c>
      <c r="E20" s="1">
        <f t="shared" si="37"/>
        <v>4067.0390000000002</v>
      </c>
      <c r="F20" s="48">
        <f t="shared" si="17"/>
        <v>0</v>
      </c>
      <c r="G20" s="32">
        <f t="shared" si="18"/>
        <v>0</v>
      </c>
      <c r="H20" s="1">
        <f t="shared" si="38"/>
        <v>4441</v>
      </c>
      <c r="I20" s="48">
        <f t="shared" si="19"/>
        <v>0</v>
      </c>
      <c r="J20" s="32">
        <f t="shared" si="20"/>
        <v>0</v>
      </c>
      <c r="K20" s="7">
        <f t="shared" si="39"/>
        <v>13859.82</v>
      </c>
      <c r="L20" s="48">
        <f t="shared" si="21"/>
        <v>0</v>
      </c>
      <c r="M20" s="32">
        <f t="shared" si="22"/>
        <v>0</v>
      </c>
      <c r="N20" s="7">
        <f t="shared" si="40"/>
        <v>3341.9630000000002</v>
      </c>
      <c r="O20" s="48">
        <f t="shared" si="23"/>
        <v>0</v>
      </c>
      <c r="P20" s="32">
        <f t="shared" si="24"/>
        <v>0</v>
      </c>
      <c r="Q20" s="7">
        <f t="shared" si="41"/>
        <v>5281.97</v>
      </c>
      <c r="R20" s="48">
        <f t="shared" si="25"/>
        <v>0</v>
      </c>
      <c r="S20" s="32">
        <f t="shared" si="26"/>
        <v>0</v>
      </c>
      <c r="T20" s="8">
        <f t="shared" si="34"/>
        <v>0</v>
      </c>
      <c r="U20" s="34">
        <f t="shared" si="27"/>
        <v>0</v>
      </c>
      <c r="W20" s="162">
        <v>44518</v>
      </c>
      <c r="X20" s="163">
        <f t="shared" si="42"/>
        <v>161842</v>
      </c>
      <c r="Y20" s="169">
        <f t="shared" si="31"/>
        <v>0</v>
      </c>
      <c r="Z20" s="163">
        <f t="shared" si="43"/>
        <v>8084</v>
      </c>
      <c r="AA20" s="169">
        <f t="shared" si="32"/>
        <v>0</v>
      </c>
      <c r="AB20" s="163">
        <f t="shared" si="33"/>
        <v>14.85</v>
      </c>
      <c r="AC20" s="169">
        <f t="shared" si="45"/>
        <v>0</v>
      </c>
      <c r="AD20" s="163">
        <f t="shared" si="35"/>
        <v>18</v>
      </c>
      <c r="AE20" s="169">
        <v>0</v>
      </c>
      <c r="AF20" s="163">
        <f t="shared" si="44"/>
        <v>4805</v>
      </c>
      <c r="AG20" s="169">
        <f t="shared" si="30"/>
        <v>0</v>
      </c>
    </row>
    <row r="21" spans="1:33" ht="16.5" thickBot="1" x14ac:dyDescent="0.25">
      <c r="A21" s="10">
        <v>44549</v>
      </c>
      <c r="B21" s="165">
        <f t="shared" si="36"/>
        <v>22727.59</v>
      </c>
      <c r="C21" s="48">
        <f t="shared" si="15"/>
        <v>0</v>
      </c>
      <c r="D21" s="32">
        <f t="shared" si="16"/>
        <v>0</v>
      </c>
      <c r="E21" s="1">
        <f t="shared" si="37"/>
        <v>4067.0390000000002</v>
      </c>
      <c r="F21" s="48">
        <f t="shared" si="17"/>
        <v>0</v>
      </c>
      <c r="G21" s="32">
        <f t="shared" si="18"/>
        <v>0</v>
      </c>
      <c r="H21" s="1">
        <f t="shared" si="38"/>
        <v>4441</v>
      </c>
      <c r="I21" s="48">
        <f t="shared" si="19"/>
        <v>0</v>
      </c>
      <c r="J21" s="32">
        <f t="shared" si="20"/>
        <v>0</v>
      </c>
      <c r="K21" s="7">
        <f t="shared" si="39"/>
        <v>13859.82</v>
      </c>
      <c r="L21" s="48">
        <f t="shared" si="21"/>
        <v>0</v>
      </c>
      <c r="M21" s="32">
        <f t="shared" si="22"/>
        <v>0</v>
      </c>
      <c r="N21" s="7">
        <f t="shared" si="40"/>
        <v>3341.9630000000002</v>
      </c>
      <c r="O21" s="48">
        <f t="shared" si="23"/>
        <v>0</v>
      </c>
      <c r="P21" s="32">
        <f t="shared" si="24"/>
        <v>0</v>
      </c>
      <c r="Q21" s="7">
        <f t="shared" si="41"/>
        <v>5281.97</v>
      </c>
      <c r="R21" s="48">
        <f t="shared" si="25"/>
        <v>0</v>
      </c>
      <c r="S21" s="32">
        <f t="shared" si="26"/>
        <v>0</v>
      </c>
      <c r="T21" s="8">
        <f t="shared" si="34"/>
        <v>0</v>
      </c>
      <c r="U21" s="34">
        <f t="shared" si="27"/>
        <v>0</v>
      </c>
      <c r="W21" s="162">
        <v>44519</v>
      </c>
      <c r="X21" s="163">
        <f t="shared" si="42"/>
        <v>161842</v>
      </c>
      <c r="Y21" s="169">
        <f t="shared" si="31"/>
        <v>0</v>
      </c>
      <c r="Z21" s="163">
        <f t="shared" si="43"/>
        <v>8084</v>
      </c>
      <c r="AA21" s="169">
        <f t="shared" si="32"/>
        <v>0</v>
      </c>
      <c r="AB21" s="163">
        <f t="shared" si="33"/>
        <v>14.85</v>
      </c>
      <c r="AC21" s="169">
        <f t="shared" si="45"/>
        <v>0</v>
      </c>
      <c r="AD21" s="163">
        <f t="shared" si="35"/>
        <v>18</v>
      </c>
      <c r="AE21" s="169">
        <f t="shared" si="29"/>
        <v>0</v>
      </c>
      <c r="AF21" s="163">
        <f t="shared" si="44"/>
        <v>4805</v>
      </c>
      <c r="AG21" s="169">
        <f t="shared" si="30"/>
        <v>0</v>
      </c>
    </row>
    <row r="22" spans="1:33" ht="16.5" thickBot="1" x14ac:dyDescent="0.25">
      <c r="A22" s="10">
        <v>44550</v>
      </c>
      <c r="B22" s="165">
        <f t="shared" si="36"/>
        <v>22727.59</v>
      </c>
      <c r="C22" s="48">
        <f t="shared" si="15"/>
        <v>0</v>
      </c>
      <c r="D22" s="32">
        <f t="shared" si="16"/>
        <v>0</v>
      </c>
      <c r="E22" s="1">
        <f t="shared" si="37"/>
        <v>4067.0390000000002</v>
      </c>
      <c r="F22" s="48">
        <f t="shared" si="17"/>
        <v>0</v>
      </c>
      <c r="G22" s="32">
        <f t="shared" si="18"/>
        <v>0</v>
      </c>
      <c r="H22" s="1">
        <f t="shared" si="38"/>
        <v>4441</v>
      </c>
      <c r="I22" s="48">
        <f t="shared" si="19"/>
        <v>0</v>
      </c>
      <c r="J22" s="32">
        <f t="shared" si="20"/>
        <v>0</v>
      </c>
      <c r="K22" s="7">
        <f t="shared" si="39"/>
        <v>13859.82</v>
      </c>
      <c r="L22" s="48">
        <f t="shared" si="21"/>
        <v>0</v>
      </c>
      <c r="M22" s="32">
        <f t="shared" si="22"/>
        <v>0</v>
      </c>
      <c r="N22" s="7">
        <f t="shared" si="40"/>
        <v>3341.9630000000002</v>
      </c>
      <c r="O22" s="48">
        <f t="shared" si="23"/>
        <v>0</v>
      </c>
      <c r="P22" s="32">
        <f t="shared" si="24"/>
        <v>0</v>
      </c>
      <c r="Q22" s="7">
        <f t="shared" si="41"/>
        <v>5281.97</v>
      </c>
      <c r="R22" s="48">
        <f t="shared" si="25"/>
        <v>0</v>
      </c>
      <c r="S22" s="32">
        <f t="shared" si="26"/>
        <v>0</v>
      </c>
      <c r="T22" s="8">
        <f t="shared" si="34"/>
        <v>0</v>
      </c>
      <c r="U22" s="34">
        <f t="shared" si="27"/>
        <v>0</v>
      </c>
      <c r="W22" s="162">
        <v>44520</v>
      </c>
      <c r="X22" s="163">
        <f t="shared" si="42"/>
        <v>161842</v>
      </c>
      <c r="Y22" s="169">
        <f t="shared" si="31"/>
        <v>0</v>
      </c>
      <c r="Z22" s="163">
        <f t="shared" si="43"/>
        <v>8084</v>
      </c>
      <c r="AA22" s="169">
        <f t="shared" si="32"/>
        <v>0</v>
      </c>
      <c r="AB22" s="163">
        <f t="shared" si="33"/>
        <v>14.85</v>
      </c>
      <c r="AC22" s="169">
        <f t="shared" si="45"/>
        <v>0</v>
      </c>
      <c r="AD22" s="163">
        <f t="shared" si="35"/>
        <v>18</v>
      </c>
      <c r="AE22" s="169">
        <f t="shared" si="29"/>
        <v>0</v>
      </c>
      <c r="AF22" s="163">
        <f t="shared" si="44"/>
        <v>4805</v>
      </c>
      <c r="AG22" s="169">
        <f t="shared" si="30"/>
        <v>0</v>
      </c>
    </row>
    <row r="23" spans="1:33" ht="16.5" thickBot="1" x14ac:dyDescent="0.25">
      <c r="A23" s="10">
        <v>44551</v>
      </c>
      <c r="B23" s="165">
        <f t="shared" si="36"/>
        <v>22727.59</v>
      </c>
      <c r="C23" s="48">
        <f t="shared" si="15"/>
        <v>0</v>
      </c>
      <c r="D23" s="32">
        <f t="shared" si="16"/>
        <v>0</v>
      </c>
      <c r="E23" s="1">
        <f t="shared" si="37"/>
        <v>4067.0390000000002</v>
      </c>
      <c r="F23" s="48">
        <f t="shared" si="17"/>
        <v>0</v>
      </c>
      <c r="G23" s="32">
        <f t="shared" si="18"/>
        <v>0</v>
      </c>
      <c r="H23" s="1">
        <f t="shared" si="38"/>
        <v>4441</v>
      </c>
      <c r="I23" s="48">
        <f t="shared" si="19"/>
        <v>0</v>
      </c>
      <c r="J23" s="32">
        <f t="shared" si="20"/>
        <v>0</v>
      </c>
      <c r="K23" s="7">
        <f t="shared" si="39"/>
        <v>13859.82</v>
      </c>
      <c r="L23" s="48">
        <f t="shared" si="21"/>
        <v>0</v>
      </c>
      <c r="M23" s="32">
        <f t="shared" si="22"/>
        <v>0</v>
      </c>
      <c r="N23" s="7">
        <f t="shared" si="40"/>
        <v>3341.9630000000002</v>
      </c>
      <c r="O23" s="48">
        <f t="shared" si="23"/>
        <v>0</v>
      </c>
      <c r="P23" s="32">
        <f t="shared" si="24"/>
        <v>0</v>
      </c>
      <c r="Q23" s="7">
        <f t="shared" si="41"/>
        <v>5281.97</v>
      </c>
      <c r="R23" s="48">
        <f t="shared" si="25"/>
        <v>0</v>
      </c>
      <c r="S23" s="32">
        <f t="shared" si="26"/>
        <v>0</v>
      </c>
      <c r="T23" s="8">
        <f t="shared" si="34"/>
        <v>0</v>
      </c>
      <c r="U23" s="34">
        <f t="shared" si="27"/>
        <v>0</v>
      </c>
      <c r="W23" s="162">
        <v>44521</v>
      </c>
      <c r="X23" s="163">
        <f t="shared" si="42"/>
        <v>161842</v>
      </c>
      <c r="Y23" s="169">
        <f t="shared" si="31"/>
        <v>0</v>
      </c>
      <c r="Z23" s="163">
        <f t="shared" si="43"/>
        <v>8084</v>
      </c>
      <c r="AA23" s="169">
        <f t="shared" si="32"/>
        <v>0</v>
      </c>
      <c r="AB23" s="163">
        <f t="shared" si="33"/>
        <v>14.85</v>
      </c>
      <c r="AC23" s="169">
        <f t="shared" si="45"/>
        <v>0</v>
      </c>
      <c r="AD23" s="163">
        <f t="shared" si="35"/>
        <v>18</v>
      </c>
      <c r="AE23" s="169">
        <f t="shared" si="29"/>
        <v>0</v>
      </c>
      <c r="AF23" s="163">
        <f t="shared" si="44"/>
        <v>4805</v>
      </c>
      <c r="AG23" s="169">
        <f t="shared" si="30"/>
        <v>0</v>
      </c>
    </row>
    <row r="24" spans="1:33" ht="16.5" thickBot="1" x14ac:dyDescent="0.25">
      <c r="A24" s="10">
        <v>44552</v>
      </c>
      <c r="B24" s="165">
        <f t="shared" si="36"/>
        <v>22727.59</v>
      </c>
      <c r="C24" s="48">
        <f t="shared" si="15"/>
        <v>0</v>
      </c>
      <c r="D24" s="32">
        <f t="shared" si="16"/>
        <v>0</v>
      </c>
      <c r="E24" s="1">
        <f t="shared" si="37"/>
        <v>4067.0390000000002</v>
      </c>
      <c r="F24" s="48">
        <f t="shared" si="17"/>
        <v>0</v>
      </c>
      <c r="G24" s="32">
        <f t="shared" si="18"/>
        <v>0</v>
      </c>
      <c r="H24" s="1">
        <f t="shared" si="38"/>
        <v>4441</v>
      </c>
      <c r="I24" s="48">
        <f t="shared" si="19"/>
        <v>0</v>
      </c>
      <c r="J24" s="32">
        <f t="shared" si="20"/>
        <v>0</v>
      </c>
      <c r="K24" s="7">
        <f t="shared" si="39"/>
        <v>13859.82</v>
      </c>
      <c r="L24" s="48">
        <f t="shared" si="21"/>
        <v>0</v>
      </c>
      <c r="M24" s="32">
        <f t="shared" si="22"/>
        <v>0</v>
      </c>
      <c r="N24" s="7">
        <f t="shared" si="40"/>
        <v>3341.9630000000002</v>
      </c>
      <c r="O24" s="48">
        <f t="shared" si="23"/>
        <v>0</v>
      </c>
      <c r="P24" s="32">
        <f t="shared" si="24"/>
        <v>0</v>
      </c>
      <c r="Q24" s="7">
        <f t="shared" si="41"/>
        <v>5281.97</v>
      </c>
      <c r="R24" s="48">
        <f t="shared" si="25"/>
        <v>0</v>
      </c>
      <c r="S24" s="32">
        <f t="shared" si="26"/>
        <v>0</v>
      </c>
      <c r="T24" s="8">
        <f t="shared" si="34"/>
        <v>0</v>
      </c>
      <c r="U24" s="34">
        <f t="shared" si="27"/>
        <v>0</v>
      </c>
      <c r="W24" s="162">
        <v>44522</v>
      </c>
      <c r="X24" s="163">
        <f t="shared" si="42"/>
        <v>161842</v>
      </c>
      <c r="Y24" s="169">
        <f t="shared" si="31"/>
        <v>0</v>
      </c>
      <c r="Z24" s="163">
        <f t="shared" si="43"/>
        <v>8084</v>
      </c>
      <c r="AA24" s="169">
        <f t="shared" si="32"/>
        <v>0</v>
      </c>
      <c r="AB24" s="163">
        <f t="shared" si="33"/>
        <v>14.85</v>
      </c>
      <c r="AC24" s="169">
        <f t="shared" si="45"/>
        <v>0</v>
      </c>
      <c r="AD24" s="163">
        <f t="shared" si="35"/>
        <v>18</v>
      </c>
      <c r="AE24" s="169">
        <f t="shared" si="29"/>
        <v>0</v>
      </c>
      <c r="AF24" s="163">
        <f t="shared" si="44"/>
        <v>4805</v>
      </c>
      <c r="AG24" s="169">
        <f t="shared" si="30"/>
        <v>0</v>
      </c>
    </row>
    <row r="25" spans="1:33" ht="16.5" thickBot="1" x14ac:dyDescent="0.25">
      <c r="A25" s="10">
        <v>44553</v>
      </c>
      <c r="B25" s="165">
        <f t="shared" si="36"/>
        <v>22727.59</v>
      </c>
      <c r="C25" s="48">
        <f t="shared" si="15"/>
        <v>0</v>
      </c>
      <c r="D25" s="32">
        <f t="shared" si="16"/>
        <v>0</v>
      </c>
      <c r="E25" s="1">
        <f t="shared" si="37"/>
        <v>4067.0390000000002</v>
      </c>
      <c r="F25" s="48">
        <f t="shared" si="17"/>
        <v>0</v>
      </c>
      <c r="G25" s="32">
        <f t="shared" si="18"/>
        <v>0</v>
      </c>
      <c r="H25" s="1">
        <f t="shared" si="38"/>
        <v>4441</v>
      </c>
      <c r="I25" s="48">
        <f t="shared" si="19"/>
        <v>0</v>
      </c>
      <c r="J25" s="32">
        <f t="shared" si="20"/>
        <v>0</v>
      </c>
      <c r="K25" s="7">
        <f t="shared" si="39"/>
        <v>13859.82</v>
      </c>
      <c r="L25" s="48">
        <f t="shared" si="21"/>
        <v>0</v>
      </c>
      <c r="M25" s="32">
        <f t="shared" si="22"/>
        <v>0</v>
      </c>
      <c r="N25" s="7">
        <f t="shared" si="40"/>
        <v>3341.9630000000002</v>
      </c>
      <c r="O25" s="48">
        <f t="shared" si="23"/>
        <v>0</v>
      </c>
      <c r="P25" s="32">
        <f t="shared" si="24"/>
        <v>0</v>
      </c>
      <c r="Q25" s="7">
        <f t="shared" si="41"/>
        <v>5281.97</v>
      </c>
      <c r="R25" s="48">
        <f t="shared" si="25"/>
        <v>0</v>
      </c>
      <c r="S25" s="32">
        <f t="shared" si="26"/>
        <v>0</v>
      </c>
      <c r="T25" s="8">
        <f t="shared" si="34"/>
        <v>0</v>
      </c>
      <c r="U25" s="34">
        <f t="shared" si="27"/>
        <v>0</v>
      </c>
      <c r="W25" s="162">
        <v>44523</v>
      </c>
      <c r="X25" s="163">
        <f t="shared" si="42"/>
        <v>161842</v>
      </c>
      <c r="Y25" s="169">
        <f t="shared" si="31"/>
        <v>0</v>
      </c>
      <c r="Z25" s="163">
        <f t="shared" si="43"/>
        <v>8084</v>
      </c>
      <c r="AA25" s="169">
        <f t="shared" si="32"/>
        <v>0</v>
      </c>
      <c r="AB25" s="163">
        <f t="shared" si="33"/>
        <v>14.85</v>
      </c>
      <c r="AC25" s="169">
        <f t="shared" si="45"/>
        <v>0</v>
      </c>
      <c r="AD25" s="163">
        <f t="shared" si="35"/>
        <v>18</v>
      </c>
      <c r="AE25" s="169">
        <f t="shared" si="29"/>
        <v>0</v>
      </c>
      <c r="AF25" s="163">
        <f t="shared" si="44"/>
        <v>4805</v>
      </c>
      <c r="AG25" s="169">
        <f t="shared" si="30"/>
        <v>0</v>
      </c>
    </row>
    <row r="26" spans="1:33" ht="16.5" thickBot="1" x14ac:dyDescent="0.25">
      <c r="A26" s="10">
        <v>44554</v>
      </c>
      <c r="B26" s="165">
        <f t="shared" si="36"/>
        <v>22727.59</v>
      </c>
      <c r="C26" s="48">
        <f t="shared" si="15"/>
        <v>0</v>
      </c>
      <c r="D26" s="32">
        <f t="shared" si="16"/>
        <v>0</v>
      </c>
      <c r="E26" s="1">
        <f t="shared" si="37"/>
        <v>4067.0390000000002</v>
      </c>
      <c r="F26" s="48">
        <f t="shared" si="17"/>
        <v>0</v>
      </c>
      <c r="G26" s="32">
        <f t="shared" si="18"/>
        <v>0</v>
      </c>
      <c r="H26" s="1">
        <f t="shared" si="38"/>
        <v>4441</v>
      </c>
      <c r="I26" s="48">
        <f t="shared" si="19"/>
        <v>0</v>
      </c>
      <c r="J26" s="32">
        <f t="shared" si="20"/>
        <v>0</v>
      </c>
      <c r="K26" s="7">
        <f t="shared" si="39"/>
        <v>13859.82</v>
      </c>
      <c r="L26" s="48">
        <f>IF((K26-K25)&lt;0,"0",(K26-K25))</f>
        <v>0</v>
      </c>
      <c r="M26" s="32">
        <f t="shared" si="22"/>
        <v>0</v>
      </c>
      <c r="N26" s="7">
        <f t="shared" si="40"/>
        <v>3341.9630000000002</v>
      </c>
      <c r="O26" s="48">
        <f t="shared" si="23"/>
        <v>0</v>
      </c>
      <c r="P26" s="32">
        <f t="shared" si="24"/>
        <v>0</v>
      </c>
      <c r="Q26" s="7">
        <f t="shared" si="41"/>
        <v>5281.97</v>
      </c>
      <c r="R26" s="48">
        <f t="shared" si="25"/>
        <v>0</v>
      </c>
      <c r="S26" s="32">
        <f t="shared" si="26"/>
        <v>0</v>
      </c>
      <c r="T26" s="8">
        <f t="shared" si="34"/>
        <v>0</v>
      </c>
      <c r="U26" s="34">
        <f t="shared" si="27"/>
        <v>0</v>
      </c>
      <c r="V26" t="s">
        <v>12</v>
      </c>
      <c r="W26" s="162">
        <v>44524</v>
      </c>
      <c r="X26" s="163">
        <f t="shared" si="42"/>
        <v>161842</v>
      </c>
      <c r="Y26" s="169">
        <f t="shared" si="31"/>
        <v>0</v>
      </c>
      <c r="Z26" s="163">
        <f t="shared" si="43"/>
        <v>8084</v>
      </c>
      <c r="AA26" s="169">
        <f t="shared" si="32"/>
        <v>0</v>
      </c>
      <c r="AB26" s="163">
        <f t="shared" si="33"/>
        <v>14.85</v>
      </c>
      <c r="AC26" s="169">
        <f t="shared" si="45"/>
        <v>0</v>
      </c>
      <c r="AD26" s="163">
        <f t="shared" si="35"/>
        <v>18</v>
      </c>
      <c r="AE26" s="169">
        <f t="shared" si="29"/>
        <v>0</v>
      </c>
      <c r="AF26" s="163">
        <f t="shared" si="44"/>
        <v>4805</v>
      </c>
      <c r="AG26" s="169">
        <f t="shared" si="30"/>
        <v>0</v>
      </c>
    </row>
    <row r="27" spans="1:33" ht="16.5" thickBot="1" x14ac:dyDescent="0.25">
      <c r="A27" s="10">
        <v>44555</v>
      </c>
      <c r="B27" s="165">
        <f t="shared" si="36"/>
        <v>22727.59</v>
      </c>
      <c r="C27" s="48">
        <f t="shared" si="15"/>
        <v>0</v>
      </c>
      <c r="D27" s="32">
        <f t="shared" si="16"/>
        <v>0</v>
      </c>
      <c r="E27" s="1">
        <f t="shared" si="37"/>
        <v>4067.0390000000002</v>
      </c>
      <c r="F27" s="48">
        <f t="shared" si="17"/>
        <v>0</v>
      </c>
      <c r="G27" s="32">
        <f t="shared" si="18"/>
        <v>0</v>
      </c>
      <c r="H27" s="1">
        <f t="shared" si="38"/>
        <v>4441</v>
      </c>
      <c r="I27" s="48">
        <f t="shared" si="19"/>
        <v>0</v>
      </c>
      <c r="J27" s="32">
        <f t="shared" si="20"/>
        <v>0</v>
      </c>
      <c r="K27" s="7">
        <f t="shared" si="39"/>
        <v>13859.82</v>
      </c>
      <c r="L27" s="48">
        <f t="shared" si="21"/>
        <v>0</v>
      </c>
      <c r="M27" s="32">
        <f t="shared" si="22"/>
        <v>0</v>
      </c>
      <c r="N27" s="7">
        <f t="shared" si="40"/>
        <v>3341.9630000000002</v>
      </c>
      <c r="O27" s="48">
        <f t="shared" si="23"/>
        <v>0</v>
      </c>
      <c r="P27" s="32">
        <f t="shared" si="24"/>
        <v>0</v>
      </c>
      <c r="Q27" s="7">
        <f t="shared" si="41"/>
        <v>5281.97</v>
      </c>
      <c r="R27" s="48">
        <f t="shared" si="25"/>
        <v>0</v>
      </c>
      <c r="S27" s="32">
        <f t="shared" si="26"/>
        <v>0</v>
      </c>
      <c r="T27" s="8">
        <f t="shared" si="34"/>
        <v>0</v>
      </c>
      <c r="U27" s="34">
        <f t="shared" si="27"/>
        <v>0</v>
      </c>
      <c r="V27" t="s">
        <v>12</v>
      </c>
      <c r="W27" s="162">
        <v>44525</v>
      </c>
      <c r="X27" s="163">
        <f t="shared" si="42"/>
        <v>161842</v>
      </c>
      <c r="Y27" s="169">
        <f t="shared" si="31"/>
        <v>0</v>
      </c>
      <c r="Z27" s="163">
        <f t="shared" si="43"/>
        <v>8084</v>
      </c>
      <c r="AA27" s="169">
        <f t="shared" si="32"/>
        <v>0</v>
      </c>
      <c r="AB27" s="163">
        <f t="shared" si="33"/>
        <v>14.85</v>
      </c>
      <c r="AC27" s="169">
        <f t="shared" si="45"/>
        <v>0</v>
      </c>
      <c r="AD27" s="163">
        <f t="shared" si="35"/>
        <v>18</v>
      </c>
      <c r="AE27" s="169">
        <f t="shared" si="29"/>
        <v>0</v>
      </c>
      <c r="AF27" s="163">
        <f t="shared" si="44"/>
        <v>4805</v>
      </c>
      <c r="AG27" s="169">
        <f t="shared" si="30"/>
        <v>0</v>
      </c>
    </row>
    <row r="28" spans="1:33" ht="16.5" thickBot="1" x14ac:dyDescent="0.25">
      <c r="A28" s="10">
        <v>44556</v>
      </c>
      <c r="B28" s="165">
        <f t="shared" si="36"/>
        <v>22727.59</v>
      </c>
      <c r="C28" s="48">
        <f t="shared" si="15"/>
        <v>0</v>
      </c>
      <c r="D28" s="32">
        <f t="shared" si="16"/>
        <v>0</v>
      </c>
      <c r="E28" s="1">
        <f t="shared" si="37"/>
        <v>4067.0390000000002</v>
      </c>
      <c r="F28" s="48">
        <f t="shared" si="17"/>
        <v>0</v>
      </c>
      <c r="G28" s="32">
        <f t="shared" si="18"/>
        <v>0</v>
      </c>
      <c r="H28" s="1">
        <f t="shared" si="38"/>
        <v>4441</v>
      </c>
      <c r="I28" s="48">
        <f t="shared" si="19"/>
        <v>0</v>
      </c>
      <c r="J28" s="32">
        <f t="shared" si="20"/>
        <v>0</v>
      </c>
      <c r="K28" s="7">
        <f t="shared" si="39"/>
        <v>13859.82</v>
      </c>
      <c r="L28" s="48">
        <f t="shared" si="21"/>
        <v>0</v>
      </c>
      <c r="M28" s="32">
        <f t="shared" si="22"/>
        <v>0</v>
      </c>
      <c r="N28" s="7">
        <f t="shared" si="40"/>
        <v>3341.9630000000002</v>
      </c>
      <c r="O28" s="48">
        <f t="shared" si="23"/>
        <v>0</v>
      </c>
      <c r="P28" s="32">
        <f t="shared" si="24"/>
        <v>0</v>
      </c>
      <c r="Q28" s="7">
        <f t="shared" si="41"/>
        <v>5281.97</v>
      </c>
      <c r="R28" s="48">
        <f t="shared" si="25"/>
        <v>0</v>
      </c>
      <c r="S28" s="32">
        <f t="shared" si="26"/>
        <v>0</v>
      </c>
      <c r="T28" s="8">
        <f t="shared" si="34"/>
        <v>0</v>
      </c>
      <c r="U28" s="34">
        <f t="shared" si="27"/>
        <v>0</v>
      </c>
      <c r="W28" s="162">
        <v>44526</v>
      </c>
      <c r="X28" s="163">
        <f t="shared" si="42"/>
        <v>161842</v>
      </c>
      <c r="Y28" s="169">
        <f t="shared" si="31"/>
        <v>0</v>
      </c>
      <c r="Z28" s="163">
        <f t="shared" si="43"/>
        <v>8084</v>
      </c>
      <c r="AA28" s="169">
        <f t="shared" si="32"/>
        <v>0</v>
      </c>
      <c r="AB28" s="163">
        <f t="shared" si="33"/>
        <v>14.85</v>
      </c>
      <c r="AC28" s="169">
        <f t="shared" si="45"/>
        <v>0</v>
      </c>
      <c r="AD28" s="163">
        <f t="shared" si="35"/>
        <v>18</v>
      </c>
      <c r="AE28" s="169">
        <f t="shared" si="29"/>
        <v>0</v>
      </c>
      <c r="AF28" s="163">
        <f t="shared" si="44"/>
        <v>4805</v>
      </c>
      <c r="AG28" s="169">
        <f t="shared" si="30"/>
        <v>0</v>
      </c>
    </row>
    <row r="29" spans="1:33" ht="16.5" thickBot="1" x14ac:dyDescent="0.25">
      <c r="A29" s="10">
        <v>44557</v>
      </c>
      <c r="B29" s="165">
        <f t="shared" si="36"/>
        <v>22727.59</v>
      </c>
      <c r="C29" s="48">
        <f t="shared" si="15"/>
        <v>0</v>
      </c>
      <c r="D29" s="32">
        <f t="shared" si="16"/>
        <v>0</v>
      </c>
      <c r="E29" s="1">
        <f t="shared" si="37"/>
        <v>4067.0390000000002</v>
      </c>
      <c r="F29" s="48">
        <f t="shared" si="17"/>
        <v>0</v>
      </c>
      <c r="G29" s="32">
        <f t="shared" si="18"/>
        <v>0</v>
      </c>
      <c r="H29" s="1">
        <f t="shared" si="38"/>
        <v>4441</v>
      </c>
      <c r="I29" s="48">
        <f t="shared" si="19"/>
        <v>0</v>
      </c>
      <c r="J29" s="32">
        <f t="shared" si="20"/>
        <v>0</v>
      </c>
      <c r="K29" s="7">
        <f t="shared" si="39"/>
        <v>13859.82</v>
      </c>
      <c r="L29" s="48">
        <f t="shared" si="21"/>
        <v>0</v>
      </c>
      <c r="M29" s="32">
        <f t="shared" si="22"/>
        <v>0</v>
      </c>
      <c r="N29" s="7">
        <f t="shared" si="40"/>
        <v>3341.9630000000002</v>
      </c>
      <c r="O29" s="48">
        <f t="shared" si="23"/>
        <v>0</v>
      </c>
      <c r="P29" s="32">
        <f t="shared" si="24"/>
        <v>0</v>
      </c>
      <c r="Q29" s="7">
        <f t="shared" si="41"/>
        <v>5281.97</v>
      </c>
      <c r="R29" s="48">
        <f t="shared" si="25"/>
        <v>0</v>
      </c>
      <c r="S29" s="32">
        <f t="shared" si="26"/>
        <v>0</v>
      </c>
      <c r="T29" s="8">
        <f t="shared" si="34"/>
        <v>0</v>
      </c>
      <c r="U29" s="34">
        <f t="shared" si="27"/>
        <v>0</v>
      </c>
      <c r="W29" s="162">
        <v>44527</v>
      </c>
      <c r="X29" s="163">
        <f t="shared" si="42"/>
        <v>161842</v>
      </c>
      <c r="Y29" s="169">
        <f t="shared" si="31"/>
        <v>0</v>
      </c>
      <c r="Z29" s="163">
        <f t="shared" si="43"/>
        <v>8084</v>
      </c>
      <c r="AA29" s="169">
        <f t="shared" si="32"/>
        <v>0</v>
      </c>
      <c r="AB29" s="163">
        <f t="shared" si="33"/>
        <v>14.85</v>
      </c>
      <c r="AC29" s="169">
        <f t="shared" si="45"/>
        <v>0</v>
      </c>
      <c r="AD29" s="163">
        <f t="shared" si="35"/>
        <v>18</v>
      </c>
      <c r="AE29" s="169">
        <f t="shared" si="29"/>
        <v>0</v>
      </c>
      <c r="AF29" s="163">
        <f t="shared" si="44"/>
        <v>4805</v>
      </c>
      <c r="AG29" s="169">
        <f t="shared" si="30"/>
        <v>0</v>
      </c>
    </row>
    <row r="30" spans="1:33" ht="16.5" thickBot="1" x14ac:dyDescent="0.25">
      <c r="A30" s="10">
        <v>44558</v>
      </c>
      <c r="B30" s="165">
        <f t="shared" si="36"/>
        <v>22727.59</v>
      </c>
      <c r="C30" s="48">
        <f t="shared" si="15"/>
        <v>0</v>
      </c>
      <c r="D30" s="32">
        <f t="shared" si="16"/>
        <v>0</v>
      </c>
      <c r="E30" s="1">
        <f t="shared" si="37"/>
        <v>4067.0390000000002</v>
      </c>
      <c r="F30" s="48">
        <f t="shared" si="17"/>
        <v>0</v>
      </c>
      <c r="G30" s="32">
        <f t="shared" si="18"/>
        <v>0</v>
      </c>
      <c r="H30" s="1">
        <f t="shared" si="38"/>
        <v>4441</v>
      </c>
      <c r="I30" s="48">
        <f t="shared" si="19"/>
        <v>0</v>
      </c>
      <c r="J30" s="32">
        <f t="shared" si="20"/>
        <v>0</v>
      </c>
      <c r="K30" s="7">
        <f t="shared" si="39"/>
        <v>13859.82</v>
      </c>
      <c r="L30" s="48">
        <f t="shared" si="21"/>
        <v>0</v>
      </c>
      <c r="M30" s="32">
        <f t="shared" si="22"/>
        <v>0</v>
      </c>
      <c r="N30" s="7">
        <f t="shared" si="40"/>
        <v>3341.9630000000002</v>
      </c>
      <c r="O30" s="48">
        <f t="shared" si="23"/>
        <v>0</v>
      </c>
      <c r="P30" s="32">
        <f t="shared" si="24"/>
        <v>0</v>
      </c>
      <c r="Q30" s="7">
        <f t="shared" si="41"/>
        <v>5281.97</v>
      </c>
      <c r="R30" s="48">
        <f t="shared" si="25"/>
        <v>0</v>
      </c>
      <c r="S30" s="32">
        <f t="shared" si="26"/>
        <v>0</v>
      </c>
      <c r="T30" s="8">
        <f t="shared" si="34"/>
        <v>0</v>
      </c>
      <c r="U30" s="34">
        <f t="shared" si="27"/>
        <v>0</v>
      </c>
      <c r="W30" s="162">
        <v>44528</v>
      </c>
      <c r="X30" s="163">
        <f t="shared" si="42"/>
        <v>161842</v>
      </c>
      <c r="Y30" s="169">
        <f t="shared" si="31"/>
        <v>0</v>
      </c>
      <c r="Z30" s="163">
        <f t="shared" si="43"/>
        <v>8084</v>
      </c>
      <c r="AA30" s="169">
        <f>Z30-Z29</f>
        <v>0</v>
      </c>
      <c r="AB30" s="163">
        <f t="shared" si="33"/>
        <v>14.85</v>
      </c>
      <c r="AC30" s="169">
        <f t="shared" si="45"/>
        <v>0</v>
      </c>
      <c r="AD30" s="163">
        <f t="shared" si="35"/>
        <v>18</v>
      </c>
      <c r="AE30" s="169">
        <f t="shared" si="29"/>
        <v>0</v>
      </c>
      <c r="AF30" s="163">
        <f t="shared" si="44"/>
        <v>4805</v>
      </c>
      <c r="AG30" s="169">
        <f t="shared" si="30"/>
        <v>0</v>
      </c>
    </row>
    <row r="31" spans="1:33" ht="16.5" thickBot="1" x14ac:dyDescent="0.25">
      <c r="A31" s="10">
        <v>44559</v>
      </c>
      <c r="B31" s="165">
        <f t="shared" si="36"/>
        <v>22727.59</v>
      </c>
      <c r="C31" s="48">
        <f t="shared" si="15"/>
        <v>0</v>
      </c>
      <c r="D31" s="32">
        <f t="shared" si="16"/>
        <v>0</v>
      </c>
      <c r="E31" s="1">
        <f t="shared" si="37"/>
        <v>4067.0390000000002</v>
      </c>
      <c r="F31" s="48">
        <f t="shared" si="17"/>
        <v>0</v>
      </c>
      <c r="G31" s="32">
        <f t="shared" si="18"/>
        <v>0</v>
      </c>
      <c r="H31" s="1">
        <f t="shared" si="38"/>
        <v>4441</v>
      </c>
      <c r="I31" s="48">
        <f t="shared" si="19"/>
        <v>0</v>
      </c>
      <c r="J31" s="32">
        <f t="shared" si="20"/>
        <v>0</v>
      </c>
      <c r="K31" s="7">
        <f t="shared" si="39"/>
        <v>13859.82</v>
      </c>
      <c r="L31" s="48">
        <f t="shared" si="21"/>
        <v>0</v>
      </c>
      <c r="M31" s="32">
        <f t="shared" si="22"/>
        <v>0</v>
      </c>
      <c r="N31" s="7">
        <f t="shared" si="40"/>
        <v>3341.9630000000002</v>
      </c>
      <c r="O31" s="48">
        <f t="shared" si="23"/>
        <v>0</v>
      </c>
      <c r="P31" s="32">
        <f t="shared" si="24"/>
        <v>0</v>
      </c>
      <c r="Q31" s="7">
        <f t="shared" si="41"/>
        <v>5281.97</v>
      </c>
      <c r="R31" s="48">
        <f t="shared" si="25"/>
        <v>0</v>
      </c>
      <c r="S31" s="32">
        <f t="shared" si="26"/>
        <v>0</v>
      </c>
      <c r="T31" s="8">
        <f t="shared" si="34"/>
        <v>0</v>
      </c>
      <c r="U31" s="34">
        <f t="shared" si="27"/>
        <v>0</v>
      </c>
      <c r="W31" s="162">
        <v>44529</v>
      </c>
      <c r="X31" s="163">
        <f t="shared" si="42"/>
        <v>161842</v>
      </c>
      <c r="Y31" s="169">
        <f t="shared" si="31"/>
        <v>0</v>
      </c>
      <c r="Z31" s="163">
        <f t="shared" si="43"/>
        <v>8084</v>
      </c>
      <c r="AA31" s="169">
        <f t="shared" si="32"/>
        <v>0</v>
      </c>
      <c r="AB31" s="163">
        <f t="shared" si="33"/>
        <v>14.85</v>
      </c>
      <c r="AC31" s="169">
        <f t="shared" si="45"/>
        <v>0</v>
      </c>
      <c r="AD31" s="163">
        <f t="shared" si="35"/>
        <v>18</v>
      </c>
      <c r="AE31" s="169" t="s">
        <v>12</v>
      </c>
      <c r="AF31" s="163">
        <f t="shared" si="44"/>
        <v>4805</v>
      </c>
      <c r="AG31" s="169">
        <f t="shared" si="30"/>
        <v>0</v>
      </c>
    </row>
    <row r="32" spans="1:33" ht="16.5" thickBot="1" x14ac:dyDescent="0.25">
      <c r="A32" s="10">
        <v>44560</v>
      </c>
      <c r="B32" s="165">
        <f t="shared" si="36"/>
        <v>22727.59</v>
      </c>
      <c r="C32" s="48">
        <f t="shared" si="15"/>
        <v>0</v>
      </c>
      <c r="D32" s="32">
        <f t="shared" si="16"/>
        <v>0</v>
      </c>
      <c r="E32" s="1">
        <f t="shared" si="37"/>
        <v>4067.0390000000002</v>
      </c>
      <c r="F32" s="48">
        <f t="shared" si="17"/>
        <v>0</v>
      </c>
      <c r="G32" s="32">
        <f t="shared" si="18"/>
        <v>0</v>
      </c>
      <c r="H32" s="1">
        <f t="shared" si="38"/>
        <v>4441</v>
      </c>
      <c r="I32" s="48">
        <f t="shared" si="19"/>
        <v>0</v>
      </c>
      <c r="J32" s="32">
        <f t="shared" si="20"/>
        <v>0</v>
      </c>
      <c r="K32" s="7">
        <f t="shared" si="39"/>
        <v>13859.82</v>
      </c>
      <c r="L32" s="48">
        <f t="shared" si="21"/>
        <v>0</v>
      </c>
      <c r="M32" s="32">
        <f t="shared" si="22"/>
        <v>0</v>
      </c>
      <c r="N32" s="7">
        <f t="shared" si="40"/>
        <v>3341.9630000000002</v>
      </c>
      <c r="O32" s="48">
        <f t="shared" si="23"/>
        <v>0</v>
      </c>
      <c r="P32" s="32">
        <f t="shared" si="24"/>
        <v>0</v>
      </c>
      <c r="Q32" s="7">
        <f t="shared" si="41"/>
        <v>5281.97</v>
      </c>
      <c r="R32" s="48">
        <f t="shared" si="25"/>
        <v>0</v>
      </c>
      <c r="S32" s="32">
        <f t="shared" si="26"/>
        <v>0</v>
      </c>
      <c r="T32" s="8">
        <f t="shared" si="34"/>
        <v>0</v>
      </c>
      <c r="U32" s="34">
        <f t="shared" si="27"/>
        <v>0</v>
      </c>
      <c r="W32" s="162">
        <v>44530</v>
      </c>
      <c r="X32" s="163">
        <f t="shared" si="42"/>
        <v>161842</v>
      </c>
      <c r="Y32" s="169">
        <f t="shared" si="31"/>
        <v>0</v>
      </c>
      <c r="Z32" s="163">
        <f t="shared" si="43"/>
        <v>8084</v>
      </c>
      <c r="AA32" s="169">
        <f t="shared" si="32"/>
        <v>0</v>
      </c>
      <c r="AB32" s="163">
        <f t="shared" si="33"/>
        <v>14.85</v>
      </c>
      <c r="AC32" s="169">
        <v>0</v>
      </c>
      <c r="AD32" s="163">
        <f t="shared" si="35"/>
        <v>18</v>
      </c>
      <c r="AE32" s="169">
        <f t="shared" si="29"/>
        <v>0</v>
      </c>
      <c r="AF32" s="163">
        <f t="shared" si="44"/>
        <v>4805</v>
      </c>
      <c r="AG32" s="169">
        <f t="shared" si="30"/>
        <v>0</v>
      </c>
    </row>
    <row r="33" spans="1:33" s="24" customFormat="1" ht="16.5" thickBot="1" x14ac:dyDescent="0.25">
      <c r="A33" s="10">
        <v>44561</v>
      </c>
      <c r="B33" s="165">
        <f t="shared" si="36"/>
        <v>22727.59</v>
      </c>
      <c r="C33" s="48">
        <f t="shared" si="15"/>
        <v>0</v>
      </c>
      <c r="D33" s="32">
        <f t="shared" si="16"/>
        <v>0</v>
      </c>
      <c r="E33" s="1">
        <f t="shared" si="37"/>
        <v>4067.0390000000002</v>
      </c>
      <c r="F33" s="48">
        <f t="shared" si="17"/>
        <v>0</v>
      </c>
      <c r="G33" s="32">
        <f t="shared" si="18"/>
        <v>0</v>
      </c>
      <c r="H33" s="1">
        <f t="shared" si="38"/>
        <v>4441</v>
      </c>
      <c r="I33" s="48">
        <f t="shared" si="19"/>
        <v>0</v>
      </c>
      <c r="J33" s="32">
        <f t="shared" si="20"/>
        <v>0</v>
      </c>
      <c r="K33" s="7">
        <f t="shared" si="39"/>
        <v>13859.82</v>
      </c>
      <c r="L33" s="48">
        <f t="shared" si="21"/>
        <v>0</v>
      </c>
      <c r="M33" s="32">
        <f t="shared" si="22"/>
        <v>0</v>
      </c>
      <c r="N33" s="7">
        <f t="shared" si="40"/>
        <v>3341.9630000000002</v>
      </c>
      <c r="O33" s="48">
        <f t="shared" si="23"/>
        <v>0</v>
      </c>
      <c r="P33" s="32">
        <f t="shared" si="24"/>
        <v>0</v>
      </c>
      <c r="Q33" s="7">
        <f t="shared" si="41"/>
        <v>5281.97</v>
      </c>
      <c r="R33" s="48">
        <f t="shared" si="25"/>
        <v>0</v>
      </c>
      <c r="S33" s="32">
        <f t="shared" si="26"/>
        <v>0</v>
      </c>
      <c r="T33" s="8">
        <f t="shared" si="34"/>
        <v>0</v>
      </c>
      <c r="U33" s="34">
        <f t="shared" si="27"/>
        <v>0</v>
      </c>
      <c r="V33"/>
      <c r="W33" s="162">
        <v>44531</v>
      </c>
      <c r="X33" s="163">
        <f t="shared" si="42"/>
        <v>161842</v>
      </c>
      <c r="Y33" s="169">
        <f t="shared" si="31"/>
        <v>0</v>
      </c>
      <c r="Z33" s="163">
        <f t="shared" si="43"/>
        <v>8084</v>
      </c>
      <c r="AA33" s="169">
        <f t="shared" si="32"/>
        <v>0</v>
      </c>
      <c r="AB33" s="163">
        <f t="shared" si="33"/>
        <v>14.85</v>
      </c>
      <c r="AC33" s="169">
        <v>0</v>
      </c>
      <c r="AD33" s="163">
        <f t="shared" si="35"/>
        <v>18</v>
      </c>
      <c r="AE33" s="169">
        <f t="shared" si="29"/>
        <v>0</v>
      </c>
      <c r="AF33" s="163">
        <f t="shared" si="44"/>
        <v>4805</v>
      </c>
      <c r="AG33" s="169">
        <f t="shared" si="30"/>
        <v>0</v>
      </c>
    </row>
    <row r="34" spans="1:33" s="24" customFormat="1" ht="16.5" thickBot="1" x14ac:dyDescent="0.25">
      <c r="A34" s="6" t="s">
        <v>23</v>
      </c>
      <c r="B34" s="166"/>
      <c r="C34" s="142">
        <f>SUM(C4:C33)</f>
        <v>15.420999999998457</v>
      </c>
      <c r="D34" s="142">
        <f>SUM(D3:D33)</f>
        <v>34498.299999998562</v>
      </c>
      <c r="E34" s="142">
        <v>0</v>
      </c>
      <c r="F34" s="142">
        <f>SUM(F3:F33)</f>
        <v>5.5360000000000582</v>
      </c>
      <c r="G34" s="142">
        <f>SUM(G3:G33)</f>
        <v>10518.400000000111</v>
      </c>
      <c r="H34" s="142"/>
      <c r="I34" s="142">
        <f>SUM(I3:I33)</f>
        <v>22</v>
      </c>
      <c r="J34" s="142">
        <f>SUM(J3:J33)</f>
        <v>41800</v>
      </c>
      <c r="K34" s="142"/>
      <c r="L34" s="142">
        <f>SUM(L3:L33)</f>
        <v>13.260000000000218</v>
      </c>
      <c r="M34" s="142">
        <f>SUM(M3:M33)</f>
        <v>25194.000000000415</v>
      </c>
      <c r="N34" s="142"/>
      <c r="O34" s="48" t="str">
        <f t="shared" si="23"/>
        <v>0</v>
      </c>
      <c r="P34" s="142">
        <f>SUM(P3:P33)</f>
        <v>14899.800000000187</v>
      </c>
      <c r="Q34" s="142"/>
      <c r="R34" s="142">
        <f>SUM(R3:R33)</f>
        <v>2.8900000000003274</v>
      </c>
      <c r="S34" s="142">
        <f>SUM(S3:S33)</f>
        <v>5491.0000000006221</v>
      </c>
      <c r="T34" s="142">
        <f>SUM(T3:T33)</f>
        <v>69.684999999999945</v>
      </c>
      <c r="U34" s="142">
        <f>SUM(U3:U33)</f>
        <v>132401.49999999988</v>
      </c>
      <c r="V34"/>
      <c r="W34" s="142" t="s">
        <v>143</v>
      </c>
      <c r="X34" s="142"/>
      <c r="Y34" s="142">
        <f>SUM(Y5:Y33)</f>
        <v>1607</v>
      </c>
      <c r="Z34" s="142"/>
      <c r="AA34" s="142">
        <f>SUM(AA5:AA33)</f>
        <v>65</v>
      </c>
      <c r="AB34" s="142"/>
      <c r="AC34" s="142"/>
      <c r="AD34" s="142"/>
      <c r="AE34" s="142">
        <v>0</v>
      </c>
      <c r="AF34" s="142">
        <v>0</v>
      </c>
      <c r="AG34" s="142">
        <v>0</v>
      </c>
    </row>
    <row r="37" spans="1:33" x14ac:dyDescent="0.2">
      <c r="AA37" t="s">
        <v>12</v>
      </c>
    </row>
  </sheetData>
  <mergeCells count="4">
    <mergeCell ref="W1:AA1"/>
    <mergeCell ref="AB1:AC1"/>
    <mergeCell ref="AD1:AE1"/>
    <mergeCell ref="AF1:AG1"/>
  </mergeCells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5"/>
  <sheetViews>
    <sheetView zoomScale="112" zoomScaleNormal="112" workbookViewId="0">
      <selection sqref="A1:K1"/>
    </sheetView>
  </sheetViews>
  <sheetFormatPr defaultRowHeight="12.75" x14ac:dyDescent="0.2"/>
  <cols>
    <col min="2" max="2" width="14.28515625" bestFit="1" customWidth="1"/>
    <col min="3" max="4" width="14.5703125" bestFit="1" customWidth="1"/>
    <col min="6" max="6" width="40.85546875" customWidth="1"/>
    <col min="7" max="7" width="14.28515625" bestFit="1" customWidth="1"/>
    <col min="8" max="8" width="13.7109375" bestFit="1" customWidth="1"/>
    <col min="9" max="9" width="9.5703125" bestFit="1" customWidth="1"/>
    <col min="10" max="10" width="14.5703125" customWidth="1"/>
    <col min="11" max="11" width="13.7109375" customWidth="1"/>
    <col min="12" max="12" width="10.140625" bestFit="1" customWidth="1"/>
  </cols>
  <sheetData>
    <row r="1" spans="1:11" ht="24" thickBot="1" x14ac:dyDescent="0.25">
      <c r="A1" s="176" t="s">
        <v>148</v>
      </c>
      <c r="B1" s="176"/>
      <c r="C1" s="176"/>
      <c r="D1" s="176"/>
      <c r="E1" s="176"/>
      <c r="F1" s="176"/>
      <c r="G1" s="176"/>
      <c r="H1" s="176"/>
      <c r="I1" s="176"/>
      <c r="J1" s="176"/>
      <c r="K1" s="176"/>
    </row>
    <row r="2" spans="1:11" ht="13.5" thickBot="1" x14ac:dyDescent="0.25">
      <c r="A2" s="99"/>
      <c r="B2" s="100" t="s">
        <v>92</v>
      </c>
      <c r="C2" s="101" t="e">
        <f>K8+K9+K14</f>
        <v>#REF!</v>
      </c>
      <c r="D2" s="101" t="e">
        <f>C2*1.27</f>
        <v>#REF!</v>
      </c>
      <c r="E2" s="102"/>
      <c r="F2" s="99"/>
      <c r="G2" s="99"/>
      <c r="H2" s="103" t="s">
        <v>93</v>
      </c>
      <c r="I2" s="104"/>
      <c r="J2" s="104"/>
      <c r="K2" s="104"/>
    </row>
    <row r="3" spans="1:11" ht="13.5" thickBot="1" x14ac:dyDescent="0.25">
      <c r="A3" s="99"/>
      <c r="B3" s="99"/>
      <c r="C3" s="99"/>
      <c r="D3" s="99"/>
      <c r="E3" s="99"/>
      <c r="F3" s="99"/>
      <c r="G3" s="99"/>
      <c r="H3" s="105" t="s">
        <v>94</v>
      </c>
      <c r="I3" s="138">
        <f>ELECT.!E2</f>
        <v>29003598</v>
      </c>
      <c r="J3" s="138" t="e">
        <f>ELECT.!#REF!</f>
        <v>#REF!</v>
      </c>
      <c r="K3" s="96" t="e">
        <f>J3-I3</f>
        <v>#REF!</v>
      </c>
    </row>
    <row r="4" spans="1:11" ht="13.5" thickBot="1" x14ac:dyDescent="0.25">
      <c r="A4" s="99"/>
      <c r="B4" s="107" t="s">
        <v>95</v>
      </c>
      <c r="C4" s="108" t="s">
        <v>96</v>
      </c>
      <c r="D4" s="108" t="s">
        <v>97</v>
      </c>
      <c r="E4" s="108"/>
      <c r="F4" s="99"/>
      <c r="G4" s="99"/>
      <c r="H4" s="105" t="s">
        <v>98</v>
      </c>
      <c r="I4" s="106">
        <f>ELECT.!G2</f>
        <v>92139910</v>
      </c>
      <c r="J4" s="138" t="e">
        <f>ELECT.!#REF!</f>
        <v>#REF!</v>
      </c>
      <c r="K4" s="96" t="e">
        <f>J4-I4</f>
        <v>#REF!</v>
      </c>
    </row>
    <row r="5" spans="1:11" ht="13.5" thickBot="1" x14ac:dyDescent="0.25">
      <c r="A5" s="99"/>
      <c r="B5" s="105" t="s">
        <v>27</v>
      </c>
      <c r="C5" s="109" t="e">
        <f>(K10+K12)*0.842284+K26</f>
        <v>#REF!</v>
      </c>
      <c r="D5" s="109" t="e">
        <f t="shared" ref="D5:D11" si="0">C5*1.27</f>
        <v>#REF!</v>
      </c>
      <c r="E5" s="110"/>
      <c r="F5" s="99"/>
      <c r="G5" s="99"/>
      <c r="H5" s="105" t="s">
        <v>23</v>
      </c>
      <c r="I5" s="111"/>
      <c r="J5" s="111"/>
      <c r="K5" s="131" t="e">
        <f>K3+K4</f>
        <v>#REF!</v>
      </c>
    </row>
    <row r="6" spans="1:11" ht="13.5" thickBot="1" x14ac:dyDescent="0.25">
      <c r="A6" s="99"/>
      <c r="B6" s="105" t="s">
        <v>99</v>
      </c>
      <c r="C6" s="109" t="e">
        <f>(K10+K12+K26)*0.1488</f>
        <v>#REF!</v>
      </c>
      <c r="D6" s="109" t="e">
        <f t="shared" si="0"/>
        <v>#REF!</v>
      </c>
      <c r="E6" s="110"/>
      <c r="F6" s="99"/>
      <c r="G6" s="99"/>
      <c r="H6" s="105" t="s">
        <v>100</v>
      </c>
      <c r="I6" s="143">
        <f>ELECT.!J2</f>
        <v>9100173</v>
      </c>
      <c r="J6" s="139" t="e">
        <f>ELECT.!#REF!</f>
        <v>#REF!</v>
      </c>
      <c r="K6" s="96" t="e">
        <f>J6-I6</f>
        <v>#REF!</v>
      </c>
    </row>
    <row r="7" spans="1:11" ht="13.5" thickBot="1" x14ac:dyDescent="0.25">
      <c r="A7" s="99"/>
      <c r="B7" s="105" t="s">
        <v>101</v>
      </c>
      <c r="C7" s="109" t="e">
        <f>(K6+K7)-(C8+C9+C10+C11+K26)</f>
        <v>#REF!</v>
      </c>
      <c r="D7" s="109" t="e">
        <f t="shared" si="0"/>
        <v>#REF!</v>
      </c>
      <c r="E7" s="110"/>
      <c r="F7" s="99"/>
      <c r="G7" s="99"/>
      <c r="H7" s="105" t="s">
        <v>102</v>
      </c>
      <c r="I7" s="143">
        <f>ELECT.!L2</f>
        <v>9052227</v>
      </c>
      <c r="J7" s="139" t="e">
        <f>ELECT.!#REF!</f>
        <v>#REF!</v>
      </c>
      <c r="K7" s="96" t="e">
        <f>J7-I7</f>
        <v>#REF!</v>
      </c>
    </row>
    <row r="8" spans="1:11" ht="13.5" thickBot="1" x14ac:dyDescent="0.25">
      <c r="A8" s="99"/>
      <c r="B8" s="105" t="s">
        <v>103</v>
      </c>
      <c r="C8" s="109" t="e">
        <f>K21+K22+K23+K24</f>
        <v>#REF!</v>
      </c>
      <c r="D8" s="109" t="e">
        <f t="shared" si="0"/>
        <v>#REF!</v>
      </c>
      <c r="E8" s="110"/>
      <c r="F8" s="99"/>
      <c r="G8" s="99"/>
      <c r="H8" s="105" t="s">
        <v>104</v>
      </c>
      <c r="I8" s="143">
        <f>ELECT.!N2</f>
        <v>6133946</v>
      </c>
      <c r="J8" s="139" t="e">
        <f>ELECT.!#REF!</f>
        <v>#REF!</v>
      </c>
      <c r="K8" s="96" t="e">
        <f>(J8-I8)*2</f>
        <v>#REF!</v>
      </c>
    </row>
    <row r="9" spans="1:11" ht="13.5" thickBot="1" x14ac:dyDescent="0.25">
      <c r="A9" s="99"/>
      <c r="B9" s="105" t="s">
        <v>137</v>
      </c>
      <c r="C9" s="109" t="e">
        <f>K25+K16+K17</f>
        <v>#REF!</v>
      </c>
      <c r="D9" s="109" t="e">
        <f t="shared" si="0"/>
        <v>#REF!</v>
      </c>
      <c r="E9" s="110"/>
      <c r="F9" s="99"/>
      <c r="G9" s="99"/>
      <c r="H9" s="105" t="s">
        <v>105</v>
      </c>
      <c r="I9" s="143">
        <f>ELECT.!P2</f>
        <v>5618556</v>
      </c>
      <c r="J9" s="139" t="e">
        <f>ELECT.!#REF!</f>
        <v>#REF!</v>
      </c>
      <c r="K9" s="96" t="e">
        <f>J9-I9</f>
        <v>#REF!</v>
      </c>
    </row>
    <row r="10" spans="1:11" ht="13.5" thickBot="1" x14ac:dyDescent="0.25">
      <c r="A10" s="99"/>
      <c r="B10" s="105" t="s">
        <v>106</v>
      </c>
      <c r="C10" s="109" t="e">
        <f>K18</f>
        <v>#REF!</v>
      </c>
      <c r="D10" s="109" t="e">
        <f t="shared" si="0"/>
        <v>#REF!</v>
      </c>
      <c r="E10" s="110"/>
      <c r="F10" s="99"/>
      <c r="G10" s="99"/>
      <c r="H10" s="105" t="s">
        <v>107</v>
      </c>
      <c r="I10" s="143">
        <f>ELECT.!R2</f>
        <v>19446426</v>
      </c>
      <c r="J10" s="139" t="e">
        <f>ELECT.!#REF!</f>
        <v>#REF!</v>
      </c>
      <c r="K10" s="96" t="e">
        <f>J10-I10</f>
        <v>#REF!</v>
      </c>
    </row>
    <row r="11" spans="1:11" ht="13.5" thickBot="1" x14ac:dyDescent="0.25">
      <c r="A11" s="99"/>
      <c r="B11" s="105" t="s">
        <v>108</v>
      </c>
      <c r="C11" s="109" t="e">
        <f>K19+K20</f>
        <v>#REF!</v>
      </c>
      <c r="D11" s="109" t="e">
        <f t="shared" si="0"/>
        <v>#REF!</v>
      </c>
      <c r="E11" s="110"/>
      <c r="F11" s="99"/>
      <c r="G11" s="99"/>
      <c r="H11" s="105" t="s">
        <v>109</v>
      </c>
      <c r="I11" s="112">
        <v>0</v>
      </c>
      <c r="J11" s="139">
        <f>ELECT.!J35</f>
        <v>0</v>
      </c>
      <c r="K11" s="96">
        <f>J11-I11</f>
        <v>0</v>
      </c>
    </row>
    <row r="12" spans="1:11" ht="13.5" thickBot="1" x14ac:dyDescent="0.25">
      <c r="A12" s="99"/>
      <c r="B12" s="99"/>
      <c r="C12" s="113"/>
      <c r="D12" s="113"/>
      <c r="E12" s="113"/>
      <c r="F12" s="99"/>
      <c r="G12" s="99"/>
      <c r="H12" s="105" t="s">
        <v>110</v>
      </c>
      <c r="I12" s="143">
        <f>ELECT.!V2</f>
        <v>7309228</v>
      </c>
      <c r="J12" s="139" t="e">
        <f>ELECT.!#REF!</f>
        <v>#REF!</v>
      </c>
      <c r="K12" s="96" t="e">
        <f>(J12-I12)*2</f>
        <v>#REF!</v>
      </c>
    </row>
    <row r="13" spans="1:11" ht="13.5" thickBot="1" x14ac:dyDescent="0.25">
      <c r="A13" s="99"/>
      <c r="B13" s="103" t="s">
        <v>111</v>
      </c>
      <c r="C13" s="110" t="s">
        <v>112</v>
      </c>
      <c r="D13" s="110" t="s">
        <v>97</v>
      </c>
      <c r="E13" s="110"/>
      <c r="F13" s="99"/>
      <c r="G13" s="99"/>
      <c r="H13" s="105" t="s">
        <v>113</v>
      </c>
      <c r="I13" s="114"/>
      <c r="J13" s="115"/>
      <c r="K13" s="116" t="e">
        <f>SUM(K6:K12)</f>
        <v>#REF!</v>
      </c>
    </row>
    <row r="14" spans="1:11" ht="13.5" thickBot="1" x14ac:dyDescent="0.25">
      <c r="A14" s="99"/>
      <c r="B14" s="105" t="s">
        <v>42</v>
      </c>
      <c r="C14" s="109" t="e">
        <f>K29</f>
        <v>#REF!</v>
      </c>
      <c r="D14" s="117" t="e">
        <f t="shared" ref="D14:D22" si="1">C14*10.03</f>
        <v>#REF!</v>
      </c>
      <c r="E14" s="118"/>
      <c r="F14" s="99"/>
      <c r="G14" s="99"/>
      <c r="H14" s="105" t="s">
        <v>114</v>
      </c>
      <c r="I14" s="114"/>
      <c r="J14" s="115"/>
      <c r="K14" s="97" t="e">
        <f>K5-K13</f>
        <v>#REF!</v>
      </c>
    </row>
    <row r="15" spans="1:11" ht="13.5" thickBot="1" x14ac:dyDescent="0.25">
      <c r="A15" s="99"/>
      <c r="B15" s="105" t="s">
        <v>115</v>
      </c>
      <c r="C15" s="119" t="e">
        <f>K30</f>
        <v>#REF!</v>
      </c>
      <c r="D15" s="117" t="e">
        <f t="shared" si="1"/>
        <v>#REF!</v>
      </c>
      <c r="E15" s="118"/>
      <c r="F15" s="99"/>
      <c r="G15" s="99"/>
      <c r="H15" s="99"/>
      <c r="I15" s="99"/>
      <c r="J15" s="99"/>
      <c r="K15" s="99"/>
    </row>
    <row r="16" spans="1:11" ht="13.5" thickBot="1" x14ac:dyDescent="0.25">
      <c r="A16" s="99"/>
      <c r="B16" s="105" t="s">
        <v>99</v>
      </c>
      <c r="C16" s="119" t="e">
        <f>(C14-C15-C17-C18-C19-C20-C21)*0.1318</f>
        <v>#REF!</v>
      </c>
      <c r="D16" s="117" t="e">
        <f t="shared" si="1"/>
        <v>#REF!</v>
      </c>
      <c r="E16" s="118"/>
      <c r="F16" s="99"/>
      <c r="G16" s="99"/>
      <c r="H16" s="120" t="s">
        <v>136</v>
      </c>
      <c r="I16" s="121">
        <f>'Mall, Citadel, Rotana'!T2</f>
        <v>3856</v>
      </c>
      <c r="J16" s="121" t="e">
        <f>'Mall, Citadel, Rotana'!#REF!</f>
        <v>#REF!</v>
      </c>
      <c r="K16" s="98" t="e">
        <f>(J16-I16)*160</f>
        <v>#REF!</v>
      </c>
    </row>
    <row r="17" spans="1:11" ht="13.5" thickBot="1" x14ac:dyDescent="0.25">
      <c r="A17" s="99"/>
      <c r="B17" s="105" t="s">
        <v>103</v>
      </c>
      <c r="C17" s="119">
        <v>1420</v>
      </c>
      <c r="D17" s="117">
        <f t="shared" si="1"/>
        <v>14242.599999999999</v>
      </c>
      <c r="E17" s="118"/>
      <c r="F17" s="99"/>
      <c r="G17" s="99"/>
      <c r="H17" s="120" t="s">
        <v>19</v>
      </c>
      <c r="I17" s="121">
        <f>'Mall, Citadel, Rotana'!J2</f>
        <v>303517</v>
      </c>
      <c r="J17" s="121" t="e">
        <f>'Mall, Citadel, Rotana'!#REF!</f>
        <v>#REF!</v>
      </c>
      <c r="K17" s="98" t="e">
        <f>(J17-I17)*160</f>
        <v>#REF!</v>
      </c>
    </row>
    <row r="18" spans="1:11" ht="13.5" thickBot="1" x14ac:dyDescent="0.25">
      <c r="A18" s="99"/>
      <c r="B18" s="105" t="s">
        <v>108</v>
      </c>
      <c r="C18" s="119">
        <v>200</v>
      </c>
      <c r="D18" s="117">
        <f t="shared" si="1"/>
        <v>2005.9999999999998</v>
      </c>
      <c r="E18" s="118"/>
      <c r="F18" s="99"/>
      <c r="G18" s="99"/>
      <c r="H18" s="120" t="s">
        <v>20</v>
      </c>
      <c r="I18" s="121">
        <f>'Mall, Citadel, Rotana'!L2</f>
        <v>25637</v>
      </c>
      <c r="J18" s="121" t="e">
        <f>'Mall, Citadel, Rotana'!#REF!</f>
        <v>#REF!</v>
      </c>
      <c r="K18" s="98" t="e">
        <f>(J18-I18)*160</f>
        <v>#REF!</v>
      </c>
    </row>
    <row r="19" spans="1:11" ht="15.75" thickBot="1" x14ac:dyDescent="0.25">
      <c r="A19" s="99"/>
      <c r="B19" s="105" t="s">
        <v>137</v>
      </c>
      <c r="C19" s="119">
        <v>600</v>
      </c>
      <c r="D19" s="117">
        <f t="shared" si="1"/>
        <v>6018</v>
      </c>
      <c r="E19" s="177" t="s">
        <v>116</v>
      </c>
      <c r="F19" s="178"/>
      <c r="G19" s="99"/>
      <c r="H19" s="120" t="s">
        <v>117</v>
      </c>
      <c r="I19" s="121">
        <f>'Mall, Citadel, Rotana'!P2</f>
        <v>132781</v>
      </c>
      <c r="J19" s="121" t="e">
        <f>'Mall, Citadel, Rotana'!#REF!</f>
        <v>#REF!</v>
      </c>
      <c r="K19" s="98" t="e">
        <f>J19-I19</f>
        <v>#REF!</v>
      </c>
    </row>
    <row r="20" spans="1:11" ht="13.5" thickBot="1" x14ac:dyDescent="0.25">
      <c r="A20" s="99"/>
      <c r="B20" s="105" t="s">
        <v>106</v>
      </c>
      <c r="C20" s="119">
        <v>600</v>
      </c>
      <c r="D20" s="117">
        <f t="shared" si="1"/>
        <v>6018</v>
      </c>
      <c r="E20" s="118"/>
      <c r="F20" s="99"/>
      <c r="G20" s="99"/>
      <c r="H20" s="120" t="s">
        <v>118</v>
      </c>
      <c r="I20" s="121">
        <f>'Mall, Citadel, Rotana'!R2</f>
        <v>55047</v>
      </c>
      <c r="J20" s="121" t="e">
        <f>'Mall, Citadel, Rotana'!#REF!</f>
        <v>#REF!</v>
      </c>
      <c r="K20" s="98" t="e">
        <f>J20-I20</f>
        <v>#REF!</v>
      </c>
    </row>
    <row r="21" spans="1:11" ht="13.5" thickBot="1" x14ac:dyDescent="0.25">
      <c r="A21" s="99"/>
      <c r="B21" s="105" t="s">
        <v>92</v>
      </c>
      <c r="C21" s="119">
        <v>3000</v>
      </c>
      <c r="D21" s="117">
        <f t="shared" si="1"/>
        <v>30089.999999999996</v>
      </c>
      <c r="E21" s="118"/>
      <c r="F21" s="99"/>
      <c r="G21" s="99"/>
      <c r="H21" s="120" t="s">
        <v>13</v>
      </c>
      <c r="I21" s="121">
        <f>'Mall, Citadel, Rotana'!B2</f>
        <v>46274</v>
      </c>
      <c r="J21" s="121" t="e">
        <f>'Mall, Citadel, Rotana'!#REF!</f>
        <v>#REF!</v>
      </c>
      <c r="K21" s="98" t="e">
        <f>(J21-I21)*120</f>
        <v>#REF!</v>
      </c>
    </row>
    <row r="22" spans="1:11" ht="13.5" thickBot="1" x14ac:dyDescent="0.25">
      <c r="A22" s="99"/>
      <c r="B22" s="105" t="s">
        <v>119</v>
      </c>
      <c r="C22" s="117" t="e">
        <f>C14-(C15+C16+C17+C18+C19+C20+C21)</f>
        <v>#REF!</v>
      </c>
      <c r="D22" s="117" t="e">
        <f t="shared" si="1"/>
        <v>#REF!</v>
      </c>
      <c r="E22" s="118"/>
      <c r="F22" s="99"/>
      <c r="G22" s="99"/>
      <c r="H22" s="120" t="s">
        <v>15</v>
      </c>
      <c r="I22" s="121">
        <f>'Mall, Citadel, Rotana'!D2</f>
        <v>40081</v>
      </c>
      <c r="J22" s="121" t="e">
        <f>'Mall, Citadel, Rotana'!#REF!</f>
        <v>#REF!</v>
      </c>
      <c r="K22" s="98" t="e">
        <f>(J22-I22)*160</f>
        <v>#REF!</v>
      </c>
    </row>
    <row r="23" spans="1:11" x14ac:dyDescent="0.2">
      <c r="A23" s="99"/>
      <c r="B23" s="99"/>
      <c r="C23" s="113"/>
      <c r="D23" s="122"/>
      <c r="E23" s="118"/>
      <c r="F23" s="99"/>
      <c r="G23" s="99"/>
      <c r="H23" s="120" t="s">
        <v>17</v>
      </c>
      <c r="I23" s="121">
        <f>'Mall, Citadel, Rotana'!F2</f>
        <v>21055</v>
      </c>
      <c r="J23" s="121" t="e">
        <f>'Mall, Citadel, Rotana'!#REF!</f>
        <v>#REF!</v>
      </c>
      <c r="K23" s="98" t="e">
        <f>(J23-I23)*20</f>
        <v>#REF!</v>
      </c>
    </row>
    <row r="24" spans="1:11" x14ac:dyDescent="0.2">
      <c r="A24" s="99"/>
      <c r="B24" s="103" t="s">
        <v>120</v>
      </c>
      <c r="C24" s="113"/>
      <c r="D24" s="113"/>
      <c r="E24" s="113"/>
      <c r="F24" s="99"/>
      <c r="G24" s="99"/>
      <c r="H24" s="120" t="s">
        <v>18</v>
      </c>
      <c r="I24" s="121">
        <f>'Mall, Citadel, Rotana'!H2</f>
        <v>252282</v>
      </c>
      <c r="J24" s="121" t="e">
        <f>'Mall, Citadel, Rotana'!#REF!</f>
        <v>#REF!</v>
      </c>
      <c r="K24" s="98" t="e">
        <f>J24-I24</f>
        <v>#REF!</v>
      </c>
    </row>
    <row r="25" spans="1:11" ht="13.5" thickBot="1" x14ac:dyDescent="0.25">
      <c r="A25" s="99"/>
      <c r="B25" s="99"/>
      <c r="C25" s="110" t="s">
        <v>112</v>
      </c>
      <c r="D25" s="110" t="s">
        <v>121</v>
      </c>
      <c r="E25" s="110"/>
      <c r="F25" s="99"/>
      <c r="G25" s="99"/>
      <c r="H25" s="120" t="s">
        <v>122</v>
      </c>
      <c r="I25" s="121">
        <f>'Mall, Citadel, Rotana'!N2</f>
        <v>216119</v>
      </c>
      <c r="J25" s="121" t="e">
        <f>'Mall, Citadel, Rotana'!#REF!</f>
        <v>#REF!</v>
      </c>
      <c r="K25" s="98" t="e">
        <f>J25-I25</f>
        <v>#REF!</v>
      </c>
    </row>
    <row r="26" spans="1:11" ht="13.5" thickBot="1" x14ac:dyDescent="0.25">
      <c r="A26" s="99"/>
      <c r="B26" s="105" t="s">
        <v>42</v>
      </c>
      <c r="C26" s="123" t="e">
        <f>K35</f>
        <v>#REF!</v>
      </c>
      <c r="D26" s="109" t="e">
        <f>C26*3.65</f>
        <v>#REF!</v>
      </c>
      <c r="E26" s="110"/>
      <c r="F26" s="99"/>
      <c r="G26" s="99"/>
      <c r="H26" s="120" t="s">
        <v>123</v>
      </c>
      <c r="I26" s="130">
        <f>ELECT.!C2</f>
        <v>19174</v>
      </c>
      <c r="J26" s="130" t="e">
        <f>ELECT.!#REF!</f>
        <v>#REF!</v>
      </c>
      <c r="K26" s="98" t="e">
        <f>(J26-I26)*160</f>
        <v>#REF!</v>
      </c>
    </row>
    <row r="27" spans="1:11" ht="13.5" thickBot="1" x14ac:dyDescent="0.25">
      <c r="A27" s="99"/>
      <c r="B27" s="100" t="s">
        <v>124</v>
      </c>
      <c r="C27" s="123" t="e">
        <f>C26</f>
        <v>#REF!</v>
      </c>
      <c r="D27" s="109" t="e">
        <f>C27*3.65</f>
        <v>#REF!</v>
      </c>
      <c r="E27" s="110"/>
      <c r="F27" s="99"/>
      <c r="G27" s="99"/>
      <c r="H27" s="103"/>
      <c r="I27" s="124"/>
      <c r="J27" s="99"/>
      <c r="K27" s="99"/>
    </row>
    <row r="28" spans="1:11" x14ac:dyDescent="0.2">
      <c r="A28" s="99"/>
      <c r="B28" s="99"/>
      <c r="C28" s="99"/>
      <c r="D28" s="99"/>
      <c r="E28" s="99"/>
      <c r="F28" s="99"/>
      <c r="G28" s="99"/>
      <c r="H28" s="103" t="s">
        <v>111</v>
      </c>
      <c r="I28" s="124"/>
      <c r="J28" s="99"/>
      <c r="K28" s="99"/>
    </row>
    <row r="29" spans="1:11" x14ac:dyDescent="0.2">
      <c r="A29" s="99"/>
      <c r="B29" s="99"/>
      <c r="C29" s="99"/>
      <c r="D29" s="99"/>
      <c r="E29" s="99"/>
      <c r="F29" s="99"/>
      <c r="G29" s="99" t="s">
        <v>12</v>
      </c>
      <c r="H29" s="120" t="s">
        <v>24</v>
      </c>
      <c r="I29" s="121">
        <f>Water!B2</f>
        <v>433119</v>
      </c>
      <c r="J29" s="121" t="e">
        <f>Water!#REF!</f>
        <v>#REF!</v>
      </c>
      <c r="K29" s="98" t="e">
        <f>(J29-I29)*10</f>
        <v>#REF!</v>
      </c>
    </row>
    <row r="30" spans="1:11" x14ac:dyDescent="0.2">
      <c r="A30" s="99"/>
      <c r="B30" s="99"/>
      <c r="C30" s="99"/>
      <c r="D30" s="99"/>
      <c r="E30" s="99"/>
      <c r="F30" s="99"/>
      <c r="G30" s="99"/>
      <c r="H30" s="120" t="s">
        <v>125</v>
      </c>
      <c r="I30" s="121">
        <f>Water!H2</f>
        <v>760516</v>
      </c>
      <c r="J30" s="121" t="e">
        <f>Water!#REF!</f>
        <v>#REF!</v>
      </c>
      <c r="K30" s="98" t="e">
        <f>(J30-I30)*0.027</f>
        <v>#REF!</v>
      </c>
    </row>
    <row r="31" spans="1:11" x14ac:dyDescent="0.2">
      <c r="A31" s="99"/>
      <c r="B31" s="99"/>
      <c r="C31" s="99"/>
      <c r="D31" s="99"/>
      <c r="E31" s="99"/>
      <c r="F31" s="99"/>
      <c r="G31" s="99"/>
      <c r="H31" s="120" t="s">
        <v>126</v>
      </c>
      <c r="I31" s="121">
        <f>Water!D2</f>
        <v>59</v>
      </c>
      <c r="J31" s="121" t="e">
        <f>Water!#REF!</f>
        <v>#REF!</v>
      </c>
      <c r="K31" s="98" t="e">
        <f>(J31-I31)*0.027</f>
        <v>#REF!</v>
      </c>
    </row>
    <row r="32" spans="1:11" x14ac:dyDescent="0.2">
      <c r="A32" s="99"/>
      <c r="B32" s="99"/>
      <c r="C32" s="99"/>
      <c r="D32" s="99"/>
      <c r="E32" s="99"/>
      <c r="F32" s="99"/>
      <c r="G32" s="99"/>
      <c r="H32" s="120" t="s">
        <v>127</v>
      </c>
      <c r="I32" s="121">
        <f>Water!F2</f>
        <v>6928000</v>
      </c>
      <c r="J32" s="121" t="e">
        <f>Water!#REF!</f>
        <v>#REF!</v>
      </c>
      <c r="K32" s="98" t="e">
        <f>(J32-I32)*0.027</f>
        <v>#REF!</v>
      </c>
    </row>
    <row r="33" spans="1:11" x14ac:dyDescent="0.2">
      <c r="A33" s="125"/>
      <c r="B33" s="125"/>
      <c r="C33" s="125"/>
      <c r="D33" s="125"/>
      <c r="E33" s="125"/>
      <c r="F33" s="125"/>
      <c r="G33" s="125"/>
      <c r="H33" s="125"/>
      <c r="I33" s="125"/>
      <c r="J33" s="125"/>
      <c r="K33" s="125"/>
    </row>
    <row r="34" spans="1:11" x14ac:dyDescent="0.2">
      <c r="A34" s="125"/>
      <c r="B34" s="125"/>
      <c r="C34" s="125"/>
      <c r="D34" s="125"/>
      <c r="E34" s="125"/>
      <c r="F34" s="125"/>
      <c r="G34" s="125"/>
      <c r="H34" s="125" t="s">
        <v>120</v>
      </c>
      <c r="I34" s="125"/>
      <c r="J34" s="125"/>
      <c r="K34" s="125"/>
    </row>
    <row r="35" spans="1:11" x14ac:dyDescent="0.2">
      <c r="A35" s="125"/>
      <c r="B35" s="125"/>
      <c r="C35" s="125"/>
      <c r="D35" s="125"/>
      <c r="E35" s="125"/>
      <c r="F35" s="125"/>
      <c r="G35" s="126"/>
      <c r="H35" s="127" t="s">
        <v>42</v>
      </c>
      <c r="I35" s="128">
        <f>Gas!B2</f>
        <v>17783497</v>
      </c>
      <c r="J35" s="141" t="e">
        <f>Gas!#REF!</f>
        <v>#REF!</v>
      </c>
      <c r="K35" s="129" t="e">
        <f>J35-I35</f>
        <v>#REF!</v>
      </c>
    </row>
  </sheetData>
  <mergeCells count="2">
    <mergeCell ref="A1:K1"/>
    <mergeCell ref="E19:F19"/>
  </mergeCells>
  <pageMargins left="0.7" right="0.7" top="0.75" bottom="0.75" header="0.3" footer="0.3"/>
  <pageSetup paperSize="9" orientation="portrait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94"/>
  <sheetViews>
    <sheetView topLeftCell="A64" zoomScaleNormal="100" workbookViewId="0">
      <selection activeCell="M65" sqref="M65"/>
    </sheetView>
  </sheetViews>
  <sheetFormatPr defaultRowHeight="12.75" x14ac:dyDescent="0.2"/>
  <cols>
    <col min="3" max="4" width="10.28515625" bestFit="1" customWidth="1"/>
    <col min="5" max="5" width="12" bestFit="1" customWidth="1"/>
    <col min="6" max="6" width="12.7109375" customWidth="1"/>
    <col min="7" max="7" width="16.5703125" bestFit="1" customWidth="1"/>
    <col min="8" max="8" width="10.28515625" customWidth="1"/>
    <col min="9" max="10" width="10.28515625" bestFit="1" customWidth="1"/>
    <col min="12" max="13" width="13.140625" bestFit="1" customWidth="1"/>
    <col min="14" max="14" width="16.5703125" bestFit="1" customWidth="1"/>
    <col min="15" max="15" width="20.28515625" customWidth="1"/>
  </cols>
  <sheetData>
    <row r="1" spans="2:15" ht="45" x14ac:dyDescent="0.2">
      <c r="B1" s="61"/>
      <c r="C1" s="62" t="s">
        <v>77</v>
      </c>
      <c r="D1" s="63" t="s">
        <v>78</v>
      </c>
      <c r="E1" s="63" t="s">
        <v>140</v>
      </c>
      <c r="F1" s="63" t="s">
        <v>141</v>
      </c>
      <c r="G1" s="63" t="s">
        <v>91</v>
      </c>
      <c r="H1" s="64" t="s">
        <v>79</v>
      </c>
      <c r="J1" s="62" t="s">
        <v>77</v>
      </c>
      <c r="K1" s="63" t="s">
        <v>78</v>
      </c>
      <c r="L1" s="63" t="s">
        <v>141</v>
      </c>
      <c r="M1" s="63" t="s">
        <v>145</v>
      </c>
      <c r="N1" s="63" t="s">
        <v>91</v>
      </c>
      <c r="O1" s="64" t="s">
        <v>79</v>
      </c>
    </row>
    <row r="2" spans="2:15" ht="15" x14ac:dyDescent="0.2">
      <c r="B2" s="61"/>
      <c r="C2" s="179">
        <v>6</v>
      </c>
      <c r="D2" s="65" t="s">
        <v>80</v>
      </c>
      <c r="E2" s="66">
        <v>280262</v>
      </c>
      <c r="F2" s="66">
        <v>281385</v>
      </c>
      <c r="G2" s="67">
        <f>F2-E2</f>
        <v>1123</v>
      </c>
      <c r="H2" s="68"/>
      <c r="J2" s="179">
        <v>6</v>
      </c>
      <c r="K2" s="65" t="s">
        <v>80</v>
      </c>
      <c r="L2" s="66">
        <v>281385</v>
      </c>
      <c r="M2" s="66">
        <v>283246</v>
      </c>
      <c r="N2" s="67">
        <f>M2-L2</f>
        <v>1861</v>
      </c>
      <c r="O2" s="68"/>
    </row>
    <row r="3" spans="2:15" ht="15" x14ac:dyDescent="0.2">
      <c r="B3" s="61"/>
      <c r="C3" s="181"/>
      <c r="D3" s="65" t="s">
        <v>81</v>
      </c>
      <c r="E3" s="66">
        <v>242725</v>
      </c>
      <c r="F3" s="66">
        <v>243779</v>
      </c>
      <c r="G3" s="67">
        <f t="shared" ref="G3:G43" si="0">F3-E3</f>
        <v>1054</v>
      </c>
      <c r="H3" s="68"/>
      <c r="J3" s="181"/>
      <c r="K3" s="65" t="s">
        <v>81</v>
      </c>
      <c r="L3" s="66">
        <v>243779</v>
      </c>
      <c r="M3" s="66">
        <v>245142</v>
      </c>
      <c r="N3" s="67">
        <f t="shared" ref="N3:N60" si="1">M3-L3</f>
        <v>1363</v>
      </c>
      <c r="O3" s="68"/>
    </row>
    <row r="4" spans="2:15" ht="15" x14ac:dyDescent="0.2">
      <c r="B4" s="61"/>
      <c r="C4" s="180"/>
      <c r="D4" s="65" t="s">
        <v>82</v>
      </c>
      <c r="E4" s="66">
        <v>190541</v>
      </c>
      <c r="F4" s="66">
        <v>191088</v>
      </c>
      <c r="G4" s="67">
        <f t="shared" si="0"/>
        <v>547</v>
      </c>
      <c r="H4" s="68"/>
      <c r="J4" s="180"/>
      <c r="K4" s="65" t="s">
        <v>82</v>
      </c>
      <c r="L4" s="66">
        <v>191088</v>
      </c>
      <c r="M4" s="66">
        <v>192356</v>
      </c>
      <c r="N4" s="67">
        <f t="shared" si="1"/>
        <v>1268</v>
      </c>
      <c r="O4" s="68"/>
    </row>
    <row r="5" spans="2:15" ht="15" x14ac:dyDescent="0.2">
      <c r="B5" s="61"/>
      <c r="C5" s="179">
        <v>7</v>
      </c>
      <c r="D5" s="65" t="s">
        <v>80</v>
      </c>
      <c r="E5" s="66">
        <v>241447</v>
      </c>
      <c r="F5" s="66">
        <v>242725</v>
      </c>
      <c r="G5" s="67">
        <f t="shared" si="0"/>
        <v>1278</v>
      </c>
      <c r="H5" s="68"/>
      <c r="J5" s="179">
        <v>7</v>
      </c>
      <c r="K5" s="65" t="s">
        <v>80</v>
      </c>
      <c r="L5" s="66">
        <v>242725</v>
      </c>
      <c r="M5" s="66">
        <v>245439</v>
      </c>
      <c r="N5" s="67">
        <f t="shared" si="1"/>
        <v>2714</v>
      </c>
      <c r="O5" s="68"/>
    </row>
    <row r="6" spans="2:15" ht="15" x14ac:dyDescent="0.2">
      <c r="B6" s="61"/>
      <c r="C6" s="181"/>
      <c r="D6" s="65" t="s">
        <v>81</v>
      </c>
      <c r="E6" s="66">
        <v>153709</v>
      </c>
      <c r="F6" s="66">
        <v>153801</v>
      </c>
      <c r="G6" s="67">
        <f t="shared" si="0"/>
        <v>92</v>
      </c>
      <c r="H6" s="68"/>
      <c r="J6" s="181"/>
      <c r="K6" s="65" t="s">
        <v>81</v>
      </c>
      <c r="L6" s="66">
        <v>153801</v>
      </c>
      <c r="M6" s="66">
        <v>153827</v>
      </c>
      <c r="N6" s="67">
        <f t="shared" si="1"/>
        <v>26</v>
      </c>
      <c r="O6" s="68"/>
    </row>
    <row r="7" spans="2:15" ht="15" x14ac:dyDescent="0.2">
      <c r="B7" s="61"/>
      <c r="C7" s="180"/>
      <c r="D7" s="65" t="s">
        <v>82</v>
      </c>
      <c r="E7" s="66">
        <v>119307</v>
      </c>
      <c r="F7" s="66">
        <v>120067</v>
      </c>
      <c r="G7" s="67">
        <f t="shared" si="0"/>
        <v>760</v>
      </c>
      <c r="H7" s="68"/>
      <c r="J7" s="180"/>
      <c r="K7" s="65" t="s">
        <v>82</v>
      </c>
      <c r="L7" s="66">
        <v>120067</v>
      </c>
      <c r="M7" s="66">
        <v>121622</v>
      </c>
      <c r="N7" s="67">
        <f t="shared" si="1"/>
        <v>1555</v>
      </c>
      <c r="O7" s="68"/>
    </row>
    <row r="8" spans="2:15" ht="15" x14ac:dyDescent="0.2">
      <c r="B8" s="61"/>
      <c r="C8" s="179">
        <v>8</v>
      </c>
      <c r="D8" s="65" t="s">
        <v>80</v>
      </c>
      <c r="E8" s="66">
        <v>72845</v>
      </c>
      <c r="F8" s="66">
        <v>73064</v>
      </c>
      <c r="G8" s="67">
        <f t="shared" si="0"/>
        <v>219</v>
      </c>
      <c r="H8" s="68"/>
      <c r="J8" s="179">
        <v>8</v>
      </c>
      <c r="K8" s="65" t="s">
        <v>80</v>
      </c>
      <c r="L8" s="66">
        <v>73064</v>
      </c>
      <c r="M8" s="66">
        <v>75412</v>
      </c>
      <c r="N8" s="67">
        <f t="shared" si="1"/>
        <v>2348</v>
      </c>
      <c r="O8" s="68"/>
    </row>
    <row r="9" spans="2:15" ht="15" x14ac:dyDescent="0.2">
      <c r="B9" s="61"/>
      <c r="C9" s="181"/>
      <c r="D9" s="65" t="s">
        <v>81</v>
      </c>
      <c r="E9" s="66">
        <v>158</v>
      </c>
      <c r="F9" s="66">
        <v>158</v>
      </c>
      <c r="G9" s="67">
        <f t="shared" si="0"/>
        <v>0</v>
      </c>
      <c r="H9" s="69" t="s">
        <v>12</v>
      </c>
      <c r="J9" s="181"/>
      <c r="K9" s="65" t="s">
        <v>81</v>
      </c>
      <c r="L9" s="66">
        <v>158</v>
      </c>
      <c r="M9" s="66">
        <v>158</v>
      </c>
      <c r="N9" s="67">
        <f t="shared" si="1"/>
        <v>0</v>
      </c>
      <c r="O9" s="69" t="s">
        <v>12</v>
      </c>
    </row>
    <row r="10" spans="2:15" ht="15" x14ac:dyDescent="0.2">
      <c r="B10" s="61"/>
      <c r="C10" s="180"/>
      <c r="D10" s="65" t="s">
        <v>82</v>
      </c>
      <c r="E10" s="66">
        <v>98137</v>
      </c>
      <c r="F10" s="66">
        <v>98822</v>
      </c>
      <c r="G10" s="67">
        <f t="shared" si="0"/>
        <v>685</v>
      </c>
      <c r="H10" s="68"/>
      <c r="J10" s="180"/>
      <c r="K10" s="65" t="s">
        <v>82</v>
      </c>
      <c r="L10" s="66">
        <v>98822</v>
      </c>
      <c r="M10" s="66">
        <v>99971</v>
      </c>
      <c r="N10" s="67">
        <f t="shared" si="1"/>
        <v>1149</v>
      </c>
      <c r="O10" s="68"/>
    </row>
    <row r="11" spans="2:15" ht="15" x14ac:dyDescent="0.2">
      <c r="B11" s="61"/>
      <c r="C11" s="179">
        <v>9</v>
      </c>
      <c r="D11" s="65" t="s">
        <v>80</v>
      </c>
      <c r="E11" s="66">
        <v>34639</v>
      </c>
      <c r="F11" s="66">
        <v>34694</v>
      </c>
      <c r="G11" s="67">
        <f t="shared" si="0"/>
        <v>55</v>
      </c>
      <c r="H11" s="68"/>
      <c r="J11" s="179">
        <v>9</v>
      </c>
      <c r="K11" s="65" t="s">
        <v>80</v>
      </c>
      <c r="L11" s="66">
        <v>34694</v>
      </c>
      <c r="M11" s="66">
        <v>34726</v>
      </c>
      <c r="N11" s="67">
        <f t="shared" si="1"/>
        <v>32</v>
      </c>
      <c r="O11" s="68"/>
    </row>
    <row r="12" spans="2:15" ht="15" x14ac:dyDescent="0.2">
      <c r="B12" s="61"/>
      <c r="C12" s="181"/>
      <c r="D12" s="65" t="s">
        <v>81</v>
      </c>
      <c r="E12" s="66">
        <v>0</v>
      </c>
      <c r="F12" s="66">
        <v>0</v>
      </c>
      <c r="G12" s="67">
        <f t="shared" si="0"/>
        <v>0</v>
      </c>
      <c r="H12" s="69" t="s">
        <v>12</v>
      </c>
      <c r="J12" s="181"/>
      <c r="K12" s="65" t="s">
        <v>81</v>
      </c>
      <c r="L12" s="66">
        <v>0</v>
      </c>
      <c r="M12" s="66">
        <v>0</v>
      </c>
      <c r="N12" s="67">
        <f t="shared" si="1"/>
        <v>0</v>
      </c>
      <c r="O12" s="69" t="s">
        <v>12</v>
      </c>
    </row>
    <row r="13" spans="2:15" ht="15" x14ac:dyDescent="0.2">
      <c r="B13" s="61"/>
      <c r="C13" s="180"/>
      <c r="D13" s="65" t="s">
        <v>82</v>
      </c>
      <c r="E13" s="66">
        <v>28642</v>
      </c>
      <c r="F13" s="66">
        <v>28776</v>
      </c>
      <c r="G13" s="67">
        <f t="shared" si="0"/>
        <v>134</v>
      </c>
      <c r="H13" s="68"/>
      <c r="I13" s="70"/>
      <c r="J13" s="180"/>
      <c r="K13" s="65" t="s">
        <v>82</v>
      </c>
      <c r="L13" s="66">
        <v>28776</v>
      </c>
      <c r="M13" s="66">
        <v>28926</v>
      </c>
      <c r="N13" s="67">
        <f t="shared" si="1"/>
        <v>150</v>
      </c>
      <c r="O13" s="68"/>
    </row>
    <row r="14" spans="2:15" ht="15" x14ac:dyDescent="0.2">
      <c r="B14" s="61"/>
      <c r="C14" s="179">
        <v>10</v>
      </c>
      <c r="D14" s="65" t="s">
        <v>80</v>
      </c>
      <c r="E14" s="66">
        <v>197101</v>
      </c>
      <c r="F14" s="66">
        <v>198779</v>
      </c>
      <c r="G14" s="67">
        <f t="shared" si="0"/>
        <v>1678</v>
      </c>
      <c r="H14" s="68"/>
      <c r="I14" s="71"/>
      <c r="J14" s="179">
        <v>10</v>
      </c>
      <c r="K14" s="65" t="s">
        <v>80</v>
      </c>
      <c r="L14" s="66">
        <v>198779</v>
      </c>
      <c r="M14" s="66">
        <v>202553</v>
      </c>
      <c r="N14" s="67">
        <f t="shared" si="1"/>
        <v>3774</v>
      </c>
      <c r="O14" s="68"/>
    </row>
    <row r="15" spans="2:15" ht="15" x14ac:dyDescent="0.2">
      <c r="B15" s="61"/>
      <c r="C15" s="181"/>
      <c r="D15" s="65" t="s">
        <v>81</v>
      </c>
      <c r="E15" s="66">
        <v>7741</v>
      </c>
      <c r="F15" s="66">
        <v>7741</v>
      </c>
      <c r="G15" s="67">
        <f t="shared" si="0"/>
        <v>0</v>
      </c>
      <c r="H15" s="68"/>
      <c r="I15" s="71"/>
      <c r="J15" s="181"/>
      <c r="K15" s="65" t="s">
        <v>81</v>
      </c>
      <c r="L15" s="66">
        <v>7741</v>
      </c>
      <c r="M15" s="66">
        <v>7174</v>
      </c>
      <c r="N15" s="67">
        <f t="shared" si="1"/>
        <v>-567</v>
      </c>
      <c r="O15" s="68"/>
    </row>
    <row r="16" spans="2:15" ht="15" x14ac:dyDescent="0.2">
      <c r="B16" s="61"/>
      <c r="C16" s="180"/>
      <c r="D16" s="65" t="s">
        <v>82</v>
      </c>
      <c r="E16" s="66">
        <v>185938</v>
      </c>
      <c r="F16" s="66">
        <v>186735</v>
      </c>
      <c r="G16" s="67">
        <f t="shared" si="0"/>
        <v>797</v>
      </c>
      <c r="H16" s="68"/>
      <c r="I16" s="71"/>
      <c r="J16" s="180"/>
      <c r="K16" s="65" t="s">
        <v>82</v>
      </c>
      <c r="L16" s="66">
        <v>186735</v>
      </c>
      <c r="M16" s="66">
        <v>188697</v>
      </c>
      <c r="N16" s="67">
        <f t="shared" si="1"/>
        <v>1962</v>
      </c>
      <c r="O16" s="68"/>
    </row>
    <row r="17" spans="2:15" ht="15" x14ac:dyDescent="0.2">
      <c r="B17" s="61"/>
      <c r="C17" s="179">
        <v>11</v>
      </c>
      <c r="D17" s="65" t="s">
        <v>80</v>
      </c>
      <c r="E17" s="67">
        <v>64235</v>
      </c>
      <c r="F17" s="67">
        <v>64951</v>
      </c>
      <c r="G17" s="67">
        <f t="shared" si="0"/>
        <v>716</v>
      </c>
      <c r="H17" s="68"/>
      <c r="I17" s="71"/>
      <c r="J17" s="179">
        <v>11</v>
      </c>
      <c r="K17" s="65" t="s">
        <v>80</v>
      </c>
      <c r="L17" s="67">
        <v>64951</v>
      </c>
      <c r="M17" s="67">
        <v>66191</v>
      </c>
      <c r="N17" s="67">
        <f t="shared" si="1"/>
        <v>1240</v>
      </c>
      <c r="O17" s="68"/>
    </row>
    <row r="18" spans="2:15" ht="15" x14ac:dyDescent="0.2">
      <c r="B18" s="61"/>
      <c r="C18" s="181"/>
      <c r="D18" s="65" t="s">
        <v>81</v>
      </c>
      <c r="E18" s="67">
        <v>213386</v>
      </c>
      <c r="F18" s="67">
        <v>214391</v>
      </c>
      <c r="G18" s="67">
        <f t="shared" si="0"/>
        <v>1005</v>
      </c>
      <c r="H18" s="68"/>
      <c r="I18" s="71"/>
      <c r="J18" s="181"/>
      <c r="K18" s="65" t="s">
        <v>81</v>
      </c>
      <c r="L18" s="67">
        <v>214391</v>
      </c>
      <c r="M18" s="67">
        <v>215756</v>
      </c>
      <c r="N18" s="67">
        <f t="shared" si="1"/>
        <v>1365</v>
      </c>
      <c r="O18" s="68"/>
    </row>
    <row r="19" spans="2:15" ht="15" x14ac:dyDescent="0.2">
      <c r="B19" s="61"/>
      <c r="C19" s="180"/>
      <c r="D19" s="65" t="s">
        <v>82</v>
      </c>
      <c r="E19" s="66">
        <v>30683</v>
      </c>
      <c r="F19" s="66">
        <v>30758</v>
      </c>
      <c r="G19" s="67">
        <f t="shared" si="0"/>
        <v>75</v>
      </c>
      <c r="H19" s="68"/>
      <c r="I19" s="71"/>
      <c r="J19" s="180"/>
      <c r="K19" s="65" t="s">
        <v>82</v>
      </c>
      <c r="L19" s="66">
        <v>30758</v>
      </c>
      <c r="M19" s="66">
        <v>30919</v>
      </c>
      <c r="N19" s="67">
        <f t="shared" si="1"/>
        <v>161</v>
      </c>
      <c r="O19" s="68"/>
    </row>
    <row r="20" spans="2:15" ht="15" x14ac:dyDescent="0.2">
      <c r="B20" s="61"/>
      <c r="C20" s="179">
        <v>12</v>
      </c>
      <c r="D20" s="65" t="s">
        <v>80</v>
      </c>
      <c r="E20" s="148">
        <v>146008</v>
      </c>
      <c r="F20" s="148">
        <v>146144</v>
      </c>
      <c r="G20" s="67">
        <f t="shared" si="0"/>
        <v>136</v>
      </c>
      <c r="H20" s="68"/>
      <c r="I20" s="71"/>
      <c r="J20" s="179">
        <v>12</v>
      </c>
      <c r="K20" s="65" t="s">
        <v>80</v>
      </c>
      <c r="L20" s="148">
        <v>146144</v>
      </c>
      <c r="M20" s="148">
        <v>146382</v>
      </c>
      <c r="N20" s="67">
        <f t="shared" si="1"/>
        <v>238</v>
      </c>
      <c r="O20" s="68"/>
    </row>
    <row r="21" spans="2:15" ht="15" x14ac:dyDescent="0.2">
      <c r="B21" s="61"/>
      <c r="C21" s="181"/>
      <c r="D21" s="65" t="s">
        <v>81</v>
      </c>
      <c r="E21" s="66">
        <v>22414</v>
      </c>
      <c r="F21" s="66">
        <v>22438</v>
      </c>
      <c r="G21" s="67">
        <f t="shared" si="0"/>
        <v>24</v>
      </c>
      <c r="H21" s="68"/>
      <c r="I21" s="72" t="s">
        <v>12</v>
      </c>
      <c r="J21" s="181"/>
      <c r="K21" s="65" t="s">
        <v>81</v>
      </c>
      <c r="L21" s="66">
        <v>22438</v>
      </c>
      <c r="M21" s="66">
        <v>22483</v>
      </c>
      <c r="N21" s="67">
        <f t="shared" si="1"/>
        <v>45</v>
      </c>
      <c r="O21" s="68"/>
    </row>
    <row r="22" spans="2:15" ht="15" x14ac:dyDescent="0.2">
      <c r="B22" s="61"/>
      <c r="C22" s="180"/>
      <c r="D22" s="65" t="s">
        <v>82</v>
      </c>
      <c r="E22" s="66">
        <v>242715</v>
      </c>
      <c r="F22" s="66">
        <v>243056</v>
      </c>
      <c r="G22" s="67">
        <f t="shared" si="0"/>
        <v>341</v>
      </c>
      <c r="H22" s="68"/>
      <c r="I22" s="71"/>
      <c r="J22" s="180"/>
      <c r="K22" s="65" t="s">
        <v>82</v>
      </c>
      <c r="L22" s="66">
        <v>243056</v>
      </c>
      <c r="M22" s="66">
        <v>245112</v>
      </c>
      <c r="N22" s="67">
        <f t="shared" si="1"/>
        <v>2056</v>
      </c>
      <c r="O22" s="68"/>
    </row>
    <row r="23" spans="2:15" ht="15" x14ac:dyDescent="0.2">
      <c r="B23" s="61"/>
      <c r="C23" s="179">
        <v>14</v>
      </c>
      <c r="D23" s="65" t="s">
        <v>80</v>
      </c>
      <c r="E23" s="66">
        <v>116871</v>
      </c>
      <c r="F23" s="66">
        <v>117017</v>
      </c>
      <c r="G23" s="67">
        <f t="shared" si="0"/>
        <v>146</v>
      </c>
      <c r="H23" s="68"/>
      <c r="I23" s="71"/>
      <c r="J23" s="179">
        <v>14</v>
      </c>
      <c r="K23" s="65" t="s">
        <v>80</v>
      </c>
      <c r="L23" s="66">
        <v>117017</v>
      </c>
      <c r="M23" s="66">
        <v>117346</v>
      </c>
      <c r="N23" s="67">
        <f t="shared" si="1"/>
        <v>329</v>
      </c>
      <c r="O23" s="68"/>
    </row>
    <row r="24" spans="2:15" ht="15" x14ac:dyDescent="0.2">
      <c r="B24" s="61"/>
      <c r="C24" s="181"/>
      <c r="D24" s="65" t="s">
        <v>81</v>
      </c>
      <c r="E24" s="73">
        <v>23763</v>
      </c>
      <c r="F24" s="73">
        <v>23763</v>
      </c>
      <c r="G24" s="67">
        <f t="shared" si="0"/>
        <v>0</v>
      </c>
      <c r="H24" s="68"/>
      <c r="I24" s="71"/>
      <c r="J24" s="181"/>
      <c r="K24" s="65" t="s">
        <v>81</v>
      </c>
      <c r="L24" s="73">
        <v>23763</v>
      </c>
      <c r="M24" s="73">
        <v>25937</v>
      </c>
      <c r="N24" s="67">
        <f t="shared" si="1"/>
        <v>2174</v>
      </c>
      <c r="O24" s="68"/>
    </row>
    <row r="25" spans="2:15" ht="15" x14ac:dyDescent="0.2">
      <c r="B25" s="61"/>
      <c r="C25" s="180"/>
      <c r="D25" s="65" t="s">
        <v>82</v>
      </c>
      <c r="E25" s="66">
        <v>1999</v>
      </c>
      <c r="F25" s="66">
        <v>1999</v>
      </c>
      <c r="G25" s="67">
        <f t="shared" si="0"/>
        <v>0</v>
      </c>
      <c r="H25" s="68"/>
      <c r="I25" s="71"/>
      <c r="J25" s="180"/>
      <c r="K25" s="65" t="s">
        <v>82</v>
      </c>
      <c r="L25" s="66">
        <v>1999</v>
      </c>
      <c r="M25" s="66">
        <v>1767</v>
      </c>
      <c r="N25" s="67">
        <f t="shared" si="1"/>
        <v>-232</v>
      </c>
      <c r="O25" s="68"/>
    </row>
    <row r="26" spans="2:15" ht="15" x14ac:dyDescent="0.2">
      <c r="B26" s="61"/>
      <c r="C26" s="179">
        <v>15</v>
      </c>
      <c r="D26" s="65" t="s">
        <v>80</v>
      </c>
      <c r="E26" s="148">
        <v>39380</v>
      </c>
      <c r="F26" s="148">
        <v>39380</v>
      </c>
      <c r="G26" s="67">
        <f t="shared" si="0"/>
        <v>0</v>
      </c>
      <c r="H26" s="68"/>
      <c r="I26" s="72" t="s">
        <v>12</v>
      </c>
      <c r="J26" s="179">
        <v>15</v>
      </c>
      <c r="K26" s="65" t="s">
        <v>80</v>
      </c>
      <c r="L26" s="148">
        <v>39380</v>
      </c>
      <c r="M26" s="148">
        <v>39348</v>
      </c>
      <c r="N26" s="67">
        <f t="shared" si="1"/>
        <v>-32</v>
      </c>
      <c r="O26" s="68"/>
    </row>
    <row r="27" spans="2:15" ht="15" x14ac:dyDescent="0.2">
      <c r="B27" s="61"/>
      <c r="C27" s="181"/>
      <c r="D27" s="65" t="s">
        <v>81</v>
      </c>
      <c r="E27" s="66">
        <v>80522</v>
      </c>
      <c r="F27" s="66">
        <v>80886</v>
      </c>
      <c r="G27" s="67">
        <f t="shared" si="0"/>
        <v>364</v>
      </c>
      <c r="H27" s="68"/>
      <c r="I27" s="72" t="s">
        <v>12</v>
      </c>
      <c r="J27" s="181"/>
      <c r="K27" s="65" t="s">
        <v>81</v>
      </c>
      <c r="L27" s="66">
        <v>80886</v>
      </c>
      <c r="M27" s="66">
        <v>81676</v>
      </c>
      <c r="N27" s="67">
        <f t="shared" si="1"/>
        <v>790</v>
      </c>
      <c r="O27" s="68"/>
    </row>
    <row r="28" spans="2:15" ht="15" x14ac:dyDescent="0.2">
      <c r="B28" s="61"/>
      <c r="C28" s="180"/>
      <c r="D28" s="65" t="s">
        <v>82</v>
      </c>
      <c r="E28" s="66">
        <v>154238</v>
      </c>
      <c r="F28" s="66">
        <v>155292</v>
      </c>
      <c r="G28" s="67">
        <f t="shared" si="0"/>
        <v>1054</v>
      </c>
      <c r="H28" s="68"/>
      <c r="I28" s="71"/>
      <c r="J28" s="180"/>
      <c r="K28" s="65" t="s">
        <v>82</v>
      </c>
      <c r="L28" s="66">
        <v>155292</v>
      </c>
      <c r="M28" s="66">
        <v>157355</v>
      </c>
      <c r="N28" s="67">
        <f t="shared" si="1"/>
        <v>2063</v>
      </c>
      <c r="O28" s="68"/>
    </row>
    <row r="29" spans="2:15" ht="15" x14ac:dyDescent="0.2">
      <c r="B29" s="61"/>
      <c r="C29" s="179">
        <v>16</v>
      </c>
      <c r="D29" s="65" t="s">
        <v>80</v>
      </c>
      <c r="E29" s="148">
        <v>97965</v>
      </c>
      <c r="F29" s="148">
        <v>97965</v>
      </c>
      <c r="G29" s="67">
        <f t="shared" si="0"/>
        <v>0</v>
      </c>
      <c r="H29" s="69" t="s">
        <v>12</v>
      </c>
      <c r="I29" s="71"/>
      <c r="J29" s="179">
        <v>16</v>
      </c>
      <c r="K29" s="65" t="s">
        <v>80</v>
      </c>
      <c r="L29" s="148">
        <v>97965</v>
      </c>
      <c r="M29" s="148">
        <v>97792</v>
      </c>
      <c r="N29" s="67">
        <f t="shared" si="1"/>
        <v>-173</v>
      </c>
      <c r="O29" s="69" t="s">
        <v>12</v>
      </c>
    </row>
    <row r="30" spans="2:15" ht="15" x14ac:dyDescent="0.2">
      <c r="B30" s="61"/>
      <c r="C30" s="181"/>
      <c r="D30" s="65" t="s">
        <v>81</v>
      </c>
      <c r="E30" s="148">
        <v>59824</v>
      </c>
      <c r="F30" s="148">
        <v>60065</v>
      </c>
      <c r="G30" s="67">
        <f t="shared" si="0"/>
        <v>241</v>
      </c>
      <c r="H30" s="68"/>
      <c r="I30" s="71"/>
      <c r="J30" s="181"/>
      <c r="K30" s="65" t="s">
        <v>81</v>
      </c>
      <c r="L30" s="148">
        <v>60065</v>
      </c>
      <c r="M30" s="148">
        <v>60464</v>
      </c>
      <c r="N30" s="67">
        <f t="shared" si="1"/>
        <v>399</v>
      </c>
      <c r="O30" s="68"/>
    </row>
    <row r="31" spans="2:15" ht="15" x14ac:dyDescent="0.2">
      <c r="B31" s="61"/>
      <c r="C31" s="180"/>
      <c r="D31" s="65" t="s">
        <v>82</v>
      </c>
      <c r="E31" s="66">
        <v>68462</v>
      </c>
      <c r="F31" s="66">
        <v>68462</v>
      </c>
      <c r="G31" s="67">
        <f t="shared" si="0"/>
        <v>0</v>
      </c>
      <c r="H31" s="74"/>
      <c r="I31" s="71"/>
      <c r="J31" s="180"/>
      <c r="K31" s="65" t="s">
        <v>82</v>
      </c>
      <c r="L31" s="66">
        <v>68462</v>
      </c>
      <c r="M31" s="66">
        <v>68462</v>
      </c>
      <c r="N31" s="67">
        <f t="shared" si="1"/>
        <v>0</v>
      </c>
      <c r="O31" s="74"/>
    </row>
    <row r="32" spans="2:15" ht="15" x14ac:dyDescent="0.2">
      <c r="B32" s="61"/>
      <c r="C32" s="179">
        <v>17</v>
      </c>
      <c r="D32" s="65" t="s">
        <v>80</v>
      </c>
      <c r="E32" s="66">
        <v>32768</v>
      </c>
      <c r="F32" s="66">
        <v>33108</v>
      </c>
      <c r="G32" s="67">
        <f t="shared" si="0"/>
        <v>340</v>
      </c>
      <c r="H32" s="68"/>
      <c r="I32" s="71"/>
      <c r="J32" s="179">
        <v>17</v>
      </c>
      <c r="K32" s="65" t="s">
        <v>80</v>
      </c>
      <c r="L32" s="66">
        <v>33108</v>
      </c>
      <c r="M32" s="66">
        <v>34035</v>
      </c>
      <c r="N32" s="67">
        <f t="shared" si="1"/>
        <v>927</v>
      </c>
      <c r="O32" s="68"/>
    </row>
    <row r="33" spans="2:15" ht="15" x14ac:dyDescent="0.2">
      <c r="B33" s="61"/>
      <c r="C33" s="181"/>
      <c r="D33" s="65" t="s">
        <v>81</v>
      </c>
      <c r="E33" s="66">
        <v>64149</v>
      </c>
      <c r="F33" s="66">
        <v>64190</v>
      </c>
      <c r="G33" s="67">
        <f t="shared" si="0"/>
        <v>41</v>
      </c>
      <c r="H33" s="68"/>
      <c r="I33" s="71"/>
      <c r="J33" s="181"/>
      <c r="K33" s="65" t="s">
        <v>81</v>
      </c>
      <c r="L33" s="66">
        <v>64190</v>
      </c>
      <c r="M33" s="66">
        <v>64134</v>
      </c>
      <c r="N33" s="67">
        <f t="shared" si="1"/>
        <v>-56</v>
      </c>
      <c r="O33" s="68"/>
    </row>
    <row r="34" spans="2:15" ht="15" x14ac:dyDescent="0.2">
      <c r="B34" s="61"/>
      <c r="C34" s="180"/>
      <c r="D34" s="65" t="s">
        <v>82</v>
      </c>
      <c r="E34" s="66">
        <v>11579</v>
      </c>
      <c r="F34" s="66">
        <v>11664</v>
      </c>
      <c r="G34" s="67">
        <f t="shared" si="0"/>
        <v>85</v>
      </c>
      <c r="H34" s="74"/>
      <c r="I34" s="71"/>
      <c r="J34" s="180"/>
      <c r="K34" s="65" t="s">
        <v>82</v>
      </c>
      <c r="L34" s="66">
        <v>11664</v>
      </c>
      <c r="M34" s="66">
        <v>83366</v>
      </c>
      <c r="N34" s="67">
        <f t="shared" si="1"/>
        <v>71702</v>
      </c>
      <c r="O34" s="74"/>
    </row>
    <row r="35" spans="2:15" ht="15" x14ac:dyDescent="0.2">
      <c r="B35" s="61"/>
      <c r="C35" s="179">
        <v>18</v>
      </c>
      <c r="D35" s="65" t="s">
        <v>80</v>
      </c>
      <c r="E35" s="66">
        <v>239144</v>
      </c>
      <c r="F35" s="66">
        <v>240194</v>
      </c>
      <c r="G35" s="67">
        <f t="shared" si="0"/>
        <v>1050</v>
      </c>
      <c r="H35" s="74"/>
      <c r="I35" s="71"/>
      <c r="J35" s="179">
        <v>18</v>
      </c>
      <c r="K35" s="65" t="s">
        <v>80</v>
      </c>
      <c r="L35" s="66">
        <v>240194</v>
      </c>
      <c r="M35" s="66">
        <v>243624</v>
      </c>
      <c r="N35" s="67">
        <f t="shared" si="1"/>
        <v>3430</v>
      </c>
      <c r="O35" s="74"/>
    </row>
    <row r="36" spans="2:15" ht="15" x14ac:dyDescent="0.2">
      <c r="B36" s="61"/>
      <c r="C36" s="181"/>
      <c r="D36" s="65" t="s">
        <v>81</v>
      </c>
      <c r="E36" s="73">
        <v>16836</v>
      </c>
      <c r="F36" s="73">
        <v>17660</v>
      </c>
      <c r="G36" s="67">
        <f t="shared" si="0"/>
        <v>824</v>
      </c>
      <c r="H36" s="68"/>
      <c r="I36" s="71"/>
      <c r="J36" s="181"/>
      <c r="K36" s="65" t="s">
        <v>81</v>
      </c>
      <c r="L36" s="73">
        <v>17660</v>
      </c>
      <c r="M36" s="73">
        <v>17660</v>
      </c>
      <c r="N36" s="67">
        <f t="shared" si="1"/>
        <v>0</v>
      </c>
      <c r="O36" s="68"/>
    </row>
    <row r="37" spans="2:15" ht="15" x14ac:dyDescent="0.2">
      <c r="B37" s="61"/>
      <c r="C37" s="180"/>
      <c r="D37" s="65" t="s">
        <v>82</v>
      </c>
      <c r="E37" s="66">
        <v>78775</v>
      </c>
      <c r="F37" s="66">
        <v>80127</v>
      </c>
      <c r="G37" s="67">
        <f t="shared" si="0"/>
        <v>1352</v>
      </c>
      <c r="H37" s="68"/>
      <c r="I37" s="71"/>
      <c r="J37" s="180"/>
      <c r="K37" s="65" t="s">
        <v>82</v>
      </c>
      <c r="L37" s="66">
        <v>80127</v>
      </c>
      <c r="M37" s="66">
        <v>83790</v>
      </c>
      <c r="N37" s="67">
        <f t="shared" si="1"/>
        <v>3663</v>
      </c>
      <c r="O37" s="68"/>
    </row>
    <row r="38" spans="2:15" ht="15" x14ac:dyDescent="0.2">
      <c r="B38" s="61"/>
      <c r="C38" s="179">
        <v>19</v>
      </c>
      <c r="D38" s="65" t="s">
        <v>80</v>
      </c>
      <c r="E38" s="66">
        <v>21552</v>
      </c>
      <c r="F38" s="66">
        <v>21717</v>
      </c>
      <c r="G38" s="67">
        <f t="shared" si="0"/>
        <v>165</v>
      </c>
      <c r="H38" s="68"/>
      <c r="I38" s="71"/>
      <c r="J38" s="179">
        <v>19</v>
      </c>
      <c r="K38" s="65" t="s">
        <v>80</v>
      </c>
      <c r="L38" s="66">
        <v>21717</v>
      </c>
      <c r="M38" s="66">
        <v>22092</v>
      </c>
      <c r="N38" s="67">
        <f t="shared" si="1"/>
        <v>375</v>
      </c>
      <c r="O38" s="68"/>
    </row>
    <row r="39" spans="2:15" ht="15" x14ac:dyDescent="0.2">
      <c r="B39" s="61"/>
      <c r="C39" s="181"/>
      <c r="D39" s="65" t="s">
        <v>81</v>
      </c>
      <c r="E39" s="148">
        <v>83126</v>
      </c>
      <c r="F39" s="148">
        <v>83384</v>
      </c>
      <c r="G39" s="67">
        <f t="shared" si="0"/>
        <v>258</v>
      </c>
      <c r="H39" s="74"/>
      <c r="I39" s="71"/>
      <c r="J39" s="181"/>
      <c r="K39" s="65" t="s">
        <v>81</v>
      </c>
      <c r="L39" s="148">
        <v>83384</v>
      </c>
      <c r="M39" s="148">
        <v>53053</v>
      </c>
      <c r="N39" s="67">
        <f t="shared" si="1"/>
        <v>-30331</v>
      </c>
      <c r="O39" s="74"/>
    </row>
    <row r="40" spans="2:15" ht="15" x14ac:dyDescent="0.2">
      <c r="B40" s="61"/>
      <c r="C40" s="180"/>
      <c r="D40" s="65" t="s">
        <v>82</v>
      </c>
      <c r="E40" s="66">
        <v>53053</v>
      </c>
      <c r="F40" s="66">
        <v>53053</v>
      </c>
      <c r="G40" s="67">
        <f t="shared" si="0"/>
        <v>0</v>
      </c>
      <c r="H40" s="68"/>
      <c r="I40" s="71"/>
      <c r="J40" s="180"/>
      <c r="K40" s="65" t="s">
        <v>82</v>
      </c>
      <c r="L40" s="66">
        <v>53053</v>
      </c>
      <c r="M40" s="66">
        <v>53053</v>
      </c>
      <c r="N40" s="67">
        <f t="shared" si="1"/>
        <v>0</v>
      </c>
      <c r="O40" s="68"/>
    </row>
    <row r="41" spans="2:15" ht="15" x14ac:dyDescent="0.2">
      <c r="B41" s="61"/>
      <c r="C41" s="179">
        <v>20</v>
      </c>
      <c r="D41" s="65" t="s">
        <v>80</v>
      </c>
      <c r="E41" s="66">
        <v>118849</v>
      </c>
      <c r="F41" s="66">
        <v>119121</v>
      </c>
      <c r="G41" s="67">
        <f t="shared" si="0"/>
        <v>272</v>
      </c>
      <c r="H41" s="68"/>
      <c r="I41" s="71"/>
      <c r="J41" s="179">
        <v>20</v>
      </c>
      <c r="K41" s="65" t="s">
        <v>80</v>
      </c>
      <c r="L41" s="66">
        <v>119121</v>
      </c>
      <c r="M41" s="66">
        <v>119626</v>
      </c>
      <c r="N41" s="67">
        <f t="shared" si="1"/>
        <v>505</v>
      </c>
      <c r="O41" s="68"/>
    </row>
    <row r="42" spans="2:15" ht="15" x14ac:dyDescent="0.2">
      <c r="B42" s="61"/>
      <c r="C42" s="181"/>
      <c r="D42" s="65" t="s">
        <v>81</v>
      </c>
      <c r="E42" s="148">
        <v>69099</v>
      </c>
      <c r="F42" s="148">
        <v>69249</v>
      </c>
      <c r="G42" s="67">
        <f t="shared" si="0"/>
        <v>150</v>
      </c>
      <c r="H42" s="68"/>
      <c r="J42" s="181"/>
      <c r="K42" s="65" t="s">
        <v>81</v>
      </c>
      <c r="L42" s="148">
        <v>69249</v>
      </c>
      <c r="M42" s="148">
        <v>66556</v>
      </c>
      <c r="N42" s="67">
        <f t="shared" si="1"/>
        <v>-2693</v>
      </c>
      <c r="O42" s="68"/>
    </row>
    <row r="43" spans="2:15" ht="15" x14ac:dyDescent="0.2">
      <c r="B43" s="61"/>
      <c r="C43" s="180"/>
      <c r="D43" s="65" t="s">
        <v>82</v>
      </c>
      <c r="E43" s="66">
        <v>3298</v>
      </c>
      <c r="F43" s="66">
        <v>3298</v>
      </c>
      <c r="G43" s="67">
        <f t="shared" si="0"/>
        <v>0</v>
      </c>
      <c r="H43" s="68"/>
      <c r="J43" s="180"/>
      <c r="K43" s="65" t="s">
        <v>82</v>
      </c>
      <c r="L43" s="66">
        <v>3298</v>
      </c>
      <c r="M43" s="66">
        <v>3312</v>
      </c>
      <c r="N43" s="67">
        <f t="shared" si="1"/>
        <v>14</v>
      </c>
      <c r="O43" s="68"/>
    </row>
    <row r="44" spans="2:15" ht="15" x14ac:dyDescent="0.2">
      <c r="B44" s="61"/>
      <c r="C44" s="75"/>
      <c r="D44" s="76"/>
      <c r="E44" s="76"/>
      <c r="F44" s="76"/>
      <c r="G44" s="76"/>
      <c r="H44" s="78"/>
      <c r="J44" s="75"/>
      <c r="K44" s="76"/>
      <c r="L44" s="76"/>
      <c r="M44" s="76"/>
      <c r="N44" s="76"/>
      <c r="O44" s="78"/>
    </row>
    <row r="45" spans="2:15" ht="15" x14ac:dyDescent="0.2">
      <c r="B45" s="61"/>
      <c r="C45" s="179">
        <v>21</v>
      </c>
      <c r="D45" s="79" t="s">
        <v>83</v>
      </c>
      <c r="E45" s="66">
        <v>3468</v>
      </c>
      <c r="F45" s="66">
        <v>3511</v>
      </c>
      <c r="G45" s="67">
        <f t="shared" ref="G45:G50" si="2">F45-E45</f>
        <v>43</v>
      </c>
      <c r="H45" s="69" t="s">
        <v>12</v>
      </c>
      <c r="J45" s="179">
        <v>21</v>
      </c>
      <c r="K45" s="79" t="s">
        <v>83</v>
      </c>
      <c r="L45" s="66">
        <v>3511</v>
      </c>
      <c r="M45" s="66">
        <v>3585</v>
      </c>
      <c r="N45" s="67">
        <f t="shared" si="1"/>
        <v>74</v>
      </c>
      <c r="O45" s="69" t="s">
        <v>12</v>
      </c>
    </row>
    <row r="46" spans="2:15" ht="15" x14ac:dyDescent="0.2">
      <c r="B46" s="61"/>
      <c r="C46" s="181"/>
      <c r="D46" s="79" t="s">
        <v>82</v>
      </c>
      <c r="E46" s="66">
        <v>38755</v>
      </c>
      <c r="F46" s="66">
        <v>39537</v>
      </c>
      <c r="G46" s="67">
        <f t="shared" si="2"/>
        <v>782</v>
      </c>
      <c r="H46" s="68"/>
      <c r="J46" s="181"/>
      <c r="K46" s="79" t="s">
        <v>82</v>
      </c>
      <c r="L46" s="66">
        <v>39537</v>
      </c>
      <c r="M46" s="66">
        <v>41106</v>
      </c>
      <c r="N46" s="67">
        <f t="shared" si="1"/>
        <v>1569</v>
      </c>
      <c r="O46" s="68"/>
    </row>
    <row r="47" spans="2:15" ht="15" x14ac:dyDescent="0.2">
      <c r="B47" s="61"/>
      <c r="C47" s="179">
        <v>22</v>
      </c>
      <c r="D47" s="79" t="s">
        <v>83</v>
      </c>
      <c r="E47" s="80">
        <v>13941</v>
      </c>
      <c r="F47" s="80">
        <v>13941</v>
      </c>
      <c r="G47" s="67">
        <f t="shared" si="2"/>
        <v>0</v>
      </c>
      <c r="H47" s="68"/>
      <c r="I47" t="s">
        <v>12</v>
      </c>
      <c r="J47" s="179">
        <v>22</v>
      </c>
      <c r="K47" s="79" t="s">
        <v>83</v>
      </c>
      <c r="L47" s="80">
        <v>13941</v>
      </c>
      <c r="M47" s="80">
        <v>13642</v>
      </c>
      <c r="N47" s="67">
        <f t="shared" si="1"/>
        <v>-299</v>
      </c>
      <c r="O47" s="68"/>
    </row>
    <row r="48" spans="2:15" ht="15" x14ac:dyDescent="0.2">
      <c r="B48" s="61"/>
      <c r="C48" s="181"/>
      <c r="D48" s="79" t="s">
        <v>82</v>
      </c>
      <c r="E48" s="80">
        <v>19792</v>
      </c>
      <c r="F48" s="80">
        <v>19942</v>
      </c>
      <c r="G48" s="67">
        <f t="shared" si="2"/>
        <v>150</v>
      </c>
      <c r="H48" s="68"/>
      <c r="J48" s="181"/>
      <c r="K48" s="79" t="s">
        <v>82</v>
      </c>
      <c r="L48" s="80">
        <v>19942</v>
      </c>
      <c r="M48" s="80">
        <v>20213</v>
      </c>
      <c r="N48" s="67">
        <f t="shared" si="1"/>
        <v>271</v>
      </c>
      <c r="O48" s="68"/>
    </row>
    <row r="49" spans="1:15" ht="15" x14ac:dyDescent="0.2">
      <c r="B49" s="61"/>
      <c r="C49" s="179">
        <v>23</v>
      </c>
      <c r="D49" s="65" t="s">
        <v>83</v>
      </c>
      <c r="E49" s="80"/>
      <c r="F49" s="80"/>
      <c r="G49" s="67">
        <f t="shared" si="2"/>
        <v>0</v>
      </c>
      <c r="H49" s="68"/>
      <c r="J49" s="179">
        <v>23</v>
      </c>
      <c r="K49" s="65" t="s">
        <v>83</v>
      </c>
      <c r="L49" s="80"/>
      <c r="M49" s="80"/>
      <c r="N49" s="67">
        <f t="shared" si="1"/>
        <v>0</v>
      </c>
      <c r="O49" s="68"/>
    </row>
    <row r="50" spans="1:15" ht="15" x14ac:dyDescent="0.2">
      <c r="B50" s="61"/>
      <c r="C50" s="181"/>
      <c r="D50" s="65" t="s">
        <v>82</v>
      </c>
      <c r="E50" s="80"/>
      <c r="F50" s="80"/>
      <c r="G50" s="67">
        <f t="shared" si="2"/>
        <v>0</v>
      </c>
      <c r="H50" s="68"/>
      <c r="J50" s="181"/>
      <c r="K50" s="65" t="s">
        <v>82</v>
      </c>
      <c r="L50" s="80"/>
      <c r="M50" s="80"/>
      <c r="N50" s="67">
        <f t="shared" si="1"/>
        <v>0</v>
      </c>
      <c r="O50" s="68"/>
    </row>
    <row r="51" spans="1:15" ht="15" x14ac:dyDescent="0.2">
      <c r="B51" s="61"/>
      <c r="C51" s="81"/>
      <c r="D51" s="76"/>
      <c r="E51" s="77"/>
      <c r="F51" s="77"/>
      <c r="G51" s="77"/>
      <c r="H51" s="78"/>
      <c r="J51" s="81"/>
      <c r="K51" s="76"/>
      <c r="L51" s="77"/>
      <c r="M51" s="77"/>
      <c r="N51" s="77"/>
      <c r="O51" s="78"/>
    </row>
    <row r="52" spans="1:15" ht="15" x14ac:dyDescent="0.2">
      <c r="B52" s="61"/>
      <c r="C52" s="182">
        <v>24</v>
      </c>
      <c r="D52" s="65" t="s">
        <v>84</v>
      </c>
      <c r="E52" s="148">
        <v>242334</v>
      </c>
      <c r="F52" s="148">
        <v>243404</v>
      </c>
      <c r="G52" s="67">
        <f t="shared" ref="G52:G60" si="3">F52-E52</f>
        <v>1070</v>
      </c>
      <c r="H52" s="82"/>
      <c r="J52" s="182">
        <v>24</v>
      </c>
      <c r="K52" s="65" t="s">
        <v>84</v>
      </c>
      <c r="L52" s="148">
        <v>243404</v>
      </c>
      <c r="M52" s="148">
        <v>245344</v>
      </c>
      <c r="N52" s="67">
        <f t="shared" si="1"/>
        <v>1940</v>
      </c>
      <c r="O52" s="82"/>
    </row>
    <row r="53" spans="1:15" ht="15" x14ac:dyDescent="0.2">
      <c r="B53" s="61"/>
      <c r="C53" s="183"/>
      <c r="D53" s="65" t="s">
        <v>85</v>
      </c>
      <c r="E53" s="148">
        <v>536218</v>
      </c>
      <c r="F53" s="148">
        <v>536689</v>
      </c>
      <c r="G53" s="67">
        <f t="shared" si="3"/>
        <v>471</v>
      </c>
      <c r="H53" s="74"/>
      <c r="J53" s="183"/>
      <c r="K53" s="65" t="s">
        <v>85</v>
      </c>
      <c r="L53" s="148">
        <v>536689</v>
      </c>
      <c r="M53" s="148">
        <v>237646</v>
      </c>
      <c r="N53" s="67">
        <f t="shared" si="1"/>
        <v>-299043</v>
      </c>
      <c r="O53" s="74"/>
    </row>
    <row r="54" spans="1:15" ht="15" x14ac:dyDescent="0.2">
      <c r="B54" s="61"/>
      <c r="C54" s="184"/>
      <c r="D54" s="65" t="s">
        <v>84</v>
      </c>
      <c r="E54" s="148">
        <v>34567</v>
      </c>
      <c r="F54" s="148">
        <v>34567</v>
      </c>
      <c r="G54" s="67">
        <f t="shared" si="3"/>
        <v>0</v>
      </c>
      <c r="H54" s="83" t="s">
        <v>12</v>
      </c>
      <c r="J54" s="184"/>
      <c r="K54" s="65" t="s">
        <v>84</v>
      </c>
      <c r="L54" s="148">
        <v>34567</v>
      </c>
      <c r="M54" s="148">
        <v>34557</v>
      </c>
      <c r="N54" s="67">
        <f t="shared" si="1"/>
        <v>-10</v>
      </c>
      <c r="O54" s="83" t="s">
        <v>12</v>
      </c>
    </row>
    <row r="55" spans="1:15" ht="15" x14ac:dyDescent="0.2">
      <c r="B55" s="61"/>
      <c r="C55" s="179">
        <v>25</v>
      </c>
      <c r="D55" s="65" t="s">
        <v>84</v>
      </c>
      <c r="E55" s="80">
        <v>330</v>
      </c>
      <c r="F55" s="80">
        <v>330</v>
      </c>
      <c r="G55" s="67">
        <f t="shared" si="3"/>
        <v>0</v>
      </c>
      <c r="H55" s="68"/>
      <c r="J55" s="179">
        <v>25</v>
      </c>
      <c r="K55" s="65" t="s">
        <v>84</v>
      </c>
      <c r="L55" s="80">
        <v>330</v>
      </c>
      <c r="M55" s="80">
        <v>330</v>
      </c>
      <c r="N55" s="67">
        <f t="shared" si="1"/>
        <v>0</v>
      </c>
      <c r="O55" s="68"/>
    </row>
    <row r="56" spans="1:15" ht="15" x14ac:dyDescent="0.2">
      <c r="B56" s="61"/>
      <c r="C56" s="180"/>
      <c r="D56" s="65" t="s">
        <v>85</v>
      </c>
      <c r="E56" s="80">
        <v>3</v>
      </c>
      <c r="F56" s="80">
        <v>3</v>
      </c>
      <c r="G56" s="67">
        <f t="shared" si="3"/>
        <v>0</v>
      </c>
      <c r="H56" s="68"/>
      <c r="J56" s="180"/>
      <c r="K56" s="65" t="s">
        <v>85</v>
      </c>
      <c r="L56" s="80">
        <v>3</v>
      </c>
      <c r="M56" s="80">
        <v>3</v>
      </c>
      <c r="N56" s="67">
        <f t="shared" si="1"/>
        <v>0</v>
      </c>
      <c r="O56" s="68"/>
    </row>
    <row r="57" spans="1:15" ht="15" x14ac:dyDescent="0.2">
      <c r="B57" s="61"/>
      <c r="C57" s="179">
        <v>26</v>
      </c>
      <c r="D57" s="65" t="s">
        <v>84</v>
      </c>
      <c r="E57" s="66">
        <v>706781</v>
      </c>
      <c r="F57" s="66">
        <v>709819</v>
      </c>
      <c r="G57" s="67">
        <f t="shared" si="3"/>
        <v>3038</v>
      </c>
      <c r="H57" s="68"/>
      <c r="J57" s="179">
        <v>26</v>
      </c>
      <c r="K57" s="65" t="s">
        <v>84</v>
      </c>
      <c r="L57" s="66">
        <v>709819</v>
      </c>
      <c r="M57" s="66">
        <v>716183</v>
      </c>
      <c r="N57" s="67">
        <f t="shared" si="1"/>
        <v>6364</v>
      </c>
      <c r="O57" s="68"/>
    </row>
    <row r="58" spans="1:15" ht="15" x14ac:dyDescent="0.2">
      <c r="A58" s="71"/>
      <c r="B58" s="61"/>
      <c r="C58" s="180"/>
      <c r="D58" s="65" t="s">
        <v>85</v>
      </c>
      <c r="E58" s="66">
        <v>775701</v>
      </c>
      <c r="F58" s="66">
        <v>779269</v>
      </c>
      <c r="G58" s="67">
        <f t="shared" si="3"/>
        <v>3568</v>
      </c>
      <c r="H58" s="74"/>
      <c r="I58" s="71"/>
      <c r="J58" s="180"/>
      <c r="K58" s="65" t="s">
        <v>85</v>
      </c>
      <c r="L58" s="66">
        <v>779269</v>
      </c>
      <c r="M58" s="66">
        <v>786793</v>
      </c>
      <c r="N58" s="67">
        <f t="shared" si="1"/>
        <v>7524</v>
      </c>
      <c r="O58" s="74"/>
    </row>
    <row r="59" spans="1:15" ht="15" x14ac:dyDescent="0.2">
      <c r="A59" s="71"/>
      <c r="B59" s="61"/>
      <c r="C59" s="179">
        <v>27</v>
      </c>
      <c r="D59" s="65" t="s">
        <v>84</v>
      </c>
      <c r="E59" s="66">
        <v>239540</v>
      </c>
      <c r="F59" s="66">
        <v>240561</v>
      </c>
      <c r="G59" s="67">
        <f t="shared" si="3"/>
        <v>1021</v>
      </c>
      <c r="H59" s="68"/>
      <c r="I59" s="71"/>
      <c r="J59" s="179">
        <v>27</v>
      </c>
      <c r="K59" s="65" t="s">
        <v>84</v>
      </c>
      <c r="L59" s="66">
        <v>240561</v>
      </c>
      <c r="M59" s="66">
        <v>242888</v>
      </c>
      <c r="N59" s="67">
        <f t="shared" si="1"/>
        <v>2327</v>
      </c>
      <c r="O59" s="68"/>
    </row>
    <row r="60" spans="1:15" ht="15" x14ac:dyDescent="0.2">
      <c r="A60" s="71"/>
      <c r="B60" s="61"/>
      <c r="C60" s="180"/>
      <c r="D60" s="65" t="s">
        <v>85</v>
      </c>
      <c r="E60" s="66">
        <v>99246</v>
      </c>
      <c r="F60" s="66">
        <v>100967</v>
      </c>
      <c r="G60" s="67">
        <f t="shared" si="3"/>
        <v>1721</v>
      </c>
      <c r="H60" s="68"/>
      <c r="I60" s="71"/>
      <c r="J60" s="180"/>
      <c r="K60" s="65" t="s">
        <v>85</v>
      </c>
      <c r="L60" s="66">
        <v>100967</v>
      </c>
      <c r="M60" s="66">
        <v>102293</v>
      </c>
      <c r="N60" s="67">
        <f t="shared" si="1"/>
        <v>1326</v>
      </c>
      <c r="O60" s="68"/>
    </row>
    <row r="61" spans="1:15" ht="15" x14ac:dyDescent="0.2">
      <c r="A61" s="71"/>
      <c r="B61" s="61"/>
      <c r="C61" s="75"/>
      <c r="D61" s="76"/>
      <c r="E61" s="66"/>
      <c r="F61" s="66"/>
      <c r="G61" s="84"/>
      <c r="H61" s="78"/>
      <c r="I61" s="71"/>
      <c r="J61" s="75"/>
      <c r="K61" s="76"/>
      <c r="L61" s="66"/>
      <c r="M61" s="66"/>
      <c r="N61" s="84"/>
      <c r="O61" s="78"/>
    </row>
    <row r="62" spans="1:15" ht="15" x14ac:dyDescent="0.2">
      <c r="A62" s="71"/>
      <c r="B62" s="61"/>
      <c r="C62" s="179">
        <v>28</v>
      </c>
      <c r="D62" s="188" t="s">
        <v>86</v>
      </c>
      <c r="E62" s="66"/>
      <c r="F62" s="66"/>
      <c r="G62" s="67"/>
      <c r="H62" s="190" t="s">
        <v>87</v>
      </c>
      <c r="I62" s="71"/>
      <c r="J62" s="179">
        <v>28</v>
      </c>
      <c r="K62" s="188" t="s">
        <v>86</v>
      </c>
      <c r="L62" s="66"/>
      <c r="M62" s="66"/>
      <c r="N62" s="67"/>
      <c r="O62" s="190" t="s">
        <v>87</v>
      </c>
    </row>
    <row r="63" spans="1:15" ht="15" x14ac:dyDescent="0.2">
      <c r="A63" s="71"/>
      <c r="B63" s="61"/>
      <c r="C63" s="180"/>
      <c r="D63" s="189"/>
      <c r="E63" s="66"/>
      <c r="F63" s="66"/>
      <c r="G63" s="67"/>
      <c r="H63" s="191"/>
      <c r="I63" s="71"/>
      <c r="J63" s="180"/>
      <c r="K63" s="189"/>
      <c r="L63" s="66"/>
      <c r="M63" s="66"/>
      <c r="N63" s="67"/>
      <c r="O63" s="191"/>
    </row>
    <row r="64" spans="1:15" x14ac:dyDescent="0.2">
      <c r="A64" s="71"/>
      <c r="B64" s="61"/>
      <c r="C64" s="192" t="s">
        <v>88</v>
      </c>
      <c r="D64" s="192"/>
      <c r="E64" s="192"/>
      <c r="F64" s="192"/>
      <c r="G64" s="85">
        <f>SUM(G2:G63)</f>
        <v>28925</v>
      </c>
      <c r="H64" s="86"/>
      <c r="I64" s="71"/>
      <c r="J64" s="192" t="s">
        <v>88</v>
      </c>
      <c r="K64" s="192"/>
      <c r="L64" s="192"/>
      <c r="M64" s="192"/>
      <c r="N64" s="85">
        <f>SUM(N2:N63)</f>
        <v>-202363</v>
      </c>
      <c r="O64" s="86"/>
    </row>
    <row r="68" spans="1:15" ht="13.5" thickBot="1" x14ac:dyDescent="0.25">
      <c r="A68" s="87"/>
      <c r="B68" s="87"/>
      <c r="C68" s="87"/>
      <c r="D68" s="88" t="s">
        <v>12</v>
      </c>
      <c r="E68" s="87"/>
      <c r="F68" s="87"/>
      <c r="G68" s="87"/>
      <c r="H68" s="87"/>
    </row>
    <row r="69" spans="1:15" ht="13.5" thickBot="1" x14ac:dyDescent="0.25">
      <c r="A69" s="89"/>
      <c r="B69" s="193">
        <v>44409</v>
      </c>
      <c r="C69" s="194"/>
      <c r="D69" s="194"/>
      <c r="E69" s="195"/>
      <c r="F69" s="89"/>
      <c r="G69" s="193">
        <v>44470</v>
      </c>
      <c r="H69" s="194"/>
      <c r="I69" s="194"/>
      <c r="J69" s="195"/>
      <c r="K69" s="89"/>
      <c r="L69" s="185" t="s">
        <v>25</v>
      </c>
      <c r="M69" s="186"/>
      <c r="N69" s="186"/>
      <c r="O69" s="187"/>
    </row>
    <row r="70" spans="1:15" ht="13.5" thickBot="1" x14ac:dyDescent="0.25">
      <c r="A70" s="87"/>
      <c r="B70" s="149" t="s">
        <v>139</v>
      </c>
      <c r="C70" s="149">
        <v>30</v>
      </c>
      <c r="D70" s="149" t="s">
        <v>89</v>
      </c>
      <c r="E70" s="149" t="s">
        <v>90</v>
      </c>
      <c r="F70" s="87"/>
      <c r="G70" s="149" t="s">
        <v>139</v>
      </c>
      <c r="H70" s="149">
        <v>30</v>
      </c>
      <c r="I70" s="149" t="s">
        <v>89</v>
      </c>
      <c r="J70" s="149" t="s">
        <v>90</v>
      </c>
      <c r="K70" s="87"/>
      <c r="L70" s="90" t="s">
        <v>77</v>
      </c>
      <c r="M70" s="90">
        <v>30</v>
      </c>
      <c r="N70" s="90" t="s">
        <v>89</v>
      </c>
      <c r="O70" s="90" t="s">
        <v>90</v>
      </c>
    </row>
    <row r="71" spans="1:15" ht="15.75" thickBot="1" x14ac:dyDescent="0.25">
      <c r="A71" s="87"/>
      <c r="B71" s="91">
        <v>6</v>
      </c>
      <c r="C71" s="92">
        <v>92813</v>
      </c>
      <c r="D71" s="93">
        <v>56584</v>
      </c>
      <c r="E71" s="94">
        <v>78901</v>
      </c>
      <c r="F71" s="87"/>
      <c r="G71" s="91">
        <v>6</v>
      </c>
      <c r="H71" s="92">
        <v>92813</v>
      </c>
      <c r="I71" s="93">
        <v>56584</v>
      </c>
      <c r="J71" s="94">
        <v>78901</v>
      </c>
      <c r="K71" s="87"/>
      <c r="L71" s="90">
        <v>6</v>
      </c>
      <c r="M71" s="95">
        <f>H71-C71</f>
        <v>0</v>
      </c>
      <c r="N71" s="95">
        <f>I71-D71</f>
        <v>0</v>
      </c>
      <c r="O71" s="95">
        <f>J71-E71</f>
        <v>0</v>
      </c>
    </row>
    <row r="72" spans="1:15" ht="15.75" thickBot="1" x14ac:dyDescent="0.25">
      <c r="A72" s="87"/>
      <c r="B72" s="91">
        <v>7</v>
      </c>
      <c r="C72" s="92">
        <v>97400</v>
      </c>
      <c r="D72" s="93">
        <v>104249</v>
      </c>
      <c r="E72" s="94">
        <v>64322</v>
      </c>
      <c r="F72" s="87"/>
      <c r="G72" s="91">
        <v>7</v>
      </c>
      <c r="H72" s="92">
        <v>97400</v>
      </c>
      <c r="I72" s="93">
        <v>104249</v>
      </c>
      <c r="J72" s="94">
        <v>64322</v>
      </c>
      <c r="K72" s="87"/>
      <c r="L72" s="90">
        <v>7</v>
      </c>
      <c r="M72" s="95">
        <f t="shared" ref="M72:O94" si="4">H72-C72</f>
        <v>0</v>
      </c>
      <c r="N72" s="95">
        <f t="shared" si="4"/>
        <v>0</v>
      </c>
      <c r="O72" s="95">
        <f t="shared" si="4"/>
        <v>0</v>
      </c>
    </row>
    <row r="73" spans="1:15" ht="15.75" thickBot="1" x14ac:dyDescent="0.25">
      <c r="A73" s="87"/>
      <c r="B73" s="91">
        <v>8</v>
      </c>
      <c r="C73" s="92">
        <v>113302</v>
      </c>
      <c r="D73" s="93">
        <v>251904</v>
      </c>
      <c r="E73" s="94">
        <v>109334</v>
      </c>
      <c r="F73" s="87"/>
      <c r="G73" s="91">
        <v>8</v>
      </c>
      <c r="H73" s="92">
        <v>113302</v>
      </c>
      <c r="I73" s="93">
        <v>251904</v>
      </c>
      <c r="J73" s="94">
        <v>109334</v>
      </c>
      <c r="K73" s="87"/>
      <c r="L73" s="90">
        <v>8</v>
      </c>
      <c r="M73" s="95">
        <f t="shared" si="4"/>
        <v>0</v>
      </c>
      <c r="N73" s="95">
        <f t="shared" si="4"/>
        <v>0</v>
      </c>
      <c r="O73" s="95">
        <f t="shared" si="4"/>
        <v>0</v>
      </c>
    </row>
    <row r="74" spans="1:15" ht="15.75" thickBot="1" x14ac:dyDescent="0.25">
      <c r="A74" s="87"/>
      <c r="B74" s="91">
        <v>9</v>
      </c>
      <c r="C74" s="92">
        <v>68757</v>
      </c>
      <c r="D74" s="93">
        <v>152765</v>
      </c>
      <c r="E74" s="94">
        <v>155974</v>
      </c>
      <c r="F74" s="87"/>
      <c r="G74" s="91">
        <v>9</v>
      </c>
      <c r="H74" s="92">
        <v>68757</v>
      </c>
      <c r="I74" s="93">
        <v>152765</v>
      </c>
      <c r="J74" s="94">
        <v>155974</v>
      </c>
      <c r="K74" s="87"/>
      <c r="L74" s="90">
        <v>9</v>
      </c>
      <c r="M74" s="95">
        <f t="shared" si="4"/>
        <v>0</v>
      </c>
      <c r="N74" s="95">
        <f t="shared" si="4"/>
        <v>0</v>
      </c>
      <c r="O74" s="95">
        <f t="shared" si="4"/>
        <v>0</v>
      </c>
    </row>
    <row r="75" spans="1:15" ht="15.75" thickBot="1" x14ac:dyDescent="0.25">
      <c r="A75" s="87"/>
      <c r="B75" s="91">
        <v>10</v>
      </c>
      <c r="C75" s="92">
        <v>72174</v>
      </c>
      <c r="D75" s="93">
        <v>113714</v>
      </c>
      <c r="E75" s="94">
        <v>147690</v>
      </c>
      <c r="F75" s="87"/>
      <c r="G75" s="91">
        <v>10</v>
      </c>
      <c r="H75" s="92">
        <v>72174</v>
      </c>
      <c r="I75" s="93">
        <v>113714</v>
      </c>
      <c r="J75" s="94">
        <v>147690</v>
      </c>
      <c r="K75" s="87"/>
      <c r="L75" s="90">
        <v>10</v>
      </c>
      <c r="M75" s="95">
        <f t="shared" si="4"/>
        <v>0</v>
      </c>
      <c r="N75" s="95">
        <f t="shared" si="4"/>
        <v>0</v>
      </c>
      <c r="O75" s="95">
        <f t="shared" si="4"/>
        <v>0</v>
      </c>
    </row>
    <row r="76" spans="1:15" ht="15.75" thickBot="1" x14ac:dyDescent="0.25">
      <c r="A76" s="87"/>
      <c r="B76" s="91">
        <v>11</v>
      </c>
      <c r="C76" s="92">
        <v>154783</v>
      </c>
      <c r="D76" s="93">
        <v>184017</v>
      </c>
      <c r="E76" s="94">
        <v>212196</v>
      </c>
      <c r="F76" s="87"/>
      <c r="G76" s="91">
        <v>11</v>
      </c>
      <c r="H76" s="92">
        <v>154783</v>
      </c>
      <c r="I76" s="93">
        <v>184017</v>
      </c>
      <c r="J76" s="94">
        <v>212196</v>
      </c>
      <c r="K76" s="87"/>
      <c r="L76" s="90">
        <v>11</v>
      </c>
      <c r="M76" s="95">
        <f t="shared" si="4"/>
        <v>0</v>
      </c>
      <c r="N76" s="95">
        <f t="shared" si="4"/>
        <v>0</v>
      </c>
      <c r="O76" s="95">
        <f t="shared" si="4"/>
        <v>0</v>
      </c>
    </row>
    <row r="77" spans="1:15" ht="15.75" thickBot="1" x14ac:dyDescent="0.25">
      <c r="A77" s="87"/>
      <c r="B77" s="91">
        <v>12</v>
      </c>
      <c r="C77" s="92">
        <v>149996</v>
      </c>
      <c r="D77" s="93">
        <v>96553</v>
      </c>
      <c r="E77" s="94">
        <v>100449</v>
      </c>
      <c r="F77" s="87"/>
      <c r="G77" s="91">
        <v>12</v>
      </c>
      <c r="H77" s="92">
        <v>149996</v>
      </c>
      <c r="I77" s="93">
        <v>96553</v>
      </c>
      <c r="J77" s="94">
        <v>100449</v>
      </c>
      <c r="K77" s="87"/>
      <c r="L77" s="90">
        <v>12</v>
      </c>
      <c r="M77" s="95">
        <f t="shared" si="4"/>
        <v>0</v>
      </c>
      <c r="N77" s="95">
        <f>I77-D77</f>
        <v>0</v>
      </c>
      <c r="O77" s="95">
        <f t="shared" si="4"/>
        <v>0</v>
      </c>
    </row>
    <row r="78" spans="1:15" ht="15.75" thickBot="1" x14ac:dyDescent="0.25">
      <c r="A78" s="87"/>
      <c r="B78" s="91">
        <v>14</v>
      </c>
      <c r="C78" s="92">
        <v>123669</v>
      </c>
      <c r="D78" s="93">
        <v>48259</v>
      </c>
      <c r="E78" s="94">
        <v>51167</v>
      </c>
      <c r="F78" s="87"/>
      <c r="G78" s="91">
        <v>14</v>
      </c>
      <c r="H78" s="92">
        <v>123669</v>
      </c>
      <c r="I78" s="93">
        <v>48259</v>
      </c>
      <c r="J78" s="94">
        <v>51167</v>
      </c>
      <c r="K78" s="87"/>
      <c r="L78" s="90">
        <v>14</v>
      </c>
      <c r="M78" s="95">
        <f t="shared" si="4"/>
        <v>0</v>
      </c>
      <c r="N78" s="95">
        <f t="shared" si="4"/>
        <v>0</v>
      </c>
      <c r="O78" s="95">
        <f t="shared" si="4"/>
        <v>0</v>
      </c>
    </row>
    <row r="79" spans="1:15" ht="15.75" thickBot="1" x14ac:dyDescent="0.25">
      <c r="A79" s="87"/>
      <c r="B79" s="91">
        <v>15</v>
      </c>
      <c r="C79" s="92">
        <v>169635</v>
      </c>
      <c r="D79" s="93">
        <v>148519</v>
      </c>
      <c r="E79" s="94">
        <v>158828</v>
      </c>
      <c r="F79" s="87"/>
      <c r="G79" s="91">
        <v>15</v>
      </c>
      <c r="H79" s="92">
        <v>169635</v>
      </c>
      <c r="I79" s="93">
        <v>148519</v>
      </c>
      <c r="J79" s="94">
        <v>158828</v>
      </c>
      <c r="K79" s="87"/>
      <c r="L79" s="90">
        <v>15</v>
      </c>
      <c r="M79" s="95">
        <f t="shared" si="4"/>
        <v>0</v>
      </c>
      <c r="N79" s="95">
        <f t="shared" si="4"/>
        <v>0</v>
      </c>
      <c r="O79" s="95">
        <f t="shared" si="4"/>
        <v>0</v>
      </c>
    </row>
    <row r="80" spans="1:15" ht="15.75" thickBot="1" x14ac:dyDescent="0.25">
      <c r="A80" s="87"/>
      <c r="B80" s="91">
        <v>16</v>
      </c>
      <c r="C80" s="92">
        <v>122562</v>
      </c>
      <c r="D80" s="93">
        <v>147878</v>
      </c>
      <c r="E80" s="94">
        <v>216460</v>
      </c>
      <c r="F80" s="87"/>
      <c r="G80" s="91">
        <v>16</v>
      </c>
      <c r="H80" s="92">
        <v>122562</v>
      </c>
      <c r="I80" s="93">
        <v>147878</v>
      </c>
      <c r="J80" s="94">
        <v>216460</v>
      </c>
      <c r="K80" s="87"/>
      <c r="L80" s="90">
        <v>16</v>
      </c>
      <c r="M80" s="95">
        <f t="shared" si="4"/>
        <v>0</v>
      </c>
      <c r="N80" s="95">
        <f t="shared" si="4"/>
        <v>0</v>
      </c>
      <c r="O80" s="95">
        <f t="shared" si="4"/>
        <v>0</v>
      </c>
    </row>
    <row r="81" spans="1:15" ht="15.75" thickBot="1" x14ac:dyDescent="0.25">
      <c r="A81" s="87"/>
      <c r="B81" s="91">
        <v>17</v>
      </c>
      <c r="C81" s="92">
        <v>38476</v>
      </c>
      <c r="D81" s="93">
        <v>86216</v>
      </c>
      <c r="E81" s="94">
        <v>202489</v>
      </c>
      <c r="F81" s="87"/>
      <c r="G81" s="91">
        <v>17</v>
      </c>
      <c r="H81" s="92">
        <v>38476</v>
      </c>
      <c r="I81" s="93">
        <v>86216</v>
      </c>
      <c r="J81" s="94">
        <v>202489</v>
      </c>
      <c r="K81" s="87"/>
      <c r="L81" s="90">
        <v>17</v>
      </c>
      <c r="M81" s="95">
        <f t="shared" si="4"/>
        <v>0</v>
      </c>
      <c r="N81" s="95">
        <f t="shared" si="4"/>
        <v>0</v>
      </c>
      <c r="O81" s="95">
        <f t="shared" si="4"/>
        <v>0</v>
      </c>
    </row>
    <row r="82" spans="1:15" ht="15.75" thickBot="1" x14ac:dyDescent="0.25">
      <c r="A82" s="87"/>
      <c r="B82" s="91">
        <v>18</v>
      </c>
      <c r="C82" s="92">
        <v>137474</v>
      </c>
      <c r="D82" s="93">
        <v>72899</v>
      </c>
      <c r="E82" s="94">
        <v>164019</v>
      </c>
      <c r="F82" s="87"/>
      <c r="G82" s="91">
        <v>18</v>
      </c>
      <c r="H82" s="92">
        <v>137474</v>
      </c>
      <c r="I82" s="93">
        <v>72899</v>
      </c>
      <c r="J82" s="94">
        <v>164019</v>
      </c>
      <c r="K82" s="87"/>
      <c r="L82" s="90">
        <v>18</v>
      </c>
      <c r="M82" s="95">
        <f t="shared" si="4"/>
        <v>0</v>
      </c>
      <c r="N82" s="95">
        <f t="shared" si="4"/>
        <v>0</v>
      </c>
      <c r="O82" s="95">
        <f t="shared" si="4"/>
        <v>0</v>
      </c>
    </row>
    <row r="83" spans="1:15" ht="15.75" thickBot="1" x14ac:dyDescent="0.25">
      <c r="A83" s="87"/>
      <c r="B83" s="91">
        <v>19</v>
      </c>
      <c r="C83" s="92">
        <v>76648</v>
      </c>
      <c r="D83" s="93">
        <v>171894</v>
      </c>
      <c r="E83" s="94">
        <v>123189</v>
      </c>
      <c r="F83" s="87"/>
      <c r="G83" s="91">
        <v>19</v>
      </c>
      <c r="H83" s="92">
        <v>76648</v>
      </c>
      <c r="I83" s="93">
        <v>171894</v>
      </c>
      <c r="J83" s="94">
        <v>123189</v>
      </c>
      <c r="K83" s="87"/>
      <c r="L83" s="90">
        <v>19</v>
      </c>
      <c r="M83" s="95">
        <f t="shared" si="4"/>
        <v>0</v>
      </c>
      <c r="N83" s="95">
        <f t="shared" si="4"/>
        <v>0</v>
      </c>
      <c r="O83" s="95">
        <f t="shared" si="4"/>
        <v>0</v>
      </c>
    </row>
    <row r="84" spans="1:15" ht="15.75" thickBot="1" x14ac:dyDescent="0.25">
      <c r="A84" s="87"/>
      <c r="B84" s="91">
        <v>20</v>
      </c>
      <c r="C84" s="92">
        <v>144145</v>
      </c>
      <c r="D84" s="93">
        <v>174846</v>
      </c>
      <c r="E84" s="94">
        <v>88296</v>
      </c>
      <c r="F84" s="87"/>
      <c r="G84" s="91">
        <v>20</v>
      </c>
      <c r="H84" s="92">
        <v>144145</v>
      </c>
      <c r="I84" s="93">
        <v>174846</v>
      </c>
      <c r="J84" s="94">
        <v>88296</v>
      </c>
      <c r="K84" s="87"/>
      <c r="L84" s="90">
        <v>20</v>
      </c>
      <c r="M84" s="95">
        <f>H84-C84</f>
        <v>0</v>
      </c>
      <c r="N84" s="95">
        <f t="shared" si="4"/>
        <v>0</v>
      </c>
      <c r="O84" s="95">
        <f t="shared" si="4"/>
        <v>0</v>
      </c>
    </row>
    <row r="85" spans="1:15" ht="15.75" thickBot="1" x14ac:dyDescent="0.25">
      <c r="A85" s="87"/>
      <c r="B85" s="91">
        <v>21</v>
      </c>
      <c r="C85" s="92">
        <v>192087</v>
      </c>
      <c r="D85" s="93">
        <v>89374</v>
      </c>
      <c r="E85" s="94">
        <v>113214</v>
      </c>
      <c r="F85" s="87"/>
      <c r="G85" s="91">
        <v>21</v>
      </c>
      <c r="H85" s="92">
        <v>192087</v>
      </c>
      <c r="I85" s="93">
        <v>89374</v>
      </c>
      <c r="J85" s="94">
        <v>113214</v>
      </c>
      <c r="K85" s="87"/>
      <c r="L85" s="90">
        <v>21</v>
      </c>
      <c r="M85" s="95">
        <f t="shared" si="4"/>
        <v>0</v>
      </c>
      <c r="N85" s="95">
        <f t="shared" si="4"/>
        <v>0</v>
      </c>
      <c r="O85" s="95">
        <f t="shared" si="4"/>
        <v>0</v>
      </c>
    </row>
    <row r="86" spans="1:15" ht="15.75" thickBot="1" x14ac:dyDescent="0.25">
      <c r="A86" s="87"/>
      <c r="B86" s="91">
        <v>22</v>
      </c>
      <c r="C86" s="92">
        <v>137553</v>
      </c>
      <c r="D86" s="93">
        <v>94869</v>
      </c>
      <c r="E86" s="94">
        <v>120503</v>
      </c>
      <c r="F86" s="87"/>
      <c r="G86" s="91">
        <v>22</v>
      </c>
      <c r="H86" s="92">
        <v>137553</v>
      </c>
      <c r="I86" s="93">
        <v>94869</v>
      </c>
      <c r="J86" s="94">
        <v>120503</v>
      </c>
      <c r="K86" s="87"/>
      <c r="L86" s="90">
        <v>22</v>
      </c>
      <c r="M86" s="95">
        <f t="shared" si="4"/>
        <v>0</v>
      </c>
      <c r="N86" s="95">
        <f t="shared" si="4"/>
        <v>0</v>
      </c>
      <c r="O86" s="95">
        <f t="shared" si="4"/>
        <v>0</v>
      </c>
    </row>
    <row r="87" spans="1:15" ht="15.75" thickBot="1" x14ac:dyDescent="0.25">
      <c r="A87" s="87"/>
      <c r="B87" s="91">
        <v>23</v>
      </c>
      <c r="C87" s="92">
        <v>127540</v>
      </c>
      <c r="D87" s="93">
        <v>154958</v>
      </c>
      <c r="E87" s="94">
        <v>290053</v>
      </c>
      <c r="F87" s="87"/>
      <c r="G87" s="91">
        <v>23</v>
      </c>
      <c r="H87" s="92">
        <v>127540</v>
      </c>
      <c r="I87" s="93">
        <v>154958</v>
      </c>
      <c r="J87" s="94">
        <v>290053</v>
      </c>
      <c r="K87" s="87"/>
      <c r="L87" s="90">
        <v>23</v>
      </c>
      <c r="M87" s="95">
        <f t="shared" si="4"/>
        <v>0</v>
      </c>
      <c r="N87" s="95">
        <f t="shared" si="4"/>
        <v>0</v>
      </c>
      <c r="O87" s="95">
        <f t="shared" si="4"/>
        <v>0</v>
      </c>
    </row>
    <row r="88" spans="1:15" ht="15.75" thickBot="1" x14ac:dyDescent="0.25">
      <c r="A88" s="87"/>
      <c r="B88" s="91">
        <v>24</v>
      </c>
      <c r="C88" s="92">
        <v>78785</v>
      </c>
      <c r="D88" s="93">
        <v>151027</v>
      </c>
      <c r="E88" s="94">
        <v>101545</v>
      </c>
      <c r="F88" s="87"/>
      <c r="G88" s="91">
        <v>24</v>
      </c>
      <c r="H88" s="92">
        <v>78785</v>
      </c>
      <c r="I88" s="93">
        <v>151027</v>
      </c>
      <c r="J88" s="94">
        <v>101545</v>
      </c>
      <c r="K88" s="87"/>
      <c r="L88" s="90">
        <v>24</v>
      </c>
      <c r="M88" s="95">
        <f t="shared" si="4"/>
        <v>0</v>
      </c>
      <c r="N88" s="95">
        <f t="shared" si="4"/>
        <v>0</v>
      </c>
      <c r="O88" s="95">
        <f>J88-E88</f>
        <v>0</v>
      </c>
    </row>
    <row r="89" spans="1:15" ht="15.75" thickBot="1" x14ac:dyDescent="0.25">
      <c r="A89" s="87"/>
      <c r="B89" s="91">
        <v>25</v>
      </c>
      <c r="C89" s="92">
        <v>120977</v>
      </c>
      <c r="D89" s="93">
        <v>179891</v>
      </c>
      <c r="E89" s="94">
        <v>162144</v>
      </c>
      <c r="F89" s="87"/>
      <c r="G89" s="91">
        <v>25</v>
      </c>
      <c r="H89" s="92">
        <v>120977</v>
      </c>
      <c r="I89" s="93">
        <v>179891</v>
      </c>
      <c r="J89" s="94">
        <v>162144</v>
      </c>
      <c r="K89" s="87"/>
      <c r="L89" s="90">
        <v>25</v>
      </c>
      <c r="M89" s="95">
        <f t="shared" si="4"/>
        <v>0</v>
      </c>
      <c r="N89" s="95">
        <f t="shared" si="4"/>
        <v>0</v>
      </c>
      <c r="O89" s="95">
        <f>J89-E89</f>
        <v>0</v>
      </c>
    </row>
    <row r="90" spans="1:15" ht="15.75" thickBot="1" x14ac:dyDescent="0.25">
      <c r="A90" s="87"/>
      <c r="B90" s="91">
        <v>26</v>
      </c>
      <c r="C90" s="92">
        <v>113853</v>
      </c>
      <c r="D90" s="93">
        <v>51611</v>
      </c>
      <c r="E90" s="94">
        <v>54175</v>
      </c>
      <c r="F90" s="87"/>
      <c r="G90" s="91">
        <v>26</v>
      </c>
      <c r="H90" s="92">
        <v>113853</v>
      </c>
      <c r="I90" s="93">
        <v>51611</v>
      </c>
      <c r="J90" s="94">
        <v>54175</v>
      </c>
      <c r="K90" s="87"/>
      <c r="L90" s="90">
        <v>26</v>
      </c>
      <c r="M90" s="95">
        <f t="shared" si="4"/>
        <v>0</v>
      </c>
      <c r="N90" s="95">
        <f t="shared" si="4"/>
        <v>0</v>
      </c>
      <c r="O90" s="95">
        <f t="shared" si="4"/>
        <v>0</v>
      </c>
    </row>
    <row r="91" spans="1:15" ht="15.75" thickBot="1" x14ac:dyDescent="0.25">
      <c r="A91" s="87"/>
      <c r="B91" s="91">
        <v>27</v>
      </c>
      <c r="C91" s="92">
        <v>102062</v>
      </c>
      <c r="D91" s="93">
        <v>108979</v>
      </c>
      <c r="E91" s="94">
        <v>120492</v>
      </c>
      <c r="F91" s="87"/>
      <c r="G91" s="91">
        <v>27</v>
      </c>
      <c r="H91" s="92">
        <v>102062</v>
      </c>
      <c r="I91" s="93">
        <v>108979</v>
      </c>
      <c r="J91" s="94">
        <v>120492</v>
      </c>
      <c r="K91" s="87"/>
      <c r="L91" s="90">
        <v>27</v>
      </c>
      <c r="M91" s="95">
        <f t="shared" si="4"/>
        <v>0</v>
      </c>
      <c r="N91" s="95">
        <f t="shared" si="4"/>
        <v>0</v>
      </c>
      <c r="O91" s="95">
        <f t="shared" si="4"/>
        <v>0</v>
      </c>
    </row>
    <row r="92" spans="1:15" ht="15.75" thickBot="1" x14ac:dyDescent="0.25">
      <c r="A92" s="87"/>
      <c r="B92" s="91">
        <v>28</v>
      </c>
      <c r="C92" s="92">
        <v>195314</v>
      </c>
      <c r="D92" s="93">
        <v>102314</v>
      </c>
      <c r="E92" s="94">
        <v>111385</v>
      </c>
      <c r="F92" s="87"/>
      <c r="G92" s="91">
        <v>28</v>
      </c>
      <c r="H92" s="92">
        <v>195314</v>
      </c>
      <c r="I92" s="93">
        <v>102314</v>
      </c>
      <c r="J92" s="94">
        <v>111385</v>
      </c>
      <c r="K92" s="87"/>
      <c r="L92" s="90">
        <v>28</v>
      </c>
      <c r="M92" s="95">
        <f t="shared" si="4"/>
        <v>0</v>
      </c>
      <c r="N92" s="95">
        <f t="shared" si="4"/>
        <v>0</v>
      </c>
      <c r="O92" s="95">
        <f t="shared" si="4"/>
        <v>0</v>
      </c>
    </row>
    <row r="93" spans="1:15" ht="15.75" thickBot="1" x14ac:dyDescent="0.25">
      <c r="A93" s="87"/>
      <c r="B93" s="91">
        <v>29</v>
      </c>
      <c r="C93" s="92"/>
      <c r="D93" s="93">
        <v>83853</v>
      </c>
      <c r="E93" s="94">
        <v>102313</v>
      </c>
      <c r="F93" s="87"/>
      <c r="G93" s="91">
        <v>29</v>
      </c>
      <c r="H93" s="92"/>
      <c r="I93" s="93">
        <v>83853</v>
      </c>
      <c r="J93" s="94">
        <v>102313</v>
      </c>
      <c r="K93" s="87"/>
      <c r="L93" s="90">
        <v>29</v>
      </c>
      <c r="M93" s="95">
        <f t="shared" si="4"/>
        <v>0</v>
      </c>
      <c r="N93" s="95">
        <f t="shared" si="4"/>
        <v>0</v>
      </c>
      <c r="O93" s="95"/>
    </row>
    <row r="94" spans="1:15" ht="15.75" thickBot="1" x14ac:dyDescent="0.25">
      <c r="A94" s="87"/>
      <c r="B94" s="91">
        <v>30</v>
      </c>
      <c r="C94" s="92"/>
      <c r="D94" s="93">
        <v>14818</v>
      </c>
      <c r="E94" s="94"/>
      <c r="F94" s="87"/>
      <c r="G94" s="91">
        <v>30</v>
      </c>
      <c r="H94" s="92"/>
      <c r="I94" s="93">
        <v>14818</v>
      </c>
      <c r="J94" s="94"/>
      <c r="K94" s="87"/>
      <c r="L94" s="90">
        <v>30</v>
      </c>
      <c r="M94" s="95">
        <f t="shared" si="4"/>
        <v>0</v>
      </c>
      <c r="N94" s="95">
        <f>I94-D94</f>
        <v>0</v>
      </c>
      <c r="O94" s="87"/>
    </row>
  </sheetData>
  <mergeCells count="53">
    <mergeCell ref="L69:O69"/>
    <mergeCell ref="K62:K63"/>
    <mergeCell ref="O62:O63"/>
    <mergeCell ref="J64:M64"/>
    <mergeCell ref="C59:C60"/>
    <mergeCell ref="C62:C63"/>
    <mergeCell ref="D62:D63"/>
    <mergeCell ref="H62:H63"/>
    <mergeCell ref="C64:F64"/>
    <mergeCell ref="B69:E69"/>
    <mergeCell ref="G69:J69"/>
    <mergeCell ref="J62:J63"/>
    <mergeCell ref="J47:J48"/>
    <mergeCell ref="C52:C54"/>
    <mergeCell ref="C55:C56"/>
    <mergeCell ref="J52:J54"/>
    <mergeCell ref="J55:J56"/>
    <mergeCell ref="J49:J50"/>
    <mergeCell ref="C47:C48"/>
    <mergeCell ref="J26:J28"/>
    <mergeCell ref="C38:C40"/>
    <mergeCell ref="C41:C43"/>
    <mergeCell ref="C29:C31"/>
    <mergeCell ref="J29:J31"/>
    <mergeCell ref="C45:C46"/>
    <mergeCell ref="J32:J34"/>
    <mergeCell ref="J35:J37"/>
    <mergeCell ref="J38:J40"/>
    <mergeCell ref="J41:J43"/>
    <mergeCell ref="J45:J46"/>
    <mergeCell ref="C32:C34"/>
    <mergeCell ref="C35:C37"/>
    <mergeCell ref="C2:C4"/>
    <mergeCell ref="C5:C7"/>
    <mergeCell ref="C8:C10"/>
    <mergeCell ref="J2:J4"/>
    <mergeCell ref="C11:C13"/>
    <mergeCell ref="J57:J58"/>
    <mergeCell ref="J59:J60"/>
    <mergeCell ref="C14:C16"/>
    <mergeCell ref="J5:J7"/>
    <mergeCell ref="J8:J10"/>
    <mergeCell ref="J11:J13"/>
    <mergeCell ref="J14:J16"/>
    <mergeCell ref="C17:C19"/>
    <mergeCell ref="C20:C22"/>
    <mergeCell ref="C23:C25"/>
    <mergeCell ref="C26:C28"/>
    <mergeCell ref="J23:J25"/>
    <mergeCell ref="J17:J19"/>
    <mergeCell ref="J20:J22"/>
    <mergeCell ref="C57:C58"/>
    <mergeCell ref="C49:C50"/>
  </mergeCells>
  <pageMargins left="0.7" right="0.7" top="0.75" bottom="0.75" header="0.3" footer="0.3"/>
  <pageSetup paperSize="9" orientation="portrait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</vt:i4>
      </vt:variant>
    </vt:vector>
  </HeadingPairs>
  <TitlesOfParts>
    <vt:vector size="10" baseType="lpstr">
      <vt:lpstr>TOTAL</vt:lpstr>
      <vt:lpstr>Submetering</vt:lpstr>
      <vt:lpstr>Mall, Citadel, Rotana</vt:lpstr>
      <vt:lpstr>ELECT.</vt:lpstr>
      <vt:lpstr>Water</vt:lpstr>
      <vt:lpstr>Gas</vt:lpstr>
      <vt:lpstr>BTU</vt:lpstr>
      <vt:lpstr>Energy Monthly Statement</vt:lpstr>
      <vt:lpstr>Plaza and residential</vt:lpstr>
      <vt:lpstr>Gas!Print_Area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Allam</dc:creator>
  <cp:lastModifiedBy>Omar Saber</cp:lastModifiedBy>
  <cp:lastPrinted>2021-04-30T22:39:54Z</cp:lastPrinted>
  <dcterms:created xsi:type="dcterms:W3CDTF">2017-07-31T14:40:49Z</dcterms:created>
  <dcterms:modified xsi:type="dcterms:W3CDTF">2021-12-07T00:57:26Z</dcterms:modified>
</cp:coreProperties>
</file>