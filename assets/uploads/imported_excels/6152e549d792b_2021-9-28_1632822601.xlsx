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nelsa.huang\Desktop\Utilities\"/>
    </mc:Choice>
  </mc:AlternateContent>
  <bookViews>
    <workbookView xWindow="-105" yWindow="-105" windowWidth="19425" windowHeight="10425" tabRatio="816" activeTab="1"/>
  </bookViews>
  <sheets>
    <sheet name="TOTAL" sheetId="36" r:id="rId1"/>
    <sheet name="SUBMETERING" sheetId="38" r:id="rId2"/>
  </sheets>
  <externalReferences>
    <externalReference r:id="rId3"/>
    <externalReference r:id="rId4"/>
  </externalReferences>
  <calcPr calcId="162913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5" i="38" l="1"/>
  <c r="N37" i="38"/>
  <c r="V6" i="38"/>
  <c r="V7" i="38"/>
  <c r="V8" i="38"/>
  <c r="V9" i="38"/>
  <c r="V10" i="38"/>
  <c r="V11" i="38"/>
  <c r="V12" i="38"/>
  <c r="V13" i="38"/>
  <c r="V14" i="38"/>
  <c r="V15" i="38"/>
  <c r="V16" i="38"/>
  <c r="V17" i="38"/>
  <c r="V18" i="38"/>
  <c r="V19" i="38"/>
  <c r="V20" i="38"/>
  <c r="V21" i="38"/>
  <c r="V22" i="38"/>
  <c r="V23" i="38"/>
  <c r="V24" i="38"/>
  <c r="V25" i="38"/>
  <c r="V26" i="38"/>
  <c r="V27" i="38"/>
  <c r="V28" i="38"/>
  <c r="V29" i="38"/>
  <c r="V30" i="38"/>
  <c r="V31" i="38"/>
  <c r="V32" i="38"/>
  <c r="V33" i="38"/>
  <c r="V34" i="38"/>
  <c r="V35" i="38"/>
  <c r="V5" i="38"/>
  <c r="T6" i="38"/>
  <c r="T7" i="38"/>
  <c r="T8" i="38"/>
  <c r="T9" i="38"/>
  <c r="T10" i="38"/>
  <c r="T11" i="38"/>
  <c r="T12" i="38"/>
  <c r="T13" i="38"/>
  <c r="T14" i="38"/>
  <c r="T15" i="38"/>
  <c r="T16" i="38"/>
  <c r="T17" i="38"/>
  <c r="T18" i="38"/>
  <c r="T19" i="38"/>
  <c r="T20" i="38"/>
  <c r="T21" i="38"/>
  <c r="T22" i="38"/>
  <c r="T23" i="38"/>
  <c r="T24" i="38"/>
  <c r="T25" i="38"/>
  <c r="T26" i="38"/>
  <c r="T27" i="38"/>
  <c r="T28" i="38"/>
  <c r="T29" i="38"/>
  <c r="T30" i="38"/>
  <c r="T31" i="38"/>
  <c r="T32" i="38"/>
  <c r="T33" i="38"/>
  <c r="T34" i="38"/>
  <c r="T35" i="38"/>
  <c r="T5" i="38"/>
  <c r="O6" i="38"/>
  <c r="R6" i="38"/>
  <c r="P6" i="38"/>
  <c r="O7" i="38"/>
  <c r="R7" i="38"/>
  <c r="P7" i="38"/>
  <c r="O8" i="38"/>
  <c r="R8" i="38"/>
  <c r="P8" i="38"/>
  <c r="O9" i="38"/>
  <c r="R9" i="38"/>
  <c r="P9" i="38"/>
  <c r="O10" i="38"/>
  <c r="R10" i="38"/>
  <c r="P10" i="38"/>
  <c r="O11" i="38"/>
  <c r="R11" i="38"/>
  <c r="P11" i="38"/>
  <c r="O12" i="38"/>
  <c r="R12" i="38"/>
  <c r="P12" i="38"/>
  <c r="O13" i="38"/>
  <c r="R13" i="38"/>
  <c r="P13" i="38"/>
  <c r="O14" i="38"/>
  <c r="R14" i="38"/>
  <c r="P14" i="38"/>
  <c r="O15" i="38"/>
  <c r="R15" i="38"/>
  <c r="P15" i="38"/>
  <c r="O16" i="38"/>
  <c r="R16" i="38"/>
  <c r="P16" i="38"/>
  <c r="O17" i="38"/>
  <c r="R17" i="38"/>
  <c r="P17" i="38"/>
  <c r="O18" i="38"/>
  <c r="R18" i="38"/>
  <c r="P18" i="38"/>
  <c r="O19" i="38"/>
  <c r="R19" i="38"/>
  <c r="P19" i="38"/>
  <c r="O20" i="38"/>
  <c r="R20" i="38"/>
  <c r="P20" i="38"/>
  <c r="O21" i="38"/>
  <c r="R21" i="38"/>
  <c r="P21" i="38"/>
  <c r="O22" i="38"/>
  <c r="R22" i="38"/>
  <c r="P22" i="38"/>
  <c r="O23" i="38"/>
  <c r="R23" i="38"/>
  <c r="P23" i="38"/>
  <c r="O24" i="38"/>
  <c r="R24" i="38"/>
  <c r="P24" i="38"/>
  <c r="O25" i="38"/>
  <c r="R25" i="38"/>
  <c r="P25" i="38"/>
  <c r="O26" i="38"/>
  <c r="R26" i="38"/>
  <c r="P26" i="38"/>
  <c r="O27" i="38"/>
  <c r="R27" i="38"/>
  <c r="P27" i="38"/>
  <c r="O28" i="38"/>
  <c r="R28" i="38"/>
  <c r="P28" i="38"/>
  <c r="O29" i="38"/>
  <c r="R29" i="38"/>
  <c r="P29" i="38"/>
  <c r="O30" i="38"/>
  <c r="R30" i="38"/>
  <c r="P30" i="38"/>
  <c r="O31" i="38"/>
  <c r="R31" i="38"/>
  <c r="P31" i="38"/>
  <c r="O32" i="38"/>
  <c r="R32" i="38"/>
  <c r="P32" i="38"/>
  <c r="O33" i="38"/>
  <c r="R33" i="38"/>
  <c r="P33" i="38"/>
  <c r="O34" i="38"/>
  <c r="R34" i="38"/>
  <c r="P34" i="38"/>
  <c r="O35" i="38"/>
  <c r="R35" i="38"/>
  <c r="P35" i="38"/>
  <c r="O5" i="38"/>
  <c r="R5" i="38"/>
  <c r="W6" i="38"/>
  <c r="W7" i="38"/>
  <c r="W8" i="38"/>
  <c r="W9" i="38"/>
  <c r="W10" i="38"/>
  <c r="W11" i="38"/>
  <c r="W12" i="38"/>
  <c r="W13" i="38"/>
  <c r="W14" i="38"/>
  <c r="W15" i="38"/>
  <c r="W16" i="38"/>
  <c r="W17" i="38"/>
  <c r="W18" i="38"/>
  <c r="W19" i="38"/>
  <c r="W20" i="38"/>
  <c r="W21" i="38"/>
  <c r="W22" i="38"/>
  <c r="W23" i="38"/>
  <c r="W24" i="38"/>
  <c r="W25" i="38"/>
  <c r="W26" i="38"/>
  <c r="W27" i="38"/>
  <c r="W28" i="38"/>
  <c r="W29" i="38"/>
  <c r="W30" i="38"/>
  <c r="W31" i="38"/>
  <c r="W32" i="38"/>
  <c r="W33" i="38"/>
  <c r="W34" i="38"/>
  <c r="W35" i="38"/>
  <c r="W5" i="38"/>
  <c r="I6" i="38"/>
  <c r="J6" i="38"/>
  <c r="I7" i="38"/>
  <c r="J7" i="38"/>
  <c r="I8" i="38"/>
  <c r="J8" i="38"/>
  <c r="I9" i="38"/>
  <c r="J9" i="38"/>
  <c r="I10" i="38"/>
  <c r="J10" i="38"/>
  <c r="I11" i="38"/>
  <c r="J11" i="38"/>
  <c r="I12" i="38"/>
  <c r="J12" i="38"/>
  <c r="I13" i="38"/>
  <c r="J13" i="38"/>
  <c r="I14" i="38"/>
  <c r="J14" i="38"/>
  <c r="I15" i="38"/>
  <c r="J15" i="38"/>
  <c r="I16" i="38"/>
  <c r="J16" i="38"/>
  <c r="I17" i="38"/>
  <c r="J17" i="38"/>
  <c r="I18" i="38"/>
  <c r="J18" i="38"/>
  <c r="I19" i="38"/>
  <c r="J19" i="38"/>
  <c r="I20" i="38"/>
  <c r="J20" i="38"/>
  <c r="I21" i="38"/>
  <c r="J21" i="38"/>
  <c r="I22" i="38"/>
  <c r="J22" i="38"/>
  <c r="I23" i="38"/>
  <c r="J23" i="38"/>
  <c r="I24" i="38"/>
  <c r="J24" i="38"/>
  <c r="I25" i="38"/>
  <c r="J25" i="38"/>
  <c r="I26" i="38"/>
  <c r="J26" i="38"/>
  <c r="I27" i="38"/>
  <c r="J27" i="38"/>
  <c r="I28" i="38"/>
  <c r="J28" i="38"/>
  <c r="I29" i="38"/>
  <c r="J29" i="38"/>
  <c r="I30" i="38"/>
  <c r="J30" i="38"/>
  <c r="I31" i="38"/>
  <c r="J31" i="38"/>
  <c r="I32" i="38"/>
  <c r="J32" i="38"/>
  <c r="I33" i="38"/>
  <c r="J33" i="38"/>
  <c r="I34" i="38"/>
  <c r="J34" i="38"/>
  <c r="I35" i="38"/>
  <c r="J35" i="38"/>
  <c r="I5" i="38"/>
  <c r="J5" i="38"/>
  <c r="G6" i="38"/>
  <c r="H6" i="38"/>
  <c r="G7" i="38"/>
  <c r="H7" i="38"/>
  <c r="G8" i="38"/>
  <c r="H8" i="38"/>
  <c r="G9" i="38"/>
  <c r="H9" i="38"/>
  <c r="G10" i="38"/>
  <c r="H10" i="38"/>
  <c r="G11" i="38"/>
  <c r="H11" i="38"/>
  <c r="G12" i="38"/>
  <c r="H12" i="38"/>
  <c r="G13" i="38"/>
  <c r="H13" i="38"/>
  <c r="G14" i="38"/>
  <c r="H14" i="38"/>
  <c r="G15" i="38"/>
  <c r="H15" i="38"/>
  <c r="G16" i="38"/>
  <c r="H16" i="38"/>
  <c r="G17" i="38"/>
  <c r="H17" i="38"/>
  <c r="G18" i="38"/>
  <c r="H18" i="38"/>
  <c r="G19" i="38"/>
  <c r="H19" i="38"/>
  <c r="G20" i="38"/>
  <c r="H20" i="38"/>
  <c r="G21" i="38"/>
  <c r="H21" i="38"/>
  <c r="G22" i="38"/>
  <c r="H22" i="38"/>
  <c r="G23" i="38"/>
  <c r="H23" i="38"/>
  <c r="G24" i="38"/>
  <c r="H24" i="38"/>
  <c r="G25" i="38"/>
  <c r="H25" i="38"/>
  <c r="G26" i="38"/>
  <c r="H26" i="38"/>
  <c r="G27" i="38"/>
  <c r="H27" i="38"/>
  <c r="G28" i="38"/>
  <c r="H28" i="38"/>
  <c r="G29" i="38"/>
  <c r="H29" i="38"/>
  <c r="G30" i="38"/>
  <c r="H30" i="38"/>
  <c r="G31" i="38"/>
  <c r="H31" i="38"/>
  <c r="G32" i="38"/>
  <c r="H32" i="38"/>
  <c r="G33" i="38"/>
  <c r="H33" i="38"/>
  <c r="G34" i="38"/>
  <c r="H34" i="38"/>
  <c r="G35" i="38"/>
  <c r="H35" i="38"/>
  <c r="G5" i="38"/>
  <c r="H5" i="38"/>
  <c r="E6" i="38"/>
  <c r="F6" i="38"/>
  <c r="E7" i="38"/>
  <c r="F7" i="38"/>
  <c r="E8" i="38"/>
  <c r="F8" i="38"/>
  <c r="E9" i="38"/>
  <c r="F9" i="38"/>
  <c r="E10" i="38"/>
  <c r="F10" i="38"/>
  <c r="E11" i="38"/>
  <c r="F11" i="38"/>
  <c r="E12" i="38"/>
  <c r="F12" i="38"/>
  <c r="E13" i="38"/>
  <c r="F13" i="38"/>
  <c r="E14" i="38"/>
  <c r="F14" i="38"/>
  <c r="E15" i="38"/>
  <c r="F15" i="38"/>
  <c r="E16" i="38"/>
  <c r="F16" i="38"/>
  <c r="E17" i="38"/>
  <c r="F17" i="38"/>
  <c r="E18" i="38"/>
  <c r="F18" i="38"/>
  <c r="E19" i="38"/>
  <c r="F19" i="38"/>
  <c r="E20" i="38"/>
  <c r="F20" i="38"/>
  <c r="E21" i="38"/>
  <c r="F21" i="38"/>
  <c r="E22" i="38"/>
  <c r="F22" i="38"/>
  <c r="E23" i="38"/>
  <c r="F23" i="38"/>
  <c r="E24" i="38"/>
  <c r="F24" i="38"/>
  <c r="E25" i="38"/>
  <c r="F25" i="38"/>
  <c r="E26" i="38"/>
  <c r="F26" i="38"/>
  <c r="E27" i="38"/>
  <c r="F27" i="38"/>
  <c r="E28" i="38"/>
  <c r="F28" i="38"/>
  <c r="E29" i="38"/>
  <c r="F29" i="38"/>
  <c r="E30" i="38"/>
  <c r="F30" i="38"/>
  <c r="E31" i="38"/>
  <c r="F31" i="38"/>
  <c r="E32" i="38"/>
  <c r="F32" i="38"/>
  <c r="E33" i="38"/>
  <c r="F33" i="38"/>
  <c r="E34" i="38"/>
  <c r="F34" i="38"/>
  <c r="E35" i="38"/>
  <c r="F35" i="38"/>
  <c r="E5" i="38"/>
  <c r="F5" i="38"/>
  <c r="S5" i="38"/>
  <c r="K6" i="38"/>
  <c r="G3" i="36"/>
  <c r="K7" i="38"/>
  <c r="G4" i="36"/>
  <c r="K8" i="38"/>
  <c r="G5" i="36"/>
  <c r="K9" i="38"/>
  <c r="G6" i="36"/>
  <c r="K10" i="38"/>
  <c r="G7" i="36"/>
  <c r="K11" i="38"/>
  <c r="G8" i="36"/>
  <c r="K12" i="38"/>
  <c r="G9" i="36"/>
  <c r="K13" i="38"/>
  <c r="G10" i="36"/>
  <c r="K14" i="38"/>
  <c r="G11" i="36"/>
  <c r="K15" i="38"/>
  <c r="G12" i="36"/>
  <c r="K16" i="38"/>
  <c r="G13" i="36"/>
  <c r="K17" i="38"/>
  <c r="G14" i="36"/>
  <c r="K18" i="38"/>
  <c r="G15" i="36"/>
  <c r="K19" i="38"/>
  <c r="G16" i="36"/>
  <c r="K20" i="38"/>
  <c r="G17" i="36"/>
  <c r="K21" i="38"/>
  <c r="G18" i="36"/>
  <c r="K22" i="38"/>
  <c r="G19" i="36"/>
  <c r="K23" i="38"/>
  <c r="G20" i="36"/>
  <c r="K24" i="38"/>
  <c r="G21" i="36"/>
  <c r="K25" i="38"/>
  <c r="G22" i="36"/>
  <c r="K26" i="38"/>
  <c r="G23" i="36"/>
  <c r="K27" i="38"/>
  <c r="G24" i="36"/>
  <c r="K28" i="38"/>
  <c r="G25" i="36"/>
  <c r="K29" i="38"/>
  <c r="G26" i="36"/>
  <c r="K30" i="38"/>
  <c r="G27" i="36"/>
  <c r="K31" i="38"/>
  <c r="G28" i="36"/>
  <c r="K32" i="38"/>
  <c r="G29" i="36"/>
  <c r="K33" i="38"/>
  <c r="G30" i="36"/>
  <c r="K34" i="38"/>
  <c r="G31" i="36"/>
  <c r="K35" i="38"/>
  <c r="G32" i="36"/>
  <c r="K5" i="38"/>
  <c r="G2" i="36"/>
  <c r="M3" i="36"/>
  <c r="M4" i="36"/>
  <c r="M5" i="36"/>
  <c r="M6" i="36"/>
  <c r="M7" i="36"/>
  <c r="M8" i="36"/>
  <c r="M9" i="36"/>
  <c r="M10" i="36"/>
  <c r="M11" i="36"/>
  <c r="M12" i="36"/>
  <c r="M13" i="36"/>
  <c r="M14" i="36"/>
  <c r="M15" i="36"/>
  <c r="M16" i="36"/>
  <c r="M17" i="36"/>
  <c r="M18" i="36"/>
  <c r="M19" i="36"/>
  <c r="M20" i="36"/>
  <c r="M21" i="36"/>
  <c r="M22" i="36"/>
  <c r="M23" i="36"/>
  <c r="M24" i="36"/>
  <c r="M25" i="36"/>
  <c r="M26" i="36"/>
  <c r="M27" i="36"/>
  <c r="M28" i="36"/>
  <c r="M29" i="36"/>
  <c r="M30" i="36"/>
  <c r="M31" i="36"/>
  <c r="M32" i="36"/>
  <c r="M2" i="36"/>
  <c r="S7" i="38"/>
  <c r="K4" i="36"/>
  <c r="L4" i="36"/>
  <c r="S8" i="38"/>
  <c r="K5" i="36"/>
  <c r="L5" i="36"/>
  <c r="S9" i="38"/>
  <c r="K6" i="36"/>
  <c r="L6" i="36"/>
  <c r="S10" i="38"/>
  <c r="K7" i="36"/>
  <c r="L7" i="36"/>
  <c r="S11" i="38"/>
  <c r="K8" i="36"/>
  <c r="L8" i="36"/>
  <c r="S12" i="38"/>
  <c r="K9" i="36"/>
  <c r="L9" i="36"/>
  <c r="S13" i="38"/>
  <c r="K10" i="36"/>
  <c r="L10" i="36"/>
  <c r="S14" i="38"/>
  <c r="K11" i="36"/>
  <c r="L11" i="36"/>
  <c r="S15" i="38"/>
  <c r="K12" i="36"/>
  <c r="L12" i="36"/>
  <c r="S16" i="38"/>
  <c r="K13" i="36"/>
  <c r="L13" i="36"/>
  <c r="S17" i="38"/>
  <c r="K14" i="36"/>
  <c r="L14" i="36"/>
  <c r="S18" i="38"/>
  <c r="K15" i="36"/>
  <c r="L15" i="36"/>
  <c r="S19" i="38"/>
  <c r="K16" i="36"/>
  <c r="L16" i="36"/>
  <c r="S20" i="38"/>
  <c r="K17" i="36"/>
  <c r="L17" i="36"/>
  <c r="S21" i="38"/>
  <c r="K18" i="36"/>
  <c r="L18" i="36"/>
  <c r="S22" i="38"/>
  <c r="K19" i="36"/>
  <c r="L19" i="36"/>
  <c r="S23" i="38"/>
  <c r="K20" i="36"/>
  <c r="L20" i="36"/>
  <c r="S24" i="38"/>
  <c r="K21" i="36"/>
  <c r="L21" i="36"/>
  <c r="S25" i="38"/>
  <c r="K22" i="36"/>
  <c r="L22" i="36"/>
  <c r="S26" i="38"/>
  <c r="K23" i="36"/>
  <c r="L23" i="36"/>
  <c r="S27" i="38"/>
  <c r="K24" i="36"/>
  <c r="L24" i="36"/>
  <c r="S28" i="38"/>
  <c r="K25" i="36"/>
  <c r="L25" i="36"/>
  <c r="S29" i="38"/>
  <c r="K26" i="36"/>
  <c r="L26" i="36"/>
  <c r="S30" i="38"/>
  <c r="K27" i="36"/>
  <c r="L27" i="36"/>
  <c r="S31" i="38"/>
  <c r="K28" i="36"/>
  <c r="L28" i="36"/>
  <c r="S32" i="38"/>
  <c r="K29" i="36"/>
  <c r="L29" i="36"/>
  <c r="S33" i="38"/>
  <c r="K30" i="36"/>
  <c r="L30" i="36"/>
  <c r="S34" i="38"/>
  <c r="K31" i="36"/>
  <c r="L31" i="36"/>
  <c r="S35" i="38"/>
  <c r="K32" i="36"/>
  <c r="L32" i="36"/>
  <c r="K2" i="36"/>
  <c r="L2" i="36"/>
  <c r="S6" i="38"/>
  <c r="K3" i="36"/>
  <c r="L3" i="36"/>
  <c r="I3" i="36"/>
  <c r="I4" i="36"/>
  <c r="I5" i="36"/>
  <c r="I6" i="36"/>
  <c r="I7" i="36"/>
  <c r="I8" i="36"/>
  <c r="I9" i="36"/>
  <c r="I10" i="36"/>
  <c r="I11" i="36"/>
  <c r="I12" i="36"/>
  <c r="I13" i="36"/>
  <c r="I14" i="36"/>
  <c r="I15" i="36"/>
  <c r="I16" i="36"/>
  <c r="I17" i="36"/>
  <c r="I18" i="36"/>
  <c r="I19" i="36"/>
  <c r="I20" i="36"/>
  <c r="I21" i="36"/>
  <c r="I22" i="36"/>
  <c r="I23" i="36"/>
  <c r="I24" i="36"/>
  <c r="I25" i="36"/>
  <c r="I26" i="36"/>
  <c r="I27" i="36"/>
  <c r="I28" i="36"/>
  <c r="I29" i="36"/>
  <c r="I30" i="36"/>
  <c r="I31" i="36"/>
  <c r="I32" i="36"/>
  <c r="I2" i="36"/>
  <c r="M35" i="38"/>
  <c r="E32" i="36"/>
  <c r="M8" i="38"/>
  <c r="E5" i="36"/>
  <c r="M9" i="38"/>
  <c r="E6" i="36"/>
  <c r="M10" i="38"/>
  <c r="E7" i="36"/>
  <c r="M11" i="38"/>
  <c r="E8" i="36"/>
  <c r="M12" i="38"/>
  <c r="E9" i="36"/>
  <c r="M13" i="38"/>
  <c r="E10" i="36"/>
  <c r="M14" i="38"/>
  <c r="E11" i="36"/>
  <c r="M15" i="38"/>
  <c r="E12" i="36"/>
  <c r="M16" i="38"/>
  <c r="E13" i="36"/>
  <c r="M17" i="38"/>
  <c r="E14" i="36"/>
  <c r="M18" i="38"/>
  <c r="E15" i="36"/>
  <c r="M19" i="38"/>
  <c r="E16" i="36"/>
  <c r="M20" i="38"/>
  <c r="E17" i="36"/>
  <c r="M21" i="38"/>
  <c r="E18" i="36"/>
  <c r="M22" i="38"/>
  <c r="E19" i="36"/>
  <c r="M23" i="38"/>
  <c r="E20" i="36"/>
  <c r="M24" i="38"/>
  <c r="E21" i="36"/>
  <c r="M25" i="38"/>
  <c r="E22" i="36"/>
  <c r="M26" i="38"/>
  <c r="E23" i="36"/>
  <c r="M27" i="38"/>
  <c r="E24" i="36"/>
  <c r="M28" i="38"/>
  <c r="E25" i="36"/>
  <c r="M29" i="38"/>
  <c r="E26" i="36"/>
  <c r="M30" i="38"/>
  <c r="E27" i="36"/>
  <c r="M31" i="38"/>
  <c r="E28" i="36"/>
  <c r="M32" i="38"/>
  <c r="E29" i="36"/>
  <c r="M33" i="38"/>
  <c r="E30" i="36"/>
  <c r="M34" i="38"/>
  <c r="E31" i="36"/>
  <c r="M5" i="38"/>
  <c r="E2" i="36"/>
  <c r="M6" i="38"/>
  <c r="E3" i="36"/>
  <c r="M7" i="38"/>
  <c r="E4" i="36"/>
  <c r="Q35" i="38"/>
  <c r="L35" i="38"/>
  <c r="X35" i="38"/>
  <c r="Q34" i="38"/>
  <c r="L34" i="38"/>
  <c r="X34" i="38"/>
  <c r="Q33" i="38"/>
  <c r="L33" i="38"/>
  <c r="X33" i="38"/>
  <c r="Q32" i="38"/>
  <c r="L32" i="38"/>
  <c r="X32" i="38"/>
  <c r="Q31" i="38"/>
  <c r="L31" i="38"/>
  <c r="Q30" i="38"/>
  <c r="L30" i="38"/>
  <c r="Q29" i="38"/>
  <c r="L29" i="38"/>
  <c r="X29" i="38"/>
  <c r="Q28" i="38"/>
  <c r="L28" i="38"/>
  <c r="X28" i="38"/>
  <c r="Q27" i="38"/>
  <c r="L27" i="38"/>
  <c r="Q26" i="38"/>
  <c r="L26" i="38"/>
  <c r="Q25" i="38"/>
  <c r="L25" i="38"/>
  <c r="Q24" i="38"/>
  <c r="L24" i="38"/>
  <c r="X24" i="38"/>
  <c r="Q23" i="38"/>
  <c r="L23" i="38"/>
  <c r="Q22" i="38"/>
  <c r="L22" i="38"/>
  <c r="Q21" i="38"/>
  <c r="L21" i="38"/>
  <c r="X21" i="38"/>
  <c r="Q20" i="38"/>
  <c r="L20" i="38"/>
  <c r="Q19" i="38"/>
  <c r="L19" i="38"/>
  <c r="Q18" i="38"/>
  <c r="L18" i="38"/>
  <c r="X18" i="38"/>
  <c r="Q17" i="38"/>
  <c r="L17" i="38"/>
  <c r="Q16" i="38"/>
  <c r="L16" i="38"/>
  <c r="Q15" i="38"/>
  <c r="L15" i="38"/>
  <c r="Q14" i="38"/>
  <c r="L14" i="38"/>
  <c r="X14" i="38"/>
  <c r="Q13" i="38"/>
  <c r="L13" i="38"/>
  <c r="Q12" i="38"/>
  <c r="L12" i="38"/>
  <c r="Q11" i="38"/>
  <c r="L11" i="38"/>
  <c r="X11" i="38"/>
  <c r="Q10" i="38"/>
  <c r="L10" i="38"/>
  <c r="X10" i="38"/>
  <c r="Q9" i="38"/>
  <c r="L9" i="38"/>
  <c r="Q8" i="38"/>
  <c r="L8" i="38"/>
  <c r="X8" i="38"/>
  <c r="Q7" i="38"/>
  <c r="L7" i="38"/>
  <c r="Q6" i="38"/>
  <c r="L6" i="38"/>
  <c r="V37" i="38"/>
  <c r="R37" i="38"/>
  <c r="Q5" i="38"/>
  <c r="M37" i="38"/>
  <c r="E37" i="38"/>
  <c r="L5" i="38"/>
  <c r="K37" i="38"/>
  <c r="X20" i="38"/>
  <c r="Q37" i="38"/>
  <c r="X6" i="38"/>
  <c r="X31" i="38"/>
  <c r="X17" i="38"/>
  <c r="X25" i="38"/>
  <c r="X27" i="38"/>
  <c r="X30" i="38"/>
  <c r="S37" i="38"/>
  <c r="X12" i="38"/>
  <c r="X15" i="38"/>
  <c r="X23" i="38"/>
  <c r="X13" i="38"/>
  <c r="X16" i="38"/>
  <c r="X26" i="38"/>
  <c r="X9" i="38"/>
  <c r="W37" i="38"/>
  <c r="X7" i="38"/>
  <c r="X19" i="38"/>
  <c r="X22" i="38"/>
  <c r="G37" i="38"/>
  <c r="P37" i="38"/>
  <c r="I37" i="38"/>
  <c r="H37" i="38"/>
  <c r="J37" i="38"/>
  <c r="F37" i="38"/>
  <c r="L37" i="38"/>
  <c r="X5" i="38"/>
  <c r="X37" i="38"/>
  <c r="B32" i="36"/>
  <c r="N31" i="36"/>
  <c r="N30" i="36"/>
  <c r="N29" i="36"/>
  <c r="N28" i="36"/>
  <c r="N27" i="36"/>
  <c r="N26" i="36"/>
  <c r="N25" i="36"/>
  <c r="N24" i="36"/>
  <c r="N23" i="36"/>
  <c r="N22" i="36"/>
  <c r="N21" i="36"/>
  <c r="N20" i="36"/>
  <c r="N19" i="36"/>
  <c r="N18" i="36"/>
  <c r="N17" i="36"/>
  <c r="N16" i="36"/>
  <c r="N15" i="36"/>
  <c r="N14" i="36"/>
  <c r="N13" i="36"/>
  <c r="N12" i="36"/>
  <c r="N11" i="36"/>
  <c r="N10" i="36"/>
  <c r="N9" i="36"/>
  <c r="N8" i="36"/>
  <c r="N7" i="36"/>
  <c r="N6" i="36"/>
  <c r="N5" i="36"/>
  <c r="N4" i="36"/>
  <c r="B4" i="36"/>
  <c r="B5" i="36"/>
  <c r="B6" i="36"/>
  <c r="B7" i="36"/>
  <c r="B8" i="36"/>
  <c r="B9" i="36"/>
  <c r="B10" i="36"/>
  <c r="B11" i="36"/>
  <c r="B12" i="36"/>
  <c r="B13" i="36"/>
  <c r="B14" i="36"/>
  <c r="B15" i="36"/>
  <c r="B16" i="36"/>
  <c r="B17" i="36"/>
  <c r="B18" i="36"/>
  <c r="B19" i="36"/>
  <c r="B20" i="36"/>
  <c r="B21" i="36"/>
  <c r="B22" i="36"/>
  <c r="B23" i="36"/>
  <c r="B24" i="36"/>
  <c r="B25" i="36"/>
  <c r="B26" i="36"/>
  <c r="B27" i="36"/>
  <c r="B28" i="36"/>
  <c r="B29" i="36"/>
  <c r="B30" i="36"/>
  <c r="B31" i="36"/>
  <c r="N3" i="36"/>
  <c r="J3" i="36"/>
  <c r="J4" i="36"/>
  <c r="J5" i="36"/>
  <c r="J6" i="36"/>
  <c r="J7" i="36"/>
  <c r="J8" i="36"/>
  <c r="J9" i="36"/>
  <c r="J10" i="36"/>
  <c r="J11" i="36"/>
  <c r="J12" i="36"/>
  <c r="J13" i="36"/>
  <c r="J14" i="36"/>
  <c r="J15" i="36"/>
  <c r="J16" i="36"/>
  <c r="J17" i="36"/>
  <c r="J18" i="36"/>
  <c r="J19" i="36"/>
  <c r="J20" i="36"/>
  <c r="J21" i="36"/>
  <c r="J22" i="36"/>
  <c r="J23" i="36"/>
  <c r="J24" i="36"/>
  <c r="J25" i="36"/>
  <c r="J26" i="36"/>
  <c r="J27" i="36"/>
  <c r="J28" i="36"/>
  <c r="J29" i="36"/>
  <c r="J30" i="36"/>
  <c r="J31" i="36"/>
  <c r="J32" i="36"/>
  <c r="H3" i="36"/>
  <c r="H4" i="36"/>
  <c r="F3" i="36"/>
  <c r="F4" i="36"/>
  <c r="F5" i="36"/>
  <c r="F6" i="36"/>
  <c r="F7" i="36"/>
  <c r="F8" i="36"/>
  <c r="F9" i="36"/>
  <c r="B3" i="36"/>
  <c r="N2" i="36"/>
  <c r="F10" i="36"/>
  <c r="F11" i="36"/>
  <c r="F12" i="36"/>
  <c r="F13" i="36"/>
  <c r="F14" i="36"/>
  <c r="F15" i="36"/>
  <c r="F16" i="36"/>
  <c r="F17" i="36"/>
  <c r="H5" i="36"/>
  <c r="H6" i="36"/>
  <c r="H7" i="36"/>
  <c r="H8" i="36"/>
  <c r="H9" i="36"/>
  <c r="H10" i="36"/>
  <c r="H11" i="36"/>
  <c r="H12" i="36"/>
  <c r="H13" i="36"/>
  <c r="H14" i="36"/>
  <c r="H15" i="36"/>
  <c r="H16" i="36"/>
  <c r="H17" i="36"/>
  <c r="H18" i="36"/>
  <c r="H19" i="36"/>
  <c r="H20" i="36"/>
  <c r="H21" i="36"/>
  <c r="H22" i="36"/>
  <c r="H23" i="36"/>
  <c r="H24" i="36"/>
  <c r="H25" i="36"/>
  <c r="H26" i="36"/>
  <c r="H27" i="36"/>
  <c r="H28" i="36"/>
  <c r="H29" i="36"/>
  <c r="H30" i="36"/>
  <c r="H31" i="36"/>
  <c r="H32" i="36"/>
  <c r="F18" i="36"/>
  <c r="F19" i="36"/>
  <c r="O13" i="36"/>
  <c r="O7" i="36"/>
  <c r="O14" i="36"/>
  <c r="O4" i="36"/>
  <c r="O3" i="36"/>
  <c r="F20" i="36"/>
  <c r="O2" i="36"/>
  <c r="O20" i="36"/>
  <c r="O5" i="36"/>
  <c r="O9" i="36"/>
  <c r="O8" i="36"/>
  <c r="O18" i="36"/>
  <c r="O16" i="36"/>
  <c r="O17" i="36"/>
  <c r="O19" i="36"/>
  <c r="O11" i="36"/>
  <c r="O12" i="36"/>
  <c r="O6" i="36"/>
  <c r="O10" i="36"/>
  <c r="O15" i="36"/>
  <c r="F21" i="36"/>
  <c r="F22" i="36"/>
  <c r="O21" i="36"/>
  <c r="F23" i="36"/>
  <c r="O22" i="36"/>
  <c r="F24" i="36"/>
  <c r="O23" i="36"/>
  <c r="F25" i="36"/>
  <c r="O24" i="36"/>
  <c r="F26" i="36"/>
  <c r="O25" i="36"/>
  <c r="F27" i="36"/>
  <c r="O26" i="36"/>
  <c r="F28" i="36"/>
  <c r="O27" i="36"/>
  <c r="F29" i="36"/>
  <c r="O28" i="36"/>
  <c r="O29" i="36"/>
  <c r="F30" i="36"/>
  <c r="F31" i="36"/>
  <c r="F32" i="36"/>
  <c r="O30" i="36"/>
  <c r="O31" i="36"/>
</calcChain>
</file>

<file path=xl/sharedStrings.xml><?xml version="1.0" encoding="utf-8"?>
<sst xmlns="http://schemas.openxmlformats.org/spreadsheetml/2006/main" count="117" uniqueCount="67">
  <si>
    <t>Site Name</t>
  </si>
  <si>
    <t>Day</t>
  </si>
  <si>
    <t>Month</t>
  </si>
  <si>
    <t>Year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</si>
  <si>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</si>
  <si>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</si>
  <si>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</si>
  <si>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</si>
  <si>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</si>
  <si>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</si>
  <si>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>District Energy Cooling Kwh</t>
  </si>
  <si>
    <t>District Energy Cooling $/Kwh</t>
  </si>
  <si>
    <t xml:space="preserve">Room Nights </t>
  </si>
  <si>
    <t xml:space="preserve">Total Guests </t>
  </si>
  <si>
    <t>Utilities day cost dh</t>
  </si>
  <si>
    <t>Guangzhou</t>
  </si>
  <si>
    <t>DATE                      日期</t>
  </si>
  <si>
    <t>Out door Temp℃                                 户外          温度</t>
  </si>
  <si>
    <t>Event Cover                                        宴会         人数</t>
  </si>
  <si>
    <t>RoomOcc.%            客房率</t>
  </si>
  <si>
    <t>Water Consumption         水用量</t>
    <phoneticPr fontId="2" type="noConversion"/>
  </si>
  <si>
    <t>Daily Total Utility Expense(RMB)                            每日能耗总费用</t>
  </si>
  <si>
    <t>Totalgas (m³)</t>
    <phoneticPr fontId="2" type="noConversion"/>
  </si>
  <si>
    <t>Total RMB</t>
  </si>
  <si>
    <t>Total RMB</t>
    <phoneticPr fontId="2" type="noConversion"/>
  </si>
  <si>
    <t>Totalgas(m³)</t>
    <phoneticPr fontId="2" type="noConversion"/>
  </si>
  <si>
    <t>Totalgas   (m³)</t>
    <phoneticPr fontId="2" type="noConversion"/>
  </si>
  <si>
    <t>Total electric (KWH)</t>
    <phoneticPr fontId="2" type="noConversion"/>
  </si>
  <si>
    <t>Total electric  (KWH)</t>
    <phoneticPr fontId="2" type="noConversion"/>
  </si>
  <si>
    <t>Total 
(Mw/h0</t>
    <phoneticPr fontId="2" type="noConversion"/>
  </si>
  <si>
    <t>Aver.</t>
  </si>
  <si>
    <t>Total</t>
  </si>
  <si>
    <r>
      <t>General electricity      总电量</t>
    </r>
    <r>
      <rPr>
        <b/>
        <sz val="9"/>
        <rFont val="仿宋"/>
        <family val="3"/>
        <charset val="134"/>
      </rPr>
      <t>(*10000)(RMB0.675169/Kwh)</t>
    </r>
  </si>
  <si>
    <t>Podium AC Consumption              裙楼空调用量                 (Mw/h)Rmb291.66/MwH+1655.02/天</t>
    <phoneticPr fontId="2" type="noConversion"/>
  </si>
  <si>
    <r>
      <t>Total Water   (m</t>
    </r>
    <r>
      <rPr>
        <b/>
        <vertAlign val="superscript"/>
        <sz val="7"/>
        <rFont val="仿宋"/>
        <family val="3"/>
        <charset val="134"/>
      </rPr>
      <t>3</t>
    </r>
    <r>
      <rPr>
        <b/>
        <sz val="7"/>
        <rFont val="仿宋"/>
        <family val="3"/>
        <charset val="134"/>
      </rPr>
      <t>)</t>
    </r>
  </si>
  <si>
    <t>17/27</t>
    <phoneticPr fontId="2" type="noConversion"/>
  </si>
  <si>
    <t>17/28</t>
    <phoneticPr fontId="2" type="noConversion"/>
  </si>
  <si>
    <t>15/23</t>
    <phoneticPr fontId="2" type="noConversion"/>
  </si>
  <si>
    <r>
      <t xml:space="preserve">UTILITIES CONSUMPTION REPORT(2021-03)  </t>
    </r>
    <r>
      <rPr>
        <b/>
        <sz val="10"/>
        <rFont val="仿宋"/>
        <family val="3"/>
        <charset val="134"/>
      </rPr>
      <t>电费从2019年8月1号开始下降改为0.675169/Kwh，天然气从2018年6月1号开始下降改为4.17/m³</t>
    </r>
  </si>
  <si>
    <t>16/23</t>
    <phoneticPr fontId="2" type="noConversion"/>
  </si>
  <si>
    <t>17/23</t>
    <phoneticPr fontId="2" type="noConversion"/>
  </si>
  <si>
    <t>19/21</t>
    <phoneticPr fontId="2" type="noConversion"/>
  </si>
  <si>
    <t>17/19</t>
    <phoneticPr fontId="2" type="noConversion"/>
  </si>
  <si>
    <t>15/21</t>
    <phoneticPr fontId="2" type="noConversion"/>
  </si>
  <si>
    <t>16/24</t>
    <phoneticPr fontId="2" type="noConversion"/>
  </si>
  <si>
    <t>18/24</t>
    <phoneticPr fontId="2" type="noConversion"/>
  </si>
  <si>
    <t>18/26</t>
    <phoneticPr fontId="2" type="noConversion"/>
  </si>
  <si>
    <t>19/27</t>
    <phoneticPr fontId="2" type="noConversion"/>
  </si>
  <si>
    <t>19/28</t>
    <phoneticPr fontId="2" type="noConversion"/>
  </si>
  <si>
    <t>21/29</t>
    <phoneticPr fontId="2" type="noConversion"/>
  </si>
  <si>
    <t>22/30</t>
    <phoneticPr fontId="2" type="noConversion"/>
  </si>
  <si>
    <t>22/29</t>
    <phoneticPr fontId="2" type="noConversion"/>
  </si>
  <si>
    <t>19/30</t>
    <phoneticPr fontId="2" type="noConversion"/>
  </si>
  <si>
    <t>14/19</t>
    <phoneticPr fontId="2" type="noConversion"/>
  </si>
  <si>
    <t>23/31</t>
    <phoneticPr fontId="2" type="noConversion"/>
  </si>
  <si>
    <t>23/33</t>
    <phoneticPr fontId="2" type="noConversion"/>
  </si>
  <si>
    <t>24/31</t>
    <phoneticPr fontId="2" type="noConversion"/>
  </si>
  <si>
    <t>Kitchen Gas               厨房天然气                (RMB3.95/m³)</t>
    <phoneticPr fontId="2" type="noConversion"/>
  </si>
  <si>
    <t>Boiler Gas           锅炉天然气(蒸汽)
(RMB3.95/m³)</t>
    <phoneticPr fontId="2" type="noConversion"/>
  </si>
  <si>
    <t>Boiler Gas                锅炉天然气(热水)
(RMB3.95/m³)</t>
    <phoneticPr fontId="2" type="noConversion"/>
  </si>
  <si>
    <t>General Gas               总天然气               (RMB3.95/m³)</t>
    <phoneticPr fontId="2" type="noConversion"/>
  </si>
  <si>
    <r>
      <t>domestic Water 生活水RMB4.86/m</t>
    </r>
    <r>
      <rPr>
        <b/>
        <vertAlign val="superscript"/>
        <sz val="10"/>
        <rFont val="仿宋"/>
        <family val="3"/>
        <charset val="134"/>
      </rPr>
      <t xml:space="preserve">3 </t>
    </r>
    <phoneticPr fontId="2" type="noConversion"/>
  </si>
  <si>
    <t xml:space="preserve">Chiller Electricity                    制冷主机用电                       </t>
  </si>
  <si>
    <t xml:space="preserve">Main Tower electricity     
 主塔用电 </t>
  </si>
  <si>
    <t xml:space="preserve"> 主塔用水</t>
  </si>
  <si>
    <t>裙楼用水     每月10.20.30日抄表</t>
    <phoneticPr fontId="2" type="noConversion"/>
  </si>
  <si>
    <t>Podium Electricity  裙楼用电      每月10.20.月末日抄表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</si>
</sst>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1" formatCode="_(* #,##0_);_(* \(#,##0\);_(* &quot;-&quot;_);_(@_)"/>
    <numFmt numFmtId="43" formatCode="_(* #,##0.00_);_(* \(#,##0.00\);_(* &quot;-&quot;??_);_(@_)"/>
    <numFmt numFmtId="176" formatCode="0_ "/>
    <numFmt numFmtId="177" formatCode="[$￥-804]#,##0.00"/>
    <numFmt numFmtId="178" formatCode="[$￥-804]#,##0.00_);[Red]\([$￥-804]#,##0.00\)"/>
  </numFmts>
  <fonts count="22">
    <font>
      <sz val="12"/>
      <name val="宋体"/>
      <charset val="134"/>
    </font>
    <font>
      <sz val="11"/>
      <color theme="1"/>
      <name val="宋体"/>
      <family val="2"/>
      <scheme val="minor"/>
    </font>
    <font>
      <sz val="9"/>
      <name val="宋体"/>
    </font>
    <font>
      <b/>
      <sz val="16"/>
      <name val="仿宋"/>
      <family val="3"/>
      <charset val="134"/>
    </font>
    <font>
      <sz val="12"/>
      <name val="仿宋"/>
      <family val="3"/>
      <charset val="134"/>
    </font>
    <font>
      <sz val="9"/>
      <name val="仿宋"/>
      <family val="3"/>
      <charset val="134"/>
    </font>
    <font>
      <b/>
      <sz val="9"/>
      <name val="仿宋"/>
      <family val="3"/>
      <charset val="134"/>
    </font>
    <font>
      <sz val="10"/>
      <name val="仿宋"/>
      <family val="3"/>
      <charset val="134"/>
    </font>
    <font>
      <sz val="11"/>
      <name val="仿宋"/>
      <family val="3"/>
      <charset val="134"/>
    </font>
    <font>
      <b/>
      <sz val="10"/>
      <name val="仿宋"/>
      <family val="3"/>
      <charset val="134"/>
    </font>
    <font>
      <sz val="8"/>
      <name val="仿宋"/>
      <family val="3"/>
      <charset val="134"/>
    </font>
    <font>
      <b/>
      <vertAlign val="superscript"/>
      <sz val="10"/>
      <name val="仿宋"/>
      <family val="3"/>
      <charset val="134"/>
    </font>
    <font>
      <b/>
      <sz val="7"/>
      <name val="仿宋"/>
      <family val="3"/>
      <charset val="134"/>
    </font>
    <font>
      <b/>
      <vertAlign val="superscript"/>
      <sz val="7"/>
      <name val="仿宋"/>
      <family val="3"/>
      <charset val="134"/>
    </font>
    <font>
      <i/>
      <sz val="9"/>
      <name val="仿宋"/>
      <family val="3"/>
      <charset val="134"/>
    </font>
    <font>
      <b/>
      <i/>
      <sz val="10"/>
      <name val="仿宋"/>
      <family val="3"/>
      <charset val="134"/>
    </font>
    <font>
      <b/>
      <sz val="11"/>
      <color theme="1"/>
      <name val="宋体"/>
      <family val="2"/>
      <scheme val="minor"/>
    </font>
    <font>
      <b/>
      <sz val="11"/>
      <color rgb="FFFF0000"/>
      <name val="宋体"/>
      <family val="2"/>
      <scheme val="minor"/>
    </font>
    <font>
      <sz val="10"/>
      <name val="Arial"/>
      <family val="2"/>
    </font>
    <font>
      <sz val="10"/>
      <color rgb="FFFF0000"/>
      <name val="Arial"/>
      <family val="2"/>
    </font>
    <font>
      <sz val="11"/>
      <color rgb="FFFF0000"/>
      <name val="宋体"/>
      <family val="2"/>
      <scheme val="minor"/>
    </font>
    <font>
      <sz val="12"/>
      <name val="宋体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</fills>
  <borders count="36">
    <border>
      <left/>
      <right/>
      <top/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/>
      <right/>
      <top/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hair">
        <color indexed="64"/>
      </bottom>
      <diagonal/>
    </border>
  </borders>
  <cellStyleXfs count="3">
    <xf numFmtId="0" fontId="0" fillId="0" borderId="0"/>
    <xf numFmtId="0" fontId="1" fillId="0" borderId="0"/>
    <xf numFmtId="0" fontId="21" fillId="0" borderId="0"/>
  </cellStyleXfs>
  <cellXfs count="109">
    <xf numFmtId="0" fontId="0" fillId="0" borderId="0" xfId="0"/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4" fillId="0" borderId="0" xfId="0" applyFont="1" applyAlignment="1"/>
    <xf numFmtId="0" fontId="5" fillId="0" borderId="0" xfId="0" applyFont="1" applyAlignment="1">
      <alignment horizontal="center"/>
    </xf>
    <xf numFmtId="0" fontId="4" fillId="0" borderId="0" xfId="0" applyFont="1" applyBorder="1" applyAlignment="1">
      <alignment horizontal="center"/>
    </xf>
    <xf numFmtId="0" fontId="4" fillId="0" borderId="0" xfId="0" applyFont="1" applyBorder="1" applyAlignment="1"/>
    <xf numFmtId="0" fontId="4" fillId="0" borderId="0" xfId="0" applyFont="1" applyBorder="1" applyAlignment="1">
      <alignment horizontal="center" vertical="center"/>
    </xf>
    <xf numFmtId="0" fontId="10" fillId="0" borderId="0" xfId="0" applyFont="1" applyBorder="1" applyAlignment="1">
      <alignment horizontal="center"/>
    </xf>
    <xf numFmtId="0" fontId="10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7" fillId="2" borderId="0" xfId="0" applyFont="1" applyFill="1" applyAlignment="1">
      <alignment horizontal="center"/>
    </xf>
    <xf numFmtId="0" fontId="7" fillId="0" borderId="3" xfId="0" applyFont="1" applyBorder="1" applyAlignment="1" applyProtection="1">
      <alignment horizontal="center" vertical="center"/>
      <protection locked="0"/>
    </xf>
    <xf numFmtId="41" fontId="7" fillId="0" borderId="4" xfId="0" applyNumberFormat="1" applyFont="1" applyBorder="1" applyAlignment="1" applyProtection="1">
      <alignment horizontal="center" vertical="center"/>
      <protection locked="0"/>
    </xf>
    <xf numFmtId="41" fontId="7" fillId="3" borderId="5" xfId="0" applyNumberFormat="1" applyFont="1" applyFill="1" applyBorder="1" applyAlignment="1" applyProtection="1">
      <alignment horizontal="center" vertical="center"/>
      <protection locked="0"/>
    </xf>
    <xf numFmtId="177" fontId="7" fillId="0" borderId="6" xfId="0" applyNumberFormat="1" applyFont="1" applyBorder="1" applyAlignment="1" applyProtection="1">
      <alignment horizontal="center" vertical="center"/>
      <protection locked="0"/>
    </xf>
    <xf numFmtId="178" fontId="7" fillId="0" borderId="6" xfId="0" applyNumberFormat="1" applyFont="1" applyBorder="1" applyAlignment="1" applyProtection="1">
      <alignment horizontal="center" vertical="center"/>
      <protection locked="0"/>
    </xf>
    <xf numFmtId="177" fontId="7" fillId="3" borderId="5" xfId="0" applyNumberFormat="1" applyFont="1" applyFill="1" applyBorder="1" applyAlignment="1" applyProtection="1">
      <alignment horizontal="center" vertical="center"/>
      <protection locked="0"/>
    </xf>
    <xf numFmtId="178" fontId="7" fillId="3" borderId="5" xfId="0" applyNumberFormat="1" applyFont="1" applyFill="1" applyBorder="1" applyAlignment="1" applyProtection="1">
      <alignment horizontal="center" vertical="center"/>
      <protection locked="0"/>
    </xf>
    <xf numFmtId="0" fontId="12" fillId="0" borderId="8" xfId="0" applyFont="1" applyBorder="1" applyAlignment="1" applyProtection="1">
      <alignment horizontal="center" vertical="center" wrapText="1"/>
      <protection locked="0"/>
    </xf>
    <xf numFmtId="0" fontId="12" fillId="0" borderId="9" xfId="0" applyFont="1" applyBorder="1" applyAlignment="1" applyProtection="1">
      <alignment horizontal="center" vertical="center" wrapText="1"/>
      <protection locked="0"/>
    </xf>
    <xf numFmtId="0" fontId="12" fillId="0" borderId="10" xfId="0" applyFont="1" applyBorder="1" applyAlignment="1" applyProtection="1">
      <alignment horizontal="center" vertical="center" wrapText="1"/>
      <protection locked="0"/>
    </xf>
    <xf numFmtId="0" fontId="12" fillId="0" borderId="11" xfId="0" applyFont="1" applyBorder="1" applyAlignment="1" applyProtection="1">
      <alignment horizontal="center" vertical="center" wrapText="1"/>
      <protection locked="0"/>
    </xf>
    <xf numFmtId="0" fontId="12" fillId="0" borderId="12" xfId="0" applyFont="1" applyBorder="1" applyAlignment="1" applyProtection="1">
      <alignment horizontal="center" vertical="center" wrapText="1"/>
      <protection locked="0"/>
    </xf>
    <xf numFmtId="0" fontId="12" fillId="0" borderId="13" xfId="0" applyFont="1" applyBorder="1" applyAlignment="1" applyProtection="1">
      <alignment horizontal="center" vertical="center" wrapText="1"/>
      <protection locked="0"/>
    </xf>
    <xf numFmtId="0" fontId="12" fillId="0" borderId="14" xfId="0" applyFont="1" applyBorder="1" applyAlignment="1" applyProtection="1">
      <alignment horizontal="center" vertical="center" wrapText="1"/>
      <protection locked="0"/>
    </xf>
    <xf numFmtId="14" fontId="7" fillId="0" borderId="3" xfId="0" applyNumberFormat="1" applyFont="1" applyBorder="1" applyAlignment="1" applyProtection="1">
      <alignment horizontal="center" vertical="center"/>
      <protection locked="0"/>
    </xf>
    <xf numFmtId="41" fontId="7" fillId="3" borderId="15" xfId="0" applyNumberFormat="1" applyFont="1" applyFill="1" applyBorder="1" applyAlignment="1" applyProtection="1">
      <alignment horizontal="center" vertical="center"/>
      <protection locked="0"/>
    </xf>
    <xf numFmtId="0" fontId="7" fillId="0" borderId="16" xfId="0" applyFont="1" applyBorder="1" applyAlignment="1" applyProtection="1">
      <alignment horizontal="center" vertical="center"/>
      <protection locked="0"/>
    </xf>
    <xf numFmtId="41" fontId="7" fillId="0" borderId="17" xfId="0" applyNumberFormat="1" applyFont="1" applyBorder="1" applyAlignment="1" applyProtection="1">
      <alignment horizontal="center" vertical="center"/>
      <protection locked="0"/>
    </xf>
    <xf numFmtId="41" fontId="7" fillId="0" borderId="2" xfId="0" applyNumberFormat="1" applyFont="1" applyBorder="1" applyAlignment="1" applyProtection="1">
      <alignment horizontal="center" vertical="center"/>
      <protection locked="0"/>
    </xf>
    <xf numFmtId="178" fontId="7" fillId="0" borderId="18" xfId="0" applyNumberFormat="1" applyFont="1" applyBorder="1" applyAlignment="1" applyProtection="1">
      <alignment horizontal="center" vertical="center"/>
      <protection locked="0"/>
    </xf>
    <xf numFmtId="178" fontId="7" fillId="0" borderId="1" xfId="0" applyNumberFormat="1" applyFont="1" applyBorder="1" applyAlignment="1" applyProtection="1">
      <alignment horizontal="center" vertical="center"/>
      <protection locked="0"/>
    </xf>
    <xf numFmtId="177" fontId="7" fillId="0" borderId="7" xfId="0" applyNumberFormat="1" applyFont="1" applyBorder="1" applyAlignment="1" applyProtection="1">
      <alignment horizontal="center" vertical="center"/>
      <protection locked="0"/>
    </xf>
    <xf numFmtId="177" fontId="7" fillId="3" borderId="19" xfId="0" applyNumberFormat="1" applyFont="1" applyFill="1" applyBorder="1" applyAlignment="1" applyProtection="1">
      <alignment horizontal="center" vertical="center"/>
      <protection locked="0"/>
    </xf>
    <xf numFmtId="177" fontId="7" fillId="0" borderId="18" xfId="0" applyNumberFormat="1" applyFont="1" applyBorder="1" applyAlignment="1" applyProtection="1">
      <alignment horizontal="center" vertical="center"/>
      <protection locked="0"/>
    </xf>
    <xf numFmtId="177" fontId="7" fillId="3" borderId="15" xfId="0" applyNumberFormat="1" applyFont="1" applyFill="1" applyBorder="1" applyAlignment="1" applyProtection="1">
      <alignment horizontal="center" vertical="center"/>
      <protection locked="0"/>
    </xf>
    <xf numFmtId="178" fontId="7" fillId="3" borderId="19" xfId="0" applyNumberFormat="1" applyFont="1" applyFill="1" applyBorder="1" applyAlignment="1" applyProtection="1">
      <alignment horizontal="center" vertical="center"/>
      <protection locked="0"/>
    </xf>
    <xf numFmtId="178" fontId="9" fillId="0" borderId="20" xfId="0" applyNumberFormat="1" applyFont="1" applyBorder="1" applyAlignment="1" applyProtection="1">
      <alignment horizontal="center" vertical="center" wrapText="1"/>
      <protection locked="0"/>
    </xf>
    <xf numFmtId="178" fontId="9" fillId="0" borderId="21" xfId="0" applyNumberFormat="1" applyFont="1" applyBorder="1" applyAlignment="1" applyProtection="1">
      <alignment horizontal="center" vertical="center" wrapText="1"/>
      <protection locked="0"/>
    </xf>
    <xf numFmtId="41" fontId="14" fillId="0" borderId="22" xfId="0" applyNumberFormat="1" applyFont="1" applyBorder="1" applyAlignment="1" applyProtection="1">
      <alignment horizontal="center" vertical="center" wrapText="1"/>
      <protection locked="0"/>
    </xf>
    <xf numFmtId="0" fontId="8" fillId="0" borderId="23" xfId="0" applyFont="1" applyBorder="1" applyAlignment="1" applyProtection="1">
      <alignment horizontal="center" vertical="center"/>
      <protection locked="0"/>
    </xf>
    <xf numFmtId="0" fontId="8" fillId="0" borderId="24" xfId="0" applyFont="1" applyBorder="1" applyAlignment="1" applyProtection="1">
      <alignment horizontal="center" vertical="center"/>
      <protection locked="0"/>
    </xf>
    <xf numFmtId="0" fontId="5" fillId="0" borderId="25" xfId="0" applyFont="1" applyBorder="1" applyAlignment="1" applyProtection="1">
      <alignment horizontal="center" vertical="center"/>
      <protection locked="0"/>
    </xf>
    <xf numFmtId="0" fontId="16" fillId="0" borderId="5" xfId="1" applyFont="1" applyBorder="1" applyAlignment="1">
      <alignment horizontal="center"/>
    </xf>
    <xf numFmtId="0" fontId="17" fillId="0" borderId="5" xfId="1" applyFont="1" applyBorder="1" applyAlignment="1">
      <alignment horizontal="center"/>
    </xf>
    <xf numFmtId="1" fontId="17" fillId="0" borderId="5" xfId="1" applyNumberFormat="1" applyFont="1" applyBorder="1" applyAlignment="1">
      <alignment horizontal="center"/>
    </xf>
    <xf numFmtId="1" fontId="16" fillId="0" borderId="5" xfId="1" applyNumberFormat="1" applyFont="1" applyBorder="1" applyAlignment="1">
      <alignment horizontal="center" wrapText="1"/>
    </xf>
    <xf numFmtId="0" fontId="16" fillId="0" borderId="5" xfId="1" applyFont="1" applyBorder="1" applyAlignment="1">
      <alignment horizontal="center" wrapText="1"/>
    </xf>
    <xf numFmtId="0" fontId="16" fillId="0" borderId="0" xfId="1" applyFont="1" applyAlignment="1">
      <alignment wrapText="1"/>
    </xf>
    <xf numFmtId="0" fontId="16" fillId="0" borderId="0" xfId="1" applyFont="1"/>
    <xf numFmtId="0" fontId="18" fillId="0" borderId="0" xfId="1" applyFont="1" applyAlignment="1">
      <alignment horizontal="center"/>
    </xf>
    <xf numFmtId="0" fontId="19" fillId="0" borderId="0" xfId="1" applyFont="1" applyAlignment="1">
      <alignment horizontal="center"/>
    </xf>
    <xf numFmtId="1" fontId="19" fillId="0" borderId="0" xfId="1" applyNumberFormat="1" applyFont="1" applyAlignment="1">
      <alignment horizontal="center"/>
    </xf>
    <xf numFmtId="1" fontId="1" fillId="0" borderId="0" xfId="1" applyNumberFormat="1" applyAlignment="1">
      <alignment horizontal="center"/>
    </xf>
    <xf numFmtId="2" fontId="1" fillId="0" borderId="0" xfId="1" applyNumberFormat="1" applyAlignment="1">
      <alignment horizontal="center"/>
    </xf>
    <xf numFmtId="2" fontId="1" fillId="0" borderId="0" xfId="1" applyNumberFormat="1"/>
    <xf numFmtId="0" fontId="1" fillId="0" borderId="0" xfId="1"/>
    <xf numFmtId="0" fontId="1" fillId="0" borderId="0" xfId="1" applyAlignment="1">
      <alignment horizontal="center"/>
    </xf>
    <xf numFmtId="0" fontId="17" fillId="0" borderId="5" xfId="1" applyFont="1" applyBorder="1" applyAlignment="1">
      <alignment horizontal="center" wrapText="1"/>
    </xf>
    <xf numFmtId="2" fontId="20" fillId="0" borderId="0" xfId="1" applyNumberFormat="1" applyFont="1" applyAlignment="1">
      <alignment horizontal="center"/>
    </xf>
    <xf numFmtId="0" fontId="20" fillId="0" borderId="0" xfId="1" applyFont="1" applyAlignment="1">
      <alignment horizontal="center"/>
    </xf>
    <xf numFmtId="1" fontId="20" fillId="0" borderId="0" xfId="1" applyNumberFormat="1" applyFont="1" applyAlignment="1">
      <alignment horizontal="center"/>
    </xf>
    <xf numFmtId="41" fontId="15" fillId="0" borderId="11" xfId="0" applyNumberFormat="1" applyFont="1" applyBorder="1" applyAlignment="1" applyProtection="1">
      <alignment horizontal="center" vertical="center" wrapText="1"/>
      <protection locked="0"/>
    </xf>
    <xf numFmtId="0" fontId="9" fillId="2" borderId="29" xfId="0" applyFont="1" applyFill="1" applyBorder="1" applyAlignment="1" applyProtection="1">
      <alignment horizontal="center" vertical="center" wrapText="1"/>
      <protection locked="0"/>
    </xf>
    <xf numFmtId="0" fontId="9" fillId="2" borderId="30" xfId="0" applyFont="1" applyFill="1" applyBorder="1" applyAlignment="1" applyProtection="1">
      <alignment horizontal="center" vertical="center" wrapText="1"/>
      <protection locked="0"/>
    </xf>
    <xf numFmtId="0" fontId="9" fillId="2" borderId="15" xfId="0" applyFont="1" applyFill="1" applyBorder="1" applyAlignment="1" applyProtection="1">
      <alignment horizontal="center" vertical="center" wrapText="1"/>
      <protection locked="0"/>
    </xf>
    <xf numFmtId="0" fontId="9" fillId="2" borderId="19" xfId="0" applyFont="1" applyFill="1" applyBorder="1" applyAlignment="1" applyProtection="1">
      <alignment horizontal="center" vertical="center" wrapText="1"/>
      <protection locked="0"/>
    </xf>
    <xf numFmtId="0" fontId="6" fillId="0" borderId="29" xfId="0" applyFont="1" applyBorder="1" applyAlignment="1">
      <alignment horizontal="center" vertical="center" wrapText="1"/>
    </xf>
    <xf numFmtId="0" fontId="6" fillId="0" borderId="30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19" xfId="0" applyFont="1" applyBorder="1" applyAlignment="1">
      <alignment horizontal="center" vertical="center"/>
    </xf>
    <xf numFmtId="0" fontId="6" fillId="2" borderId="31" xfId="0" applyFont="1" applyFill="1" applyBorder="1" applyAlignment="1" applyProtection="1">
      <alignment horizontal="center" vertical="center" wrapText="1"/>
      <protection locked="0"/>
    </xf>
    <xf numFmtId="0" fontId="6" fillId="2" borderId="33" xfId="0" applyFont="1" applyFill="1" applyBorder="1" applyAlignment="1" applyProtection="1">
      <alignment horizontal="center" vertical="center" wrapText="1"/>
      <protection locked="0"/>
    </xf>
    <xf numFmtId="0" fontId="9" fillId="0" borderId="30" xfId="0" applyFont="1" applyBorder="1" applyAlignment="1" applyProtection="1">
      <alignment horizontal="center" vertical="center" wrapText="1"/>
      <protection locked="0"/>
    </xf>
    <xf numFmtId="0" fontId="9" fillId="0" borderId="27" xfId="0" applyFont="1" applyBorder="1" applyAlignment="1" applyProtection="1">
      <alignment horizontal="center" vertical="center" wrapText="1"/>
      <protection locked="0"/>
    </xf>
    <xf numFmtId="0" fontId="9" fillId="0" borderId="28" xfId="0" applyFont="1" applyBorder="1" applyAlignment="1" applyProtection="1">
      <alignment horizontal="center" vertical="center" wrapText="1"/>
      <protection locked="0"/>
    </xf>
    <xf numFmtId="0" fontId="9" fillId="2" borderId="31" xfId="0" applyFont="1" applyFill="1" applyBorder="1" applyAlignment="1" applyProtection="1">
      <alignment horizontal="center" vertical="center" wrapText="1"/>
      <protection locked="0"/>
    </xf>
    <xf numFmtId="0" fontId="9" fillId="2" borderId="33" xfId="0" applyFont="1" applyFill="1" applyBorder="1" applyAlignment="1" applyProtection="1">
      <alignment horizontal="center" vertical="center" wrapText="1"/>
      <protection locked="0"/>
    </xf>
    <xf numFmtId="43" fontId="6" fillId="0" borderId="31" xfId="0" applyNumberFormat="1" applyFont="1" applyBorder="1" applyAlignment="1" applyProtection="1">
      <alignment horizontal="center" vertical="center"/>
      <protection locked="0"/>
    </xf>
    <xf numFmtId="43" fontId="6" fillId="0" borderId="32" xfId="0" applyNumberFormat="1" applyFont="1" applyBorder="1" applyAlignment="1" applyProtection="1">
      <alignment horizontal="center" vertical="center"/>
      <protection locked="0"/>
    </xf>
    <xf numFmtId="0" fontId="3" fillId="0" borderId="0" xfId="0" applyFont="1" applyBorder="1" applyAlignment="1" applyProtection="1">
      <alignment horizontal="center" vertical="center"/>
      <protection locked="0"/>
    </xf>
    <xf numFmtId="0" fontId="3" fillId="0" borderId="0" xfId="0" applyFont="1" applyBorder="1" applyAlignment="1" applyProtection="1">
      <alignment vertical="center"/>
      <protection locked="0"/>
    </xf>
    <xf numFmtId="0" fontId="3" fillId="0" borderId="0" xfId="0" applyFont="1" applyAlignment="1" applyProtection="1">
      <alignment horizontal="center" vertical="center"/>
      <protection locked="0"/>
    </xf>
    <xf numFmtId="0" fontId="9" fillId="0" borderId="26" xfId="0" applyFont="1" applyBorder="1" applyAlignment="1" applyProtection="1">
      <alignment horizontal="center" vertical="center" wrapText="1"/>
      <protection locked="0"/>
    </xf>
    <xf numFmtId="0" fontId="9" fillId="2" borderId="26" xfId="0" applyFont="1" applyFill="1" applyBorder="1" applyAlignment="1" applyProtection="1">
      <alignment horizontal="center" vertical="center" wrapText="1"/>
      <protection locked="0"/>
    </xf>
    <xf numFmtId="0" fontId="9" fillId="2" borderId="27" xfId="0" applyFont="1" applyFill="1" applyBorder="1" applyAlignment="1" applyProtection="1">
      <alignment horizontal="center" vertical="center" wrapText="1"/>
      <protection locked="0"/>
    </xf>
    <xf numFmtId="0" fontId="9" fillId="2" borderId="28" xfId="0" applyFont="1" applyFill="1" applyBorder="1" applyAlignment="1" applyProtection="1">
      <alignment horizontal="center" vertical="center" wrapText="1"/>
      <protection locked="0"/>
    </xf>
    <xf numFmtId="176" fontId="9" fillId="2" borderId="29" xfId="0" applyNumberFormat="1" applyFont="1" applyFill="1" applyBorder="1" applyAlignment="1" applyProtection="1">
      <alignment horizontal="center" vertical="center" wrapText="1"/>
      <protection locked="0"/>
    </xf>
    <xf numFmtId="176" fontId="9" fillId="2" borderId="30" xfId="0" applyNumberFormat="1" applyFont="1" applyFill="1" applyBorder="1" applyAlignment="1" applyProtection="1">
      <alignment horizontal="center" vertical="center" wrapText="1"/>
      <protection locked="0"/>
    </xf>
    <xf numFmtId="176" fontId="9" fillId="2" borderId="15" xfId="0" applyNumberFormat="1" applyFont="1" applyFill="1" applyBorder="1" applyAlignment="1" applyProtection="1">
      <alignment horizontal="center" vertical="center" wrapText="1"/>
      <protection locked="0"/>
    </xf>
    <xf numFmtId="176" fontId="9" fillId="2" borderId="19" xfId="0" applyNumberFormat="1" applyFont="1" applyFill="1" applyBorder="1" applyAlignment="1" applyProtection="1">
      <alignment horizontal="center" vertical="center" wrapText="1"/>
      <protection locked="0"/>
    </xf>
    <xf numFmtId="0" fontId="9" fillId="0" borderId="29" xfId="0" applyFont="1" applyBorder="1" applyAlignment="1" applyProtection="1">
      <alignment horizontal="center" vertical="center" wrapText="1"/>
      <protection locked="0"/>
    </xf>
    <xf numFmtId="0" fontId="9" fillId="0" borderId="30" xfId="0" applyFont="1" applyBorder="1" applyAlignment="1" applyProtection="1">
      <alignment horizontal="center" vertical="center"/>
      <protection locked="0"/>
    </xf>
    <xf numFmtId="0" fontId="9" fillId="0" borderId="15" xfId="0" applyFont="1" applyBorder="1" applyAlignment="1" applyProtection="1">
      <alignment horizontal="center" vertical="center"/>
      <protection locked="0"/>
    </xf>
    <xf numFmtId="0" fontId="9" fillId="0" borderId="19" xfId="0" applyFont="1" applyBorder="1" applyAlignment="1" applyProtection="1">
      <alignment horizontal="center" vertical="center"/>
      <protection locked="0"/>
    </xf>
    <xf numFmtId="0" fontId="9" fillId="0" borderId="34" xfId="0" applyFont="1" applyBorder="1" applyAlignment="1" applyProtection="1">
      <alignment horizontal="center" vertical="center" wrapText="1"/>
      <protection locked="0"/>
    </xf>
    <xf numFmtId="0" fontId="9" fillId="0" borderId="5" xfId="0" applyFont="1" applyBorder="1" applyAlignment="1" applyProtection="1">
      <alignment horizontal="center" vertical="center"/>
      <protection locked="0"/>
    </xf>
    <xf numFmtId="0" fontId="9" fillId="0" borderId="15" xfId="0" applyFont="1" applyBorder="1" applyAlignment="1" applyProtection="1">
      <alignment horizontal="center" vertical="center" wrapText="1"/>
      <protection locked="0"/>
    </xf>
    <xf numFmtId="0" fontId="9" fillId="0" borderId="19" xfId="0" applyFont="1" applyBorder="1" applyAlignment="1" applyProtection="1">
      <alignment horizontal="center" vertical="center" wrapText="1"/>
      <protection locked="0"/>
    </xf>
    <xf numFmtId="0" fontId="9" fillId="0" borderId="29" xfId="2" applyFont="1" applyBorder="1" applyAlignment="1" applyProtection="1">
      <alignment horizontal="center" vertical="center" wrapText="1"/>
      <protection locked="0"/>
    </xf>
    <xf numFmtId="0" fontId="6" fillId="0" borderId="29" xfId="2" applyFont="1" applyBorder="1" applyAlignment="1" applyProtection="1">
      <alignment horizontal="center" vertical="center" wrapText="1"/>
      <protection locked="0"/>
    </xf>
    <xf numFmtId="0" fontId="9" fillId="0" borderId="26" xfId="2" applyFont="1" applyBorder="1" applyAlignment="1" applyProtection="1">
      <alignment horizontal="center" vertical="center" wrapText="1"/>
      <protection locked="0"/>
    </xf>
    <xf numFmtId="0" fontId="9" fillId="0" borderId="15" xfId="2" applyFont="1" applyBorder="1" applyAlignment="1" applyProtection="1">
      <alignment horizontal="center" vertical="center" wrapText="1"/>
      <protection locked="0"/>
    </xf>
    <xf numFmtId="0" fontId="6" fillId="0" borderId="15" xfId="2" applyFont="1" applyBorder="1" applyAlignment="1" applyProtection="1">
      <alignment horizontal="center" vertical="center" wrapText="1"/>
      <protection locked="0"/>
    </xf>
    <xf numFmtId="0" fontId="9" fillId="0" borderId="28" xfId="2" applyFont="1" applyBorder="1" applyAlignment="1" applyProtection="1">
      <alignment horizontal="center" vertical="center" wrapText="1"/>
      <protection locked="0"/>
    </xf>
    <xf numFmtId="0" fontId="9" fillId="2" borderId="29" xfId="2" applyFont="1" applyFill="1" applyBorder="1" applyAlignment="1" applyProtection="1">
      <alignment horizontal="center" vertical="center" wrapText="1"/>
      <protection locked="0"/>
    </xf>
    <xf numFmtId="0" fontId="9" fillId="2" borderId="15" xfId="2" applyFont="1" applyFill="1" applyBorder="1" applyAlignment="1" applyProtection="1">
      <alignment horizontal="center" vertical="center" wrapText="1"/>
      <protection locked="0"/>
    </xf>
    <xf numFmtId="0" fontId="7" fillId="0" borderId="35" xfId="0" applyNumberFormat="1" applyFont="1" applyBorder="1" applyAlignment="1" applyProtection="1">
      <alignment horizontal="center" vertical="center"/>
      <protection locked="0"/>
    </xf>
  </cellXfs>
  <cellStyles count="3">
    <cellStyle name="Normal" xfId="0" builtinId="0"/>
    <cellStyle name="Normal 2" xfId="1"/>
    <cellStyle name="Normal 3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a9752443a9c9f39d/EEG%20Docs/HEP/Four%20Seasons%20Files/New%20Files/Four%20Seasons/Asia%20Pacific/Guangzhou/FS%20Casablanca%20-%20HEP%20-%20Daily%20-%20April%202019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Q:\All\Engineering%20Share\&#33021;&#28304;&#32479;&#35745;&#34920;Energy%20Consumption\2021&#33021;&#32791;&#25253;&#34920;\20210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Consommation mensuel énergie"/>
      <sheetName val="Suivi EAU-ELEC"/>
      <sheetName val="Suvi Gaz"/>
      <sheetName val="facture électricité"/>
      <sheetName val="Facture journalier D'élect"/>
      <sheetName val="facture d'eau"/>
      <sheetName val="Facture journalier d'eau"/>
      <sheetName val="facture incendie"/>
      <sheetName val="cons annuel électr"/>
      <sheetName val="cons annuel EAU  "/>
      <sheetName val="livraison annuel GAZ"/>
      <sheetName val="Feuil1"/>
    </sheetNames>
    <sheetDataSet>
      <sheetData sheetId="0"/>
      <sheetData sheetId="1"/>
      <sheetData sheetId="2">
        <row r="10">
          <cell r="E10">
            <v>0</v>
          </cell>
        </row>
        <row r="11">
          <cell r="E11">
            <v>0</v>
          </cell>
        </row>
        <row r="12">
          <cell r="E12">
            <v>0</v>
          </cell>
        </row>
        <row r="13">
          <cell r="E13">
            <v>0</v>
          </cell>
        </row>
        <row r="14">
          <cell r="E14">
            <v>0</v>
          </cell>
        </row>
        <row r="15">
          <cell r="E15">
            <v>0</v>
          </cell>
        </row>
        <row r="16">
          <cell r="E16">
            <v>0</v>
          </cell>
        </row>
        <row r="17">
          <cell r="E17">
            <v>0</v>
          </cell>
        </row>
        <row r="18">
          <cell r="E18">
            <v>0</v>
          </cell>
        </row>
        <row r="19">
          <cell r="E19">
            <v>0</v>
          </cell>
        </row>
        <row r="20">
          <cell r="E20">
            <v>0</v>
          </cell>
        </row>
        <row r="21">
          <cell r="E21">
            <v>0</v>
          </cell>
        </row>
        <row r="22">
          <cell r="E22">
            <v>0</v>
          </cell>
        </row>
        <row r="23">
          <cell r="E23">
            <v>0</v>
          </cell>
        </row>
        <row r="24">
          <cell r="E24">
            <v>0</v>
          </cell>
        </row>
        <row r="25">
          <cell r="E25">
            <v>0</v>
          </cell>
        </row>
        <row r="26">
          <cell r="E26">
            <v>0</v>
          </cell>
        </row>
        <row r="27">
          <cell r="E27">
            <v>0</v>
          </cell>
        </row>
        <row r="28">
          <cell r="E28">
            <v>0</v>
          </cell>
        </row>
        <row r="29">
          <cell r="E29">
            <v>0</v>
          </cell>
        </row>
        <row r="30">
          <cell r="E30">
            <v>0</v>
          </cell>
        </row>
        <row r="31">
          <cell r="E31">
            <v>0</v>
          </cell>
        </row>
        <row r="32">
          <cell r="E32">
            <v>0</v>
          </cell>
        </row>
        <row r="33">
          <cell r="E33">
            <v>0</v>
          </cell>
        </row>
        <row r="34">
          <cell r="E34">
            <v>0</v>
          </cell>
        </row>
        <row r="35">
          <cell r="E35">
            <v>0</v>
          </cell>
        </row>
        <row r="36">
          <cell r="E36">
            <v>0</v>
          </cell>
        </row>
        <row r="37">
          <cell r="E37">
            <v>0</v>
          </cell>
        </row>
        <row r="38">
          <cell r="E38">
            <v>0</v>
          </cell>
        </row>
        <row r="39">
          <cell r="E39">
            <v>0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总计"/>
      <sheetName val="68F 高压F13&amp;F30"/>
      <sheetName val="B4 水表"/>
      <sheetName val="B1 &amp; 102F 锅炉房"/>
      <sheetName val="68厨房"/>
      <sheetName val="厨房燃气"/>
      <sheetName val="主塔楼空调用电量"/>
      <sheetName val="裙楼空调用量"/>
      <sheetName val="Compatibility Report"/>
      <sheetName val="付款申请书"/>
    </sheetNames>
    <sheetDataSet>
      <sheetData sheetId="0"/>
      <sheetData sheetId="1">
        <row r="7">
          <cell r="E7">
            <v>9399.999999998272</v>
          </cell>
          <cell r="F7">
            <v>28799.999999998818</v>
          </cell>
        </row>
        <row r="8">
          <cell r="F8">
            <v>27899.999999999636</v>
          </cell>
        </row>
        <row r="9">
          <cell r="F9">
            <v>27799.999999999727</v>
          </cell>
        </row>
        <row r="10">
          <cell r="F10">
            <v>26799.999999998363</v>
          </cell>
        </row>
        <row r="11">
          <cell r="F11">
            <v>28700.000000003456</v>
          </cell>
        </row>
        <row r="12">
          <cell r="F12">
            <v>29499.999999998181</v>
          </cell>
        </row>
        <row r="13">
          <cell r="F13">
            <v>27599.999999999909</v>
          </cell>
        </row>
        <row r="14">
          <cell r="F14">
            <v>29100.000000000819</v>
          </cell>
        </row>
        <row r="15">
          <cell r="F15">
            <v>29400.000000000546</v>
          </cell>
        </row>
        <row r="16">
          <cell r="F16">
            <v>28599.999999999</v>
          </cell>
        </row>
        <row r="17">
          <cell r="F17">
            <v>30699.999999999363</v>
          </cell>
        </row>
        <row r="18">
          <cell r="F18">
            <v>31300.000000001091</v>
          </cell>
        </row>
        <row r="19">
          <cell r="F19">
            <v>29900.000000000091</v>
          </cell>
        </row>
        <row r="20">
          <cell r="F20">
            <v>30799.999999999272</v>
          </cell>
        </row>
        <row r="21">
          <cell r="F21">
            <v>30099.999999999909</v>
          </cell>
        </row>
        <row r="22">
          <cell r="F22">
            <v>30599.999999999454</v>
          </cell>
        </row>
        <row r="23">
          <cell r="F23">
            <v>32600.000000002183</v>
          </cell>
        </row>
        <row r="24">
          <cell r="F24">
            <v>31799.999999998363</v>
          </cell>
        </row>
        <row r="25">
          <cell r="F25">
            <v>32200.000000000273</v>
          </cell>
        </row>
        <row r="26">
          <cell r="F26">
            <v>32899.999999999636</v>
          </cell>
        </row>
        <row r="27">
          <cell r="F27">
            <v>27799.999999999727</v>
          </cell>
        </row>
        <row r="28">
          <cell r="F28">
            <v>27000.000000000455</v>
          </cell>
        </row>
        <row r="29">
          <cell r="F29">
            <v>27000.000000000455</v>
          </cell>
        </row>
        <row r="30">
          <cell r="F30">
            <v>28800.000000001091</v>
          </cell>
        </row>
        <row r="31">
          <cell r="F31">
            <v>28399.999999996908</v>
          </cell>
        </row>
        <row r="32">
          <cell r="F32">
            <v>29500.000000002728</v>
          </cell>
        </row>
        <row r="33">
          <cell r="F33">
            <v>30599.999999999454</v>
          </cell>
        </row>
        <row r="34">
          <cell r="F34">
            <v>32400.000000000091</v>
          </cell>
        </row>
        <row r="35">
          <cell r="F35">
            <v>30799.999999999272</v>
          </cell>
        </row>
        <row r="36">
          <cell r="F36">
            <v>33099.999999999454</v>
          </cell>
        </row>
        <row r="37">
          <cell r="F37">
            <v>32000.000000002728</v>
          </cell>
        </row>
      </sheetData>
      <sheetData sheetId="2">
        <row r="7">
          <cell r="A7">
            <v>44256</v>
          </cell>
          <cell r="C7">
            <v>309.68</v>
          </cell>
        </row>
        <row r="8">
          <cell r="C8">
            <v>276.5</v>
          </cell>
        </row>
        <row r="9">
          <cell r="C9">
            <v>328.64</v>
          </cell>
        </row>
        <row r="10">
          <cell r="C10">
            <v>295.46000000000004</v>
          </cell>
        </row>
        <row r="11">
          <cell r="C11">
            <v>369.72</v>
          </cell>
        </row>
        <row r="12">
          <cell r="C12">
            <v>421.86</v>
          </cell>
        </row>
        <row r="13">
          <cell r="C13">
            <v>369.72</v>
          </cell>
        </row>
        <row r="14">
          <cell r="C14">
            <v>393.42</v>
          </cell>
        </row>
        <row r="15">
          <cell r="C15">
            <v>316</v>
          </cell>
        </row>
        <row r="16">
          <cell r="C16">
            <v>395</v>
          </cell>
        </row>
        <row r="17">
          <cell r="C17">
            <v>485.06</v>
          </cell>
        </row>
        <row r="18">
          <cell r="C18">
            <v>270.18</v>
          </cell>
        </row>
        <row r="19">
          <cell r="C19">
            <v>442.40000000000003</v>
          </cell>
        </row>
        <row r="20">
          <cell r="C20">
            <v>426.6</v>
          </cell>
        </row>
        <row r="21">
          <cell r="C21">
            <v>410.8</v>
          </cell>
        </row>
        <row r="22">
          <cell r="C22">
            <v>395</v>
          </cell>
        </row>
        <row r="23">
          <cell r="C23">
            <v>379.20000000000005</v>
          </cell>
        </row>
        <row r="24">
          <cell r="C24">
            <v>467.68</v>
          </cell>
        </row>
        <row r="25">
          <cell r="C25">
            <v>413.96000000000004</v>
          </cell>
        </row>
        <row r="26">
          <cell r="C26">
            <v>521.4</v>
          </cell>
        </row>
        <row r="27">
          <cell r="C27">
            <v>412.38</v>
          </cell>
        </row>
        <row r="28">
          <cell r="C28">
            <v>420.28000000000003</v>
          </cell>
        </row>
        <row r="29">
          <cell r="C29">
            <v>233.84</v>
          </cell>
        </row>
        <row r="30">
          <cell r="C30">
            <v>480.32000000000005</v>
          </cell>
        </row>
        <row r="31">
          <cell r="C31">
            <v>350.76</v>
          </cell>
        </row>
        <row r="32">
          <cell r="C32">
            <v>529.30000000000007</v>
          </cell>
        </row>
        <row r="33">
          <cell r="C33">
            <v>417.12</v>
          </cell>
        </row>
        <row r="34">
          <cell r="C34">
            <v>426.6</v>
          </cell>
        </row>
        <row r="35">
          <cell r="C35">
            <v>380.78000000000003</v>
          </cell>
        </row>
        <row r="36">
          <cell r="C36">
            <v>164.32</v>
          </cell>
        </row>
        <row r="37">
          <cell r="C37">
            <v>131.14000000000001</v>
          </cell>
        </row>
      </sheetData>
      <sheetData sheetId="3">
        <row r="7">
          <cell r="C7">
            <v>1555</v>
          </cell>
          <cell r="G7">
            <v>939</v>
          </cell>
        </row>
        <row r="8">
          <cell r="C8">
            <v>1519</v>
          </cell>
          <cell r="G8">
            <v>924</v>
          </cell>
        </row>
        <row r="9">
          <cell r="C9">
            <v>1487</v>
          </cell>
          <cell r="G9">
            <v>950</v>
          </cell>
        </row>
        <row r="10">
          <cell r="C10">
            <v>1574</v>
          </cell>
          <cell r="G10">
            <v>1176</v>
          </cell>
        </row>
        <row r="11">
          <cell r="C11">
            <v>1621</v>
          </cell>
          <cell r="G11">
            <v>1283</v>
          </cell>
        </row>
        <row r="12">
          <cell r="C12">
            <v>1587</v>
          </cell>
          <cell r="G12">
            <v>1232</v>
          </cell>
        </row>
        <row r="13">
          <cell r="C13">
            <v>1622</v>
          </cell>
          <cell r="G13">
            <v>1083</v>
          </cell>
        </row>
        <row r="14">
          <cell r="C14">
            <v>1541</v>
          </cell>
          <cell r="G14">
            <v>1043</v>
          </cell>
        </row>
        <row r="15">
          <cell r="C15">
            <v>1609</v>
          </cell>
          <cell r="G15">
            <v>940</v>
          </cell>
        </row>
        <row r="16">
          <cell r="C16">
            <v>1552</v>
          </cell>
          <cell r="G16">
            <v>1035</v>
          </cell>
        </row>
        <row r="17">
          <cell r="C17">
            <v>1653</v>
          </cell>
          <cell r="G17">
            <v>1007</v>
          </cell>
        </row>
        <row r="18">
          <cell r="C18">
            <v>1702</v>
          </cell>
          <cell r="G18">
            <v>955</v>
          </cell>
        </row>
        <row r="19">
          <cell r="C19">
            <v>1718</v>
          </cell>
          <cell r="G19">
            <v>1092</v>
          </cell>
        </row>
        <row r="20">
          <cell r="C20">
            <v>1737</v>
          </cell>
          <cell r="G20">
            <v>1154</v>
          </cell>
        </row>
        <row r="21">
          <cell r="C21">
            <v>1578</v>
          </cell>
          <cell r="G21">
            <v>1040</v>
          </cell>
        </row>
        <row r="22">
          <cell r="C22">
            <v>1589</v>
          </cell>
          <cell r="G22">
            <v>983</v>
          </cell>
        </row>
        <row r="23">
          <cell r="C23">
            <v>1508</v>
          </cell>
          <cell r="G23">
            <v>995</v>
          </cell>
        </row>
        <row r="24">
          <cell r="C24">
            <v>1561</v>
          </cell>
          <cell r="G24">
            <v>953</v>
          </cell>
        </row>
        <row r="25">
          <cell r="C25">
            <v>1596</v>
          </cell>
          <cell r="G25">
            <v>942</v>
          </cell>
        </row>
        <row r="26">
          <cell r="C26">
            <v>1515</v>
          </cell>
          <cell r="G26">
            <v>1042</v>
          </cell>
        </row>
        <row r="27">
          <cell r="C27">
            <v>1496</v>
          </cell>
          <cell r="G27">
            <v>1017</v>
          </cell>
        </row>
        <row r="28">
          <cell r="C28">
            <v>1554</v>
          </cell>
          <cell r="G28">
            <v>909</v>
          </cell>
        </row>
        <row r="29">
          <cell r="C29">
            <v>1541</v>
          </cell>
          <cell r="G29">
            <v>907</v>
          </cell>
        </row>
        <row r="30">
          <cell r="C30">
            <v>1433</v>
          </cell>
          <cell r="G30">
            <v>1049</v>
          </cell>
        </row>
        <row r="31">
          <cell r="C31">
            <v>1520</v>
          </cell>
          <cell r="G31">
            <v>936</v>
          </cell>
        </row>
        <row r="32">
          <cell r="C32">
            <v>1556</v>
          </cell>
          <cell r="G32">
            <v>1047</v>
          </cell>
        </row>
        <row r="33">
          <cell r="C33">
            <v>1636</v>
          </cell>
          <cell r="G33">
            <v>1113</v>
          </cell>
        </row>
        <row r="34">
          <cell r="C34">
            <v>1537</v>
          </cell>
          <cell r="G34">
            <v>1061</v>
          </cell>
        </row>
        <row r="35">
          <cell r="C35">
            <v>1502</v>
          </cell>
          <cell r="G35">
            <v>840</v>
          </cell>
        </row>
        <row r="36">
          <cell r="C36">
            <v>1478</v>
          </cell>
          <cell r="G36">
            <v>1147</v>
          </cell>
        </row>
        <row r="37">
          <cell r="C37">
            <v>1468</v>
          </cell>
          <cell r="G37">
            <v>702</v>
          </cell>
        </row>
      </sheetData>
      <sheetData sheetId="4"/>
      <sheetData sheetId="5">
        <row r="7">
          <cell r="BH7">
            <v>560</v>
          </cell>
        </row>
        <row r="8">
          <cell r="BH8">
            <v>559</v>
          </cell>
        </row>
        <row r="9">
          <cell r="BH9">
            <v>611</v>
          </cell>
        </row>
        <row r="10">
          <cell r="BH10">
            <v>583</v>
          </cell>
        </row>
        <row r="11">
          <cell r="BH11">
            <v>605</v>
          </cell>
        </row>
        <row r="12">
          <cell r="BH12">
            <v>602</v>
          </cell>
        </row>
        <row r="13">
          <cell r="BH13">
            <v>620</v>
          </cell>
        </row>
        <row r="14">
          <cell r="BH14">
            <v>586</v>
          </cell>
        </row>
        <row r="15">
          <cell r="BH15">
            <v>578</v>
          </cell>
        </row>
        <row r="16">
          <cell r="BH16">
            <v>557</v>
          </cell>
        </row>
        <row r="17">
          <cell r="BH17">
            <v>651</v>
          </cell>
        </row>
        <row r="18">
          <cell r="BH18">
            <v>779</v>
          </cell>
        </row>
        <row r="19">
          <cell r="BH19">
            <v>640</v>
          </cell>
        </row>
        <row r="20">
          <cell r="BH20">
            <v>636</v>
          </cell>
        </row>
        <row r="21">
          <cell r="BH21">
            <v>556</v>
          </cell>
        </row>
        <row r="22">
          <cell r="BH22">
            <v>563</v>
          </cell>
        </row>
        <row r="23">
          <cell r="BH23">
            <v>606</v>
          </cell>
        </row>
        <row r="24">
          <cell r="BH24">
            <v>730</v>
          </cell>
        </row>
        <row r="25">
          <cell r="BH25">
            <v>687</v>
          </cell>
        </row>
        <row r="26">
          <cell r="BH26">
            <v>810</v>
          </cell>
        </row>
        <row r="27">
          <cell r="BH27">
            <v>590</v>
          </cell>
        </row>
        <row r="28">
          <cell r="BH28">
            <v>577</v>
          </cell>
        </row>
        <row r="29">
          <cell r="BH29">
            <v>789</v>
          </cell>
        </row>
        <row r="30">
          <cell r="BH30">
            <v>602</v>
          </cell>
        </row>
        <row r="31">
          <cell r="BH31">
            <v>653</v>
          </cell>
        </row>
        <row r="32">
          <cell r="BH32">
            <v>665</v>
          </cell>
        </row>
        <row r="33">
          <cell r="BH33">
            <v>714</v>
          </cell>
        </row>
        <row r="34">
          <cell r="BH34">
            <v>763</v>
          </cell>
        </row>
        <row r="35">
          <cell r="BH35">
            <v>768</v>
          </cell>
        </row>
        <row r="36">
          <cell r="BH36">
            <v>650</v>
          </cell>
        </row>
        <row r="37">
          <cell r="BH37">
            <v>613</v>
          </cell>
        </row>
      </sheetData>
      <sheetData sheetId="6">
        <row r="4">
          <cell r="V4">
            <v>6428</v>
          </cell>
        </row>
        <row r="5">
          <cell r="V5">
            <v>4783</v>
          </cell>
        </row>
        <row r="6">
          <cell r="V6">
            <v>5250</v>
          </cell>
        </row>
        <row r="7">
          <cell r="V7">
            <v>4348</v>
          </cell>
        </row>
        <row r="8">
          <cell r="V8">
            <v>5628</v>
          </cell>
        </row>
        <row r="9">
          <cell r="V9">
            <v>5336</v>
          </cell>
        </row>
        <row r="10">
          <cell r="V10">
            <v>5672</v>
          </cell>
        </row>
        <row r="11">
          <cell r="V11">
            <v>6720</v>
          </cell>
        </row>
        <row r="12">
          <cell r="V12">
            <v>6197</v>
          </cell>
        </row>
        <row r="13">
          <cell r="V13">
            <v>5912</v>
          </cell>
        </row>
        <row r="14">
          <cell r="V14">
            <v>7089</v>
          </cell>
        </row>
        <row r="15">
          <cell r="V15">
            <v>7828</v>
          </cell>
        </row>
        <row r="16">
          <cell r="V16">
            <v>6483</v>
          </cell>
        </row>
        <row r="17">
          <cell r="V17">
            <v>7136</v>
          </cell>
        </row>
        <row r="18">
          <cell r="V18">
            <v>7178</v>
          </cell>
        </row>
        <row r="19">
          <cell r="V19">
            <v>7660</v>
          </cell>
        </row>
        <row r="20">
          <cell r="V20">
            <v>8931</v>
          </cell>
        </row>
        <row r="21">
          <cell r="V21">
            <v>8590</v>
          </cell>
        </row>
        <row r="22">
          <cell r="V22">
            <v>9037</v>
          </cell>
        </row>
        <row r="23">
          <cell r="V23">
            <v>9259</v>
          </cell>
        </row>
        <row r="24">
          <cell r="V24">
            <v>5075</v>
          </cell>
        </row>
        <row r="25">
          <cell r="V25">
            <v>4853</v>
          </cell>
        </row>
        <row r="26">
          <cell r="V26">
            <v>4673</v>
          </cell>
        </row>
        <row r="27">
          <cell r="V27">
            <v>5430</v>
          </cell>
        </row>
        <row r="28">
          <cell r="V28">
            <v>6363</v>
          </cell>
        </row>
        <row r="29">
          <cell r="V29">
            <v>6667</v>
          </cell>
        </row>
        <row r="30">
          <cell r="V30">
            <v>7496</v>
          </cell>
        </row>
        <row r="31">
          <cell r="V31">
            <v>9283</v>
          </cell>
        </row>
        <row r="32">
          <cell r="V32">
            <v>8304</v>
          </cell>
        </row>
        <row r="33">
          <cell r="V33">
            <v>9907</v>
          </cell>
        </row>
        <row r="34">
          <cell r="V34">
            <v>8756</v>
          </cell>
        </row>
      </sheetData>
      <sheetData sheetId="7">
        <row r="4">
          <cell r="L4">
            <v>7</v>
          </cell>
        </row>
        <row r="5">
          <cell r="L5">
            <v>9</v>
          </cell>
        </row>
        <row r="6">
          <cell r="L6">
            <v>7</v>
          </cell>
        </row>
        <row r="7">
          <cell r="L7">
            <v>7</v>
          </cell>
        </row>
        <row r="8">
          <cell r="L8">
            <v>9</v>
          </cell>
        </row>
        <row r="9">
          <cell r="L9">
            <v>13</v>
          </cell>
        </row>
        <row r="10">
          <cell r="L10">
            <v>8</v>
          </cell>
        </row>
        <row r="11">
          <cell r="L11">
            <v>8</v>
          </cell>
        </row>
        <row r="12">
          <cell r="L12">
            <v>13</v>
          </cell>
        </row>
        <row r="13">
          <cell r="L13">
            <v>10</v>
          </cell>
        </row>
        <row r="14">
          <cell r="L14">
            <v>9</v>
          </cell>
        </row>
        <row r="15">
          <cell r="L15">
            <v>15</v>
          </cell>
        </row>
        <row r="16">
          <cell r="L16">
            <v>13</v>
          </cell>
        </row>
        <row r="17">
          <cell r="L17">
            <v>12</v>
          </cell>
        </row>
        <row r="18">
          <cell r="L18">
            <v>11</v>
          </cell>
        </row>
        <row r="19">
          <cell r="L19">
            <v>11</v>
          </cell>
        </row>
        <row r="20">
          <cell r="L20">
            <v>12</v>
          </cell>
        </row>
        <row r="21">
          <cell r="L21">
            <v>15</v>
          </cell>
        </row>
        <row r="22">
          <cell r="L22">
            <v>15</v>
          </cell>
        </row>
        <row r="23">
          <cell r="L23">
            <v>13</v>
          </cell>
        </row>
        <row r="24">
          <cell r="L24">
            <v>15</v>
          </cell>
        </row>
        <row r="25">
          <cell r="L25">
            <v>9</v>
          </cell>
        </row>
        <row r="26">
          <cell r="L26">
            <v>11</v>
          </cell>
        </row>
        <row r="27">
          <cell r="L27">
            <v>11</v>
          </cell>
        </row>
        <row r="28">
          <cell r="L28">
            <v>11</v>
          </cell>
        </row>
        <row r="29">
          <cell r="L29">
            <v>12</v>
          </cell>
        </row>
        <row r="30">
          <cell r="L30">
            <v>18</v>
          </cell>
        </row>
        <row r="31">
          <cell r="L31">
            <v>16</v>
          </cell>
        </row>
        <row r="32">
          <cell r="L32">
            <v>21</v>
          </cell>
        </row>
        <row r="33">
          <cell r="L33">
            <v>20</v>
          </cell>
        </row>
        <row r="34">
          <cell r="L34">
            <v>22</v>
          </cell>
        </row>
      </sheetData>
      <sheetData sheetId="8"/>
      <sheetData sheetId="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8"/>
  <sheetViews>
    <sheetView topLeftCell="A13" zoomScale="85" zoomScaleNormal="85" workbookViewId="0">
      <selection activeCell="T11" sqref="T11"/>
    </sheetView>
  </sheetViews>
  <sheetFormatPr defaultColWidth="10.125" defaultRowHeight="14.25"/>
  <cols>
    <col min="1" max="1" width="10.75" style="58" customWidth="1"/>
    <col min="2" max="3" width="10.125" style="52"/>
    <col min="4" max="4" width="11.75" style="53" customWidth="1"/>
    <col min="5" max="5" width="11" style="54" customWidth="1"/>
    <col min="6" max="6" width="11" style="61" customWidth="1"/>
    <col min="7" max="7" width="10.125" style="58"/>
    <col min="8" max="8" width="10.125" style="61"/>
    <col min="9" max="9" width="10.125" style="58"/>
    <col min="10" max="12" width="10.125" style="61"/>
    <col min="13" max="14" width="10.125" style="54"/>
    <col min="15" max="15" width="0" style="57" hidden="1" customWidth="1"/>
    <col min="16" max="258" width="10.125" style="57"/>
    <col min="259" max="259" width="10.75" style="57" customWidth="1"/>
    <col min="260" max="261" width="10.125" style="57"/>
    <col min="262" max="262" width="11.75" style="57" customWidth="1"/>
    <col min="263" max="264" width="11" style="57" customWidth="1"/>
    <col min="265" max="270" width="10.125" style="57"/>
    <col min="271" max="271" width="0" style="57" hidden="1" customWidth="1"/>
    <col min="272" max="514" width="10.125" style="57"/>
    <col min="515" max="515" width="10.75" style="57" customWidth="1"/>
    <col min="516" max="517" width="10.125" style="57"/>
    <col min="518" max="518" width="11.75" style="57" customWidth="1"/>
    <col min="519" max="520" width="11" style="57" customWidth="1"/>
    <col min="521" max="526" width="10.125" style="57"/>
    <col min="527" max="527" width="0" style="57" hidden="1" customWidth="1"/>
    <col min="528" max="770" width="10.125" style="57"/>
    <col min="771" max="771" width="10.75" style="57" customWidth="1"/>
    <col min="772" max="773" width="10.125" style="57"/>
    <col min="774" max="774" width="11.75" style="57" customWidth="1"/>
    <col min="775" max="776" width="11" style="57" customWidth="1"/>
    <col min="777" max="782" width="10.125" style="57"/>
    <col min="783" max="783" width="0" style="57" hidden="1" customWidth="1"/>
    <col min="784" max="1026" width="10.125" style="57"/>
    <col min="1027" max="1027" width="10.75" style="57" customWidth="1"/>
    <col min="1028" max="1029" width="10.125" style="57"/>
    <col min="1030" max="1030" width="11.75" style="57" customWidth="1"/>
    <col min="1031" max="1032" width="11" style="57" customWidth="1"/>
    <col min="1033" max="1038" width="10.125" style="57"/>
    <col min="1039" max="1039" width="0" style="57" hidden="1" customWidth="1"/>
    <col min="1040" max="1282" width="10.125" style="57"/>
    <col min="1283" max="1283" width="10.75" style="57" customWidth="1"/>
    <col min="1284" max="1285" width="10.125" style="57"/>
    <col min="1286" max="1286" width="11.75" style="57" customWidth="1"/>
    <col min="1287" max="1288" width="11" style="57" customWidth="1"/>
    <col min="1289" max="1294" width="10.125" style="57"/>
    <col min="1295" max="1295" width="0" style="57" hidden="1" customWidth="1"/>
    <col min="1296" max="1538" width="10.125" style="57"/>
    <col min="1539" max="1539" width="10.75" style="57" customWidth="1"/>
    <col min="1540" max="1541" width="10.125" style="57"/>
    <col min="1542" max="1542" width="11.75" style="57" customWidth="1"/>
    <col min="1543" max="1544" width="11" style="57" customWidth="1"/>
    <col min="1545" max="1550" width="10.125" style="57"/>
    <col min="1551" max="1551" width="0" style="57" hidden="1" customWidth="1"/>
    <col min="1552" max="1794" width="10.125" style="57"/>
    <col min="1795" max="1795" width="10.75" style="57" customWidth="1"/>
    <col min="1796" max="1797" width="10.125" style="57"/>
    <col min="1798" max="1798" width="11.75" style="57" customWidth="1"/>
    <col min="1799" max="1800" width="11" style="57" customWidth="1"/>
    <col min="1801" max="1806" width="10.125" style="57"/>
    <col min="1807" max="1807" width="0" style="57" hidden="1" customWidth="1"/>
    <col min="1808" max="2050" width="10.125" style="57"/>
    <col min="2051" max="2051" width="10.75" style="57" customWidth="1"/>
    <col min="2052" max="2053" width="10.125" style="57"/>
    <col min="2054" max="2054" width="11.75" style="57" customWidth="1"/>
    <col min="2055" max="2056" width="11" style="57" customWidth="1"/>
    <col min="2057" max="2062" width="10.125" style="57"/>
    <col min="2063" max="2063" width="0" style="57" hidden="1" customWidth="1"/>
    <col min="2064" max="2306" width="10.125" style="57"/>
    <col min="2307" max="2307" width="10.75" style="57" customWidth="1"/>
    <col min="2308" max="2309" width="10.125" style="57"/>
    <col min="2310" max="2310" width="11.75" style="57" customWidth="1"/>
    <col min="2311" max="2312" width="11" style="57" customWidth="1"/>
    <col min="2313" max="2318" width="10.125" style="57"/>
    <col min="2319" max="2319" width="0" style="57" hidden="1" customWidth="1"/>
    <col min="2320" max="2562" width="10.125" style="57"/>
    <col min="2563" max="2563" width="10.75" style="57" customWidth="1"/>
    <col min="2564" max="2565" width="10.125" style="57"/>
    <col min="2566" max="2566" width="11.75" style="57" customWidth="1"/>
    <col min="2567" max="2568" width="11" style="57" customWidth="1"/>
    <col min="2569" max="2574" width="10.125" style="57"/>
    <col min="2575" max="2575" width="0" style="57" hidden="1" customWidth="1"/>
    <col min="2576" max="2818" width="10.125" style="57"/>
    <col min="2819" max="2819" width="10.75" style="57" customWidth="1"/>
    <col min="2820" max="2821" width="10.125" style="57"/>
    <col min="2822" max="2822" width="11.75" style="57" customWidth="1"/>
    <col min="2823" max="2824" width="11" style="57" customWidth="1"/>
    <col min="2825" max="2830" width="10.125" style="57"/>
    <col min="2831" max="2831" width="0" style="57" hidden="1" customWidth="1"/>
    <col min="2832" max="3074" width="10.125" style="57"/>
    <col min="3075" max="3075" width="10.75" style="57" customWidth="1"/>
    <col min="3076" max="3077" width="10.125" style="57"/>
    <col min="3078" max="3078" width="11.75" style="57" customWidth="1"/>
    <col min="3079" max="3080" width="11" style="57" customWidth="1"/>
    <col min="3081" max="3086" width="10.125" style="57"/>
    <col min="3087" max="3087" width="0" style="57" hidden="1" customWidth="1"/>
    <col min="3088" max="3330" width="10.125" style="57"/>
    <col min="3331" max="3331" width="10.75" style="57" customWidth="1"/>
    <col min="3332" max="3333" width="10.125" style="57"/>
    <col min="3334" max="3334" width="11.75" style="57" customWidth="1"/>
    <col min="3335" max="3336" width="11" style="57" customWidth="1"/>
    <col min="3337" max="3342" width="10.125" style="57"/>
    <col min="3343" max="3343" width="0" style="57" hidden="1" customWidth="1"/>
    <col min="3344" max="3586" width="10.125" style="57"/>
    <col min="3587" max="3587" width="10.75" style="57" customWidth="1"/>
    <col min="3588" max="3589" width="10.125" style="57"/>
    <col min="3590" max="3590" width="11.75" style="57" customWidth="1"/>
    <col min="3591" max="3592" width="11" style="57" customWidth="1"/>
    <col min="3593" max="3598" width="10.125" style="57"/>
    <col min="3599" max="3599" width="0" style="57" hidden="1" customWidth="1"/>
    <col min="3600" max="3842" width="10.125" style="57"/>
    <col min="3843" max="3843" width="10.75" style="57" customWidth="1"/>
    <col min="3844" max="3845" width="10.125" style="57"/>
    <col min="3846" max="3846" width="11.75" style="57" customWidth="1"/>
    <col min="3847" max="3848" width="11" style="57" customWidth="1"/>
    <col min="3849" max="3854" width="10.125" style="57"/>
    <col min="3855" max="3855" width="0" style="57" hidden="1" customWidth="1"/>
    <col min="3856" max="4098" width="10.125" style="57"/>
    <col min="4099" max="4099" width="10.75" style="57" customWidth="1"/>
    <col min="4100" max="4101" width="10.125" style="57"/>
    <col min="4102" max="4102" width="11.75" style="57" customWidth="1"/>
    <col min="4103" max="4104" width="11" style="57" customWidth="1"/>
    <col min="4105" max="4110" width="10.125" style="57"/>
    <col min="4111" max="4111" width="0" style="57" hidden="1" customWidth="1"/>
    <col min="4112" max="4354" width="10.125" style="57"/>
    <col min="4355" max="4355" width="10.75" style="57" customWidth="1"/>
    <col min="4356" max="4357" width="10.125" style="57"/>
    <col min="4358" max="4358" width="11.75" style="57" customWidth="1"/>
    <col min="4359" max="4360" width="11" style="57" customWidth="1"/>
    <col min="4361" max="4366" width="10.125" style="57"/>
    <col min="4367" max="4367" width="0" style="57" hidden="1" customWidth="1"/>
    <col min="4368" max="4610" width="10.125" style="57"/>
    <col min="4611" max="4611" width="10.75" style="57" customWidth="1"/>
    <col min="4612" max="4613" width="10.125" style="57"/>
    <col min="4614" max="4614" width="11.75" style="57" customWidth="1"/>
    <col min="4615" max="4616" width="11" style="57" customWidth="1"/>
    <col min="4617" max="4622" width="10.125" style="57"/>
    <col min="4623" max="4623" width="0" style="57" hidden="1" customWidth="1"/>
    <col min="4624" max="4866" width="10.125" style="57"/>
    <col min="4867" max="4867" width="10.75" style="57" customWidth="1"/>
    <col min="4868" max="4869" width="10.125" style="57"/>
    <col min="4870" max="4870" width="11.75" style="57" customWidth="1"/>
    <col min="4871" max="4872" width="11" style="57" customWidth="1"/>
    <col min="4873" max="4878" width="10.125" style="57"/>
    <col min="4879" max="4879" width="0" style="57" hidden="1" customWidth="1"/>
    <col min="4880" max="5122" width="10.125" style="57"/>
    <col min="5123" max="5123" width="10.75" style="57" customWidth="1"/>
    <col min="5124" max="5125" width="10.125" style="57"/>
    <col min="5126" max="5126" width="11.75" style="57" customWidth="1"/>
    <col min="5127" max="5128" width="11" style="57" customWidth="1"/>
    <col min="5129" max="5134" width="10.125" style="57"/>
    <col min="5135" max="5135" width="0" style="57" hidden="1" customWidth="1"/>
    <col min="5136" max="5378" width="10.125" style="57"/>
    <col min="5379" max="5379" width="10.75" style="57" customWidth="1"/>
    <col min="5380" max="5381" width="10.125" style="57"/>
    <col min="5382" max="5382" width="11.75" style="57" customWidth="1"/>
    <col min="5383" max="5384" width="11" style="57" customWidth="1"/>
    <col min="5385" max="5390" width="10.125" style="57"/>
    <col min="5391" max="5391" width="0" style="57" hidden="1" customWidth="1"/>
    <col min="5392" max="5634" width="10.125" style="57"/>
    <col min="5635" max="5635" width="10.75" style="57" customWidth="1"/>
    <col min="5636" max="5637" width="10.125" style="57"/>
    <col min="5638" max="5638" width="11.75" style="57" customWidth="1"/>
    <col min="5639" max="5640" width="11" style="57" customWidth="1"/>
    <col min="5641" max="5646" width="10.125" style="57"/>
    <col min="5647" max="5647" width="0" style="57" hidden="1" customWidth="1"/>
    <col min="5648" max="5890" width="10.125" style="57"/>
    <col min="5891" max="5891" width="10.75" style="57" customWidth="1"/>
    <col min="5892" max="5893" width="10.125" style="57"/>
    <col min="5894" max="5894" width="11.75" style="57" customWidth="1"/>
    <col min="5895" max="5896" width="11" style="57" customWidth="1"/>
    <col min="5897" max="5902" width="10.125" style="57"/>
    <col min="5903" max="5903" width="0" style="57" hidden="1" customWidth="1"/>
    <col min="5904" max="6146" width="10.125" style="57"/>
    <col min="6147" max="6147" width="10.75" style="57" customWidth="1"/>
    <col min="6148" max="6149" width="10.125" style="57"/>
    <col min="6150" max="6150" width="11.75" style="57" customWidth="1"/>
    <col min="6151" max="6152" width="11" style="57" customWidth="1"/>
    <col min="6153" max="6158" width="10.125" style="57"/>
    <col min="6159" max="6159" width="0" style="57" hidden="1" customWidth="1"/>
    <col min="6160" max="6402" width="10.125" style="57"/>
    <col min="6403" max="6403" width="10.75" style="57" customWidth="1"/>
    <col min="6404" max="6405" width="10.125" style="57"/>
    <col min="6406" max="6406" width="11.75" style="57" customWidth="1"/>
    <col min="6407" max="6408" width="11" style="57" customWidth="1"/>
    <col min="6409" max="6414" width="10.125" style="57"/>
    <col min="6415" max="6415" width="0" style="57" hidden="1" customWidth="1"/>
    <col min="6416" max="6658" width="10.125" style="57"/>
    <col min="6659" max="6659" width="10.75" style="57" customWidth="1"/>
    <col min="6660" max="6661" width="10.125" style="57"/>
    <col min="6662" max="6662" width="11.75" style="57" customWidth="1"/>
    <col min="6663" max="6664" width="11" style="57" customWidth="1"/>
    <col min="6665" max="6670" width="10.125" style="57"/>
    <col min="6671" max="6671" width="0" style="57" hidden="1" customWidth="1"/>
    <col min="6672" max="6914" width="10.125" style="57"/>
    <col min="6915" max="6915" width="10.75" style="57" customWidth="1"/>
    <col min="6916" max="6917" width="10.125" style="57"/>
    <col min="6918" max="6918" width="11.75" style="57" customWidth="1"/>
    <col min="6919" max="6920" width="11" style="57" customWidth="1"/>
    <col min="6921" max="6926" width="10.125" style="57"/>
    <col min="6927" max="6927" width="0" style="57" hidden="1" customWidth="1"/>
    <col min="6928" max="7170" width="10.125" style="57"/>
    <col min="7171" max="7171" width="10.75" style="57" customWidth="1"/>
    <col min="7172" max="7173" width="10.125" style="57"/>
    <col min="7174" max="7174" width="11.75" style="57" customWidth="1"/>
    <col min="7175" max="7176" width="11" style="57" customWidth="1"/>
    <col min="7177" max="7182" width="10.125" style="57"/>
    <col min="7183" max="7183" width="0" style="57" hidden="1" customWidth="1"/>
    <col min="7184" max="7426" width="10.125" style="57"/>
    <col min="7427" max="7427" width="10.75" style="57" customWidth="1"/>
    <col min="7428" max="7429" width="10.125" style="57"/>
    <col min="7430" max="7430" width="11.75" style="57" customWidth="1"/>
    <col min="7431" max="7432" width="11" style="57" customWidth="1"/>
    <col min="7433" max="7438" width="10.125" style="57"/>
    <col min="7439" max="7439" width="0" style="57" hidden="1" customWidth="1"/>
    <col min="7440" max="7682" width="10.125" style="57"/>
    <col min="7683" max="7683" width="10.75" style="57" customWidth="1"/>
    <col min="7684" max="7685" width="10.125" style="57"/>
    <col min="7686" max="7686" width="11.75" style="57" customWidth="1"/>
    <col min="7687" max="7688" width="11" style="57" customWidth="1"/>
    <col min="7689" max="7694" width="10.125" style="57"/>
    <col min="7695" max="7695" width="0" style="57" hidden="1" customWidth="1"/>
    <col min="7696" max="7938" width="10.125" style="57"/>
    <col min="7939" max="7939" width="10.75" style="57" customWidth="1"/>
    <col min="7940" max="7941" width="10.125" style="57"/>
    <col min="7942" max="7942" width="11.75" style="57" customWidth="1"/>
    <col min="7943" max="7944" width="11" style="57" customWidth="1"/>
    <col min="7945" max="7950" width="10.125" style="57"/>
    <col min="7951" max="7951" width="0" style="57" hidden="1" customWidth="1"/>
    <col min="7952" max="8194" width="10.125" style="57"/>
    <col min="8195" max="8195" width="10.75" style="57" customWidth="1"/>
    <col min="8196" max="8197" width="10.125" style="57"/>
    <col min="8198" max="8198" width="11.75" style="57" customWidth="1"/>
    <col min="8199" max="8200" width="11" style="57" customWidth="1"/>
    <col min="8201" max="8206" width="10.125" style="57"/>
    <col min="8207" max="8207" width="0" style="57" hidden="1" customWidth="1"/>
    <col min="8208" max="8450" width="10.125" style="57"/>
    <col min="8451" max="8451" width="10.75" style="57" customWidth="1"/>
    <col min="8452" max="8453" width="10.125" style="57"/>
    <col min="8454" max="8454" width="11.75" style="57" customWidth="1"/>
    <col min="8455" max="8456" width="11" style="57" customWidth="1"/>
    <col min="8457" max="8462" width="10.125" style="57"/>
    <col min="8463" max="8463" width="0" style="57" hidden="1" customWidth="1"/>
    <col min="8464" max="8706" width="10.125" style="57"/>
    <col min="8707" max="8707" width="10.75" style="57" customWidth="1"/>
    <col min="8708" max="8709" width="10.125" style="57"/>
    <col min="8710" max="8710" width="11.75" style="57" customWidth="1"/>
    <col min="8711" max="8712" width="11" style="57" customWidth="1"/>
    <col min="8713" max="8718" width="10.125" style="57"/>
    <col min="8719" max="8719" width="0" style="57" hidden="1" customWidth="1"/>
    <col min="8720" max="8962" width="10.125" style="57"/>
    <col min="8963" max="8963" width="10.75" style="57" customWidth="1"/>
    <col min="8964" max="8965" width="10.125" style="57"/>
    <col min="8966" max="8966" width="11.75" style="57" customWidth="1"/>
    <col min="8967" max="8968" width="11" style="57" customWidth="1"/>
    <col min="8969" max="8974" width="10.125" style="57"/>
    <col min="8975" max="8975" width="0" style="57" hidden="1" customWidth="1"/>
    <col min="8976" max="9218" width="10.125" style="57"/>
    <col min="9219" max="9219" width="10.75" style="57" customWidth="1"/>
    <col min="9220" max="9221" width="10.125" style="57"/>
    <col min="9222" max="9222" width="11.75" style="57" customWidth="1"/>
    <col min="9223" max="9224" width="11" style="57" customWidth="1"/>
    <col min="9225" max="9230" width="10.125" style="57"/>
    <col min="9231" max="9231" width="0" style="57" hidden="1" customWidth="1"/>
    <col min="9232" max="9474" width="10.125" style="57"/>
    <col min="9475" max="9475" width="10.75" style="57" customWidth="1"/>
    <col min="9476" max="9477" width="10.125" style="57"/>
    <col min="9478" max="9478" width="11.75" style="57" customWidth="1"/>
    <col min="9479" max="9480" width="11" style="57" customWidth="1"/>
    <col min="9481" max="9486" width="10.125" style="57"/>
    <col min="9487" max="9487" width="0" style="57" hidden="1" customWidth="1"/>
    <col min="9488" max="9730" width="10.125" style="57"/>
    <col min="9731" max="9731" width="10.75" style="57" customWidth="1"/>
    <col min="9732" max="9733" width="10.125" style="57"/>
    <col min="9734" max="9734" width="11.75" style="57" customWidth="1"/>
    <col min="9735" max="9736" width="11" style="57" customWidth="1"/>
    <col min="9737" max="9742" width="10.125" style="57"/>
    <col min="9743" max="9743" width="0" style="57" hidden="1" customWidth="1"/>
    <col min="9744" max="9986" width="10.125" style="57"/>
    <col min="9987" max="9987" width="10.75" style="57" customWidth="1"/>
    <col min="9988" max="9989" width="10.125" style="57"/>
    <col min="9990" max="9990" width="11.75" style="57" customWidth="1"/>
    <col min="9991" max="9992" width="11" style="57" customWidth="1"/>
    <col min="9993" max="9998" width="10.125" style="57"/>
    <col min="9999" max="9999" width="0" style="57" hidden="1" customWidth="1"/>
    <col min="10000" max="10242" width="10.125" style="57"/>
    <col min="10243" max="10243" width="10.75" style="57" customWidth="1"/>
    <col min="10244" max="10245" width="10.125" style="57"/>
    <col min="10246" max="10246" width="11.75" style="57" customWidth="1"/>
    <col min="10247" max="10248" width="11" style="57" customWidth="1"/>
    <col min="10249" max="10254" width="10.125" style="57"/>
    <col min="10255" max="10255" width="0" style="57" hidden="1" customWidth="1"/>
    <col min="10256" max="10498" width="10.125" style="57"/>
    <col min="10499" max="10499" width="10.75" style="57" customWidth="1"/>
    <col min="10500" max="10501" width="10.125" style="57"/>
    <col min="10502" max="10502" width="11.75" style="57" customWidth="1"/>
    <col min="10503" max="10504" width="11" style="57" customWidth="1"/>
    <col min="10505" max="10510" width="10.125" style="57"/>
    <col min="10511" max="10511" width="0" style="57" hidden="1" customWidth="1"/>
    <col min="10512" max="10754" width="10.125" style="57"/>
    <col min="10755" max="10755" width="10.75" style="57" customWidth="1"/>
    <col min="10756" max="10757" width="10.125" style="57"/>
    <col min="10758" max="10758" width="11.75" style="57" customWidth="1"/>
    <col min="10759" max="10760" width="11" style="57" customWidth="1"/>
    <col min="10761" max="10766" width="10.125" style="57"/>
    <col min="10767" max="10767" width="0" style="57" hidden="1" customWidth="1"/>
    <col min="10768" max="11010" width="10.125" style="57"/>
    <col min="11011" max="11011" width="10.75" style="57" customWidth="1"/>
    <col min="11012" max="11013" width="10.125" style="57"/>
    <col min="11014" max="11014" width="11.75" style="57" customWidth="1"/>
    <col min="11015" max="11016" width="11" style="57" customWidth="1"/>
    <col min="11017" max="11022" width="10.125" style="57"/>
    <col min="11023" max="11023" width="0" style="57" hidden="1" customWidth="1"/>
    <col min="11024" max="11266" width="10.125" style="57"/>
    <col min="11267" max="11267" width="10.75" style="57" customWidth="1"/>
    <col min="11268" max="11269" width="10.125" style="57"/>
    <col min="11270" max="11270" width="11.75" style="57" customWidth="1"/>
    <col min="11271" max="11272" width="11" style="57" customWidth="1"/>
    <col min="11273" max="11278" width="10.125" style="57"/>
    <col min="11279" max="11279" width="0" style="57" hidden="1" customWidth="1"/>
    <col min="11280" max="11522" width="10.125" style="57"/>
    <col min="11523" max="11523" width="10.75" style="57" customWidth="1"/>
    <col min="11524" max="11525" width="10.125" style="57"/>
    <col min="11526" max="11526" width="11.75" style="57" customWidth="1"/>
    <col min="11527" max="11528" width="11" style="57" customWidth="1"/>
    <col min="11529" max="11534" width="10.125" style="57"/>
    <col min="11535" max="11535" width="0" style="57" hidden="1" customWidth="1"/>
    <col min="11536" max="11778" width="10.125" style="57"/>
    <col min="11779" max="11779" width="10.75" style="57" customWidth="1"/>
    <col min="11780" max="11781" width="10.125" style="57"/>
    <col min="11782" max="11782" width="11.75" style="57" customWidth="1"/>
    <col min="11783" max="11784" width="11" style="57" customWidth="1"/>
    <col min="11785" max="11790" width="10.125" style="57"/>
    <col min="11791" max="11791" width="0" style="57" hidden="1" customWidth="1"/>
    <col min="11792" max="12034" width="10.125" style="57"/>
    <col min="12035" max="12035" width="10.75" style="57" customWidth="1"/>
    <col min="12036" max="12037" width="10.125" style="57"/>
    <col min="12038" max="12038" width="11.75" style="57" customWidth="1"/>
    <col min="12039" max="12040" width="11" style="57" customWidth="1"/>
    <col min="12041" max="12046" width="10.125" style="57"/>
    <col min="12047" max="12047" width="0" style="57" hidden="1" customWidth="1"/>
    <col min="12048" max="12290" width="10.125" style="57"/>
    <col min="12291" max="12291" width="10.75" style="57" customWidth="1"/>
    <col min="12292" max="12293" width="10.125" style="57"/>
    <col min="12294" max="12294" width="11.75" style="57" customWidth="1"/>
    <col min="12295" max="12296" width="11" style="57" customWidth="1"/>
    <col min="12297" max="12302" width="10.125" style="57"/>
    <col min="12303" max="12303" width="0" style="57" hidden="1" customWidth="1"/>
    <col min="12304" max="12546" width="10.125" style="57"/>
    <col min="12547" max="12547" width="10.75" style="57" customWidth="1"/>
    <col min="12548" max="12549" width="10.125" style="57"/>
    <col min="12550" max="12550" width="11.75" style="57" customWidth="1"/>
    <col min="12551" max="12552" width="11" style="57" customWidth="1"/>
    <col min="12553" max="12558" width="10.125" style="57"/>
    <col min="12559" max="12559" width="0" style="57" hidden="1" customWidth="1"/>
    <col min="12560" max="12802" width="10.125" style="57"/>
    <col min="12803" max="12803" width="10.75" style="57" customWidth="1"/>
    <col min="12804" max="12805" width="10.125" style="57"/>
    <col min="12806" max="12806" width="11.75" style="57" customWidth="1"/>
    <col min="12807" max="12808" width="11" style="57" customWidth="1"/>
    <col min="12809" max="12814" width="10.125" style="57"/>
    <col min="12815" max="12815" width="0" style="57" hidden="1" customWidth="1"/>
    <col min="12816" max="13058" width="10.125" style="57"/>
    <col min="13059" max="13059" width="10.75" style="57" customWidth="1"/>
    <col min="13060" max="13061" width="10.125" style="57"/>
    <col min="13062" max="13062" width="11.75" style="57" customWidth="1"/>
    <col min="13063" max="13064" width="11" style="57" customWidth="1"/>
    <col min="13065" max="13070" width="10.125" style="57"/>
    <col min="13071" max="13071" width="0" style="57" hidden="1" customWidth="1"/>
    <col min="13072" max="13314" width="10.125" style="57"/>
    <col min="13315" max="13315" width="10.75" style="57" customWidth="1"/>
    <col min="13316" max="13317" width="10.125" style="57"/>
    <col min="13318" max="13318" width="11.75" style="57" customWidth="1"/>
    <col min="13319" max="13320" width="11" style="57" customWidth="1"/>
    <col min="13321" max="13326" width="10.125" style="57"/>
    <col min="13327" max="13327" width="0" style="57" hidden="1" customWidth="1"/>
    <col min="13328" max="13570" width="10.125" style="57"/>
    <col min="13571" max="13571" width="10.75" style="57" customWidth="1"/>
    <col min="13572" max="13573" width="10.125" style="57"/>
    <col min="13574" max="13574" width="11.75" style="57" customWidth="1"/>
    <col min="13575" max="13576" width="11" style="57" customWidth="1"/>
    <col min="13577" max="13582" width="10.125" style="57"/>
    <col min="13583" max="13583" width="0" style="57" hidden="1" customWidth="1"/>
    <col min="13584" max="13826" width="10.125" style="57"/>
    <col min="13827" max="13827" width="10.75" style="57" customWidth="1"/>
    <col min="13828" max="13829" width="10.125" style="57"/>
    <col min="13830" max="13830" width="11.75" style="57" customWidth="1"/>
    <col min="13831" max="13832" width="11" style="57" customWidth="1"/>
    <col min="13833" max="13838" width="10.125" style="57"/>
    <col min="13839" max="13839" width="0" style="57" hidden="1" customWidth="1"/>
    <col min="13840" max="14082" width="10.125" style="57"/>
    <col min="14083" max="14083" width="10.75" style="57" customWidth="1"/>
    <col min="14084" max="14085" width="10.125" style="57"/>
    <col min="14086" max="14086" width="11.75" style="57" customWidth="1"/>
    <col min="14087" max="14088" width="11" style="57" customWidth="1"/>
    <col min="14089" max="14094" width="10.125" style="57"/>
    <col min="14095" max="14095" width="0" style="57" hidden="1" customWidth="1"/>
    <col min="14096" max="14338" width="10.125" style="57"/>
    <col min="14339" max="14339" width="10.75" style="57" customWidth="1"/>
    <col min="14340" max="14341" width="10.125" style="57"/>
    <col min="14342" max="14342" width="11.75" style="57" customWidth="1"/>
    <col min="14343" max="14344" width="11" style="57" customWidth="1"/>
    <col min="14345" max="14350" width="10.125" style="57"/>
    <col min="14351" max="14351" width="0" style="57" hidden="1" customWidth="1"/>
    <col min="14352" max="14594" width="10.125" style="57"/>
    <col min="14595" max="14595" width="10.75" style="57" customWidth="1"/>
    <col min="14596" max="14597" width="10.125" style="57"/>
    <col min="14598" max="14598" width="11.75" style="57" customWidth="1"/>
    <col min="14599" max="14600" width="11" style="57" customWidth="1"/>
    <col min="14601" max="14606" width="10.125" style="57"/>
    <col min="14607" max="14607" width="0" style="57" hidden="1" customWidth="1"/>
    <col min="14608" max="14850" width="10.125" style="57"/>
    <col min="14851" max="14851" width="10.75" style="57" customWidth="1"/>
    <col min="14852" max="14853" width="10.125" style="57"/>
    <col min="14854" max="14854" width="11.75" style="57" customWidth="1"/>
    <col min="14855" max="14856" width="11" style="57" customWidth="1"/>
    <col min="14857" max="14862" width="10.125" style="57"/>
    <col min="14863" max="14863" width="0" style="57" hidden="1" customWidth="1"/>
    <col min="14864" max="15106" width="10.125" style="57"/>
    <col min="15107" max="15107" width="10.75" style="57" customWidth="1"/>
    <col min="15108" max="15109" width="10.125" style="57"/>
    <col min="15110" max="15110" width="11.75" style="57" customWidth="1"/>
    <col min="15111" max="15112" width="11" style="57" customWidth="1"/>
    <col min="15113" max="15118" width="10.125" style="57"/>
    <col min="15119" max="15119" width="0" style="57" hidden="1" customWidth="1"/>
    <col min="15120" max="15362" width="10.125" style="57"/>
    <col min="15363" max="15363" width="10.75" style="57" customWidth="1"/>
    <col min="15364" max="15365" width="10.125" style="57"/>
    <col min="15366" max="15366" width="11.75" style="57" customWidth="1"/>
    <col min="15367" max="15368" width="11" style="57" customWidth="1"/>
    <col min="15369" max="15374" width="10.125" style="57"/>
    <col min="15375" max="15375" width="0" style="57" hidden="1" customWidth="1"/>
    <col min="15376" max="15618" width="10.125" style="57"/>
    <col min="15619" max="15619" width="10.75" style="57" customWidth="1"/>
    <col min="15620" max="15621" width="10.125" style="57"/>
    <col min="15622" max="15622" width="11.75" style="57" customWidth="1"/>
    <col min="15623" max="15624" width="11" style="57" customWidth="1"/>
    <col min="15625" max="15630" width="10.125" style="57"/>
    <col min="15631" max="15631" width="0" style="57" hidden="1" customWidth="1"/>
    <col min="15632" max="15874" width="10.125" style="57"/>
    <col min="15875" max="15875" width="10.75" style="57" customWidth="1"/>
    <col min="15876" max="15877" width="10.125" style="57"/>
    <col min="15878" max="15878" width="11.75" style="57" customWidth="1"/>
    <col min="15879" max="15880" width="11" style="57" customWidth="1"/>
    <col min="15881" max="15886" width="10.125" style="57"/>
    <col min="15887" max="15887" width="0" style="57" hidden="1" customWidth="1"/>
    <col min="15888" max="16130" width="10.125" style="57"/>
    <col min="16131" max="16131" width="10.75" style="57" customWidth="1"/>
    <col min="16132" max="16133" width="10.125" style="57"/>
    <col min="16134" max="16134" width="11.75" style="57" customWidth="1"/>
    <col min="16135" max="16136" width="11" style="57" customWidth="1"/>
    <col min="16137" max="16142" width="10.125" style="57"/>
    <col min="16143" max="16143" width="0" style="57" hidden="1" customWidth="1"/>
    <col min="16144" max="16384" width="10.125" style="57"/>
  </cols>
  <sheetData>
    <row r="1" spans="1:15" s="50" customFormat="1" ht="67.5">
      <c r="A1" s="44" t="s">
        <v>0</v>
      </c>
      <c r="B1" s="45" t="s">
        <v>1</v>
      </c>
      <c r="C1" s="45" t="s">
        <v>2</v>
      </c>
      <c r="D1" s="46" t="s">
        <v>3</v>
      </c>
      <c r="E1" s="47" t="s">
        <v>4</v>
      </c>
      <c r="F1" s="59" t="s">
        <v>5</v>
      </c>
      <c r="G1" s="47" t="s">
        <v>6</v>
      </c>
      <c r="H1" s="59" t="s">
        <v>7</v>
      </c>
      <c r="I1" s="48" t="s">
        <v>8</v>
      </c>
      <c r="J1" s="59" t="s">
        <v>9</v>
      </c>
      <c r="K1" s="48" t="s">
        <v>10</v>
      </c>
      <c r="L1" s="59" t="s">
        <v>11</v>
      </c>
      <c r="M1" s="47" t="s">
        <v>12</v>
      </c>
      <c r="N1" s="47" t="s">
        <v>13</v>
      </c>
      <c r="O1" s="49" t="s">
        <v>14</v>
      </c>
    </row>
    <row r="2" spans="1:15">
      <c r="A2" s="51" t="s">
        <v>15</v>
      </c>
      <c r="B2" s="52">
        <v>1</v>
      </c>
      <c r="C2" s="52">
        <v>3</v>
      </c>
      <c r="D2" s="53">
        <v>2021</v>
      </c>
      <c r="E2" s="54">
        <f>SUBMETERING!P5+SUBMETERING!M5</f>
        <v>48817.769999998818</v>
      </c>
      <c r="F2" s="60">
        <v>0.67516900000000002</v>
      </c>
      <c r="G2" s="55">
        <f>SUBMETERING!K5</f>
        <v>3054</v>
      </c>
      <c r="H2" s="60">
        <v>3.95</v>
      </c>
      <c r="I2" s="55">
        <f>SUBMETERING!V5</f>
        <v>443.06</v>
      </c>
      <c r="J2" s="60">
        <v>4.8600000000000003</v>
      </c>
      <c r="K2" s="62">
        <f>SUBMETERING!R5*1000</f>
        <v>7000</v>
      </c>
      <c r="L2" s="60">
        <f>SUBMETERING!S5/TOTAL!K2</f>
        <v>0.41699999999999998</v>
      </c>
      <c r="M2" s="54">
        <f>(SUBMETERING!D5/100)*344</f>
        <v>196.0112</v>
      </c>
      <c r="N2" s="54">
        <f>'[1]Consommation mensuel énergie'!E10</f>
        <v>0</v>
      </c>
      <c r="O2" s="56" t="e">
        <f>E2*F2+G2*H2+#REF!*#REF!+I2*J2</f>
        <v>#REF!</v>
      </c>
    </row>
    <row r="3" spans="1:15">
      <c r="A3" s="51" t="s">
        <v>15</v>
      </c>
      <c r="B3" s="52">
        <f>B2+1</f>
        <v>2</v>
      </c>
      <c r="C3" s="52">
        <v>3</v>
      </c>
      <c r="D3" s="53">
        <v>2021</v>
      </c>
      <c r="E3" s="54">
        <f>SUBMETERING!P6+SUBMETERING!M6</f>
        <v>47507.949999999633</v>
      </c>
      <c r="F3" s="60">
        <f>F2</f>
        <v>0.67516900000000002</v>
      </c>
      <c r="G3" s="55">
        <f>SUBMETERING!K6</f>
        <v>3002</v>
      </c>
      <c r="H3" s="60">
        <f>H2</f>
        <v>3.95</v>
      </c>
      <c r="I3" s="55">
        <f>SUBMETERING!V6</f>
        <v>409.88</v>
      </c>
      <c r="J3" s="60">
        <f>J2</f>
        <v>4.8600000000000003</v>
      </c>
      <c r="K3" s="62">
        <f>SUBMETERING!R6*1000</f>
        <v>9000</v>
      </c>
      <c r="L3" s="60">
        <f>SUBMETERING!S6/TOTAL!K3</f>
        <v>0.41699999999999998</v>
      </c>
      <c r="M3" s="54">
        <f>(SUBMETERING!D6/100)*344</f>
        <v>242.00399999999996</v>
      </c>
      <c r="N3" s="54">
        <f>'[1]Consommation mensuel énergie'!E11</f>
        <v>0</v>
      </c>
      <c r="O3" s="56" t="e">
        <f>E3*F3+G3*H3+#REF!*#REF!+I3*J3</f>
        <v>#REF!</v>
      </c>
    </row>
    <row r="4" spans="1:15">
      <c r="A4" s="51" t="s">
        <v>15</v>
      </c>
      <c r="B4" s="52">
        <f t="shared" ref="B4:B32" si="0">B3+1</f>
        <v>3</v>
      </c>
      <c r="C4" s="52">
        <v>3</v>
      </c>
      <c r="D4" s="53">
        <v>2021</v>
      </c>
      <c r="E4" s="54">
        <f>SUBMETERING!P7+SUBMETERING!M7</f>
        <v>46639.76999999972</v>
      </c>
      <c r="F4" s="60">
        <f t="shared" ref="F4:F32" si="1">F3</f>
        <v>0.67516900000000002</v>
      </c>
      <c r="G4" s="55">
        <f>SUBMETERING!K7</f>
        <v>3048</v>
      </c>
      <c r="H4" s="60">
        <f t="shared" ref="H4:H32" si="2">H3</f>
        <v>3.95</v>
      </c>
      <c r="I4" s="55">
        <f>SUBMETERING!V7</f>
        <v>462.02</v>
      </c>
      <c r="J4" s="60">
        <f t="shared" ref="J4:J32" si="3">J3</f>
        <v>4.8600000000000003</v>
      </c>
      <c r="K4" s="62">
        <f>SUBMETERING!R7*1000</f>
        <v>7000</v>
      </c>
      <c r="L4" s="60">
        <f>SUBMETERING!S7/TOTAL!K4</f>
        <v>0.41699999999999998</v>
      </c>
      <c r="M4" s="54">
        <f>(SUBMETERING!D7/100)*344</f>
        <v>297.59440000000001</v>
      </c>
      <c r="N4" s="54">
        <f>'[1]Consommation mensuel énergie'!E12</f>
        <v>0</v>
      </c>
      <c r="O4" s="56" t="e">
        <f>E4*F4+G4*H4+#REF!*#REF!+I4*J4</f>
        <v>#REF!</v>
      </c>
    </row>
    <row r="5" spans="1:15">
      <c r="A5" s="51" t="s">
        <v>15</v>
      </c>
      <c r="B5" s="52">
        <f t="shared" si="0"/>
        <v>4</v>
      </c>
      <c r="C5" s="52">
        <v>3</v>
      </c>
      <c r="D5" s="53">
        <v>2021</v>
      </c>
      <c r="E5" s="54">
        <f>SUBMETERING!P8+SUBMETERING!M8</f>
        <v>44737.76999999836</v>
      </c>
      <c r="F5" s="60">
        <f t="shared" si="1"/>
        <v>0.67516900000000002</v>
      </c>
      <c r="G5" s="55">
        <f>SUBMETERING!K8</f>
        <v>3333</v>
      </c>
      <c r="H5" s="60">
        <f t="shared" si="2"/>
        <v>3.95</v>
      </c>
      <c r="I5" s="55">
        <f>SUBMETERING!V8</f>
        <v>428.84000000000003</v>
      </c>
      <c r="J5" s="60">
        <f t="shared" si="3"/>
        <v>4.8600000000000003</v>
      </c>
      <c r="K5" s="62">
        <f>SUBMETERING!R8*1000</f>
        <v>7000</v>
      </c>
      <c r="L5" s="60">
        <f>SUBMETERING!S8/TOTAL!K5</f>
        <v>0.41699999999999998</v>
      </c>
      <c r="M5" s="54">
        <f>(SUBMETERING!D8/100)*344</f>
        <v>275.99119999999999</v>
      </c>
      <c r="N5" s="54">
        <f>'[1]Consommation mensuel énergie'!E13</f>
        <v>0</v>
      </c>
      <c r="O5" s="56" t="e">
        <f>E5*F5+G5*H5+#REF!*#REF!+I5*J5</f>
        <v>#REF!</v>
      </c>
    </row>
    <row r="6" spans="1:15">
      <c r="A6" s="51" t="s">
        <v>15</v>
      </c>
      <c r="B6" s="52">
        <f t="shared" si="0"/>
        <v>5</v>
      </c>
      <c r="C6" s="52">
        <v>3</v>
      </c>
      <c r="D6" s="53">
        <v>2021</v>
      </c>
      <c r="E6" s="54">
        <f>SUBMETERING!P9+SUBMETERING!M9</f>
        <v>49152.950000003453</v>
      </c>
      <c r="F6" s="60">
        <f t="shared" si="1"/>
        <v>0.67516900000000002</v>
      </c>
      <c r="G6" s="55">
        <f>SUBMETERING!K9</f>
        <v>3509</v>
      </c>
      <c r="H6" s="60">
        <f t="shared" si="2"/>
        <v>3.95</v>
      </c>
      <c r="I6" s="55">
        <f>SUBMETERING!V9</f>
        <v>503.1</v>
      </c>
      <c r="J6" s="60">
        <f t="shared" si="3"/>
        <v>4.8600000000000003</v>
      </c>
      <c r="K6" s="62">
        <f>SUBMETERING!R9*1000</f>
        <v>9000</v>
      </c>
      <c r="L6" s="60">
        <f>SUBMETERING!S9/TOTAL!K6</f>
        <v>0.41699999999999998</v>
      </c>
      <c r="M6" s="54">
        <f>(SUBMETERING!D9/100)*344</f>
        <v>276.98879999999997</v>
      </c>
      <c r="N6" s="54">
        <f>'[1]Consommation mensuel énergie'!E14</f>
        <v>0</v>
      </c>
      <c r="O6" s="56" t="e">
        <f>E6*F6+G6*H6+#REF!*#REF!+I6*J6</f>
        <v>#REF!</v>
      </c>
    </row>
    <row r="7" spans="1:15">
      <c r="A7" s="51" t="s">
        <v>15</v>
      </c>
      <c r="B7" s="52">
        <f t="shared" si="0"/>
        <v>6</v>
      </c>
      <c r="C7" s="52">
        <v>3</v>
      </c>
      <c r="D7" s="53">
        <v>2021</v>
      </c>
      <c r="E7" s="54">
        <f>SUBMETERING!P10+SUBMETERING!M10</f>
        <v>52131.309999998179</v>
      </c>
      <c r="F7" s="60">
        <f t="shared" si="1"/>
        <v>0.67516900000000002</v>
      </c>
      <c r="G7" s="55">
        <f>SUBMETERING!K10</f>
        <v>3421</v>
      </c>
      <c r="H7" s="60">
        <f t="shared" si="2"/>
        <v>3.95</v>
      </c>
      <c r="I7" s="55">
        <f>SUBMETERING!V10</f>
        <v>555.24</v>
      </c>
      <c r="J7" s="60">
        <f t="shared" si="3"/>
        <v>4.8600000000000003</v>
      </c>
      <c r="K7" s="62">
        <f>SUBMETERING!R10*1000</f>
        <v>13000</v>
      </c>
      <c r="L7" s="60">
        <f>SUBMETERING!S10/TOTAL!K7</f>
        <v>0.41699999999999998</v>
      </c>
      <c r="M7" s="54">
        <f>(SUBMETERING!D10/100)*344</f>
        <v>305.988</v>
      </c>
      <c r="N7" s="54">
        <f>'[1]Consommation mensuel énergie'!E15</f>
        <v>0</v>
      </c>
      <c r="O7" s="56" t="e">
        <f>E7*F7+G7*H7+#REF!*#REF!+I7*J7</f>
        <v>#REF!</v>
      </c>
    </row>
    <row r="8" spans="1:15">
      <c r="A8" s="51" t="s">
        <v>15</v>
      </c>
      <c r="B8" s="52">
        <f t="shared" si="0"/>
        <v>7</v>
      </c>
      <c r="C8" s="52">
        <v>3</v>
      </c>
      <c r="D8" s="53">
        <v>2021</v>
      </c>
      <c r="E8" s="54">
        <f>SUBMETERING!P11+SUBMETERING!M11</f>
        <v>47479.359999999913</v>
      </c>
      <c r="F8" s="60">
        <f t="shared" si="1"/>
        <v>0.67516900000000002</v>
      </c>
      <c r="G8" s="55">
        <f>SUBMETERING!K11</f>
        <v>3325</v>
      </c>
      <c r="H8" s="60">
        <f t="shared" si="2"/>
        <v>3.95</v>
      </c>
      <c r="I8" s="55">
        <f>SUBMETERING!V11</f>
        <v>503.1</v>
      </c>
      <c r="J8" s="60">
        <f t="shared" si="3"/>
        <v>4.8600000000000003</v>
      </c>
      <c r="K8" s="62">
        <f>SUBMETERING!R11*1000</f>
        <v>8000</v>
      </c>
      <c r="L8" s="60">
        <f>SUBMETERING!S11/TOTAL!K8</f>
        <v>0.41699999999999998</v>
      </c>
      <c r="M8" s="54">
        <f>(SUBMETERING!D11/100)*344</f>
        <v>226.00800000000001</v>
      </c>
      <c r="N8" s="54">
        <f>'[1]Consommation mensuel énergie'!E16</f>
        <v>0</v>
      </c>
      <c r="O8" s="56" t="e">
        <f>E8*F8+G8*H8+#REF!*#REF!+I8*J8</f>
        <v>#REF!</v>
      </c>
    </row>
    <row r="9" spans="1:15">
      <c r="A9" s="51" t="s">
        <v>15</v>
      </c>
      <c r="B9" s="52">
        <f t="shared" si="0"/>
        <v>8</v>
      </c>
      <c r="C9" s="52">
        <v>3</v>
      </c>
      <c r="D9" s="53">
        <v>2021</v>
      </c>
      <c r="E9" s="54">
        <f>SUBMETERING!P12+SUBMETERING!M12</f>
        <v>50027.360000000815</v>
      </c>
      <c r="F9" s="60">
        <f t="shared" si="1"/>
        <v>0.67516900000000002</v>
      </c>
      <c r="G9" s="55">
        <f>SUBMETERING!K12</f>
        <v>3170</v>
      </c>
      <c r="H9" s="60">
        <f t="shared" si="2"/>
        <v>3.95</v>
      </c>
      <c r="I9" s="55">
        <f>SUBMETERING!V12</f>
        <v>526.79999999999995</v>
      </c>
      <c r="J9" s="60">
        <f t="shared" si="3"/>
        <v>4.8600000000000003</v>
      </c>
      <c r="K9" s="62">
        <f>SUBMETERING!R12*1000</f>
        <v>8000</v>
      </c>
      <c r="L9" s="60">
        <f>SUBMETERING!S12/TOTAL!K9</f>
        <v>0.41699999999999998</v>
      </c>
      <c r="M9" s="54">
        <f>(SUBMETERING!D12/100)*344</f>
        <v>239.01120000000003</v>
      </c>
      <c r="N9" s="54">
        <f>'[1]Consommation mensuel énergie'!E17</f>
        <v>0</v>
      </c>
      <c r="O9" s="56" t="e">
        <f>E9*F9+G9*H9+#REF!*#REF!+I9*J9</f>
        <v>#REF!</v>
      </c>
    </row>
    <row r="10" spans="1:15">
      <c r="A10" s="51" t="s">
        <v>15</v>
      </c>
      <c r="B10" s="52">
        <f t="shared" si="0"/>
        <v>9</v>
      </c>
      <c r="C10" s="52">
        <v>3</v>
      </c>
      <c r="D10" s="53">
        <v>2021</v>
      </c>
      <c r="E10" s="54">
        <f>SUBMETERING!P13+SUBMETERING!M13</f>
        <v>52892.310000000543</v>
      </c>
      <c r="F10" s="60">
        <f t="shared" si="1"/>
        <v>0.67516900000000002</v>
      </c>
      <c r="G10" s="55">
        <f>SUBMETERING!K13</f>
        <v>3127</v>
      </c>
      <c r="H10" s="60">
        <f t="shared" si="2"/>
        <v>3.95</v>
      </c>
      <c r="I10" s="55">
        <f>SUBMETERING!V13</f>
        <v>449.38</v>
      </c>
      <c r="J10" s="60">
        <f t="shared" si="3"/>
        <v>4.8600000000000003</v>
      </c>
      <c r="K10" s="62">
        <f>SUBMETERING!R13*1000</f>
        <v>13000</v>
      </c>
      <c r="L10" s="60">
        <f>SUBMETERING!S13/TOTAL!K10</f>
        <v>0.41699999999999998</v>
      </c>
      <c r="M10" s="54">
        <f>(SUBMETERING!D13/100)*344</f>
        <v>313.00559999999996</v>
      </c>
      <c r="N10" s="54">
        <f>'[1]Consommation mensuel énergie'!E18</f>
        <v>0</v>
      </c>
      <c r="O10" s="56" t="e">
        <f>E10*F10+G10*H10+#REF!*#REF!+I10*J10</f>
        <v>#REF!</v>
      </c>
    </row>
    <row r="11" spans="1:15">
      <c r="A11" s="51" t="s">
        <v>15</v>
      </c>
      <c r="B11" s="52">
        <f t="shared" si="0"/>
        <v>10</v>
      </c>
      <c r="C11" s="52">
        <v>3</v>
      </c>
      <c r="D11" s="53">
        <v>2021</v>
      </c>
      <c r="E11" s="54">
        <f>SUBMETERING!P14+SUBMETERING!M14</f>
        <v>49954.539999998997</v>
      </c>
      <c r="F11" s="60">
        <f t="shared" si="1"/>
        <v>0.67516900000000002</v>
      </c>
      <c r="G11" s="55">
        <f>SUBMETERING!K14</f>
        <v>3144</v>
      </c>
      <c r="H11" s="60">
        <f t="shared" si="2"/>
        <v>3.95</v>
      </c>
      <c r="I11" s="55">
        <f>SUBMETERING!V14</f>
        <v>528.38</v>
      </c>
      <c r="J11" s="60">
        <f t="shared" si="3"/>
        <v>4.8600000000000003</v>
      </c>
      <c r="K11" s="62">
        <f>SUBMETERING!R14*1000</f>
        <v>10000</v>
      </c>
      <c r="L11" s="60">
        <f>SUBMETERING!S14/TOTAL!K11</f>
        <v>0.41699999999999998</v>
      </c>
      <c r="M11" s="54">
        <f>(SUBMETERING!D14/100)*344</f>
        <v>332.99199999999996</v>
      </c>
      <c r="N11" s="54">
        <f>'[1]Consommation mensuel énergie'!E19</f>
        <v>0</v>
      </c>
      <c r="O11" s="56" t="e">
        <f>E11*F11+G11*H11+#REF!*#REF!+I11*J11</f>
        <v>#REF!</v>
      </c>
    </row>
    <row r="12" spans="1:15">
      <c r="A12" s="51" t="s">
        <v>15</v>
      </c>
      <c r="B12" s="52">
        <f t="shared" si="0"/>
        <v>11</v>
      </c>
      <c r="C12" s="52">
        <v>3</v>
      </c>
      <c r="D12" s="53">
        <v>2021</v>
      </c>
      <c r="E12" s="54">
        <f>SUBMETERING!P15+SUBMETERING!M15</f>
        <v>52613.949999999357</v>
      </c>
      <c r="F12" s="60">
        <f t="shared" si="1"/>
        <v>0.67516900000000002</v>
      </c>
      <c r="G12" s="55">
        <f>SUBMETERING!K15</f>
        <v>3311</v>
      </c>
      <c r="H12" s="60">
        <f t="shared" si="2"/>
        <v>3.95</v>
      </c>
      <c r="I12" s="55">
        <f>SUBMETERING!V15</f>
        <v>618.44000000000005</v>
      </c>
      <c r="J12" s="60">
        <f t="shared" si="3"/>
        <v>4.8600000000000003</v>
      </c>
      <c r="K12" s="62">
        <f>SUBMETERING!R15*1000</f>
        <v>9000</v>
      </c>
      <c r="L12" s="60">
        <f>SUBMETERING!S15/TOTAL!K12</f>
        <v>0.41699999999999998</v>
      </c>
      <c r="M12" s="54">
        <f>(SUBMETERING!D15/100)*344</f>
        <v>332.99199999999996</v>
      </c>
      <c r="N12" s="54">
        <f>'[1]Consommation mensuel énergie'!E20</f>
        <v>0</v>
      </c>
      <c r="O12" s="56" t="e">
        <f>E12*F12+G12*H12+#REF!*#REF!+I12*J12</f>
        <v>#REF!</v>
      </c>
    </row>
    <row r="13" spans="1:15">
      <c r="A13" s="51" t="s">
        <v>15</v>
      </c>
      <c r="B13" s="52">
        <f t="shared" si="0"/>
        <v>12</v>
      </c>
      <c r="C13" s="52">
        <v>3</v>
      </c>
      <c r="D13" s="53">
        <v>2021</v>
      </c>
      <c r="E13" s="54">
        <f>SUBMETERING!P16+SUBMETERING!M16</f>
        <v>57658.490000001089</v>
      </c>
      <c r="F13" s="60">
        <f t="shared" si="1"/>
        <v>0.67516900000000002</v>
      </c>
      <c r="G13" s="55">
        <f>SUBMETERING!K16</f>
        <v>3436</v>
      </c>
      <c r="H13" s="60">
        <f t="shared" si="2"/>
        <v>3.95</v>
      </c>
      <c r="I13" s="55">
        <f>SUBMETERING!V16</f>
        <v>403.56</v>
      </c>
      <c r="J13" s="60">
        <f t="shared" si="3"/>
        <v>4.8600000000000003</v>
      </c>
      <c r="K13" s="62">
        <f>SUBMETERING!R16*1000</f>
        <v>15000</v>
      </c>
      <c r="L13" s="60">
        <f>SUBMETERING!S16/TOTAL!K13</f>
        <v>0.41699999999999998</v>
      </c>
      <c r="M13" s="54">
        <f>(SUBMETERING!D16/100)*344</f>
        <v>316.99600000000004</v>
      </c>
      <c r="N13" s="54">
        <f>'[1]Consommation mensuel énergie'!E21</f>
        <v>0</v>
      </c>
      <c r="O13" s="56" t="e">
        <f>E13*F13+G13*H13+#REF!*#REF!+I13*J13</f>
        <v>#REF!</v>
      </c>
    </row>
    <row r="14" spans="1:15">
      <c r="A14" s="51" t="s">
        <v>15</v>
      </c>
      <c r="B14" s="52">
        <f t="shared" si="0"/>
        <v>13</v>
      </c>
      <c r="C14" s="52">
        <v>3</v>
      </c>
      <c r="D14" s="53">
        <v>2021</v>
      </c>
      <c r="E14" s="54">
        <f>SUBMETERING!P17+SUBMETERING!M17</f>
        <v>53678.310000000085</v>
      </c>
      <c r="F14" s="60">
        <f t="shared" si="1"/>
        <v>0.67516900000000002</v>
      </c>
      <c r="G14" s="55">
        <f>SUBMETERING!K17</f>
        <v>3450</v>
      </c>
      <c r="H14" s="60">
        <f t="shared" si="2"/>
        <v>3.95</v>
      </c>
      <c r="I14" s="55">
        <f>SUBMETERING!V17</f>
        <v>575.78</v>
      </c>
      <c r="J14" s="60">
        <f t="shared" si="3"/>
        <v>4.8600000000000003</v>
      </c>
      <c r="K14" s="62">
        <f>SUBMETERING!R17*1000</f>
        <v>13000</v>
      </c>
      <c r="L14" s="60">
        <f>SUBMETERING!S17/TOTAL!K14</f>
        <v>0.41699999999999998</v>
      </c>
      <c r="M14" s="54">
        <f>(SUBMETERING!D17/100)*344</f>
        <v>331.99440000000004</v>
      </c>
      <c r="N14" s="54">
        <f>'[1]Consommation mensuel énergie'!E22</f>
        <v>0</v>
      </c>
      <c r="O14" s="56" t="e">
        <f>E14*F14+G14*H14+#REF!*#REF!+I14*J14</f>
        <v>#REF!</v>
      </c>
    </row>
    <row r="15" spans="1:15">
      <c r="A15" s="51" t="s">
        <v>15</v>
      </c>
      <c r="B15" s="52">
        <f t="shared" si="0"/>
        <v>14</v>
      </c>
      <c r="C15" s="52">
        <v>3</v>
      </c>
      <c r="D15" s="53">
        <v>2021</v>
      </c>
      <c r="E15" s="54">
        <f>SUBMETERING!P18+SUBMETERING!M18</f>
        <v>54613.719999999274</v>
      </c>
      <c r="F15" s="60">
        <f t="shared" si="1"/>
        <v>0.67516900000000002</v>
      </c>
      <c r="G15" s="55">
        <f>SUBMETERING!K18</f>
        <v>3527</v>
      </c>
      <c r="H15" s="60">
        <f t="shared" si="2"/>
        <v>3.95</v>
      </c>
      <c r="I15" s="55">
        <f>SUBMETERING!V18</f>
        <v>559.98</v>
      </c>
      <c r="J15" s="60">
        <f t="shared" si="3"/>
        <v>4.8600000000000003</v>
      </c>
      <c r="K15" s="62">
        <f>SUBMETERING!R18*1000</f>
        <v>12000</v>
      </c>
      <c r="L15" s="60">
        <f>SUBMETERING!S18/TOTAL!K15</f>
        <v>0.41699999999999998</v>
      </c>
      <c r="M15" s="54">
        <f>(SUBMETERING!D18/100)*344</f>
        <v>218.99039999999999</v>
      </c>
      <c r="N15" s="54">
        <f>'[1]Consommation mensuel énergie'!E23</f>
        <v>0</v>
      </c>
      <c r="O15" s="56" t="e">
        <f>E15*F15+G15*H15+#REF!*#REF!+I15*J15</f>
        <v>#REF!</v>
      </c>
    </row>
    <row r="16" spans="1:15">
      <c r="A16" s="51" t="s">
        <v>15</v>
      </c>
      <c r="B16" s="52">
        <f t="shared" si="0"/>
        <v>15</v>
      </c>
      <c r="C16" s="52">
        <v>3</v>
      </c>
      <c r="D16" s="53">
        <v>2021</v>
      </c>
      <c r="E16" s="54">
        <f>SUBMETERING!P19+SUBMETERING!M19</f>
        <v>53338.12999999991</v>
      </c>
      <c r="F16" s="60">
        <f t="shared" si="1"/>
        <v>0.67516900000000002</v>
      </c>
      <c r="G16" s="55">
        <f>SUBMETERING!K19</f>
        <v>3174</v>
      </c>
      <c r="H16" s="60">
        <f t="shared" si="2"/>
        <v>3.95</v>
      </c>
      <c r="I16" s="55">
        <f>SUBMETERING!V19</f>
        <v>544.18000000000006</v>
      </c>
      <c r="J16" s="60">
        <f t="shared" si="3"/>
        <v>4.8600000000000003</v>
      </c>
      <c r="K16" s="62">
        <f>SUBMETERING!R19*1000</f>
        <v>11000</v>
      </c>
      <c r="L16" s="60">
        <f>SUBMETERING!S19/TOTAL!K16</f>
        <v>0.41699999999999998</v>
      </c>
      <c r="M16" s="54">
        <f>(SUBMETERING!D19/100)*344</f>
        <v>276.98879999999997</v>
      </c>
      <c r="N16" s="54">
        <f>'[1]Consommation mensuel énergie'!E24</f>
        <v>0</v>
      </c>
      <c r="O16" s="56" t="e">
        <f>E16*F16+G16*H16+#REF!*#REF!+I16*J16</f>
        <v>#REF!</v>
      </c>
    </row>
    <row r="17" spans="1:15">
      <c r="A17" s="51" t="s">
        <v>15</v>
      </c>
      <c r="B17" s="52">
        <f t="shared" si="0"/>
        <v>16</v>
      </c>
      <c r="C17" s="52">
        <v>3</v>
      </c>
      <c r="D17" s="53">
        <v>2021</v>
      </c>
      <c r="E17" s="54">
        <f>SUBMETERING!P20+SUBMETERING!M20</f>
        <v>54320.129999999452</v>
      </c>
      <c r="F17" s="60">
        <f t="shared" si="1"/>
        <v>0.67516900000000002</v>
      </c>
      <c r="G17" s="55">
        <f>SUBMETERING!K20</f>
        <v>3135</v>
      </c>
      <c r="H17" s="60">
        <f t="shared" si="2"/>
        <v>3.95</v>
      </c>
      <c r="I17" s="55">
        <f>SUBMETERING!V20</f>
        <v>528.38</v>
      </c>
      <c r="J17" s="60">
        <f t="shared" si="3"/>
        <v>4.8600000000000003</v>
      </c>
      <c r="K17" s="62">
        <f>SUBMETERING!R20*1000</f>
        <v>11000</v>
      </c>
      <c r="L17" s="60">
        <f>SUBMETERING!S20/TOTAL!K17</f>
        <v>0.41699999999999998</v>
      </c>
      <c r="M17" s="54">
        <f>(SUBMETERING!D20/100)*344</f>
        <v>286.0016</v>
      </c>
      <c r="N17" s="54">
        <f>'[1]Consommation mensuel énergie'!E25</f>
        <v>0</v>
      </c>
      <c r="O17" s="56" t="e">
        <f>E17*F17+G17*H17+#REF!*#REF!+I17*J17</f>
        <v>#REF!</v>
      </c>
    </row>
    <row r="18" spans="1:15">
      <c r="A18" s="51" t="s">
        <v>15</v>
      </c>
      <c r="B18" s="52">
        <f t="shared" si="0"/>
        <v>17</v>
      </c>
      <c r="C18" s="52">
        <v>3</v>
      </c>
      <c r="D18" s="53">
        <v>2021</v>
      </c>
      <c r="E18" s="54">
        <f>SUBMETERING!P21+SUBMETERING!M21</f>
        <v>58208.720000002184</v>
      </c>
      <c r="F18" s="60">
        <f t="shared" si="1"/>
        <v>0.67516900000000002</v>
      </c>
      <c r="G18" s="55">
        <f>SUBMETERING!K21</f>
        <v>3109</v>
      </c>
      <c r="H18" s="60">
        <f t="shared" si="2"/>
        <v>3.95</v>
      </c>
      <c r="I18" s="55">
        <f>SUBMETERING!V21</f>
        <v>512.58000000000004</v>
      </c>
      <c r="J18" s="60">
        <f t="shared" si="3"/>
        <v>4.8600000000000003</v>
      </c>
      <c r="K18" s="62">
        <f>SUBMETERING!R21*1000</f>
        <v>12000</v>
      </c>
      <c r="L18" s="60">
        <f>SUBMETERING!S21/TOTAL!K18</f>
        <v>0.41699999999999998</v>
      </c>
      <c r="M18" s="54">
        <f>(SUBMETERING!D21/100)*344</f>
        <v>310.01280000000003</v>
      </c>
      <c r="N18" s="54">
        <f>'[1]Consommation mensuel énergie'!E26</f>
        <v>0</v>
      </c>
      <c r="O18" s="56" t="e">
        <f>E18*F18+G18*H18+#REF!*#REF!+I18*J18</f>
        <v>#REF!</v>
      </c>
    </row>
    <row r="19" spans="1:15">
      <c r="A19" s="51" t="s">
        <v>15</v>
      </c>
      <c r="B19" s="52">
        <f t="shared" si="0"/>
        <v>18</v>
      </c>
      <c r="C19" s="52">
        <v>3</v>
      </c>
      <c r="D19" s="53">
        <v>2021</v>
      </c>
      <c r="E19" s="54">
        <f>SUBMETERING!P22+SUBMETERING!M22</f>
        <v>58920.489999998361</v>
      </c>
      <c r="F19" s="60">
        <f t="shared" si="1"/>
        <v>0.67516900000000002</v>
      </c>
      <c r="G19" s="55">
        <f>SUBMETERING!K22</f>
        <v>3244</v>
      </c>
      <c r="H19" s="60">
        <f t="shared" si="2"/>
        <v>3.95</v>
      </c>
      <c r="I19" s="55">
        <f>SUBMETERING!V22</f>
        <v>601.05999999999995</v>
      </c>
      <c r="J19" s="60">
        <f t="shared" si="3"/>
        <v>4.8600000000000003</v>
      </c>
      <c r="K19" s="62">
        <f>SUBMETERING!R22*1000</f>
        <v>15000</v>
      </c>
      <c r="L19" s="60">
        <f>SUBMETERING!S22/TOTAL!K19</f>
        <v>0.41699999999999998</v>
      </c>
      <c r="M19" s="54">
        <f>(SUBMETERING!D22/100)*344</f>
        <v>305.988</v>
      </c>
      <c r="N19" s="54">
        <f>'[1]Consommation mensuel énergie'!E27</f>
        <v>0</v>
      </c>
      <c r="O19" s="56" t="e">
        <f>E19*F19+G19*H19+#REF!*#REF!+I19*J19</f>
        <v>#REF!</v>
      </c>
    </row>
    <row r="20" spans="1:15">
      <c r="A20" s="51" t="s">
        <v>15</v>
      </c>
      <c r="B20" s="52">
        <f t="shared" si="0"/>
        <v>19</v>
      </c>
      <c r="C20" s="52">
        <v>3</v>
      </c>
      <c r="D20" s="53">
        <v>2021</v>
      </c>
      <c r="E20" s="54">
        <f>SUBMETERING!P23+SUBMETERING!M23</f>
        <v>59767.490000000274</v>
      </c>
      <c r="F20" s="60">
        <f t="shared" si="1"/>
        <v>0.67516900000000002</v>
      </c>
      <c r="G20" s="55">
        <f>SUBMETERING!K23</f>
        <v>3225</v>
      </c>
      <c r="H20" s="60">
        <f t="shared" si="2"/>
        <v>3.95</v>
      </c>
      <c r="I20" s="55">
        <f>SUBMETERING!V23</f>
        <v>547.34</v>
      </c>
      <c r="J20" s="60">
        <f t="shared" si="3"/>
        <v>4.8600000000000003</v>
      </c>
      <c r="K20" s="62">
        <f>SUBMETERING!R23*1000</f>
        <v>15000</v>
      </c>
      <c r="L20" s="60">
        <f>SUBMETERING!S23/TOTAL!K20</f>
        <v>0.41699999999999998</v>
      </c>
      <c r="M20" s="54">
        <f>(SUBMETERING!D23/100)*344</f>
        <v>307.98320000000001</v>
      </c>
      <c r="N20" s="54">
        <f>'[1]Consommation mensuel énergie'!E28</f>
        <v>0</v>
      </c>
      <c r="O20" s="56" t="e">
        <f>E20*F20+G20*H20+#REF!*#REF!+I20*J20</f>
        <v>#REF!</v>
      </c>
    </row>
    <row r="21" spans="1:15">
      <c r="A21" s="51" t="s">
        <v>15</v>
      </c>
      <c r="B21" s="52">
        <f t="shared" si="0"/>
        <v>20</v>
      </c>
      <c r="C21" s="52">
        <v>3</v>
      </c>
      <c r="D21" s="53">
        <v>2021</v>
      </c>
      <c r="E21" s="54">
        <f>SUBMETERING!P24+SUBMETERING!M24</f>
        <v>59454.309999999634</v>
      </c>
      <c r="F21" s="60">
        <f t="shared" si="1"/>
        <v>0.67516900000000002</v>
      </c>
      <c r="G21" s="55">
        <f>SUBMETERING!K24</f>
        <v>3367</v>
      </c>
      <c r="H21" s="60">
        <f t="shared" si="2"/>
        <v>3.95</v>
      </c>
      <c r="I21" s="55">
        <f>SUBMETERING!V24</f>
        <v>654.78</v>
      </c>
      <c r="J21" s="60">
        <f t="shared" si="3"/>
        <v>4.8600000000000003</v>
      </c>
      <c r="K21" s="62">
        <f>SUBMETERING!R24*1000</f>
        <v>13000</v>
      </c>
      <c r="L21" s="60">
        <f>SUBMETERING!S24/TOTAL!K21</f>
        <v>0.41699999999999998</v>
      </c>
      <c r="M21" s="54">
        <f>(SUBMETERING!D24/100)*344</f>
        <v>326.00880000000001</v>
      </c>
      <c r="N21" s="54">
        <f>'[1]Consommation mensuel énergie'!E29</f>
        <v>0</v>
      </c>
      <c r="O21" s="56" t="e">
        <f>E21*F21+G21*H21+#REF!*#REF!+I21*J21</f>
        <v>#REF!</v>
      </c>
    </row>
    <row r="22" spans="1:15">
      <c r="A22" s="51" t="s">
        <v>15</v>
      </c>
      <c r="B22" s="52">
        <f t="shared" si="0"/>
        <v>21</v>
      </c>
      <c r="C22" s="52">
        <v>3</v>
      </c>
      <c r="D22" s="53">
        <v>2021</v>
      </c>
      <c r="E22" s="54">
        <f>SUBMETERING!P25+SUBMETERING!M25</f>
        <v>51405.489999999721</v>
      </c>
      <c r="F22" s="60">
        <f t="shared" si="1"/>
        <v>0.67516900000000002</v>
      </c>
      <c r="G22" s="55">
        <f>SUBMETERING!K25</f>
        <v>3103</v>
      </c>
      <c r="H22" s="60">
        <f t="shared" si="2"/>
        <v>3.95</v>
      </c>
      <c r="I22" s="55">
        <f>SUBMETERING!V25</f>
        <v>545.76</v>
      </c>
      <c r="J22" s="60">
        <f t="shared" si="3"/>
        <v>4.8600000000000003</v>
      </c>
      <c r="K22" s="62">
        <f>SUBMETERING!R25*1000</f>
        <v>15000</v>
      </c>
      <c r="L22" s="60">
        <f>SUBMETERING!S25/TOTAL!K22</f>
        <v>0.41699999999999998</v>
      </c>
      <c r="M22" s="54">
        <f>(SUBMETERING!D25/100)*344</f>
        <v>252.01440000000002</v>
      </c>
      <c r="N22" s="54">
        <f>'[1]Consommation mensuel énergie'!E30</f>
        <v>0</v>
      </c>
      <c r="O22" s="56" t="e">
        <f>E22*F22+G22*H22+#REF!*#REF!+I22*J22</f>
        <v>#REF!</v>
      </c>
    </row>
    <row r="23" spans="1:15">
      <c r="A23" s="51" t="s">
        <v>15</v>
      </c>
      <c r="B23" s="52">
        <f t="shared" si="0"/>
        <v>22</v>
      </c>
      <c r="C23" s="52">
        <v>3</v>
      </c>
      <c r="D23" s="53">
        <v>2021</v>
      </c>
      <c r="E23" s="54">
        <f>SUBMETERING!P26+SUBMETERING!M26</f>
        <v>46677.950000000448</v>
      </c>
      <c r="F23" s="60">
        <f t="shared" si="1"/>
        <v>0.67516900000000002</v>
      </c>
      <c r="G23" s="55">
        <f>SUBMETERING!K26</f>
        <v>3040</v>
      </c>
      <c r="H23" s="60">
        <f t="shared" si="2"/>
        <v>3.95</v>
      </c>
      <c r="I23" s="55">
        <f>SUBMETERING!V26</f>
        <v>553.66000000000008</v>
      </c>
      <c r="J23" s="60">
        <f t="shared" si="3"/>
        <v>4.8600000000000003</v>
      </c>
      <c r="K23" s="62">
        <f>SUBMETERING!R26*1000</f>
        <v>9000</v>
      </c>
      <c r="L23" s="60">
        <f>SUBMETERING!S26/TOTAL!K23</f>
        <v>0.41699999999999998</v>
      </c>
      <c r="M23" s="54">
        <f>(SUBMETERING!D26/100)*344</f>
        <v>230.99600000000004</v>
      </c>
      <c r="N23" s="54">
        <f>'[1]Consommation mensuel énergie'!E31</f>
        <v>0</v>
      </c>
      <c r="O23" s="56" t="e">
        <f>E23*F23+G23*H23+#REF!*#REF!+I23*J23</f>
        <v>#REF!</v>
      </c>
    </row>
    <row r="24" spans="1:15">
      <c r="A24" s="51" t="s">
        <v>15</v>
      </c>
      <c r="B24" s="52">
        <f t="shared" si="0"/>
        <v>23</v>
      </c>
      <c r="C24" s="52">
        <v>3</v>
      </c>
      <c r="D24" s="53">
        <v>2021</v>
      </c>
      <c r="E24" s="54">
        <f>SUBMETERING!P27+SUBMETERING!M27</f>
        <v>47733.130000000448</v>
      </c>
      <c r="F24" s="60">
        <f t="shared" si="1"/>
        <v>0.67516900000000002</v>
      </c>
      <c r="G24" s="55">
        <f>SUBMETERING!K27</f>
        <v>3237</v>
      </c>
      <c r="H24" s="60">
        <f t="shared" si="2"/>
        <v>3.95</v>
      </c>
      <c r="I24" s="55">
        <f>SUBMETERING!V27</f>
        <v>367.22</v>
      </c>
      <c r="J24" s="60">
        <f t="shared" si="3"/>
        <v>4.8600000000000003</v>
      </c>
      <c r="K24" s="62">
        <f>SUBMETERING!R27*1000</f>
        <v>11000</v>
      </c>
      <c r="L24" s="60">
        <f>SUBMETERING!S27/TOTAL!K24</f>
        <v>0.41699999999999998</v>
      </c>
      <c r="M24" s="54">
        <f>(SUBMETERING!D27/100)*344</f>
        <v>293.84480000000002</v>
      </c>
      <c r="N24" s="54">
        <f>'[1]Consommation mensuel énergie'!E32</f>
        <v>0</v>
      </c>
      <c r="O24" s="56" t="e">
        <f>E24*F24+G24*H24+#REF!*#REF!+I24*J24</f>
        <v>#REF!</v>
      </c>
    </row>
    <row r="25" spans="1:15">
      <c r="A25" s="51" t="s">
        <v>15</v>
      </c>
      <c r="B25" s="52">
        <f t="shared" si="0"/>
        <v>24</v>
      </c>
      <c r="C25" s="52">
        <v>3</v>
      </c>
      <c r="D25" s="53">
        <v>2021</v>
      </c>
      <c r="E25" s="54">
        <f>SUBMETERING!P28+SUBMETERING!M28</f>
        <v>50290.130000001089</v>
      </c>
      <c r="F25" s="60">
        <f t="shared" si="1"/>
        <v>0.67516900000000002</v>
      </c>
      <c r="G25" s="55">
        <f>SUBMETERING!K28</f>
        <v>3084</v>
      </c>
      <c r="H25" s="60">
        <f t="shared" si="2"/>
        <v>3.95</v>
      </c>
      <c r="I25" s="55">
        <f>SUBMETERING!V28</f>
        <v>613.70000000000005</v>
      </c>
      <c r="J25" s="60">
        <f t="shared" si="3"/>
        <v>4.8600000000000003</v>
      </c>
      <c r="K25" s="62">
        <f>SUBMETERING!R28*1000</f>
        <v>11000</v>
      </c>
      <c r="L25" s="60">
        <f>SUBMETERING!S28/TOTAL!K25</f>
        <v>0.41699999999999998</v>
      </c>
      <c r="M25" s="54">
        <f>(SUBMETERING!D28/100)*344</f>
        <v>253.73440000000002</v>
      </c>
      <c r="N25" s="54">
        <f>'[1]Consommation mensuel énergie'!E33</f>
        <v>0</v>
      </c>
      <c r="O25" s="56" t="e">
        <f>E25*F25+G25*H25+#REF!*#REF!+I25*J25</f>
        <v>#REF!</v>
      </c>
    </row>
    <row r="26" spans="1:15">
      <c r="A26" s="51" t="s">
        <v>15</v>
      </c>
      <c r="B26" s="52">
        <f>B25+1</f>
        <v>25</v>
      </c>
      <c r="C26" s="52">
        <v>3</v>
      </c>
      <c r="D26" s="53">
        <v>2021</v>
      </c>
      <c r="E26" s="54">
        <f>SUBMETERING!P29+SUBMETERING!M29</f>
        <v>50823.129999996905</v>
      </c>
      <c r="F26" s="60">
        <f t="shared" si="1"/>
        <v>0.67516900000000002</v>
      </c>
      <c r="G26" s="55">
        <f>SUBMETERING!K29</f>
        <v>3109</v>
      </c>
      <c r="H26" s="60">
        <f t="shared" si="2"/>
        <v>3.95</v>
      </c>
      <c r="I26" s="55">
        <f>SUBMETERING!V29</f>
        <v>484.14</v>
      </c>
      <c r="J26" s="60">
        <f t="shared" si="3"/>
        <v>4.8600000000000003</v>
      </c>
      <c r="K26" s="62">
        <f>SUBMETERING!R29*1000</f>
        <v>11000</v>
      </c>
      <c r="L26" s="60">
        <f>SUBMETERING!S29/TOTAL!K26</f>
        <v>0.41699999999999998</v>
      </c>
      <c r="M26" s="54">
        <f>(SUBMETERING!D29/100)*344</f>
        <v>280.01600000000002</v>
      </c>
      <c r="N26" s="54">
        <f>'[1]Consommation mensuel énergie'!E34</f>
        <v>0</v>
      </c>
      <c r="O26" s="56" t="e">
        <f>E26*F26+G26*H26+#REF!*#REF!+I26*J26</f>
        <v>#REF!</v>
      </c>
    </row>
    <row r="27" spans="1:15">
      <c r="A27" s="51" t="s">
        <v>15</v>
      </c>
      <c r="B27" s="52">
        <f t="shared" si="0"/>
        <v>26</v>
      </c>
      <c r="C27" s="52">
        <v>3</v>
      </c>
      <c r="D27" s="53">
        <v>2021</v>
      </c>
      <c r="E27" s="54">
        <f>SUBMETERING!P30+SUBMETERING!M30</f>
        <v>52844.72000000273</v>
      </c>
      <c r="F27" s="60">
        <f t="shared" si="1"/>
        <v>0.67516900000000002</v>
      </c>
      <c r="G27" s="55">
        <f>SUBMETERING!K30</f>
        <v>3268</v>
      </c>
      <c r="H27" s="60">
        <f t="shared" si="2"/>
        <v>3.95</v>
      </c>
      <c r="I27" s="55">
        <f>SUBMETERING!V30</f>
        <v>662.68000000000006</v>
      </c>
      <c r="J27" s="60">
        <f t="shared" si="3"/>
        <v>4.8600000000000003</v>
      </c>
      <c r="K27" s="62">
        <f>SUBMETERING!R30*1000</f>
        <v>12000</v>
      </c>
      <c r="L27" s="60">
        <f>SUBMETERING!S30/TOTAL!K27</f>
        <v>0.41699999999999998</v>
      </c>
      <c r="M27" s="54">
        <f>(SUBMETERING!D30/100)*344</f>
        <v>316.99600000000004</v>
      </c>
      <c r="N27" s="54">
        <f>'[1]Consommation mensuel énergie'!E35</f>
        <v>0</v>
      </c>
      <c r="O27" s="56" t="e">
        <f>E27*F27+G27*H27+#REF!*#REF!+I27*J27</f>
        <v>#REF!</v>
      </c>
    </row>
    <row r="28" spans="1:15">
      <c r="A28" s="51" t="s">
        <v>15</v>
      </c>
      <c r="B28" s="52">
        <f t="shared" si="0"/>
        <v>27</v>
      </c>
      <c r="C28" s="52">
        <v>3</v>
      </c>
      <c r="D28" s="53">
        <v>2021</v>
      </c>
      <c r="E28" s="54">
        <f>SUBMETERING!P31+SUBMETERING!M31</f>
        <v>58479.259999999456</v>
      </c>
      <c r="F28" s="60">
        <f t="shared" si="1"/>
        <v>0.67516900000000002</v>
      </c>
      <c r="G28" s="55">
        <f>SUBMETERING!K31</f>
        <v>3463</v>
      </c>
      <c r="H28" s="60">
        <f t="shared" si="2"/>
        <v>3.95</v>
      </c>
      <c r="I28" s="55">
        <f>SUBMETERING!V31</f>
        <v>550.5</v>
      </c>
      <c r="J28" s="60">
        <f t="shared" si="3"/>
        <v>4.8600000000000003</v>
      </c>
      <c r="K28" s="62">
        <f>SUBMETERING!R31*1000</f>
        <v>18000</v>
      </c>
      <c r="L28" s="60">
        <f>SUBMETERING!S31/TOTAL!K28</f>
        <v>0.41699999999999998</v>
      </c>
      <c r="M28" s="54">
        <f>(SUBMETERING!D31/100)*344</f>
        <v>303.99279999999999</v>
      </c>
      <c r="N28" s="54">
        <f>'[1]Consommation mensuel énergie'!E36</f>
        <v>0</v>
      </c>
      <c r="O28" s="56" t="e">
        <f>E28*F28+G28*H28+#REF!*#REF!+I28*J28</f>
        <v>#REF!</v>
      </c>
    </row>
    <row r="29" spans="1:15">
      <c r="A29" s="51" t="s">
        <v>15</v>
      </c>
      <c r="B29" s="52">
        <f t="shared" si="0"/>
        <v>28</v>
      </c>
      <c r="C29" s="52">
        <v>3</v>
      </c>
      <c r="D29" s="53">
        <v>2021</v>
      </c>
      <c r="E29" s="54">
        <f>SUBMETERING!P32+SUBMETERING!M32</f>
        <v>60831.080000000089</v>
      </c>
      <c r="F29" s="60">
        <f t="shared" si="1"/>
        <v>0.67516900000000002</v>
      </c>
      <c r="G29" s="55">
        <f>SUBMETERING!K32</f>
        <v>3361</v>
      </c>
      <c r="H29" s="60">
        <f t="shared" si="2"/>
        <v>3.95</v>
      </c>
      <c r="I29" s="55">
        <f>SUBMETERING!V32</f>
        <v>559.98</v>
      </c>
      <c r="J29" s="60">
        <f t="shared" si="3"/>
        <v>4.8600000000000003</v>
      </c>
      <c r="K29" s="62">
        <f>SUBMETERING!R32*1000</f>
        <v>16000</v>
      </c>
      <c r="L29" s="60">
        <f>SUBMETERING!S32/TOTAL!K29</f>
        <v>0.41699999999999998</v>
      </c>
      <c r="M29" s="54">
        <f>(SUBMETERING!D32/100)*344</f>
        <v>196.0112</v>
      </c>
      <c r="N29" s="54">
        <f>'[1]Consommation mensuel énergie'!E37</f>
        <v>0</v>
      </c>
      <c r="O29" s="56" t="e">
        <f>E29*F29+G29*H29+#REF!*#REF!+I29*J29</f>
        <v>#REF!</v>
      </c>
    </row>
    <row r="30" spans="1:15">
      <c r="A30" s="51" t="s">
        <v>15</v>
      </c>
      <c r="B30" s="52">
        <f t="shared" si="0"/>
        <v>29</v>
      </c>
      <c r="C30" s="52">
        <v>3</v>
      </c>
      <c r="D30" s="53">
        <v>2021</v>
      </c>
      <c r="E30" s="54">
        <f>SUBMETERING!P33+SUBMETERING!M33</f>
        <v>61340.029999999271</v>
      </c>
      <c r="F30" s="60">
        <f t="shared" si="1"/>
        <v>0.67516900000000002</v>
      </c>
      <c r="G30" s="55">
        <f>SUBMETERING!K33</f>
        <v>3110</v>
      </c>
      <c r="H30" s="60">
        <f t="shared" si="2"/>
        <v>3.95</v>
      </c>
      <c r="I30" s="55">
        <f>SUBMETERING!V33</f>
        <v>514.16000000000008</v>
      </c>
      <c r="J30" s="60">
        <f t="shared" si="3"/>
        <v>4.8600000000000003</v>
      </c>
      <c r="K30" s="62">
        <f>SUBMETERING!R33*1000</f>
        <v>21000</v>
      </c>
      <c r="L30" s="60">
        <f>SUBMETERING!S33/TOTAL!K30</f>
        <v>0.41699999999999998</v>
      </c>
      <c r="M30" s="54">
        <f>(SUBMETERING!D33/100)*344</f>
        <v>245.99440000000001</v>
      </c>
      <c r="N30" s="54">
        <f>'[1]Consommation mensuel énergie'!E38</f>
        <v>0</v>
      </c>
      <c r="O30" s="56" t="e">
        <f>E30*F30+G30*H30+#REF!*#REF!+I30*J30</f>
        <v>#REF!</v>
      </c>
    </row>
    <row r="31" spans="1:15">
      <c r="A31" s="51" t="s">
        <v>15</v>
      </c>
      <c r="B31" s="52">
        <f t="shared" si="0"/>
        <v>30</v>
      </c>
      <c r="C31" s="52">
        <v>3</v>
      </c>
      <c r="D31" s="53">
        <v>2021</v>
      </c>
      <c r="E31" s="54">
        <f>SUBMETERING!P34+SUBMETERING!M34</f>
        <v>64625.439999999457</v>
      </c>
      <c r="F31" s="60">
        <f t="shared" si="1"/>
        <v>0.67516900000000002</v>
      </c>
      <c r="G31" s="55">
        <f>SUBMETERING!K34</f>
        <v>3275</v>
      </c>
      <c r="H31" s="60">
        <f t="shared" si="2"/>
        <v>3.95</v>
      </c>
      <c r="I31" s="55">
        <f>SUBMETERING!V34</f>
        <v>297.7</v>
      </c>
      <c r="J31" s="60">
        <f t="shared" si="3"/>
        <v>4.8600000000000003</v>
      </c>
      <c r="K31" s="62">
        <f>SUBMETERING!R34*1000</f>
        <v>20000</v>
      </c>
      <c r="L31" s="60">
        <f>SUBMETERING!S34/TOTAL!K31</f>
        <v>0.41699999999999998</v>
      </c>
      <c r="M31" s="54">
        <f>(SUBMETERING!D34/100)*344</f>
        <v>242.00399999999996</v>
      </c>
      <c r="N31" s="54">
        <f>'[1]Consommation mensuel énergie'!E39</f>
        <v>0</v>
      </c>
      <c r="O31" s="56" t="e">
        <f>E31*F31+G31*H31+#REF!*#REF!+I31*J31</f>
        <v>#REF!</v>
      </c>
    </row>
    <row r="32" spans="1:15">
      <c r="A32" s="51" t="s">
        <v>15</v>
      </c>
      <c r="B32" s="52">
        <f t="shared" si="0"/>
        <v>31</v>
      </c>
      <c r="C32" s="52">
        <v>3</v>
      </c>
      <c r="D32" s="53">
        <v>2021</v>
      </c>
      <c r="E32" s="54">
        <f>SUBMETERING!P35+SUBMETERING!M35</f>
        <v>63609.620000002731</v>
      </c>
      <c r="F32" s="60">
        <f t="shared" si="1"/>
        <v>0.67516900000000002</v>
      </c>
      <c r="G32" s="55">
        <f>SUBMETERING!K35</f>
        <v>2783</v>
      </c>
      <c r="H32" s="60">
        <f t="shared" si="2"/>
        <v>3.95</v>
      </c>
      <c r="I32" s="55">
        <f>SUBMETERING!V35</f>
        <v>264.52</v>
      </c>
      <c r="J32" s="60">
        <f t="shared" si="3"/>
        <v>4.8600000000000003</v>
      </c>
      <c r="K32" s="62">
        <f>SUBMETERING!R35*1000</f>
        <v>22000</v>
      </c>
      <c r="L32" s="60">
        <f>SUBMETERING!S35/TOTAL!K32</f>
        <v>0.41699999999999998</v>
      </c>
      <c r="M32" s="54">
        <f>(SUBMETERING!D35/100)*344</f>
        <v>282.01120000000003</v>
      </c>
      <c r="N32" s="54">
        <v>0</v>
      </c>
      <c r="O32" s="56"/>
    </row>
    <row r="33" spans="1:15" s="54" customFormat="1">
      <c r="A33" s="58"/>
      <c r="B33" s="52"/>
      <c r="C33" s="52"/>
      <c r="D33" s="53"/>
      <c r="F33" s="60"/>
      <c r="G33" s="55"/>
      <c r="H33" s="60"/>
      <c r="I33" s="55"/>
      <c r="J33" s="60"/>
      <c r="K33" s="60"/>
      <c r="L33" s="60"/>
      <c r="O33" s="57"/>
    </row>
    <row r="34" spans="1:15" s="54" customFormat="1">
      <c r="A34" s="58"/>
      <c r="B34" s="52"/>
      <c r="C34" s="52"/>
      <c r="D34" s="53"/>
      <c r="F34" s="60"/>
      <c r="G34" s="55"/>
      <c r="H34" s="60"/>
      <c r="I34" s="55"/>
      <c r="J34" s="60"/>
      <c r="K34" s="60"/>
      <c r="L34" s="60"/>
      <c r="O34" s="57"/>
    </row>
    <row r="35" spans="1:15" s="54" customFormat="1">
      <c r="A35" s="58"/>
      <c r="B35" s="52"/>
      <c r="C35" s="52"/>
      <c r="D35" s="53"/>
      <c r="F35" s="60"/>
      <c r="G35" s="55"/>
      <c r="H35" s="60"/>
      <c r="I35" s="55"/>
      <c r="J35" s="60"/>
      <c r="K35" s="60"/>
      <c r="L35" s="60"/>
      <c r="O35" s="57"/>
    </row>
    <row r="36" spans="1:15" s="54" customFormat="1">
      <c r="A36" s="58"/>
      <c r="B36" s="52"/>
      <c r="C36" s="52"/>
      <c r="D36" s="53"/>
      <c r="F36" s="60"/>
      <c r="G36" s="55"/>
      <c r="H36" s="60"/>
      <c r="I36" s="55"/>
      <c r="J36" s="60"/>
      <c r="K36" s="60"/>
      <c r="L36" s="60"/>
      <c r="O36" s="57"/>
    </row>
    <row r="37" spans="1:15" s="54" customFormat="1">
      <c r="A37" s="58"/>
      <c r="B37" s="52"/>
      <c r="C37" s="52"/>
      <c r="D37" s="53"/>
      <c r="F37" s="60"/>
      <c r="G37" s="55"/>
      <c r="H37" s="60"/>
      <c r="I37" s="55"/>
      <c r="J37" s="60"/>
      <c r="K37" s="60"/>
      <c r="L37" s="60"/>
      <c r="O37" s="57"/>
    </row>
    <row r="38" spans="1:15" s="54" customFormat="1">
      <c r="A38" s="58"/>
      <c r="B38" s="52"/>
      <c r="C38" s="52"/>
      <c r="D38" s="53"/>
      <c r="F38" s="60"/>
      <c r="G38" s="55"/>
      <c r="H38" s="60"/>
      <c r="I38" s="55"/>
      <c r="J38" s="60"/>
      <c r="K38" s="60"/>
      <c r="L38" s="60"/>
      <c r="O38" s="57"/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61"/>
  <sheetViews>
    <sheetView tabSelected="1" topLeftCell="L1" zoomScale="115" zoomScaleNormal="115" workbookViewId="0">
      <selection activeCell="Q9" sqref="Q9"/>
    </sheetView>
  </sheetViews>
  <sheetFormatPr defaultRowHeight="14.25"/>
  <cols>
    <col min="1" max="1" width="4.625" style="2" customWidth="1"/>
    <col min="2" max="5" width="6.625" style="2" customWidth="1"/>
    <col min="6" max="6" width="11.625" style="2" customWidth="1"/>
    <col min="7" max="7" width="7.625" style="3" customWidth="1"/>
    <col min="8" max="8" width="12.375" style="2" customWidth="1"/>
    <col min="9" max="9" width="7.375" style="2" customWidth="1"/>
    <col min="10" max="10" width="11.625" style="2" customWidth="1"/>
    <col min="11" max="11" width="8.625" style="2" customWidth="1"/>
    <col min="12" max="12" width="13.625" style="2" customWidth="1"/>
    <col min="13" max="13" width="8.625" style="2" customWidth="1"/>
    <col min="14" max="14" width="11.375" style="2" customWidth="1"/>
    <col min="15" max="15" width="11.25" style="2" customWidth="1"/>
    <col min="16" max="16" width="9.625" style="2" customWidth="1"/>
    <col min="17" max="17" width="13.625" style="2" customWidth="1"/>
    <col min="18" max="18" width="6.5" style="2" customWidth="1"/>
    <col min="19" max="21" width="12.625" style="2" customWidth="1"/>
    <col min="22" max="22" width="8.5" style="2" customWidth="1"/>
    <col min="23" max="23" width="11.625" style="1" customWidth="1"/>
    <col min="24" max="24" width="15.625" style="9" customWidth="1"/>
    <col min="25" max="28" width="8" style="2" bestFit="1" customWidth="1"/>
    <col min="29" max="29" width="16.375" style="2" customWidth="1"/>
    <col min="30" max="259" width="9" style="2"/>
    <col min="260" max="260" width="4.625" style="2" customWidth="1"/>
    <col min="261" max="264" width="6.625" style="2" customWidth="1"/>
    <col min="265" max="265" width="11.625" style="2" customWidth="1"/>
    <col min="266" max="266" width="7.625" style="2" customWidth="1"/>
    <col min="267" max="267" width="12.375" style="2" customWidth="1"/>
    <col min="268" max="268" width="7.375" style="2" customWidth="1"/>
    <col min="269" max="269" width="11.625" style="2" customWidth="1"/>
    <col min="270" max="270" width="8.625" style="2" customWidth="1"/>
    <col min="271" max="271" width="13.625" style="2" customWidth="1"/>
    <col min="272" max="272" width="8.625" style="2" customWidth="1"/>
    <col min="273" max="273" width="13.625" style="2" customWidth="1"/>
    <col min="274" max="274" width="9.625" style="2" customWidth="1"/>
    <col min="275" max="275" width="13.625" style="2" customWidth="1"/>
    <col min="276" max="276" width="6.5" style="2" customWidth="1"/>
    <col min="277" max="277" width="12.625" style="2" customWidth="1"/>
    <col min="278" max="278" width="6.625" style="2" customWidth="1"/>
    <col min="279" max="279" width="11.625" style="2" customWidth="1"/>
    <col min="280" max="280" width="15.625" style="2" customWidth="1"/>
    <col min="281" max="284" width="8" style="2" bestFit="1" customWidth="1"/>
    <col min="285" max="285" width="16.375" style="2" customWidth="1"/>
    <col min="286" max="515" width="9" style="2"/>
    <col min="516" max="516" width="4.625" style="2" customWidth="1"/>
    <col min="517" max="520" width="6.625" style="2" customWidth="1"/>
    <col min="521" max="521" width="11.625" style="2" customWidth="1"/>
    <col min="522" max="522" width="7.625" style="2" customWidth="1"/>
    <col min="523" max="523" width="12.375" style="2" customWidth="1"/>
    <col min="524" max="524" width="7.375" style="2" customWidth="1"/>
    <col min="525" max="525" width="11.625" style="2" customWidth="1"/>
    <col min="526" max="526" width="8.625" style="2" customWidth="1"/>
    <col min="527" max="527" width="13.625" style="2" customWidth="1"/>
    <col min="528" max="528" width="8.625" style="2" customWidth="1"/>
    <col min="529" max="529" width="13.625" style="2" customWidth="1"/>
    <col min="530" max="530" width="9.625" style="2" customWidth="1"/>
    <col min="531" max="531" width="13.625" style="2" customWidth="1"/>
    <col min="532" max="532" width="6.5" style="2" customWidth="1"/>
    <col min="533" max="533" width="12.625" style="2" customWidth="1"/>
    <col min="534" max="534" width="6.625" style="2" customWidth="1"/>
    <col min="535" max="535" width="11.625" style="2" customWidth="1"/>
    <col min="536" max="536" width="15.625" style="2" customWidth="1"/>
    <col min="537" max="540" width="8" style="2" bestFit="1" customWidth="1"/>
    <col min="541" max="541" width="16.375" style="2" customWidth="1"/>
    <col min="542" max="771" width="9" style="2"/>
    <col min="772" max="772" width="4.625" style="2" customWidth="1"/>
    <col min="773" max="776" width="6.625" style="2" customWidth="1"/>
    <col min="777" max="777" width="11.625" style="2" customWidth="1"/>
    <col min="778" max="778" width="7.625" style="2" customWidth="1"/>
    <col min="779" max="779" width="12.375" style="2" customWidth="1"/>
    <col min="780" max="780" width="7.375" style="2" customWidth="1"/>
    <col min="781" max="781" width="11.625" style="2" customWidth="1"/>
    <col min="782" max="782" width="8.625" style="2" customWidth="1"/>
    <col min="783" max="783" width="13.625" style="2" customWidth="1"/>
    <col min="784" max="784" width="8.625" style="2" customWidth="1"/>
    <col min="785" max="785" width="13.625" style="2" customWidth="1"/>
    <col min="786" max="786" width="9.625" style="2" customWidth="1"/>
    <col min="787" max="787" width="13.625" style="2" customWidth="1"/>
    <col min="788" max="788" width="6.5" style="2" customWidth="1"/>
    <col min="789" max="789" width="12.625" style="2" customWidth="1"/>
    <col min="790" max="790" width="6.625" style="2" customWidth="1"/>
    <col min="791" max="791" width="11.625" style="2" customWidth="1"/>
    <col min="792" max="792" width="15.625" style="2" customWidth="1"/>
    <col min="793" max="796" width="8" style="2" bestFit="1" customWidth="1"/>
    <col min="797" max="797" width="16.375" style="2" customWidth="1"/>
    <col min="798" max="1027" width="9" style="2"/>
    <col min="1028" max="1028" width="4.625" style="2" customWidth="1"/>
    <col min="1029" max="1032" width="6.625" style="2" customWidth="1"/>
    <col min="1033" max="1033" width="11.625" style="2" customWidth="1"/>
    <col min="1034" max="1034" width="7.625" style="2" customWidth="1"/>
    <col min="1035" max="1035" width="12.375" style="2" customWidth="1"/>
    <col min="1036" max="1036" width="7.375" style="2" customWidth="1"/>
    <col min="1037" max="1037" width="11.625" style="2" customWidth="1"/>
    <col min="1038" max="1038" width="8.625" style="2" customWidth="1"/>
    <col min="1039" max="1039" width="13.625" style="2" customWidth="1"/>
    <col min="1040" max="1040" width="8.625" style="2" customWidth="1"/>
    <col min="1041" max="1041" width="13.625" style="2" customWidth="1"/>
    <col min="1042" max="1042" width="9.625" style="2" customWidth="1"/>
    <col min="1043" max="1043" width="13.625" style="2" customWidth="1"/>
    <col min="1044" max="1044" width="6.5" style="2" customWidth="1"/>
    <col min="1045" max="1045" width="12.625" style="2" customWidth="1"/>
    <col min="1046" max="1046" width="6.625" style="2" customWidth="1"/>
    <col min="1047" max="1047" width="11.625" style="2" customWidth="1"/>
    <col min="1048" max="1048" width="15.625" style="2" customWidth="1"/>
    <col min="1049" max="1052" width="8" style="2" bestFit="1" customWidth="1"/>
    <col min="1053" max="1053" width="16.375" style="2" customWidth="1"/>
    <col min="1054" max="1283" width="9" style="2"/>
    <col min="1284" max="1284" width="4.625" style="2" customWidth="1"/>
    <col min="1285" max="1288" width="6.625" style="2" customWidth="1"/>
    <col min="1289" max="1289" width="11.625" style="2" customWidth="1"/>
    <col min="1290" max="1290" width="7.625" style="2" customWidth="1"/>
    <col min="1291" max="1291" width="12.375" style="2" customWidth="1"/>
    <col min="1292" max="1292" width="7.375" style="2" customWidth="1"/>
    <col min="1293" max="1293" width="11.625" style="2" customWidth="1"/>
    <col min="1294" max="1294" width="8.625" style="2" customWidth="1"/>
    <col min="1295" max="1295" width="13.625" style="2" customWidth="1"/>
    <col min="1296" max="1296" width="8.625" style="2" customWidth="1"/>
    <col min="1297" max="1297" width="13.625" style="2" customWidth="1"/>
    <col min="1298" max="1298" width="9.625" style="2" customWidth="1"/>
    <col min="1299" max="1299" width="13.625" style="2" customWidth="1"/>
    <col min="1300" max="1300" width="6.5" style="2" customWidth="1"/>
    <col min="1301" max="1301" width="12.625" style="2" customWidth="1"/>
    <col min="1302" max="1302" width="6.625" style="2" customWidth="1"/>
    <col min="1303" max="1303" width="11.625" style="2" customWidth="1"/>
    <col min="1304" max="1304" width="15.625" style="2" customWidth="1"/>
    <col min="1305" max="1308" width="8" style="2" bestFit="1" customWidth="1"/>
    <col min="1309" max="1309" width="16.375" style="2" customWidth="1"/>
    <col min="1310" max="1539" width="9" style="2"/>
    <col min="1540" max="1540" width="4.625" style="2" customWidth="1"/>
    <col min="1541" max="1544" width="6.625" style="2" customWidth="1"/>
    <col min="1545" max="1545" width="11.625" style="2" customWidth="1"/>
    <col min="1546" max="1546" width="7.625" style="2" customWidth="1"/>
    <col min="1547" max="1547" width="12.375" style="2" customWidth="1"/>
    <col min="1548" max="1548" width="7.375" style="2" customWidth="1"/>
    <col min="1549" max="1549" width="11.625" style="2" customWidth="1"/>
    <col min="1550" max="1550" width="8.625" style="2" customWidth="1"/>
    <col min="1551" max="1551" width="13.625" style="2" customWidth="1"/>
    <col min="1552" max="1552" width="8.625" style="2" customWidth="1"/>
    <col min="1553" max="1553" width="13.625" style="2" customWidth="1"/>
    <col min="1554" max="1554" width="9.625" style="2" customWidth="1"/>
    <col min="1555" max="1555" width="13.625" style="2" customWidth="1"/>
    <col min="1556" max="1556" width="6.5" style="2" customWidth="1"/>
    <col min="1557" max="1557" width="12.625" style="2" customWidth="1"/>
    <col min="1558" max="1558" width="6.625" style="2" customWidth="1"/>
    <col min="1559" max="1559" width="11.625" style="2" customWidth="1"/>
    <col min="1560" max="1560" width="15.625" style="2" customWidth="1"/>
    <col min="1561" max="1564" width="8" style="2" bestFit="1" customWidth="1"/>
    <col min="1565" max="1565" width="16.375" style="2" customWidth="1"/>
    <col min="1566" max="1795" width="9" style="2"/>
    <col min="1796" max="1796" width="4.625" style="2" customWidth="1"/>
    <col min="1797" max="1800" width="6.625" style="2" customWidth="1"/>
    <col min="1801" max="1801" width="11.625" style="2" customWidth="1"/>
    <col min="1802" max="1802" width="7.625" style="2" customWidth="1"/>
    <col min="1803" max="1803" width="12.375" style="2" customWidth="1"/>
    <col min="1804" max="1804" width="7.375" style="2" customWidth="1"/>
    <col min="1805" max="1805" width="11.625" style="2" customWidth="1"/>
    <col min="1806" max="1806" width="8.625" style="2" customWidth="1"/>
    <col min="1807" max="1807" width="13.625" style="2" customWidth="1"/>
    <col min="1808" max="1808" width="8.625" style="2" customWidth="1"/>
    <col min="1809" max="1809" width="13.625" style="2" customWidth="1"/>
    <col min="1810" max="1810" width="9.625" style="2" customWidth="1"/>
    <col min="1811" max="1811" width="13.625" style="2" customWidth="1"/>
    <col min="1812" max="1812" width="6.5" style="2" customWidth="1"/>
    <col min="1813" max="1813" width="12.625" style="2" customWidth="1"/>
    <col min="1814" max="1814" width="6.625" style="2" customWidth="1"/>
    <col min="1815" max="1815" width="11.625" style="2" customWidth="1"/>
    <col min="1816" max="1816" width="15.625" style="2" customWidth="1"/>
    <col min="1817" max="1820" width="8" style="2" bestFit="1" customWidth="1"/>
    <col min="1821" max="1821" width="16.375" style="2" customWidth="1"/>
    <col min="1822" max="2051" width="9" style="2"/>
    <col min="2052" max="2052" width="4.625" style="2" customWidth="1"/>
    <col min="2053" max="2056" width="6.625" style="2" customWidth="1"/>
    <col min="2057" max="2057" width="11.625" style="2" customWidth="1"/>
    <col min="2058" max="2058" width="7.625" style="2" customWidth="1"/>
    <col min="2059" max="2059" width="12.375" style="2" customWidth="1"/>
    <col min="2060" max="2060" width="7.375" style="2" customWidth="1"/>
    <col min="2061" max="2061" width="11.625" style="2" customWidth="1"/>
    <col min="2062" max="2062" width="8.625" style="2" customWidth="1"/>
    <col min="2063" max="2063" width="13.625" style="2" customWidth="1"/>
    <col min="2064" max="2064" width="8.625" style="2" customWidth="1"/>
    <col min="2065" max="2065" width="13.625" style="2" customWidth="1"/>
    <col min="2066" max="2066" width="9.625" style="2" customWidth="1"/>
    <col min="2067" max="2067" width="13.625" style="2" customWidth="1"/>
    <col min="2068" max="2068" width="6.5" style="2" customWidth="1"/>
    <col min="2069" max="2069" width="12.625" style="2" customWidth="1"/>
    <col min="2070" max="2070" width="6.625" style="2" customWidth="1"/>
    <col min="2071" max="2071" width="11.625" style="2" customWidth="1"/>
    <col min="2072" max="2072" width="15.625" style="2" customWidth="1"/>
    <col min="2073" max="2076" width="8" style="2" bestFit="1" customWidth="1"/>
    <col min="2077" max="2077" width="16.375" style="2" customWidth="1"/>
    <col min="2078" max="2307" width="9" style="2"/>
    <col min="2308" max="2308" width="4.625" style="2" customWidth="1"/>
    <col min="2309" max="2312" width="6.625" style="2" customWidth="1"/>
    <col min="2313" max="2313" width="11.625" style="2" customWidth="1"/>
    <col min="2314" max="2314" width="7.625" style="2" customWidth="1"/>
    <col min="2315" max="2315" width="12.375" style="2" customWidth="1"/>
    <col min="2316" max="2316" width="7.375" style="2" customWidth="1"/>
    <col min="2317" max="2317" width="11.625" style="2" customWidth="1"/>
    <col min="2318" max="2318" width="8.625" style="2" customWidth="1"/>
    <col min="2319" max="2319" width="13.625" style="2" customWidth="1"/>
    <col min="2320" max="2320" width="8.625" style="2" customWidth="1"/>
    <col min="2321" max="2321" width="13.625" style="2" customWidth="1"/>
    <col min="2322" max="2322" width="9.625" style="2" customWidth="1"/>
    <col min="2323" max="2323" width="13.625" style="2" customWidth="1"/>
    <col min="2324" max="2324" width="6.5" style="2" customWidth="1"/>
    <col min="2325" max="2325" width="12.625" style="2" customWidth="1"/>
    <col min="2326" max="2326" width="6.625" style="2" customWidth="1"/>
    <col min="2327" max="2327" width="11.625" style="2" customWidth="1"/>
    <col min="2328" max="2328" width="15.625" style="2" customWidth="1"/>
    <col min="2329" max="2332" width="8" style="2" bestFit="1" customWidth="1"/>
    <col min="2333" max="2333" width="16.375" style="2" customWidth="1"/>
    <col min="2334" max="2563" width="9" style="2"/>
    <col min="2564" max="2564" width="4.625" style="2" customWidth="1"/>
    <col min="2565" max="2568" width="6.625" style="2" customWidth="1"/>
    <col min="2569" max="2569" width="11.625" style="2" customWidth="1"/>
    <col min="2570" max="2570" width="7.625" style="2" customWidth="1"/>
    <col min="2571" max="2571" width="12.375" style="2" customWidth="1"/>
    <col min="2572" max="2572" width="7.375" style="2" customWidth="1"/>
    <col min="2573" max="2573" width="11.625" style="2" customWidth="1"/>
    <col min="2574" max="2574" width="8.625" style="2" customWidth="1"/>
    <col min="2575" max="2575" width="13.625" style="2" customWidth="1"/>
    <col min="2576" max="2576" width="8.625" style="2" customWidth="1"/>
    <col min="2577" max="2577" width="13.625" style="2" customWidth="1"/>
    <col min="2578" max="2578" width="9.625" style="2" customWidth="1"/>
    <col min="2579" max="2579" width="13.625" style="2" customWidth="1"/>
    <col min="2580" max="2580" width="6.5" style="2" customWidth="1"/>
    <col min="2581" max="2581" width="12.625" style="2" customWidth="1"/>
    <col min="2582" max="2582" width="6.625" style="2" customWidth="1"/>
    <col min="2583" max="2583" width="11.625" style="2" customWidth="1"/>
    <col min="2584" max="2584" width="15.625" style="2" customWidth="1"/>
    <col min="2585" max="2588" width="8" style="2" bestFit="1" customWidth="1"/>
    <col min="2589" max="2589" width="16.375" style="2" customWidth="1"/>
    <col min="2590" max="2819" width="9" style="2"/>
    <col min="2820" max="2820" width="4.625" style="2" customWidth="1"/>
    <col min="2821" max="2824" width="6.625" style="2" customWidth="1"/>
    <col min="2825" max="2825" width="11.625" style="2" customWidth="1"/>
    <col min="2826" max="2826" width="7.625" style="2" customWidth="1"/>
    <col min="2827" max="2827" width="12.375" style="2" customWidth="1"/>
    <col min="2828" max="2828" width="7.375" style="2" customWidth="1"/>
    <col min="2829" max="2829" width="11.625" style="2" customWidth="1"/>
    <col min="2830" max="2830" width="8.625" style="2" customWidth="1"/>
    <col min="2831" max="2831" width="13.625" style="2" customWidth="1"/>
    <col min="2832" max="2832" width="8.625" style="2" customWidth="1"/>
    <col min="2833" max="2833" width="13.625" style="2" customWidth="1"/>
    <col min="2834" max="2834" width="9.625" style="2" customWidth="1"/>
    <col min="2835" max="2835" width="13.625" style="2" customWidth="1"/>
    <col min="2836" max="2836" width="6.5" style="2" customWidth="1"/>
    <col min="2837" max="2837" width="12.625" style="2" customWidth="1"/>
    <col min="2838" max="2838" width="6.625" style="2" customWidth="1"/>
    <col min="2839" max="2839" width="11.625" style="2" customWidth="1"/>
    <col min="2840" max="2840" width="15.625" style="2" customWidth="1"/>
    <col min="2841" max="2844" width="8" style="2" bestFit="1" customWidth="1"/>
    <col min="2845" max="2845" width="16.375" style="2" customWidth="1"/>
    <col min="2846" max="3075" width="9" style="2"/>
    <col min="3076" max="3076" width="4.625" style="2" customWidth="1"/>
    <col min="3077" max="3080" width="6.625" style="2" customWidth="1"/>
    <col min="3081" max="3081" width="11.625" style="2" customWidth="1"/>
    <col min="3082" max="3082" width="7.625" style="2" customWidth="1"/>
    <col min="3083" max="3083" width="12.375" style="2" customWidth="1"/>
    <col min="3084" max="3084" width="7.375" style="2" customWidth="1"/>
    <col min="3085" max="3085" width="11.625" style="2" customWidth="1"/>
    <col min="3086" max="3086" width="8.625" style="2" customWidth="1"/>
    <col min="3087" max="3087" width="13.625" style="2" customWidth="1"/>
    <col min="3088" max="3088" width="8.625" style="2" customWidth="1"/>
    <col min="3089" max="3089" width="13.625" style="2" customWidth="1"/>
    <col min="3090" max="3090" width="9.625" style="2" customWidth="1"/>
    <col min="3091" max="3091" width="13.625" style="2" customWidth="1"/>
    <col min="3092" max="3092" width="6.5" style="2" customWidth="1"/>
    <col min="3093" max="3093" width="12.625" style="2" customWidth="1"/>
    <col min="3094" max="3094" width="6.625" style="2" customWidth="1"/>
    <col min="3095" max="3095" width="11.625" style="2" customWidth="1"/>
    <col min="3096" max="3096" width="15.625" style="2" customWidth="1"/>
    <col min="3097" max="3100" width="8" style="2" bestFit="1" customWidth="1"/>
    <col min="3101" max="3101" width="16.375" style="2" customWidth="1"/>
    <col min="3102" max="3331" width="9" style="2"/>
    <col min="3332" max="3332" width="4.625" style="2" customWidth="1"/>
    <col min="3333" max="3336" width="6.625" style="2" customWidth="1"/>
    <col min="3337" max="3337" width="11.625" style="2" customWidth="1"/>
    <col min="3338" max="3338" width="7.625" style="2" customWidth="1"/>
    <col min="3339" max="3339" width="12.375" style="2" customWidth="1"/>
    <col min="3340" max="3340" width="7.375" style="2" customWidth="1"/>
    <col min="3341" max="3341" width="11.625" style="2" customWidth="1"/>
    <col min="3342" max="3342" width="8.625" style="2" customWidth="1"/>
    <col min="3343" max="3343" width="13.625" style="2" customWidth="1"/>
    <col min="3344" max="3344" width="8.625" style="2" customWidth="1"/>
    <col min="3345" max="3345" width="13.625" style="2" customWidth="1"/>
    <col min="3346" max="3346" width="9.625" style="2" customWidth="1"/>
    <col min="3347" max="3347" width="13.625" style="2" customWidth="1"/>
    <col min="3348" max="3348" width="6.5" style="2" customWidth="1"/>
    <col min="3349" max="3349" width="12.625" style="2" customWidth="1"/>
    <col min="3350" max="3350" width="6.625" style="2" customWidth="1"/>
    <col min="3351" max="3351" width="11.625" style="2" customWidth="1"/>
    <col min="3352" max="3352" width="15.625" style="2" customWidth="1"/>
    <col min="3353" max="3356" width="8" style="2" bestFit="1" customWidth="1"/>
    <col min="3357" max="3357" width="16.375" style="2" customWidth="1"/>
    <col min="3358" max="3587" width="9" style="2"/>
    <col min="3588" max="3588" width="4.625" style="2" customWidth="1"/>
    <col min="3589" max="3592" width="6.625" style="2" customWidth="1"/>
    <col min="3593" max="3593" width="11.625" style="2" customWidth="1"/>
    <col min="3594" max="3594" width="7.625" style="2" customWidth="1"/>
    <col min="3595" max="3595" width="12.375" style="2" customWidth="1"/>
    <col min="3596" max="3596" width="7.375" style="2" customWidth="1"/>
    <col min="3597" max="3597" width="11.625" style="2" customWidth="1"/>
    <col min="3598" max="3598" width="8.625" style="2" customWidth="1"/>
    <col min="3599" max="3599" width="13.625" style="2" customWidth="1"/>
    <col min="3600" max="3600" width="8.625" style="2" customWidth="1"/>
    <col min="3601" max="3601" width="13.625" style="2" customWidth="1"/>
    <col min="3602" max="3602" width="9.625" style="2" customWidth="1"/>
    <col min="3603" max="3603" width="13.625" style="2" customWidth="1"/>
    <col min="3604" max="3604" width="6.5" style="2" customWidth="1"/>
    <col min="3605" max="3605" width="12.625" style="2" customWidth="1"/>
    <col min="3606" max="3606" width="6.625" style="2" customWidth="1"/>
    <col min="3607" max="3607" width="11.625" style="2" customWidth="1"/>
    <col min="3608" max="3608" width="15.625" style="2" customWidth="1"/>
    <col min="3609" max="3612" width="8" style="2" bestFit="1" customWidth="1"/>
    <col min="3613" max="3613" width="16.375" style="2" customWidth="1"/>
    <col min="3614" max="3843" width="9" style="2"/>
    <col min="3844" max="3844" width="4.625" style="2" customWidth="1"/>
    <col min="3845" max="3848" width="6.625" style="2" customWidth="1"/>
    <col min="3849" max="3849" width="11.625" style="2" customWidth="1"/>
    <col min="3850" max="3850" width="7.625" style="2" customWidth="1"/>
    <col min="3851" max="3851" width="12.375" style="2" customWidth="1"/>
    <col min="3852" max="3852" width="7.375" style="2" customWidth="1"/>
    <col min="3853" max="3853" width="11.625" style="2" customWidth="1"/>
    <col min="3854" max="3854" width="8.625" style="2" customWidth="1"/>
    <col min="3855" max="3855" width="13.625" style="2" customWidth="1"/>
    <col min="3856" max="3856" width="8.625" style="2" customWidth="1"/>
    <col min="3857" max="3857" width="13.625" style="2" customWidth="1"/>
    <col min="3858" max="3858" width="9.625" style="2" customWidth="1"/>
    <col min="3859" max="3859" width="13.625" style="2" customWidth="1"/>
    <col min="3860" max="3860" width="6.5" style="2" customWidth="1"/>
    <col min="3861" max="3861" width="12.625" style="2" customWidth="1"/>
    <col min="3862" max="3862" width="6.625" style="2" customWidth="1"/>
    <col min="3863" max="3863" width="11.625" style="2" customWidth="1"/>
    <col min="3864" max="3864" width="15.625" style="2" customWidth="1"/>
    <col min="3865" max="3868" width="8" style="2" bestFit="1" customWidth="1"/>
    <col min="3869" max="3869" width="16.375" style="2" customWidth="1"/>
    <col min="3870" max="4099" width="9" style="2"/>
    <col min="4100" max="4100" width="4.625" style="2" customWidth="1"/>
    <col min="4101" max="4104" width="6.625" style="2" customWidth="1"/>
    <col min="4105" max="4105" width="11.625" style="2" customWidth="1"/>
    <col min="4106" max="4106" width="7.625" style="2" customWidth="1"/>
    <col min="4107" max="4107" width="12.375" style="2" customWidth="1"/>
    <col min="4108" max="4108" width="7.375" style="2" customWidth="1"/>
    <col min="4109" max="4109" width="11.625" style="2" customWidth="1"/>
    <col min="4110" max="4110" width="8.625" style="2" customWidth="1"/>
    <col min="4111" max="4111" width="13.625" style="2" customWidth="1"/>
    <col min="4112" max="4112" width="8.625" style="2" customWidth="1"/>
    <col min="4113" max="4113" width="13.625" style="2" customWidth="1"/>
    <col min="4114" max="4114" width="9.625" style="2" customWidth="1"/>
    <col min="4115" max="4115" width="13.625" style="2" customWidth="1"/>
    <col min="4116" max="4116" width="6.5" style="2" customWidth="1"/>
    <col min="4117" max="4117" width="12.625" style="2" customWidth="1"/>
    <col min="4118" max="4118" width="6.625" style="2" customWidth="1"/>
    <col min="4119" max="4119" width="11.625" style="2" customWidth="1"/>
    <col min="4120" max="4120" width="15.625" style="2" customWidth="1"/>
    <col min="4121" max="4124" width="8" style="2" bestFit="1" customWidth="1"/>
    <col min="4125" max="4125" width="16.375" style="2" customWidth="1"/>
    <col min="4126" max="4355" width="9" style="2"/>
    <col min="4356" max="4356" width="4.625" style="2" customWidth="1"/>
    <col min="4357" max="4360" width="6.625" style="2" customWidth="1"/>
    <col min="4361" max="4361" width="11.625" style="2" customWidth="1"/>
    <col min="4362" max="4362" width="7.625" style="2" customWidth="1"/>
    <col min="4363" max="4363" width="12.375" style="2" customWidth="1"/>
    <col min="4364" max="4364" width="7.375" style="2" customWidth="1"/>
    <col min="4365" max="4365" width="11.625" style="2" customWidth="1"/>
    <col min="4366" max="4366" width="8.625" style="2" customWidth="1"/>
    <col min="4367" max="4367" width="13.625" style="2" customWidth="1"/>
    <col min="4368" max="4368" width="8.625" style="2" customWidth="1"/>
    <col min="4369" max="4369" width="13.625" style="2" customWidth="1"/>
    <col min="4370" max="4370" width="9.625" style="2" customWidth="1"/>
    <col min="4371" max="4371" width="13.625" style="2" customWidth="1"/>
    <col min="4372" max="4372" width="6.5" style="2" customWidth="1"/>
    <col min="4373" max="4373" width="12.625" style="2" customWidth="1"/>
    <col min="4374" max="4374" width="6.625" style="2" customWidth="1"/>
    <col min="4375" max="4375" width="11.625" style="2" customWidth="1"/>
    <col min="4376" max="4376" width="15.625" style="2" customWidth="1"/>
    <col min="4377" max="4380" width="8" style="2" bestFit="1" customWidth="1"/>
    <col min="4381" max="4381" width="16.375" style="2" customWidth="1"/>
    <col min="4382" max="4611" width="9" style="2"/>
    <col min="4612" max="4612" width="4.625" style="2" customWidth="1"/>
    <col min="4613" max="4616" width="6.625" style="2" customWidth="1"/>
    <col min="4617" max="4617" width="11.625" style="2" customWidth="1"/>
    <col min="4618" max="4618" width="7.625" style="2" customWidth="1"/>
    <col min="4619" max="4619" width="12.375" style="2" customWidth="1"/>
    <col min="4620" max="4620" width="7.375" style="2" customWidth="1"/>
    <col min="4621" max="4621" width="11.625" style="2" customWidth="1"/>
    <col min="4622" max="4622" width="8.625" style="2" customWidth="1"/>
    <col min="4623" max="4623" width="13.625" style="2" customWidth="1"/>
    <col min="4624" max="4624" width="8.625" style="2" customWidth="1"/>
    <col min="4625" max="4625" width="13.625" style="2" customWidth="1"/>
    <col min="4626" max="4626" width="9.625" style="2" customWidth="1"/>
    <col min="4627" max="4627" width="13.625" style="2" customWidth="1"/>
    <col min="4628" max="4628" width="6.5" style="2" customWidth="1"/>
    <col min="4629" max="4629" width="12.625" style="2" customWidth="1"/>
    <col min="4630" max="4630" width="6.625" style="2" customWidth="1"/>
    <col min="4631" max="4631" width="11.625" style="2" customWidth="1"/>
    <col min="4632" max="4632" width="15.625" style="2" customWidth="1"/>
    <col min="4633" max="4636" width="8" style="2" bestFit="1" customWidth="1"/>
    <col min="4637" max="4637" width="16.375" style="2" customWidth="1"/>
    <col min="4638" max="4867" width="9" style="2"/>
    <col min="4868" max="4868" width="4.625" style="2" customWidth="1"/>
    <col min="4869" max="4872" width="6.625" style="2" customWidth="1"/>
    <col min="4873" max="4873" width="11.625" style="2" customWidth="1"/>
    <col min="4874" max="4874" width="7.625" style="2" customWidth="1"/>
    <col min="4875" max="4875" width="12.375" style="2" customWidth="1"/>
    <col min="4876" max="4876" width="7.375" style="2" customWidth="1"/>
    <col min="4877" max="4877" width="11.625" style="2" customWidth="1"/>
    <col min="4878" max="4878" width="8.625" style="2" customWidth="1"/>
    <col min="4879" max="4879" width="13.625" style="2" customWidth="1"/>
    <col min="4880" max="4880" width="8.625" style="2" customWidth="1"/>
    <col min="4881" max="4881" width="13.625" style="2" customWidth="1"/>
    <col min="4882" max="4882" width="9.625" style="2" customWidth="1"/>
    <col min="4883" max="4883" width="13.625" style="2" customWidth="1"/>
    <col min="4884" max="4884" width="6.5" style="2" customWidth="1"/>
    <col min="4885" max="4885" width="12.625" style="2" customWidth="1"/>
    <col min="4886" max="4886" width="6.625" style="2" customWidth="1"/>
    <col min="4887" max="4887" width="11.625" style="2" customWidth="1"/>
    <col min="4888" max="4888" width="15.625" style="2" customWidth="1"/>
    <col min="4889" max="4892" width="8" style="2" bestFit="1" customWidth="1"/>
    <col min="4893" max="4893" width="16.375" style="2" customWidth="1"/>
    <col min="4894" max="5123" width="9" style="2"/>
    <col min="5124" max="5124" width="4.625" style="2" customWidth="1"/>
    <col min="5125" max="5128" width="6.625" style="2" customWidth="1"/>
    <col min="5129" max="5129" width="11.625" style="2" customWidth="1"/>
    <col min="5130" max="5130" width="7.625" style="2" customWidth="1"/>
    <col min="5131" max="5131" width="12.375" style="2" customWidth="1"/>
    <col min="5132" max="5132" width="7.375" style="2" customWidth="1"/>
    <col min="5133" max="5133" width="11.625" style="2" customWidth="1"/>
    <col min="5134" max="5134" width="8.625" style="2" customWidth="1"/>
    <col min="5135" max="5135" width="13.625" style="2" customWidth="1"/>
    <col min="5136" max="5136" width="8.625" style="2" customWidth="1"/>
    <col min="5137" max="5137" width="13.625" style="2" customWidth="1"/>
    <col min="5138" max="5138" width="9.625" style="2" customWidth="1"/>
    <col min="5139" max="5139" width="13.625" style="2" customWidth="1"/>
    <col min="5140" max="5140" width="6.5" style="2" customWidth="1"/>
    <col min="5141" max="5141" width="12.625" style="2" customWidth="1"/>
    <col min="5142" max="5142" width="6.625" style="2" customWidth="1"/>
    <col min="5143" max="5143" width="11.625" style="2" customWidth="1"/>
    <col min="5144" max="5144" width="15.625" style="2" customWidth="1"/>
    <col min="5145" max="5148" width="8" style="2" bestFit="1" customWidth="1"/>
    <col min="5149" max="5149" width="16.375" style="2" customWidth="1"/>
    <col min="5150" max="5379" width="9" style="2"/>
    <col min="5380" max="5380" width="4.625" style="2" customWidth="1"/>
    <col min="5381" max="5384" width="6.625" style="2" customWidth="1"/>
    <col min="5385" max="5385" width="11.625" style="2" customWidth="1"/>
    <col min="5386" max="5386" width="7.625" style="2" customWidth="1"/>
    <col min="5387" max="5387" width="12.375" style="2" customWidth="1"/>
    <col min="5388" max="5388" width="7.375" style="2" customWidth="1"/>
    <col min="5389" max="5389" width="11.625" style="2" customWidth="1"/>
    <col min="5390" max="5390" width="8.625" style="2" customWidth="1"/>
    <col min="5391" max="5391" width="13.625" style="2" customWidth="1"/>
    <col min="5392" max="5392" width="8.625" style="2" customWidth="1"/>
    <col min="5393" max="5393" width="13.625" style="2" customWidth="1"/>
    <col min="5394" max="5394" width="9.625" style="2" customWidth="1"/>
    <col min="5395" max="5395" width="13.625" style="2" customWidth="1"/>
    <col min="5396" max="5396" width="6.5" style="2" customWidth="1"/>
    <col min="5397" max="5397" width="12.625" style="2" customWidth="1"/>
    <col min="5398" max="5398" width="6.625" style="2" customWidth="1"/>
    <col min="5399" max="5399" width="11.625" style="2" customWidth="1"/>
    <col min="5400" max="5400" width="15.625" style="2" customWidth="1"/>
    <col min="5401" max="5404" width="8" style="2" bestFit="1" customWidth="1"/>
    <col min="5405" max="5405" width="16.375" style="2" customWidth="1"/>
    <col min="5406" max="5635" width="9" style="2"/>
    <col min="5636" max="5636" width="4.625" style="2" customWidth="1"/>
    <col min="5637" max="5640" width="6.625" style="2" customWidth="1"/>
    <col min="5641" max="5641" width="11.625" style="2" customWidth="1"/>
    <col min="5642" max="5642" width="7.625" style="2" customWidth="1"/>
    <col min="5643" max="5643" width="12.375" style="2" customWidth="1"/>
    <col min="5644" max="5644" width="7.375" style="2" customWidth="1"/>
    <col min="5645" max="5645" width="11.625" style="2" customWidth="1"/>
    <col min="5646" max="5646" width="8.625" style="2" customWidth="1"/>
    <col min="5647" max="5647" width="13.625" style="2" customWidth="1"/>
    <col min="5648" max="5648" width="8.625" style="2" customWidth="1"/>
    <col min="5649" max="5649" width="13.625" style="2" customWidth="1"/>
    <col min="5650" max="5650" width="9.625" style="2" customWidth="1"/>
    <col min="5651" max="5651" width="13.625" style="2" customWidth="1"/>
    <col min="5652" max="5652" width="6.5" style="2" customWidth="1"/>
    <col min="5653" max="5653" width="12.625" style="2" customWidth="1"/>
    <col min="5654" max="5654" width="6.625" style="2" customWidth="1"/>
    <col min="5655" max="5655" width="11.625" style="2" customWidth="1"/>
    <col min="5656" max="5656" width="15.625" style="2" customWidth="1"/>
    <col min="5657" max="5660" width="8" style="2" bestFit="1" customWidth="1"/>
    <col min="5661" max="5661" width="16.375" style="2" customWidth="1"/>
    <col min="5662" max="5891" width="9" style="2"/>
    <col min="5892" max="5892" width="4.625" style="2" customWidth="1"/>
    <col min="5893" max="5896" width="6.625" style="2" customWidth="1"/>
    <col min="5897" max="5897" width="11.625" style="2" customWidth="1"/>
    <col min="5898" max="5898" width="7.625" style="2" customWidth="1"/>
    <col min="5899" max="5899" width="12.375" style="2" customWidth="1"/>
    <col min="5900" max="5900" width="7.375" style="2" customWidth="1"/>
    <col min="5901" max="5901" width="11.625" style="2" customWidth="1"/>
    <col min="5902" max="5902" width="8.625" style="2" customWidth="1"/>
    <col min="5903" max="5903" width="13.625" style="2" customWidth="1"/>
    <col min="5904" max="5904" width="8.625" style="2" customWidth="1"/>
    <col min="5905" max="5905" width="13.625" style="2" customWidth="1"/>
    <col min="5906" max="5906" width="9.625" style="2" customWidth="1"/>
    <col min="5907" max="5907" width="13.625" style="2" customWidth="1"/>
    <col min="5908" max="5908" width="6.5" style="2" customWidth="1"/>
    <col min="5909" max="5909" width="12.625" style="2" customWidth="1"/>
    <col min="5910" max="5910" width="6.625" style="2" customWidth="1"/>
    <col min="5911" max="5911" width="11.625" style="2" customWidth="1"/>
    <col min="5912" max="5912" width="15.625" style="2" customWidth="1"/>
    <col min="5913" max="5916" width="8" style="2" bestFit="1" customWidth="1"/>
    <col min="5917" max="5917" width="16.375" style="2" customWidth="1"/>
    <col min="5918" max="6147" width="9" style="2"/>
    <col min="6148" max="6148" width="4.625" style="2" customWidth="1"/>
    <col min="6149" max="6152" width="6.625" style="2" customWidth="1"/>
    <col min="6153" max="6153" width="11.625" style="2" customWidth="1"/>
    <col min="6154" max="6154" width="7.625" style="2" customWidth="1"/>
    <col min="6155" max="6155" width="12.375" style="2" customWidth="1"/>
    <col min="6156" max="6156" width="7.375" style="2" customWidth="1"/>
    <col min="6157" max="6157" width="11.625" style="2" customWidth="1"/>
    <col min="6158" max="6158" width="8.625" style="2" customWidth="1"/>
    <col min="6159" max="6159" width="13.625" style="2" customWidth="1"/>
    <col min="6160" max="6160" width="8.625" style="2" customWidth="1"/>
    <col min="6161" max="6161" width="13.625" style="2" customWidth="1"/>
    <col min="6162" max="6162" width="9.625" style="2" customWidth="1"/>
    <col min="6163" max="6163" width="13.625" style="2" customWidth="1"/>
    <col min="6164" max="6164" width="6.5" style="2" customWidth="1"/>
    <col min="6165" max="6165" width="12.625" style="2" customWidth="1"/>
    <col min="6166" max="6166" width="6.625" style="2" customWidth="1"/>
    <col min="6167" max="6167" width="11.625" style="2" customWidth="1"/>
    <col min="6168" max="6168" width="15.625" style="2" customWidth="1"/>
    <col min="6169" max="6172" width="8" style="2" bestFit="1" customWidth="1"/>
    <col min="6173" max="6173" width="16.375" style="2" customWidth="1"/>
    <col min="6174" max="6403" width="9" style="2"/>
    <col min="6404" max="6404" width="4.625" style="2" customWidth="1"/>
    <col min="6405" max="6408" width="6.625" style="2" customWidth="1"/>
    <col min="6409" max="6409" width="11.625" style="2" customWidth="1"/>
    <col min="6410" max="6410" width="7.625" style="2" customWidth="1"/>
    <col min="6411" max="6411" width="12.375" style="2" customWidth="1"/>
    <col min="6412" max="6412" width="7.375" style="2" customWidth="1"/>
    <col min="6413" max="6413" width="11.625" style="2" customWidth="1"/>
    <col min="6414" max="6414" width="8.625" style="2" customWidth="1"/>
    <col min="6415" max="6415" width="13.625" style="2" customWidth="1"/>
    <col min="6416" max="6416" width="8.625" style="2" customWidth="1"/>
    <col min="6417" max="6417" width="13.625" style="2" customWidth="1"/>
    <col min="6418" max="6418" width="9.625" style="2" customWidth="1"/>
    <col min="6419" max="6419" width="13.625" style="2" customWidth="1"/>
    <col min="6420" max="6420" width="6.5" style="2" customWidth="1"/>
    <col min="6421" max="6421" width="12.625" style="2" customWidth="1"/>
    <col min="6422" max="6422" width="6.625" style="2" customWidth="1"/>
    <col min="6423" max="6423" width="11.625" style="2" customWidth="1"/>
    <col min="6424" max="6424" width="15.625" style="2" customWidth="1"/>
    <col min="6425" max="6428" width="8" style="2" bestFit="1" customWidth="1"/>
    <col min="6429" max="6429" width="16.375" style="2" customWidth="1"/>
    <col min="6430" max="6659" width="9" style="2"/>
    <col min="6660" max="6660" width="4.625" style="2" customWidth="1"/>
    <col min="6661" max="6664" width="6.625" style="2" customWidth="1"/>
    <col min="6665" max="6665" width="11.625" style="2" customWidth="1"/>
    <col min="6666" max="6666" width="7.625" style="2" customWidth="1"/>
    <col min="6667" max="6667" width="12.375" style="2" customWidth="1"/>
    <col min="6668" max="6668" width="7.375" style="2" customWidth="1"/>
    <col min="6669" max="6669" width="11.625" style="2" customWidth="1"/>
    <col min="6670" max="6670" width="8.625" style="2" customWidth="1"/>
    <col min="6671" max="6671" width="13.625" style="2" customWidth="1"/>
    <col min="6672" max="6672" width="8.625" style="2" customWidth="1"/>
    <col min="6673" max="6673" width="13.625" style="2" customWidth="1"/>
    <col min="6674" max="6674" width="9.625" style="2" customWidth="1"/>
    <col min="6675" max="6675" width="13.625" style="2" customWidth="1"/>
    <col min="6676" max="6676" width="6.5" style="2" customWidth="1"/>
    <col min="6677" max="6677" width="12.625" style="2" customWidth="1"/>
    <col min="6678" max="6678" width="6.625" style="2" customWidth="1"/>
    <col min="6679" max="6679" width="11.625" style="2" customWidth="1"/>
    <col min="6680" max="6680" width="15.625" style="2" customWidth="1"/>
    <col min="6681" max="6684" width="8" style="2" bestFit="1" customWidth="1"/>
    <col min="6685" max="6685" width="16.375" style="2" customWidth="1"/>
    <col min="6686" max="6915" width="9" style="2"/>
    <col min="6916" max="6916" width="4.625" style="2" customWidth="1"/>
    <col min="6917" max="6920" width="6.625" style="2" customWidth="1"/>
    <col min="6921" max="6921" width="11.625" style="2" customWidth="1"/>
    <col min="6922" max="6922" width="7.625" style="2" customWidth="1"/>
    <col min="6923" max="6923" width="12.375" style="2" customWidth="1"/>
    <col min="6924" max="6924" width="7.375" style="2" customWidth="1"/>
    <col min="6925" max="6925" width="11.625" style="2" customWidth="1"/>
    <col min="6926" max="6926" width="8.625" style="2" customWidth="1"/>
    <col min="6927" max="6927" width="13.625" style="2" customWidth="1"/>
    <col min="6928" max="6928" width="8.625" style="2" customWidth="1"/>
    <col min="6929" max="6929" width="13.625" style="2" customWidth="1"/>
    <col min="6930" max="6930" width="9.625" style="2" customWidth="1"/>
    <col min="6931" max="6931" width="13.625" style="2" customWidth="1"/>
    <col min="6932" max="6932" width="6.5" style="2" customWidth="1"/>
    <col min="6933" max="6933" width="12.625" style="2" customWidth="1"/>
    <col min="6934" max="6934" width="6.625" style="2" customWidth="1"/>
    <col min="6935" max="6935" width="11.625" style="2" customWidth="1"/>
    <col min="6936" max="6936" width="15.625" style="2" customWidth="1"/>
    <col min="6937" max="6940" width="8" style="2" bestFit="1" customWidth="1"/>
    <col min="6941" max="6941" width="16.375" style="2" customWidth="1"/>
    <col min="6942" max="7171" width="9" style="2"/>
    <col min="7172" max="7172" width="4.625" style="2" customWidth="1"/>
    <col min="7173" max="7176" width="6.625" style="2" customWidth="1"/>
    <col min="7177" max="7177" width="11.625" style="2" customWidth="1"/>
    <col min="7178" max="7178" width="7.625" style="2" customWidth="1"/>
    <col min="7179" max="7179" width="12.375" style="2" customWidth="1"/>
    <col min="7180" max="7180" width="7.375" style="2" customWidth="1"/>
    <col min="7181" max="7181" width="11.625" style="2" customWidth="1"/>
    <col min="7182" max="7182" width="8.625" style="2" customWidth="1"/>
    <col min="7183" max="7183" width="13.625" style="2" customWidth="1"/>
    <col min="7184" max="7184" width="8.625" style="2" customWidth="1"/>
    <col min="7185" max="7185" width="13.625" style="2" customWidth="1"/>
    <col min="7186" max="7186" width="9.625" style="2" customWidth="1"/>
    <col min="7187" max="7187" width="13.625" style="2" customWidth="1"/>
    <col min="7188" max="7188" width="6.5" style="2" customWidth="1"/>
    <col min="7189" max="7189" width="12.625" style="2" customWidth="1"/>
    <col min="7190" max="7190" width="6.625" style="2" customWidth="1"/>
    <col min="7191" max="7191" width="11.625" style="2" customWidth="1"/>
    <col min="7192" max="7192" width="15.625" style="2" customWidth="1"/>
    <col min="7193" max="7196" width="8" style="2" bestFit="1" customWidth="1"/>
    <col min="7197" max="7197" width="16.375" style="2" customWidth="1"/>
    <col min="7198" max="7427" width="9" style="2"/>
    <col min="7428" max="7428" width="4.625" style="2" customWidth="1"/>
    <col min="7429" max="7432" width="6.625" style="2" customWidth="1"/>
    <col min="7433" max="7433" width="11.625" style="2" customWidth="1"/>
    <col min="7434" max="7434" width="7.625" style="2" customWidth="1"/>
    <col min="7435" max="7435" width="12.375" style="2" customWidth="1"/>
    <col min="7436" max="7436" width="7.375" style="2" customWidth="1"/>
    <col min="7437" max="7437" width="11.625" style="2" customWidth="1"/>
    <col min="7438" max="7438" width="8.625" style="2" customWidth="1"/>
    <col min="7439" max="7439" width="13.625" style="2" customWidth="1"/>
    <col min="7440" max="7440" width="8.625" style="2" customWidth="1"/>
    <col min="7441" max="7441" width="13.625" style="2" customWidth="1"/>
    <col min="7442" max="7442" width="9.625" style="2" customWidth="1"/>
    <col min="7443" max="7443" width="13.625" style="2" customWidth="1"/>
    <col min="7444" max="7444" width="6.5" style="2" customWidth="1"/>
    <col min="7445" max="7445" width="12.625" style="2" customWidth="1"/>
    <col min="7446" max="7446" width="6.625" style="2" customWidth="1"/>
    <col min="7447" max="7447" width="11.625" style="2" customWidth="1"/>
    <col min="7448" max="7448" width="15.625" style="2" customWidth="1"/>
    <col min="7449" max="7452" width="8" style="2" bestFit="1" customWidth="1"/>
    <col min="7453" max="7453" width="16.375" style="2" customWidth="1"/>
    <col min="7454" max="7683" width="9" style="2"/>
    <col min="7684" max="7684" width="4.625" style="2" customWidth="1"/>
    <col min="7685" max="7688" width="6.625" style="2" customWidth="1"/>
    <col min="7689" max="7689" width="11.625" style="2" customWidth="1"/>
    <col min="7690" max="7690" width="7.625" style="2" customWidth="1"/>
    <col min="7691" max="7691" width="12.375" style="2" customWidth="1"/>
    <col min="7692" max="7692" width="7.375" style="2" customWidth="1"/>
    <col min="7693" max="7693" width="11.625" style="2" customWidth="1"/>
    <col min="7694" max="7694" width="8.625" style="2" customWidth="1"/>
    <col min="7695" max="7695" width="13.625" style="2" customWidth="1"/>
    <col min="7696" max="7696" width="8.625" style="2" customWidth="1"/>
    <col min="7697" max="7697" width="13.625" style="2" customWidth="1"/>
    <col min="7698" max="7698" width="9.625" style="2" customWidth="1"/>
    <col min="7699" max="7699" width="13.625" style="2" customWidth="1"/>
    <col min="7700" max="7700" width="6.5" style="2" customWidth="1"/>
    <col min="7701" max="7701" width="12.625" style="2" customWidth="1"/>
    <col min="7702" max="7702" width="6.625" style="2" customWidth="1"/>
    <col min="7703" max="7703" width="11.625" style="2" customWidth="1"/>
    <col min="7704" max="7704" width="15.625" style="2" customWidth="1"/>
    <col min="7705" max="7708" width="8" style="2" bestFit="1" customWidth="1"/>
    <col min="7709" max="7709" width="16.375" style="2" customWidth="1"/>
    <col min="7710" max="7939" width="9" style="2"/>
    <col min="7940" max="7940" width="4.625" style="2" customWidth="1"/>
    <col min="7941" max="7944" width="6.625" style="2" customWidth="1"/>
    <col min="7945" max="7945" width="11.625" style="2" customWidth="1"/>
    <col min="7946" max="7946" width="7.625" style="2" customWidth="1"/>
    <col min="7947" max="7947" width="12.375" style="2" customWidth="1"/>
    <col min="7948" max="7948" width="7.375" style="2" customWidth="1"/>
    <col min="7949" max="7949" width="11.625" style="2" customWidth="1"/>
    <col min="7950" max="7950" width="8.625" style="2" customWidth="1"/>
    <col min="7951" max="7951" width="13.625" style="2" customWidth="1"/>
    <col min="7952" max="7952" width="8.625" style="2" customWidth="1"/>
    <col min="7953" max="7953" width="13.625" style="2" customWidth="1"/>
    <col min="7954" max="7954" width="9.625" style="2" customWidth="1"/>
    <col min="7955" max="7955" width="13.625" style="2" customWidth="1"/>
    <col min="7956" max="7956" width="6.5" style="2" customWidth="1"/>
    <col min="7957" max="7957" width="12.625" style="2" customWidth="1"/>
    <col min="7958" max="7958" width="6.625" style="2" customWidth="1"/>
    <col min="7959" max="7959" width="11.625" style="2" customWidth="1"/>
    <col min="7960" max="7960" width="15.625" style="2" customWidth="1"/>
    <col min="7961" max="7964" width="8" style="2" bestFit="1" customWidth="1"/>
    <col min="7965" max="7965" width="16.375" style="2" customWidth="1"/>
    <col min="7966" max="8195" width="9" style="2"/>
    <col min="8196" max="8196" width="4.625" style="2" customWidth="1"/>
    <col min="8197" max="8200" width="6.625" style="2" customWidth="1"/>
    <col min="8201" max="8201" width="11.625" style="2" customWidth="1"/>
    <col min="8202" max="8202" width="7.625" style="2" customWidth="1"/>
    <col min="8203" max="8203" width="12.375" style="2" customWidth="1"/>
    <col min="8204" max="8204" width="7.375" style="2" customWidth="1"/>
    <col min="8205" max="8205" width="11.625" style="2" customWidth="1"/>
    <col min="8206" max="8206" width="8.625" style="2" customWidth="1"/>
    <col min="8207" max="8207" width="13.625" style="2" customWidth="1"/>
    <col min="8208" max="8208" width="8.625" style="2" customWidth="1"/>
    <col min="8209" max="8209" width="13.625" style="2" customWidth="1"/>
    <col min="8210" max="8210" width="9.625" style="2" customWidth="1"/>
    <col min="8211" max="8211" width="13.625" style="2" customWidth="1"/>
    <col min="8212" max="8212" width="6.5" style="2" customWidth="1"/>
    <col min="8213" max="8213" width="12.625" style="2" customWidth="1"/>
    <col min="8214" max="8214" width="6.625" style="2" customWidth="1"/>
    <col min="8215" max="8215" width="11.625" style="2" customWidth="1"/>
    <col min="8216" max="8216" width="15.625" style="2" customWidth="1"/>
    <col min="8217" max="8220" width="8" style="2" bestFit="1" customWidth="1"/>
    <col min="8221" max="8221" width="16.375" style="2" customWidth="1"/>
    <col min="8222" max="8451" width="9" style="2"/>
    <col min="8452" max="8452" width="4.625" style="2" customWidth="1"/>
    <col min="8453" max="8456" width="6.625" style="2" customWidth="1"/>
    <col min="8457" max="8457" width="11.625" style="2" customWidth="1"/>
    <col min="8458" max="8458" width="7.625" style="2" customWidth="1"/>
    <col min="8459" max="8459" width="12.375" style="2" customWidth="1"/>
    <col min="8460" max="8460" width="7.375" style="2" customWidth="1"/>
    <col min="8461" max="8461" width="11.625" style="2" customWidth="1"/>
    <col min="8462" max="8462" width="8.625" style="2" customWidth="1"/>
    <col min="8463" max="8463" width="13.625" style="2" customWidth="1"/>
    <col min="8464" max="8464" width="8.625" style="2" customWidth="1"/>
    <col min="8465" max="8465" width="13.625" style="2" customWidth="1"/>
    <col min="8466" max="8466" width="9.625" style="2" customWidth="1"/>
    <col min="8467" max="8467" width="13.625" style="2" customWidth="1"/>
    <col min="8468" max="8468" width="6.5" style="2" customWidth="1"/>
    <col min="8469" max="8469" width="12.625" style="2" customWidth="1"/>
    <col min="8470" max="8470" width="6.625" style="2" customWidth="1"/>
    <col min="8471" max="8471" width="11.625" style="2" customWidth="1"/>
    <col min="8472" max="8472" width="15.625" style="2" customWidth="1"/>
    <col min="8473" max="8476" width="8" style="2" bestFit="1" customWidth="1"/>
    <col min="8477" max="8477" width="16.375" style="2" customWidth="1"/>
    <col min="8478" max="8707" width="9" style="2"/>
    <col min="8708" max="8708" width="4.625" style="2" customWidth="1"/>
    <col min="8709" max="8712" width="6.625" style="2" customWidth="1"/>
    <col min="8713" max="8713" width="11.625" style="2" customWidth="1"/>
    <col min="8714" max="8714" width="7.625" style="2" customWidth="1"/>
    <col min="8715" max="8715" width="12.375" style="2" customWidth="1"/>
    <col min="8716" max="8716" width="7.375" style="2" customWidth="1"/>
    <col min="8717" max="8717" width="11.625" style="2" customWidth="1"/>
    <col min="8718" max="8718" width="8.625" style="2" customWidth="1"/>
    <col min="8719" max="8719" width="13.625" style="2" customWidth="1"/>
    <col min="8720" max="8720" width="8.625" style="2" customWidth="1"/>
    <col min="8721" max="8721" width="13.625" style="2" customWidth="1"/>
    <col min="8722" max="8722" width="9.625" style="2" customWidth="1"/>
    <col min="8723" max="8723" width="13.625" style="2" customWidth="1"/>
    <col min="8724" max="8724" width="6.5" style="2" customWidth="1"/>
    <col min="8725" max="8725" width="12.625" style="2" customWidth="1"/>
    <col min="8726" max="8726" width="6.625" style="2" customWidth="1"/>
    <col min="8727" max="8727" width="11.625" style="2" customWidth="1"/>
    <col min="8728" max="8728" width="15.625" style="2" customWidth="1"/>
    <col min="8729" max="8732" width="8" style="2" bestFit="1" customWidth="1"/>
    <col min="8733" max="8733" width="16.375" style="2" customWidth="1"/>
    <col min="8734" max="8963" width="9" style="2"/>
    <col min="8964" max="8964" width="4.625" style="2" customWidth="1"/>
    <col min="8965" max="8968" width="6.625" style="2" customWidth="1"/>
    <col min="8969" max="8969" width="11.625" style="2" customWidth="1"/>
    <col min="8970" max="8970" width="7.625" style="2" customWidth="1"/>
    <col min="8971" max="8971" width="12.375" style="2" customWidth="1"/>
    <col min="8972" max="8972" width="7.375" style="2" customWidth="1"/>
    <col min="8973" max="8973" width="11.625" style="2" customWidth="1"/>
    <col min="8974" max="8974" width="8.625" style="2" customWidth="1"/>
    <col min="8975" max="8975" width="13.625" style="2" customWidth="1"/>
    <col min="8976" max="8976" width="8.625" style="2" customWidth="1"/>
    <col min="8977" max="8977" width="13.625" style="2" customWidth="1"/>
    <col min="8978" max="8978" width="9.625" style="2" customWidth="1"/>
    <col min="8979" max="8979" width="13.625" style="2" customWidth="1"/>
    <col min="8980" max="8980" width="6.5" style="2" customWidth="1"/>
    <col min="8981" max="8981" width="12.625" style="2" customWidth="1"/>
    <col min="8982" max="8982" width="6.625" style="2" customWidth="1"/>
    <col min="8983" max="8983" width="11.625" style="2" customWidth="1"/>
    <col min="8984" max="8984" width="15.625" style="2" customWidth="1"/>
    <col min="8985" max="8988" width="8" style="2" bestFit="1" customWidth="1"/>
    <col min="8989" max="8989" width="16.375" style="2" customWidth="1"/>
    <col min="8990" max="9219" width="9" style="2"/>
    <col min="9220" max="9220" width="4.625" style="2" customWidth="1"/>
    <col min="9221" max="9224" width="6.625" style="2" customWidth="1"/>
    <col min="9225" max="9225" width="11.625" style="2" customWidth="1"/>
    <col min="9226" max="9226" width="7.625" style="2" customWidth="1"/>
    <col min="9227" max="9227" width="12.375" style="2" customWidth="1"/>
    <col min="9228" max="9228" width="7.375" style="2" customWidth="1"/>
    <col min="9229" max="9229" width="11.625" style="2" customWidth="1"/>
    <col min="9230" max="9230" width="8.625" style="2" customWidth="1"/>
    <col min="9231" max="9231" width="13.625" style="2" customWidth="1"/>
    <col min="9232" max="9232" width="8.625" style="2" customWidth="1"/>
    <col min="9233" max="9233" width="13.625" style="2" customWidth="1"/>
    <col min="9234" max="9234" width="9.625" style="2" customWidth="1"/>
    <col min="9235" max="9235" width="13.625" style="2" customWidth="1"/>
    <col min="9236" max="9236" width="6.5" style="2" customWidth="1"/>
    <col min="9237" max="9237" width="12.625" style="2" customWidth="1"/>
    <col min="9238" max="9238" width="6.625" style="2" customWidth="1"/>
    <col min="9239" max="9239" width="11.625" style="2" customWidth="1"/>
    <col min="9240" max="9240" width="15.625" style="2" customWidth="1"/>
    <col min="9241" max="9244" width="8" style="2" bestFit="1" customWidth="1"/>
    <col min="9245" max="9245" width="16.375" style="2" customWidth="1"/>
    <col min="9246" max="9475" width="9" style="2"/>
    <col min="9476" max="9476" width="4.625" style="2" customWidth="1"/>
    <col min="9477" max="9480" width="6.625" style="2" customWidth="1"/>
    <col min="9481" max="9481" width="11.625" style="2" customWidth="1"/>
    <col min="9482" max="9482" width="7.625" style="2" customWidth="1"/>
    <col min="9483" max="9483" width="12.375" style="2" customWidth="1"/>
    <col min="9484" max="9484" width="7.375" style="2" customWidth="1"/>
    <col min="9485" max="9485" width="11.625" style="2" customWidth="1"/>
    <col min="9486" max="9486" width="8.625" style="2" customWidth="1"/>
    <col min="9487" max="9487" width="13.625" style="2" customWidth="1"/>
    <col min="9488" max="9488" width="8.625" style="2" customWidth="1"/>
    <col min="9489" max="9489" width="13.625" style="2" customWidth="1"/>
    <col min="9490" max="9490" width="9.625" style="2" customWidth="1"/>
    <col min="9491" max="9491" width="13.625" style="2" customWidth="1"/>
    <col min="9492" max="9492" width="6.5" style="2" customWidth="1"/>
    <col min="9493" max="9493" width="12.625" style="2" customWidth="1"/>
    <col min="9494" max="9494" width="6.625" style="2" customWidth="1"/>
    <col min="9495" max="9495" width="11.625" style="2" customWidth="1"/>
    <col min="9496" max="9496" width="15.625" style="2" customWidth="1"/>
    <col min="9497" max="9500" width="8" style="2" bestFit="1" customWidth="1"/>
    <col min="9501" max="9501" width="16.375" style="2" customWidth="1"/>
    <col min="9502" max="9731" width="9" style="2"/>
    <col min="9732" max="9732" width="4.625" style="2" customWidth="1"/>
    <col min="9733" max="9736" width="6.625" style="2" customWidth="1"/>
    <col min="9737" max="9737" width="11.625" style="2" customWidth="1"/>
    <col min="9738" max="9738" width="7.625" style="2" customWidth="1"/>
    <col min="9739" max="9739" width="12.375" style="2" customWidth="1"/>
    <col min="9740" max="9740" width="7.375" style="2" customWidth="1"/>
    <col min="9741" max="9741" width="11.625" style="2" customWidth="1"/>
    <col min="9742" max="9742" width="8.625" style="2" customWidth="1"/>
    <col min="9743" max="9743" width="13.625" style="2" customWidth="1"/>
    <col min="9744" max="9744" width="8.625" style="2" customWidth="1"/>
    <col min="9745" max="9745" width="13.625" style="2" customWidth="1"/>
    <col min="9746" max="9746" width="9.625" style="2" customWidth="1"/>
    <col min="9747" max="9747" width="13.625" style="2" customWidth="1"/>
    <col min="9748" max="9748" width="6.5" style="2" customWidth="1"/>
    <col min="9749" max="9749" width="12.625" style="2" customWidth="1"/>
    <col min="9750" max="9750" width="6.625" style="2" customWidth="1"/>
    <col min="9751" max="9751" width="11.625" style="2" customWidth="1"/>
    <col min="9752" max="9752" width="15.625" style="2" customWidth="1"/>
    <col min="9753" max="9756" width="8" style="2" bestFit="1" customWidth="1"/>
    <col min="9757" max="9757" width="16.375" style="2" customWidth="1"/>
    <col min="9758" max="9987" width="9" style="2"/>
    <col min="9988" max="9988" width="4.625" style="2" customWidth="1"/>
    <col min="9989" max="9992" width="6.625" style="2" customWidth="1"/>
    <col min="9993" max="9993" width="11.625" style="2" customWidth="1"/>
    <col min="9994" max="9994" width="7.625" style="2" customWidth="1"/>
    <col min="9995" max="9995" width="12.375" style="2" customWidth="1"/>
    <col min="9996" max="9996" width="7.375" style="2" customWidth="1"/>
    <col min="9997" max="9997" width="11.625" style="2" customWidth="1"/>
    <col min="9998" max="9998" width="8.625" style="2" customWidth="1"/>
    <col min="9999" max="9999" width="13.625" style="2" customWidth="1"/>
    <col min="10000" max="10000" width="8.625" style="2" customWidth="1"/>
    <col min="10001" max="10001" width="13.625" style="2" customWidth="1"/>
    <col min="10002" max="10002" width="9.625" style="2" customWidth="1"/>
    <col min="10003" max="10003" width="13.625" style="2" customWidth="1"/>
    <col min="10004" max="10004" width="6.5" style="2" customWidth="1"/>
    <col min="10005" max="10005" width="12.625" style="2" customWidth="1"/>
    <col min="10006" max="10006" width="6.625" style="2" customWidth="1"/>
    <col min="10007" max="10007" width="11.625" style="2" customWidth="1"/>
    <col min="10008" max="10008" width="15.625" style="2" customWidth="1"/>
    <col min="10009" max="10012" width="8" style="2" bestFit="1" customWidth="1"/>
    <col min="10013" max="10013" width="16.375" style="2" customWidth="1"/>
    <col min="10014" max="10243" width="9" style="2"/>
    <col min="10244" max="10244" width="4.625" style="2" customWidth="1"/>
    <col min="10245" max="10248" width="6.625" style="2" customWidth="1"/>
    <col min="10249" max="10249" width="11.625" style="2" customWidth="1"/>
    <col min="10250" max="10250" width="7.625" style="2" customWidth="1"/>
    <col min="10251" max="10251" width="12.375" style="2" customWidth="1"/>
    <col min="10252" max="10252" width="7.375" style="2" customWidth="1"/>
    <col min="10253" max="10253" width="11.625" style="2" customWidth="1"/>
    <col min="10254" max="10254" width="8.625" style="2" customWidth="1"/>
    <col min="10255" max="10255" width="13.625" style="2" customWidth="1"/>
    <col min="10256" max="10256" width="8.625" style="2" customWidth="1"/>
    <col min="10257" max="10257" width="13.625" style="2" customWidth="1"/>
    <col min="10258" max="10258" width="9.625" style="2" customWidth="1"/>
    <col min="10259" max="10259" width="13.625" style="2" customWidth="1"/>
    <col min="10260" max="10260" width="6.5" style="2" customWidth="1"/>
    <col min="10261" max="10261" width="12.625" style="2" customWidth="1"/>
    <col min="10262" max="10262" width="6.625" style="2" customWidth="1"/>
    <col min="10263" max="10263" width="11.625" style="2" customWidth="1"/>
    <col min="10264" max="10264" width="15.625" style="2" customWidth="1"/>
    <col min="10265" max="10268" width="8" style="2" bestFit="1" customWidth="1"/>
    <col min="10269" max="10269" width="16.375" style="2" customWidth="1"/>
    <col min="10270" max="10499" width="9" style="2"/>
    <col min="10500" max="10500" width="4.625" style="2" customWidth="1"/>
    <col min="10501" max="10504" width="6.625" style="2" customWidth="1"/>
    <col min="10505" max="10505" width="11.625" style="2" customWidth="1"/>
    <col min="10506" max="10506" width="7.625" style="2" customWidth="1"/>
    <col min="10507" max="10507" width="12.375" style="2" customWidth="1"/>
    <col min="10508" max="10508" width="7.375" style="2" customWidth="1"/>
    <col min="10509" max="10509" width="11.625" style="2" customWidth="1"/>
    <col min="10510" max="10510" width="8.625" style="2" customWidth="1"/>
    <col min="10511" max="10511" width="13.625" style="2" customWidth="1"/>
    <col min="10512" max="10512" width="8.625" style="2" customWidth="1"/>
    <col min="10513" max="10513" width="13.625" style="2" customWidth="1"/>
    <col min="10514" max="10514" width="9.625" style="2" customWidth="1"/>
    <col min="10515" max="10515" width="13.625" style="2" customWidth="1"/>
    <col min="10516" max="10516" width="6.5" style="2" customWidth="1"/>
    <col min="10517" max="10517" width="12.625" style="2" customWidth="1"/>
    <col min="10518" max="10518" width="6.625" style="2" customWidth="1"/>
    <col min="10519" max="10519" width="11.625" style="2" customWidth="1"/>
    <col min="10520" max="10520" width="15.625" style="2" customWidth="1"/>
    <col min="10521" max="10524" width="8" style="2" bestFit="1" customWidth="1"/>
    <col min="10525" max="10525" width="16.375" style="2" customWidth="1"/>
    <col min="10526" max="10755" width="9" style="2"/>
    <col min="10756" max="10756" width="4.625" style="2" customWidth="1"/>
    <col min="10757" max="10760" width="6.625" style="2" customWidth="1"/>
    <col min="10761" max="10761" width="11.625" style="2" customWidth="1"/>
    <col min="10762" max="10762" width="7.625" style="2" customWidth="1"/>
    <col min="10763" max="10763" width="12.375" style="2" customWidth="1"/>
    <col min="10764" max="10764" width="7.375" style="2" customWidth="1"/>
    <col min="10765" max="10765" width="11.625" style="2" customWidth="1"/>
    <col min="10766" max="10766" width="8.625" style="2" customWidth="1"/>
    <col min="10767" max="10767" width="13.625" style="2" customWidth="1"/>
    <col min="10768" max="10768" width="8.625" style="2" customWidth="1"/>
    <col min="10769" max="10769" width="13.625" style="2" customWidth="1"/>
    <col min="10770" max="10770" width="9.625" style="2" customWidth="1"/>
    <col min="10771" max="10771" width="13.625" style="2" customWidth="1"/>
    <col min="10772" max="10772" width="6.5" style="2" customWidth="1"/>
    <col min="10773" max="10773" width="12.625" style="2" customWidth="1"/>
    <col min="10774" max="10774" width="6.625" style="2" customWidth="1"/>
    <col min="10775" max="10775" width="11.625" style="2" customWidth="1"/>
    <col min="10776" max="10776" width="15.625" style="2" customWidth="1"/>
    <col min="10777" max="10780" width="8" style="2" bestFit="1" customWidth="1"/>
    <col min="10781" max="10781" width="16.375" style="2" customWidth="1"/>
    <col min="10782" max="11011" width="9" style="2"/>
    <col min="11012" max="11012" width="4.625" style="2" customWidth="1"/>
    <col min="11013" max="11016" width="6.625" style="2" customWidth="1"/>
    <col min="11017" max="11017" width="11.625" style="2" customWidth="1"/>
    <col min="11018" max="11018" width="7.625" style="2" customWidth="1"/>
    <col min="11019" max="11019" width="12.375" style="2" customWidth="1"/>
    <col min="11020" max="11020" width="7.375" style="2" customWidth="1"/>
    <col min="11021" max="11021" width="11.625" style="2" customWidth="1"/>
    <col min="11022" max="11022" width="8.625" style="2" customWidth="1"/>
    <col min="11023" max="11023" width="13.625" style="2" customWidth="1"/>
    <col min="11024" max="11024" width="8.625" style="2" customWidth="1"/>
    <col min="11025" max="11025" width="13.625" style="2" customWidth="1"/>
    <col min="11026" max="11026" width="9.625" style="2" customWidth="1"/>
    <col min="11027" max="11027" width="13.625" style="2" customWidth="1"/>
    <col min="11028" max="11028" width="6.5" style="2" customWidth="1"/>
    <col min="11029" max="11029" width="12.625" style="2" customWidth="1"/>
    <col min="11030" max="11030" width="6.625" style="2" customWidth="1"/>
    <col min="11031" max="11031" width="11.625" style="2" customWidth="1"/>
    <col min="11032" max="11032" width="15.625" style="2" customWidth="1"/>
    <col min="11033" max="11036" width="8" style="2" bestFit="1" customWidth="1"/>
    <col min="11037" max="11037" width="16.375" style="2" customWidth="1"/>
    <col min="11038" max="11267" width="9" style="2"/>
    <col min="11268" max="11268" width="4.625" style="2" customWidth="1"/>
    <col min="11269" max="11272" width="6.625" style="2" customWidth="1"/>
    <col min="11273" max="11273" width="11.625" style="2" customWidth="1"/>
    <col min="11274" max="11274" width="7.625" style="2" customWidth="1"/>
    <col min="11275" max="11275" width="12.375" style="2" customWidth="1"/>
    <col min="11276" max="11276" width="7.375" style="2" customWidth="1"/>
    <col min="11277" max="11277" width="11.625" style="2" customWidth="1"/>
    <col min="11278" max="11278" width="8.625" style="2" customWidth="1"/>
    <col min="11279" max="11279" width="13.625" style="2" customWidth="1"/>
    <col min="11280" max="11280" width="8.625" style="2" customWidth="1"/>
    <col min="11281" max="11281" width="13.625" style="2" customWidth="1"/>
    <col min="11282" max="11282" width="9.625" style="2" customWidth="1"/>
    <col min="11283" max="11283" width="13.625" style="2" customWidth="1"/>
    <col min="11284" max="11284" width="6.5" style="2" customWidth="1"/>
    <col min="11285" max="11285" width="12.625" style="2" customWidth="1"/>
    <col min="11286" max="11286" width="6.625" style="2" customWidth="1"/>
    <col min="11287" max="11287" width="11.625" style="2" customWidth="1"/>
    <col min="11288" max="11288" width="15.625" style="2" customWidth="1"/>
    <col min="11289" max="11292" width="8" style="2" bestFit="1" customWidth="1"/>
    <col min="11293" max="11293" width="16.375" style="2" customWidth="1"/>
    <col min="11294" max="11523" width="9" style="2"/>
    <col min="11524" max="11524" width="4.625" style="2" customWidth="1"/>
    <col min="11525" max="11528" width="6.625" style="2" customWidth="1"/>
    <col min="11529" max="11529" width="11.625" style="2" customWidth="1"/>
    <col min="11530" max="11530" width="7.625" style="2" customWidth="1"/>
    <col min="11531" max="11531" width="12.375" style="2" customWidth="1"/>
    <col min="11532" max="11532" width="7.375" style="2" customWidth="1"/>
    <col min="11533" max="11533" width="11.625" style="2" customWidth="1"/>
    <col min="11534" max="11534" width="8.625" style="2" customWidth="1"/>
    <col min="11535" max="11535" width="13.625" style="2" customWidth="1"/>
    <col min="11536" max="11536" width="8.625" style="2" customWidth="1"/>
    <col min="11537" max="11537" width="13.625" style="2" customWidth="1"/>
    <col min="11538" max="11538" width="9.625" style="2" customWidth="1"/>
    <col min="11539" max="11539" width="13.625" style="2" customWidth="1"/>
    <col min="11540" max="11540" width="6.5" style="2" customWidth="1"/>
    <col min="11541" max="11541" width="12.625" style="2" customWidth="1"/>
    <col min="11542" max="11542" width="6.625" style="2" customWidth="1"/>
    <col min="11543" max="11543" width="11.625" style="2" customWidth="1"/>
    <col min="11544" max="11544" width="15.625" style="2" customWidth="1"/>
    <col min="11545" max="11548" width="8" style="2" bestFit="1" customWidth="1"/>
    <col min="11549" max="11549" width="16.375" style="2" customWidth="1"/>
    <col min="11550" max="11779" width="9" style="2"/>
    <col min="11780" max="11780" width="4.625" style="2" customWidth="1"/>
    <col min="11781" max="11784" width="6.625" style="2" customWidth="1"/>
    <col min="11785" max="11785" width="11.625" style="2" customWidth="1"/>
    <col min="11786" max="11786" width="7.625" style="2" customWidth="1"/>
    <col min="11787" max="11787" width="12.375" style="2" customWidth="1"/>
    <col min="11788" max="11788" width="7.375" style="2" customWidth="1"/>
    <col min="11789" max="11789" width="11.625" style="2" customWidth="1"/>
    <col min="11790" max="11790" width="8.625" style="2" customWidth="1"/>
    <col min="11791" max="11791" width="13.625" style="2" customWidth="1"/>
    <col min="11792" max="11792" width="8.625" style="2" customWidth="1"/>
    <col min="11793" max="11793" width="13.625" style="2" customWidth="1"/>
    <col min="11794" max="11794" width="9.625" style="2" customWidth="1"/>
    <col min="11795" max="11795" width="13.625" style="2" customWidth="1"/>
    <col min="11796" max="11796" width="6.5" style="2" customWidth="1"/>
    <col min="11797" max="11797" width="12.625" style="2" customWidth="1"/>
    <col min="11798" max="11798" width="6.625" style="2" customWidth="1"/>
    <col min="11799" max="11799" width="11.625" style="2" customWidth="1"/>
    <col min="11800" max="11800" width="15.625" style="2" customWidth="1"/>
    <col min="11801" max="11804" width="8" style="2" bestFit="1" customWidth="1"/>
    <col min="11805" max="11805" width="16.375" style="2" customWidth="1"/>
    <col min="11806" max="12035" width="9" style="2"/>
    <col min="12036" max="12036" width="4.625" style="2" customWidth="1"/>
    <col min="12037" max="12040" width="6.625" style="2" customWidth="1"/>
    <col min="12041" max="12041" width="11.625" style="2" customWidth="1"/>
    <col min="12042" max="12042" width="7.625" style="2" customWidth="1"/>
    <col min="12043" max="12043" width="12.375" style="2" customWidth="1"/>
    <col min="12044" max="12044" width="7.375" style="2" customWidth="1"/>
    <col min="12045" max="12045" width="11.625" style="2" customWidth="1"/>
    <col min="12046" max="12046" width="8.625" style="2" customWidth="1"/>
    <col min="12047" max="12047" width="13.625" style="2" customWidth="1"/>
    <col min="12048" max="12048" width="8.625" style="2" customWidth="1"/>
    <col min="12049" max="12049" width="13.625" style="2" customWidth="1"/>
    <col min="12050" max="12050" width="9.625" style="2" customWidth="1"/>
    <col min="12051" max="12051" width="13.625" style="2" customWidth="1"/>
    <col min="12052" max="12052" width="6.5" style="2" customWidth="1"/>
    <col min="12053" max="12053" width="12.625" style="2" customWidth="1"/>
    <col min="12054" max="12054" width="6.625" style="2" customWidth="1"/>
    <col min="12055" max="12055" width="11.625" style="2" customWidth="1"/>
    <col min="12056" max="12056" width="15.625" style="2" customWidth="1"/>
    <col min="12057" max="12060" width="8" style="2" bestFit="1" customWidth="1"/>
    <col min="12061" max="12061" width="16.375" style="2" customWidth="1"/>
    <col min="12062" max="12291" width="9" style="2"/>
    <col min="12292" max="12292" width="4.625" style="2" customWidth="1"/>
    <col min="12293" max="12296" width="6.625" style="2" customWidth="1"/>
    <col min="12297" max="12297" width="11.625" style="2" customWidth="1"/>
    <col min="12298" max="12298" width="7.625" style="2" customWidth="1"/>
    <col min="12299" max="12299" width="12.375" style="2" customWidth="1"/>
    <col min="12300" max="12300" width="7.375" style="2" customWidth="1"/>
    <col min="12301" max="12301" width="11.625" style="2" customWidth="1"/>
    <col min="12302" max="12302" width="8.625" style="2" customWidth="1"/>
    <col min="12303" max="12303" width="13.625" style="2" customWidth="1"/>
    <col min="12304" max="12304" width="8.625" style="2" customWidth="1"/>
    <col min="12305" max="12305" width="13.625" style="2" customWidth="1"/>
    <col min="12306" max="12306" width="9.625" style="2" customWidth="1"/>
    <col min="12307" max="12307" width="13.625" style="2" customWidth="1"/>
    <col min="12308" max="12308" width="6.5" style="2" customWidth="1"/>
    <col min="12309" max="12309" width="12.625" style="2" customWidth="1"/>
    <col min="12310" max="12310" width="6.625" style="2" customWidth="1"/>
    <col min="12311" max="12311" width="11.625" style="2" customWidth="1"/>
    <col min="12312" max="12312" width="15.625" style="2" customWidth="1"/>
    <col min="12313" max="12316" width="8" style="2" bestFit="1" customWidth="1"/>
    <col min="12317" max="12317" width="16.375" style="2" customWidth="1"/>
    <col min="12318" max="12547" width="9" style="2"/>
    <col min="12548" max="12548" width="4.625" style="2" customWidth="1"/>
    <col min="12549" max="12552" width="6.625" style="2" customWidth="1"/>
    <col min="12553" max="12553" width="11.625" style="2" customWidth="1"/>
    <col min="12554" max="12554" width="7.625" style="2" customWidth="1"/>
    <col min="12555" max="12555" width="12.375" style="2" customWidth="1"/>
    <col min="12556" max="12556" width="7.375" style="2" customWidth="1"/>
    <col min="12557" max="12557" width="11.625" style="2" customWidth="1"/>
    <col min="12558" max="12558" width="8.625" style="2" customWidth="1"/>
    <col min="12559" max="12559" width="13.625" style="2" customWidth="1"/>
    <col min="12560" max="12560" width="8.625" style="2" customWidth="1"/>
    <col min="12561" max="12561" width="13.625" style="2" customWidth="1"/>
    <col min="12562" max="12562" width="9.625" style="2" customWidth="1"/>
    <col min="12563" max="12563" width="13.625" style="2" customWidth="1"/>
    <col min="12564" max="12564" width="6.5" style="2" customWidth="1"/>
    <col min="12565" max="12565" width="12.625" style="2" customWidth="1"/>
    <col min="12566" max="12566" width="6.625" style="2" customWidth="1"/>
    <col min="12567" max="12567" width="11.625" style="2" customWidth="1"/>
    <col min="12568" max="12568" width="15.625" style="2" customWidth="1"/>
    <col min="12569" max="12572" width="8" style="2" bestFit="1" customWidth="1"/>
    <col min="12573" max="12573" width="16.375" style="2" customWidth="1"/>
    <col min="12574" max="12803" width="9" style="2"/>
    <col min="12804" max="12804" width="4.625" style="2" customWidth="1"/>
    <col min="12805" max="12808" width="6.625" style="2" customWidth="1"/>
    <col min="12809" max="12809" width="11.625" style="2" customWidth="1"/>
    <col min="12810" max="12810" width="7.625" style="2" customWidth="1"/>
    <col min="12811" max="12811" width="12.375" style="2" customWidth="1"/>
    <col min="12812" max="12812" width="7.375" style="2" customWidth="1"/>
    <col min="12813" max="12813" width="11.625" style="2" customWidth="1"/>
    <col min="12814" max="12814" width="8.625" style="2" customWidth="1"/>
    <col min="12815" max="12815" width="13.625" style="2" customWidth="1"/>
    <col min="12816" max="12816" width="8.625" style="2" customWidth="1"/>
    <col min="12817" max="12817" width="13.625" style="2" customWidth="1"/>
    <col min="12818" max="12818" width="9.625" style="2" customWidth="1"/>
    <col min="12819" max="12819" width="13.625" style="2" customWidth="1"/>
    <col min="12820" max="12820" width="6.5" style="2" customWidth="1"/>
    <col min="12821" max="12821" width="12.625" style="2" customWidth="1"/>
    <col min="12822" max="12822" width="6.625" style="2" customWidth="1"/>
    <col min="12823" max="12823" width="11.625" style="2" customWidth="1"/>
    <col min="12824" max="12824" width="15.625" style="2" customWidth="1"/>
    <col min="12825" max="12828" width="8" style="2" bestFit="1" customWidth="1"/>
    <col min="12829" max="12829" width="16.375" style="2" customWidth="1"/>
    <col min="12830" max="13059" width="9" style="2"/>
    <col min="13060" max="13060" width="4.625" style="2" customWidth="1"/>
    <col min="13061" max="13064" width="6.625" style="2" customWidth="1"/>
    <col min="13065" max="13065" width="11.625" style="2" customWidth="1"/>
    <col min="13066" max="13066" width="7.625" style="2" customWidth="1"/>
    <col min="13067" max="13067" width="12.375" style="2" customWidth="1"/>
    <col min="13068" max="13068" width="7.375" style="2" customWidth="1"/>
    <col min="13069" max="13069" width="11.625" style="2" customWidth="1"/>
    <col min="13070" max="13070" width="8.625" style="2" customWidth="1"/>
    <col min="13071" max="13071" width="13.625" style="2" customWidth="1"/>
    <col min="13072" max="13072" width="8.625" style="2" customWidth="1"/>
    <col min="13073" max="13073" width="13.625" style="2" customWidth="1"/>
    <col min="13074" max="13074" width="9.625" style="2" customWidth="1"/>
    <col min="13075" max="13075" width="13.625" style="2" customWidth="1"/>
    <col min="13076" max="13076" width="6.5" style="2" customWidth="1"/>
    <col min="13077" max="13077" width="12.625" style="2" customWidth="1"/>
    <col min="13078" max="13078" width="6.625" style="2" customWidth="1"/>
    <col min="13079" max="13079" width="11.625" style="2" customWidth="1"/>
    <col min="13080" max="13080" width="15.625" style="2" customWidth="1"/>
    <col min="13081" max="13084" width="8" style="2" bestFit="1" customWidth="1"/>
    <col min="13085" max="13085" width="16.375" style="2" customWidth="1"/>
    <col min="13086" max="13315" width="9" style="2"/>
    <col min="13316" max="13316" width="4.625" style="2" customWidth="1"/>
    <col min="13317" max="13320" width="6.625" style="2" customWidth="1"/>
    <col min="13321" max="13321" width="11.625" style="2" customWidth="1"/>
    <col min="13322" max="13322" width="7.625" style="2" customWidth="1"/>
    <col min="13323" max="13323" width="12.375" style="2" customWidth="1"/>
    <col min="13324" max="13324" width="7.375" style="2" customWidth="1"/>
    <col min="13325" max="13325" width="11.625" style="2" customWidth="1"/>
    <col min="13326" max="13326" width="8.625" style="2" customWidth="1"/>
    <col min="13327" max="13327" width="13.625" style="2" customWidth="1"/>
    <col min="13328" max="13328" width="8.625" style="2" customWidth="1"/>
    <col min="13329" max="13329" width="13.625" style="2" customWidth="1"/>
    <col min="13330" max="13330" width="9.625" style="2" customWidth="1"/>
    <col min="13331" max="13331" width="13.625" style="2" customWidth="1"/>
    <col min="13332" max="13332" width="6.5" style="2" customWidth="1"/>
    <col min="13333" max="13333" width="12.625" style="2" customWidth="1"/>
    <col min="13334" max="13334" width="6.625" style="2" customWidth="1"/>
    <col min="13335" max="13335" width="11.625" style="2" customWidth="1"/>
    <col min="13336" max="13336" width="15.625" style="2" customWidth="1"/>
    <col min="13337" max="13340" width="8" style="2" bestFit="1" customWidth="1"/>
    <col min="13341" max="13341" width="16.375" style="2" customWidth="1"/>
    <col min="13342" max="13571" width="9" style="2"/>
    <col min="13572" max="13572" width="4.625" style="2" customWidth="1"/>
    <col min="13573" max="13576" width="6.625" style="2" customWidth="1"/>
    <col min="13577" max="13577" width="11.625" style="2" customWidth="1"/>
    <col min="13578" max="13578" width="7.625" style="2" customWidth="1"/>
    <col min="13579" max="13579" width="12.375" style="2" customWidth="1"/>
    <col min="13580" max="13580" width="7.375" style="2" customWidth="1"/>
    <col min="13581" max="13581" width="11.625" style="2" customWidth="1"/>
    <col min="13582" max="13582" width="8.625" style="2" customWidth="1"/>
    <col min="13583" max="13583" width="13.625" style="2" customWidth="1"/>
    <col min="13584" max="13584" width="8.625" style="2" customWidth="1"/>
    <col min="13585" max="13585" width="13.625" style="2" customWidth="1"/>
    <col min="13586" max="13586" width="9.625" style="2" customWidth="1"/>
    <col min="13587" max="13587" width="13.625" style="2" customWidth="1"/>
    <col min="13588" max="13588" width="6.5" style="2" customWidth="1"/>
    <col min="13589" max="13589" width="12.625" style="2" customWidth="1"/>
    <col min="13590" max="13590" width="6.625" style="2" customWidth="1"/>
    <col min="13591" max="13591" width="11.625" style="2" customWidth="1"/>
    <col min="13592" max="13592" width="15.625" style="2" customWidth="1"/>
    <col min="13593" max="13596" width="8" style="2" bestFit="1" customWidth="1"/>
    <col min="13597" max="13597" width="16.375" style="2" customWidth="1"/>
    <col min="13598" max="13827" width="9" style="2"/>
    <col min="13828" max="13828" width="4.625" style="2" customWidth="1"/>
    <col min="13829" max="13832" width="6.625" style="2" customWidth="1"/>
    <col min="13833" max="13833" width="11.625" style="2" customWidth="1"/>
    <col min="13834" max="13834" width="7.625" style="2" customWidth="1"/>
    <col min="13835" max="13835" width="12.375" style="2" customWidth="1"/>
    <col min="13836" max="13836" width="7.375" style="2" customWidth="1"/>
    <col min="13837" max="13837" width="11.625" style="2" customWidth="1"/>
    <col min="13838" max="13838" width="8.625" style="2" customWidth="1"/>
    <col min="13839" max="13839" width="13.625" style="2" customWidth="1"/>
    <col min="13840" max="13840" width="8.625" style="2" customWidth="1"/>
    <col min="13841" max="13841" width="13.625" style="2" customWidth="1"/>
    <col min="13842" max="13842" width="9.625" style="2" customWidth="1"/>
    <col min="13843" max="13843" width="13.625" style="2" customWidth="1"/>
    <col min="13844" max="13844" width="6.5" style="2" customWidth="1"/>
    <col min="13845" max="13845" width="12.625" style="2" customWidth="1"/>
    <col min="13846" max="13846" width="6.625" style="2" customWidth="1"/>
    <col min="13847" max="13847" width="11.625" style="2" customWidth="1"/>
    <col min="13848" max="13848" width="15.625" style="2" customWidth="1"/>
    <col min="13849" max="13852" width="8" style="2" bestFit="1" customWidth="1"/>
    <col min="13853" max="13853" width="16.375" style="2" customWidth="1"/>
    <col min="13854" max="14083" width="9" style="2"/>
    <col min="14084" max="14084" width="4.625" style="2" customWidth="1"/>
    <col min="14085" max="14088" width="6.625" style="2" customWidth="1"/>
    <col min="14089" max="14089" width="11.625" style="2" customWidth="1"/>
    <col min="14090" max="14090" width="7.625" style="2" customWidth="1"/>
    <col min="14091" max="14091" width="12.375" style="2" customWidth="1"/>
    <col min="14092" max="14092" width="7.375" style="2" customWidth="1"/>
    <col min="14093" max="14093" width="11.625" style="2" customWidth="1"/>
    <col min="14094" max="14094" width="8.625" style="2" customWidth="1"/>
    <col min="14095" max="14095" width="13.625" style="2" customWidth="1"/>
    <col min="14096" max="14096" width="8.625" style="2" customWidth="1"/>
    <col min="14097" max="14097" width="13.625" style="2" customWidth="1"/>
    <col min="14098" max="14098" width="9.625" style="2" customWidth="1"/>
    <col min="14099" max="14099" width="13.625" style="2" customWidth="1"/>
    <col min="14100" max="14100" width="6.5" style="2" customWidth="1"/>
    <col min="14101" max="14101" width="12.625" style="2" customWidth="1"/>
    <col min="14102" max="14102" width="6.625" style="2" customWidth="1"/>
    <col min="14103" max="14103" width="11.625" style="2" customWidth="1"/>
    <col min="14104" max="14104" width="15.625" style="2" customWidth="1"/>
    <col min="14105" max="14108" width="8" style="2" bestFit="1" customWidth="1"/>
    <col min="14109" max="14109" width="16.375" style="2" customWidth="1"/>
    <col min="14110" max="14339" width="9" style="2"/>
    <col min="14340" max="14340" width="4.625" style="2" customWidth="1"/>
    <col min="14341" max="14344" width="6.625" style="2" customWidth="1"/>
    <col min="14345" max="14345" width="11.625" style="2" customWidth="1"/>
    <col min="14346" max="14346" width="7.625" style="2" customWidth="1"/>
    <col min="14347" max="14347" width="12.375" style="2" customWidth="1"/>
    <col min="14348" max="14348" width="7.375" style="2" customWidth="1"/>
    <col min="14349" max="14349" width="11.625" style="2" customWidth="1"/>
    <col min="14350" max="14350" width="8.625" style="2" customWidth="1"/>
    <col min="14351" max="14351" width="13.625" style="2" customWidth="1"/>
    <col min="14352" max="14352" width="8.625" style="2" customWidth="1"/>
    <col min="14353" max="14353" width="13.625" style="2" customWidth="1"/>
    <col min="14354" max="14354" width="9.625" style="2" customWidth="1"/>
    <col min="14355" max="14355" width="13.625" style="2" customWidth="1"/>
    <col min="14356" max="14356" width="6.5" style="2" customWidth="1"/>
    <col min="14357" max="14357" width="12.625" style="2" customWidth="1"/>
    <col min="14358" max="14358" width="6.625" style="2" customWidth="1"/>
    <col min="14359" max="14359" width="11.625" style="2" customWidth="1"/>
    <col min="14360" max="14360" width="15.625" style="2" customWidth="1"/>
    <col min="14361" max="14364" width="8" style="2" bestFit="1" customWidth="1"/>
    <col min="14365" max="14365" width="16.375" style="2" customWidth="1"/>
    <col min="14366" max="14595" width="9" style="2"/>
    <col min="14596" max="14596" width="4.625" style="2" customWidth="1"/>
    <col min="14597" max="14600" width="6.625" style="2" customWidth="1"/>
    <col min="14601" max="14601" width="11.625" style="2" customWidth="1"/>
    <col min="14602" max="14602" width="7.625" style="2" customWidth="1"/>
    <col min="14603" max="14603" width="12.375" style="2" customWidth="1"/>
    <col min="14604" max="14604" width="7.375" style="2" customWidth="1"/>
    <col min="14605" max="14605" width="11.625" style="2" customWidth="1"/>
    <col min="14606" max="14606" width="8.625" style="2" customWidth="1"/>
    <col min="14607" max="14607" width="13.625" style="2" customWidth="1"/>
    <col min="14608" max="14608" width="8.625" style="2" customWidth="1"/>
    <col min="14609" max="14609" width="13.625" style="2" customWidth="1"/>
    <col min="14610" max="14610" width="9.625" style="2" customWidth="1"/>
    <col min="14611" max="14611" width="13.625" style="2" customWidth="1"/>
    <col min="14612" max="14612" width="6.5" style="2" customWidth="1"/>
    <col min="14613" max="14613" width="12.625" style="2" customWidth="1"/>
    <col min="14614" max="14614" width="6.625" style="2" customWidth="1"/>
    <col min="14615" max="14615" width="11.625" style="2" customWidth="1"/>
    <col min="14616" max="14616" width="15.625" style="2" customWidth="1"/>
    <col min="14617" max="14620" width="8" style="2" bestFit="1" customWidth="1"/>
    <col min="14621" max="14621" width="16.375" style="2" customWidth="1"/>
    <col min="14622" max="14851" width="9" style="2"/>
    <col min="14852" max="14852" width="4.625" style="2" customWidth="1"/>
    <col min="14853" max="14856" width="6.625" style="2" customWidth="1"/>
    <col min="14857" max="14857" width="11.625" style="2" customWidth="1"/>
    <col min="14858" max="14858" width="7.625" style="2" customWidth="1"/>
    <col min="14859" max="14859" width="12.375" style="2" customWidth="1"/>
    <col min="14860" max="14860" width="7.375" style="2" customWidth="1"/>
    <col min="14861" max="14861" width="11.625" style="2" customWidth="1"/>
    <col min="14862" max="14862" width="8.625" style="2" customWidth="1"/>
    <col min="14863" max="14863" width="13.625" style="2" customWidth="1"/>
    <col min="14864" max="14864" width="8.625" style="2" customWidth="1"/>
    <col min="14865" max="14865" width="13.625" style="2" customWidth="1"/>
    <col min="14866" max="14866" width="9.625" style="2" customWidth="1"/>
    <col min="14867" max="14867" width="13.625" style="2" customWidth="1"/>
    <col min="14868" max="14868" width="6.5" style="2" customWidth="1"/>
    <col min="14869" max="14869" width="12.625" style="2" customWidth="1"/>
    <col min="14870" max="14870" width="6.625" style="2" customWidth="1"/>
    <col min="14871" max="14871" width="11.625" style="2" customWidth="1"/>
    <col min="14872" max="14872" width="15.625" style="2" customWidth="1"/>
    <col min="14873" max="14876" width="8" style="2" bestFit="1" customWidth="1"/>
    <col min="14877" max="14877" width="16.375" style="2" customWidth="1"/>
    <col min="14878" max="15107" width="9" style="2"/>
    <col min="15108" max="15108" width="4.625" style="2" customWidth="1"/>
    <col min="15109" max="15112" width="6.625" style="2" customWidth="1"/>
    <col min="15113" max="15113" width="11.625" style="2" customWidth="1"/>
    <col min="15114" max="15114" width="7.625" style="2" customWidth="1"/>
    <col min="15115" max="15115" width="12.375" style="2" customWidth="1"/>
    <col min="15116" max="15116" width="7.375" style="2" customWidth="1"/>
    <col min="15117" max="15117" width="11.625" style="2" customWidth="1"/>
    <col min="15118" max="15118" width="8.625" style="2" customWidth="1"/>
    <col min="15119" max="15119" width="13.625" style="2" customWidth="1"/>
    <col min="15120" max="15120" width="8.625" style="2" customWidth="1"/>
    <col min="15121" max="15121" width="13.625" style="2" customWidth="1"/>
    <col min="15122" max="15122" width="9.625" style="2" customWidth="1"/>
    <col min="15123" max="15123" width="13.625" style="2" customWidth="1"/>
    <col min="15124" max="15124" width="6.5" style="2" customWidth="1"/>
    <col min="15125" max="15125" width="12.625" style="2" customWidth="1"/>
    <col min="15126" max="15126" width="6.625" style="2" customWidth="1"/>
    <col min="15127" max="15127" width="11.625" style="2" customWidth="1"/>
    <col min="15128" max="15128" width="15.625" style="2" customWidth="1"/>
    <col min="15129" max="15132" width="8" style="2" bestFit="1" customWidth="1"/>
    <col min="15133" max="15133" width="16.375" style="2" customWidth="1"/>
    <col min="15134" max="15363" width="9" style="2"/>
    <col min="15364" max="15364" width="4.625" style="2" customWidth="1"/>
    <col min="15365" max="15368" width="6.625" style="2" customWidth="1"/>
    <col min="15369" max="15369" width="11.625" style="2" customWidth="1"/>
    <col min="15370" max="15370" width="7.625" style="2" customWidth="1"/>
    <col min="15371" max="15371" width="12.375" style="2" customWidth="1"/>
    <col min="15372" max="15372" width="7.375" style="2" customWidth="1"/>
    <col min="15373" max="15373" width="11.625" style="2" customWidth="1"/>
    <col min="15374" max="15374" width="8.625" style="2" customWidth="1"/>
    <col min="15375" max="15375" width="13.625" style="2" customWidth="1"/>
    <col min="15376" max="15376" width="8.625" style="2" customWidth="1"/>
    <col min="15377" max="15377" width="13.625" style="2" customWidth="1"/>
    <col min="15378" max="15378" width="9.625" style="2" customWidth="1"/>
    <col min="15379" max="15379" width="13.625" style="2" customWidth="1"/>
    <col min="15380" max="15380" width="6.5" style="2" customWidth="1"/>
    <col min="15381" max="15381" width="12.625" style="2" customWidth="1"/>
    <col min="15382" max="15382" width="6.625" style="2" customWidth="1"/>
    <col min="15383" max="15383" width="11.625" style="2" customWidth="1"/>
    <col min="15384" max="15384" width="15.625" style="2" customWidth="1"/>
    <col min="15385" max="15388" width="8" style="2" bestFit="1" customWidth="1"/>
    <col min="15389" max="15389" width="16.375" style="2" customWidth="1"/>
    <col min="15390" max="15619" width="9" style="2"/>
    <col min="15620" max="15620" width="4.625" style="2" customWidth="1"/>
    <col min="15621" max="15624" width="6.625" style="2" customWidth="1"/>
    <col min="15625" max="15625" width="11.625" style="2" customWidth="1"/>
    <col min="15626" max="15626" width="7.625" style="2" customWidth="1"/>
    <col min="15627" max="15627" width="12.375" style="2" customWidth="1"/>
    <col min="15628" max="15628" width="7.375" style="2" customWidth="1"/>
    <col min="15629" max="15629" width="11.625" style="2" customWidth="1"/>
    <col min="15630" max="15630" width="8.625" style="2" customWidth="1"/>
    <col min="15631" max="15631" width="13.625" style="2" customWidth="1"/>
    <col min="15632" max="15632" width="8.625" style="2" customWidth="1"/>
    <col min="15633" max="15633" width="13.625" style="2" customWidth="1"/>
    <col min="15634" max="15634" width="9.625" style="2" customWidth="1"/>
    <col min="15635" max="15635" width="13.625" style="2" customWidth="1"/>
    <col min="15636" max="15636" width="6.5" style="2" customWidth="1"/>
    <col min="15637" max="15637" width="12.625" style="2" customWidth="1"/>
    <col min="15638" max="15638" width="6.625" style="2" customWidth="1"/>
    <col min="15639" max="15639" width="11.625" style="2" customWidth="1"/>
    <col min="15640" max="15640" width="15.625" style="2" customWidth="1"/>
    <col min="15641" max="15644" width="8" style="2" bestFit="1" customWidth="1"/>
    <col min="15645" max="15645" width="16.375" style="2" customWidth="1"/>
    <col min="15646" max="15875" width="9" style="2"/>
    <col min="15876" max="15876" width="4.625" style="2" customWidth="1"/>
    <col min="15877" max="15880" width="6.625" style="2" customWidth="1"/>
    <col min="15881" max="15881" width="11.625" style="2" customWidth="1"/>
    <col min="15882" max="15882" width="7.625" style="2" customWidth="1"/>
    <col min="15883" max="15883" width="12.375" style="2" customWidth="1"/>
    <col min="15884" max="15884" width="7.375" style="2" customWidth="1"/>
    <col min="15885" max="15885" width="11.625" style="2" customWidth="1"/>
    <col min="15886" max="15886" width="8.625" style="2" customWidth="1"/>
    <col min="15887" max="15887" width="13.625" style="2" customWidth="1"/>
    <col min="15888" max="15888" width="8.625" style="2" customWidth="1"/>
    <col min="15889" max="15889" width="13.625" style="2" customWidth="1"/>
    <col min="15890" max="15890" width="9.625" style="2" customWidth="1"/>
    <col min="15891" max="15891" width="13.625" style="2" customWidth="1"/>
    <col min="15892" max="15892" width="6.5" style="2" customWidth="1"/>
    <col min="15893" max="15893" width="12.625" style="2" customWidth="1"/>
    <col min="15894" max="15894" width="6.625" style="2" customWidth="1"/>
    <col min="15895" max="15895" width="11.625" style="2" customWidth="1"/>
    <col min="15896" max="15896" width="15.625" style="2" customWidth="1"/>
    <col min="15897" max="15900" width="8" style="2" bestFit="1" customWidth="1"/>
    <col min="15901" max="15901" width="16.375" style="2" customWidth="1"/>
    <col min="15902" max="16131" width="9" style="2"/>
    <col min="16132" max="16132" width="4.625" style="2" customWidth="1"/>
    <col min="16133" max="16136" width="6.625" style="2" customWidth="1"/>
    <col min="16137" max="16137" width="11.625" style="2" customWidth="1"/>
    <col min="16138" max="16138" width="7.625" style="2" customWidth="1"/>
    <col min="16139" max="16139" width="12.375" style="2" customWidth="1"/>
    <col min="16140" max="16140" width="7.375" style="2" customWidth="1"/>
    <col min="16141" max="16141" width="11.625" style="2" customWidth="1"/>
    <col min="16142" max="16142" width="8.625" style="2" customWidth="1"/>
    <col min="16143" max="16143" width="13.625" style="2" customWidth="1"/>
    <col min="16144" max="16144" width="8.625" style="2" customWidth="1"/>
    <col min="16145" max="16145" width="13.625" style="2" customWidth="1"/>
    <col min="16146" max="16146" width="9.625" style="2" customWidth="1"/>
    <col min="16147" max="16147" width="13.625" style="2" customWidth="1"/>
    <col min="16148" max="16148" width="6.5" style="2" customWidth="1"/>
    <col min="16149" max="16149" width="12.625" style="2" customWidth="1"/>
    <col min="16150" max="16150" width="6.625" style="2" customWidth="1"/>
    <col min="16151" max="16151" width="11.625" style="2" customWidth="1"/>
    <col min="16152" max="16152" width="15.625" style="2" customWidth="1"/>
    <col min="16153" max="16156" width="8" style="2" bestFit="1" customWidth="1"/>
    <col min="16157" max="16157" width="16.375" style="2" customWidth="1"/>
    <col min="16158" max="16384" width="9" style="2"/>
  </cols>
  <sheetData>
    <row r="1" spans="1:24" ht="24" customHeight="1" thickBot="1">
      <c r="A1" s="81" t="s">
        <v>38</v>
      </c>
      <c r="B1" s="81"/>
      <c r="C1" s="81"/>
      <c r="D1" s="81"/>
      <c r="E1" s="81"/>
      <c r="F1" s="81"/>
      <c r="G1" s="82"/>
      <c r="H1" s="81"/>
      <c r="I1" s="81"/>
      <c r="J1" s="81"/>
      <c r="K1" s="81"/>
      <c r="L1" s="81"/>
      <c r="M1" s="81"/>
      <c r="N1" s="81"/>
      <c r="O1" s="81"/>
      <c r="P1" s="83"/>
      <c r="Q1" s="83"/>
      <c r="R1" s="83"/>
      <c r="S1" s="83"/>
      <c r="T1" s="83"/>
      <c r="U1" s="83"/>
      <c r="V1" s="83"/>
      <c r="W1" s="83"/>
      <c r="X1" s="83"/>
    </row>
    <row r="2" spans="1:24" s="10" customFormat="1" ht="26.25" customHeight="1" thickBot="1">
      <c r="A2" s="84" t="s">
        <v>16</v>
      </c>
      <c r="B2" s="85" t="s">
        <v>17</v>
      </c>
      <c r="C2" s="85" t="s">
        <v>18</v>
      </c>
      <c r="D2" s="84" t="s">
        <v>19</v>
      </c>
      <c r="E2" s="88" t="s">
        <v>57</v>
      </c>
      <c r="F2" s="89"/>
      <c r="G2" s="92" t="s">
        <v>58</v>
      </c>
      <c r="H2" s="93"/>
      <c r="I2" s="96" t="s">
        <v>59</v>
      </c>
      <c r="J2" s="93"/>
      <c r="K2" s="92" t="s">
        <v>60</v>
      </c>
      <c r="L2" s="74"/>
      <c r="M2" s="100" t="s">
        <v>62</v>
      </c>
      <c r="N2" s="101" t="s">
        <v>66</v>
      </c>
      <c r="O2" s="102" t="s">
        <v>63</v>
      </c>
      <c r="P2" s="64" t="s">
        <v>32</v>
      </c>
      <c r="Q2" s="65"/>
      <c r="R2" s="68" t="s">
        <v>33</v>
      </c>
      <c r="S2" s="69"/>
      <c r="T2" s="106" t="s">
        <v>64</v>
      </c>
      <c r="U2" s="101" t="s">
        <v>65</v>
      </c>
      <c r="V2" s="72" t="s">
        <v>20</v>
      </c>
      <c r="W2" s="73"/>
      <c r="X2" s="74" t="s">
        <v>21</v>
      </c>
    </row>
    <row r="3" spans="1:24" s="11" customFormat="1" ht="46.5" customHeight="1" thickBot="1">
      <c r="A3" s="75"/>
      <c r="B3" s="86"/>
      <c r="C3" s="86"/>
      <c r="D3" s="75"/>
      <c r="E3" s="90"/>
      <c r="F3" s="91"/>
      <c r="G3" s="94"/>
      <c r="H3" s="95"/>
      <c r="I3" s="97"/>
      <c r="J3" s="95"/>
      <c r="K3" s="98"/>
      <c r="L3" s="99"/>
      <c r="M3" s="103"/>
      <c r="N3" s="104"/>
      <c r="O3" s="105"/>
      <c r="P3" s="66"/>
      <c r="Q3" s="67"/>
      <c r="R3" s="70"/>
      <c r="S3" s="71"/>
      <c r="T3" s="107"/>
      <c r="U3" s="104"/>
      <c r="V3" s="77" t="s">
        <v>61</v>
      </c>
      <c r="W3" s="78"/>
      <c r="X3" s="75"/>
    </row>
    <row r="4" spans="1:24" s="10" customFormat="1" ht="32.25" customHeight="1" thickBot="1">
      <c r="A4" s="76"/>
      <c r="B4" s="87"/>
      <c r="C4" s="87"/>
      <c r="D4" s="76"/>
      <c r="E4" s="19" t="s">
        <v>22</v>
      </c>
      <c r="F4" s="20" t="s">
        <v>23</v>
      </c>
      <c r="G4" s="19" t="s">
        <v>22</v>
      </c>
      <c r="H4" s="20" t="s">
        <v>24</v>
      </c>
      <c r="I4" s="21" t="s">
        <v>25</v>
      </c>
      <c r="J4" s="22" t="s">
        <v>24</v>
      </c>
      <c r="K4" s="21" t="s">
        <v>26</v>
      </c>
      <c r="L4" s="22" t="s">
        <v>24</v>
      </c>
      <c r="M4" s="23" t="s">
        <v>27</v>
      </c>
      <c r="N4" s="23" t="s">
        <v>27</v>
      </c>
      <c r="O4" s="23" t="s">
        <v>27</v>
      </c>
      <c r="P4" s="19" t="s">
        <v>28</v>
      </c>
      <c r="Q4" s="20" t="s">
        <v>23</v>
      </c>
      <c r="R4" s="24" t="s">
        <v>29</v>
      </c>
      <c r="S4" s="25" t="s">
        <v>24</v>
      </c>
      <c r="T4" s="19" t="s">
        <v>34</v>
      </c>
      <c r="U4" s="19" t="s">
        <v>34</v>
      </c>
      <c r="V4" s="19" t="s">
        <v>34</v>
      </c>
      <c r="W4" s="20" t="s">
        <v>23</v>
      </c>
      <c r="X4" s="76"/>
    </row>
    <row r="5" spans="1:24" s="4" customFormat="1" ht="22.5" customHeight="1" thickBot="1">
      <c r="A5" s="41">
        <v>1</v>
      </c>
      <c r="B5" s="26" t="s">
        <v>39</v>
      </c>
      <c r="C5" s="12">
        <v>12</v>
      </c>
      <c r="D5" s="28">
        <v>56.98</v>
      </c>
      <c r="E5" s="13">
        <f>SUM([2]厨房燃气!BH7)</f>
        <v>560</v>
      </c>
      <c r="F5" s="31">
        <f>IF(E5&gt;0,E5*3.95,0)</f>
        <v>2212</v>
      </c>
      <c r="G5" s="13">
        <f>SUM('[2]B1 &amp; 102F 锅炉房'!C7)</f>
        <v>1555</v>
      </c>
      <c r="H5" s="15">
        <f>IF(G5&gt;0,G5*3.95,0)</f>
        <v>6142.25</v>
      </c>
      <c r="I5" s="29">
        <f>SUM('[2]B1 &amp; 102F 锅炉房'!G7)</f>
        <v>939</v>
      </c>
      <c r="J5" s="35">
        <f>IF(I5&gt;0,I5*3.95,0)</f>
        <v>3709.05</v>
      </c>
      <c r="K5" s="13">
        <f t="shared" ref="K5:K34" si="0">SUM(I5+G5+E5)</f>
        <v>3054</v>
      </c>
      <c r="L5" s="15">
        <f>IF(K5&gt;0,K5*4.17,0)</f>
        <v>12735.18</v>
      </c>
      <c r="M5" s="29">
        <f>SUM([2]主塔楼空调用电量!V4)</f>
        <v>6428</v>
      </c>
      <c r="N5" s="29">
        <v>9266.64</v>
      </c>
      <c r="O5" s="13">
        <f>SUM('[2]68F 高压F13&amp;F30'!F7)</f>
        <v>28799.999999998818</v>
      </c>
      <c r="P5" s="13">
        <f>N5+O5+R5*617.59</f>
        <v>42389.769999998818</v>
      </c>
      <c r="Q5" s="16">
        <f>IF(P5&gt;0,P5*0.675169)</f>
        <v>28620.258621129204</v>
      </c>
      <c r="R5" s="30">
        <f>SUM([2]裙楼空调用量!L4)</f>
        <v>7</v>
      </c>
      <c r="S5" s="31">
        <f>IF(R5*417&gt;0,R5*417,0)</f>
        <v>2919</v>
      </c>
      <c r="T5" s="13">
        <f>SUM('[2]B4 水表'!C7)</f>
        <v>309.68</v>
      </c>
      <c r="U5" s="108">
        <v>133.38</v>
      </c>
      <c r="V5" s="13">
        <f>T5+U5</f>
        <v>443.06</v>
      </c>
      <c r="W5" s="16">
        <f>V5*4.86</f>
        <v>2153.2716</v>
      </c>
      <c r="X5" s="38">
        <f>SUM(L5+Q5+S5+W5)</f>
        <v>46427.7102211292</v>
      </c>
    </row>
    <row r="6" spans="1:24" s="4" customFormat="1" ht="22.5" customHeight="1" thickBot="1">
      <c r="A6" s="42">
        <v>2</v>
      </c>
      <c r="B6" s="26" t="s">
        <v>40</v>
      </c>
      <c r="C6" s="12">
        <v>8</v>
      </c>
      <c r="D6" s="28">
        <v>70.349999999999994</v>
      </c>
      <c r="E6" s="13">
        <f>SUM([2]厨房燃气!BH8)</f>
        <v>559</v>
      </c>
      <c r="F6" s="31">
        <f t="shared" ref="F6:F35" si="1">IF(E6&gt;0,E6*3.95,0)</f>
        <v>2208.0500000000002</v>
      </c>
      <c r="G6" s="13">
        <f>SUM('[2]B1 &amp; 102F 锅炉房'!C8)</f>
        <v>1519</v>
      </c>
      <c r="H6" s="15">
        <f t="shared" ref="H6:H35" si="2">IF(G6&gt;0,G6*3.95,0)</f>
        <v>6000.05</v>
      </c>
      <c r="I6" s="29">
        <f>SUM('[2]B1 &amp; 102F 锅炉房'!G8)</f>
        <v>924</v>
      </c>
      <c r="J6" s="35">
        <f t="shared" ref="J6:J35" si="3">IF(I6&gt;0,I6*3.95,0)</f>
        <v>3649.8</v>
      </c>
      <c r="K6" s="13">
        <f t="shared" si="0"/>
        <v>3002</v>
      </c>
      <c r="L6" s="33">
        <f t="shared" ref="L6:L31" si="4">IF(K6&gt;0,K6*4.17,0)</f>
        <v>12518.34</v>
      </c>
      <c r="M6" s="29">
        <f>SUM([2]主塔楼空调用电量!V5)</f>
        <v>4783</v>
      </c>
      <c r="N6" s="29">
        <v>9266.64</v>
      </c>
      <c r="O6" s="13">
        <f>SUM('[2]68F 高压F13&amp;F30'!F8)</f>
        <v>27899.999999999636</v>
      </c>
      <c r="P6" s="13">
        <f t="shared" ref="P6:P35" si="5">N6+O6+R6*617.59</f>
        <v>42724.949999999633</v>
      </c>
      <c r="Q6" s="16">
        <f>IF(P6&gt;0,P6*0.675169)</f>
        <v>28846.561766549752</v>
      </c>
      <c r="R6" s="30">
        <f>SUM([2]裙楼空调用量!L5)</f>
        <v>9</v>
      </c>
      <c r="S6" s="32">
        <f t="shared" ref="S6:S18" si="6">IF(R6*417&gt;0,R6*417,0)</f>
        <v>3753</v>
      </c>
      <c r="T6" s="13">
        <f>SUM('[2]B4 水表'!C8)</f>
        <v>276.5</v>
      </c>
      <c r="U6" s="108">
        <v>133.38</v>
      </c>
      <c r="V6" s="13">
        <f t="shared" ref="V6:V35" si="7">T6+U6</f>
        <v>409.88</v>
      </c>
      <c r="W6" s="16">
        <f t="shared" ref="W6:W35" si="8">V6*4.86</f>
        <v>1992.0168000000001</v>
      </c>
      <c r="X6" s="38">
        <f>SUM(L6+Q6+S6+W6)</f>
        <v>47109.91856654975</v>
      </c>
    </row>
    <row r="7" spans="1:24" s="4" customFormat="1" ht="22.5" customHeight="1" thickBot="1">
      <c r="A7" s="42">
        <v>3</v>
      </c>
      <c r="B7" s="26" t="s">
        <v>41</v>
      </c>
      <c r="C7" s="12">
        <v>60</v>
      </c>
      <c r="D7" s="28">
        <v>86.51</v>
      </c>
      <c r="E7" s="13">
        <f>SUM([2]厨房燃气!BH9)</f>
        <v>611</v>
      </c>
      <c r="F7" s="31">
        <f t="shared" si="1"/>
        <v>2413.4500000000003</v>
      </c>
      <c r="G7" s="13">
        <f>SUM('[2]B1 &amp; 102F 锅炉房'!C9)</f>
        <v>1487</v>
      </c>
      <c r="H7" s="15">
        <f t="shared" si="2"/>
        <v>5873.6500000000005</v>
      </c>
      <c r="I7" s="29">
        <f>SUM('[2]B1 &amp; 102F 锅炉房'!G9)</f>
        <v>950</v>
      </c>
      <c r="J7" s="35">
        <f t="shared" si="3"/>
        <v>3752.5</v>
      </c>
      <c r="K7" s="13">
        <f t="shared" si="0"/>
        <v>3048</v>
      </c>
      <c r="L7" s="33">
        <f t="shared" si="4"/>
        <v>12710.16</v>
      </c>
      <c r="M7" s="29">
        <f>SUM([2]主塔楼空调用电量!V6)</f>
        <v>5250</v>
      </c>
      <c r="N7" s="29">
        <v>9266.64</v>
      </c>
      <c r="O7" s="13">
        <f>SUM('[2]68F 高压F13&amp;F30'!F9)</f>
        <v>27799.999999999727</v>
      </c>
      <c r="P7" s="13">
        <f t="shared" si="5"/>
        <v>41389.76999999972</v>
      </c>
      <c r="Q7" s="16">
        <f t="shared" ref="Q7:Q34" si="9">IF(P7&gt;0,P7*0.675169)</f>
        <v>27945.089621129813</v>
      </c>
      <c r="R7" s="30">
        <f>SUM([2]裙楼空调用量!L6)</f>
        <v>7</v>
      </c>
      <c r="S7" s="32">
        <f t="shared" si="6"/>
        <v>2919</v>
      </c>
      <c r="T7" s="13">
        <f>SUM('[2]B4 水表'!C9)</f>
        <v>328.64</v>
      </c>
      <c r="U7" s="108">
        <v>133.38</v>
      </c>
      <c r="V7" s="13">
        <f t="shared" si="7"/>
        <v>462.02</v>
      </c>
      <c r="W7" s="16">
        <f t="shared" si="8"/>
        <v>2245.4171999999999</v>
      </c>
      <c r="X7" s="38">
        <f>SUM(L7+Q7+S7+W7)</f>
        <v>45819.666821129809</v>
      </c>
    </row>
    <row r="8" spans="1:24" s="4" customFormat="1" ht="22.5" customHeight="1" thickBot="1">
      <c r="A8" s="42">
        <v>4</v>
      </c>
      <c r="B8" s="26" t="s">
        <v>42</v>
      </c>
      <c r="C8" s="12">
        <v>66</v>
      </c>
      <c r="D8" s="28">
        <v>80.23</v>
      </c>
      <c r="E8" s="13">
        <f>SUM([2]厨房燃气!BH10)</f>
        <v>583</v>
      </c>
      <c r="F8" s="31">
        <f t="shared" si="1"/>
        <v>2302.85</v>
      </c>
      <c r="G8" s="13">
        <f>SUM('[2]B1 &amp; 102F 锅炉房'!C10)</f>
        <v>1574</v>
      </c>
      <c r="H8" s="15">
        <f t="shared" si="2"/>
        <v>6217.3</v>
      </c>
      <c r="I8" s="29">
        <f>SUM('[2]B1 &amp; 102F 锅炉房'!G10)</f>
        <v>1176</v>
      </c>
      <c r="J8" s="35">
        <f t="shared" si="3"/>
        <v>4645.2</v>
      </c>
      <c r="K8" s="13">
        <f t="shared" si="0"/>
        <v>3333</v>
      </c>
      <c r="L8" s="33">
        <f t="shared" si="4"/>
        <v>13898.61</v>
      </c>
      <c r="M8" s="29">
        <f>SUM([2]主塔楼空调用电量!V7)</f>
        <v>4348</v>
      </c>
      <c r="N8" s="29">
        <v>9266.64</v>
      </c>
      <c r="O8" s="13">
        <f>SUM('[2]68F 高压F13&amp;F30'!F10)</f>
        <v>26799.999999998363</v>
      </c>
      <c r="P8" s="13">
        <f t="shared" si="5"/>
        <v>40389.76999999836</v>
      </c>
      <c r="Q8" s="16">
        <f t="shared" si="9"/>
        <v>27269.920621128895</v>
      </c>
      <c r="R8" s="30">
        <f>SUM([2]裙楼空调用量!L7)</f>
        <v>7</v>
      </c>
      <c r="S8" s="32">
        <f t="shared" si="6"/>
        <v>2919</v>
      </c>
      <c r="T8" s="13">
        <f>SUM('[2]B4 水表'!C10)</f>
        <v>295.46000000000004</v>
      </c>
      <c r="U8" s="108">
        <v>133.38</v>
      </c>
      <c r="V8" s="13">
        <f t="shared" si="7"/>
        <v>428.84000000000003</v>
      </c>
      <c r="W8" s="16">
        <f t="shared" si="8"/>
        <v>2084.1624000000002</v>
      </c>
      <c r="X8" s="38">
        <f>SUM(L8+Q8+S8+W8)</f>
        <v>46171.6930211289</v>
      </c>
    </row>
    <row r="9" spans="1:24" s="4" customFormat="1" ht="22.5" customHeight="1" thickBot="1">
      <c r="A9" s="42">
        <v>5</v>
      </c>
      <c r="B9" s="26" t="s">
        <v>37</v>
      </c>
      <c r="C9" s="12">
        <v>1032</v>
      </c>
      <c r="D9" s="28">
        <v>80.52</v>
      </c>
      <c r="E9" s="13">
        <f>SUM([2]厨房燃气!BH11)</f>
        <v>605</v>
      </c>
      <c r="F9" s="31">
        <f t="shared" si="1"/>
        <v>2389.75</v>
      </c>
      <c r="G9" s="13">
        <f>SUM('[2]B1 &amp; 102F 锅炉房'!C11)</f>
        <v>1621</v>
      </c>
      <c r="H9" s="15">
        <f t="shared" si="2"/>
        <v>6402.9500000000007</v>
      </c>
      <c r="I9" s="29">
        <f>SUM('[2]B1 &amp; 102F 锅炉房'!G11)</f>
        <v>1283</v>
      </c>
      <c r="J9" s="35">
        <f t="shared" si="3"/>
        <v>5067.8500000000004</v>
      </c>
      <c r="K9" s="13">
        <f t="shared" si="0"/>
        <v>3509</v>
      </c>
      <c r="L9" s="33">
        <f t="shared" si="4"/>
        <v>14632.53</v>
      </c>
      <c r="M9" s="29">
        <f>SUM([2]主塔楼空调用电量!V8)</f>
        <v>5628</v>
      </c>
      <c r="N9" s="29">
        <v>9266.64</v>
      </c>
      <c r="O9" s="13">
        <f>SUM('[2]68F 高压F13&amp;F30'!F11)</f>
        <v>28700.000000003456</v>
      </c>
      <c r="P9" s="13">
        <f t="shared" si="5"/>
        <v>43524.950000003453</v>
      </c>
      <c r="Q9" s="16">
        <f t="shared" si="9"/>
        <v>29386.696966552332</v>
      </c>
      <c r="R9" s="30">
        <f>SUM([2]裙楼空调用量!L8)</f>
        <v>9</v>
      </c>
      <c r="S9" s="32">
        <f t="shared" si="6"/>
        <v>3753</v>
      </c>
      <c r="T9" s="13">
        <f>SUM('[2]B4 水表'!C11)</f>
        <v>369.72</v>
      </c>
      <c r="U9" s="108">
        <v>133.38</v>
      </c>
      <c r="V9" s="13">
        <f t="shared" si="7"/>
        <v>503.1</v>
      </c>
      <c r="W9" s="16">
        <f t="shared" si="8"/>
        <v>2445.0660000000003</v>
      </c>
      <c r="X9" s="38">
        <f>SUM(L9+Q9+S9+W9)</f>
        <v>50217.292966552333</v>
      </c>
    </row>
    <row r="10" spans="1:24" s="4" customFormat="1" ht="22.5" customHeight="1" thickBot="1">
      <c r="A10" s="42">
        <v>6</v>
      </c>
      <c r="B10" s="26" t="s">
        <v>43</v>
      </c>
      <c r="C10" s="12">
        <v>35</v>
      </c>
      <c r="D10" s="28">
        <v>88.95</v>
      </c>
      <c r="E10" s="13">
        <f>SUM([2]厨房燃气!BH12)</f>
        <v>602</v>
      </c>
      <c r="F10" s="31">
        <f t="shared" si="1"/>
        <v>2377.9</v>
      </c>
      <c r="G10" s="13">
        <f>SUM('[2]B1 &amp; 102F 锅炉房'!C12)</f>
        <v>1587</v>
      </c>
      <c r="H10" s="15">
        <f t="shared" si="2"/>
        <v>6268.6500000000005</v>
      </c>
      <c r="I10" s="29">
        <f>SUM('[2]B1 &amp; 102F 锅炉房'!G12)</f>
        <v>1232</v>
      </c>
      <c r="J10" s="35">
        <f t="shared" si="3"/>
        <v>4866.4000000000005</v>
      </c>
      <c r="K10" s="13">
        <f t="shared" si="0"/>
        <v>3421</v>
      </c>
      <c r="L10" s="33">
        <f t="shared" si="4"/>
        <v>14265.57</v>
      </c>
      <c r="M10" s="29">
        <f>SUM([2]主塔楼空调用电量!V9)</f>
        <v>5336</v>
      </c>
      <c r="N10" s="29">
        <v>9266.64</v>
      </c>
      <c r="O10" s="13">
        <f>SUM('[2]68F 高压F13&amp;F30'!F12)</f>
        <v>29499.999999998181</v>
      </c>
      <c r="P10" s="13">
        <f t="shared" si="5"/>
        <v>46795.309999998179</v>
      </c>
      <c r="Q10" s="16">
        <f t="shared" si="9"/>
        <v>31594.742657388771</v>
      </c>
      <c r="R10" s="30">
        <f>SUM([2]裙楼空调用量!L9)</f>
        <v>13</v>
      </c>
      <c r="S10" s="32">
        <f t="shared" si="6"/>
        <v>5421</v>
      </c>
      <c r="T10" s="13">
        <f>SUM('[2]B4 水表'!C12)</f>
        <v>421.86</v>
      </c>
      <c r="U10" s="108">
        <v>133.38</v>
      </c>
      <c r="V10" s="13">
        <f t="shared" si="7"/>
        <v>555.24</v>
      </c>
      <c r="W10" s="16">
        <f t="shared" si="8"/>
        <v>2698.4664000000002</v>
      </c>
      <c r="X10" s="38">
        <f>SUM(L10+Q10+S10+W10)</f>
        <v>53979.779057388769</v>
      </c>
    </row>
    <row r="11" spans="1:24" s="4" customFormat="1" ht="22.5" customHeight="1" thickBot="1">
      <c r="A11" s="42">
        <v>7</v>
      </c>
      <c r="B11" s="26" t="s">
        <v>44</v>
      </c>
      <c r="C11" s="12">
        <v>15</v>
      </c>
      <c r="D11" s="28">
        <v>65.7</v>
      </c>
      <c r="E11" s="13">
        <f>SUM([2]厨房燃气!BH13)</f>
        <v>620</v>
      </c>
      <c r="F11" s="31">
        <f t="shared" si="1"/>
        <v>2449</v>
      </c>
      <c r="G11" s="13">
        <f>SUM('[2]B1 &amp; 102F 锅炉房'!C13)</f>
        <v>1622</v>
      </c>
      <c r="H11" s="15">
        <f t="shared" si="2"/>
        <v>6406.9000000000005</v>
      </c>
      <c r="I11" s="29">
        <f>SUM('[2]B1 &amp; 102F 锅炉房'!G13)</f>
        <v>1083</v>
      </c>
      <c r="J11" s="35">
        <f t="shared" si="3"/>
        <v>4277.8500000000004</v>
      </c>
      <c r="K11" s="13">
        <f t="shared" si="0"/>
        <v>3325</v>
      </c>
      <c r="L11" s="33">
        <f t="shared" si="4"/>
        <v>13865.25</v>
      </c>
      <c r="M11" s="29">
        <f>SUM([2]主塔楼空调用电量!V10)</f>
        <v>5672</v>
      </c>
      <c r="N11" s="29">
        <v>9266.64</v>
      </c>
      <c r="O11" s="13">
        <f>SUM('[2]68F 高压F13&amp;F30'!F13)</f>
        <v>27599.999999999909</v>
      </c>
      <c r="P11" s="13">
        <f t="shared" si="5"/>
        <v>41807.359999999913</v>
      </c>
      <c r="Q11" s="16">
        <f t="shared" si="9"/>
        <v>28227.03344383994</v>
      </c>
      <c r="R11" s="30">
        <f>SUM([2]裙楼空调用量!L10)</f>
        <v>8</v>
      </c>
      <c r="S11" s="32">
        <f t="shared" si="6"/>
        <v>3336</v>
      </c>
      <c r="T11" s="13">
        <f>SUM('[2]B4 水表'!C13)</f>
        <v>369.72</v>
      </c>
      <c r="U11" s="108">
        <v>133.38</v>
      </c>
      <c r="V11" s="13">
        <f t="shared" si="7"/>
        <v>503.1</v>
      </c>
      <c r="W11" s="16">
        <f t="shared" si="8"/>
        <v>2445.0660000000003</v>
      </c>
      <c r="X11" s="38">
        <f>SUM(L11+Q11+S11+W11)</f>
        <v>47873.349443839943</v>
      </c>
    </row>
    <row r="12" spans="1:24" s="4" customFormat="1" ht="22.5" customHeight="1" thickBot="1">
      <c r="A12" s="42">
        <v>8</v>
      </c>
      <c r="B12" s="26" t="s">
        <v>45</v>
      </c>
      <c r="C12" s="12">
        <v>87</v>
      </c>
      <c r="D12" s="28">
        <v>69.48</v>
      </c>
      <c r="E12" s="13">
        <f>SUM([2]厨房燃气!BH14)</f>
        <v>586</v>
      </c>
      <c r="F12" s="31">
        <f t="shared" si="1"/>
        <v>2314.7000000000003</v>
      </c>
      <c r="G12" s="13">
        <f>SUM('[2]B1 &amp; 102F 锅炉房'!C14)</f>
        <v>1541</v>
      </c>
      <c r="H12" s="15">
        <f t="shared" si="2"/>
        <v>6086.9500000000007</v>
      </c>
      <c r="I12" s="29">
        <f>SUM('[2]B1 &amp; 102F 锅炉房'!G14)</f>
        <v>1043</v>
      </c>
      <c r="J12" s="35">
        <f t="shared" si="3"/>
        <v>4119.8500000000004</v>
      </c>
      <c r="K12" s="13">
        <f t="shared" si="0"/>
        <v>3170</v>
      </c>
      <c r="L12" s="33">
        <f t="shared" si="4"/>
        <v>13218.9</v>
      </c>
      <c r="M12" s="29">
        <f>SUM([2]主塔楼空调用电量!V11)</f>
        <v>6720</v>
      </c>
      <c r="N12" s="29">
        <v>9266.64</v>
      </c>
      <c r="O12" s="13">
        <f>SUM('[2]68F 高压F13&amp;F30'!F14)</f>
        <v>29100.000000000819</v>
      </c>
      <c r="P12" s="13">
        <f t="shared" si="5"/>
        <v>43307.360000000815</v>
      </c>
      <c r="Q12" s="16">
        <f t="shared" si="9"/>
        <v>29239.786943840551</v>
      </c>
      <c r="R12" s="30">
        <f>SUM([2]裙楼空调用量!L11)</f>
        <v>8</v>
      </c>
      <c r="S12" s="32">
        <f t="shared" si="6"/>
        <v>3336</v>
      </c>
      <c r="T12" s="13">
        <f>SUM('[2]B4 水表'!C14)</f>
        <v>393.42</v>
      </c>
      <c r="U12" s="108">
        <v>133.38</v>
      </c>
      <c r="V12" s="13">
        <f t="shared" si="7"/>
        <v>526.79999999999995</v>
      </c>
      <c r="W12" s="16">
        <f t="shared" si="8"/>
        <v>2560.248</v>
      </c>
      <c r="X12" s="38">
        <f>SUM(L12+Q12+S12+W12)</f>
        <v>48354.934943840548</v>
      </c>
    </row>
    <row r="13" spans="1:24" s="4" customFormat="1" ht="22.5" customHeight="1" thickBot="1">
      <c r="A13" s="42">
        <v>9</v>
      </c>
      <c r="B13" s="26" t="s">
        <v>46</v>
      </c>
      <c r="C13" s="12">
        <v>68</v>
      </c>
      <c r="D13" s="28">
        <v>90.99</v>
      </c>
      <c r="E13" s="13">
        <f>SUM([2]厨房燃气!BH15)</f>
        <v>578</v>
      </c>
      <c r="F13" s="31">
        <f t="shared" si="1"/>
        <v>2283.1</v>
      </c>
      <c r="G13" s="13">
        <f>SUM('[2]B1 &amp; 102F 锅炉房'!C15)</f>
        <v>1609</v>
      </c>
      <c r="H13" s="15">
        <f t="shared" si="2"/>
        <v>6355.55</v>
      </c>
      <c r="I13" s="29">
        <f>SUM('[2]B1 &amp; 102F 锅炉房'!G15)</f>
        <v>940</v>
      </c>
      <c r="J13" s="35">
        <f t="shared" si="3"/>
        <v>3713</v>
      </c>
      <c r="K13" s="13">
        <f>SUM(I13+G13+E13)</f>
        <v>3127</v>
      </c>
      <c r="L13" s="33">
        <f t="shared" si="4"/>
        <v>13039.59</v>
      </c>
      <c r="M13" s="29">
        <f>SUM([2]主塔楼空调用电量!V12)</f>
        <v>6197</v>
      </c>
      <c r="N13" s="29">
        <v>9266.64</v>
      </c>
      <c r="O13" s="13">
        <f>SUM('[2]68F 高压F13&amp;F30'!F15)</f>
        <v>29400.000000000546</v>
      </c>
      <c r="P13" s="13">
        <f t="shared" si="5"/>
        <v>46695.310000000543</v>
      </c>
      <c r="Q13" s="16">
        <f t="shared" si="9"/>
        <v>31527.225757390366</v>
      </c>
      <c r="R13" s="30">
        <f>SUM([2]裙楼空调用量!L12)</f>
        <v>13</v>
      </c>
      <c r="S13" s="32">
        <f t="shared" si="6"/>
        <v>5421</v>
      </c>
      <c r="T13" s="13">
        <f>SUM('[2]B4 水表'!C15)</f>
        <v>316</v>
      </c>
      <c r="U13" s="108">
        <v>133.38</v>
      </c>
      <c r="V13" s="13">
        <f t="shared" si="7"/>
        <v>449.38</v>
      </c>
      <c r="W13" s="16">
        <f t="shared" si="8"/>
        <v>2183.9868000000001</v>
      </c>
      <c r="X13" s="38">
        <f>SUM(L13+Q13+S13+W13)</f>
        <v>52171.802557390365</v>
      </c>
    </row>
    <row r="14" spans="1:24" s="4" customFormat="1" ht="22.5" customHeight="1" thickBot="1">
      <c r="A14" s="42">
        <v>10</v>
      </c>
      <c r="B14" s="26" t="s">
        <v>46</v>
      </c>
      <c r="C14" s="12">
        <v>20</v>
      </c>
      <c r="D14" s="28">
        <v>96.8</v>
      </c>
      <c r="E14" s="13">
        <f>SUM([2]厨房燃气!BH16)</f>
        <v>557</v>
      </c>
      <c r="F14" s="31">
        <f t="shared" si="1"/>
        <v>2200.15</v>
      </c>
      <c r="G14" s="13">
        <f>SUM('[2]B1 &amp; 102F 锅炉房'!C16)</f>
        <v>1552</v>
      </c>
      <c r="H14" s="15">
        <f t="shared" si="2"/>
        <v>6130.4000000000005</v>
      </c>
      <c r="I14" s="29">
        <f>SUM('[2]B1 &amp; 102F 锅炉房'!G16)</f>
        <v>1035</v>
      </c>
      <c r="J14" s="35">
        <f t="shared" si="3"/>
        <v>4088.25</v>
      </c>
      <c r="K14" s="13">
        <f>SUM(I14+G14+E14)</f>
        <v>3144</v>
      </c>
      <c r="L14" s="33">
        <f t="shared" si="4"/>
        <v>13110.48</v>
      </c>
      <c r="M14" s="29">
        <f>SUM([2]主塔楼空调用电量!V13)</f>
        <v>5912</v>
      </c>
      <c r="N14" s="29">
        <v>9266.64</v>
      </c>
      <c r="O14" s="13">
        <f>SUM('[2]68F 高压F13&amp;F30'!F16)</f>
        <v>28599.999999999</v>
      </c>
      <c r="P14" s="13">
        <f t="shared" si="5"/>
        <v>44042.539999998997</v>
      </c>
      <c r="Q14" s="16">
        <f t="shared" si="9"/>
        <v>29736.157689259322</v>
      </c>
      <c r="R14" s="30">
        <f>SUM([2]裙楼空调用量!L13)</f>
        <v>10</v>
      </c>
      <c r="S14" s="32">
        <f t="shared" si="6"/>
        <v>4170</v>
      </c>
      <c r="T14" s="13">
        <f>SUM('[2]B4 水表'!C16)</f>
        <v>395</v>
      </c>
      <c r="U14" s="108">
        <v>133.38</v>
      </c>
      <c r="V14" s="13">
        <f t="shared" si="7"/>
        <v>528.38</v>
      </c>
      <c r="W14" s="16">
        <f t="shared" si="8"/>
        <v>2567.9268000000002</v>
      </c>
      <c r="X14" s="38">
        <f>SUM(L14+Q14+S14+W14)</f>
        <v>49584.564489259326</v>
      </c>
    </row>
    <row r="15" spans="1:24" s="4" customFormat="1" ht="22.5" customHeight="1" thickBot="1">
      <c r="A15" s="42">
        <v>11</v>
      </c>
      <c r="B15" s="26" t="s">
        <v>47</v>
      </c>
      <c r="C15" s="12">
        <v>350</v>
      </c>
      <c r="D15" s="28">
        <v>96.8</v>
      </c>
      <c r="E15" s="13">
        <f>SUM([2]厨房燃气!BH17)</f>
        <v>651</v>
      </c>
      <c r="F15" s="31">
        <f t="shared" si="1"/>
        <v>2571.4500000000003</v>
      </c>
      <c r="G15" s="13">
        <f>SUM('[2]B1 &amp; 102F 锅炉房'!C17)</f>
        <v>1653</v>
      </c>
      <c r="H15" s="15">
        <f t="shared" si="2"/>
        <v>6529.35</v>
      </c>
      <c r="I15" s="29">
        <f>SUM('[2]B1 &amp; 102F 锅炉房'!G17)</f>
        <v>1007</v>
      </c>
      <c r="J15" s="35">
        <f t="shared" si="3"/>
        <v>3977.65</v>
      </c>
      <c r="K15" s="13">
        <f t="shared" si="0"/>
        <v>3311</v>
      </c>
      <c r="L15" s="33">
        <f t="shared" si="4"/>
        <v>13806.869999999999</v>
      </c>
      <c r="M15" s="29">
        <f>SUM([2]主塔楼空调用电量!V14)</f>
        <v>7089</v>
      </c>
      <c r="N15" s="29">
        <v>9266.64</v>
      </c>
      <c r="O15" s="13">
        <f>SUM('[2]68F 高压F13&amp;F30'!F17)</f>
        <v>30699.999999999363</v>
      </c>
      <c r="P15" s="13">
        <f t="shared" si="5"/>
        <v>45524.949999999357</v>
      </c>
      <c r="Q15" s="16">
        <f t="shared" si="9"/>
        <v>30737.034966549567</v>
      </c>
      <c r="R15" s="30">
        <f>SUM([2]裙楼空调用量!L14)</f>
        <v>9</v>
      </c>
      <c r="S15" s="32">
        <f t="shared" si="6"/>
        <v>3753</v>
      </c>
      <c r="T15" s="13">
        <f>SUM('[2]B4 水表'!C17)</f>
        <v>485.06</v>
      </c>
      <c r="U15" s="108">
        <v>133.38</v>
      </c>
      <c r="V15" s="13">
        <f t="shared" si="7"/>
        <v>618.44000000000005</v>
      </c>
      <c r="W15" s="16">
        <f t="shared" si="8"/>
        <v>3005.6184000000003</v>
      </c>
      <c r="X15" s="38">
        <f>SUM(L15+Q15+S15+W15)</f>
        <v>51302.523366549569</v>
      </c>
    </row>
    <row r="16" spans="1:24" s="4" customFormat="1" ht="22.5" customHeight="1" thickBot="1">
      <c r="A16" s="42">
        <v>12</v>
      </c>
      <c r="B16" s="26" t="s">
        <v>48</v>
      </c>
      <c r="C16" s="12">
        <v>539</v>
      </c>
      <c r="D16" s="28">
        <v>92.15</v>
      </c>
      <c r="E16" s="13">
        <f>SUM([2]厨房燃气!BH18)</f>
        <v>779</v>
      </c>
      <c r="F16" s="31">
        <f t="shared" si="1"/>
        <v>3077.05</v>
      </c>
      <c r="G16" s="13">
        <f>SUM('[2]B1 &amp; 102F 锅炉房'!C18)</f>
        <v>1702</v>
      </c>
      <c r="H16" s="15">
        <f t="shared" si="2"/>
        <v>6722.9000000000005</v>
      </c>
      <c r="I16" s="29">
        <f>SUM('[2]B1 &amp; 102F 锅炉房'!G18)</f>
        <v>955</v>
      </c>
      <c r="J16" s="35">
        <f t="shared" si="3"/>
        <v>3772.25</v>
      </c>
      <c r="K16" s="13">
        <f t="shared" si="0"/>
        <v>3436</v>
      </c>
      <c r="L16" s="33">
        <f t="shared" si="4"/>
        <v>14328.119999999999</v>
      </c>
      <c r="M16" s="29">
        <f>SUM([2]主塔楼空调用电量!V15)</f>
        <v>7828</v>
      </c>
      <c r="N16" s="29">
        <v>9266.64</v>
      </c>
      <c r="O16" s="13">
        <f>SUM('[2]68F 高压F13&amp;F30'!F18)</f>
        <v>31300.000000001091</v>
      </c>
      <c r="P16" s="13">
        <f t="shared" si="5"/>
        <v>49830.490000001089</v>
      </c>
      <c r="Q16" s="16">
        <f t="shared" si="9"/>
        <v>33644.002102810737</v>
      </c>
      <c r="R16" s="30">
        <f>SUM([2]裙楼空调用量!L15)</f>
        <v>15</v>
      </c>
      <c r="S16" s="32">
        <f t="shared" si="6"/>
        <v>6255</v>
      </c>
      <c r="T16" s="13">
        <f>SUM('[2]B4 水表'!C18)</f>
        <v>270.18</v>
      </c>
      <c r="U16" s="108">
        <v>133.38</v>
      </c>
      <c r="V16" s="13">
        <f t="shared" si="7"/>
        <v>403.56</v>
      </c>
      <c r="W16" s="16">
        <f t="shared" si="8"/>
        <v>1961.3016000000002</v>
      </c>
      <c r="X16" s="38">
        <f>SUM(L16+Q16+S16+W16)</f>
        <v>56188.423702810738</v>
      </c>
    </row>
    <row r="17" spans="1:24" s="4" customFormat="1" ht="22.5" customHeight="1" thickBot="1">
      <c r="A17" s="42">
        <v>13</v>
      </c>
      <c r="B17" s="26" t="s">
        <v>48</v>
      </c>
      <c r="C17" s="12">
        <v>592</v>
      </c>
      <c r="D17" s="28">
        <v>96.51</v>
      </c>
      <c r="E17" s="13">
        <f>SUM([2]厨房燃气!BH19)</f>
        <v>640</v>
      </c>
      <c r="F17" s="31">
        <f t="shared" si="1"/>
        <v>2528</v>
      </c>
      <c r="G17" s="13">
        <f>SUM('[2]B1 &amp; 102F 锅炉房'!C19)</f>
        <v>1718</v>
      </c>
      <c r="H17" s="15">
        <f t="shared" si="2"/>
        <v>6786.1</v>
      </c>
      <c r="I17" s="29">
        <f>SUM('[2]B1 &amp; 102F 锅炉房'!G19)</f>
        <v>1092</v>
      </c>
      <c r="J17" s="35">
        <f t="shared" si="3"/>
        <v>4313.4000000000005</v>
      </c>
      <c r="K17" s="13">
        <f t="shared" si="0"/>
        <v>3450</v>
      </c>
      <c r="L17" s="33">
        <f t="shared" si="4"/>
        <v>14386.5</v>
      </c>
      <c r="M17" s="29">
        <f>SUM([2]主塔楼空调用电量!V16)</f>
        <v>6483</v>
      </c>
      <c r="N17" s="29">
        <v>9266.64</v>
      </c>
      <c r="O17" s="13">
        <f>SUM('[2]68F 高压F13&amp;F30'!F19)</f>
        <v>29900.000000000091</v>
      </c>
      <c r="P17" s="13">
        <f t="shared" si="5"/>
        <v>47195.310000000085</v>
      </c>
      <c r="Q17" s="16">
        <f t="shared" si="9"/>
        <v>31864.810257390058</v>
      </c>
      <c r="R17" s="30">
        <f>SUM([2]裙楼空调用量!L16)</f>
        <v>13</v>
      </c>
      <c r="S17" s="32">
        <f t="shared" si="6"/>
        <v>5421</v>
      </c>
      <c r="T17" s="13">
        <f>SUM('[2]B4 水表'!C19)</f>
        <v>442.40000000000003</v>
      </c>
      <c r="U17" s="108">
        <v>133.38</v>
      </c>
      <c r="V17" s="13">
        <f t="shared" si="7"/>
        <v>575.78</v>
      </c>
      <c r="W17" s="16">
        <f t="shared" si="8"/>
        <v>2798.2908000000002</v>
      </c>
      <c r="X17" s="38">
        <f>SUM(L17+Q17+S17+W17)</f>
        <v>54470.601057390057</v>
      </c>
    </row>
    <row r="18" spans="1:24" s="4" customFormat="1" ht="22.5" customHeight="1" thickBot="1">
      <c r="A18" s="42">
        <v>14</v>
      </c>
      <c r="B18" s="26" t="s">
        <v>47</v>
      </c>
      <c r="C18" s="12">
        <v>0</v>
      </c>
      <c r="D18" s="28">
        <v>63.66</v>
      </c>
      <c r="E18" s="13">
        <f>SUM([2]厨房燃气!BH20)</f>
        <v>636</v>
      </c>
      <c r="F18" s="31">
        <f t="shared" si="1"/>
        <v>2512.2000000000003</v>
      </c>
      <c r="G18" s="13">
        <f>SUM('[2]B1 &amp; 102F 锅炉房'!C20)</f>
        <v>1737</v>
      </c>
      <c r="H18" s="15">
        <f t="shared" si="2"/>
        <v>6861.1500000000005</v>
      </c>
      <c r="I18" s="29">
        <f>SUM('[2]B1 &amp; 102F 锅炉房'!G20)</f>
        <v>1154</v>
      </c>
      <c r="J18" s="35">
        <f t="shared" si="3"/>
        <v>4558.3</v>
      </c>
      <c r="K18" s="13">
        <f t="shared" si="0"/>
        <v>3527</v>
      </c>
      <c r="L18" s="33">
        <f t="shared" si="4"/>
        <v>14707.59</v>
      </c>
      <c r="M18" s="29">
        <f>SUM([2]主塔楼空调用电量!V17)</f>
        <v>7136</v>
      </c>
      <c r="N18" s="29">
        <v>9266.64</v>
      </c>
      <c r="O18" s="13">
        <f>SUM('[2]68F 高压F13&amp;F30'!F20)</f>
        <v>30799.999999999272</v>
      </c>
      <c r="P18" s="13">
        <f t="shared" si="5"/>
        <v>47477.719999999274</v>
      </c>
      <c r="Q18" s="16">
        <f t="shared" si="9"/>
        <v>32055.48473467951</v>
      </c>
      <c r="R18" s="30">
        <f>SUM([2]裙楼空调用量!L17)</f>
        <v>12</v>
      </c>
      <c r="S18" s="32">
        <f t="shared" si="6"/>
        <v>5004</v>
      </c>
      <c r="T18" s="13">
        <f>SUM('[2]B4 水表'!C20)</f>
        <v>426.6</v>
      </c>
      <c r="U18" s="108">
        <v>133.38</v>
      </c>
      <c r="V18" s="13">
        <f t="shared" si="7"/>
        <v>559.98</v>
      </c>
      <c r="W18" s="16">
        <f t="shared" si="8"/>
        <v>2721.5028000000002</v>
      </c>
      <c r="X18" s="38">
        <f>SUM(L18+Q18+S18+W18)</f>
        <v>54488.577534679513</v>
      </c>
    </row>
    <row r="19" spans="1:24" s="4" customFormat="1" ht="22.5" customHeight="1" thickBot="1">
      <c r="A19" s="42">
        <v>15</v>
      </c>
      <c r="B19" s="26" t="s">
        <v>49</v>
      </c>
      <c r="C19" s="12">
        <v>10</v>
      </c>
      <c r="D19" s="28">
        <v>80.52</v>
      </c>
      <c r="E19" s="13">
        <f>SUM([2]厨房燃气!BH21)</f>
        <v>556</v>
      </c>
      <c r="F19" s="31">
        <f t="shared" si="1"/>
        <v>2196.2000000000003</v>
      </c>
      <c r="G19" s="13">
        <f>SUM('[2]B1 &amp; 102F 锅炉房'!C21)</f>
        <v>1578</v>
      </c>
      <c r="H19" s="15">
        <f t="shared" si="2"/>
        <v>6233.1</v>
      </c>
      <c r="I19" s="29">
        <f>SUM('[2]B1 &amp; 102F 锅炉房'!G21)</f>
        <v>1040</v>
      </c>
      <c r="J19" s="35">
        <f t="shared" si="3"/>
        <v>4108</v>
      </c>
      <c r="K19" s="13">
        <f t="shared" si="0"/>
        <v>3174</v>
      </c>
      <c r="L19" s="33">
        <f t="shared" si="4"/>
        <v>13235.58</v>
      </c>
      <c r="M19" s="29">
        <f>SUM([2]主塔楼空调用电量!V18)</f>
        <v>7178</v>
      </c>
      <c r="N19" s="29">
        <v>9266.64</v>
      </c>
      <c r="O19" s="13">
        <f>SUM('[2]68F 高压F13&amp;F30'!F21)</f>
        <v>30099.999999999909</v>
      </c>
      <c r="P19" s="13">
        <f t="shared" si="5"/>
        <v>46160.12999999991</v>
      </c>
      <c r="Q19" s="16">
        <f t="shared" si="9"/>
        <v>31165.88881196994</v>
      </c>
      <c r="R19" s="30">
        <f>SUM([2]裙楼空调用量!L18)</f>
        <v>11</v>
      </c>
      <c r="S19" s="32">
        <f>SUM(R19*417)</f>
        <v>4587</v>
      </c>
      <c r="T19" s="13">
        <f>SUM('[2]B4 水表'!C21)</f>
        <v>410.8</v>
      </c>
      <c r="U19" s="108">
        <v>133.38</v>
      </c>
      <c r="V19" s="13">
        <f t="shared" si="7"/>
        <v>544.18000000000006</v>
      </c>
      <c r="W19" s="16">
        <f t="shared" si="8"/>
        <v>2644.7148000000007</v>
      </c>
      <c r="X19" s="38">
        <f>SUM(L19+Q19+S19+W19)</f>
        <v>51633.183611969944</v>
      </c>
    </row>
    <row r="20" spans="1:24" s="4" customFormat="1" ht="22.5" customHeight="1" thickBot="1">
      <c r="A20" s="42">
        <v>16</v>
      </c>
      <c r="B20" s="26" t="s">
        <v>50</v>
      </c>
      <c r="C20" s="12">
        <v>188</v>
      </c>
      <c r="D20" s="28">
        <v>83.14</v>
      </c>
      <c r="E20" s="13">
        <f>SUM([2]厨房燃气!BH22)</f>
        <v>563</v>
      </c>
      <c r="F20" s="31">
        <f t="shared" si="1"/>
        <v>2223.85</v>
      </c>
      <c r="G20" s="13">
        <f>SUM('[2]B1 &amp; 102F 锅炉房'!C22)</f>
        <v>1589</v>
      </c>
      <c r="H20" s="15">
        <f t="shared" si="2"/>
        <v>6276.55</v>
      </c>
      <c r="I20" s="29">
        <f>SUM('[2]B1 &amp; 102F 锅炉房'!G22)</f>
        <v>983</v>
      </c>
      <c r="J20" s="35">
        <f t="shared" si="3"/>
        <v>3882.8500000000004</v>
      </c>
      <c r="K20" s="13">
        <f t="shared" si="0"/>
        <v>3135</v>
      </c>
      <c r="L20" s="33">
        <f t="shared" si="4"/>
        <v>13072.949999999999</v>
      </c>
      <c r="M20" s="29">
        <f>SUM([2]主塔楼空调用电量!V19)</f>
        <v>7660</v>
      </c>
      <c r="N20" s="29">
        <v>9266.64</v>
      </c>
      <c r="O20" s="13">
        <f>SUM('[2]68F 高压F13&amp;F30'!F22)</f>
        <v>30599.999999999454</v>
      </c>
      <c r="P20" s="13">
        <f t="shared" si="5"/>
        <v>46660.129999999452</v>
      </c>
      <c r="Q20" s="16">
        <f t="shared" si="9"/>
        <v>31503.473311969632</v>
      </c>
      <c r="R20" s="30">
        <f>SUM([2]裙楼空调用量!L19)</f>
        <v>11</v>
      </c>
      <c r="S20" s="32">
        <f t="shared" ref="S20:S34" si="10">SUM(R20*417)</f>
        <v>4587</v>
      </c>
      <c r="T20" s="13">
        <f>SUM('[2]B4 水表'!C22)</f>
        <v>395</v>
      </c>
      <c r="U20" s="108">
        <v>133.38</v>
      </c>
      <c r="V20" s="13">
        <f t="shared" si="7"/>
        <v>528.38</v>
      </c>
      <c r="W20" s="16">
        <f t="shared" si="8"/>
        <v>2567.9268000000002</v>
      </c>
      <c r="X20" s="38">
        <f>SUM(L20+Q20+S20+W20)</f>
        <v>51731.35011196963</v>
      </c>
    </row>
    <row r="21" spans="1:24" s="4" customFormat="1" ht="22.5" customHeight="1" thickBot="1">
      <c r="A21" s="42">
        <v>17</v>
      </c>
      <c r="B21" s="26" t="s">
        <v>49</v>
      </c>
      <c r="C21" s="12">
        <v>378</v>
      </c>
      <c r="D21" s="28">
        <v>90.12</v>
      </c>
      <c r="E21" s="13">
        <f>SUM([2]厨房燃气!BH23)</f>
        <v>606</v>
      </c>
      <c r="F21" s="31">
        <f t="shared" si="1"/>
        <v>2393.7000000000003</v>
      </c>
      <c r="G21" s="13">
        <f>SUM('[2]B1 &amp; 102F 锅炉房'!C23)</f>
        <v>1508</v>
      </c>
      <c r="H21" s="15">
        <f t="shared" si="2"/>
        <v>5956.6</v>
      </c>
      <c r="I21" s="29">
        <f>SUM('[2]B1 &amp; 102F 锅炉房'!G23)</f>
        <v>995</v>
      </c>
      <c r="J21" s="35">
        <f t="shared" si="3"/>
        <v>3930.25</v>
      </c>
      <c r="K21" s="13">
        <f>SUM(E21+G21+I21)</f>
        <v>3109</v>
      </c>
      <c r="L21" s="33">
        <f t="shared" si="4"/>
        <v>12964.53</v>
      </c>
      <c r="M21" s="29">
        <f>SUM([2]主塔楼空调用电量!V20)</f>
        <v>8931</v>
      </c>
      <c r="N21" s="29">
        <v>9266.64</v>
      </c>
      <c r="O21" s="13">
        <f>SUM('[2]68F 高压F13&amp;F30'!F23)</f>
        <v>32600.000000002183</v>
      </c>
      <c r="P21" s="13">
        <f t="shared" si="5"/>
        <v>49277.720000002184</v>
      </c>
      <c r="Q21" s="16">
        <f t="shared" si="9"/>
        <v>33270.788934681477</v>
      </c>
      <c r="R21" s="30">
        <f>SUM([2]裙楼空调用量!L20)</f>
        <v>12</v>
      </c>
      <c r="S21" s="32">
        <f t="shared" si="10"/>
        <v>5004</v>
      </c>
      <c r="T21" s="13">
        <f>SUM('[2]B4 水表'!C23)</f>
        <v>379.20000000000005</v>
      </c>
      <c r="U21" s="108">
        <v>133.38</v>
      </c>
      <c r="V21" s="13">
        <f t="shared" si="7"/>
        <v>512.58000000000004</v>
      </c>
      <c r="W21" s="16">
        <f t="shared" si="8"/>
        <v>2491.1388000000002</v>
      </c>
      <c r="X21" s="38">
        <f>SUM(L21+Q21+S21+W21)</f>
        <v>53730.457734681477</v>
      </c>
    </row>
    <row r="22" spans="1:24" s="4" customFormat="1" ht="22.5" customHeight="1" thickBot="1">
      <c r="A22" s="42">
        <v>18</v>
      </c>
      <c r="B22" s="26" t="s">
        <v>51</v>
      </c>
      <c r="C22" s="12">
        <v>270</v>
      </c>
      <c r="D22" s="28">
        <v>88.95</v>
      </c>
      <c r="E22" s="13">
        <f>SUM([2]厨房燃气!BH24)</f>
        <v>730</v>
      </c>
      <c r="F22" s="31">
        <f t="shared" si="1"/>
        <v>2883.5</v>
      </c>
      <c r="G22" s="13">
        <f>SUM('[2]B1 &amp; 102F 锅炉房'!C24)</f>
        <v>1561</v>
      </c>
      <c r="H22" s="15">
        <f t="shared" si="2"/>
        <v>6165.9500000000007</v>
      </c>
      <c r="I22" s="29">
        <f>SUM('[2]B1 &amp; 102F 锅炉房'!G24)</f>
        <v>953</v>
      </c>
      <c r="J22" s="35">
        <f t="shared" si="3"/>
        <v>3764.3500000000004</v>
      </c>
      <c r="K22" s="13">
        <f t="shared" si="0"/>
        <v>3244</v>
      </c>
      <c r="L22" s="33">
        <f t="shared" si="4"/>
        <v>13527.48</v>
      </c>
      <c r="M22" s="29">
        <f>SUM([2]主塔楼空调用电量!V21)</f>
        <v>8590</v>
      </c>
      <c r="N22" s="29">
        <v>9266.64</v>
      </c>
      <c r="O22" s="13">
        <f>SUM('[2]68F 高压F13&amp;F30'!F24)</f>
        <v>31799.999999998363</v>
      </c>
      <c r="P22" s="13">
        <f t="shared" si="5"/>
        <v>50330.489999998361</v>
      </c>
      <c r="Q22" s="16">
        <f t="shared" si="9"/>
        <v>33981.586602808893</v>
      </c>
      <c r="R22" s="30">
        <f>SUM([2]裙楼空调用量!L21)</f>
        <v>15</v>
      </c>
      <c r="S22" s="32">
        <f t="shared" si="10"/>
        <v>6255</v>
      </c>
      <c r="T22" s="13">
        <f>SUM('[2]B4 水表'!C24)</f>
        <v>467.68</v>
      </c>
      <c r="U22" s="108">
        <v>133.38</v>
      </c>
      <c r="V22" s="13">
        <f t="shared" si="7"/>
        <v>601.05999999999995</v>
      </c>
      <c r="W22" s="16">
        <f t="shared" si="8"/>
        <v>2921.1516000000001</v>
      </c>
      <c r="X22" s="38">
        <f>SUM(L22+Q22+S22+W22)</f>
        <v>56685.218202808886</v>
      </c>
    </row>
    <row r="23" spans="1:24" s="4" customFormat="1" ht="22.5" customHeight="1" thickBot="1">
      <c r="A23" s="42">
        <v>19</v>
      </c>
      <c r="B23" s="26" t="s">
        <v>52</v>
      </c>
      <c r="C23" s="12">
        <v>226</v>
      </c>
      <c r="D23" s="28">
        <v>89.53</v>
      </c>
      <c r="E23" s="13">
        <f>SUM([2]厨房燃气!BH25)</f>
        <v>687</v>
      </c>
      <c r="F23" s="31">
        <f t="shared" si="1"/>
        <v>2713.65</v>
      </c>
      <c r="G23" s="13">
        <f>SUM('[2]B1 &amp; 102F 锅炉房'!C25)</f>
        <v>1596</v>
      </c>
      <c r="H23" s="15">
        <f t="shared" si="2"/>
        <v>6304.2000000000007</v>
      </c>
      <c r="I23" s="29">
        <f>SUM('[2]B1 &amp; 102F 锅炉房'!G25)</f>
        <v>942</v>
      </c>
      <c r="J23" s="35">
        <f t="shared" si="3"/>
        <v>3720.9</v>
      </c>
      <c r="K23" s="13">
        <f t="shared" si="0"/>
        <v>3225</v>
      </c>
      <c r="L23" s="33">
        <f t="shared" si="4"/>
        <v>13448.25</v>
      </c>
      <c r="M23" s="29">
        <f>SUM([2]主塔楼空调用电量!V22)</f>
        <v>9037</v>
      </c>
      <c r="N23" s="29">
        <v>9266.64</v>
      </c>
      <c r="O23" s="13">
        <f>SUM('[2]68F 高压F13&amp;F30'!F25)</f>
        <v>32200.000000000273</v>
      </c>
      <c r="P23" s="13">
        <f t="shared" si="5"/>
        <v>50730.490000000274</v>
      </c>
      <c r="Q23" s="16">
        <f t="shared" si="9"/>
        <v>34251.654202810183</v>
      </c>
      <c r="R23" s="30">
        <f>SUM([2]裙楼空调用量!L22)</f>
        <v>15</v>
      </c>
      <c r="S23" s="32">
        <f t="shared" si="10"/>
        <v>6255</v>
      </c>
      <c r="T23" s="13">
        <f>SUM('[2]B4 水表'!C25)</f>
        <v>413.96000000000004</v>
      </c>
      <c r="U23" s="108">
        <v>133.38</v>
      </c>
      <c r="V23" s="13">
        <f t="shared" si="7"/>
        <v>547.34</v>
      </c>
      <c r="W23" s="16">
        <f t="shared" si="8"/>
        <v>2660.0724000000005</v>
      </c>
      <c r="X23" s="38">
        <f>SUM(L23+Q23+S23+W23)</f>
        <v>56614.97660281018</v>
      </c>
    </row>
    <row r="24" spans="1:24" s="4" customFormat="1" ht="22.5" customHeight="1" thickBot="1">
      <c r="A24" s="42">
        <v>20</v>
      </c>
      <c r="B24" s="26" t="s">
        <v>53</v>
      </c>
      <c r="C24" s="12">
        <v>424</v>
      </c>
      <c r="D24" s="28">
        <v>94.77</v>
      </c>
      <c r="E24" s="13">
        <f>SUM([2]厨房燃气!BH26)</f>
        <v>810</v>
      </c>
      <c r="F24" s="31">
        <f t="shared" si="1"/>
        <v>3199.5</v>
      </c>
      <c r="G24" s="13">
        <f>SUM('[2]B1 &amp; 102F 锅炉房'!C26)</f>
        <v>1515</v>
      </c>
      <c r="H24" s="15">
        <f t="shared" si="2"/>
        <v>5984.25</v>
      </c>
      <c r="I24" s="29">
        <f>SUM('[2]B1 &amp; 102F 锅炉房'!G26)</f>
        <v>1042</v>
      </c>
      <c r="J24" s="35">
        <f t="shared" si="3"/>
        <v>4115.9000000000005</v>
      </c>
      <c r="K24" s="13">
        <f t="shared" si="0"/>
        <v>3367</v>
      </c>
      <c r="L24" s="33">
        <f t="shared" si="4"/>
        <v>14040.39</v>
      </c>
      <c r="M24" s="29">
        <f>SUM([2]主塔楼空调用电量!V23)</f>
        <v>9259</v>
      </c>
      <c r="N24" s="29">
        <v>9266.64</v>
      </c>
      <c r="O24" s="13">
        <f>SUM('[2]68F 高压F13&amp;F30'!F26)</f>
        <v>32899.999999999636</v>
      </c>
      <c r="P24" s="13">
        <f t="shared" si="5"/>
        <v>50195.309999999634</v>
      </c>
      <c r="Q24" s="16">
        <f t="shared" si="9"/>
        <v>33890.317257389754</v>
      </c>
      <c r="R24" s="30">
        <f>SUM([2]裙楼空调用量!L23)</f>
        <v>13</v>
      </c>
      <c r="S24" s="32">
        <f t="shared" si="10"/>
        <v>5421</v>
      </c>
      <c r="T24" s="13">
        <f>SUM('[2]B4 水表'!C26)</f>
        <v>521.4</v>
      </c>
      <c r="U24" s="108">
        <v>133.38</v>
      </c>
      <c r="V24" s="13">
        <f t="shared" si="7"/>
        <v>654.78</v>
      </c>
      <c r="W24" s="16">
        <f t="shared" si="8"/>
        <v>3182.2308000000003</v>
      </c>
      <c r="X24" s="38">
        <f>SUM(L24+Q24+S24+W24)</f>
        <v>56533.938057389751</v>
      </c>
    </row>
    <row r="25" spans="1:24" s="4" customFormat="1" ht="22.5" customHeight="1" thickBot="1">
      <c r="A25" s="42">
        <v>21</v>
      </c>
      <c r="B25" s="26" t="s">
        <v>53</v>
      </c>
      <c r="C25" s="12">
        <v>188</v>
      </c>
      <c r="D25" s="28">
        <v>73.260000000000005</v>
      </c>
      <c r="E25" s="13">
        <f>SUM([2]厨房燃气!BH27)</f>
        <v>590</v>
      </c>
      <c r="F25" s="31">
        <f t="shared" si="1"/>
        <v>2330.5</v>
      </c>
      <c r="G25" s="13">
        <f>SUM('[2]B1 &amp; 102F 锅炉房'!C27)</f>
        <v>1496</v>
      </c>
      <c r="H25" s="15">
        <f t="shared" si="2"/>
        <v>5909.2</v>
      </c>
      <c r="I25" s="29">
        <f>SUM('[2]B1 &amp; 102F 锅炉房'!G27)</f>
        <v>1017</v>
      </c>
      <c r="J25" s="35">
        <f t="shared" si="3"/>
        <v>4017.15</v>
      </c>
      <c r="K25" s="13">
        <f t="shared" si="0"/>
        <v>3103</v>
      </c>
      <c r="L25" s="33">
        <f t="shared" si="4"/>
        <v>12939.51</v>
      </c>
      <c r="M25" s="29">
        <f>SUM([2]主塔楼空调用电量!V24)</f>
        <v>5075</v>
      </c>
      <c r="N25" s="29">
        <v>9266.64</v>
      </c>
      <c r="O25" s="13">
        <f>SUM('[2]68F 高压F13&amp;F30'!F27)</f>
        <v>27799.999999999727</v>
      </c>
      <c r="P25" s="13">
        <f t="shared" si="5"/>
        <v>46330.489999999721</v>
      </c>
      <c r="Q25" s="16">
        <f t="shared" si="9"/>
        <v>31280.910602809814</v>
      </c>
      <c r="R25" s="30">
        <f>SUM([2]裙楼空调用量!L24)</f>
        <v>15</v>
      </c>
      <c r="S25" s="32">
        <f t="shared" si="10"/>
        <v>6255</v>
      </c>
      <c r="T25" s="13">
        <f>SUM('[2]B4 水表'!C27)</f>
        <v>412.38</v>
      </c>
      <c r="U25" s="108">
        <v>133.38</v>
      </c>
      <c r="V25" s="13">
        <f t="shared" si="7"/>
        <v>545.76</v>
      </c>
      <c r="W25" s="16">
        <f t="shared" si="8"/>
        <v>2652.3936000000003</v>
      </c>
      <c r="X25" s="38">
        <f>SUM(L25+Q25+S25+W25)</f>
        <v>53127.814202809815</v>
      </c>
    </row>
    <row r="26" spans="1:24" s="4" customFormat="1" ht="22.5" customHeight="1" thickBot="1">
      <c r="A26" s="42">
        <v>22</v>
      </c>
      <c r="B26" s="26" t="s">
        <v>53</v>
      </c>
      <c r="C26" s="12">
        <v>48</v>
      </c>
      <c r="D26" s="28">
        <v>67.150000000000006</v>
      </c>
      <c r="E26" s="13">
        <f>SUM([2]厨房燃气!BH28)</f>
        <v>577</v>
      </c>
      <c r="F26" s="31">
        <f t="shared" si="1"/>
        <v>2279.15</v>
      </c>
      <c r="G26" s="13">
        <f>SUM('[2]B1 &amp; 102F 锅炉房'!C28)</f>
        <v>1554</v>
      </c>
      <c r="H26" s="15">
        <f t="shared" si="2"/>
        <v>6138.3</v>
      </c>
      <c r="I26" s="29">
        <f>SUM('[2]B1 &amp; 102F 锅炉房'!G28)</f>
        <v>909</v>
      </c>
      <c r="J26" s="35">
        <f t="shared" si="3"/>
        <v>3590.55</v>
      </c>
      <c r="K26" s="13">
        <f t="shared" si="0"/>
        <v>3040</v>
      </c>
      <c r="L26" s="33">
        <f t="shared" si="4"/>
        <v>12676.8</v>
      </c>
      <c r="M26" s="29">
        <f>SUM([2]主塔楼空调用电量!V25)</f>
        <v>4853</v>
      </c>
      <c r="N26" s="29">
        <v>9266.64</v>
      </c>
      <c r="O26" s="13">
        <f>SUM('[2]68F 高压F13&amp;F30'!F28)</f>
        <v>27000.000000000455</v>
      </c>
      <c r="P26" s="13">
        <f t="shared" si="5"/>
        <v>41824.950000000448</v>
      </c>
      <c r="Q26" s="16">
        <f t="shared" si="9"/>
        <v>28238.909666550302</v>
      </c>
      <c r="R26" s="30">
        <f>SUM([2]裙楼空调用量!L25)</f>
        <v>9</v>
      </c>
      <c r="S26" s="32">
        <f t="shared" si="10"/>
        <v>3753</v>
      </c>
      <c r="T26" s="13">
        <f>SUM('[2]B4 水表'!C28)</f>
        <v>420.28000000000003</v>
      </c>
      <c r="U26" s="108">
        <v>133.38</v>
      </c>
      <c r="V26" s="13">
        <f t="shared" si="7"/>
        <v>553.66000000000008</v>
      </c>
      <c r="W26" s="16">
        <f t="shared" si="8"/>
        <v>2690.7876000000006</v>
      </c>
      <c r="X26" s="38">
        <f>SUM(L26+Q26+S26+W26)</f>
        <v>47359.497266550308</v>
      </c>
    </row>
    <row r="27" spans="1:24" s="4" customFormat="1" ht="22.5" customHeight="1" thickBot="1">
      <c r="A27" s="42">
        <v>23</v>
      </c>
      <c r="B27" s="26" t="s">
        <v>35</v>
      </c>
      <c r="C27" s="12">
        <v>598</v>
      </c>
      <c r="D27" s="28">
        <v>85.42</v>
      </c>
      <c r="E27" s="13">
        <f>SUM([2]厨房燃气!BH29)</f>
        <v>789</v>
      </c>
      <c r="F27" s="31">
        <f t="shared" si="1"/>
        <v>3116.55</v>
      </c>
      <c r="G27" s="13">
        <f>SUM('[2]B1 &amp; 102F 锅炉房'!C29)</f>
        <v>1541</v>
      </c>
      <c r="H27" s="15">
        <f t="shared" si="2"/>
        <v>6086.9500000000007</v>
      </c>
      <c r="I27" s="29">
        <f>SUM('[2]B1 &amp; 102F 锅炉房'!G29)</f>
        <v>907</v>
      </c>
      <c r="J27" s="35">
        <f t="shared" si="3"/>
        <v>3582.65</v>
      </c>
      <c r="K27" s="13">
        <f t="shared" si="0"/>
        <v>3237</v>
      </c>
      <c r="L27" s="33">
        <f t="shared" si="4"/>
        <v>13498.289999999999</v>
      </c>
      <c r="M27" s="29">
        <f>SUM([2]主塔楼空调用电量!V26)</f>
        <v>4673</v>
      </c>
      <c r="N27" s="29">
        <v>9266.64</v>
      </c>
      <c r="O27" s="13">
        <f>SUM('[2]68F 高压F13&amp;F30'!F29)</f>
        <v>27000.000000000455</v>
      </c>
      <c r="P27" s="13">
        <f t="shared" si="5"/>
        <v>43060.130000000448</v>
      </c>
      <c r="Q27" s="16">
        <f t="shared" si="9"/>
        <v>29072.864911970304</v>
      </c>
      <c r="R27" s="30">
        <f>SUM([2]裙楼空调用量!L26)</f>
        <v>11</v>
      </c>
      <c r="S27" s="32">
        <f t="shared" si="10"/>
        <v>4587</v>
      </c>
      <c r="T27" s="13">
        <f>SUM('[2]B4 水表'!C29)</f>
        <v>233.84</v>
      </c>
      <c r="U27" s="108">
        <v>133.38</v>
      </c>
      <c r="V27" s="13">
        <f t="shared" si="7"/>
        <v>367.22</v>
      </c>
      <c r="W27" s="16">
        <f t="shared" si="8"/>
        <v>1784.6892000000003</v>
      </c>
      <c r="X27" s="38">
        <f>SUM(L27+Q27+S27+W27)</f>
        <v>48942.844111970306</v>
      </c>
    </row>
    <row r="28" spans="1:24" s="4" customFormat="1" ht="22.5" customHeight="1" thickBot="1">
      <c r="A28" s="42">
        <v>24</v>
      </c>
      <c r="B28" s="26" t="s">
        <v>36</v>
      </c>
      <c r="C28" s="12">
        <v>143</v>
      </c>
      <c r="D28" s="28">
        <v>73.760000000000005</v>
      </c>
      <c r="E28" s="13">
        <f>SUM([2]厨房燃气!BH30)</f>
        <v>602</v>
      </c>
      <c r="F28" s="31">
        <f t="shared" si="1"/>
        <v>2377.9</v>
      </c>
      <c r="G28" s="13">
        <f>SUM('[2]B1 &amp; 102F 锅炉房'!C30)</f>
        <v>1433</v>
      </c>
      <c r="H28" s="15">
        <f t="shared" si="2"/>
        <v>5660.35</v>
      </c>
      <c r="I28" s="29">
        <f>SUM('[2]B1 &amp; 102F 锅炉房'!G30)</f>
        <v>1049</v>
      </c>
      <c r="J28" s="35">
        <f t="shared" si="3"/>
        <v>4143.55</v>
      </c>
      <c r="K28" s="13">
        <f t="shared" si="0"/>
        <v>3084</v>
      </c>
      <c r="L28" s="33">
        <f t="shared" si="4"/>
        <v>12860.28</v>
      </c>
      <c r="M28" s="29">
        <f>SUM([2]主塔楼空调用电量!V27)</f>
        <v>5430</v>
      </c>
      <c r="N28" s="29">
        <v>9266.64</v>
      </c>
      <c r="O28" s="13">
        <f>SUM('[2]68F 高压F13&amp;F30'!F30)</f>
        <v>28800.000000001091</v>
      </c>
      <c r="P28" s="13">
        <f t="shared" si="5"/>
        <v>44860.130000001089</v>
      </c>
      <c r="Q28" s="16">
        <f t="shared" si="9"/>
        <v>30288.169111970736</v>
      </c>
      <c r="R28" s="30">
        <f>SUM([2]裙楼空调用量!L27)</f>
        <v>11</v>
      </c>
      <c r="S28" s="32">
        <f t="shared" si="10"/>
        <v>4587</v>
      </c>
      <c r="T28" s="13">
        <f>SUM('[2]B4 水表'!C30)</f>
        <v>480.32000000000005</v>
      </c>
      <c r="U28" s="108">
        <v>133.38</v>
      </c>
      <c r="V28" s="13">
        <f t="shared" si="7"/>
        <v>613.70000000000005</v>
      </c>
      <c r="W28" s="16">
        <f t="shared" si="8"/>
        <v>2982.5820000000003</v>
      </c>
      <c r="X28" s="38">
        <f>SUM(L28+Q28+S28+W28)</f>
        <v>50718.03111197074</v>
      </c>
    </row>
    <row r="29" spans="1:24" s="4" customFormat="1" ht="22.5" customHeight="1" thickBot="1">
      <c r="A29" s="42">
        <v>25</v>
      </c>
      <c r="B29" s="26" t="s">
        <v>48</v>
      </c>
      <c r="C29" s="12">
        <v>1215</v>
      </c>
      <c r="D29" s="28">
        <v>81.400000000000006</v>
      </c>
      <c r="E29" s="13">
        <f>SUM([2]厨房燃气!BH31)</f>
        <v>653</v>
      </c>
      <c r="F29" s="31">
        <f t="shared" si="1"/>
        <v>2579.35</v>
      </c>
      <c r="G29" s="13">
        <f>SUM('[2]B1 &amp; 102F 锅炉房'!C31)</f>
        <v>1520</v>
      </c>
      <c r="H29" s="15">
        <f t="shared" si="2"/>
        <v>6004</v>
      </c>
      <c r="I29" s="29">
        <f>SUM('[2]B1 &amp; 102F 锅炉房'!G31)</f>
        <v>936</v>
      </c>
      <c r="J29" s="35">
        <f t="shared" si="3"/>
        <v>3697.2000000000003</v>
      </c>
      <c r="K29" s="13">
        <f>SUM(I29+G29+E29)</f>
        <v>3109</v>
      </c>
      <c r="L29" s="33">
        <f t="shared" si="4"/>
        <v>12964.53</v>
      </c>
      <c r="M29" s="29">
        <f>SUM([2]主塔楼空调用电量!V28)</f>
        <v>6363</v>
      </c>
      <c r="N29" s="29">
        <v>9266.64</v>
      </c>
      <c r="O29" s="13">
        <f>SUM('[2]68F 高压F13&amp;F30'!F31)</f>
        <v>28399.999999996908</v>
      </c>
      <c r="P29" s="13">
        <f t="shared" si="5"/>
        <v>44460.129999996905</v>
      </c>
      <c r="Q29" s="16">
        <f t="shared" si="9"/>
        <v>30018.10151196791</v>
      </c>
      <c r="R29" s="30">
        <f>SUM([2]裙楼空调用量!L28)</f>
        <v>11</v>
      </c>
      <c r="S29" s="32">
        <f t="shared" si="10"/>
        <v>4587</v>
      </c>
      <c r="T29" s="13">
        <f>SUM('[2]B4 水表'!C31)</f>
        <v>350.76</v>
      </c>
      <c r="U29" s="108">
        <v>133.38</v>
      </c>
      <c r="V29" s="13">
        <f t="shared" si="7"/>
        <v>484.14</v>
      </c>
      <c r="W29" s="16">
        <f t="shared" si="8"/>
        <v>2352.9204</v>
      </c>
      <c r="X29" s="38">
        <f>SUM(L29+Q29+S29+W29)</f>
        <v>49922.551911967916</v>
      </c>
    </row>
    <row r="30" spans="1:24" s="4" customFormat="1" ht="22.5" customHeight="1" thickBot="1">
      <c r="A30" s="42">
        <v>26</v>
      </c>
      <c r="B30" s="26" t="s">
        <v>48</v>
      </c>
      <c r="C30" s="12">
        <v>756</v>
      </c>
      <c r="D30" s="28">
        <v>92.15</v>
      </c>
      <c r="E30" s="13">
        <f>SUM([2]厨房燃气!BH32)</f>
        <v>665</v>
      </c>
      <c r="F30" s="31">
        <f t="shared" si="1"/>
        <v>2626.75</v>
      </c>
      <c r="G30" s="13">
        <f>SUM('[2]B1 &amp; 102F 锅炉房'!C32)</f>
        <v>1556</v>
      </c>
      <c r="H30" s="15">
        <f t="shared" si="2"/>
        <v>6146.2000000000007</v>
      </c>
      <c r="I30" s="29">
        <f>SUM('[2]B1 &amp; 102F 锅炉房'!G32)</f>
        <v>1047</v>
      </c>
      <c r="J30" s="35">
        <f t="shared" si="3"/>
        <v>4135.6500000000005</v>
      </c>
      <c r="K30" s="13">
        <f t="shared" si="0"/>
        <v>3268</v>
      </c>
      <c r="L30" s="33">
        <f t="shared" si="4"/>
        <v>13627.56</v>
      </c>
      <c r="M30" s="29">
        <f>SUM([2]主塔楼空调用电量!V29)</f>
        <v>6667</v>
      </c>
      <c r="N30" s="29">
        <v>9266.64</v>
      </c>
      <c r="O30" s="13">
        <f>SUM('[2]68F 高压F13&amp;F30'!F32)</f>
        <v>29500.000000002728</v>
      </c>
      <c r="P30" s="13">
        <f t="shared" si="5"/>
        <v>46177.72000000273</v>
      </c>
      <c r="Q30" s="16">
        <f t="shared" si="9"/>
        <v>31177.765034681845</v>
      </c>
      <c r="R30" s="30">
        <f>SUM([2]裙楼空调用量!L29)</f>
        <v>12</v>
      </c>
      <c r="S30" s="32">
        <f t="shared" si="10"/>
        <v>5004</v>
      </c>
      <c r="T30" s="13">
        <f>SUM('[2]B4 水表'!C32)</f>
        <v>529.30000000000007</v>
      </c>
      <c r="U30" s="108">
        <v>133.38</v>
      </c>
      <c r="V30" s="13">
        <f t="shared" si="7"/>
        <v>662.68000000000006</v>
      </c>
      <c r="W30" s="16">
        <f t="shared" si="8"/>
        <v>3220.6248000000005</v>
      </c>
      <c r="X30" s="38">
        <f>SUM(L30+Q30+S30+W30)</f>
        <v>53029.949834681844</v>
      </c>
    </row>
    <row r="31" spans="1:24" s="4" customFormat="1" ht="22.5" customHeight="1" thickBot="1">
      <c r="A31" s="42">
        <v>27</v>
      </c>
      <c r="B31" s="26" t="s">
        <v>54</v>
      </c>
      <c r="C31" s="12">
        <v>230</v>
      </c>
      <c r="D31" s="28">
        <v>88.37</v>
      </c>
      <c r="E31" s="13">
        <f>SUM([2]厨房燃气!BH33)</f>
        <v>714</v>
      </c>
      <c r="F31" s="31">
        <f t="shared" si="1"/>
        <v>2820.3</v>
      </c>
      <c r="G31" s="13">
        <f>SUM('[2]B1 &amp; 102F 锅炉房'!C33)</f>
        <v>1636</v>
      </c>
      <c r="H31" s="15">
        <f t="shared" si="2"/>
        <v>6462.2000000000007</v>
      </c>
      <c r="I31" s="29">
        <f>SUM('[2]B1 &amp; 102F 锅炉房'!G33)</f>
        <v>1113</v>
      </c>
      <c r="J31" s="35">
        <f t="shared" si="3"/>
        <v>4396.3500000000004</v>
      </c>
      <c r="K31" s="13">
        <f t="shared" si="0"/>
        <v>3463</v>
      </c>
      <c r="L31" s="33">
        <f t="shared" si="4"/>
        <v>14440.71</v>
      </c>
      <c r="M31" s="29">
        <f>SUM([2]主塔楼空调用电量!V30)</f>
        <v>7496</v>
      </c>
      <c r="N31" s="29">
        <v>9266.64</v>
      </c>
      <c r="O31" s="13">
        <f>SUM('[2]68F 高压F13&amp;F30'!F33)</f>
        <v>30599.999999999454</v>
      </c>
      <c r="P31" s="13">
        <f t="shared" si="5"/>
        <v>50983.259999999456</v>
      </c>
      <c r="Q31" s="16">
        <f t="shared" si="9"/>
        <v>34422.316670939632</v>
      </c>
      <c r="R31" s="30">
        <f>SUM([2]裙楼空调用量!L30)</f>
        <v>18</v>
      </c>
      <c r="S31" s="32">
        <f t="shared" si="10"/>
        <v>7506</v>
      </c>
      <c r="T31" s="13">
        <f>SUM('[2]B4 水表'!C33)</f>
        <v>417.12</v>
      </c>
      <c r="U31" s="108">
        <v>133.38</v>
      </c>
      <c r="V31" s="13">
        <f t="shared" si="7"/>
        <v>550.5</v>
      </c>
      <c r="W31" s="16">
        <f t="shared" si="8"/>
        <v>2675.4300000000003</v>
      </c>
      <c r="X31" s="38">
        <f>SUM(L31+Q31+S31+W31)</f>
        <v>59044.456670939631</v>
      </c>
    </row>
    <row r="32" spans="1:24" s="4" customFormat="1" ht="22.5" customHeight="1" thickBot="1">
      <c r="A32" s="42">
        <v>28</v>
      </c>
      <c r="B32" s="26" t="s">
        <v>55</v>
      </c>
      <c r="C32" s="12">
        <v>931</v>
      </c>
      <c r="D32" s="28">
        <v>56.98</v>
      </c>
      <c r="E32" s="13">
        <f>SUM([2]厨房燃气!BH34)</f>
        <v>763</v>
      </c>
      <c r="F32" s="31">
        <f t="shared" si="1"/>
        <v>3013.85</v>
      </c>
      <c r="G32" s="13">
        <f>SUM('[2]B1 &amp; 102F 锅炉房'!C34)</f>
        <v>1537</v>
      </c>
      <c r="H32" s="15">
        <f t="shared" si="2"/>
        <v>6071.1500000000005</v>
      </c>
      <c r="I32" s="29">
        <f>SUM('[2]B1 &amp; 102F 锅炉房'!G34)</f>
        <v>1061</v>
      </c>
      <c r="J32" s="35">
        <f t="shared" si="3"/>
        <v>4190.95</v>
      </c>
      <c r="K32" s="13">
        <f t="shared" si="0"/>
        <v>3361</v>
      </c>
      <c r="L32" s="33">
        <f>IF(K32&gt;0,K32*4.17,0)</f>
        <v>14015.369999999999</v>
      </c>
      <c r="M32" s="29">
        <f>SUM([2]主塔楼空调用电量!V31)</f>
        <v>9283</v>
      </c>
      <c r="N32" s="29">
        <v>9266.64</v>
      </c>
      <c r="O32" s="13">
        <f>SUM('[2]68F 高压F13&amp;F30'!F34)</f>
        <v>32400.000000000091</v>
      </c>
      <c r="P32" s="13">
        <f t="shared" si="5"/>
        <v>51548.080000000089</v>
      </c>
      <c r="Q32" s="16">
        <f t="shared" si="9"/>
        <v>34803.665625520058</v>
      </c>
      <c r="R32" s="30">
        <f>SUM([2]裙楼空调用量!L31)</f>
        <v>16</v>
      </c>
      <c r="S32" s="32">
        <f t="shared" si="10"/>
        <v>6672</v>
      </c>
      <c r="T32" s="13">
        <f>SUM('[2]B4 水表'!C34)</f>
        <v>426.6</v>
      </c>
      <c r="U32" s="108">
        <v>133.38</v>
      </c>
      <c r="V32" s="13">
        <f t="shared" si="7"/>
        <v>559.98</v>
      </c>
      <c r="W32" s="16">
        <f t="shared" si="8"/>
        <v>2721.5028000000002</v>
      </c>
      <c r="X32" s="38">
        <f>SUM(L32+Q32+S32+W32)</f>
        <v>58212.538425520062</v>
      </c>
    </row>
    <row r="33" spans="1:24" s="4" customFormat="1" ht="22.5" customHeight="1" thickBot="1">
      <c r="A33" s="42">
        <v>29</v>
      </c>
      <c r="B33" s="26" t="s">
        <v>55</v>
      </c>
      <c r="C33" s="12">
        <v>320</v>
      </c>
      <c r="D33" s="28">
        <v>71.510000000000005</v>
      </c>
      <c r="E33" s="13">
        <f>SUM([2]厨房燃气!BH35)</f>
        <v>768</v>
      </c>
      <c r="F33" s="31">
        <f t="shared" si="1"/>
        <v>3033.6000000000004</v>
      </c>
      <c r="G33" s="13">
        <f>SUM('[2]B1 &amp; 102F 锅炉房'!C35)</f>
        <v>1502</v>
      </c>
      <c r="H33" s="15">
        <f t="shared" si="2"/>
        <v>5932.9000000000005</v>
      </c>
      <c r="I33" s="29">
        <f>SUM('[2]B1 &amp; 102F 锅炉房'!G35)</f>
        <v>840</v>
      </c>
      <c r="J33" s="35">
        <f t="shared" si="3"/>
        <v>3318</v>
      </c>
      <c r="K33" s="13">
        <f t="shared" si="0"/>
        <v>3110</v>
      </c>
      <c r="L33" s="33">
        <f>IF(K33&gt;0,K33*4.17,0)</f>
        <v>12968.699999999999</v>
      </c>
      <c r="M33" s="29">
        <f>SUM([2]主塔楼空调用电量!V32)</f>
        <v>8304</v>
      </c>
      <c r="N33" s="29">
        <v>9266.64</v>
      </c>
      <c r="O33" s="13">
        <f>SUM('[2]68F 高压F13&amp;F30'!F35)</f>
        <v>30799.999999999272</v>
      </c>
      <c r="P33" s="13">
        <f t="shared" si="5"/>
        <v>53036.029999999271</v>
      </c>
      <c r="Q33" s="16">
        <f t="shared" si="9"/>
        <v>35808.283339069509</v>
      </c>
      <c r="R33" s="30">
        <f>SUM([2]裙楼空调用量!L32)</f>
        <v>21</v>
      </c>
      <c r="S33" s="32">
        <f t="shared" si="10"/>
        <v>8757</v>
      </c>
      <c r="T33" s="13">
        <f>SUM('[2]B4 水表'!C35)</f>
        <v>380.78000000000003</v>
      </c>
      <c r="U33" s="108">
        <v>133.38</v>
      </c>
      <c r="V33" s="13">
        <f t="shared" si="7"/>
        <v>514.16000000000008</v>
      </c>
      <c r="W33" s="16">
        <f t="shared" si="8"/>
        <v>2498.8176000000008</v>
      </c>
      <c r="X33" s="38">
        <f>SUM(L33+Q33+S33+W33)</f>
        <v>60032.800939069508</v>
      </c>
    </row>
    <row r="34" spans="1:24" s="4" customFormat="1" ht="22.5" customHeight="1" thickBot="1">
      <c r="A34" s="42">
        <v>30</v>
      </c>
      <c r="B34" s="26" t="s">
        <v>56</v>
      </c>
      <c r="C34" s="12">
        <v>626</v>
      </c>
      <c r="D34" s="28">
        <v>70.349999999999994</v>
      </c>
      <c r="E34" s="13">
        <f>SUM([2]厨房燃气!BH36)</f>
        <v>650</v>
      </c>
      <c r="F34" s="31">
        <f t="shared" si="1"/>
        <v>2567.5</v>
      </c>
      <c r="G34" s="13">
        <f>SUM('[2]B1 &amp; 102F 锅炉房'!C36)</f>
        <v>1478</v>
      </c>
      <c r="H34" s="15">
        <f t="shared" si="2"/>
        <v>5838.1</v>
      </c>
      <c r="I34" s="29">
        <f>SUM('[2]B1 &amp; 102F 锅炉房'!G36)</f>
        <v>1147</v>
      </c>
      <c r="J34" s="35">
        <f t="shared" si="3"/>
        <v>4530.6500000000005</v>
      </c>
      <c r="K34" s="13">
        <f t="shared" si="0"/>
        <v>3275</v>
      </c>
      <c r="L34" s="33">
        <f>IF(K34&gt;0,K34*4.17,0)</f>
        <v>13656.75</v>
      </c>
      <c r="M34" s="29">
        <f>SUM([2]主塔楼空调用电量!V33)</f>
        <v>9907</v>
      </c>
      <c r="N34" s="29">
        <v>9266.64</v>
      </c>
      <c r="O34" s="13">
        <f>SUM('[2]68F 高压F13&amp;F30'!F36)</f>
        <v>33099.999999999454</v>
      </c>
      <c r="P34" s="13">
        <f t="shared" si="5"/>
        <v>54718.439999999457</v>
      </c>
      <c r="Q34" s="16">
        <f t="shared" si="9"/>
        <v>36944.194416359634</v>
      </c>
      <c r="R34" s="30">
        <f>SUM([2]裙楼空调用量!L33)</f>
        <v>20</v>
      </c>
      <c r="S34" s="32">
        <f t="shared" si="10"/>
        <v>8340</v>
      </c>
      <c r="T34" s="13">
        <f>SUM('[2]B4 水表'!C36)</f>
        <v>164.32</v>
      </c>
      <c r="U34" s="108">
        <v>133.38</v>
      </c>
      <c r="V34" s="13">
        <f t="shared" si="7"/>
        <v>297.7</v>
      </c>
      <c r="W34" s="16">
        <f t="shared" si="8"/>
        <v>1446.8220000000001</v>
      </c>
      <c r="X34" s="38">
        <f>SUM(L34+Q34+S34+W34)</f>
        <v>60387.766416359635</v>
      </c>
    </row>
    <row r="35" spans="1:24" s="4" customFormat="1" ht="22.5" customHeight="1">
      <c r="A35" s="42">
        <v>31</v>
      </c>
      <c r="B35" s="26" t="s">
        <v>56</v>
      </c>
      <c r="C35" s="12">
        <v>147</v>
      </c>
      <c r="D35" s="28">
        <v>81.98</v>
      </c>
      <c r="E35" s="13">
        <f>SUM([2]厨房燃气!BH37)</f>
        <v>613</v>
      </c>
      <c r="F35" s="31">
        <f t="shared" si="1"/>
        <v>2421.35</v>
      </c>
      <c r="G35" s="13">
        <f>SUM('[2]B1 &amp; 102F 锅炉房'!C37)</f>
        <v>1468</v>
      </c>
      <c r="H35" s="15">
        <f t="shared" si="2"/>
        <v>5798.6</v>
      </c>
      <c r="I35" s="29">
        <f>SUM('[2]B1 &amp; 102F 锅炉房'!G37)</f>
        <v>702</v>
      </c>
      <c r="J35" s="35">
        <f t="shared" si="3"/>
        <v>2772.9</v>
      </c>
      <c r="K35" s="13">
        <f>SUM(I35+G35+E35)</f>
        <v>2783</v>
      </c>
      <c r="L35" s="33">
        <f>IF(K35&gt;0,K35*4.17,0)</f>
        <v>11605.11</v>
      </c>
      <c r="M35" s="29">
        <f>SUM([2]主塔楼空调用电量!V34)</f>
        <v>8756</v>
      </c>
      <c r="N35" s="29">
        <v>9266.64</v>
      </c>
      <c r="O35" s="13">
        <f>SUM('[2]68F 高压F13&amp;F30'!F37)</f>
        <v>32000.000000002728</v>
      </c>
      <c r="P35" s="13">
        <f t="shared" si="5"/>
        <v>54853.620000002731</v>
      </c>
      <c r="Q35" s="16">
        <f>IF(P35&gt;0,P35*0.675169)</f>
        <v>37035.463761781844</v>
      </c>
      <c r="R35" s="30">
        <f>SUM([2]裙楼空调用量!L34)</f>
        <v>22</v>
      </c>
      <c r="S35" s="32">
        <f>SUM(R35*417)</f>
        <v>9174</v>
      </c>
      <c r="T35" s="13">
        <f>SUM('[2]B4 水表'!C37)</f>
        <v>131.14000000000001</v>
      </c>
      <c r="U35" s="108">
        <v>133.38</v>
      </c>
      <c r="V35" s="13">
        <f t="shared" si="7"/>
        <v>264.52</v>
      </c>
      <c r="W35" s="16">
        <f t="shared" si="8"/>
        <v>1285.5672</v>
      </c>
      <c r="X35" s="38">
        <f>SUM(L35+Q35+S35+W35)</f>
        <v>59100.140961781843</v>
      </c>
    </row>
    <row r="36" spans="1:24" s="4" customFormat="1" ht="22.5" customHeight="1" thickBot="1">
      <c r="A36" s="43" t="s">
        <v>30</v>
      </c>
      <c r="B36" s="26"/>
      <c r="C36" s="12"/>
      <c r="D36" s="28"/>
      <c r="E36" s="27"/>
      <c r="F36" s="18"/>
      <c r="G36" s="27"/>
      <c r="H36" s="34"/>
      <c r="I36" s="14"/>
      <c r="J36" s="17"/>
      <c r="K36" s="36"/>
      <c r="L36" s="34"/>
      <c r="M36" s="14"/>
      <c r="N36" s="14"/>
      <c r="O36" s="14"/>
      <c r="P36" s="27"/>
      <c r="Q36" s="37"/>
      <c r="R36" s="14"/>
      <c r="S36" s="18"/>
      <c r="T36" s="18"/>
      <c r="U36" s="18"/>
      <c r="V36" s="27"/>
      <c r="W36" s="37"/>
      <c r="X36" s="39"/>
    </row>
    <row r="37" spans="1:24" s="4" customFormat="1" ht="23.1" customHeight="1" thickBot="1">
      <c r="A37" s="79" t="s">
        <v>31</v>
      </c>
      <c r="B37" s="80"/>
      <c r="C37" s="80"/>
      <c r="D37" s="80"/>
      <c r="E37" s="40">
        <f>SUM(E5:E35)</f>
        <v>19903</v>
      </c>
      <c r="F37" s="40">
        <f>SUM(F5:F35)</f>
        <v>78616.85000000002</v>
      </c>
      <c r="G37" s="40">
        <f t="shared" ref="G37:W37" si="11">SUM(G5:G35)</f>
        <v>48545</v>
      </c>
      <c r="H37" s="40">
        <f t="shared" si="11"/>
        <v>191752.75000000003</v>
      </c>
      <c r="I37" s="40">
        <f t="shared" si="11"/>
        <v>31496</v>
      </c>
      <c r="J37" s="40">
        <f t="shared" si="11"/>
        <v>124409.19999999998</v>
      </c>
      <c r="K37" s="40">
        <f t="shared" si="11"/>
        <v>99944</v>
      </c>
      <c r="L37" s="40">
        <f t="shared" si="11"/>
        <v>416766.48000000004</v>
      </c>
      <c r="M37" s="40">
        <f t="shared" si="11"/>
        <v>212272</v>
      </c>
      <c r="N37" s="40">
        <f>SUM(N5:N35)</f>
        <v>287265.8400000002</v>
      </c>
      <c r="O37" s="40"/>
      <c r="P37" s="40">
        <f t="shared" si="11"/>
        <v>1448302.8100000003</v>
      </c>
      <c r="Q37" s="40">
        <f t="shared" si="11"/>
        <v>977849.15992489038</v>
      </c>
      <c r="R37" s="40">
        <f t="shared" si="11"/>
        <v>383</v>
      </c>
      <c r="S37" s="40">
        <f t="shared" si="11"/>
        <v>159711</v>
      </c>
      <c r="T37" s="40"/>
      <c r="U37" s="40"/>
      <c r="V37" s="40">
        <f t="shared" si="11"/>
        <v>15769.900000000001</v>
      </c>
      <c r="W37" s="40">
        <f t="shared" si="11"/>
        <v>76641.714000000007</v>
      </c>
      <c r="X37" s="63">
        <f>SUM(X5:X35)</f>
        <v>1630968.3539248903</v>
      </c>
    </row>
    <row r="38" spans="1:24" ht="19.5" customHeight="1">
      <c r="E38" s="5"/>
      <c r="F38" s="5"/>
      <c r="G38" s="6"/>
      <c r="Q38" s="7"/>
      <c r="W38" s="2"/>
      <c r="X38" s="2"/>
    </row>
    <row r="39" spans="1:24" ht="18.95" customHeight="1">
      <c r="E39" s="8"/>
      <c r="F39" s="5"/>
      <c r="G39" s="6"/>
      <c r="Q39" s="1"/>
      <c r="W39" s="2"/>
      <c r="X39" s="2"/>
    </row>
    <row r="40" spans="1:24" ht="18.95" customHeight="1">
      <c r="E40" s="9"/>
      <c r="Q40" s="1"/>
      <c r="W40" s="2"/>
      <c r="X40" s="2"/>
    </row>
    <row r="41" spans="1:24" ht="18.95" customHeight="1">
      <c r="Q41" s="1"/>
      <c r="W41" s="2"/>
      <c r="X41" s="2"/>
    </row>
    <row r="42" spans="1:24" ht="18.95" customHeight="1">
      <c r="Q42" s="1"/>
      <c r="W42" s="2"/>
      <c r="X42" s="2"/>
    </row>
    <row r="43" spans="1:24" ht="18.95" customHeight="1">
      <c r="Q43" s="1"/>
      <c r="W43" s="2"/>
      <c r="X43" s="2"/>
    </row>
    <row r="44" spans="1:24" ht="18.95" customHeight="1">
      <c r="Q44" s="1"/>
      <c r="W44" s="2"/>
      <c r="X44" s="2"/>
    </row>
    <row r="45" spans="1:24" ht="18.95" customHeight="1">
      <c r="Q45" s="1"/>
      <c r="W45" s="2"/>
      <c r="X45" s="2"/>
    </row>
    <row r="46" spans="1:24" ht="18.95" customHeight="1"/>
    <row r="47" spans="1:24" ht="18.95" customHeight="1"/>
    <row r="48" spans="1:24" ht="18.95" customHeight="1"/>
    <row r="49" ht="18.95" customHeight="1"/>
    <row r="50" ht="18.95" customHeight="1"/>
    <row r="51" ht="18.95" customHeight="1"/>
    <row r="52" ht="18.95" customHeight="1"/>
    <row r="53" ht="18.95" customHeight="1"/>
    <row r="54" ht="18.95" customHeight="1"/>
    <row r="55" ht="18.95" customHeight="1"/>
    <row r="56" ht="18.95" customHeight="1"/>
    <row r="57" ht="18.95" customHeight="1"/>
    <row r="58" ht="18.95" customHeight="1"/>
    <row r="59" ht="18.95" customHeight="1"/>
    <row r="60" ht="18.95" customHeight="1"/>
    <row r="61" ht="18.95" customHeight="1"/>
  </sheetData>
  <mergeCells count="20">
    <mergeCell ref="A37:D37"/>
    <mergeCell ref="A1:X1"/>
    <mergeCell ref="A2:A4"/>
    <mergeCell ref="B2:B4"/>
    <mergeCell ref="C2:C4"/>
    <mergeCell ref="D2:D4"/>
    <mergeCell ref="E2:F3"/>
    <mergeCell ref="G2:H3"/>
    <mergeCell ref="I2:J3"/>
    <mergeCell ref="K2:L3"/>
    <mergeCell ref="M2:M3"/>
    <mergeCell ref="O2:O3"/>
    <mergeCell ref="N2:N3"/>
    <mergeCell ref="T2:T3"/>
    <mergeCell ref="U2:U3"/>
    <mergeCell ref="P2:Q3"/>
    <mergeCell ref="R2:S3"/>
    <mergeCell ref="V2:W2"/>
    <mergeCell ref="X2:X4"/>
    <mergeCell ref="V3:W3"/>
  </mergeCells>
  <phoneticPr fontId="2" type="noConversion"/>
  <printOptions horizontalCentered="1" verticalCentered="1"/>
  <pageMargins left="0" right="0" top="0" bottom="0" header="0" footer="0"/>
  <pageSetup paperSize="9" scale="6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SUBMETERING</vt:lpstr>
    </vt:vector>
  </TitlesOfParts>
  <Manager/>
  <Company>雨薇在线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Nelsa Huang</cp:lastModifiedBy>
  <cp:revision/>
  <cp:lastPrinted>2021-02-08T02:55:33Z</cp:lastPrinted>
  <dcterms:created xsi:type="dcterms:W3CDTF">2009-01-03T01:47:59Z</dcterms:created>
  <dcterms:modified xsi:type="dcterms:W3CDTF">2021-09-17T06:21:09Z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