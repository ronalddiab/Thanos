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2\"/>
    </mc:Choice>
  </mc:AlternateContent>
  <xr:revisionPtr revIDLastSave="0" documentId="13_ncr:1_{5B18C5F7-8FE3-4337-A7F8-51A95D01BDE6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June" sheetId="2" r:id="rId2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I31" i="2" l="1"/>
  <c r="U37" i="2" l="1"/>
  <c r="V37" i="2" s="1"/>
  <c r="U36" i="2"/>
  <c r="V36" i="2" s="1"/>
  <c r="U35" i="2"/>
  <c r="V35" i="2" s="1"/>
  <c r="U34" i="2"/>
  <c r="V34" i="2" s="1"/>
  <c r="U33" i="2"/>
  <c r="V33" i="2" s="1"/>
  <c r="U32" i="2"/>
  <c r="V32" i="2" s="1"/>
  <c r="U31" i="2"/>
  <c r="V31" i="2" s="1"/>
  <c r="U30" i="2"/>
  <c r="V30" i="2" s="1"/>
  <c r="U29" i="2"/>
  <c r="V29" i="2" s="1"/>
  <c r="U28" i="2"/>
  <c r="V28" i="2" s="1"/>
  <c r="U27" i="2"/>
  <c r="V27" i="2" s="1"/>
  <c r="U26" i="2"/>
  <c r="V26" i="2" s="1"/>
  <c r="U25" i="2"/>
  <c r="V25" i="2" s="1"/>
  <c r="U24" i="2"/>
  <c r="V24" i="2" s="1"/>
  <c r="U23" i="2"/>
  <c r="V23" i="2" s="1"/>
  <c r="U22" i="2"/>
  <c r="V22" i="2" s="1"/>
  <c r="U21" i="2"/>
  <c r="V21" i="2" s="1"/>
  <c r="U20" i="2"/>
  <c r="V20" i="2" s="1"/>
  <c r="U19" i="2"/>
  <c r="V19" i="2" s="1"/>
  <c r="U18" i="2"/>
  <c r="V18" i="2" s="1"/>
  <c r="U17" i="2"/>
  <c r="V17" i="2" s="1"/>
  <c r="U16" i="2"/>
  <c r="V16" i="2" s="1"/>
  <c r="U15" i="2"/>
  <c r="V15" i="2" s="1"/>
  <c r="U14" i="2"/>
  <c r="V14" i="2" s="1"/>
  <c r="U13" i="2"/>
  <c r="V13" i="2" s="1"/>
  <c r="U12" i="2"/>
  <c r="V12" i="2" s="1"/>
  <c r="U11" i="2"/>
  <c r="V11" i="2" s="1"/>
  <c r="U10" i="2"/>
  <c r="V10" i="2" s="1"/>
  <c r="U9" i="2"/>
  <c r="V9" i="2" s="1"/>
  <c r="U8" i="2"/>
  <c r="V8" i="2" s="1"/>
  <c r="V40" i="2" l="1"/>
  <c r="R39" i="2"/>
  <c r="Q37" i="2" l="1"/>
  <c r="O37" i="2"/>
  <c r="M37" i="2"/>
  <c r="K37" i="2"/>
  <c r="I37" i="2"/>
  <c r="G37" i="2"/>
  <c r="E37" i="2"/>
  <c r="G31" i="1" s="1"/>
  <c r="C37" i="2"/>
  <c r="E31" i="1" s="1"/>
  <c r="Q36" i="2"/>
  <c r="O36" i="2"/>
  <c r="M36" i="2"/>
  <c r="K36" i="2"/>
  <c r="I36" i="2"/>
  <c r="G36" i="2"/>
  <c r="E36" i="2"/>
  <c r="G30" i="1" s="1"/>
  <c r="C36" i="2"/>
  <c r="E30" i="1" s="1"/>
  <c r="Q35" i="2"/>
  <c r="O35" i="2"/>
  <c r="M35" i="2"/>
  <c r="K35" i="2"/>
  <c r="I35" i="2"/>
  <c r="G35" i="2"/>
  <c r="E35" i="2"/>
  <c r="G29" i="1" s="1"/>
  <c r="C35" i="2"/>
  <c r="E29" i="1" s="1"/>
  <c r="Q34" i="2"/>
  <c r="O34" i="2"/>
  <c r="M34" i="2"/>
  <c r="K34" i="2"/>
  <c r="I34" i="2"/>
  <c r="G34" i="2"/>
  <c r="E34" i="2"/>
  <c r="G28" i="1" s="1"/>
  <c r="C34" i="2"/>
  <c r="E28" i="1" s="1"/>
  <c r="Q33" i="2"/>
  <c r="O33" i="2"/>
  <c r="M33" i="2"/>
  <c r="K33" i="2"/>
  <c r="I33" i="2"/>
  <c r="G33" i="2"/>
  <c r="E33" i="2"/>
  <c r="G27" i="1" s="1"/>
  <c r="C33" i="2"/>
  <c r="E27" i="1" s="1"/>
  <c r="Q32" i="2"/>
  <c r="O32" i="2"/>
  <c r="M32" i="2"/>
  <c r="K32" i="2"/>
  <c r="I32" i="2"/>
  <c r="G32" i="2"/>
  <c r="E32" i="2"/>
  <c r="G26" i="1" s="1"/>
  <c r="C32" i="2"/>
  <c r="E26" i="1" s="1"/>
  <c r="Q31" i="2"/>
  <c r="O31" i="2"/>
  <c r="M31" i="2"/>
  <c r="K31" i="2"/>
  <c r="G31" i="2"/>
  <c r="E31" i="2"/>
  <c r="G25" i="1" s="1"/>
  <c r="C31" i="2"/>
  <c r="E25" i="1" s="1"/>
  <c r="Q30" i="2"/>
  <c r="O30" i="2"/>
  <c r="M30" i="2"/>
  <c r="K30" i="2"/>
  <c r="I30" i="2"/>
  <c r="G30" i="2"/>
  <c r="E30" i="2"/>
  <c r="G24" i="1" s="1"/>
  <c r="C30" i="2"/>
  <c r="E24" i="1" s="1"/>
  <c r="Q29" i="2"/>
  <c r="O29" i="2"/>
  <c r="M29" i="2"/>
  <c r="K29" i="2"/>
  <c r="I29" i="2"/>
  <c r="G29" i="2"/>
  <c r="E29" i="2"/>
  <c r="G23" i="1" s="1"/>
  <c r="C29" i="2"/>
  <c r="E23" i="1" s="1"/>
  <c r="Q28" i="2"/>
  <c r="O28" i="2"/>
  <c r="M28" i="2"/>
  <c r="K28" i="2"/>
  <c r="I28" i="2"/>
  <c r="G28" i="2"/>
  <c r="E28" i="2"/>
  <c r="G22" i="1" s="1"/>
  <c r="C28" i="2"/>
  <c r="E22" i="1" s="1"/>
  <c r="Q27" i="2"/>
  <c r="O27" i="2"/>
  <c r="M27" i="2"/>
  <c r="K27" i="2"/>
  <c r="I27" i="2"/>
  <c r="G27" i="2"/>
  <c r="E27" i="2"/>
  <c r="G21" i="1" s="1"/>
  <c r="C27" i="2"/>
  <c r="E21" i="1" s="1"/>
  <c r="Q26" i="2"/>
  <c r="O26" i="2"/>
  <c r="M26" i="2"/>
  <c r="K26" i="2"/>
  <c r="I26" i="2"/>
  <c r="G26" i="2"/>
  <c r="E26" i="2"/>
  <c r="G20" i="1" s="1"/>
  <c r="C26" i="2"/>
  <c r="E20" i="1" s="1"/>
  <c r="Q25" i="2"/>
  <c r="O25" i="2"/>
  <c r="M25" i="2"/>
  <c r="K25" i="2"/>
  <c r="I25" i="2"/>
  <c r="G25" i="2"/>
  <c r="E25" i="2"/>
  <c r="G19" i="1" s="1"/>
  <c r="C25" i="2"/>
  <c r="E19" i="1" s="1"/>
  <c r="Q24" i="2"/>
  <c r="O24" i="2"/>
  <c r="M24" i="2"/>
  <c r="K24" i="2"/>
  <c r="I24" i="2"/>
  <c r="G24" i="2"/>
  <c r="E24" i="2"/>
  <c r="G18" i="1" s="1"/>
  <c r="C24" i="2"/>
  <c r="E18" i="1" s="1"/>
  <c r="Q23" i="2"/>
  <c r="O23" i="2"/>
  <c r="M23" i="2"/>
  <c r="K23" i="2"/>
  <c r="I23" i="2"/>
  <c r="G23" i="2"/>
  <c r="E23" i="2"/>
  <c r="G17" i="1" s="1"/>
  <c r="C23" i="2"/>
  <c r="E17" i="1" s="1"/>
  <c r="Q22" i="2"/>
  <c r="O22" i="2"/>
  <c r="M22" i="2"/>
  <c r="K22" i="2"/>
  <c r="I22" i="2"/>
  <c r="G22" i="2"/>
  <c r="E22" i="2"/>
  <c r="G16" i="1" s="1"/>
  <c r="C22" i="2"/>
  <c r="E16" i="1" s="1"/>
  <c r="Q21" i="2"/>
  <c r="O21" i="2"/>
  <c r="M21" i="2"/>
  <c r="K21" i="2"/>
  <c r="I21" i="2"/>
  <c r="G21" i="2"/>
  <c r="E21" i="2"/>
  <c r="G15" i="1" s="1"/>
  <c r="C21" i="2"/>
  <c r="E15" i="1" s="1"/>
  <c r="Q20" i="2"/>
  <c r="O20" i="2"/>
  <c r="M20" i="2"/>
  <c r="K20" i="2"/>
  <c r="I20" i="2"/>
  <c r="G20" i="2"/>
  <c r="E20" i="2"/>
  <c r="G14" i="1" s="1"/>
  <c r="C20" i="2"/>
  <c r="E14" i="1" s="1"/>
  <c r="Q19" i="2"/>
  <c r="O19" i="2"/>
  <c r="M19" i="2"/>
  <c r="K19" i="2"/>
  <c r="I19" i="2"/>
  <c r="G19" i="2"/>
  <c r="E19" i="2"/>
  <c r="G13" i="1" s="1"/>
  <c r="C19" i="2"/>
  <c r="E13" i="1" s="1"/>
  <c r="Q18" i="2"/>
  <c r="O18" i="2"/>
  <c r="M18" i="2"/>
  <c r="K18" i="2"/>
  <c r="I18" i="2"/>
  <c r="G18" i="2"/>
  <c r="E18" i="2"/>
  <c r="G12" i="1" s="1"/>
  <c r="C18" i="2"/>
  <c r="E12" i="1" s="1"/>
  <c r="Q17" i="2"/>
  <c r="O17" i="2"/>
  <c r="M17" i="2"/>
  <c r="K17" i="2"/>
  <c r="I17" i="2"/>
  <c r="G17" i="2"/>
  <c r="E17" i="2"/>
  <c r="G11" i="1" s="1"/>
  <c r="C17" i="2"/>
  <c r="E11" i="1" s="1"/>
  <c r="Q16" i="2"/>
  <c r="O16" i="2"/>
  <c r="M16" i="2"/>
  <c r="K16" i="2"/>
  <c r="I16" i="2"/>
  <c r="G16" i="2"/>
  <c r="E16" i="2"/>
  <c r="G10" i="1" s="1"/>
  <c r="C16" i="2"/>
  <c r="E10" i="1" s="1"/>
  <c r="Q15" i="2"/>
  <c r="O15" i="2"/>
  <c r="M15" i="2"/>
  <c r="K15" i="2"/>
  <c r="I15" i="2"/>
  <c r="G15" i="2"/>
  <c r="E15" i="2"/>
  <c r="G9" i="1" s="1"/>
  <c r="C15" i="2"/>
  <c r="E9" i="1" s="1"/>
  <c r="Q14" i="2"/>
  <c r="O14" i="2"/>
  <c r="M14" i="2"/>
  <c r="K14" i="2"/>
  <c r="I14" i="2"/>
  <c r="G14" i="2"/>
  <c r="E14" i="2"/>
  <c r="G8" i="1" s="1"/>
  <c r="C14" i="2"/>
  <c r="E8" i="1" s="1"/>
  <c r="Q13" i="2"/>
  <c r="O13" i="2"/>
  <c r="M13" i="2"/>
  <c r="K13" i="2"/>
  <c r="I13" i="2"/>
  <c r="G13" i="2"/>
  <c r="E13" i="2"/>
  <c r="G7" i="1" s="1"/>
  <c r="C13" i="2"/>
  <c r="E7" i="1" s="1"/>
  <c r="Q12" i="2"/>
  <c r="O12" i="2"/>
  <c r="M12" i="2"/>
  <c r="K12" i="2"/>
  <c r="I12" i="2"/>
  <c r="G12" i="2"/>
  <c r="E12" i="2"/>
  <c r="G6" i="1" s="1"/>
  <c r="C12" i="2"/>
  <c r="E6" i="1" s="1"/>
  <c r="Q11" i="2"/>
  <c r="O11" i="2"/>
  <c r="M11" i="2"/>
  <c r="K11" i="2"/>
  <c r="I11" i="2"/>
  <c r="G11" i="2"/>
  <c r="E11" i="2"/>
  <c r="G5" i="1" s="1"/>
  <c r="C11" i="2"/>
  <c r="E5" i="1" s="1"/>
  <c r="Q10" i="2"/>
  <c r="O10" i="2"/>
  <c r="M10" i="2"/>
  <c r="K10" i="2"/>
  <c r="I10" i="2"/>
  <c r="G10" i="2"/>
  <c r="E10" i="2"/>
  <c r="G4" i="1" s="1"/>
  <c r="C10" i="2"/>
  <c r="E4" i="1" s="1"/>
  <c r="Q9" i="2"/>
  <c r="O9" i="2"/>
  <c r="M9" i="2"/>
  <c r="K9" i="2"/>
  <c r="I9" i="2"/>
  <c r="G9" i="2"/>
  <c r="E9" i="2"/>
  <c r="G3" i="1" s="1"/>
  <c r="C9" i="2"/>
  <c r="E3" i="1" s="1"/>
  <c r="Q8" i="2"/>
  <c r="O8" i="2"/>
  <c r="M8" i="2"/>
  <c r="K8" i="2"/>
  <c r="I8" i="2"/>
  <c r="G8" i="2"/>
  <c r="E8" i="2"/>
  <c r="C8" i="2"/>
  <c r="I5" i="1" l="1"/>
  <c r="I8" i="1"/>
  <c r="I11" i="1"/>
  <c r="I14" i="1"/>
  <c r="I17" i="1"/>
  <c r="I20" i="1"/>
  <c r="I23" i="1"/>
  <c r="I26" i="1"/>
  <c r="I29" i="1"/>
  <c r="O39" i="2"/>
  <c r="I4" i="1"/>
  <c r="I10" i="1"/>
  <c r="I13" i="1"/>
  <c r="I16" i="1"/>
  <c r="I19" i="1"/>
  <c r="I22" i="1"/>
  <c r="I28" i="1"/>
  <c r="I31" i="1"/>
  <c r="M39" i="2"/>
  <c r="K4" i="1"/>
  <c r="K10" i="1"/>
  <c r="K13" i="1"/>
  <c r="K16" i="1"/>
  <c r="K22" i="1"/>
  <c r="K25" i="1"/>
  <c r="K28" i="1"/>
  <c r="K3" i="1"/>
  <c r="K9" i="1"/>
  <c r="K15" i="1"/>
  <c r="K21" i="1"/>
  <c r="K27" i="1"/>
  <c r="G39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39" i="2"/>
  <c r="I6" i="1"/>
  <c r="I12" i="1"/>
  <c r="I18" i="1"/>
  <c r="I24" i="1"/>
  <c r="I30" i="1"/>
  <c r="I2" i="1"/>
  <c r="K8" i="1"/>
  <c r="K39" i="2"/>
  <c r="I39" i="2"/>
  <c r="E39" i="2"/>
  <c r="G2" i="1"/>
  <c r="C39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<sst xmlns="http://schemas.openxmlformats.org/spreadsheetml/2006/main" count="68" uniqueCount="36">
  <si>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</si>
  <si>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</si>
  <si>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</si>
  <si>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</si>
  <si>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</si>
  <si>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</si>
  <si>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</si>
  <si>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</si>
  <si>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</si>
  <si>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</si>
  <si>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Usage (kWh)</t>
  </si>
  <si>
    <t>Usage   (Therms)</t>
  </si>
  <si>
    <t>Usage (Mlbs)</t>
  </si>
  <si>
    <t>Usage      (Gallons)</t>
  </si>
  <si>
    <t>Usage (Gallons)</t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</si>
  <si>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</si>
  <si>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</si>
  <si>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</si>
  <si>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</si>
  <si>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</si>
  <si>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</si>
  <si>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</si>
  <si>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</si>
  <si>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June 2022</t>
  </si>
  <si>
    <t>High Temp</t>
  </si>
  <si>
    <t>Low Temp</t>
  </si>
  <si>
    <t>Avg Temp</t>
  </si>
  <si>
    <r>
      <t xml:space="preserve">Heating Degree Day </t>
    </r>
    <r>
      <rPr>
        <b/>
        <sz val="10"/>
        <color theme="1"/>
        <rFont val="Calibri Light"/>
        <family val="2"/>
        <scheme val="major"/>
      </rPr>
      <t>(HDD)</t>
    </r>
  </si>
  <si>
    <r>
      <rPr>
        <b/>
        <sz val="9.5"/>
        <color theme="1"/>
        <rFont val="Calibri Light"/>
        <family val="2"/>
        <scheme val="major"/>
      </rPr>
      <t>1B ELECTRIC</t>
    </r>
    <r>
      <rPr>
        <sz val="9.5"/>
        <color theme="1"/>
        <rFont val="Calibri Light"/>
        <family val="2"/>
        <scheme val="major"/>
      </rPr>
      <t xml:space="preserve"> (kWh)</t>
    </r>
  </si>
  <si>
    <r>
      <rPr>
        <b/>
        <sz val="9.5"/>
        <color theme="1"/>
        <rFont val="Calibri Light"/>
        <family val="2"/>
        <scheme val="major"/>
      </rPr>
      <t>1B GAS</t>
    </r>
    <r>
      <rPr>
        <sz val="9.5"/>
        <color theme="1"/>
        <rFont val="Calibri Light"/>
        <family val="2"/>
        <scheme val="major"/>
      </rPr>
      <t xml:space="preserve">      (CCF)</t>
    </r>
  </si>
  <si>
    <r>
      <t xml:space="preserve">1B STEAM </t>
    </r>
    <r>
      <rPr>
        <sz val="9.5"/>
        <color theme="1"/>
        <rFont val="Calibri Light"/>
        <family val="2"/>
        <scheme val="major"/>
      </rPr>
      <t>(Mlbs)</t>
    </r>
  </si>
  <si>
    <r>
      <rPr>
        <b/>
        <sz val="9.5"/>
        <color theme="1"/>
        <rFont val="Calibri Light"/>
        <family val="2"/>
        <scheme val="major"/>
      </rPr>
      <t>1B WATER</t>
    </r>
    <r>
      <rPr>
        <sz val="9.5"/>
        <color theme="1"/>
        <rFont val="Calibri Light"/>
        <family val="2"/>
        <scheme val="major"/>
      </rPr>
      <t xml:space="preserve">    (Gallons)</t>
    </r>
  </si>
  <si>
    <r>
      <t xml:space="preserve">4TH CT - 5    </t>
    </r>
    <r>
      <rPr>
        <sz val="9.5"/>
        <color theme="1"/>
        <rFont val="Calibri Light"/>
        <family val="2"/>
        <scheme val="major"/>
      </rPr>
      <t>(Gallons)</t>
    </r>
  </si>
  <si>
    <r>
      <t xml:space="preserve">36TH STEAM </t>
    </r>
    <r>
      <rPr>
        <sz val="9.5"/>
        <color theme="1"/>
        <rFont val="Calibri Light"/>
        <family val="2"/>
        <scheme val="major"/>
      </rPr>
      <t>(Mlbs)</t>
    </r>
  </si>
  <si>
    <r>
      <t xml:space="preserve">36TH 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</si>
  <si>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EAST PENT.CT -3    </t>
    </r>
    <r>
      <rPr>
        <sz val="9.5"/>
        <color theme="1"/>
        <rFont val="Calibri Light"/>
        <family val="2"/>
        <scheme val="major"/>
      </rPr>
      <t>(Gallons)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</si>
</sst>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1"/>
  <sheetViews>
    <sheetView tabSelected="1" topLeftCell="C1" workbookViewId="0">
      <selection activeCell="L4" sqref="L4:L31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16</v>
      </c>
      <c r="H1" s="8" t="s">
        <v>17</v>
      </c>
      <c r="I1" s="7" t="s">
        <v>18</v>
      </c>
      <c r="J1" s="11" t="s">
        <v>19</v>
      </c>
      <c r="K1" s="7" t="s">
        <v>20</v>
      </c>
      <c r="L1" s="8" t="s">
        <v>21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6</v>
      </c>
      <c r="D2" s="2">
        <v>2022</v>
      </c>
      <c r="E2" s="4">
        <f>IF(June!C8&gt;0,June!C8,0)</f>
        <v>4200</v>
      </c>
      <c r="F2" s="9">
        <v>0.33</v>
      </c>
      <c r="G2" s="4">
        <f>IF(June!E8&gt;0,June!E8,0)</f>
        <v>29.315999999999999</v>
      </c>
      <c r="H2" s="10">
        <v>1.83</v>
      </c>
      <c r="I2" s="4">
        <f>IF((June!I8+June!O8)&gt;0,(June!I8+June!O8),0)</f>
        <v>3761</v>
      </c>
      <c r="J2" s="10">
        <v>0.04</v>
      </c>
      <c r="K2" s="4">
        <f>IF((June!G8+June!M8)&gt;0,(June!G8+June!M8),0)</f>
        <v>2.6</v>
      </c>
      <c r="L2" s="10">
        <v>42.17</v>
      </c>
      <c r="M2" s="4">
        <f>June!R8</f>
        <v>58</v>
      </c>
    </row>
    <row r="3" spans="1:25" x14ac:dyDescent="0.25">
      <c r="A3" s="3" t="s">
        <v>7</v>
      </c>
      <c r="B3" s="2">
        <f>B2+1</f>
        <v>2</v>
      </c>
      <c r="C3" s="14">
        <v>6</v>
      </c>
      <c r="D3" s="14">
        <v>2022</v>
      </c>
      <c r="E3" s="4">
        <f>IF(June!C9&gt;0,June!C9,0)</f>
        <v>6300</v>
      </c>
      <c r="F3" s="9">
        <v>0.33</v>
      </c>
      <c r="G3" s="4">
        <f>IF(June!E9&gt;0,June!E9,0)</f>
        <v>49.208999999999996</v>
      </c>
      <c r="H3" s="10">
        <v>1.83</v>
      </c>
      <c r="I3" s="4">
        <f>IF((June!I9+June!O9)&gt;0,(June!I9+June!O9),0)</f>
        <v>7025</v>
      </c>
      <c r="J3" s="10">
        <v>0.04</v>
      </c>
      <c r="K3" s="4">
        <f>IF((June!G9+June!M9)&gt;0,(June!G9+June!M9),0)</f>
        <v>5.3000000000000007</v>
      </c>
      <c r="L3" s="10">
        <v>42.17</v>
      </c>
      <c r="M3" s="4">
        <f>June!R9</f>
        <v>68</v>
      </c>
      <c r="O3" s="4"/>
    </row>
    <row r="4" spans="1:25" x14ac:dyDescent="0.25">
      <c r="A4" s="3" t="s">
        <v>7</v>
      </c>
      <c r="B4" s="2">
        <f t="shared" ref="B4:B31" si="0">B3+1</f>
        <v>3</v>
      </c>
      <c r="C4" s="14">
        <v>6</v>
      </c>
      <c r="D4" s="14">
        <v>2022</v>
      </c>
      <c r="E4" s="4">
        <f>IF(June!C10&gt;0,June!C10,0)</f>
        <v>4800</v>
      </c>
      <c r="F4" s="9">
        <v>0.33</v>
      </c>
      <c r="G4" s="4">
        <f>IF(June!E10&gt;0,June!E10,0)</f>
        <v>39.785999999999994</v>
      </c>
      <c r="H4" s="10">
        <v>1.83</v>
      </c>
      <c r="I4" s="4">
        <f>IF((June!I10+June!O10)&gt;0,(June!I10+June!O10),0)</f>
        <v>7535</v>
      </c>
      <c r="J4" s="10">
        <v>0.04</v>
      </c>
      <c r="K4" s="4">
        <f>IF((June!G10+June!M10)&gt;0,(June!G10+June!M10),0)</f>
        <v>6.5</v>
      </c>
      <c r="L4" s="10">
        <v>42.17</v>
      </c>
      <c r="M4" s="4">
        <f>June!R10</f>
        <v>83</v>
      </c>
    </row>
    <row r="5" spans="1:25" x14ac:dyDescent="0.25">
      <c r="A5" s="3" t="s">
        <v>7</v>
      </c>
      <c r="B5" s="2">
        <f t="shared" si="0"/>
        <v>4</v>
      </c>
      <c r="C5" s="14">
        <v>6</v>
      </c>
      <c r="D5" s="14">
        <v>2022</v>
      </c>
      <c r="E5" s="4">
        <f>IF(June!C11&gt;0,June!C11,0)</f>
        <v>5100</v>
      </c>
      <c r="F5" s="9">
        <v>0.33</v>
      </c>
      <c r="G5" s="4">
        <f>IF(June!E11&gt;0,June!E11,0)</f>
        <v>41.879999999999995</v>
      </c>
      <c r="H5" s="10">
        <v>1.83</v>
      </c>
      <c r="I5" s="4">
        <f>IF((June!I11+June!O11)&gt;0,(June!I11+June!O11),0)</f>
        <v>5520</v>
      </c>
      <c r="J5" s="10">
        <v>0.04</v>
      </c>
      <c r="K5" s="4">
        <f>IF((June!G11+June!M11)&gt;0,(June!G11+June!M11),0)</f>
        <v>4.7</v>
      </c>
      <c r="L5" s="10">
        <v>42.17</v>
      </c>
      <c r="M5" s="4">
        <f>June!R11</f>
        <v>48</v>
      </c>
    </row>
    <row r="6" spans="1:25" x14ac:dyDescent="0.25">
      <c r="A6" s="3" t="s">
        <v>7</v>
      </c>
      <c r="B6" s="2">
        <f t="shared" si="0"/>
        <v>5</v>
      </c>
      <c r="C6" s="14">
        <v>6</v>
      </c>
      <c r="D6" s="14">
        <v>2022</v>
      </c>
      <c r="E6" s="4">
        <f>IF(June!C12&gt;0,June!C12,0)</f>
        <v>6300</v>
      </c>
      <c r="F6" s="9">
        <v>0.33</v>
      </c>
      <c r="G6" s="4">
        <f>IF(June!E12&gt;0,June!E12,0)</f>
        <v>54.443999999999996</v>
      </c>
      <c r="H6" s="10">
        <v>1.83</v>
      </c>
      <c r="I6" s="4">
        <f>IF((June!I12+June!O12)&gt;0,(June!I12+June!O12),0)</f>
        <v>7793</v>
      </c>
      <c r="J6" s="10">
        <v>0.04</v>
      </c>
      <c r="K6" s="4">
        <f>IF((June!G12+June!M12)&gt;0,(June!G12+June!M12),0)</f>
        <v>5.5</v>
      </c>
      <c r="L6" s="10">
        <v>42.17</v>
      </c>
      <c r="M6" s="4">
        <f>June!R12</f>
        <v>55</v>
      </c>
    </row>
    <row r="7" spans="1:25" x14ac:dyDescent="0.25">
      <c r="A7" s="3" t="s">
        <v>7</v>
      </c>
      <c r="B7" s="2">
        <f t="shared" si="0"/>
        <v>6</v>
      </c>
      <c r="C7" s="14">
        <v>6</v>
      </c>
      <c r="D7" s="14">
        <v>2022</v>
      </c>
      <c r="E7" s="4">
        <f>IF(June!C13&gt;0,June!C13,0)</f>
        <v>6000</v>
      </c>
      <c r="F7" s="9">
        <v>0.33</v>
      </c>
      <c r="G7" s="4">
        <f>IF(June!E13&gt;0,June!E13,0)</f>
        <v>46.067999999999998</v>
      </c>
      <c r="H7" s="10">
        <v>1.83</v>
      </c>
      <c r="I7" s="4">
        <f>IF((June!I13+June!O13)&gt;0,(June!I13+June!O13),0)</f>
        <v>8186</v>
      </c>
      <c r="J7" s="10">
        <v>0.04</v>
      </c>
      <c r="K7" s="4">
        <f>IF((June!G13+June!M13)&gt;0,(June!G13+June!M13),0)</f>
        <v>5.6</v>
      </c>
      <c r="L7" s="10">
        <v>42.17</v>
      </c>
      <c r="M7" s="4">
        <f>June!R13</f>
        <v>73</v>
      </c>
    </row>
    <row r="8" spans="1:25" x14ac:dyDescent="0.25">
      <c r="A8" s="3" t="s">
        <v>7</v>
      </c>
      <c r="B8" s="2">
        <f t="shared" si="0"/>
        <v>7</v>
      </c>
      <c r="C8" s="14">
        <v>6</v>
      </c>
      <c r="D8" s="14">
        <v>2022</v>
      </c>
      <c r="E8" s="4">
        <f>IF(June!C14&gt;0,June!C14,0)</f>
        <v>8400</v>
      </c>
      <c r="F8" s="9">
        <v>0.33</v>
      </c>
      <c r="G8" s="4">
        <f>IF(June!E14&gt;0,June!E14,0)</f>
        <v>64.914000000000001</v>
      </c>
      <c r="H8" s="10">
        <v>1.83</v>
      </c>
      <c r="I8" s="4">
        <f>IF((June!I14+June!O14)&gt;0,(June!I14+June!O14),0)</f>
        <v>11124</v>
      </c>
      <c r="J8" s="10">
        <v>0.04</v>
      </c>
      <c r="K8" s="4">
        <f>IF((June!G14+June!M14)&gt;0,(June!G14+June!M14),0)</f>
        <v>7.2</v>
      </c>
      <c r="L8" s="10">
        <v>42.17</v>
      </c>
      <c r="M8" s="4">
        <f>June!R14</f>
        <v>107</v>
      </c>
    </row>
    <row r="9" spans="1:25" x14ac:dyDescent="0.25">
      <c r="A9" s="3" t="s">
        <v>7</v>
      </c>
      <c r="B9" s="2">
        <f t="shared" si="0"/>
        <v>8</v>
      </c>
      <c r="C9" s="14">
        <v>6</v>
      </c>
      <c r="D9" s="14">
        <v>2022</v>
      </c>
      <c r="E9" s="4">
        <f>IF(June!C15&gt;0,June!C15,0)</f>
        <v>2100</v>
      </c>
      <c r="F9" s="9">
        <v>0.33</v>
      </c>
      <c r="G9" s="4">
        <f>IF(June!E15&gt;0,June!E15,0)</f>
        <v>12.564</v>
      </c>
      <c r="H9" s="10">
        <v>1.83</v>
      </c>
      <c r="I9" s="4">
        <f>IF((June!I15+June!O15)&gt;0,(June!I15+June!O15),0)</f>
        <v>2837</v>
      </c>
      <c r="J9" s="10">
        <v>0.04</v>
      </c>
      <c r="K9" s="4">
        <f>IF((June!G15+June!M15)&gt;0,(June!G15+June!M15),0)</f>
        <v>2.8000000000000003</v>
      </c>
      <c r="L9" s="10">
        <v>42.17</v>
      </c>
      <c r="M9" s="4">
        <f>June!R15</f>
        <v>124</v>
      </c>
    </row>
    <row r="10" spans="1:25" x14ac:dyDescent="0.25">
      <c r="A10" s="3" t="s">
        <v>7</v>
      </c>
      <c r="B10" s="2">
        <f t="shared" si="0"/>
        <v>9</v>
      </c>
      <c r="C10" s="14">
        <v>6</v>
      </c>
      <c r="D10" s="14">
        <v>2022</v>
      </c>
      <c r="E10" s="4">
        <f>IF(June!C16&gt;0,June!C16,0)</f>
        <v>6300</v>
      </c>
      <c r="F10" s="9">
        <v>0.33</v>
      </c>
      <c r="G10" s="4">
        <f>IF(June!E16&gt;0,June!E16,0)</f>
        <v>48.161999999999999</v>
      </c>
      <c r="H10" s="10">
        <v>1.83</v>
      </c>
      <c r="I10" s="4">
        <f>IF((June!I16+June!O16)&gt;0,(June!I16+June!O16),0)</f>
        <v>9255</v>
      </c>
      <c r="J10" s="10">
        <v>0.04</v>
      </c>
      <c r="K10" s="4">
        <f>IF((June!G16+June!M16)&gt;0,(June!G16+June!M16),0)</f>
        <v>6.3000000000000007</v>
      </c>
      <c r="L10" s="10">
        <v>42.17</v>
      </c>
      <c r="M10" s="4">
        <f>June!R16</f>
        <v>108</v>
      </c>
    </row>
    <row r="11" spans="1:25" x14ac:dyDescent="0.25">
      <c r="A11" s="3" t="s">
        <v>7</v>
      </c>
      <c r="B11" s="2">
        <f t="shared" si="0"/>
        <v>10</v>
      </c>
      <c r="C11" s="14">
        <v>6</v>
      </c>
      <c r="D11" s="14">
        <v>2022</v>
      </c>
      <c r="E11" s="4">
        <f>IF(June!C17&gt;0,June!C17,0)</f>
        <v>6600</v>
      </c>
      <c r="F11" s="9">
        <v>0.33</v>
      </c>
      <c r="G11" s="4">
        <f>IF(June!E17&gt;0,June!E17,0)</f>
        <v>45.020999999999994</v>
      </c>
      <c r="H11" s="10">
        <v>1.83</v>
      </c>
      <c r="I11" s="4">
        <f>IF((June!I17+June!O17)&gt;0,(June!I17+June!O17),0)</f>
        <v>8915</v>
      </c>
      <c r="J11" s="10">
        <v>0.04</v>
      </c>
      <c r="K11" s="4">
        <f>IF((June!G17+June!M17)&gt;0,(June!G17+June!M17),0)</f>
        <v>5.5</v>
      </c>
      <c r="L11" s="10">
        <v>42.17</v>
      </c>
      <c r="M11" s="4">
        <f>June!R17</f>
        <v>97</v>
      </c>
    </row>
    <row r="12" spans="1:25" x14ac:dyDescent="0.25">
      <c r="A12" s="3" t="s">
        <v>7</v>
      </c>
      <c r="B12" s="2">
        <f t="shared" si="0"/>
        <v>11</v>
      </c>
      <c r="C12" s="14">
        <v>6</v>
      </c>
      <c r="D12" s="14">
        <v>2022</v>
      </c>
      <c r="E12" s="4">
        <f>IF(June!C18&gt;0,June!C18,0)</f>
        <v>6900</v>
      </c>
      <c r="F12" s="9">
        <v>0.33</v>
      </c>
      <c r="G12" s="4">
        <f>IF(June!E18&gt;0,June!E18,0)</f>
        <v>42.927</v>
      </c>
      <c r="H12" s="10">
        <v>1.83</v>
      </c>
      <c r="I12" s="4">
        <f>IF((June!I18+June!O18)&gt;0,(June!I18+June!O18),0)</f>
        <v>8220</v>
      </c>
      <c r="J12" s="10">
        <v>0.04</v>
      </c>
      <c r="K12" s="4">
        <f>IF((June!G18+June!M18)&gt;0,(June!G18+June!M18),0)</f>
        <v>3.9000000000000004</v>
      </c>
      <c r="L12" s="10">
        <v>42.17</v>
      </c>
      <c r="M12" s="4">
        <f>June!R18</f>
        <v>62</v>
      </c>
    </row>
    <row r="13" spans="1:25" x14ac:dyDescent="0.25">
      <c r="A13" s="3" t="s">
        <v>7</v>
      </c>
      <c r="B13" s="2">
        <f t="shared" si="0"/>
        <v>12</v>
      </c>
      <c r="C13" s="14">
        <v>6</v>
      </c>
      <c r="D13" s="14">
        <v>2022</v>
      </c>
      <c r="E13" s="4">
        <f>IF(June!C19&gt;0,June!C19,0)</f>
        <v>8700</v>
      </c>
      <c r="F13" s="9">
        <v>0.33</v>
      </c>
      <c r="G13" s="4">
        <f>IF(June!E19&gt;0,June!E19,0)</f>
        <v>56.537999999999997</v>
      </c>
      <c r="H13" s="10">
        <v>1.83</v>
      </c>
      <c r="I13" s="4">
        <f>IF((June!I19+June!O19)&gt;0,(June!I19+June!O19),0)</f>
        <v>13370</v>
      </c>
      <c r="J13" s="10">
        <v>0.04</v>
      </c>
      <c r="K13" s="4">
        <f>IF((June!G19+June!M19)&gt;0,(June!G19+June!M19),0)</f>
        <v>7.2</v>
      </c>
      <c r="L13" s="10">
        <v>42.17</v>
      </c>
      <c r="M13" s="4">
        <f>June!R19</f>
        <v>89</v>
      </c>
    </row>
    <row r="14" spans="1:25" x14ac:dyDescent="0.25">
      <c r="A14" s="3" t="s">
        <v>7</v>
      </c>
      <c r="B14" s="2">
        <f t="shared" si="0"/>
        <v>13</v>
      </c>
      <c r="C14" s="14">
        <v>6</v>
      </c>
      <c r="D14" s="14">
        <v>2022</v>
      </c>
      <c r="E14" s="4">
        <f>IF(June!C20&gt;0,June!C20,0)</f>
        <v>9000</v>
      </c>
      <c r="F14" s="9">
        <v>0.33</v>
      </c>
      <c r="G14" s="4">
        <f>IF(June!E20&gt;0,June!E20,0)</f>
        <v>64.914000000000001</v>
      </c>
      <c r="H14" s="10">
        <v>1.83</v>
      </c>
      <c r="I14" s="4">
        <f>IF((June!I20+June!O20)&gt;0,(June!I20+June!O20),0)</f>
        <v>13540</v>
      </c>
      <c r="J14" s="10">
        <v>0.04</v>
      </c>
      <c r="K14" s="4">
        <f>IF((June!G20+June!M20)&gt;0,(June!G20+June!M20),0)</f>
        <v>6.8000000000000007</v>
      </c>
      <c r="L14" s="10">
        <v>42.17</v>
      </c>
      <c r="M14" s="4">
        <f>June!R20</f>
        <v>84</v>
      </c>
    </row>
    <row r="15" spans="1:25" x14ac:dyDescent="0.25">
      <c r="A15" s="3" t="s">
        <v>7</v>
      </c>
      <c r="B15" s="2">
        <f t="shared" si="0"/>
        <v>14</v>
      </c>
      <c r="C15" s="14">
        <v>6</v>
      </c>
      <c r="D15" s="14">
        <v>2022</v>
      </c>
      <c r="E15" s="4">
        <f>IF(June!C21&gt;0,June!C21,0)</f>
        <v>3900</v>
      </c>
      <c r="F15" s="9">
        <v>0.33</v>
      </c>
      <c r="G15" s="4">
        <f>IF(June!E21&gt;0,June!E21,0)</f>
        <v>25.128</v>
      </c>
      <c r="H15" s="10">
        <v>1.83</v>
      </c>
      <c r="I15" s="4">
        <f>IF((June!I21+June!O21)&gt;0,(June!I21+June!O21),0)</f>
        <v>7028</v>
      </c>
      <c r="J15" s="10">
        <v>0.04</v>
      </c>
      <c r="K15" s="4">
        <f>IF((June!G21+June!M21)&gt;0,(June!G21+June!M21),0)</f>
        <v>3.8000000000000003</v>
      </c>
      <c r="L15" s="10">
        <v>42.17</v>
      </c>
      <c r="M15" s="4">
        <f>June!R21</f>
        <v>117</v>
      </c>
    </row>
    <row r="16" spans="1:25" x14ac:dyDescent="0.25">
      <c r="A16" s="3" t="s">
        <v>7</v>
      </c>
      <c r="B16" s="2">
        <f t="shared" si="0"/>
        <v>15</v>
      </c>
      <c r="C16" s="14">
        <v>6</v>
      </c>
      <c r="D16" s="14">
        <v>2022</v>
      </c>
      <c r="E16" s="4">
        <f>IF(June!C22&gt;0,June!C22,0)</f>
        <v>5700</v>
      </c>
      <c r="F16" s="9">
        <v>0.33</v>
      </c>
      <c r="G16" s="4">
        <f>IF(June!E22&gt;0,June!E22,0)</f>
        <v>38.738999999999997</v>
      </c>
      <c r="H16" s="10">
        <v>1.83</v>
      </c>
      <c r="I16" s="4">
        <f>IF((June!I22+June!O22)&gt;0,(June!I22+June!O22),0)</f>
        <v>7152</v>
      </c>
      <c r="J16" s="10">
        <v>0.04</v>
      </c>
      <c r="K16" s="4">
        <f>IF((June!G22+June!M22)&gt;0,(June!G22+June!M22),0)</f>
        <v>4.5</v>
      </c>
      <c r="L16" s="10">
        <v>42.17</v>
      </c>
      <c r="M16" s="4">
        <f>June!R22</f>
        <v>97</v>
      </c>
    </row>
    <row r="17" spans="1:13" x14ac:dyDescent="0.25">
      <c r="A17" s="3" t="s">
        <v>7</v>
      </c>
      <c r="B17" s="2">
        <f t="shared" si="0"/>
        <v>16</v>
      </c>
      <c r="C17" s="14">
        <v>6</v>
      </c>
      <c r="D17" s="14">
        <v>2022</v>
      </c>
      <c r="E17" s="4">
        <f>IF(June!C23&gt;0,June!C23,0)</f>
        <v>5400</v>
      </c>
      <c r="F17" s="9">
        <v>0.33</v>
      </c>
      <c r="G17" s="4">
        <f>IF(June!E23&gt;0,June!E23,0)</f>
        <v>39.785999999999994</v>
      </c>
      <c r="H17" s="10">
        <v>1.83</v>
      </c>
      <c r="I17" s="4">
        <f>IF((June!I23+June!O23)&gt;0,(June!I23+June!O23),0)</f>
        <v>6870</v>
      </c>
      <c r="J17" s="10">
        <v>0.04</v>
      </c>
      <c r="K17" s="4">
        <f>IF((June!G23+June!M23)&gt;0,(June!G23+June!M23),0)</f>
        <v>5</v>
      </c>
      <c r="L17" s="10">
        <v>42.17</v>
      </c>
      <c r="M17" s="4">
        <f>June!R23</f>
        <v>91</v>
      </c>
    </row>
    <row r="18" spans="1:13" x14ac:dyDescent="0.25">
      <c r="A18" s="3" t="s">
        <v>7</v>
      </c>
      <c r="B18" s="2">
        <f t="shared" si="0"/>
        <v>17</v>
      </c>
      <c r="C18" s="14">
        <v>6</v>
      </c>
      <c r="D18" s="14">
        <v>2022</v>
      </c>
      <c r="E18" s="4">
        <f>IF(June!C24&gt;0,June!C24,0)</f>
        <v>5700</v>
      </c>
      <c r="F18" s="9">
        <v>0.33</v>
      </c>
      <c r="G18" s="4">
        <f>IF(June!E24&gt;0,June!E24,0)</f>
        <v>41.879999999999995</v>
      </c>
      <c r="H18" s="10">
        <v>1.83</v>
      </c>
      <c r="I18" s="4">
        <f>IF((June!I24+June!O24)&gt;0,(June!I24+June!O24),0)</f>
        <v>8250</v>
      </c>
      <c r="J18" s="10">
        <v>0.04</v>
      </c>
      <c r="K18" s="4">
        <f>IF((June!G24+June!M24)&gt;0,(June!G24+June!M24),0)</f>
        <v>7.0000000000000009</v>
      </c>
      <c r="L18" s="10">
        <v>42.17</v>
      </c>
      <c r="M18" s="4">
        <f>June!R24</f>
        <v>75</v>
      </c>
    </row>
    <row r="19" spans="1:13" x14ac:dyDescent="0.25">
      <c r="A19" s="3" t="s">
        <v>7</v>
      </c>
      <c r="B19" s="2">
        <f t="shared" si="0"/>
        <v>18</v>
      </c>
      <c r="C19" s="14">
        <v>6</v>
      </c>
      <c r="D19" s="14">
        <v>2022</v>
      </c>
      <c r="E19" s="4">
        <f>IF(June!C25&gt;0,June!C25,0)</f>
        <v>5700</v>
      </c>
      <c r="F19" s="9">
        <v>0.33</v>
      </c>
      <c r="G19" s="4">
        <f>IF(June!E25&gt;0,June!E25,0)</f>
        <v>42.927</v>
      </c>
      <c r="H19" s="10">
        <v>1.83</v>
      </c>
      <c r="I19" s="4">
        <f>IF((June!I25+June!O25)&gt;0,(June!I25+June!O25),0)</f>
        <v>6995</v>
      </c>
      <c r="J19" s="10">
        <v>0.04</v>
      </c>
      <c r="K19" s="4">
        <f>IF((June!G25+June!M25)&gt;0,(June!G25+June!M25),0)</f>
        <v>5.6000000000000005</v>
      </c>
      <c r="L19" s="10">
        <v>42.17</v>
      </c>
      <c r="M19" s="4">
        <f>June!R25</f>
        <v>61</v>
      </c>
    </row>
    <row r="20" spans="1:13" x14ac:dyDescent="0.25">
      <c r="A20" s="3" t="s">
        <v>7</v>
      </c>
      <c r="B20" s="2">
        <f t="shared" si="0"/>
        <v>19</v>
      </c>
      <c r="C20" s="14">
        <v>6</v>
      </c>
      <c r="D20" s="14">
        <v>2022</v>
      </c>
      <c r="E20" s="4">
        <f>IF(June!C26&gt;0,June!C26,0)</f>
        <v>6300</v>
      </c>
      <c r="F20" s="9">
        <v>0.33</v>
      </c>
      <c r="G20" s="4">
        <f>IF(June!E26&gt;0,June!E26,0)</f>
        <v>53.396999999999998</v>
      </c>
      <c r="H20" s="10">
        <v>1.83</v>
      </c>
      <c r="I20" s="4">
        <f>IF((June!I26+June!O26)&gt;0,(June!I26+June!O26),0)</f>
        <v>8850</v>
      </c>
      <c r="J20" s="10">
        <v>0.04</v>
      </c>
      <c r="K20" s="4">
        <f>IF((June!G26+June!M26)&gt;0,(June!G26+June!M26),0)</f>
        <v>6.3000000000000007</v>
      </c>
      <c r="L20" s="10">
        <v>42.17</v>
      </c>
      <c r="M20" s="4">
        <f>June!R26</f>
        <v>64</v>
      </c>
    </row>
    <row r="21" spans="1:13" x14ac:dyDescent="0.25">
      <c r="A21" s="3" t="s">
        <v>7</v>
      </c>
      <c r="B21" s="2">
        <f t="shared" si="0"/>
        <v>20</v>
      </c>
      <c r="C21" s="14">
        <v>6</v>
      </c>
      <c r="D21" s="14">
        <v>2022</v>
      </c>
      <c r="E21" s="4">
        <f>IF(June!C27&gt;0,June!C27,0)</f>
        <v>6900</v>
      </c>
      <c r="F21" s="9">
        <v>0.33</v>
      </c>
      <c r="G21" s="4">
        <f>IF(June!E27&gt;0,June!E27,0)</f>
        <v>49.208999999999996</v>
      </c>
      <c r="H21" s="10">
        <v>1.83</v>
      </c>
      <c r="I21" s="4">
        <f>IF((June!I27+June!O27)&gt;0,(June!I27+June!O27),0)</f>
        <v>9383</v>
      </c>
      <c r="J21" s="10">
        <v>0.04</v>
      </c>
      <c r="K21" s="4">
        <f>IF((June!G27+June!M27)&gt;0,(June!G27+June!M27),0)</f>
        <v>5.9</v>
      </c>
      <c r="L21" s="10">
        <v>42.17</v>
      </c>
      <c r="M21" s="4">
        <f>June!R27</f>
        <v>62</v>
      </c>
    </row>
    <row r="22" spans="1:13" x14ac:dyDescent="0.25">
      <c r="A22" s="3" t="s">
        <v>7</v>
      </c>
      <c r="B22" s="2">
        <f t="shared" si="0"/>
        <v>21</v>
      </c>
      <c r="C22" s="14">
        <v>6</v>
      </c>
      <c r="D22" s="14">
        <v>2022</v>
      </c>
      <c r="E22" s="4">
        <f>IF(June!C28&gt;0,June!C28,0)</f>
        <v>7200</v>
      </c>
      <c r="F22" s="9">
        <v>0.33</v>
      </c>
      <c r="G22" s="4">
        <f>IF(June!E28&gt;0,June!E28,0)</f>
        <v>48.161999999999999</v>
      </c>
      <c r="H22" s="10">
        <v>1.83</v>
      </c>
      <c r="I22" s="4">
        <f>IF((June!I28+June!O28)&gt;0,(June!I28+June!O28),0)</f>
        <v>10135</v>
      </c>
      <c r="J22" s="10">
        <v>0.04</v>
      </c>
      <c r="K22" s="4">
        <f>IF((June!G28+June!M28)&gt;0,(June!G28+June!M28),0)</f>
        <v>4.7</v>
      </c>
      <c r="L22" s="10">
        <v>42.17</v>
      </c>
      <c r="M22" s="4">
        <f>June!R28</f>
        <v>90</v>
      </c>
    </row>
    <row r="23" spans="1:13" x14ac:dyDescent="0.25">
      <c r="A23" s="3" t="s">
        <v>7</v>
      </c>
      <c r="B23" s="2">
        <f t="shared" si="0"/>
        <v>22</v>
      </c>
      <c r="C23" s="14">
        <v>6</v>
      </c>
      <c r="D23" s="14">
        <v>2022</v>
      </c>
      <c r="E23" s="4">
        <f>IF(June!C29&gt;0,June!C29,0)</f>
        <v>5100</v>
      </c>
      <c r="F23" s="9">
        <v>0.33</v>
      </c>
      <c r="G23" s="4">
        <f>IF(June!E29&gt;0,June!E29,0)</f>
        <v>26.174999999999997</v>
      </c>
      <c r="H23" s="10">
        <v>1.83</v>
      </c>
      <c r="I23" s="4">
        <f>IF((June!I29+June!O29)&gt;0,(June!I29+June!O29),0)</f>
        <v>6002</v>
      </c>
      <c r="J23" s="10">
        <v>0.04</v>
      </c>
      <c r="K23" s="4">
        <f>IF((June!G29+June!M29)&gt;0,(June!G29+June!M29),0)</f>
        <v>2.7</v>
      </c>
      <c r="L23" s="10">
        <v>42.17</v>
      </c>
      <c r="M23" s="4">
        <f>June!R29</f>
        <v>89</v>
      </c>
    </row>
    <row r="24" spans="1:13" x14ac:dyDescent="0.25">
      <c r="A24" s="3" t="s">
        <v>7</v>
      </c>
      <c r="B24" s="2">
        <f t="shared" si="0"/>
        <v>23</v>
      </c>
      <c r="C24" s="14">
        <v>6</v>
      </c>
      <c r="D24" s="14">
        <v>2022</v>
      </c>
      <c r="E24" s="4">
        <f>IF(June!C30&gt;0,June!C30,0)</f>
        <v>7800</v>
      </c>
      <c r="F24" s="9">
        <v>0.33</v>
      </c>
      <c r="G24" s="4">
        <f>IF(June!E30&gt;0,June!E30,0)</f>
        <v>46.067999999999998</v>
      </c>
      <c r="H24" s="10">
        <v>1.83</v>
      </c>
      <c r="I24" s="4">
        <f>IF((June!I30+June!O30)&gt;0,(June!I30+June!O30),0)</f>
        <v>10295</v>
      </c>
      <c r="J24" s="10">
        <v>0.04</v>
      </c>
      <c r="K24" s="4">
        <f>IF((June!G30+June!M30)&gt;0,(June!G30+June!M30),0)</f>
        <v>3.4000000000000004</v>
      </c>
      <c r="L24" s="10">
        <v>42.17</v>
      </c>
      <c r="M24" s="4">
        <f>June!R30</f>
        <v>88</v>
      </c>
    </row>
    <row r="25" spans="1:13" x14ac:dyDescent="0.25">
      <c r="A25" s="3" t="s">
        <v>7</v>
      </c>
      <c r="B25" s="2">
        <f t="shared" si="0"/>
        <v>24</v>
      </c>
      <c r="C25" s="14">
        <v>6</v>
      </c>
      <c r="D25" s="14">
        <v>2022</v>
      </c>
      <c r="E25" s="4">
        <f>IF(June!C31&gt;0,June!C31,0)</f>
        <v>6600</v>
      </c>
      <c r="F25" s="9">
        <v>0.33</v>
      </c>
      <c r="G25" s="4">
        <f>IF(June!E31&gt;0,June!E31,0)</f>
        <v>47.114999999999995</v>
      </c>
      <c r="H25" s="10">
        <v>1.83</v>
      </c>
      <c r="I25" s="4">
        <f>IF((June!I31+June!O31)&gt;0,(June!I31+June!O31),0)</f>
        <v>11169</v>
      </c>
      <c r="J25" s="10">
        <v>0.04</v>
      </c>
      <c r="K25" s="4">
        <f>IF((June!G31+June!M31)&gt;0,(June!G31+June!M31),0)</f>
        <v>4.1000000000000005</v>
      </c>
      <c r="L25" s="10">
        <v>42.17</v>
      </c>
      <c r="M25" s="4">
        <f>June!R31</f>
        <v>76</v>
      </c>
    </row>
    <row r="26" spans="1:13" x14ac:dyDescent="0.25">
      <c r="A26" s="3" t="s">
        <v>7</v>
      </c>
      <c r="B26" s="2">
        <f>B25+1</f>
        <v>25</v>
      </c>
      <c r="C26" s="14">
        <v>6</v>
      </c>
      <c r="D26" s="14">
        <v>2022</v>
      </c>
      <c r="E26" s="4">
        <f>IF(June!C32&gt;0,June!C32,0)</f>
        <v>6000</v>
      </c>
      <c r="F26" s="9">
        <v>0.33</v>
      </c>
      <c r="G26" s="4">
        <f>IF(June!E32&gt;0,June!E32,0)</f>
        <v>355.97999999999996</v>
      </c>
      <c r="H26" s="10">
        <v>1.83</v>
      </c>
      <c r="I26" s="4">
        <f>IF((June!I32+June!O32)&gt;0,(June!I32+June!O32),0)</f>
        <v>5731</v>
      </c>
      <c r="J26" s="10">
        <v>0.04</v>
      </c>
      <c r="K26" s="4">
        <f>IF((June!G32+June!M32)&gt;0,(June!G32+June!M32),0)</f>
        <v>3</v>
      </c>
      <c r="L26" s="10">
        <v>42.17</v>
      </c>
      <c r="M26" s="4">
        <f>June!R32</f>
        <v>76</v>
      </c>
    </row>
    <row r="27" spans="1:13" x14ac:dyDescent="0.25">
      <c r="A27" s="3" t="s">
        <v>7</v>
      </c>
      <c r="B27" s="2">
        <f t="shared" si="0"/>
        <v>26</v>
      </c>
      <c r="C27" s="14">
        <v>6</v>
      </c>
      <c r="D27" s="14">
        <v>2022</v>
      </c>
      <c r="E27" s="4">
        <f>IF(June!C33&gt;0,June!C33,0)</f>
        <v>6900</v>
      </c>
      <c r="F27" s="9">
        <v>0.33</v>
      </c>
      <c r="G27" s="4">
        <f>IF(June!E33&gt;0,June!E33,0)</f>
        <v>0</v>
      </c>
      <c r="H27" s="10">
        <v>1.83</v>
      </c>
      <c r="I27" s="4">
        <f>IF((June!I33+June!O33)&gt;0,(June!I33+June!O33),0)</f>
        <v>8500</v>
      </c>
      <c r="J27" s="10">
        <v>0.04</v>
      </c>
      <c r="K27" s="4">
        <f>IF((June!G33+June!M33)&gt;0,(June!G33+June!M33),0)</f>
        <v>7.3000000000000007</v>
      </c>
      <c r="L27" s="10">
        <v>42.17</v>
      </c>
      <c r="M27" s="4">
        <f>June!R33</f>
        <v>53</v>
      </c>
    </row>
    <row r="28" spans="1:13" x14ac:dyDescent="0.25">
      <c r="A28" s="3" t="s">
        <v>7</v>
      </c>
      <c r="B28" s="2">
        <f t="shared" si="0"/>
        <v>27</v>
      </c>
      <c r="C28" s="14">
        <v>6</v>
      </c>
      <c r="D28" s="14">
        <v>2022</v>
      </c>
      <c r="E28" s="4">
        <f>IF(June!C34&gt;0,June!C34,0)</f>
        <v>6300</v>
      </c>
      <c r="F28" s="9">
        <v>0.33</v>
      </c>
      <c r="G28" s="4">
        <f>IF(June!E34&gt;0,June!E34,0)</f>
        <v>47.114999999999995</v>
      </c>
      <c r="H28" s="10">
        <v>1.83</v>
      </c>
      <c r="I28" s="4">
        <f>IF((June!I34+June!O34)&gt;0,(June!I34+June!O34),0)</f>
        <v>7448</v>
      </c>
      <c r="J28" s="10">
        <v>0.04</v>
      </c>
      <c r="K28" s="4">
        <f>IF((June!G34+June!M34)&gt;0,(June!G34+June!M34),0)</f>
        <v>6.3000000000000007</v>
      </c>
      <c r="L28" s="10">
        <v>42.17</v>
      </c>
      <c r="M28" s="4">
        <f>June!R34</f>
        <v>52</v>
      </c>
    </row>
    <row r="29" spans="1:13" x14ac:dyDescent="0.25">
      <c r="A29" s="3" t="s">
        <v>7</v>
      </c>
      <c r="B29" s="2">
        <f t="shared" si="0"/>
        <v>28</v>
      </c>
      <c r="C29" s="14">
        <v>6</v>
      </c>
      <c r="D29" s="14">
        <v>2022</v>
      </c>
      <c r="E29" s="4">
        <f>IF(June!C35&gt;0,June!C35,0)</f>
        <v>6300</v>
      </c>
      <c r="F29" s="9">
        <v>0.33</v>
      </c>
      <c r="G29" s="4">
        <f>IF(June!E35&gt;0,June!E35,0)</f>
        <v>51.302999999999997</v>
      </c>
      <c r="H29" s="10">
        <v>1.83</v>
      </c>
      <c r="I29" s="4">
        <f>IF((June!I35+June!O35)&gt;0,(June!I35+June!O35),0)</f>
        <v>7970</v>
      </c>
      <c r="J29" s="10">
        <v>0.04</v>
      </c>
      <c r="K29" s="4">
        <f>IF((June!G35+June!M35)&gt;0,(June!G35+June!M35),0)</f>
        <v>4.6000000000000005</v>
      </c>
      <c r="L29" s="10">
        <v>42.17</v>
      </c>
      <c r="M29" s="4">
        <f>June!R35</f>
        <v>72</v>
      </c>
    </row>
    <row r="30" spans="1:13" x14ac:dyDescent="0.25">
      <c r="A30" s="3" t="s">
        <v>7</v>
      </c>
      <c r="B30" s="2">
        <f t="shared" si="0"/>
        <v>29</v>
      </c>
      <c r="C30" s="14">
        <v>6</v>
      </c>
      <c r="D30" s="14">
        <v>2022</v>
      </c>
      <c r="E30" s="4">
        <f>IF(June!C36&gt;0,June!C36,0)</f>
        <v>5400</v>
      </c>
      <c r="F30" s="9">
        <v>0.33</v>
      </c>
      <c r="G30" s="4">
        <f>IF(June!E36&gt;0,June!E36,0)</f>
        <v>42.927</v>
      </c>
      <c r="H30" s="10">
        <v>1.83</v>
      </c>
      <c r="I30" s="4">
        <f>IF((June!I36+June!O36)&gt;0,(June!I36+June!O36),0)</f>
        <v>8530</v>
      </c>
      <c r="J30" s="10">
        <v>0.04</v>
      </c>
      <c r="K30" s="4">
        <f>IF((June!G36+June!M36)&gt;0,(June!G36+June!M36),0)</f>
        <v>5.4</v>
      </c>
      <c r="L30" s="10">
        <v>42.17</v>
      </c>
      <c r="M30" s="4">
        <f>June!R36</f>
        <v>104</v>
      </c>
    </row>
    <row r="31" spans="1:13" x14ac:dyDescent="0.25">
      <c r="A31" s="3" t="s">
        <v>7</v>
      </c>
      <c r="B31" s="2">
        <f t="shared" si="0"/>
        <v>30</v>
      </c>
      <c r="C31" s="14">
        <v>6</v>
      </c>
      <c r="D31" s="14">
        <v>2022</v>
      </c>
      <c r="E31" s="4">
        <f>IF(June!C37&gt;0,June!C37,0)</f>
        <v>5700</v>
      </c>
      <c r="F31" s="9">
        <v>0.33</v>
      </c>
      <c r="G31" s="4">
        <f>IF(June!E37&gt;0,June!E37,0)</f>
        <v>49.208999999999996</v>
      </c>
      <c r="H31" s="10">
        <v>1.83</v>
      </c>
      <c r="I31" s="4">
        <f>IF((June!I37+June!O37)&gt;0,(June!I37+June!O37),0)</f>
        <v>8232</v>
      </c>
      <c r="J31" s="10">
        <v>0.04</v>
      </c>
      <c r="K31" s="4">
        <f>IF((June!G37+June!M37)&gt;0,(June!G37+June!M37),0)</f>
        <v>6.0000000000000009</v>
      </c>
      <c r="L31" s="10">
        <v>42.17</v>
      </c>
      <c r="M31" s="4">
        <f>June!R37</f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V40"/>
  <sheetViews>
    <sheetView showWhiteSpace="0" zoomScaleNormal="100" workbookViewId="0">
      <selection activeCell="T43" sqref="T43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8" style="16" customWidth="1"/>
    <col min="12" max="13" width="9.7109375" style="16" customWidth="1"/>
    <col min="14" max="15" width="13.7109375" style="16" customWidth="1"/>
    <col min="16" max="16" width="17.28515625" style="16" customWidth="1"/>
    <col min="17" max="17" width="13.7109375" style="16" customWidth="1"/>
    <col min="18" max="19" width="9.140625" style="16"/>
    <col min="20" max="20" width="6.85546875" style="16" customWidth="1"/>
    <col min="21" max="21" width="8.140625" style="16" customWidth="1"/>
    <col min="22" max="16384" width="9.140625" style="16"/>
  </cols>
  <sheetData>
    <row r="1" spans="1:22" ht="18" customHeight="1" x14ac:dyDescent="0.25">
      <c r="A1" s="47"/>
      <c r="B1" s="47"/>
      <c r="C1" s="15"/>
    </row>
    <row r="2" spans="1:22" ht="21" x14ac:dyDescent="0.35">
      <c r="A2" s="48" t="s">
        <v>23</v>
      </c>
      <c r="B2" s="48"/>
      <c r="C2" s="48"/>
      <c r="D2" s="48"/>
      <c r="E2" s="48"/>
      <c r="F2" s="48"/>
      <c r="G2" s="48"/>
      <c r="H2" s="48"/>
      <c r="I2" s="48"/>
      <c r="J2" s="48"/>
      <c r="K2" s="17"/>
    </row>
    <row r="3" spans="1:22" ht="16.5" customHeight="1" x14ac:dyDescent="0.35">
      <c r="A3" s="48"/>
      <c r="B3" s="48"/>
      <c r="C3" s="48"/>
      <c r="D3" s="48"/>
      <c r="E3" s="48"/>
      <c r="F3" s="48"/>
      <c r="G3" s="48"/>
      <c r="H3" s="48"/>
      <c r="I3" s="48"/>
      <c r="J3" s="48"/>
      <c r="K3" s="17"/>
    </row>
    <row r="4" spans="1:22" s="19" customFormat="1" ht="24.75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18"/>
    </row>
    <row r="5" spans="1:22" s="19" customFormat="1" ht="16.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22" s="19" customFormat="1" ht="49.5" customHeight="1" thickBot="1" x14ac:dyDescent="0.3">
      <c r="A6" s="43" t="s">
        <v>8</v>
      </c>
      <c r="B6" s="44">
        <v>21272</v>
      </c>
      <c r="C6" s="44"/>
      <c r="D6" s="44">
        <v>51538</v>
      </c>
      <c r="E6" s="44"/>
      <c r="F6" s="44">
        <v>31065</v>
      </c>
      <c r="G6" s="44"/>
      <c r="H6" s="44">
        <v>10978110</v>
      </c>
      <c r="I6" s="44"/>
      <c r="J6" s="45">
        <v>361992</v>
      </c>
      <c r="K6" s="44"/>
      <c r="L6" s="44">
        <v>28665</v>
      </c>
      <c r="M6" s="44"/>
      <c r="N6" s="46">
        <v>30200619</v>
      </c>
      <c r="O6" s="46"/>
      <c r="P6" s="46">
        <v>6295687</v>
      </c>
      <c r="Q6" s="46"/>
    </row>
    <row r="7" spans="1:22" s="20" customFormat="1" ht="47.25" customHeight="1" x14ac:dyDescent="0.25">
      <c r="A7" s="40" t="s">
        <v>9</v>
      </c>
      <c r="B7" s="21" t="s">
        <v>28</v>
      </c>
      <c r="C7" s="22" t="s">
        <v>10</v>
      </c>
      <c r="D7" s="21" t="s">
        <v>29</v>
      </c>
      <c r="E7" s="22" t="s">
        <v>11</v>
      </c>
      <c r="F7" s="23" t="s">
        <v>30</v>
      </c>
      <c r="G7" s="22" t="s">
        <v>12</v>
      </c>
      <c r="H7" s="21" t="s">
        <v>31</v>
      </c>
      <c r="I7" s="22" t="s">
        <v>13</v>
      </c>
      <c r="J7" s="23" t="s">
        <v>32</v>
      </c>
      <c r="K7" s="22" t="s">
        <v>14</v>
      </c>
      <c r="L7" s="23" t="s">
        <v>33</v>
      </c>
      <c r="M7" s="22" t="s">
        <v>12</v>
      </c>
      <c r="N7" s="23" t="s">
        <v>34</v>
      </c>
      <c r="O7" s="22" t="s">
        <v>13</v>
      </c>
      <c r="P7" s="23" t="s">
        <v>35</v>
      </c>
      <c r="Q7" s="41" t="s">
        <v>13</v>
      </c>
      <c r="R7" s="42" t="s">
        <v>22</v>
      </c>
      <c r="S7" s="27" t="s">
        <v>24</v>
      </c>
      <c r="T7" s="28" t="s">
        <v>25</v>
      </c>
      <c r="U7" s="28" t="s">
        <v>26</v>
      </c>
      <c r="V7" s="29" t="s">
        <v>27</v>
      </c>
    </row>
    <row r="8" spans="1:22" ht="20.25" customHeight="1" x14ac:dyDescent="0.25">
      <c r="A8" s="36">
        <v>1</v>
      </c>
      <c r="B8" s="24">
        <v>21286</v>
      </c>
      <c r="C8" s="24">
        <f>+(B8-B6)*300</f>
        <v>4200</v>
      </c>
      <c r="D8" s="24">
        <v>51566</v>
      </c>
      <c r="E8" s="24">
        <f>+(D8-D6)*1.047</f>
        <v>29.315999999999999</v>
      </c>
      <c r="F8" s="24">
        <v>31070</v>
      </c>
      <c r="G8" s="24">
        <f>+(F8-F6)*0.1</f>
        <v>0.5</v>
      </c>
      <c r="H8" s="24">
        <v>10979090</v>
      </c>
      <c r="I8" s="24">
        <f>+H8-H6</f>
        <v>980</v>
      </c>
      <c r="J8" s="24">
        <v>361992</v>
      </c>
      <c r="K8" s="24">
        <f>+J8-J6</f>
        <v>0</v>
      </c>
      <c r="L8" s="24">
        <v>28686</v>
      </c>
      <c r="M8" s="24">
        <f>+(L8-L6)*0.1</f>
        <v>2.1</v>
      </c>
      <c r="N8" s="24">
        <v>30203400</v>
      </c>
      <c r="O8" s="24">
        <f>+N8-N6</f>
        <v>2781</v>
      </c>
      <c r="P8" s="24">
        <v>6295996</v>
      </c>
      <c r="Q8" s="31">
        <f>+P8-P6</f>
        <v>309</v>
      </c>
      <c r="R8" s="38">
        <v>58</v>
      </c>
      <c r="S8" s="30">
        <v>66</v>
      </c>
      <c r="T8" s="24">
        <v>52</v>
      </c>
      <c r="U8" s="24">
        <f>(S8+T8)/2</f>
        <v>59</v>
      </c>
      <c r="V8" s="31">
        <f>65-U8</f>
        <v>6</v>
      </c>
    </row>
    <row r="9" spans="1:22" ht="20.25" customHeight="1" x14ac:dyDescent="0.25">
      <c r="A9" s="36">
        <v>2</v>
      </c>
      <c r="B9" s="24">
        <v>21307</v>
      </c>
      <c r="C9" s="24">
        <f>+(B9-B8)*300</f>
        <v>6300</v>
      </c>
      <c r="D9" s="24">
        <v>51613</v>
      </c>
      <c r="E9" s="24">
        <f>+(D9-D8)*1.047</f>
        <v>49.208999999999996</v>
      </c>
      <c r="F9" s="24">
        <v>31077</v>
      </c>
      <c r="G9" s="24">
        <f>+(F9-F8)*0.1</f>
        <v>0.70000000000000007</v>
      </c>
      <c r="H9" s="24">
        <v>10980845</v>
      </c>
      <c r="I9" s="24">
        <f>+H9-H8</f>
        <v>1755</v>
      </c>
      <c r="J9" s="24">
        <v>361992</v>
      </c>
      <c r="K9" s="24">
        <f>+J9-J8</f>
        <v>0</v>
      </c>
      <c r="L9" s="24">
        <v>28732</v>
      </c>
      <c r="M9" s="24">
        <f>+(L9-L8)*0.1</f>
        <v>4.6000000000000005</v>
      </c>
      <c r="N9" s="24">
        <v>30208670</v>
      </c>
      <c r="O9" s="24">
        <f>+N9-N8</f>
        <v>5270</v>
      </c>
      <c r="P9" s="24">
        <v>6296224</v>
      </c>
      <c r="Q9" s="31">
        <f>+P9-P8</f>
        <v>228</v>
      </c>
      <c r="R9" s="38">
        <v>68</v>
      </c>
      <c r="S9" s="30">
        <v>65</v>
      </c>
      <c r="T9" s="24">
        <v>53</v>
      </c>
      <c r="U9" s="24">
        <f t="shared" ref="U9:U37" si="0">(S9+T9)/2</f>
        <v>59</v>
      </c>
      <c r="V9" s="31">
        <f t="shared" ref="V9:V37" si="1">65-U9</f>
        <v>6</v>
      </c>
    </row>
    <row r="10" spans="1:22" ht="20.25" customHeight="1" x14ac:dyDescent="0.25">
      <c r="A10" s="36">
        <v>3</v>
      </c>
      <c r="B10" s="24">
        <v>21323</v>
      </c>
      <c r="C10" s="24">
        <f t="shared" ref="C10:C37" si="2">+(B10-B9)*300</f>
        <v>4800</v>
      </c>
      <c r="D10" s="24">
        <v>51651</v>
      </c>
      <c r="E10" s="24">
        <f t="shared" ref="E10:E37" si="3">+(D10-D9)*1.047</f>
        <v>39.785999999999994</v>
      </c>
      <c r="F10" s="24">
        <v>31085</v>
      </c>
      <c r="G10" s="24">
        <f t="shared" ref="G10:G37" si="4">+(F10-F9)*0.1</f>
        <v>0.8</v>
      </c>
      <c r="H10" s="24">
        <v>10982300</v>
      </c>
      <c r="I10" s="24">
        <f>+H10-H9</f>
        <v>1455</v>
      </c>
      <c r="J10" s="24">
        <v>361992</v>
      </c>
      <c r="K10" s="24">
        <f>+J10-J9</f>
        <v>0</v>
      </c>
      <c r="L10" s="24">
        <v>28789</v>
      </c>
      <c r="M10" s="24">
        <f t="shared" ref="M10:M37" si="5">+(L10-L9)*0.1</f>
        <v>5.7</v>
      </c>
      <c r="N10" s="24">
        <v>30214750</v>
      </c>
      <c r="O10" s="24">
        <f>+N10-N9</f>
        <v>6080</v>
      </c>
      <c r="P10" s="24">
        <v>6296273</v>
      </c>
      <c r="Q10" s="31">
        <f>+P10-P9</f>
        <v>49</v>
      </c>
      <c r="R10" s="38">
        <v>83</v>
      </c>
      <c r="S10" s="30">
        <v>64</v>
      </c>
      <c r="T10" s="24">
        <v>54</v>
      </c>
      <c r="U10" s="24">
        <f t="shared" si="0"/>
        <v>59</v>
      </c>
      <c r="V10" s="31">
        <f t="shared" si="1"/>
        <v>6</v>
      </c>
    </row>
    <row r="11" spans="1:22" ht="20.25" customHeight="1" x14ac:dyDescent="0.25">
      <c r="A11" s="36">
        <v>4</v>
      </c>
      <c r="B11" s="24">
        <v>21340</v>
      </c>
      <c r="C11" s="24">
        <f t="shared" si="2"/>
        <v>5100</v>
      </c>
      <c r="D11" s="24">
        <v>51691</v>
      </c>
      <c r="E11" s="24">
        <f t="shared" si="3"/>
        <v>41.879999999999995</v>
      </c>
      <c r="F11" s="24">
        <v>31092</v>
      </c>
      <c r="G11" s="24">
        <f t="shared" si="4"/>
        <v>0.70000000000000007</v>
      </c>
      <c r="H11" s="24">
        <v>10983860</v>
      </c>
      <c r="I11" s="24">
        <f t="shared" ref="I11:K37" si="6">+H11-H10</f>
        <v>1560</v>
      </c>
      <c r="J11" s="24">
        <v>361992</v>
      </c>
      <c r="K11" s="24">
        <f t="shared" si="6"/>
        <v>0</v>
      </c>
      <c r="L11" s="24">
        <v>28829</v>
      </c>
      <c r="M11" s="24">
        <f t="shared" si="5"/>
        <v>4</v>
      </c>
      <c r="N11" s="24">
        <v>30218710</v>
      </c>
      <c r="O11" s="24">
        <f t="shared" ref="O11:Q26" si="7">+N11-N10</f>
        <v>3960</v>
      </c>
      <c r="P11" s="24">
        <v>6296339</v>
      </c>
      <c r="Q11" s="31">
        <f t="shared" si="7"/>
        <v>66</v>
      </c>
      <c r="R11" s="38">
        <v>48</v>
      </c>
      <c r="S11" s="30">
        <v>67</v>
      </c>
      <c r="T11" s="24">
        <v>56</v>
      </c>
      <c r="U11" s="24">
        <f t="shared" si="0"/>
        <v>61.5</v>
      </c>
      <c r="V11" s="31">
        <f t="shared" si="1"/>
        <v>3.5</v>
      </c>
    </row>
    <row r="12" spans="1:22" ht="20.25" customHeight="1" x14ac:dyDescent="0.25">
      <c r="A12" s="36">
        <v>5</v>
      </c>
      <c r="B12" s="24">
        <v>21361</v>
      </c>
      <c r="C12" s="24">
        <f t="shared" si="2"/>
        <v>6300</v>
      </c>
      <c r="D12" s="24">
        <v>51743</v>
      </c>
      <c r="E12" s="24">
        <f t="shared" si="3"/>
        <v>54.443999999999996</v>
      </c>
      <c r="F12" s="24">
        <v>31103</v>
      </c>
      <c r="G12" s="24">
        <f t="shared" si="4"/>
        <v>1.1000000000000001</v>
      </c>
      <c r="H12" s="24">
        <v>10985909</v>
      </c>
      <c r="I12" s="24">
        <f t="shared" si="6"/>
        <v>2049</v>
      </c>
      <c r="J12" s="24">
        <v>361992</v>
      </c>
      <c r="K12" s="24">
        <f t="shared" si="6"/>
        <v>0</v>
      </c>
      <c r="L12" s="24">
        <v>28873</v>
      </c>
      <c r="M12" s="24">
        <f t="shared" si="5"/>
        <v>4.4000000000000004</v>
      </c>
      <c r="N12" s="24">
        <v>30224454</v>
      </c>
      <c r="O12" s="24">
        <f t="shared" si="7"/>
        <v>5744</v>
      </c>
      <c r="P12" s="24">
        <v>6296457</v>
      </c>
      <c r="Q12" s="31">
        <f t="shared" si="7"/>
        <v>118</v>
      </c>
      <c r="R12" s="38">
        <v>55</v>
      </c>
      <c r="S12" s="30">
        <v>69</v>
      </c>
      <c r="T12" s="24">
        <v>55</v>
      </c>
      <c r="U12" s="24">
        <f t="shared" si="0"/>
        <v>62</v>
      </c>
      <c r="V12" s="31">
        <f t="shared" si="1"/>
        <v>3</v>
      </c>
    </row>
    <row r="13" spans="1:22" ht="20.25" customHeight="1" x14ac:dyDescent="0.25">
      <c r="A13" s="36">
        <v>6</v>
      </c>
      <c r="B13" s="24">
        <v>21381</v>
      </c>
      <c r="C13" s="24">
        <f t="shared" si="2"/>
        <v>6000</v>
      </c>
      <c r="D13" s="24">
        <v>51787</v>
      </c>
      <c r="E13" s="24">
        <f t="shared" si="3"/>
        <v>46.067999999999998</v>
      </c>
      <c r="F13" s="24">
        <v>31114</v>
      </c>
      <c r="G13" s="24">
        <f t="shared" si="4"/>
        <v>1.1000000000000001</v>
      </c>
      <c r="H13" s="24">
        <v>10987740</v>
      </c>
      <c r="I13" s="24">
        <f t="shared" si="6"/>
        <v>1831</v>
      </c>
      <c r="J13" s="24">
        <v>361992</v>
      </c>
      <c r="K13" s="24">
        <f t="shared" si="6"/>
        <v>0</v>
      </c>
      <c r="L13" s="24">
        <v>28918</v>
      </c>
      <c r="M13" s="24">
        <f t="shared" si="5"/>
        <v>4.5</v>
      </c>
      <c r="N13" s="24">
        <v>30230809</v>
      </c>
      <c r="O13" s="24">
        <f t="shared" si="7"/>
        <v>6355</v>
      </c>
      <c r="P13" s="24">
        <v>6296897</v>
      </c>
      <c r="Q13" s="31">
        <f t="shared" si="7"/>
        <v>440</v>
      </c>
      <c r="R13" s="38">
        <v>73</v>
      </c>
      <c r="S13" s="30">
        <v>68</v>
      </c>
      <c r="T13" s="24">
        <v>52</v>
      </c>
      <c r="U13" s="24">
        <f t="shared" si="0"/>
        <v>60</v>
      </c>
      <c r="V13" s="31">
        <f t="shared" si="1"/>
        <v>5</v>
      </c>
    </row>
    <row r="14" spans="1:22" ht="20.25" customHeight="1" x14ac:dyDescent="0.25">
      <c r="A14" s="36">
        <v>7</v>
      </c>
      <c r="B14" s="24">
        <v>21409</v>
      </c>
      <c r="C14" s="24">
        <f t="shared" si="2"/>
        <v>8400</v>
      </c>
      <c r="D14" s="24">
        <v>51849</v>
      </c>
      <c r="E14" s="24">
        <f t="shared" si="3"/>
        <v>64.914000000000001</v>
      </c>
      <c r="F14" s="24">
        <v>31126</v>
      </c>
      <c r="G14" s="24">
        <f t="shared" si="4"/>
        <v>1.2000000000000002</v>
      </c>
      <c r="H14" s="24">
        <v>10990397</v>
      </c>
      <c r="I14" s="24">
        <f t="shared" si="6"/>
        <v>2657</v>
      </c>
      <c r="J14" s="24">
        <v>361992</v>
      </c>
      <c r="K14" s="24">
        <f t="shared" si="6"/>
        <v>0</v>
      </c>
      <c r="L14" s="24">
        <v>28978</v>
      </c>
      <c r="M14" s="24">
        <f t="shared" si="5"/>
        <v>6</v>
      </c>
      <c r="N14" s="24">
        <v>30239276</v>
      </c>
      <c r="O14" s="24">
        <f t="shared" si="7"/>
        <v>8467</v>
      </c>
      <c r="P14" s="24">
        <v>6297286</v>
      </c>
      <c r="Q14" s="31">
        <f t="shared" si="7"/>
        <v>389</v>
      </c>
      <c r="R14" s="38">
        <v>107</v>
      </c>
      <c r="S14" s="30">
        <v>65</v>
      </c>
      <c r="T14" s="24">
        <v>54</v>
      </c>
      <c r="U14" s="24">
        <f t="shared" si="0"/>
        <v>59.5</v>
      </c>
      <c r="V14" s="31">
        <f t="shared" si="1"/>
        <v>5.5</v>
      </c>
    </row>
    <row r="15" spans="1:22" ht="20.25" customHeight="1" x14ac:dyDescent="0.25">
      <c r="A15" s="36">
        <v>8</v>
      </c>
      <c r="B15" s="24">
        <v>21416</v>
      </c>
      <c r="C15" s="24">
        <f t="shared" si="2"/>
        <v>2100</v>
      </c>
      <c r="D15" s="24">
        <v>51861</v>
      </c>
      <c r="E15" s="24">
        <f t="shared" si="3"/>
        <v>12.564</v>
      </c>
      <c r="F15" s="24">
        <v>31131</v>
      </c>
      <c r="G15" s="24">
        <f t="shared" si="4"/>
        <v>0.5</v>
      </c>
      <c r="H15" s="24">
        <v>10990745</v>
      </c>
      <c r="I15" s="24">
        <f t="shared" si="6"/>
        <v>348</v>
      </c>
      <c r="J15" s="24">
        <v>361992</v>
      </c>
      <c r="K15" s="24">
        <f t="shared" si="6"/>
        <v>0</v>
      </c>
      <c r="L15" s="24">
        <v>29001</v>
      </c>
      <c r="M15" s="24">
        <f t="shared" si="5"/>
        <v>2.3000000000000003</v>
      </c>
      <c r="N15" s="24">
        <v>30241765</v>
      </c>
      <c r="O15" s="24">
        <f t="shared" si="7"/>
        <v>2489</v>
      </c>
      <c r="P15" s="24">
        <v>6297287</v>
      </c>
      <c r="Q15" s="31">
        <f t="shared" si="7"/>
        <v>1</v>
      </c>
      <c r="R15" s="38">
        <v>124</v>
      </c>
      <c r="S15" s="30">
        <v>69</v>
      </c>
      <c r="T15" s="24">
        <v>54</v>
      </c>
      <c r="U15" s="24">
        <f t="shared" si="0"/>
        <v>61.5</v>
      </c>
      <c r="V15" s="31">
        <f t="shared" si="1"/>
        <v>3.5</v>
      </c>
    </row>
    <row r="16" spans="1:22" ht="20.25" customHeight="1" x14ac:dyDescent="0.25">
      <c r="A16" s="36">
        <v>9</v>
      </c>
      <c r="B16" s="24">
        <v>21437</v>
      </c>
      <c r="C16" s="24">
        <f>+(B16-B15)*300</f>
        <v>6300</v>
      </c>
      <c r="D16" s="24">
        <v>51907</v>
      </c>
      <c r="E16" s="24">
        <f t="shared" si="3"/>
        <v>48.161999999999999</v>
      </c>
      <c r="F16" s="24">
        <v>31140</v>
      </c>
      <c r="G16" s="24">
        <f t="shared" si="4"/>
        <v>0.9</v>
      </c>
      <c r="H16" s="24">
        <v>10992700</v>
      </c>
      <c r="I16" s="24">
        <f t="shared" si="6"/>
        <v>1955</v>
      </c>
      <c r="J16" s="24">
        <v>361992</v>
      </c>
      <c r="K16" s="24">
        <f t="shared" si="6"/>
        <v>0</v>
      </c>
      <c r="L16" s="24">
        <v>29055</v>
      </c>
      <c r="M16" s="24">
        <f t="shared" si="5"/>
        <v>5.4</v>
      </c>
      <c r="N16" s="24">
        <v>30249065</v>
      </c>
      <c r="O16" s="24">
        <f t="shared" si="7"/>
        <v>7300</v>
      </c>
      <c r="P16" s="24">
        <v>6297375</v>
      </c>
      <c r="Q16" s="31">
        <f t="shared" si="7"/>
        <v>88</v>
      </c>
      <c r="R16" s="38">
        <v>108</v>
      </c>
      <c r="S16" s="30">
        <v>78</v>
      </c>
      <c r="T16" s="24">
        <v>53</v>
      </c>
      <c r="U16" s="24">
        <f t="shared" si="0"/>
        <v>65.5</v>
      </c>
      <c r="V16" s="31">
        <f t="shared" si="1"/>
        <v>-0.5</v>
      </c>
    </row>
    <row r="17" spans="1:22" ht="20.25" customHeight="1" x14ac:dyDescent="0.25">
      <c r="A17" s="36">
        <v>10</v>
      </c>
      <c r="B17" s="24">
        <v>21459</v>
      </c>
      <c r="C17" s="24">
        <f t="shared" si="2"/>
        <v>6600</v>
      </c>
      <c r="D17" s="24">
        <v>51950</v>
      </c>
      <c r="E17" s="24">
        <f t="shared" si="3"/>
        <v>45.020999999999994</v>
      </c>
      <c r="F17" s="24">
        <v>31150</v>
      </c>
      <c r="G17" s="24">
        <f t="shared" si="4"/>
        <v>1</v>
      </c>
      <c r="H17" s="24">
        <v>10994510</v>
      </c>
      <c r="I17" s="24">
        <f t="shared" si="6"/>
        <v>1810</v>
      </c>
      <c r="J17" s="24">
        <v>361992</v>
      </c>
      <c r="K17" s="24">
        <f t="shared" si="6"/>
        <v>0</v>
      </c>
      <c r="L17" s="24">
        <v>29100</v>
      </c>
      <c r="M17" s="24">
        <f t="shared" si="5"/>
        <v>4.5</v>
      </c>
      <c r="N17" s="24">
        <v>30256170</v>
      </c>
      <c r="O17" s="24">
        <f t="shared" si="7"/>
        <v>7105</v>
      </c>
      <c r="P17" s="24">
        <v>6298403</v>
      </c>
      <c r="Q17" s="31">
        <f t="shared" si="7"/>
        <v>1028</v>
      </c>
      <c r="R17" s="38">
        <v>97</v>
      </c>
      <c r="S17" s="30">
        <v>80</v>
      </c>
      <c r="T17" s="24">
        <v>59</v>
      </c>
      <c r="U17" s="24">
        <f t="shared" si="0"/>
        <v>69.5</v>
      </c>
      <c r="V17" s="31">
        <f t="shared" si="1"/>
        <v>-4.5</v>
      </c>
    </row>
    <row r="18" spans="1:22" ht="20.25" customHeight="1" x14ac:dyDescent="0.25">
      <c r="A18" s="36">
        <v>11</v>
      </c>
      <c r="B18" s="24">
        <v>21482</v>
      </c>
      <c r="C18" s="24">
        <f t="shared" si="2"/>
        <v>6900</v>
      </c>
      <c r="D18" s="24">
        <v>51991</v>
      </c>
      <c r="E18" s="24">
        <f t="shared" si="3"/>
        <v>42.927</v>
      </c>
      <c r="F18" s="24">
        <v>31160</v>
      </c>
      <c r="G18" s="24">
        <f t="shared" si="4"/>
        <v>1</v>
      </c>
      <c r="H18" s="24">
        <v>10996400</v>
      </c>
      <c r="I18" s="24">
        <f t="shared" si="6"/>
        <v>1890</v>
      </c>
      <c r="J18" s="24">
        <v>361992</v>
      </c>
      <c r="K18" s="24">
        <f t="shared" si="6"/>
        <v>0</v>
      </c>
      <c r="L18" s="24">
        <v>29129</v>
      </c>
      <c r="M18" s="24">
        <f t="shared" si="5"/>
        <v>2.9000000000000004</v>
      </c>
      <c r="N18" s="24">
        <v>30262500</v>
      </c>
      <c r="O18" s="24">
        <f t="shared" si="7"/>
        <v>6330</v>
      </c>
      <c r="P18" s="24">
        <v>6299266</v>
      </c>
      <c r="Q18" s="31">
        <f t="shared" si="7"/>
        <v>863</v>
      </c>
      <c r="R18" s="38">
        <v>62</v>
      </c>
      <c r="S18" s="30">
        <v>75</v>
      </c>
      <c r="T18" s="24">
        <v>58</v>
      </c>
      <c r="U18" s="24">
        <f t="shared" si="0"/>
        <v>66.5</v>
      </c>
      <c r="V18" s="31">
        <f t="shared" si="1"/>
        <v>-1.5</v>
      </c>
    </row>
    <row r="19" spans="1:22" ht="20.25" customHeight="1" x14ac:dyDescent="0.25">
      <c r="A19" s="36">
        <v>12</v>
      </c>
      <c r="B19" s="24">
        <v>21511</v>
      </c>
      <c r="C19" s="24">
        <f t="shared" si="2"/>
        <v>8700</v>
      </c>
      <c r="D19" s="24">
        <v>52045</v>
      </c>
      <c r="E19" s="24">
        <f t="shared" si="3"/>
        <v>56.537999999999997</v>
      </c>
      <c r="F19" s="24">
        <v>31173</v>
      </c>
      <c r="G19" s="24">
        <f t="shared" si="4"/>
        <v>1.3</v>
      </c>
      <c r="H19" s="24">
        <v>10998300</v>
      </c>
      <c r="I19" s="24">
        <f t="shared" si="6"/>
        <v>1900</v>
      </c>
      <c r="J19" s="24">
        <v>361992</v>
      </c>
      <c r="K19" s="24">
        <f t="shared" si="6"/>
        <v>0</v>
      </c>
      <c r="L19" s="24">
        <v>29188</v>
      </c>
      <c r="M19" s="24">
        <f t="shared" si="5"/>
        <v>5.9</v>
      </c>
      <c r="N19" s="24">
        <v>30273970</v>
      </c>
      <c r="O19" s="24">
        <f t="shared" si="7"/>
        <v>11470</v>
      </c>
      <c r="P19" s="24">
        <v>6300618</v>
      </c>
      <c r="Q19" s="31">
        <f t="shared" si="7"/>
        <v>1352</v>
      </c>
      <c r="R19" s="38">
        <v>89</v>
      </c>
      <c r="S19" s="30">
        <v>66</v>
      </c>
      <c r="T19" s="24">
        <v>54</v>
      </c>
      <c r="U19" s="24">
        <f t="shared" si="0"/>
        <v>60</v>
      </c>
      <c r="V19" s="31">
        <f t="shared" si="1"/>
        <v>5</v>
      </c>
    </row>
    <row r="20" spans="1:22" ht="20.25" customHeight="1" x14ac:dyDescent="0.25">
      <c r="A20" s="36">
        <v>13</v>
      </c>
      <c r="B20" s="24">
        <v>21541</v>
      </c>
      <c r="C20" s="24">
        <f t="shared" si="2"/>
        <v>9000</v>
      </c>
      <c r="D20" s="24">
        <v>52107</v>
      </c>
      <c r="E20" s="24">
        <f t="shared" si="3"/>
        <v>64.914000000000001</v>
      </c>
      <c r="F20" s="24">
        <v>31189</v>
      </c>
      <c r="G20" s="24">
        <f t="shared" si="4"/>
        <v>1.6</v>
      </c>
      <c r="H20" s="24">
        <v>11000285</v>
      </c>
      <c r="I20" s="24">
        <f t="shared" si="6"/>
        <v>1985</v>
      </c>
      <c r="J20" s="24">
        <v>361992</v>
      </c>
      <c r="K20" s="24">
        <f t="shared" si="6"/>
        <v>0</v>
      </c>
      <c r="L20" s="24">
        <v>29240</v>
      </c>
      <c r="M20" s="24">
        <f t="shared" si="5"/>
        <v>5.2</v>
      </c>
      <c r="N20" s="24">
        <v>30285525</v>
      </c>
      <c r="O20" s="24">
        <f t="shared" si="7"/>
        <v>11555</v>
      </c>
      <c r="P20" s="24">
        <v>6301867</v>
      </c>
      <c r="Q20" s="31">
        <f t="shared" si="7"/>
        <v>1249</v>
      </c>
      <c r="R20" s="38">
        <v>84</v>
      </c>
      <c r="S20" s="30">
        <v>71</v>
      </c>
      <c r="T20" s="24">
        <v>53</v>
      </c>
      <c r="U20" s="24">
        <f t="shared" si="0"/>
        <v>62</v>
      </c>
      <c r="V20" s="31">
        <f t="shared" si="1"/>
        <v>3</v>
      </c>
    </row>
    <row r="21" spans="1:22" ht="20.25" customHeight="1" x14ac:dyDescent="0.25">
      <c r="A21" s="36">
        <v>14</v>
      </c>
      <c r="B21" s="24">
        <v>21554</v>
      </c>
      <c r="C21" s="24">
        <f t="shared" si="2"/>
        <v>3900</v>
      </c>
      <c r="D21" s="24">
        <v>52131</v>
      </c>
      <c r="E21" s="24">
        <f t="shared" si="3"/>
        <v>25.128</v>
      </c>
      <c r="F21" s="24">
        <v>31196</v>
      </c>
      <c r="G21" s="24">
        <f t="shared" si="4"/>
        <v>0.70000000000000007</v>
      </c>
      <c r="H21" s="24">
        <v>11002030</v>
      </c>
      <c r="I21" s="24">
        <f t="shared" si="6"/>
        <v>1745</v>
      </c>
      <c r="J21" s="24">
        <v>361992</v>
      </c>
      <c r="K21" s="24">
        <f t="shared" si="6"/>
        <v>0</v>
      </c>
      <c r="L21" s="24">
        <v>29271</v>
      </c>
      <c r="M21" s="24">
        <f t="shared" si="5"/>
        <v>3.1</v>
      </c>
      <c r="N21" s="24">
        <v>30290808</v>
      </c>
      <c r="O21" s="24">
        <f t="shared" si="7"/>
        <v>5283</v>
      </c>
      <c r="P21" s="24">
        <v>6302310</v>
      </c>
      <c r="Q21" s="31">
        <f t="shared" si="7"/>
        <v>443</v>
      </c>
      <c r="R21" s="38">
        <v>117</v>
      </c>
      <c r="S21" s="30">
        <v>72</v>
      </c>
      <c r="T21" s="24">
        <v>52</v>
      </c>
      <c r="U21" s="24">
        <f t="shared" si="0"/>
        <v>62</v>
      </c>
      <c r="V21" s="31">
        <f t="shared" si="1"/>
        <v>3</v>
      </c>
    </row>
    <row r="22" spans="1:22" ht="20.25" customHeight="1" x14ac:dyDescent="0.25">
      <c r="A22" s="36">
        <v>15</v>
      </c>
      <c r="B22" s="24">
        <v>21573</v>
      </c>
      <c r="C22" s="24">
        <f t="shared" si="2"/>
        <v>5700</v>
      </c>
      <c r="D22" s="24">
        <v>52168</v>
      </c>
      <c r="E22" s="24">
        <f t="shared" si="3"/>
        <v>38.738999999999997</v>
      </c>
      <c r="F22" s="24">
        <v>31202</v>
      </c>
      <c r="G22" s="24">
        <f t="shared" si="4"/>
        <v>0.60000000000000009</v>
      </c>
      <c r="H22" s="24">
        <v>11003650</v>
      </c>
      <c r="I22" s="24">
        <f t="shared" si="6"/>
        <v>1620</v>
      </c>
      <c r="J22" s="24">
        <v>361992</v>
      </c>
      <c r="K22" s="24">
        <f t="shared" si="6"/>
        <v>0</v>
      </c>
      <c r="L22" s="24">
        <v>29310</v>
      </c>
      <c r="M22" s="24">
        <f t="shared" si="5"/>
        <v>3.9000000000000004</v>
      </c>
      <c r="N22" s="24">
        <v>30296340</v>
      </c>
      <c r="O22" s="24">
        <f t="shared" si="7"/>
        <v>5532</v>
      </c>
      <c r="P22" s="24">
        <v>6302802</v>
      </c>
      <c r="Q22" s="31">
        <f t="shared" si="7"/>
        <v>492</v>
      </c>
      <c r="R22" s="38">
        <v>97</v>
      </c>
      <c r="S22" s="30">
        <v>69</v>
      </c>
      <c r="T22" s="24">
        <v>53</v>
      </c>
      <c r="U22" s="24">
        <f t="shared" si="0"/>
        <v>61</v>
      </c>
      <c r="V22" s="31">
        <f t="shared" si="1"/>
        <v>4</v>
      </c>
    </row>
    <row r="23" spans="1:22" ht="20.25" customHeight="1" x14ac:dyDescent="0.25">
      <c r="A23" s="36">
        <v>16</v>
      </c>
      <c r="B23" s="24">
        <v>21591</v>
      </c>
      <c r="C23" s="24">
        <f t="shared" si="2"/>
        <v>5400</v>
      </c>
      <c r="D23" s="24">
        <v>52206</v>
      </c>
      <c r="E23" s="24">
        <f t="shared" si="3"/>
        <v>39.785999999999994</v>
      </c>
      <c r="F23" s="24">
        <v>31210</v>
      </c>
      <c r="G23" s="24">
        <f t="shared" si="4"/>
        <v>0.8</v>
      </c>
      <c r="H23" s="24">
        <v>11005010</v>
      </c>
      <c r="I23" s="24">
        <f t="shared" si="6"/>
        <v>1360</v>
      </c>
      <c r="J23" s="24">
        <v>361992</v>
      </c>
      <c r="K23" s="24">
        <f t="shared" si="6"/>
        <v>0</v>
      </c>
      <c r="L23" s="24">
        <v>29352</v>
      </c>
      <c r="M23" s="24">
        <f t="shared" si="5"/>
        <v>4.2</v>
      </c>
      <c r="N23" s="24">
        <v>30301850</v>
      </c>
      <c r="O23" s="24">
        <f t="shared" si="7"/>
        <v>5510</v>
      </c>
      <c r="P23" s="24">
        <v>6303455</v>
      </c>
      <c r="Q23" s="31">
        <f t="shared" si="7"/>
        <v>653</v>
      </c>
      <c r="R23" s="38">
        <v>91</v>
      </c>
      <c r="S23" s="30">
        <v>65</v>
      </c>
      <c r="T23" s="24">
        <v>53</v>
      </c>
      <c r="U23" s="24">
        <f t="shared" si="0"/>
        <v>59</v>
      </c>
      <c r="V23" s="31">
        <f t="shared" si="1"/>
        <v>6</v>
      </c>
    </row>
    <row r="24" spans="1:22" ht="20.25" customHeight="1" x14ac:dyDescent="0.25">
      <c r="A24" s="36">
        <v>17</v>
      </c>
      <c r="B24" s="24">
        <v>21610</v>
      </c>
      <c r="C24" s="24">
        <f t="shared" si="2"/>
        <v>5700</v>
      </c>
      <c r="D24" s="24">
        <v>52246</v>
      </c>
      <c r="E24" s="24">
        <f t="shared" si="3"/>
        <v>41.879999999999995</v>
      </c>
      <c r="F24" s="24">
        <v>31219</v>
      </c>
      <c r="G24" s="24">
        <f t="shared" si="4"/>
        <v>0.9</v>
      </c>
      <c r="H24" s="24">
        <v>11006660</v>
      </c>
      <c r="I24" s="24">
        <f t="shared" si="6"/>
        <v>1650</v>
      </c>
      <c r="J24" s="24">
        <v>361992</v>
      </c>
      <c r="K24" s="24">
        <f t="shared" si="6"/>
        <v>0</v>
      </c>
      <c r="L24" s="24">
        <v>29413</v>
      </c>
      <c r="M24" s="24">
        <f t="shared" si="5"/>
        <v>6.1000000000000005</v>
      </c>
      <c r="N24" s="24">
        <v>30308450</v>
      </c>
      <c r="O24" s="24">
        <f t="shared" si="7"/>
        <v>6600</v>
      </c>
      <c r="P24" s="24">
        <v>6303649</v>
      </c>
      <c r="Q24" s="31">
        <f t="shared" si="7"/>
        <v>194</v>
      </c>
      <c r="R24" s="38">
        <v>75</v>
      </c>
      <c r="S24" s="30">
        <v>64</v>
      </c>
      <c r="T24" s="24">
        <v>52</v>
      </c>
      <c r="U24" s="24">
        <f t="shared" si="0"/>
        <v>58</v>
      </c>
      <c r="V24" s="31">
        <f t="shared" si="1"/>
        <v>7</v>
      </c>
    </row>
    <row r="25" spans="1:22" ht="20.25" customHeight="1" x14ac:dyDescent="0.25">
      <c r="A25" s="36">
        <v>18</v>
      </c>
      <c r="B25" s="24">
        <v>21629</v>
      </c>
      <c r="C25" s="24">
        <f t="shared" si="2"/>
        <v>5700</v>
      </c>
      <c r="D25" s="24">
        <v>52287</v>
      </c>
      <c r="E25" s="24">
        <f t="shared" si="3"/>
        <v>42.927</v>
      </c>
      <c r="F25" s="24">
        <v>31226</v>
      </c>
      <c r="G25" s="24">
        <f t="shared" si="4"/>
        <v>0.70000000000000007</v>
      </c>
      <c r="H25" s="24">
        <v>11008405</v>
      </c>
      <c r="I25" s="24">
        <f t="shared" si="6"/>
        <v>1745</v>
      </c>
      <c r="J25" s="24">
        <v>361992</v>
      </c>
      <c r="K25" s="24">
        <f t="shared" si="6"/>
        <v>0</v>
      </c>
      <c r="L25" s="24">
        <v>29462</v>
      </c>
      <c r="M25" s="24">
        <f t="shared" si="5"/>
        <v>4.9000000000000004</v>
      </c>
      <c r="N25" s="24">
        <v>30313700</v>
      </c>
      <c r="O25" s="24">
        <f t="shared" si="7"/>
        <v>5250</v>
      </c>
      <c r="P25" s="24">
        <v>6303867</v>
      </c>
      <c r="Q25" s="31">
        <f t="shared" si="7"/>
        <v>218</v>
      </c>
      <c r="R25" s="38">
        <v>61</v>
      </c>
      <c r="S25" s="30">
        <v>66</v>
      </c>
      <c r="T25" s="24">
        <v>51</v>
      </c>
      <c r="U25" s="24">
        <f t="shared" si="0"/>
        <v>58.5</v>
      </c>
      <c r="V25" s="31">
        <f t="shared" si="1"/>
        <v>6.5</v>
      </c>
    </row>
    <row r="26" spans="1:22" ht="20.25" customHeight="1" x14ac:dyDescent="0.25">
      <c r="A26" s="36">
        <v>19</v>
      </c>
      <c r="B26" s="24">
        <v>21650</v>
      </c>
      <c r="C26" s="24">
        <f t="shared" si="2"/>
        <v>6300</v>
      </c>
      <c r="D26" s="24">
        <v>52338</v>
      </c>
      <c r="E26" s="24">
        <f t="shared" si="3"/>
        <v>53.396999999999998</v>
      </c>
      <c r="F26" s="24">
        <v>31236</v>
      </c>
      <c r="G26" s="24">
        <f t="shared" si="4"/>
        <v>1</v>
      </c>
      <c r="H26" s="24">
        <v>11010196</v>
      </c>
      <c r="I26" s="24">
        <f t="shared" si="6"/>
        <v>1791</v>
      </c>
      <c r="J26" s="24">
        <v>361992</v>
      </c>
      <c r="K26" s="24">
        <f t="shared" si="6"/>
        <v>0</v>
      </c>
      <c r="L26" s="24">
        <v>29515</v>
      </c>
      <c r="M26" s="24">
        <f t="shared" si="5"/>
        <v>5.3000000000000007</v>
      </c>
      <c r="N26" s="24">
        <v>30320759</v>
      </c>
      <c r="O26" s="24">
        <f t="shared" si="7"/>
        <v>7059</v>
      </c>
      <c r="P26" s="24">
        <v>6303974</v>
      </c>
      <c r="Q26" s="31">
        <f t="shared" si="7"/>
        <v>107</v>
      </c>
      <c r="R26" s="38">
        <v>64</v>
      </c>
      <c r="S26" s="30">
        <v>71</v>
      </c>
      <c r="T26" s="24">
        <v>53</v>
      </c>
      <c r="U26" s="24">
        <f t="shared" si="0"/>
        <v>62</v>
      </c>
      <c r="V26" s="31">
        <f t="shared" si="1"/>
        <v>3</v>
      </c>
    </row>
    <row r="27" spans="1:22" ht="20.25" customHeight="1" x14ac:dyDescent="0.25">
      <c r="A27" s="36">
        <v>20</v>
      </c>
      <c r="B27" s="24">
        <v>21673</v>
      </c>
      <c r="C27" s="24">
        <f t="shared" si="2"/>
        <v>6900</v>
      </c>
      <c r="D27" s="24">
        <v>52385</v>
      </c>
      <c r="E27" s="24">
        <f t="shared" si="3"/>
        <v>49.208999999999996</v>
      </c>
      <c r="F27" s="24">
        <v>31247</v>
      </c>
      <c r="G27" s="24">
        <f t="shared" si="4"/>
        <v>1.1000000000000001</v>
      </c>
      <c r="H27" s="24">
        <v>11012590</v>
      </c>
      <c r="I27" s="24">
        <f t="shared" si="6"/>
        <v>2394</v>
      </c>
      <c r="J27" s="24">
        <v>361992</v>
      </c>
      <c r="K27" s="24">
        <f t="shared" si="6"/>
        <v>0</v>
      </c>
      <c r="L27" s="24">
        <v>29563</v>
      </c>
      <c r="M27" s="24">
        <f t="shared" si="5"/>
        <v>4.8000000000000007</v>
      </c>
      <c r="N27" s="24">
        <v>30327748</v>
      </c>
      <c r="O27" s="24">
        <f t="shared" ref="O27:Q37" si="8">+N27-N26</f>
        <v>6989</v>
      </c>
      <c r="P27" s="24">
        <v>6304752</v>
      </c>
      <c r="Q27" s="31">
        <f t="shared" si="8"/>
        <v>778</v>
      </c>
      <c r="R27" s="38">
        <v>62</v>
      </c>
      <c r="S27" s="30">
        <v>72</v>
      </c>
      <c r="T27" s="24">
        <v>53</v>
      </c>
      <c r="U27" s="24">
        <f t="shared" si="0"/>
        <v>62.5</v>
      </c>
      <c r="V27" s="31">
        <f t="shared" si="1"/>
        <v>2.5</v>
      </c>
    </row>
    <row r="28" spans="1:22" ht="20.25" customHeight="1" x14ac:dyDescent="0.25">
      <c r="A28" s="36">
        <v>21</v>
      </c>
      <c r="B28" s="24">
        <v>21697</v>
      </c>
      <c r="C28" s="24">
        <f t="shared" si="2"/>
        <v>7200</v>
      </c>
      <c r="D28" s="24">
        <v>52431</v>
      </c>
      <c r="E28" s="24">
        <f t="shared" si="3"/>
        <v>48.161999999999999</v>
      </c>
      <c r="F28" s="24">
        <v>31258</v>
      </c>
      <c r="G28" s="24">
        <f t="shared" si="4"/>
        <v>1.1000000000000001</v>
      </c>
      <c r="H28" s="24">
        <v>11014365</v>
      </c>
      <c r="I28" s="24">
        <f t="shared" si="6"/>
        <v>1775</v>
      </c>
      <c r="J28" s="24">
        <v>361992</v>
      </c>
      <c r="K28" s="24">
        <f t="shared" si="6"/>
        <v>0</v>
      </c>
      <c r="L28" s="24">
        <v>29599</v>
      </c>
      <c r="M28" s="24">
        <f t="shared" si="5"/>
        <v>3.6</v>
      </c>
      <c r="N28" s="24">
        <v>30336108</v>
      </c>
      <c r="O28" s="24">
        <f t="shared" si="8"/>
        <v>8360</v>
      </c>
      <c r="P28" s="24">
        <v>6306088</v>
      </c>
      <c r="Q28" s="31">
        <f t="shared" si="8"/>
        <v>1336</v>
      </c>
      <c r="R28" s="38">
        <v>90</v>
      </c>
      <c r="S28" s="30">
        <v>87</v>
      </c>
      <c r="T28" s="24">
        <v>55</v>
      </c>
      <c r="U28" s="24">
        <f t="shared" si="0"/>
        <v>71</v>
      </c>
      <c r="V28" s="31">
        <f t="shared" si="1"/>
        <v>-6</v>
      </c>
    </row>
    <row r="29" spans="1:22" ht="20.25" customHeight="1" x14ac:dyDescent="0.25">
      <c r="A29" s="36">
        <v>22</v>
      </c>
      <c r="B29" s="24">
        <v>21714</v>
      </c>
      <c r="C29" s="24">
        <f t="shared" si="2"/>
        <v>5100</v>
      </c>
      <c r="D29" s="24">
        <v>52456</v>
      </c>
      <c r="E29" s="24">
        <f t="shared" si="3"/>
        <v>26.174999999999997</v>
      </c>
      <c r="F29" s="24">
        <v>31265</v>
      </c>
      <c r="G29" s="24">
        <f t="shared" si="4"/>
        <v>0.70000000000000007</v>
      </c>
      <c r="H29" s="24">
        <v>11015185</v>
      </c>
      <c r="I29" s="24">
        <f t="shared" si="6"/>
        <v>820</v>
      </c>
      <c r="J29" s="24">
        <v>361992</v>
      </c>
      <c r="K29" s="24">
        <f t="shared" si="6"/>
        <v>0</v>
      </c>
      <c r="L29" s="24">
        <v>29619</v>
      </c>
      <c r="M29" s="24">
        <f t="shared" si="5"/>
        <v>2</v>
      </c>
      <c r="N29" s="24">
        <v>30341290</v>
      </c>
      <c r="O29" s="24">
        <f t="shared" si="8"/>
        <v>5182</v>
      </c>
      <c r="P29" s="24">
        <v>6306088</v>
      </c>
      <c r="Q29" s="31">
        <f t="shared" si="8"/>
        <v>0</v>
      </c>
      <c r="R29" s="38">
        <v>89</v>
      </c>
      <c r="S29" s="30">
        <v>75</v>
      </c>
      <c r="T29" s="24">
        <v>55</v>
      </c>
      <c r="U29" s="24">
        <f t="shared" si="0"/>
        <v>65</v>
      </c>
      <c r="V29" s="31">
        <f t="shared" si="1"/>
        <v>0</v>
      </c>
    </row>
    <row r="30" spans="1:22" ht="20.25" customHeight="1" x14ac:dyDescent="0.25">
      <c r="A30" s="36">
        <v>23</v>
      </c>
      <c r="B30" s="24">
        <v>21740</v>
      </c>
      <c r="C30" s="24">
        <f t="shared" si="2"/>
        <v>7800</v>
      </c>
      <c r="D30" s="24">
        <v>52500</v>
      </c>
      <c r="E30" s="24">
        <f t="shared" si="3"/>
        <v>46.067999999999998</v>
      </c>
      <c r="F30" s="24">
        <v>31273</v>
      </c>
      <c r="G30" s="24">
        <f t="shared" si="4"/>
        <v>0.8</v>
      </c>
      <c r="H30" s="24">
        <v>11016980</v>
      </c>
      <c r="I30" s="24">
        <f t="shared" si="6"/>
        <v>1795</v>
      </c>
      <c r="J30" s="24">
        <v>361992</v>
      </c>
      <c r="K30" s="24">
        <f t="shared" si="6"/>
        <v>0</v>
      </c>
      <c r="L30" s="24">
        <v>29645</v>
      </c>
      <c r="M30" s="24">
        <f t="shared" si="5"/>
        <v>2.6</v>
      </c>
      <c r="N30" s="24">
        <v>30349790</v>
      </c>
      <c r="O30" s="24">
        <f t="shared" si="8"/>
        <v>8500</v>
      </c>
      <c r="P30" s="24">
        <v>6309275</v>
      </c>
      <c r="Q30" s="31">
        <f t="shared" si="8"/>
        <v>3187</v>
      </c>
      <c r="R30" s="38">
        <v>88</v>
      </c>
      <c r="S30" s="30">
        <v>70</v>
      </c>
      <c r="T30" s="24">
        <v>52</v>
      </c>
      <c r="U30" s="24">
        <f t="shared" si="0"/>
        <v>61</v>
      </c>
      <c r="V30" s="31">
        <f t="shared" si="1"/>
        <v>4</v>
      </c>
    </row>
    <row r="31" spans="1:22" ht="20.25" customHeight="1" x14ac:dyDescent="0.25">
      <c r="A31" s="36">
        <v>24</v>
      </c>
      <c r="B31" s="24">
        <v>21762</v>
      </c>
      <c r="C31" s="24">
        <f t="shared" si="2"/>
        <v>6600</v>
      </c>
      <c r="D31" s="24">
        <v>52545</v>
      </c>
      <c r="E31" s="24">
        <f t="shared" si="3"/>
        <v>47.114999999999995</v>
      </c>
      <c r="F31" s="24">
        <v>31282</v>
      </c>
      <c r="G31" s="24">
        <f t="shared" si="4"/>
        <v>0.9</v>
      </c>
      <c r="H31" s="24">
        <v>11018909</v>
      </c>
      <c r="I31" s="24">
        <f>+H31-H30</f>
        <v>1929</v>
      </c>
      <c r="J31" s="24">
        <v>361992</v>
      </c>
      <c r="K31" s="24">
        <f t="shared" si="6"/>
        <v>0</v>
      </c>
      <c r="L31" s="24">
        <v>29677</v>
      </c>
      <c r="M31" s="24">
        <f t="shared" si="5"/>
        <v>3.2</v>
      </c>
      <c r="N31" s="24">
        <v>30359030</v>
      </c>
      <c r="O31" s="24">
        <f t="shared" si="8"/>
        <v>9240</v>
      </c>
      <c r="P31" s="24">
        <v>6310109</v>
      </c>
      <c r="Q31" s="31">
        <f t="shared" si="8"/>
        <v>834</v>
      </c>
      <c r="R31" s="38">
        <v>76</v>
      </c>
      <c r="S31" s="30">
        <v>73</v>
      </c>
      <c r="T31" s="24">
        <v>54</v>
      </c>
      <c r="U31" s="24">
        <f t="shared" si="0"/>
        <v>63.5</v>
      </c>
      <c r="V31" s="31">
        <f t="shared" si="1"/>
        <v>1.5</v>
      </c>
    </row>
    <row r="32" spans="1:22" ht="20.25" customHeight="1" x14ac:dyDescent="0.25">
      <c r="A32" s="36">
        <v>25</v>
      </c>
      <c r="B32" s="24">
        <v>21782</v>
      </c>
      <c r="C32" s="24">
        <f t="shared" si="2"/>
        <v>6000</v>
      </c>
      <c r="D32" s="24">
        <v>52885</v>
      </c>
      <c r="E32" s="24">
        <f t="shared" si="3"/>
        <v>355.97999999999996</v>
      </c>
      <c r="F32" s="24">
        <v>31290</v>
      </c>
      <c r="G32" s="24">
        <f t="shared" si="4"/>
        <v>0.8</v>
      </c>
      <c r="H32" s="24">
        <v>11020670</v>
      </c>
      <c r="I32" s="24">
        <f t="shared" si="6"/>
        <v>1761</v>
      </c>
      <c r="J32" s="24">
        <v>361992</v>
      </c>
      <c r="K32" s="24">
        <f t="shared" si="6"/>
        <v>0</v>
      </c>
      <c r="L32" s="24">
        <v>29699</v>
      </c>
      <c r="M32" s="24">
        <f t="shared" si="5"/>
        <v>2.2000000000000002</v>
      </c>
      <c r="N32" s="24">
        <v>30363000</v>
      </c>
      <c r="O32" s="24">
        <f t="shared" si="8"/>
        <v>3970</v>
      </c>
      <c r="P32" s="24">
        <v>6310447</v>
      </c>
      <c r="Q32" s="31">
        <f t="shared" si="8"/>
        <v>338</v>
      </c>
      <c r="R32" s="38">
        <v>76</v>
      </c>
      <c r="S32" s="30">
        <v>73</v>
      </c>
      <c r="T32" s="24">
        <v>55</v>
      </c>
      <c r="U32" s="24">
        <f t="shared" si="0"/>
        <v>64</v>
      </c>
      <c r="V32" s="31">
        <f t="shared" si="1"/>
        <v>1</v>
      </c>
    </row>
    <row r="33" spans="1:22" ht="20.25" customHeight="1" x14ac:dyDescent="0.25">
      <c r="A33" s="36">
        <v>26</v>
      </c>
      <c r="B33" s="24">
        <v>21805</v>
      </c>
      <c r="C33" s="24">
        <f t="shared" si="2"/>
        <v>6900</v>
      </c>
      <c r="D33" s="24">
        <v>52638</v>
      </c>
      <c r="E33" s="24">
        <f t="shared" si="3"/>
        <v>-258.60899999999998</v>
      </c>
      <c r="F33" s="24">
        <v>31301</v>
      </c>
      <c r="G33" s="24">
        <f t="shared" si="4"/>
        <v>1.1000000000000001</v>
      </c>
      <c r="H33" s="24">
        <v>11022766</v>
      </c>
      <c r="I33" s="24">
        <f t="shared" si="6"/>
        <v>2096</v>
      </c>
      <c r="J33" s="24">
        <v>361992</v>
      </c>
      <c r="K33" s="24">
        <f t="shared" si="6"/>
        <v>0</v>
      </c>
      <c r="L33" s="24">
        <v>29761</v>
      </c>
      <c r="M33" s="24">
        <f t="shared" si="5"/>
        <v>6.2</v>
      </c>
      <c r="N33" s="24">
        <v>30369404</v>
      </c>
      <c r="O33" s="24">
        <f t="shared" si="8"/>
        <v>6404</v>
      </c>
      <c r="P33" s="24">
        <v>6310753</v>
      </c>
      <c r="Q33" s="31">
        <f t="shared" si="8"/>
        <v>306</v>
      </c>
      <c r="R33" s="38">
        <v>53</v>
      </c>
      <c r="S33" s="30">
        <v>68</v>
      </c>
      <c r="T33" s="24">
        <v>53</v>
      </c>
      <c r="U33" s="24">
        <f t="shared" si="0"/>
        <v>60.5</v>
      </c>
      <c r="V33" s="31">
        <f t="shared" si="1"/>
        <v>4.5</v>
      </c>
    </row>
    <row r="34" spans="1:22" ht="20.25" customHeight="1" x14ac:dyDescent="0.25">
      <c r="A34" s="36">
        <v>27</v>
      </c>
      <c r="B34" s="24">
        <v>21826</v>
      </c>
      <c r="C34" s="24">
        <f t="shared" si="2"/>
        <v>6300</v>
      </c>
      <c r="D34" s="24">
        <v>52683</v>
      </c>
      <c r="E34" s="24">
        <f t="shared" si="3"/>
        <v>47.114999999999995</v>
      </c>
      <c r="F34" s="24">
        <v>31311</v>
      </c>
      <c r="G34" s="24">
        <f t="shared" si="4"/>
        <v>1</v>
      </c>
      <c r="H34" s="24">
        <v>11024804</v>
      </c>
      <c r="I34" s="24">
        <f t="shared" si="6"/>
        <v>2038</v>
      </c>
      <c r="J34" s="24">
        <v>361992</v>
      </c>
      <c r="K34" s="24">
        <f t="shared" si="6"/>
        <v>0</v>
      </c>
      <c r="L34" s="24">
        <v>29814</v>
      </c>
      <c r="M34" s="24">
        <f t="shared" si="5"/>
        <v>5.3000000000000007</v>
      </c>
      <c r="N34" s="24">
        <v>30374814</v>
      </c>
      <c r="O34" s="24">
        <f t="shared" si="8"/>
        <v>5410</v>
      </c>
      <c r="P34" s="24">
        <v>6310825</v>
      </c>
      <c r="Q34" s="31">
        <f t="shared" si="8"/>
        <v>72</v>
      </c>
      <c r="R34" s="38">
        <v>52</v>
      </c>
      <c r="S34" s="30">
        <v>68</v>
      </c>
      <c r="T34" s="24">
        <v>52</v>
      </c>
      <c r="U34" s="24">
        <f t="shared" si="0"/>
        <v>60</v>
      </c>
      <c r="V34" s="31">
        <f t="shared" si="1"/>
        <v>5</v>
      </c>
    </row>
    <row r="35" spans="1:22" ht="20.25" customHeight="1" x14ac:dyDescent="0.25">
      <c r="A35" s="36">
        <v>28</v>
      </c>
      <c r="B35" s="24">
        <v>21847</v>
      </c>
      <c r="C35" s="24">
        <f t="shared" si="2"/>
        <v>6300</v>
      </c>
      <c r="D35" s="24">
        <v>52732</v>
      </c>
      <c r="E35" s="24">
        <f t="shared" si="3"/>
        <v>51.302999999999997</v>
      </c>
      <c r="F35" s="24">
        <v>31319</v>
      </c>
      <c r="G35" s="24">
        <f t="shared" si="4"/>
        <v>0.8</v>
      </c>
      <c r="H35" s="24">
        <v>11027192</v>
      </c>
      <c r="I35" s="24">
        <f t="shared" si="6"/>
        <v>2388</v>
      </c>
      <c r="J35" s="24">
        <v>361992</v>
      </c>
      <c r="K35" s="24">
        <f t="shared" si="6"/>
        <v>0</v>
      </c>
      <c r="L35" s="24">
        <v>29852</v>
      </c>
      <c r="M35" s="24">
        <f t="shared" si="5"/>
        <v>3.8000000000000003</v>
      </c>
      <c r="N35" s="24">
        <v>30380396</v>
      </c>
      <c r="O35" s="24">
        <f t="shared" si="8"/>
        <v>5582</v>
      </c>
      <c r="P35" s="24">
        <v>6310945</v>
      </c>
      <c r="Q35" s="31">
        <f t="shared" si="8"/>
        <v>120</v>
      </c>
      <c r="R35" s="38">
        <v>72</v>
      </c>
      <c r="S35" s="30">
        <v>69</v>
      </c>
      <c r="T35" s="24">
        <v>52</v>
      </c>
      <c r="U35" s="24">
        <f t="shared" si="0"/>
        <v>60.5</v>
      </c>
      <c r="V35" s="31">
        <f t="shared" si="1"/>
        <v>4.5</v>
      </c>
    </row>
    <row r="36" spans="1:22" ht="20.25" customHeight="1" x14ac:dyDescent="0.25">
      <c r="A36" s="36">
        <v>29</v>
      </c>
      <c r="B36" s="24">
        <v>21865</v>
      </c>
      <c r="C36" s="24">
        <f t="shared" si="2"/>
        <v>5400</v>
      </c>
      <c r="D36" s="24">
        <v>52773</v>
      </c>
      <c r="E36" s="24">
        <f t="shared" si="3"/>
        <v>42.927</v>
      </c>
      <c r="F36" s="24">
        <v>31326</v>
      </c>
      <c r="G36" s="24">
        <f t="shared" si="4"/>
        <v>0.70000000000000007</v>
      </c>
      <c r="H36" s="24">
        <v>11028724</v>
      </c>
      <c r="I36" s="24">
        <f t="shared" si="6"/>
        <v>1532</v>
      </c>
      <c r="J36" s="24">
        <v>361992</v>
      </c>
      <c r="K36" s="24">
        <f t="shared" si="6"/>
        <v>0</v>
      </c>
      <c r="L36" s="24">
        <v>29899</v>
      </c>
      <c r="M36" s="24">
        <f t="shared" si="5"/>
        <v>4.7</v>
      </c>
      <c r="N36" s="24">
        <v>30387394</v>
      </c>
      <c r="O36" s="24">
        <f t="shared" si="8"/>
        <v>6998</v>
      </c>
      <c r="P36" s="24">
        <v>6311008</v>
      </c>
      <c r="Q36" s="31">
        <f t="shared" si="8"/>
        <v>63</v>
      </c>
      <c r="R36" s="38">
        <v>104</v>
      </c>
      <c r="S36" s="30">
        <v>63</v>
      </c>
      <c r="T36" s="24">
        <v>53</v>
      </c>
      <c r="U36" s="24">
        <f t="shared" si="0"/>
        <v>58</v>
      </c>
      <c r="V36" s="31">
        <f t="shared" si="1"/>
        <v>7</v>
      </c>
    </row>
    <row r="37" spans="1:22" ht="20.25" customHeight="1" thickBot="1" x14ac:dyDescent="0.3">
      <c r="A37" s="37">
        <v>30</v>
      </c>
      <c r="B37" s="33">
        <v>21884</v>
      </c>
      <c r="C37" s="33">
        <f t="shared" si="2"/>
        <v>5700</v>
      </c>
      <c r="D37" s="33">
        <v>52820</v>
      </c>
      <c r="E37" s="33">
        <f t="shared" si="3"/>
        <v>49.208999999999996</v>
      </c>
      <c r="F37" s="33">
        <v>31335</v>
      </c>
      <c r="G37" s="33">
        <f t="shared" si="4"/>
        <v>0.9</v>
      </c>
      <c r="H37" s="33">
        <v>11030774</v>
      </c>
      <c r="I37" s="33">
        <f t="shared" si="6"/>
        <v>2050</v>
      </c>
      <c r="J37" s="33">
        <v>361992</v>
      </c>
      <c r="K37" s="33">
        <f t="shared" si="6"/>
        <v>0</v>
      </c>
      <c r="L37" s="33">
        <v>29950</v>
      </c>
      <c r="M37" s="33">
        <f t="shared" si="5"/>
        <v>5.1000000000000005</v>
      </c>
      <c r="N37" s="33">
        <v>30393576</v>
      </c>
      <c r="O37" s="33">
        <f t="shared" si="8"/>
        <v>6182</v>
      </c>
      <c r="P37" s="33">
        <v>6311021</v>
      </c>
      <c r="Q37" s="34">
        <f t="shared" si="8"/>
        <v>13</v>
      </c>
      <c r="R37" s="39">
        <v>64</v>
      </c>
      <c r="S37" s="32">
        <v>62</v>
      </c>
      <c r="T37" s="33">
        <v>53</v>
      </c>
      <c r="U37" s="33">
        <f t="shared" si="0"/>
        <v>57.5</v>
      </c>
      <c r="V37" s="34">
        <f t="shared" si="1"/>
        <v>7.5</v>
      </c>
    </row>
    <row r="38" spans="1:22" x14ac:dyDescent="0.25">
      <c r="S38" s="35"/>
      <c r="T38" s="35"/>
      <c r="U38" s="35"/>
      <c r="V38" s="35"/>
    </row>
    <row r="39" spans="1:22" x14ac:dyDescent="0.25">
      <c r="A39" s="25" t="s">
        <v>15</v>
      </c>
      <c r="C39" s="26">
        <f>SUM(C8:C38)</f>
        <v>183600</v>
      </c>
      <c r="E39" s="26">
        <f>SUM(E8:E38)</f>
        <v>1342.2539999999999</v>
      </c>
      <c r="G39" s="26">
        <f>SUM(G8:G38)</f>
        <v>27.000000000000004</v>
      </c>
      <c r="I39" s="26">
        <f>SUM(I8:I38)</f>
        <v>52664</v>
      </c>
      <c r="K39" s="26">
        <f>SUM(K8:K38)</f>
        <v>0</v>
      </c>
      <c r="M39" s="26">
        <f>SUM(M8:M38)</f>
        <v>128.5</v>
      </c>
      <c r="O39" s="26">
        <f>SUM(O8:O38)</f>
        <v>192957</v>
      </c>
      <c r="Q39" s="26">
        <f>SUM(Q8:Q38)</f>
        <v>15334</v>
      </c>
      <c r="R39" s="16">
        <f>SUM(R8:R38)</f>
        <v>2387</v>
      </c>
    </row>
    <row r="40" spans="1:22" x14ac:dyDescent="0.25">
      <c r="V40" s="16">
        <f>SUM(V8:V38)</f>
        <v>101</v>
      </c>
    </row>
  </sheetData>
  <mergeCells count="3">
    <mergeCell ref="A1:B1"/>
    <mergeCell ref="A2:J3"/>
    <mergeCell ref="A4:L4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2022-07-25T15:07:27Z</dcterms:modified>
  <cp:category/>
  <cp:contentStatus/>
</cp:coreProperties>
</file>