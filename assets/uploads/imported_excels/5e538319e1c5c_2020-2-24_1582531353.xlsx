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1.11.6\Share_ENG\Readings\Readings 2020\"/>
    </mc:Choice>
  </mc:AlternateContent>
  <bookViews>
    <workbookView xWindow="0" yWindow="0" windowWidth="19200" windowHeight="11595" activeTab="4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2" i="11" l="1"/>
  <c r="E41" i="11"/>
  <c r="K16" i="11"/>
  <c r="G28" i="2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1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O8" i="1"/>
  <c r="G7" i="9" s="1"/>
  <c r="O9" i="1"/>
  <c r="G8" i="9" s="1"/>
  <c r="O10" i="1"/>
  <c r="G9" i="9" s="1"/>
  <c r="O11" i="1"/>
  <c r="G10" i="9" s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O34" i="1"/>
  <c r="G33" i="9" s="1"/>
  <c r="O35" i="1"/>
  <c r="G34" i="9" s="1"/>
  <c r="M6" i="1"/>
  <c r="E5" i="9" s="1"/>
  <c r="M7" i="1"/>
  <c r="M8" i="1"/>
  <c r="E7" i="9" s="1"/>
  <c r="M9" i="1"/>
  <c r="M10" i="1"/>
  <c r="M11" i="1"/>
  <c r="E10" i="9" s="1"/>
  <c r="M12" i="1"/>
  <c r="E11" i="9" s="1"/>
  <c r="M13" i="1"/>
  <c r="M14" i="1"/>
  <c r="M15" i="1"/>
  <c r="E14" i="9" s="1"/>
  <c r="M16" i="1"/>
  <c r="E15" i="9" s="1"/>
  <c r="M17" i="1"/>
  <c r="M18" i="1"/>
  <c r="E17" i="9" s="1"/>
  <c r="M19" i="1"/>
  <c r="E18" i="9" s="1"/>
  <c r="M20" i="1"/>
  <c r="E19" i="9" s="1"/>
  <c r="M21" i="1"/>
  <c r="M22" i="1"/>
  <c r="M23" i="1"/>
  <c r="E22" i="9" s="1"/>
  <c r="M24" i="1"/>
  <c r="E23" i="9" s="1"/>
  <c r="M25" i="1"/>
  <c r="M26" i="1"/>
  <c r="M27" i="1"/>
  <c r="E26" i="9" s="1"/>
  <c r="M28" i="1"/>
  <c r="E27" i="9" s="1"/>
  <c r="M29" i="1"/>
  <c r="E28" i="9" s="1"/>
  <c r="M30" i="1"/>
  <c r="M31" i="1"/>
  <c r="E30" i="9" s="1"/>
  <c r="M32" i="1"/>
  <c r="M34" i="1"/>
  <c r="E33" i="9" s="1"/>
  <c r="M35" i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K36" i="6"/>
  <c r="G31" i="13" s="1"/>
  <c r="G6" i="6"/>
  <c r="C6" i="6"/>
  <c r="G6" i="2"/>
  <c r="E6" i="2"/>
  <c r="C6" i="2"/>
  <c r="H6" i="11"/>
  <c r="D34" i="11"/>
  <c r="J46" i="1"/>
  <c r="A51" i="6" s="1"/>
  <c r="J42" i="6" s="1"/>
  <c r="AJ37" i="9" s="1"/>
  <c r="H11" i="6"/>
  <c r="H24" i="6"/>
  <c r="H27" i="6"/>
  <c r="H30" i="6"/>
  <c r="H31" i="6"/>
  <c r="H36" i="6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H11" i="2" s="1"/>
  <c r="W11" i="2" s="1"/>
  <c r="BN9" i="9" s="1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AT10" i="9"/>
  <c r="AU29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C18" i="9"/>
  <c r="C30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G22" i="4" s="1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E16" i="9"/>
  <c r="C24" i="9"/>
  <c r="C11" i="9"/>
  <c r="C15" i="9"/>
  <c r="J29" i="6"/>
  <c r="AJ27" i="9" s="1"/>
  <c r="AJ2" i="12"/>
  <c r="K27" i="9"/>
  <c r="AE25" i="12"/>
  <c r="AE26" i="12"/>
  <c r="AE27" i="12"/>
  <c r="G37" i="4"/>
  <c r="Q479" i="10"/>
  <c r="Q921" i="10"/>
  <c r="Q833" i="10"/>
  <c r="Q1370" i="10"/>
  <c r="Q1875" i="10"/>
  <c r="Q2334" i="10"/>
  <c r="Q2279" i="10"/>
  <c r="Q1635" i="10"/>
  <c r="H22" i="4"/>
  <c r="Q991" i="10"/>
  <c r="Q1577" i="10"/>
  <c r="Q704" i="10"/>
  <c r="P34" i="10"/>
  <c r="Q515" i="10"/>
  <c r="Q506" i="10"/>
  <c r="Q1479" i="10"/>
  <c r="Q1807" i="10"/>
  <c r="Q1006" i="10"/>
  <c r="Q2263" i="10"/>
  <c r="Q1212" i="10"/>
  <c r="Q332" i="10"/>
  <c r="Q1660" i="10"/>
  <c r="Q810" i="10"/>
  <c r="Q1391" i="10"/>
  <c r="Q2110" i="10"/>
  <c r="Q212" i="10"/>
  <c r="Q997" i="10"/>
  <c r="Q50" i="10"/>
  <c r="Q74" i="10"/>
  <c r="Q1931" i="10"/>
  <c r="Q736" i="10"/>
  <c r="Q543" i="10"/>
  <c r="Q20" i="10"/>
  <c r="Q226" i="10"/>
  <c r="Q2332" i="10"/>
  <c r="Q2161" i="10"/>
  <c r="Q2299" i="10"/>
  <c r="Q1506" i="10"/>
  <c r="Q111" i="10"/>
  <c r="Q1018" i="10"/>
  <c r="Q1270" i="10"/>
  <c r="Q1892" i="10"/>
  <c r="Q96" i="10"/>
  <c r="Q428" i="10"/>
  <c r="Q1042" i="10"/>
  <c r="Q642" i="10"/>
  <c r="Q286" i="10"/>
  <c r="Q443" i="10"/>
  <c r="Q187" i="10"/>
  <c r="Q1129" i="10"/>
  <c r="Q1217" i="10"/>
  <c r="Q1668" i="10"/>
  <c r="Q867" i="10"/>
  <c r="Q491" i="10"/>
  <c r="Q2079" i="10"/>
  <c r="Q1443" i="10"/>
  <c r="Q1206" i="10"/>
  <c r="Q950" i="10"/>
  <c r="Q596" i="10"/>
  <c r="Q856" i="10"/>
  <c r="Q1777" i="10"/>
  <c r="Q2151" i="10"/>
  <c r="Q2068" i="10"/>
  <c r="Q1420" i="10"/>
  <c r="Q1067" i="10"/>
  <c r="Q683" i="10"/>
  <c r="Q1913" i="10"/>
  <c r="Q2115" i="10"/>
  <c r="Q896" i="10"/>
  <c r="Q1977" i="10"/>
  <c r="P32" i="10"/>
  <c r="Q821" i="10"/>
  <c r="Q2188" i="10"/>
  <c r="Q1269" i="10"/>
  <c r="Q2060" i="10"/>
  <c r="Q1676" i="10"/>
  <c r="Q2150" i="10"/>
  <c r="Q937" i="10"/>
  <c r="Q531" i="10"/>
  <c r="Q2342" i="10"/>
  <c r="V40" i="2" s="1"/>
  <c r="V42" i="2" s="1"/>
  <c r="V41" i="2" s="1"/>
  <c r="Q1802" i="10"/>
  <c r="Q1989" i="10"/>
  <c r="Q2105" i="10"/>
  <c r="Q1712" i="10"/>
  <c r="Q2224" i="10"/>
  <c r="Q2081" i="10"/>
  <c r="Q389" i="10"/>
  <c r="Q848" i="10"/>
  <c r="Q1686" i="10"/>
  <c r="Q1196" i="10"/>
  <c r="Q768" i="10"/>
  <c r="Q249" i="10"/>
  <c r="Q1350" i="10"/>
  <c r="Q1915" i="10"/>
  <c r="Q482" i="10"/>
  <c r="Q316" i="10"/>
  <c r="Q2276" i="10"/>
  <c r="Q1725" i="10"/>
  <c r="Q2223" i="10"/>
  <c r="Q1794" i="10"/>
  <c r="Q791" i="10"/>
  <c r="Q335" i="10"/>
  <c r="Q954" i="10"/>
  <c r="Q284" i="10"/>
  <c r="Q18" i="10"/>
  <c r="Q1408" i="10"/>
  <c r="Q160" i="10"/>
  <c r="Q1911" i="10"/>
  <c r="Q1186" i="10"/>
  <c r="Q802" i="10"/>
  <c r="Q650" i="10"/>
  <c r="Q430" i="10"/>
  <c r="Q46" i="10"/>
  <c r="Q387" i="10"/>
  <c r="Q195" i="10"/>
  <c r="Q264" i="10"/>
  <c r="Q417" i="10"/>
  <c r="Q897" i="10"/>
  <c r="Q1732" i="10"/>
  <c r="Q1336" i="10"/>
  <c r="Q643" i="10"/>
  <c r="Q16" i="10"/>
  <c r="Q2095" i="10"/>
  <c r="Q1711" i="10"/>
  <c r="Q1161" i="10"/>
  <c r="Q1214" i="10"/>
  <c r="Q1086" i="10"/>
  <c r="Q958" i="10"/>
  <c r="Q830" i="10"/>
  <c r="Q194" i="10"/>
  <c r="Q511" i="10"/>
  <c r="Q1232" i="10"/>
  <c r="Q1199" i="10"/>
  <c r="Q2321" i="10"/>
  <c r="Q1473" i="10"/>
  <c r="Q957" i="10"/>
  <c r="Q1844" i="10"/>
  <c r="Q1492" i="10"/>
  <c r="Q1364" i="10"/>
  <c r="Q1211" i="10"/>
  <c r="Q955" i="10"/>
  <c r="Q699" i="10"/>
  <c r="Q66" i="10"/>
  <c r="Q2027" i="10"/>
  <c r="Q37" i="10"/>
  <c r="Q840" i="10"/>
  <c r="Q1184" i="10"/>
  <c r="Q466" i="10"/>
  <c r="Q1422" i="10"/>
  <c r="Q1745" i="10"/>
  <c r="P16" i="10"/>
  <c r="Q757" i="10"/>
  <c r="Q1521" i="10"/>
  <c r="Q2119" i="10"/>
  <c r="Q1149" i="10"/>
  <c r="Q2076" i="10"/>
  <c r="Q1820" i="10"/>
  <c r="Q1564" i="10"/>
  <c r="Q351" i="10"/>
  <c r="Q2267" i="10"/>
  <c r="Q444" i="10"/>
  <c r="Q1247" i="10"/>
  <c r="P5" i="10"/>
  <c r="Q872" i="10"/>
  <c r="Q292" i="10"/>
  <c r="Q2168" i="10"/>
  <c r="Q691" i="10"/>
  <c r="Q246" i="10"/>
  <c r="Q1255" i="10"/>
  <c r="Q1405" i="10"/>
  <c r="Q1957" i="10"/>
  <c r="P2344" i="10"/>
  <c r="Q1616" i="10"/>
  <c r="Q1705" i="10"/>
  <c r="Q255" i="10"/>
  <c r="Q1687" i="10"/>
  <c r="Q100" i="10"/>
  <c r="Q1318" i="10"/>
  <c r="Q1228" i="10"/>
  <c r="Q904" i="10"/>
  <c r="Q116" i="10"/>
  <c r="Q2194" i="10"/>
  <c r="Q819" i="10"/>
  <c r="Q150" i="10"/>
  <c r="Q1306" i="10"/>
  <c r="Q1165" i="10"/>
  <c r="Q2005" i="10"/>
  <c r="Q609" i="10"/>
  <c r="Q1367" i="10"/>
  <c r="Q1939" i="10"/>
  <c r="Q2319" i="10"/>
  <c r="Q1066" i="10"/>
  <c r="Q103" i="10"/>
  <c r="Q1738" i="10"/>
  <c r="Q825" i="10"/>
  <c r="Q2262" i="10"/>
  <c r="Q132" i="10"/>
  <c r="Q1664" i="10"/>
  <c r="Q989" i="10"/>
  <c r="Q1253" i="10"/>
  <c r="Q2163" i="10"/>
  <c r="Q261" i="10"/>
  <c r="Q1483" i="10"/>
  <c r="Q330" i="10"/>
  <c r="Q1558" i="10"/>
  <c r="Q1260" i="10"/>
  <c r="Q975" i="10"/>
  <c r="Q544" i="10"/>
  <c r="Q281" i="10"/>
  <c r="Q1286" i="10"/>
  <c r="Q1293" i="10"/>
  <c r="Q1225" i="10"/>
  <c r="Q612" i="10"/>
  <c r="Q60" i="10"/>
  <c r="P19" i="10"/>
  <c r="Q2193" i="10"/>
  <c r="Q1757" i="10"/>
  <c r="Q2073" i="10"/>
  <c r="Q2082" i="10"/>
  <c r="Q1570" i="10"/>
  <c r="Q855" i="10"/>
  <c r="Q303" i="10"/>
  <c r="Q566" i="10"/>
  <c r="Q1459" i="10"/>
  <c r="Q2212" i="10"/>
  <c r="Q764" i="10"/>
  <c r="Q2148" i="10"/>
  <c r="Q1107" i="10"/>
  <c r="Q224" i="10"/>
  <c r="Q1943" i="10"/>
  <c r="Q969" i="10"/>
  <c r="Q1074" i="10"/>
  <c r="Q818" i="10"/>
  <c r="Q658" i="10"/>
  <c r="Q530" i="10"/>
  <c r="Q318" i="10"/>
  <c r="Q62" i="10"/>
  <c r="Q395" i="10"/>
  <c r="Q267" i="10"/>
  <c r="Q139" i="10"/>
  <c r="Q200" i="10"/>
  <c r="Q161" i="10"/>
  <c r="Q1614" i="10"/>
  <c r="Q1569" i="10"/>
  <c r="Q1796" i="10"/>
  <c r="Q1352" i="10"/>
  <c r="Q931" i="10"/>
  <c r="Q523" i="10"/>
  <c r="Q48" i="10"/>
  <c r="Q2111" i="10"/>
  <c r="Q1855" i="10"/>
  <c r="Q1507" i="10"/>
  <c r="Q44" i="10"/>
  <c r="Q1158" i="10"/>
  <c r="Q1030" i="10"/>
  <c r="Q902" i="10"/>
  <c r="Q774" i="10"/>
  <c r="Q1835" i="10"/>
  <c r="Q1023" i="10"/>
  <c r="Q616" i="10"/>
  <c r="Q553" i="10"/>
  <c r="Q700" i="10"/>
  <c r="Q687" i="10"/>
  <c r="Q1351" i="10"/>
  <c r="Q2289" i="10"/>
  <c r="Q533" i="10"/>
  <c r="Q1409" i="10"/>
  <c r="Q1655" i="10"/>
  <c r="Q701" i="10"/>
  <c r="Q2132" i="10"/>
  <c r="Q1876" i="10"/>
  <c r="Q1620" i="10"/>
  <c r="Q1500" i="10"/>
  <c r="Q1436" i="10"/>
  <c r="Q1372" i="10"/>
  <c r="Q1308" i="10"/>
  <c r="Q1227" i="10"/>
  <c r="Q1099" i="10"/>
  <c r="Q971" i="10"/>
  <c r="Q843" i="10"/>
  <c r="Q715" i="10"/>
  <c r="Q2078" i="10"/>
  <c r="Q397" i="10"/>
  <c r="Q1020" i="10"/>
  <c r="Q1899" i="10"/>
  <c r="Q1846" i="10"/>
  <c r="Q280" i="10"/>
  <c r="Q42" i="10"/>
  <c r="Q776" i="10"/>
  <c r="Q1731" i="10"/>
  <c r="Q1216" i="10"/>
  <c r="Q422" i="10"/>
  <c r="Q2214" i="10"/>
  <c r="P47" i="10"/>
  <c r="Q1563" i="10"/>
  <c r="Q624" i="10"/>
  <c r="Q568" i="10"/>
  <c r="Q1249" i="10"/>
  <c r="Q1591" i="10"/>
  <c r="Q1624" i="10"/>
  <c r="Q1360" i="10"/>
  <c r="Q1194" i="10"/>
  <c r="Q438" i="10"/>
  <c r="Q167" i="10"/>
  <c r="Q1063" i="10"/>
  <c r="Q1674" i="10"/>
  <c r="Q2198" i="10"/>
  <c r="Q140" i="10"/>
  <c r="Q1861" i="10"/>
  <c r="Q2245" i="10"/>
  <c r="P45" i="10"/>
  <c r="P2359" i="10"/>
  <c r="Q189" i="10"/>
  <c r="Q1632" i="10"/>
  <c r="Q1968" i="10"/>
  <c r="Q1317" i="10"/>
  <c r="Q1463" i="10"/>
  <c r="Q1321" i="10"/>
  <c r="Q228" i="10"/>
  <c r="Q2227" i="10"/>
  <c r="Q1721" i="10"/>
  <c r="Q133" i="10"/>
  <c r="Q888" i="10"/>
  <c r="Q1355" i="10"/>
  <c r="Q2035" i="10"/>
  <c r="Q458" i="10"/>
  <c r="Q209" i="10"/>
  <c r="Q1430" i="10"/>
  <c r="Q2369" i="10"/>
  <c r="Q2370" i="10"/>
  <c r="Q756" i="10"/>
  <c r="Q440" i="10"/>
  <c r="Q832" i="10"/>
  <c r="Q576" i="10"/>
  <c r="Q154" i="10"/>
  <c r="Q313" i="10"/>
  <c r="Q21" i="10"/>
  <c r="Q1183" i="10"/>
  <c r="Q1734" i="10"/>
  <c r="Q1549" i="10"/>
  <c r="Q2043" i="10"/>
  <c r="Q1371" i="10"/>
  <c r="Q1124" i="10"/>
  <c r="Q740" i="10"/>
  <c r="Q527" i="10"/>
  <c r="Q36" i="10"/>
  <c r="Q1169" i="10"/>
  <c r="P27" i="10"/>
  <c r="Q2292" i="10"/>
  <c r="Q2209" i="10"/>
  <c r="Q2045" i="10"/>
  <c r="Q1789" i="10"/>
  <c r="Q1375" i="10"/>
  <c r="Q1817" i="10"/>
  <c r="Q845" i="10"/>
  <c r="Q2114" i="10"/>
  <c r="Q1858" i="10"/>
  <c r="Q1602" i="10"/>
  <c r="Q1346" i="10"/>
  <c r="Q919" i="10"/>
  <c r="Q168" i="10"/>
  <c r="Q271" i="10"/>
  <c r="Q70" i="10"/>
  <c r="Q534" i="10"/>
  <c r="Q826" i="10"/>
  <c r="Q1097" i="10"/>
  <c r="Q256" i="10"/>
  <c r="Q1685" i="10"/>
  <c r="Q450" i="10"/>
  <c r="Q1072" i="10"/>
  <c r="P2347" i="10"/>
  <c r="Q1429" i="10"/>
  <c r="Q1472" i="10"/>
  <c r="Q1171" i="10"/>
  <c r="Q659" i="10"/>
  <c r="Q288" i="10"/>
  <c r="Q35" i="10"/>
  <c r="Q1975" i="10"/>
  <c r="Q1719" i="10"/>
  <c r="Q1209" i="10"/>
  <c r="Q1218" i="10"/>
  <c r="Q1090" i="10"/>
  <c r="Q962" i="10"/>
  <c r="Q834" i="10"/>
  <c r="Q730" i="10"/>
  <c r="Q666" i="10"/>
  <c r="Q602" i="10"/>
  <c r="Q538" i="10"/>
  <c r="Q462" i="10"/>
  <c r="Q334" i="10"/>
  <c r="Q206" i="10"/>
  <c r="Q78" i="10"/>
  <c r="Q467" i="10"/>
  <c r="Q403" i="10"/>
  <c r="Q339" i="10"/>
  <c r="Q275" i="10"/>
  <c r="Q211" i="10"/>
  <c r="Q147" i="10"/>
  <c r="Q73" i="10"/>
  <c r="Q136" i="10"/>
  <c r="Q461" i="10"/>
  <c r="Q767" i="10"/>
  <c r="P2353" i="10"/>
  <c r="Q943" i="10"/>
  <c r="Q2305" i="10"/>
  <c r="Q1441" i="10"/>
  <c r="Q829" i="10"/>
  <c r="Q1860" i="10"/>
  <c r="Q1496" i="10"/>
  <c r="Q1368" i="10"/>
  <c r="Q1219" i="10"/>
  <c r="Q963" i="10"/>
  <c r="Q707" i="10"/>
  <c r="Q539" i="10"/>
  <c r="Q336" i="10"/>
  <c r="Q80" i="10"/>
  <c r="Q23" i="10"/>
  <c r="Q87" i="10"/>
  <c r="Q1999" i="10"/>
  <c r="Q1871" i="10"/>
  <c r="Q1743" i="10"/>
  <c r="Q1539" i="10"/>
  <c r="Q1283" i="10"/>
  <c r="Q300" i="10"/>
  <c r="Q1230" i="10"/>
  <c r="Q1166" i="10"/>
  <c r="Q1102" i="10"/>
  <c r="Q1038" i="10"/>
  <c r="Q974" i="10"/>
  <c r="Q910" i="10"/>
  <c r="Q846" i="10"/>
  <c r="Q782" i="10"/>
  <c r="Q61" i="10"/>
  <c r="Q1467" i="10"/>
  <c r="Q1398" i="10"/>
  <c r="Q488" i="10"/>
  <c r="Q1323" i="10"/>
  <c r="Q828" i="10"/>
  <c r="Q13" i="10"/>
  <c r="Q665" i="10"/>
  <c r="Q2257" i="10"/>
  <c r="Q324" i="10"/>
  <c r="Q1345" i="10"/>
  <c r="Q857" i="10"/>
  <c r="Q404" i="10"/>
  <c r="Q2164" i="10"/>
  <c r="Q1908" i="10"/>
  <c r="Q1652" i="10"/>
  <c r="Q1508" i="10"/>
  <c r="Q1444" i="10"/>
  <c r="Q1380" i="10"/>
  <c r="Q1316" i="10"/>
  <c r="Q1243" i="10"/>
  <c r="Q1115" i="10"/>
  <c r="Q987" i="10"/>
  <c r="Q859" i="10"/>
  <c r="Q731" i="10"/>
  <c r="Q877" i="10"/>
  <c r="Q269" i="10"/>
  <c r="Q956" i="10"/>
  <c r="Q1771" i="10"/>
  <c r="Q1974" i="10"/>
  <c r="Q639" i="10"/>
  <c r="Q449" i="10"/>
  <c r="Q712" i="10"/>
  <c r="Q1795" i="10"/>
  <c r="Q1248" i="10"/>
  <c r="Q992" i="10"/>
  <c r="Q604" i="10"/>
  <c r="Q341" i="10"/>
  <c r="Q1071" i="10"/>
  <c r="Q2206" i="10"/>
  <c r="Q1543" i="10"/>
  <c r="Q2123" i="10"/>
  <c r="Q2313" i="10"/>
  <c r="Q769" i="10"/>
  <c r="Q629" i="10"/>
  <c r="Q1141" i="10"/>
  <c r="Q1457" i="10"/>
  <c r="Q2236" i="10"/>
  <c r="Q1865" i="10"/>
  <c r="P46" i="10"/>
  <c r="Q893" i="10"/>
  <c r="Q1589" i="10"/>
  <c r="Q2108" i="10"/>
  <c r="Q1980" i="10"/>
  <c r="Q1852" i="10"/>
  <c r="Q1724" i="10"/>
  <c r="Q1596" i="10"/>
  <c r="Q755" i="10"/>
  <c r="Q230" i="10"/>
  <c r="Q1266" i="10"/>
  <c r="Q1373" i="10"/>
  <c r="Q1965" i="10"/>
  <c r="P2346" i="10"/>
  <c r="Q1108" i="10"/>
  <c r="Q1766" i="10"/>
  <c r="Q122" i="10"/>
  <c r="Q692" i="10"/>
  <c r="Q177" i="10"/>
  <c r="Q1128" i="10"/>
  <c r="Q1646" i="10"/>
  <c r="P44" i="10"/>
  <c r="Q1593" i="10"/>
  <c r="Q1349" i="10"/>
  <c r="Q1784" i="10"/>
  <c r="Q1488" i="10"/>
  <c r="Q1258" i="10"/>
  <c r="Q494" i="10"/>
  <c r="Q247" i="10"/>
  <c r="Q999" i="10"/>
  <c r="Q1642" i="10"/>
  <c r="Q2154" i="10"/>
  <c r="Q1303" i="10"/>
  <c r="Q1829" i="10"/>
  <c r="Q2229" i="10"/>
  <c r="P37" i="10"/>
  <c r="Q68" i="10"/>
  <c r="Q772" i="10"/>
  <c r="Q2000" i="10"/>
  <c r="Q2335" i="10"/>
  <c r="Q128" i="10"/>
  <c r="Q38" i="10"/>
  <c r="Q1362" i="10"/>
  <c r="Q717" i="10"/>
  <c r="Q2061" i="10"/>
  <c r="Q1105" i="10"/>
  <c r="Q1076" i="10"/>
  <c r="Q1830" i="10"/>
  <c r="Q58" i="10"/>
  <c r="Q564" i="10"/>
  <c r="Q113" i="10"/>
  <c r="Q1160" i="10"/>
  <c r="Q1518" i="10"/>
  <c r="P28" i="10"/>
  <c r="Q1561" i="10"/>
  <c r="Q1285" i="10"/>
  <c r="Q1800" i="10"/>
  <c r="Q1572" i="10"/>
  <c r="Q1162" i="10"/>
  <c r="Q406" i="10"/>
  <c r="Q199" i="10"/>
  <c r="Q1095" i="10"/>
  <c r="Q1690" i="10"/>
  <c r="Q710" i="10"/>
  <c r="Q1938" i="10"/>
  <c r="Q2312" i="10"/>
  <c r="Q1172" i="10"/>
  <c r="Q250" i="10"/>
  <c r="Q305" i="10"/>
  <c r="Q1902" i="10"/>
  <c r="Q1657" i="10"/>
  <c r="Q1752" i="10"/>
  <c r="Q1828" i="10"/>
  <c r="Q841" i="10"/>
  <c r="Q526" i="10"/>
  <c r="Q231" i="10"/>
  <c r="Q935" i="10"/>
  <c r="Q1610" i="10"/>
  <c r="Q2122" i="10"/>
  <c r="Q1753" i="10"/>
  <c r="Q1797" i="10"/>
  <c r="Q2213" i="10"/>
  <c r="P29" i="10"/>
  <c r="Q380" i="10"/>
  <c r="Q29" i="10"/>
  <c r="Q1584" i="10"/>
  <c r="Q1920" i="10"/>
  <c r="Q1445" i="10"/>
  <c r="Q1961" i="10"/>
  <c r="Q1385" i="10"/>
  <c r="Q484" i="10"/>
  <c r="Q2269" i="10"/>
  <c r="Q1049" i="10"/>
  <c r="Q248" i="10"/>
  <c r="Q780" i="10"/>
  <c r="Q1193" i="10"/>
  <c r="Q1971" i="10"/>
  <c r="Q536" i="10"/>
  <c r="Q273" i="10"/>
  <c r="Q1302" i="10"/>
  <c r="Q1197" i="10"/>
  <c r="Q873" i="10"/>
  <c r="Q876" i="10"/>
  <c r="Q109" i="10"/>
  <c r="P42" i="10"/>
  <c r="Q608" i="10"/>
  <c r="Q218" i="10"/>
  <c r="Q345" i="10"/>
  <c r="Q85" i="10"/>
  <c r="Q1055" i="10"/>
  <c r="Q1670" i="10"/>
  <c r="Q2190" i="10"/>
  <c r="Q2107" i="10"/>
  <c r="Q1499" i="10"/>
  <c r="Q1156" i="10"/>
  <c r="Q868" i="10"/>
  <c r="Q93" i="10"/>
  <c r="Q164" i="10"/>
  <c r="Q1041" i="10"/>
  <c r="P35" i="10"/>
  <c r="Q2300" i="10"/>
  <c r="Q2225" i="10"/>
  <c r="Q2077" i="10"/>
  <c r="Q1821" i="10"/>
  <c r="Q1439" i="10"/>
  <c r="Q1431" i="10"/>
  <c r="Q589" i="10"/>
  <c r="Q2146" i="10"/>
  <c r="Q1890" i="10"/>
  <c r="Q1634" i="10"/>
  <c r="Q1378" i="10"/>
  <c r="Q983" i="10"/>
  <c r="Q424" i="10"/>
  <c r="Q239" i="10"/>
  <c r="P2358" i="10"/>
  <c r="Q502" i="10"/>
  <c r="Q762" i="10"/>
  <c r="Q5" i="10"/>
  <c r="C34" i="7" s="1"/>
  <c r="E38" i="7" s="1"/>
  <c r="P2363" i="10"/>
  <c r="Q1700" i="10"/>
  <c r="Q1438" i="10"/>
  <c r="Q1065" i="10"/>
  <c r="Q2273" i="10"/>
  <c r="Q573" i="10"/>
  <c r="Q1504" i="10"/>
  <c r="Q1235" i="10"/>
  <c r="Q723" i="10"/>
  <c r="Q352" i="10"/>
  <c r="Q19" i="10"/>
  <c r="Q2007" i="10"/>
  <c r="Q1751" i="10"/>
  <c r="Q1299" i="10"/>
  <c r="Q1234" i="10"/>
  <c r="Q1106" i="10"/>
  <c r="Q978" i="10"/>
  <c r="Q850" i="10"/>
  <c r="Q738" i="10"/>
  <c r="Q674" i="10"/>
  <c r="Q610" i="10"/>
  <c r="Q546" i="10"/>
  <c r="Q478" i="10"/>
  <c r="Q350" i="10"/>
  <c r="Q222" i="10"/>
  <c r="Q94" i="10"/>
  <c r="Q475" i="10"/>
  <c r="Q411" i="10"/>
  <c r="Q347" i="10"/>
  <c r="Q283" i="10"/>
  <c r="Q219" i="10"/>
  <c r="Q155" i="10"/>
  <c r="Q89" i="10"/>
  <c r="Q72" i="10"/>
  <c r="Q591" i="10"/>
  <c r="Q1526" i="10"/>
  <c r="Q1451" i="10"/>
  <c r="Q117" i="10"/>
  <c r="Q2235" i="10"/>
  <c r="Q1313" i="10"/>
  <c r="Q84" i="10"/>
  <c r="Q1924" i="10"/>
  <c r="Q1512" i="10"/>
  <c r="Q1384" i="10"/>
  <c r="Q1251" i="10"/>
  <c r="Q995" i="10"/>
  <c r="Q739" i="10"/>
  <c r="Q555" i="10"/>
  <c r="Q368" i="10"/>
  <c r="Q112" i="10"/>
  <c r="Q15" i="10"/>
  <c r="Q79" i="10"/>
  <c r="Q2015" i="10"/>
  <c r="Q1887" i="10"/>
  <c r="Q1759" i="10"/>
  <c r="Q1571" i="10"/>
  <c r="Q1315" i="10"/>
  <c r="Q521" i="10"/>
  <c r="Q1238" i="10"/>
  <c r="Q1174" i="10"/>
  <c r="Q1110" i="10"/>
  <c r="Q1046" i="10"/>
  <c r="Q982" i="10"/>
  <c r="Q918" i="10"/>
  <c r="Q854" i="10"/>
  <c r="Q790" i="10"/>
  <c r="Q1103" i="10"/>
  <c r="Q1244" i="10"/>
  <c r="Q1654" i="10"/>
  <c r="Q234" i="10"/>
  <c r="Q1579" i="10"/>
  <c r="Q912" i="10"/>
  <c r="Q181" i="10"/>
  <c r="Q2275" i="10"/>
  <c r="Q2203" i="10"/>
  <c r="Q2358" i="10"/>
  <c r="T43" i="2" s="1"/>
  <c r="Q1281" i="10"/>
  <c r="Q2196" i="10"/>
  <c r="Q673" i="10"/>
  <c r="Q2218" i="10"/>
  <c r="Q1940" i="10"/>
  <c r="Q1684" i="10"/>
  <c r="Q1516" i="10"/>
  <c r="Q1452" i="10"/>
  <c r="Q1388" i="10"/>
  <c r="Q1324" i="10"/>
  <c r="Q1259" i="10"/>
  <c r="Q1131" i="10"/>
  <c r="Q1003" i="10"/>
  <c r="Q875" i="10"/>
  <c r="Q747" i="10"/>
  <c r="Q2239" i="10"/>
  <c r="Q141" i="10"/>
  <c r="Q892" i="10"/>
  <c r="Q1595" i="10"/>
  <c r="Q2102" i="10"/>
  <c r="Q895" i="10"/>
  <c r="Q385" i="10"/>
  <c r="Q648" i="10"/>
  <c r="Q1859" i="10"/>
  <c r="Q108" i="10"/>
  <c r="Q1024" i="10"/>
  <c r="Q668" i="10"/>
  <c r="Q405" i="10"/>
  <c r="Q815" i="10"/>
  <c r="Q2062" i="10"/>
  <c r="Q1415" i="10"/>
  <c r="Q2065" i="10"/>
  <c r="Q2297" i="10"/>
  <c r="Q1025" i="10"/>
  <c r="Q565" i="10"/>
  <c r="Q1077" i="10"/>
  <c r="Q1425" i="10"/>
  <c r="Q1681" i="10"/>
  <c r="Q1737" i="10"/>
  <c r="P14" i="10"/>
  <c r="Q765" i="10"/>
  <c r="Q1525" i="10"/>
  <c r="Q2124" i="10"/>
  <c r="Q1996" i="10"/>
  <c r="Q1868" i="10"/>
  <c r="Q1740" i="10"/>
  <c r="Q1612" i="10"/>
  <c r="Q1520" i="10"/>
  <c r="Q486" i="10"/>
  <c r="Q1015" i="10"/>
  <c r="Q2162" i="10"/>
  <c r="Q1837" i="10"/>
  <c r="P39" i="10"/>
  <c r="Q980" i="10"/>
  <c r="Q2022" i="10"/>
  <c r="Q425" i="10"/>
  <c r="Q429" i="10"/>
  <c r="Q703" i="10"/>
  <c r="Q1178" i="10"/>
  <c r="Q1682" i="10"/>
  <c r="Q2248" i="10"/>
  <c r="Q900" i="10"/>
  <c r="Q361" i="10"/>
  <c r="Q1215" i="10"/>
  <c r="Q495" i="10"/>
  <c r="Q1401" i="10"/>
  <c r="Q1880" i="10"/>
  <c r="Q1505" i="10"/>
  <c r="Q1651" i="10"/>
  <c r="Q590" i="10"/>
  <c r="Q295" i="10"/>
  <c r="Q807" i="10"/>
  <c r="Q1546" i="10"/>
  <c r="Q2058" i="10"/>
  <c r="Q2191" i="10"/>
  <c r="Q1733" i="10"/>
  <c r="Q2181" i="10"/>
  <c r="P13" i="10"/>
  <c r="Q561" i="10"/>
  <c r="Q911" i="10"/>
  <c r="Q916" i="10"/>
  <c r="Q1888" i="10"/>
  <c r="Q1637" i="10"/>
  <c r="Q2231" i="10"/>
  <c r="Q1449" i="10"/>
  <c r="Q613" i="10"/>
  <c r="Q2301" i="10"/>
  <c r="Q1447" i="10"/>
  <c r="Q879" i="10"/>
  <c r="Q652" i="10"/>
  <c r="P6" i="10"/>
  <c r="Q1907" i="10"/>
  <c r="Q600" i="10"/>
  <c r="Q337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C37" i="1"/>
  <c r="C38" i="1" s="1"/>
  <c r="BR42" i="1"/>
  <c r="G32" i="4"/>
  <c r="G28" i="4"/>
  <c r="G40" i="4"/>
  <c r="G36" i="4"/>
  <c r="G16" i="4"/>
  <c r="G12" i="4"/>
  <c r="BQ43" i="1"/>
  <c r="D2353" i="10"/>
  <c r="E45" i="7"/>
  <c r="E51" i="7" s="1"/>
  <c r="L2353" i="10"/>
  <c r="H2353" i="10"/>
  <c r="D66" i="10"/>
  <c r="BL39" i="1"/>
  <c r="BL40" i="1" s="1"/>
  <c r="BN40" i="1" s="1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 s="1"/>
  <c r="E37" i="7" s="1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G6" i="9"/>
  <c r="E6" i="9"/>
  <c r="G32" i="9"/>
  <c r="E31" i="9"/>
  <c r="E29" i="9"/>
  <c r="E24" i="9"/>
  <c r="E20" i="9"/>
  <c r="E12" i="9"/>
  <c r="E8" i="9"/>
  <c r="BQ41" i="1"/>
  <c r="AW5" i="9"/>
  <c r="BS42" i="1"/>
  <c r="BL43" i="1"/>
  <c r="BN43" i="1" s="1"/>
  <c r="BN42" i="1"/>
  <c r="BL44" i="1"/>
  <c r="BQ44" i="1"/>
  <c r="I20" i="6"/>
  <c r="AH28" i="9"/>
  <c r="H32" i="2"/>
  <c r="I27" i="13" s="1"/>
  <c r="H33" i="2"/>
  <c r="P31" i="9" s="1"/>
  <c r="AH23" i="9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G33" i="4"/>
  <c r="G25" i="4"/>
  <c r="G17" i="4"/>
  <c r="BQ5" i="9"/>
  <c r="BE35" i="1"/>
  <c r="BE34" i="1"/>
  <c r="BE33" i="1"/>
  <c r="Y29" i="12" s="1"/>
  <c r="H24" i="2" l="1"/>
  <c r="I19" i="13" s="1"/>
  <c r="AU21" i="9"/>
  <c r="AH16" i="9"/>
  <c r="AE3" i="12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E33" i="7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E39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J16" i="6"/>
  <c r="AJ14" i="9" s="1"/>
  <c r="BO44" i="1"/>
  <c r="O2368" i="10"/>
  <c r="F2353" i="10"/>
  <c r="S38" i="2"/>
  <c r="C22" i="7" s="1"/>
  <c r="E25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P12" i="9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C5" i="9"/>
  <c r="I6" i="13"/>
  <c r="F66" i="10"/>
  <c r="C2370" i="10"/>
  <c r="AL6" i="1"/>
  <c r="K31" i="1"/>
  <c r="G27" i="12" s="1"/>
  <c r="K11" i="1"/>
  <c r="G7" i="12" s="1"/>
  <c r="BB33" i="1"/>
  <c r="X29" i="12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U11" i="2"/>
  <c r="BM9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AL14" i="1"/>
  <c r="R33" i="9"/>
  <c r="Q32" i="2"/>
  <c r="X30" i="9" s="1"/>
  <c r="P30" i="9"/>
  <c r="AF31" i="12"/>
  <c r="H36" i="2"/>
  <c r="X36" i="2" s="1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T44" i="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W24" i="2"/>
  <c r="BN22" i="9" s="1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O2353" i="10" s="1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K28" i="6"/>
  <c r="G23" i="13" s="1"/>
  <c r="K24" i="6"/>
  <c r="G19" i="13" s="1"/>
  <c r="P26" i="9"/>
  <c r="O2369" i="10"/>
  <c r="O2370" i="10" s="1"/>
  <c r="BE37" i="1"/>
  <c r="BE38" i="1" s="1"/>
  <c r="BP40" i="1"/>
  <c r="BR43" i="1"/>
  <c r="BS43" i="1"/>
  <c r="Y43" i="2"/>
  <c r="BP38" i="9" s="1"/>
  <c r="I10" i="4"/>
  <c r="Z40" i="2"/>
  <c r="BQ35" i="9" s="1"/>
  <c r="I28" i="13"/>
  <c r="U33" i="2"/>
  <c r="BM31" i="9" s="1"/>
  <c r="E37" i="1"/>
  <c r="E38" i="1" s="1"/>
  <c r="X32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U25" i="2" l="1"/>
  <c r="BM23" i="9" s="1"/>
  <c r="X24" i="2"/>
  <c r="Z24" i="2" s="1"/>
  <c r="BQ22" i="9" s="1"/>
  <c r="Q24" i="2"/>
  <c r="X22" i="9" s="1"/>
  <c r="P22" i="9"/>
  <c r="X13" i="2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Z28" i="2" s="1"/>
  <c r="BQ26" i="9" s="1"/>
  <c r="W28" i="2"/>
  <c r="BN26" i="9" s="1"/>
  <c r="U17" i="2"/>
  <c r="BM15" i="9" s="1"/>
  <c r="W14" i="2"/>
  <c r="BN12" i="9" s="1"/>
  <c r="G54" i="11"/>
  <c r="G43" i="11"/>
  <c r="X26" i="2"/>
  <c r="Z26" i="2" s="1"/>
  <c r="BQ24" i="9" s="1"/>
  <c r="BO20" i="9"/>
  <c r="I17" i="13"/>
  <c r="W22" i="2"/>
  <c r="BN20" i="9" s="1"/>
  <c r="Y22" i="2"/>
  <c r="BP20" i="9" s="1"/>
  <c r="Q22" i="2"/>
  <c r="X20" i="9" s="1"/>
  <c r="I20" i="13"/>
  <c r="BO35" i="9"/>
  <c r="X44" i="2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Y17" i="2"/>
  <c r="BP15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Y24" i="2"/>
  <c r="BP22" i="9" s="1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13" i="2"/>
  <c r="BQ11" i="9" s="1"/>
  <c r="Y44" i="2"/>
  <c r="BP39" i="9" s="1"/>
  <c r="Z44" i="2"/>
  <c r="BQ39" i="9" s="1"/>
  <c r="BO39" i="9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8" i="2"/>
  <c r="BP26" i="9" s="1"/>
  <c r="BO26" i="9"/>
  <c r="Y26" i="2" l="1"/>
  <c r="BP24" i="9" s="1"/>
  <c r="BO24" i="9"/>
  <c r="BO22" i="9"/>
  <c r="Y8" i="2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<sst xmlns="http://schemas.openxmlformats.org/spreadsheetml/2006/main" count="887" uniqueCount="412">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</sst>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653384"/>
        <c:axId val="4436537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654168"/>
        <c:axId val="443656912"/>
      </c:lineChart>
      <c:catAx>
        <c:axId val="443653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6537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3653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653384"/>
        <c:crosses val="autoZero"/>
        <c:crossBetween val="between"/>
      </c:valAx>
      <c:catAx>
        <c:axId val="443654168"/>
        <c:scaling>
          <c:orientation val="minMax"/>
        </c:scaling>
        <c:delete val="1"/>
        <c:axPos val="b"/>
        <c:majorTickMark val="out"/>
        <c:minorTickMark val="none"/>
        <c:tickLblPos val="none"/>
        <c:crossAx val="443656912"/>
        <c:crosses val="autoZero"/>
        <c:auto val="0"/>
        <c:lblAlgn val="ctr"/>
        <c:lblOffset val="100"/>
        <c:noMultiLvlLbl val="0"/>
      </c:catAx>
      <c:valAx>
        <c:axId val="44365691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65416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3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654560"/>
        <c:axId val="44365965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654952"/>
        <c:axId val="443655736"/>
      </c:lineChart>
      <c:catAx>
        <c:axId val="4436545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6596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3659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654560"/>
        <c:crosses val="autoZero"/>
        <c:crossBetween val="between"/>
      </c:valAx>
      <c:catAx>
        <c:axId val="443654952"/>
        <c:scaling>
          <c:orientation val="minMax"/>
        </c:scaling>
        <c:delete val="1"/>
        <c:axPos val="b"/>
        <c:majorTickMark val="out"/>
        <c:minorTickMark val="none"/>
        <c:tickLblPos val="none"/>
        <c:crossAx val="443655736"/>
        <c:crosses val="autoZero"/>
        <c:auto val="0"/>
        <c:lblAlgn val="ctr"/>
        <c:lblOffset val="100"/>
        <c:noMultiLvlLbl val="0"/>
      </c:catAx>
      <c:valAx>
        <c:axId val="44365573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654952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2</v>
      </c>
      <c r="D2" s="958">
        <v>2020</v>
      </c>
      <c r="E2" s="951">
        <f>Elect!BL6</f>
        <v>23598.239722217346</v>
      </c>
      <c r="F2" s="948">
        <f>'Utility Consnsumption'!K13/'Utility Consnsumption'!J13</f>
        <v>1.4490930934172148</v>
      </c>
      <c r="G2" s="949">
        <f>Gas!K7</f>
        <v>2084.6800000000003</v>
      </c>
      <c r="H2" s="948">
        <v>3.8</v>
      </c>
      <c r="I2" s="949">
        <f>Water!H7</f>
        <v>162.98000000014136</v>
      </c>
      <c r="J2" s="950">
        <v>10</v>
      </c>
      <c r="K2" s="949">
        <f>Elect!BM6</f>
        <v>157</v>
      </c>
    </row>
    <row r="3" spans="1:12">
      <c r="A3" s="959" t="s">
        <v>369</v>
      </c>
      <c r="B3" s="954">
        <f>B2+1</f>
        <v>2</v>
      </c>
      <c r="C3" s="957">
        <v>2</v>
      </c>
      <c r="D3" s="958">
        <v>2020</v>
      </c>
      <c r="E3" s="951">
        <f>Elect!BL7</f>
        <v>25223.65</v>
      </c>
      <c r="F3" s="948">
        <f>F2</f>
        <v>1.4490930934172148</v>
      </c>
      <c r="G3" s="949">
        <f>Gas!K8</f>
        <v>1543.18</v>
      </c>
      <c r="H3" s="948">
        <v>3.8</v>
      </c>
      <c r="I3" s="949">
        <f>Water!H8</f>
        <v>193.71999999999997</v>
      </c>
      <c r="J3" s="950">
        <v>10</v>
      </c>
      <c r="K3" s="949">
        <f>Elect!BM7</f>
        <v>192</v>
      </c>
    </row>
    <row r="4" spans="1:12">
      <c r="A4" s="959" t="s">
        <v>369</v>
      </c>
      <c r="B4" s="954">
        <f t="shared" ref="B4:B32" si="0">B3+1</f>
        <v>3</v>
      </c>
      <c r="C4" s="957">
        <v>2</v>
      </c>
      <c r="D4" s="958">
        <v>2020</v>
      </c>
      <c r="E4" s="951">
        <f>Elect!BL8</f>
        <v>23473.06</v>
      </c>
      <c r="F4" s="948">
        <f t="shared" ref="F4:F32" si="1">F3</f>
        <v>1.4490930934172148</v>
      </c>
      <c r="G4" s="949">
        <f>Gas!K9</f>
        <v>1225.18</v>
      </c>
      <c r="H4" s="948">
        <v>3.8</v>
      </c>
      <c r="I4" s="949">
        <f>Water!H9</f>
        <v>193.71999999999997</v>
      </c>
      <c r="J4" s="950">
        <v>10</v>
      </c>
      <c r="K4" s="949">
        <f>Elect!BM8</f>
        <v>155</v>
      </c>
    </row>
    <row r="5" spans="1:12">
      <c r="A5" s="959" t="s">
        <v>369</v>
      </c>
      <c r="B5" s="954">
        <f t="shared" si="0"/>
        <v>4</v>
      </c>
      <c r="C5" s="957">
        <v>2</v>
      </c>
      <c r="D5" s="958">
        <v>2020</v>
      </c>
      <c r="E5" s="951">
        <f>Elect!BL9</f>
        <v>27974.32</v>
      </c>
      <c r="F5" s="948">
        <f t="shared" si="1"/>
        <v>1.4490930934172148</v>
      </c>
      <c r="G5" s="949">
        <f>Gas!K10</f>
        <v>1314.32</v>
      </c>
      <c r="H5" s="948">
        <v>3.8</v>
      </c>
      <c r="I5" s="949">
        <f>Water!H10</f>
        <v>203.57999999999998</v>
      </c>
      <c r="J5" s="950">
        <v>10</v>
      </c>
      <c r="K5" s="949">
        <f>Elect!BM9</f>
        <v>167</v>
      </c>
    </row>
    <row r="6" spans="1:12">
      <c r="A6" s="959" t="s">
        <v>369</v>
      </c>
      <c r="B6" s="954">
        <f t="shared" si="0"/>
        <v>5</v>
      </c>
      <c r="C6" s="957">
        <v>2</v>
      </c>
      <c r="D6" s="958">
        <v>2020</v>
      </c>
      <c r="E6" s="951">
        <f>Elect!BL10</f>
        <v>24324.47</v>
      </c>
      <c r="F6" s="948">
        <f t="shared" si="1"/>
        <v>1.4490930934172148</v>
      </c>
      <c r="G6" s="949">
        <f>Gas!K11</f>
        <v>1452.14</v>
      </c>
      <c r="H6" s="948">
        <v>3.8</v>
      </c>
      <c r="I6" s="949">
        <f>Water!H11</f>
        <v>198.94</v>
      </c>
      <c r="J6" s="950">
        <v>10</v>
      </c>
      <c r="K6" s="949">
        <f>Elect!BM10</f>
        <v>180</v>
      </c>
    </row>
    <row r="7" spans="1:12">
      <c r="A7" s="959" t="s">
        <v>369</v>
      </c>
      <c r="B7" s="954">
        <f t="shared" si="0"/>
        <v>6</v>
      </c>
      <c r="C7" s="957">
        <v>2</v>
      </c>
      <c r="D7" s="958">
        <v>2020</v>
      </c>
      <c r="E7" s="951">
        <f>Elect!BL11</f>
        <v>22455.35</v>
      </c>
      <c r="F7" s="948">
        <f t="shared" si="1"/>
        <v>1.4490930934172148</v>
      </c>
      <c r="G7" s="949">
        <f>Gas!K12</f>
        <v>1845.5800000000002</v>
      </c>
      <c r="H7" s="948">
        <v>3.8</v>
      </c>
      <c r="I7" s="949">
        <f>Water!H12</f>
        <v>182.7</v>
      </c>
      <c r="J7" s="950">
        <v>10</v>
      </c>
      <c r="K7" s="949">
        <f>Elect!BM11</f>
        <v>191</v>
      </c>
    </row>
    <row r="8" spans="1:12">
      <c r="A8" s="959" t="s">
        <v>369</v>
      </c>
      <c r="B8" s="954">
        <f t="shared" si="0"/>
        <v>7</v>
      </c>
      <c r="C8" s="957">
        <v>2</v>
      </c>
      <c r="D8" s="958">
        <v>2020</v>
      </c>
      <c r="E8" s="951">
        <f>Elect!BL12</f>
        <v>25701.15</v>
      </c>
      <c r="F8" s="948">
        <f t="shared" si="1"/>
        <v>1.4490930934172148</v>
      </c>
      <c r="G8" s="949">
        <f>Gas!K13</f>
        <v>1792.52</v>
      </c>
      <c r="H8" s="948">
        <v>3.8</v>
      </c>
      <c r="I8" s="949">
        <f>Water!H13</f>
        <v>234.89999999999998</v>
      </c>
      <c r="J8" s="950">
        <v>10</v>
      </c>
      <c r="K8" s="949">
        <f>Elect!BM12</f>
        <v>198</v>
      </c>
    </row>
    <row r="9" spans="1:12">
      <c r="A9" s="959" t="s">
        <v>369</v>
      </c>
      <c r="B9" s="954">
        <f t="shared" si="0"/>
        <v>8</v>
      </c>
      <c r="C9" s="957">
        <v>2</v>
      </c>
      <c r="D9" s="958">
        <v>2020</v>
      </c>
      <c r="E9" s="951">
        <f>Elect!BL13</f>
        <v>27706.519999999997</v>
      </c>
      <c r="F9" s="948">
        <f t="shared" si="1"/>
        <v>1.4490930934172148</v>
      </c>
      <c r="G9" s="949">
        <f>Gas!K14</f>
        <v>2019.5200000000002</v>
      </c>
      <c r="H9" s="948">
        <v>3.8</v>
      </c>
      <c r="I9" s="949">
        <f>Water!H14</f>
        <v>230.83999999999997</v>
      </c>
      <c r="J9" s="950">
        <v>10</v>
      </c>
      <c r="K9" s="949">
        <f>Elect!BM13</f>
        <v>213</v>
      </c>
    </row>
    <row r="10" spans="1:12">
      <c r="A10" s="959" t="s">
        <v>369</v>
      </c>
      <c r="B10" s="954">
        <f t="shared" si="0"/>
        <v>9</v>
      </c>
      <c r="C10" s="957">
        <v>2</v>
      </c>
      <c r="D10" s="958">
        <v>2020</v>
      </c>
      <c r="E10" s="951">
        <f>Elect!BL14</f>
        <v>25642.39</v>
      </c>
      <c r="F10" s="948">
        <f t="shared" si="1"/>
        <v>1.4490930934172148</v>
      </c>
      <c r="G10" s="949">
        <f>Gas!K15</f>
        <v>1891.52</v>
      </c>
      <c r="H10" s="948">
        <v>3.8</v>
      </c>
      <c r="I10" s="949">
        <f>Water!H15</f>
        <v>175.74</v>
      </c>
      <c r="J10" s="950">
        <v>10</v>
      </c>
      <c r="K10" s="949">
        <f>Elect!BM14</f>
        <v>200</v>
      </c>
    </row>
    <row r="11" spans="1:12">
      <c r="A11" s="959" t="s">
        <v>369</v>
      </c>
      <c r="B11" s="954">
        <f t="shared" si="0"/>
        <v>10</v>
      </c>
      <c r="C11" s="957">
        <v>2</v>
      </c>
      <c r="D11" s="958">
        <v>2020</v>
      </c>
      <c r="E11" s="951">
        <f>Elect!BL15</f>
        <v>29086.54</v>
      </c>
      <c r="F11" s="948">
        <f t="shared" si="1"/>
        <v>1.4490930934172148</v>
      </c>
      <c r="G11" s="949">
        <f>Gas!K16</f>
        <v>2074.1800000000003</v>
      </c>
      <c r="H11" s="948">
        <v>3.8</v>
      </c>
      <c r="I11" s="949">
        <f>Water!H16</f>
        <v>197.78</v>
      </c>
      <c r="J11" s="950">
        <v>10</v>
      </c>
      <c r="K11" s="949">
        <f>Elect!BM15</f>
        <v>165</v>
      </c>
    </row>
    <row r="12" spans="1:12">
      <c r="A12" s="959" t="s">
        <v>369</v>
      </c>
      <c r="B12" s="954">
        <f t="shared" si="0"/>
        <v>11</v>
      </c>
      <c r="C12" s="957">
        <v>2</v>
      </c>
      <c r="D12" s="958">
        <v>2020</v>
      </c>
      <c r="E12" s="951">
        <f>Elect!BL16</f>
        <v>21554.83</v>
      </c>
      <c r="F12" s="948">
        <f t="shared" si="1"/>
        <v>1.4490930934172148</v>
      </c>
      <c r="G12" s="949">
        <f>Gas!K17</f>
        <v>1949.14</v>
      </c>
      <c r="H12" s="948">
        <v>3.8</v>
      </c>
      <c r="I12" s="949">
        <f>Water!H17</f>
        <v>219.24</v>
      </c>
      <c r="J12" s="950">
        <v>10</v>
      </c>
      <c r="K12" s="949">
        <f>Elect!BM16</f>
        <v>215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2</v>
      </c>
      <c r="D13" s="958">
        <v>2020</v>
      </c>
      <c r="E13" s="951">
        <f>Elect!BL17</f>
        <v>25583.073333298566</v>
      </c>
      <c r="F13" s="948">
        <f t="shared" si="1"/>
        <v>1.4490930934172148</v>
      </c>
      <c r="G13" s="949">
        <f>Gas!K18</f>
        <v>1686.8400000000001</v>
      </c>
      <c r="H13" s="948">
        <v>3.8</v>
      </c>
      <c r="I13" s="949">
        <f>Water!H18</f>
        <v>178.06</v>
      </c>
      <c r="J13" s="950">
        <v>10</v>
      </c>
      <c r="K13" s="949">
        <f>Elect!BM17</f>
        <v>236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2</v>
      </c>
      <c r="D14" s="958">
        <v>2020</v>
      </c>
      <c r="E14" s="951">
        <f>Elect!BL18</f>
        <v>27359.556666701439</v>
      </c>
      <c r="F14" s="948">
        <f t="shared" si="1"/>
        <v>1.4490930934172148</v>
      </c>
      <c r="G14" s="949">
        <f>Gas!K19</f>
        <v>1954.54</v>
      </c>
      <c r="H14" s="948">
        <v>3.8</v>
      </c>
      <c r="I14" s="949">
        <f>Water!H19</f>
        <v>255.77999999999997</v>
      </c>
      <c r="J14" s="950">
        <v>10</v>
      </c>
      <c r="K14" s="949">
        <f>Elect!BM18</f>
        <v>251</v>
      </c>
    </row>
    <row r="15" spans="1:12">
      <c r="A15" s="959" t="s">
        <v>369</v>
      </c>
      <c r="B15" s="954">
        <f t="shared" si="0"/>
        <v>14</v>
      </c>
      <c r="C15" s="957">
        <v>2</v>
      </c>
      <c r="D15" s="958">
        <v>2020</v>
      </c>
      <c r="E15" s="951">
        <f>Elect!BL19</f>
        <v>28634.400000000001</v>
      </c>
      <c r="F15" s="948">
        <f t="shared" si="1"/>
        <v>1.4490930934172148</v>
      </c>
      <c r="G15" s="949">
        <f>Gas!K20</f>
        <v>1707.56</v>
      </c>
      <c r="H15" s="948">
        <v>3.8</v>
      </c>
      <c r="I15" s="949">
        <f>Water!H20</f>
        <v>243.01999999999998</v>
      </c>
      <c r="J15" s="950">
        <v>10</v>
      </c>
      <c r="K15" s="949">
        <f>Elect!BM19</f>
        <v>256</v>
      </c>
    </row>
    <row r="16" spans="1:12">
      <c r="A16" s="959" t="s">
        <v>369</v>
      </c>
      <c r="B16" s="954">
        <f t="shared" si="0"/>
        <v>15</v>
      </c>
      <c r="C16" s="957">
        <v>2</v>
      </c>
      <c r="D16" s="958">
        <v>2020</v>
      </c>
      <c r="E16" s="951">
        <f>Elect!BL20</f>
        <v>24228.626333299027</v>
      </c>
      <c r="F16" s="948">
        <f t="shared" si="1"/>
        <v>1.4490930934172148</v>
      </c>
      <c r="G16" s="949">
        <f>Gas!K21</f>
        <v>1947.98</v>
      </c>
      <c r="H16" s="948">
        <v>3.8</v>
      </c>
      <c r="I16" s="949">
        <f>Water!H21</f>
        <v>233.74</v>
      </c>
      <c r="J16" s="950">
        <v>10</v>
      </c>
      <c r="K16" s="949">
        <f>Elect!BM20</f>
        <v>219</v>
      </c>
    </row>
    <row r="17" spans="1:11">
      <c r="A17" s="959" t="s">
        <v>369</v>
      </c>
      <c r="B17" s="954">
        <f t="shared" si="0"/>
        <v>16</v>
      </c>
      <c r="C17" s="957">
        <v>2</v>
      </c>
      <c r="D17" s="958">
        <v>2020</v>
      </c>
      <c r="E17" s="951">
        <f>Elect!BL21</f>
        <v>26662.340968277163</v>
      </c>
      <c r="F17" s="948">
        <f t="shared" si="1"/>
        <v>1.4490930934172148</v>
      </c>
      <c r="G17" s="949">
        <f>Gas!K22</f>
        <v>1878.68</v>
      </c>
      <c r="H17" s="948">
        <v>3.8</v>
      </c>
      <c r="I17" s="949">
        <f>Water!H22</f>
        <v>202.99999999999997</v>
      </c>
      <c r="J17" s="950">
        <v>10</v>
      </c>
      <c r="K17" s="949">
        <f>Elect!BM21</f>
        <v>196</v>
      </c>
    </row>
    <row r="18" spans="1:11">
      <c r="A18" s="959" t="s">
        <v>369</v>
      </c>
      <c r="B18" s="954">
        <f t="shared" si="0"/>
        <v>17</v>
      </c>
      <c r="C18" s="957">
        <v>2</v>
      </c>
      <c r="D18" s="958">
        <v>2020</v>
      </c>
      <c r="E18" s="951">
        <f>Elect!BL22</f>
        <v>27429.860476201473</v>
      </c>
      <c r="F18" s="948">
        <f t="shared" si="1"/>
        <v>1.4490930934172148</v>
      </c>
      <c r="G18" s="949">
        <f>Gas!K23</f>
        <v>1850.1142857158372</v>
      </c>
      <c r="H18" s="948">
        <v>3.8</v>
      </c>
      <c r="I18" s="949">
        <f>Water!H23</f>
        <v>226.78</v>
      </c>
      <c r="J18" s="950">
        <v>10</v>
      </c>
      <c r="K18" s="949">
        <f>Elect!BM22</f>
        <v>230</v>
      </c>
    </row>
    <row r="19" spans="1:11">
      <c r="A19" s="959" t="s">
        <v>369</v>
      </c>
      <c r="B19" s="954">
        <f t="shared" si="0"/>
        <v>18</v>
      </c>
      <c r="C19" s="957">
        <v>2</v>
      </c>
      <c r="D19" s="958">
        <v>2020</v>
      </c>
      <c r="E19" s="951">
        <f>Elect!BL23</f>
        <v>27494.799999999999</v>
      </c>
      <c r="F19" s="948">
        <f t="shared" si="1"/>
        <v>1.4490930934172148</v>
      </c>
      <c r="G19" s="949">
        <f>Gas!K24</f>
        <v>1793.5853061215021</v>
      </c>
      <c r="H19" s="948">
        <v>3.8</v>
      </c>
      <c r="I19" s="949">
        <f>Water!H24</f>
        <v>282.45999999999998</v>
      </c>
      <c r="J19" s="950">
        <v>10</v>
      </c>
      <c r="K19" s="949">
        <f>Elect!BM23</f>
        <v>235</v>
      </c>
    </row>
    <row r="20" spans="1:11">
      <c r="A20" s="959" t="s">
        <v>369</v>
      </c>
      <c r="B20" s="954">
        <f t="shared" si="0"/>
        <v>19</v>
      </c>
      <c r="C20" s="957">
        <v>2</v>
      </c>
      <c r="D20" s="958">
        <v>2020</v>
      </c>
      <c r="E20" s="951">
        <f>Elect!BL24</f>
        <v>26820.63</v>
      </c>
      <c r="F20" s="948">
        <f t="shared" si="1"/>
        <v>1.4490930934172148</v>
      </c>
      <c r="G20" s="949">
        <f>Gas!K25</f>
        <v>1868.6894693911156</v>
      </c>
      <c r="H20" s="948">
        <v>3.8</v>
      </c>
      <c r="I20" s="949">
        <f>Water!H25</f>
        <v>190.24</v>
      </c>
      <c r="J20" s="950">
        <v>10</v>
      </c>
      <c r="K20" s="949">
        <f>Elect!BM24</f>
        <v>218</v>
      </c>
    </row>
    <row r="21" spans="1:11">
      <c r="A21" s="959" t="s">
        <v>369</v>
      </c>
      <c r="B21" s="954">
        <f t="shared" si="0"/>
        <v>20</v>
      </c>
      <c r="C21" s="957">
        <v>2</v>
      </c>
      <c r="D21" s="958">
        <v>2020</v>
      </c>
      <c r="E21" s="951">
        <f>Elect!BL25</f>
        <v>25489.53</v>
      </c>
      <c r="F21" s="948">
        <f t="shared" si="1"/>
        <v>1.4490930934172148</v>
      </c>
      <c r="G21" s="949">
        <f>Gas!K26</f>
        <v>1891.0599319690668</v>
      </c>
      <c r="H21" s="948">
        <v>3.8</v>
      </c>
      <c r="I21" s="949">
        <f>Water!H26</f>
        <v>191.97999999999996</v>
      </c>
      <c r="J21" s="950">
        <v>10</v>
      </c>
      <c r="K21" s="949">
        <f>Elect!BM25</f>
        <v>242</v>
      </c>
    </row>
    <row r="22" spans="1:11">
      <c r="A22" s="959" t="s">
        <v>369</v>
      </c>
      <c r="B22" s="954">
        <f t="shared" si="0"/>
        <v>21</v>
      </c>
      <c r="C22" s="957">
        <v>2</v>
      </c>
      <c r="D22" s="958">
        <v>2020</v>
      </c>
      <c r="E22" s="951">
        <f>Elect!BL26</f>
        <v>25290.260000000002</v>
      </c>
      <c r="F22" s="948">
        <f t="shared" si="1"/>
        <v>1.4490930934172148</v>
      </c>
      <c r="G22" s="949">
        <f>Gas!K27</f>
        <v>1600.8910068024784</v>
      </c>
      <c r="H22" s="948">
        <v>3.8</v>
      </c>
      <c r="I22" s="949">
        <f>Water!H27</f>
        <v>266.79999999999995</v>
      </c>
      <c r="J22" s="950">
        <v>10</v>
      </c>
      <c r="K22" s="949">
        <f>Elect!BM26</f>
        <v>251</v>
      </c>
    </row>
    <row r="23" spans="1:11">
      <c r="A23" s="959" t="s">
        <v>369</v>
      </c>
      <c r="B23" s="954">
        <f t="shared" si="0"/>
        <v>22</v>
      </c>
      <c r="C23" s="957">
        <v>2</v>
      </c>
      <c r="D23" s="958">
        <v>2020</v>
      </c>
      <c r="E23" s="951">
        <f>Elect!BL27</f>
        <v>27724.84</v>
      </c>
      <c r="F23" s="948">
        <f t="shared" si="1"/>
        <v>1.4490930934172148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243</v>
      </c>
    </row>
    <row r="24" spans="1:11">
      <c r="A24" s="959" t="s">
        <v>369</v>
      </c>
      <c r="B24" s="954">
        <f t="shared" si="0"/>
        <v>23</v>
      </c>
      <c r="C24" s="957">
        <v>2</v>
      </c>
      <c r="D24" s="958">
        <v>2020</v>
      </c>
      <c r="E24" s="951">
        <f>Elect!BL28</f>
        <v>24389.11</v>
      </c>
      <c r="F24" s="948">
        <f t="shared" si="1"/>
        <v>1.4490930934172148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213</v>
      </c>
    </row>
    <row r="25" spans="1:11">
      <c r="A25" s="959" t="s">
        <v>369</v>
      </c>
      <c r="B25" s="954">
        <f t="shared" si="0"/>
        <v>24</v>
      </c>
      <c r="C25" s="957">
        <v>2</v>
      </c>
      <c r="D25" s="958">
        <v>2020</v>
      </c>
      <c r="E25" s="951">
        <f>Elect!BL29</f>
        <v>0</v>
      </c>
      <c r="F25" s="948">
        <f t="shared" si="1"/>
        <v>1.4490930934172148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2</v>
      </c>
      <c r="D26" s="958">
        <v>2020</v>
      </c>
      <c r="E26" s="951">
        <f>Elect!BL30</f>
        <v>0</v>
      </c>
      <c r="F26" s="948">
        <f t="shared" si="1"/>
        <v>1.4490930934172148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2</v>
      </c>
      <c r="D27" s="958">
        <v>2020</v>
      </c>
      <c r="E27" s="951">
        <f>Elect!BL31</f>
        <v>0</v>
      </c>
      <c r="F27" s="948">
        <f t="shared" si="1"/>
        <v>1.4490930934172148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2</v>
      </c>
      <c r="D28" s="958">
        <v>2020</v>
      </c>
      <c r="E28" s="951">
        <f>Elect!BL32</f>
        <v>0</v>
      </c>
      <c r="F28" s="948">
        <f t="shared" si="1"/>
        <v>1.4490930934172148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2</v>
      </c>
      <c r="D29" s="958">
        <v>2020</v>
      </c>
      <c r="E29" s="951">
        <f>Elect!BL33</f>
        <v>0</v>
      </c>
      <c r="F29" s="948">
        <f t="shared" si="1"/>
        <v>1.4490930934172148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2</v>
      </c>
      <c r="D30" s="958">
        <v>2020</v>
      </c>
      <c r="E30" s="951">
        <f>Elect!BL34</f>
        <v>0</v>
      </c>
      <c r="F30" s="948">
        <f t="shared" si="1"/>
        <v>1.4490930934172148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2</v>
      </c>
      <c r="D31" s="958">
        <v>2020</v>
      </c>
      <c r="E31" s="951">
        <f>Elect!BL35</f>
        <v>0</v>
      </c>
      <c r="F31" s="948">
        <f t="shared" si="1"/>
        <v>1.4490930934172148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0" t="s">
        <v>369</v>
      </c>
      <c r="B32" s="961">
        <f t="shared" si="0"/>
        <v>31</v>
      </c>
      <c r="C32" s="957">
        <v>2</v>
      </c>
      <c r="D32" s="958">
        <v>2020</v>
      </c>
      <c r="E32" s="951">
        <f>Elect!BL36</f>
        <v>0</v>
      </c>
      <c r="F32" s="948">
        <f t="shared" si="1"/>
        <v>1.4490930934172148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K33"/>
  <sheetViews>
    <sheetView workbookViewId="0">
      <selection activeCell="F26" sqref="F26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4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3" t="s">
        <v>388</v>
      </c>
      <c r="N1" s="963" t="s">
        <v>389</v>
      </c>
      <c r="O1" s="963" t="s">
        <v>390</v>
      </c>
      <c r="P1" s="963" t="s">
        <v>391</v>
      </c>
      <c r="Q1" s="963" t="s">
        <v>392</v>
      </c>
      <c r="R1" s="963" t="s">
        <v>393</v>
      </c>
      <c r="S1" s="963" t="s">
        <v>394</v>
      </c>
      <c r="T1" s="963" t="s">
        <v>395</v>
      </c>
      <c r="U1" s="963" t="s">
        <v>396</v>
      </c>
      <c r="V1" s="963" t="s">
        <v>397</v>
      </c>
      <c r="W1" s="963" t="s">
        <v>398</v>
      </c>
      <c r="X1" s="963" t="s">
        <v>399</v>
      </c>
      <c r="Y1" s="963" t="s">
        <v>400</v>
      </c>
      <c r="Z1" s="963" t="s">
        <v>401</v>
      </c>
      <c r="AA1" s="963" t="s">
        <v>402</v>
      </c>
      <c r="AB1" s="963" t="s">
        <v>403</v>
      </c>
      <c r="AC1" s="963" t="s">
        <v>410</v>
      </c>
      <c r="AD1" s="963" t="s">
        <v>404</v>
      </c>
      <c r="AE1" s="963" t="s">
        <v>405</v>
      </c>
      <c r="AF1" s="963" t="s">
        <v>406</v>
      </c>
      <c r="AG1" s="963" t="s">
        <v>56</v>
      </c>
      <c r="AH1" s="963" t="s">
        <v>407</v>
      </c>
      <c r="AI1" s="963" t="s">
        <v>408</v>
      </c>
      <c r="AJ1" s="963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2</v>
      </c>
      <c r="D2" s="958">
        <v>2020</v>
      </c>
      <c r="E2" s="965"/>
      <c r="F2" s="942">
        <f>Elect!J6</f>
        <v>6253</v>
      </c>
      <c r="G2" s="942">
        <f>Elect!K6</f>
        <v>3560.8416666669655</v>
      </c>
      <c r="H2" s="942">
        <f>Elect!Q6</f>
        <v>911.99999999982538</v>
      </c>
      <c r="I2" s="942">
        <f>Elect!W6</f>
        <v>227.60000000000582</v>
      </c>
      <c r="J2" s="942">
        <f>Elect!Y6</f>
        <v>301.58333333299379</v>
      </c>
      <c r="K2" s="942">
        <f>Elect!AA6</f>
        <v>0</v>
      </c>
      <c r="L2" s="942">
        <f>Elect!AC6</f>
        <v>1027.6111111111661</v>
      </c>
      <c r="M2" s="962">
        <f>Elect!AE6</f>
        <v>1108.9366666665021</v>
      </c>
      <c r="N2" s="962">
        <f>Elect!AG6</f>
        <v>0</v>
      </c>
      <c r="O2" s="962">
        <f>Elect!AI6</f>
        <v>151.16777777765267</v>
      </c>
      <c r="P2" s="962">
        <f>Elect!AK6</f>
        <v>2412.56</v>
      </c>
      <c r="Q2" s="962">
        <f>Elect!AN6</f>
        <v>399.33333333022892</v>
      </c>
      <c r="R2" s="962">
        <f>Elect!AP6</f>
        <v>242.25</v>
      </c>
      <c r="S2" s="962">
        <f>Elect!AR6</f>
        <v>28.8475</v>
      </c>
      <c r="T2" s="962">
        <f>Elect!AT6</f>
        <v>279.5</v>
      </c>
      <c r="U2" s="962">
        <f>Elect!AV6</f>
        <v>1078.1000000000931</v>
      </c>
      <c r="V2" s="962">
        <f>Elect!AX6</f>
        <v>29.333333332993789</v>
      </c>
      <c r="W2" s="962">
        <f>Elect!AZ6</f>
        <v>4739.9000000003725</v>
      </c>
      <c r="X2" s="962">
        <f>Elect!BB6</f>
        <v>4935.6999999985101</v>
      </c>
      <c r="Y2" s="962">
        <f>Elect!BE6</f>
        <v>0</v>
      </c>
      <c r="Z2" s="962">
        <f>Elect!BG6</f>
        <v>447</v>
      </c>
      <c r="AA2" s="962">
        <f>Elect!BI6</f>
        <v>61</v>
      </c>
      <c r="AB2" s="962">
        <f>Elect!BK6</f>
        <v>165</v>
      </c>
      <c r="AC2" s="962"/>
      <c r="AD2" s="962">
        <f>Water!C7</f>
        <v>119.93571428584691</v>
      </c>
      <c r="AE2" s="962">
        <f>Water!E7</f>
        <v>0</v>
      </c>
      <c r="AF2" s="962">
        <f>Water!G7</f>
        <v>43.044285714294453</v>
      </c>
      <c r="AG2" s="962"/>
      <c r="AH2" s="962">
        <f>Gas!C7</f>
        <v>1974.7800000000002</v>
      </c>
      <c r="AI2" s="962">
        <f>Gas!E7</f>
        <v>109.89999999999999</v>
      </c>
      <c r="AJ2" s="962">
        <f>Gas!G7</f>
        <v>92</v>
      </c>
      <c r="AK2" s="949">
        <f>Elect!BM6</f>
        <v>157</v>
      </c>
    </row>
    <row r="3" spans="1:37" ht="12.75" customHeight="1">
      <c r="A3" s="959" t="s">
        <v>369</v>
      </c>
      <c r="B3" s="954">
        <f>B2+1</f>
        <v>2</v>
      </c>
      <c r="C3" s="957">
        <v>2</v>
      </c>
      <c r="D3" s="958">
        <v>2020</v>
      </c>
      <c r="E3" s="965"/>
      <c r="F3" s="942">
        <f>Elect!J7</f>
        <v>6609</v>
      </c>
      <c r="G3" s="942">
        <f>Elect!K7</f>
        <v>3960</v>
      </c>
      <c r="H3" s="942">
        <f>Elect!Q7</f>
        <v>690</v>
      </c>
      <c r="I3" s="942">
        <f>Elect!W7</f>
        <v>268</v>
      </c>
      <c r="J3" s="942">
        <f>Elect!Y7</f>
        <v>365</v>
      </c>
      <c r="K3" s="942">
        <f>Elect!AA7</f>
        <v>0</v>
      </c>
      <c r="L3" s="942">
        <f>Elect!AC7</f>
        <v>0</v>
      </c>
      <c r="M3" s="962">
        <f>Elect!AE7</f>
        <v>2031.49</v>
      </c>
      <c r="N3" s="962">
        <f>Elect!AG7</f>
        <v>0</v>
      </c>
      <c r="O3" s="962">
        <f>Elect!AI7</f>
        <v>231.61</v>
      </c>
      <c r="P3" s="962">
        <f>Elect!AK7</f>
        <v>2546.65</v>
      </c>
      <c r="Q3" s="962">
        <f>Elect!AN7</f>
        <v>676</v>
      </c>
      <c r="R3" s="962">
        <f>Elect!AP7</f>
        <v>455</v>
      </c>
      <c r="S3" s="962">
        <f>Elect!AR7</f>
        <v>30.8</v>
      </c>
      <c r="T3" s="962">
        <f>Elect!AT7</f>
        <v>238</v>
      </c>
      <c r="U3" s="962">
        <f>Elect!AV7</f>
        <v>821</v>
      </c>
      <c r="V3" s="962">
        <f>Elect!AX7</f>
        <v>23</v>
      </c>
      <c r="W3" s="962">
        <f>Elect!AZ7</f>
        <v>5739</v>
      </c>
      <c r="X3" s="962">
        <f>Elect!BB7</f>
        <v>5132.1000000000004</v>
      </c>
      <c r="Y3" s="962">
        <f>Elect!BE7</f>
        <v>0</v>
      </c>
      <c r="Z3" s="962">
        <f>Elect!BG7</f>
        <v>839</v>
      </c>
      <c r="AA3" s="962">
        <f>Elect!BI7</f>
        <v>127</v>
      </c>
      <c r="AB3" s="962">
        <f>Elect!BK7</f>
        <v>198</v>
      </c>
      <c r="AC3" s="962"/>
      <c r="AD3" s="962">
        <f>Water!C8</f>
        <v>121.8</v>
      </c>
      <c r="AE3" s="962">
        <f>Water!E8</f>
        <v>5.8</v>
      </c>
      <c r="AF3" s="962">
        <f>Water!G8</f>
        <v>66.11999999999999</v>
      </c>
      <c r="AG3" s="962"/>
      <c r="AH3" s="962">
        <f>Gas!C8</f>
        <v>1227.48</v>
      </c>
      <c r="AI3" s="962">
        <f>Gas!E8</f>
        <v>315.7</v>
      </c>
      <c r="AJ3" s="962">
        <f>Gas!G8</f>
        <v>100</v>
      </c>
      <c r="AK3" s="949">
        <f>Elect!BM7</f>
        <v>192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2</v>
      </c>
      <c r="D4" s="958">
        <v>2020</v>
      </c>
      <c r="E4" s="965"/>
      <c r="F4" s="942">
        <f>Elect!J8</f>
        <v>7028</v>
      </c>
      <c r="G4" s="942">
        <f>Elect!K8</f>
        <v>3923</v>
      </c>
      <c r="H4" s="942">
        <f>Elect!Q8</f>
        <v>750</v>
      </c>
      <c r="I4" s="942">
        <f>Elect!W8</f>
        <v>221</v>
      </c>
      <c r="J4" s="942">
        <f>Elect!Y8</f>
        <v>394</v>
      </c>
      <c r="K4" s="942">
        <f>Elect!AA8</f>
        <v>0</v>
      </c>
      <c r="L4" s="942">
        <f>Elect!AC8</f>
        <v>0</v>
      </c>
      <c r="M4" s="962">
        <f>Elect!AE8</f>
        <v>1998.1000000000001</v>
      </c>
      <c r="N4" s="962">
        <f>Elect!AG8</f>
        <v>0</v>
      </c>
      <c r="O4" s="962">
        <f>Elect!AI8</f>
        <v>230.02</v>
      </c>
      <c r="P4" s="962">
        <f>Elect!AK8</f>
        <v>2223.35</v>
      </c>
      <c r="Q4" s="962">
        <f>Elect!AN8</f>
        <v>566</v>
      </c>
      <c r="R4" s="962">
        <f>Elect!AP8</f>
        <v>217</v>
      </c>
      <c r="S4" s="962">
        <f>Elect!AR8</f>
        <v>31.79</v>
      </c>
      <c r="T4" s="962">
        <f>Elect!AT8</f>
        <v>198</v>
      </c>
      <c r="U4" s="962">
        <f>Elect!AV8</f>
        <v>670</v>
      </c>
      <c r="V4" s="962">
        <f>Elect!AX8</f>
        <v>53</v>
      </c>
      <c r="W4" s="962">
        <f>Elect!AZ8</f>
        <v>4281</v>
      </c>
      <c r="X4" s="962">
        <f>Elect!BB8</f>
        <v>5226.8</v>
      </c>
      <c r="Y4" s="962">
        <f>Elect!BE8</f>
        <v>0</v>
      </c>
      <c r="Z4" s="962">
        <f>Elect!BG8</f>
        <v>817</v>
      </c>
      <c r="AA4" s="962">
        <f>Elect!BI8</f>
        <v>128</v>
      </c>
      <c r="AB4" s="962">
        <f>Elect!BK8</f>
        <v>196</v>
      </c>
      <c r="AC4" s="962"/>
      <c r="AD4" s="962">
        <f>Water!C9</f>
        <v>121.8</v>
      </c>
      <c r="AE4" s="962">
        <f>Water!E9</f>
        <v>5.8</v>
      </c>
      <c r="AF4" s="962">
        <f>Water!G9</f>
        <v>66.11999999999999</v>
      </c>
      <c r="AG4" s="962"/>
      <c r="AH4" s="962">
        <f>Gas!C9</f>
        <v>909.48</v>
      </c>
      <c r="AI4" s="962">
        <f>Gas!E9</f>
        <v>315.7</v>
      </c>
      <c r="AJ4" s="962">
        <f>Gas!G9</f>
        <v>60</v>
      </c>
      <c r="AK4" s="949">
        <f>Elect!BM8</f>
        <v>155</v>
      </c>
    </row>
    <row r="5" spans="1:37" ht="12.75" customHeight="1">
      <c r="A5" s="959" t="s">
        <v>369</v>
      </c>
      <c r="B5" s="954">
        <f t="shared" si="0"/>
        <v>4</v>
      </c>
      <c r="C5" s="957">
        <v>2</v>
      </c>
      <c r="D5" s="958">
        <v>2020</v>
      </c>
      <c r="E5" s="965"/>
      <c r="F5" s="942">
        <f>Elect!J9</f>
        <v>7242</v>
      </c>
      <c r="G5" s="942">
        <f>Elect!K9</f>
        <v>6439</v>
      </c>
      <c r="H5" s="942">
        <f>Elect!Q9</f>
        <v>750</v>
      </c>
      <c r="I5" s="942">
        <f>Elect!W9</f>
        <v>147</v>
      </c>
      <c r="J5" s="942">
        <f>Elect!Y9</f>
        <v>336</v>
      </c>
      <c r="K5" s="942">
        <f>Elect!AA9</f>
        <v>0</v>
      </c>
      <c r="L5" s="942">
        <f>Elect!AC9</f>
        <v>2204.27</v>
      </c>
      <c r="M5" s="962">
        <f>Elect!AE9</f>
        <v>395.38</v>
      </c>
      <c r="N5" s="962">
        <f>Elect!AG9</f>
        <v>0</v>
      </c>
      <c r="O5" s="962">
        <f>Elect!AI9</f>
        <v>271.36</v>
      </c>
      <c r="P5" s="962">
        <f>Elect!AK9</f>
        <v>2659.01</v>
      </c>
      <c r="Q5" s="962">
        <f>Elect!AN9</f>
        <v>955</v>
      </c>
      <c r="R5" s="962">
        <f>Elect!AP9</f>
        <v>308</v>
      </c>
      <c r="S5" s="962">
        <f>Elect!AR9</f>
        <v>36.299999999999997</v>
      </c>
      <c r="T5" s="962">
        <f>Elect!AT9</f>
        <v>366</v>
      </c>
      <c r="U5" s="962">
        <f>Elect!AV9</f>
        <v>1160</v>
      </c>
      <c r="V5" s="962">
        <f>Elect!AX9</f>
        <v>23</v>
      </c>
      <c r="W5" s="962">
        <f>Elect!AZ9</f>
        <v>5674</v>
      </c>
      <c r="X5" s="962">
        <f>Elect!BB9</f>
        <v>5930</v>
      </c>
      <c r="Y5" s="962">
        <f>Elect!BE9</f>
        <v>0</v>
      </c>
      <c r="Z5" s="962">
        <f>Elect!BG9</f>
        <v>1105</v>
      </c>
      <c r="AA5" s="962">
        <f>Elect!BI9</f>
        <v>140</v>
      </c>
      <c r="AB5" s="962">
        <f>Elect!BK9</f>
        <v>222</v>
      </c>
      <c r="AC5" s="962"/>
      <c r="AD5" s="962">
        <f>Water!C10</f>
        <v>127.6</v>
      </c>
      <c r="AE5" s="962">
        <f>Water!E10</f>
        <v>5.8</v>
      </c>
      <c r="AF5" s="962">
        <f>Water!G10</f>
        <v>70.179999999999993</v>
      </c>
      <c r="AG5" s="962"/>
      <c r="AH5" s="962">
        <f>Gas!C10</f>
        <v>1046.22</v>
      </c>
      <c r="AI5" s="962">
        <f>Gas!E10</f>
        <v>268.09999999999997</v>
      </c>
      <c r="AJ5" s="962">
        <f>Gas!G10</f>
        <v>77</v>
      </c>
      <c r="AK5" s="949">
        <f>Elect!BM9</f>
        <v>167</v>
      </c>
    </row>
    <row r="6" spans="1:37" ht="12.75" customHeight="1">
      <c r="A6" s="959" t="s">
        <v>369</v>
      </c>
      <c r="B6" s="954">
        <f t="shared" si="0"/>
        <v>5</v>
      </c>
      <c r="C6" s="957">
        <v>2</v>
      </c>
      <c r="D6" s="958">
        <v>2020</v>
      </c>
      <c r="E6" s="965"/>
      <c r="F6" s="942">
        <f>Elect!J10</f>
        <v>6581</v>
      </c>
      <c r="G6" s="942">
        <f>Elect!K10</f>
        <v>4106</v>
      </c>
      <c r="H6" s="942">
        <f>Elect!Q10</f>
        <v>600</v>
      </c>
      <c r="I6" s="942">
        <f>Elect!W10</f>
        <v>149</v>
      </c>
      <c r="J6" s="942">
        <f>Elect!Y10</f>
        <v>240</v>
      </c>
      <c r="K6" s="942">
        <f>Elect!AA10</f>
        <v>0</v>
      </c>
      <c r="L6" s="942">
        <f>Elect!AC10</f>
        <v>2098.27</v>
      </c>
      <c r="M6" s="962">
        <f>Elect!AE10</f>
        <v>0</v>
      </c>
      <c r="N6" s="962">
        <f>Elect!AG10</f>
        <v>0</v>
      </c>
      <c r="O6" s="962">
        <f>Elect!AI10</f>
        <v>228.43</v>
      </c>
      <c r="P6" s="962">
        <f>Elect!AK10</f>
        <v>2236.0700000000002</v>
      </c>
      <c r="Q6" s="962">
        <f>Elect!AN10</f>
        <v>958</v>
      </c>
      <c r="R6" s="962">
        <f>Elect!AP10</f>
        <v>314</v>
      </c>
      <c r="S6" s="962">
        <f>Elect!AR10</f>
        <v>29.7</v>
      </c>
      <c r="T6" s="962">
        <f>Elect!AT10</f>
        <v>220</v>
      </c>
      <c r="U6" s="962">
        <f>Elect!AV10</f>
        <v>838</v>
      </c>
      <c r="V6" s="962">
        <f>Elect!AX10</f>
        <v>62</v>
      </c>
      <c r="W6" s="962">
        <f>Elect!AZ10</f>
        <v>5349</v>
      </c>
      <c r="X6" s="962">
        <f>Elect!BB10</f>
        <v>4810</v>
      </c>
      <c r="Y6" s="962">
        <f>Elect!BE10</f>
        <v>0</v>
      </c>
      <c r="Z6" s="962">
        <f>Elect!BG10</f>
        <v>970</v>
      </c>
      <c r="AA6" s="962">
        <f>Elect!BI10</f>
        <v>114</v>
      </c>
      <c r="AB6" s="962">
        <f>Elect!BK10</f>
        <v>173</v>
      </c>
      <c r="AC6" s="962"/>
      <c r="AD6" s="962">
        <f>Water!C11</f>
        <v>121.8</v>
      </c>
      <c r="AE6" s="962">
        <f>Water!E11</f>
        <v>5.8</v>
      </c>
      <c r="AF6" s="962">
        <f>Water!G11</f>
        <v>71.339999999999989</v>
      </c>
      <c r="AG6" s="962"/>
      <c r="AH6" s="962">
        <f>Gas!C11</f>
        <v>1186.1400000000001</v>
      </c>
      <c r="AI6" s="962">
        <f>Gas!E11</f>
        <v>266</v>
      </c>
      <c r="AJ6" s="962">
        <f>Gas!G11</f>
        <v>85</v>
      </c>
      <c r="AK6" s="949">
        <f>Elect!BM10</f>
        <v>180</v>
      </c>
    </row>
    <row r="7" spans="1:37" ht="12.75" customHeight="1">
      <c r="A7" s="959" t="s">
        <v>369</v>
      </c>
      <c r="B7" s="954">
        <f t="shared" si="0"/>
        <v>6</v>
      </c>
      <c r="C7" s="957">
        <v>2</v>
      </c>
      <c r="D7" s="958">
        <v>2020</v>
      </c>
      <c r="E7" s="965"/>
      <c r="F7" s="942">
        <f>Elect!J11</f>
        <v>4353</v>
      </c>
      <c r="G7" s="942">
        <f>Elect!K11</f>
        <v>3939</v>
      </c>
      <c r="H7" s="942">
        <f>Elect!Q11</f>
        <v>810</v>
      </c>
      <c r="I7" s="942">
        <f>Elect!W11</f>
        <v>159</v>
      </c>
      <c r="J7" s="942">
        <f>Elect!Y11</f>
        <v>219</v>
      </c>
      <c r="K7" s="942">
        <f>Elect!AA11</f>
        <v>0</v>
      </c>
      <c r="L7" s="942">
        <f>Elect!AC11</f>
        <v>2045.2700000000002</v>
      </c>
      <c r="M7" s="962">
        <f>Elect!AE11</f>
        <v>0</v>
      </c>
      <c r="N7" s="962">
        <f>Elect!AG11</f>
        <v>0</v>
      </c>
      <c r="O7" s="962">
        <f>Elect!AI11</f>
        <v>210.41</v>
      </c>
      <c r="P7" s="962">
        <f>Elect!AK11</f>
        <v>2406.2000000000003</v>
      </c>
      <c r="Q7" s="962">
        <f>Elect!AN11</f>
        <v>782</v>
      </c>
      <c r="R7" s="962">
        <f>Elect!AP11</f>
        <v>316</v>
      </c>
      <c r="S7" s="962">
        <f>Elect!AR11</f>
        <v>31.57</v>
      </c>
      <c r="T7" s="962">
        <f>Elect!AT11</f>
        <v>258</v>
      </c>
      <c r="U7" s="962">
        <f>Elect!AV11</f>
        <v>885</v>
      </c>
      <c r="V7" s="962">
        <f>Elect!AX11</f>
        <v>95</v>
      </c>
      <c r="W7" s="962">
        <f>Elect!AZ11</f>
        <v>4944</v>
      </c>
      <c r="X7" s="962">
        <f>Elect!BB11</f>
        <v>5318.9</v>
      </c>
      <c r="Y7" s="962">
        <f>Elect!BE11</f>
        <v>0</v>
      </c>
      <c r="Z7" s="962">
        <f>Elect!BG11</f>
        <v>691</v>
      </c>
      <c r="AA7" s="962">
        <f>Elect!BI11</f>
        <v>111</v>
      </c>
      <c r="AB7" s="962">
        <f>Elect!BK11</f>
        <v>197</v>
      </c>
      <c r="AC7" s="962"/>
      <c r="AD7" s="962">
        <f>Water!C12</f>
        <v>98.6</v>
      </c>
      <c r="AE7" s="962">
        <f>Water!E12</f>
        <v>0</v>
      </c>
      <c r="AF7" s="962">
        <f>Water!G12</f>
        <v>84.1</v>
      </c>
      <c r="AG7" s="962"/>
      <c r="AH7" s="962">
        <f>Gas!C12</f>
        <v>1561.38</v>
      </c>
      <c r="AI7" s="962">
        <f>Gas!E12</f>
        <v>284.2</v>
      </c>
      <c r="AJ7" s="962">
        <f>Gas!G12</f>
        <v>106</v>
      </c>
      <c r="AK7" s="949">
        <f>Elect!BM11</f>
        <v>191</v>
      </c>
    </row>
    <row r="8" spans="1:37" ht="12.75" customHeight="1">
      <c r="A8" s="959" t="s">
        <v>369</v>
      </c>
      <c r="B8" s="954">
        <f t="shared" si="0"/>
        <v>7</v>
      </c>
      <c r="C8" s="957">
        <v>2</v>
      </c>
      <c r="D8" s="958">
        <v>2020</v>
      </c>
      <c r="E8" s="965"/>
      <c r="F8" s="942">
        <f>Elect!J12</f>
        <v>7000</v>
      </c>
      <c r="G8" s="942">
        <f>Elect!K12</f>
        <v>3604</v>
      </c>
      <c r="H8" s="942">
        <f>Elect!Q12</f>
        <v>630</v>
      </c>
      <c r="I8" s="942">
        <f>Elect!W12</f>
        <v>141</v>
      </c>
      <c r="J8" s="942">
        <f>Elect!Y12</f>
        <v>273</v>
      </c>
      <c r="K8" s="942">
        <f>Elect!AA12</f>
        <v>0</v>
      </c>
      <c r="L8" s="942">
        <f>Elect!AC12</f>
        <v>1426.76</v>
      </c>
      <c r="M8" s="962">
        <f>Elect!AE12</f>
        <v>0</v>
      </c>
      <c r="N8" s="962">
        <f>Elect!AG12</f>
        <v>0</v>
      </c>
      <c r="O8" s="962">
        <f>Elect!AI12</f>
        <v>174.37</v>
      </c>
      <c r="P8" s="962">
        <f>Elect!AK12</f>
        <v>1592.65</v>
      </c>
      <c r="Q8" s="962">
        <f>Elect!AN12</f>
        <v>856</v>
      </c>
      <c r="R8" s="962">
        <f>Elect!AP12</f>
        <v>310</v>
      </c>
      <c r="S8" s="962">
        <f>Elect!AR12</f>
        <v>30.47</v>
      </c>
      <c r="T8" s="962">
        <f>Elect!AT12</f>
        <v>245</v>
      </c>
      <c r="U8" s="962">
        <f>Elect!AV12</f>
        <v>852</v>
      </c>
      <c r="V8" s="962">
        <f>Elect!AX12</f>
        <v>34</v>
      </c>
      <c r="W8" s="962">
        <f>Elect!AZ12</f>
        <v>7181</v>
      </c>
      <c r="X8" s="962">
        <f>Elect!BB12</f>
        <v>5368.9</v>
      </c>
      <c r="Y8" s="962">
        <f>Elect!BE12</f>
        <v>0</v>
      </c>
      <c r="Z8" s="962">
        <f>Elect!BG12</f>
        <v>1366</v>
      </c>
      <c r="AA8" s="962">
        <f>Elect!BI12</f>
        <v>147</v>
      </c>
      <c r="AB8" s="962">
        <f>Elect!BK12</f>
        <v>201</v>
      </c>
      <c r="AC8" s="962"/>
      <c r="AD8" s="962">
        <f>Water!C13</f>
        <v>168.2</v>
      </c>
      <c r="AE8" s="962">
        <f>Water!E13</f>
        <v>0</v>
      </c>
      <c r="AF8" s="962">
        <f>Water!G13</f>
        <v>66.699999999999989</v>
      </c>
      <c r="AG8" s="962"/>
      <c r="AH8" s="962">
        <f>Gas!C13</f>
        <v>1539.1200000000001</v>
      </c>
      <c r="AI8" s="962">
        <f>Gas!E13</f>
        <v>253.39999999999998</v>
      </c>
      <c r="AJ8" s="962">
        <f>Gas!G13</f>
        <v>95</v>
      </c>
      <c r="AK8" s="949">
        <f>Elect!BM12</f>
        <v>198</v>
      </c>
    </row>
    <row r="9" spans="1:37" ht="12.75" customHeight="1">
      <c r="A9" s="959" t="s">
        <v>369</v>
      </c>
      <c r="B9" s="954">
        <f t="shared" si="0"/>
        <v>8</v>
      </c>
      <c r="C9" s="957">
        <v>2</v>
      </c>
      <c r="D9" s="958">
        <v>2020</v>
      </c>
      <c r="E9" s="965"/>
      <c r="F9" s="942">
        <f>Elect!J13</f>
        <v>8879</v>
      </c>
      <c r="G9" s="942">
        <f>Elect!K13</f>
        <v>5695</v>
      </c>
      <c r="H9" s="942">
        <f>Elect!Q13</f>
        <v>660</v>
      </c>
      <c r="I9" s="942">
        <f>Elect!W13</f>
        <v>143</v>
      </c>
      <c r="J9" s="942">
        <f>Elect!Y13</f>
        <v>229</v>
      </c>
      <c r="K9" s="942">
        <f>Elect!AA13</f>
        <v>0</v>
      </c>
      <c r="L9" s="942">
        <f>Elect!AC13</f>
        <v>0</v>
      </c>
      <c r="M9" s="962">
        <f>Elect!AE13</f>
        <v>1941.92</v>
      </c>
      <c r="N9" s="962">
        <f>Elect!AG13</f>
        <v>0</v>
      </c>
      <c r="O9" s="962">
        <f>Elect!AI13</f>
        <v>217.3</v>
      </c>
      <c r="P9" s="962">
        <f>Elect!AK13</f>
        <v>2378.11</v>
      </c>
      <c r="Q9" s="962">
        <f>Elect!AN13</f>
        <v>818</v>
      </c>
      <c r="R9" s="962">
        <f>Elect!AP13</f>
        <v>289</v>
      </c>
      <c r="S9" s="962">
        <f>Elect!AR13</f>
        <v>27.39</v>
      </c>
      <c r="T9" s="962">
        <f>Elect!AT13</f>
        <v>298</v>
      </c>
      <c r="U9" s="962">
        <f>Elect!AV13</f>
        <v>951</v>
      </c>
      <c r="V9" s="962">
        <f>Elect!AX13</f>
        <v>60</v>
      </c>
      <c r="W9" s="962">
        <f>Elect!AZ13</f>
        <v>5832</v>
      </c>
      <c r="X9" s="962">
        <f>Elect!BB13</f>
        <v>5354.8</v>
      </c>
      <c r="Y9" s="962">
        <f>Elect!BE13</f>
        <v>0</v>
      </c>
      <c r="Z9" s="962">
        <f>Elect!BG13</f>
        <v>1007</v>
      </c>
      <c r="AA9" s="962">
        <f>Elect!BI13</f>
        <v>134</v>
      </c>
      <c r="AB9" s="962">
        <f>Elect!BK13</f>
        <v>202</v>
      </c>
      <c r="AC9" s="962"/>
      <c r="AD9" s="962">
        <f>Water!C14</f>
        <v>139.19999999999999</v>
      </c>
      <c r="AE9" s="962">
        <f>Water!E14</f>
        <v>5.8</v>
      </c>
      <c r="AF9" s="962">
        <f>Water!G14</f>
        <v>85.839999999999989</v>
      </c>
      <c r="AG9" s="962"/>
      <c r="AH9" s="962">
        <f>Gas!C14</f>
        <v>1745.8200000000002</v>
      </c>
      <c r="AI9" s="962">
        <f>Gas!E14</f>
        <v>273.7</v>
      </c>
      <c r="AJ9" s="962">
        <f>Gas!G14</f>
        <v>101</v>
      </c>
      <c r="AK9" s="949">
        <f>Elect!BM13</f>
        <v>213</v>
      </c>
    </row>
    <row r="10" spans="1:37" ht="12.75" customHeight="1">
      <c r="A10" s="959" t="s">
        <v>369</v>
      </c>
      <c r="B10" s="954">
        <f t="shared" si="0"/>
        <v>9</v>
      </c>
      <c r="C10" s="957">
        <v>2</v>
      </c>
      <c r="D10" s="958">
        <v>2020</v>
      </c>
      <c r="E10" s="965"/>
      <c r="F10" s="942">
        <f>Elect!J14</f>
        <v>7269</v>
      </c>
      <c r="G10" s="942">
        <f>Elect!K14</f>
        <v>4763</v>
      </c>
      <c r="H10" s="942">
        <f>Elect!Q14</f>
        <v>720</v>
      </c>
      <c r="I10" s="942">
        <f>Elect!W14</f>
        <v>151</v>
      </c>
      <c r="J10" s="942">
        <f>Elect!Y14</f>
        <v>237</v>
      </c>
      <c r="K10" s="942">
        <f>Elect!AA14</f>
        <v>0</v>
      </c>
      <c r="L10" s="942">
        <f>Elect!AC14</f>
        <v>281.43</v>
      </c>
      <c r="M10" s="962">
        <f>Elect!AE14</f>
        <v>1163.8800000000001</v>
      </c>
      <c r="N10" s="962">
        <f>Elect!AG14</f>
        <v>0</v>
      </c>
      <c r="O10" s="962">
        <f>Elect!AI14</f>
        <v>201.93</v>
      </c>
      <c r="P10" s="962">
        <f>Elect!AK14</f>
        <v>2399.31</v>
      </c>
      <c r="Q10" s="962">
        <f>Elect!AN14</f>
        <v>809</v>
      </c>
      <c r="R10" s="962">
        <f>Elect!AP14</f>
        <v>341</v>
      </c>
      <c r="S10" s="962">
        <f>Elect!AR14</f>
        <v>27.94</v>
      </c>
      <c r="T10" s="962">
        <f>Elect!AT14</f>
        <v>331</v>
      </c>
      <c r="U10" s="962">
        <f>Elect!AV14</f>
        <v>985</v>
      </c>
      <c r="V10" s="962">
        <f>Elect!AX14</f>
        <v>64</v>
      </c>
      <c r="W10" s="962">
        <f>Elect!AZ14</f>
        <v>5586</v>
      </c>
      <c r="X10" s="962">
        <f>Elect!BB14</f>
        <v>5462.9</v>
      </c>
      <c r="Y10" s="962">
        <f>Elect!BE14</f>
        <v>0</v>
      </c>
      <c r="Z10" s="962">
        <f>Elect!BG14</f>
        <v>1021</v>
      </c>
      <c r="AA10" s="962">
        <f>Elect!BI14</f>
        <v>135</v>
      </c>
      <c r="AB10" s="962">
        <f>Elect!BK14</f>
        <v>198</v>
      </c>
      <c r="AC10" s="962"/>
      <c r="AD10" s="962">
        <f>Water!C15</f>
        <v>121.8</v>
      </c>
      <c r="AE10" s="962">
        <f>Water!E15</f>
        <v>0</v>
      </c>
      <c r="AF10" s="962">
        <f>Water!G15</f>
        <v>53.94</v>
      </c>
      <c r="AG10" s="962"/>
      <c r="AH10" s="962">
        <f>Gas!C15</f>
        <v>1608.02</v>
      </c>
      <c r="AI10" s="962">
        <f>Gas!E15</f>
        <v>283.5</v>
      </c>
      <c r="AJ10" s="962">
        <f>Gas!G15</f>
        <v>110</v>
      </c>
      <c r="AK10" s="949">
        <f>Elect!BM14</f>
        <v>200</v>
      </c>
    </row>
    <row r="11" spans="1:37" ht="12.75" customHeight="1">
      <c r="A11" s="959" t="s">
        <v>369</v>
      </c>
      <c r="B11" s="954">
        <f t="shared" si="0"/>
        <v>10</v>
      </c>
      <c r="C11" s="957">
        <v>2</v>
      </c>
      <c r="D11" s="958">
        <v>2020</v>
      </c>
      <c r="E11" s="965"/>
      <c r="F11" s="942">
        <f>Elect!J15</f>
        <v>8899</v>
      </c>
      <c r="G11" s="942">
        <f>Elect!K15</f>
        <v>5548</v>
      </c>
      <c r="H11" s="942">
        <f>Elect!Q15</f>
        <v>750</v>
      </c>
      <c r="I11" s="942">
        <f>Elect!W15</f>
        <v>134</v>
      </c>
      <c r="J11" s="942">
        <f>Elect!Y15</f>
        <v>213</v>
      </c>
      <c r="K11" s="942">
        <f>Elect!AA15</f>
        <v>0</v>
      </c>
      <c r="L11" s="942">
        <f>Elect!AC15</f>
        <v>1461.74</v>
      </c>
      <c r="M11" s="962">
        <f>Elect!AE15</f>
        <v>0</v>
      </c>
      <c r="N11" s="962">
        <f>Elect!AG15</f>
        <v>0</v>
      </c>
      <c r="O11" s="962">
        <f>Elect!AI15</f>
        <v>162.18</v>
      </c>
      <c r="P11" s="962">
        <f>Elect!AK15</f>
        <v>2039.97</v>
      </c>
      <c r="Q11" s="962">
        <f>Elect!AN15</f>
        <v>676</v>
      </c>
      <c r="R11" s="962">
        <f>Elect!AP15</f>
        <v>289</v>
      </c>
      <c r="S11" s="962">
        <f>Elect!AR15</f>
        <v>34.65</v>
      </c>
      <c r="T11" s="962">
        <f>Elect!AT15</f>
        <v>237</v>
      </c>
      <c r="U11" s="962">
        <f>Elect!AV15</f>
        <v>787</v>
      </c>
      <c r="V11" s="962">
        <f>Elect!AX15</f>
        <v>55</v>
      </c>
      <c r="W11" s="962">
        <f>Elect!AZ15</f>
        <v>7369</v>
      </c>
      <c r="X11" s="962">
        <f>Elect!BB15</f>
        <v>6326</v>
      </c>
      <c r="Y11" s="962">
        <f>Elect!BE15</f>
        <v>0</v>
      </c>
      <c r="Z11" s="962">
        <f>Elect!BG15</f>
        <v>1255</v>
      </c>
      <c r="AA11" s="962">
        <f>Elect!BI15</f>
        <v>148</v>
      </c>
      <c r="AB11" s="962">
        <f>Elect!BK15</f>
        <v>223</v>
      </c>
      <c r="AC11" s="962"/>
      <c r="AD11" s="962">
        <f>Water!C16</f>
        <v>127.6</v>
      </c>
      <c r="AE11" s="962">
        <f>Water!E16</f>
        <v>5.8</v>
      </c>
      <c r="AF11" s="962">
        <f>Water!G16</f>
        <v>64.38</v>
      </c>
      <c r="AG11" s="962"/>
      <c r="AH11" s="962">
        <f>Gas!C16</f>
        <v>1789.2800000000002</v>
      </c>
      <c r="AI11" s="962">
        <f>Gas!E16</f>
        <v>284.89999999999998</v>
      </c>
      <c r="AJ11" s="962">
        <f>Gas!G16</f>
        <v>96</v>
      </c>
      <c r="AK11" s="949">
        <f>Elect!BM15</f>
        <v>165</v>
      </c>
    </row>
    <row r="12" spans="1:37" ht="12.75" customHeight="1">
      <c r="A12" s="959" t="s">
        <v>369</v>
      </c>
      <c r="B12" s="954">
        <f t="shared" si="0"/>
        <v>11</v>
      </c>
      <c r="C12" s="957">
        <v>2</v>
      </c>
      <c r="D12" s="958">
        <v>2020</v>
      </c>
      <c r="E12" s="965"/>
      <c r="F12" s="942">
        <f>Elect!J16</f>
        <v>6060</v>
      </c>
      <c r="G12" s="942">
        <f>Elect!K16</f>
        <v>5463</v>
      </c>
      <c r="H12" s="942">
        <f>Elect!Q16</f>
        <v>750</v>
      </c>
      <c r="I12" s="942">
        <f>Elect!W16</f>
        <v>146</v>
      </c>
      <c r="J12" s="942">
        <f>Elect!Y16</f>
        <v>232</v>
      </c>
      <c r="K12" s="942">
        <f>Elect!AA16</f>
        <v>0</v>
      </c>
      <c r="L12" s="942">
        <f>Elect!AC16</f>
        <v>1478.17</v>
      </c>
      <c r="M12" s="962">
        <f>Elect!AE16</f>
        <v>0</v>
      </c>
      <c r="N12" s="962">
        <f>Elect!AG16</f>
        <v>0</v>
      </c>
      <c r="O12" s="962">
        <f>Elect!AI16</f>
        <v>169.07000000000002</v>
      </c>
      <c r="P12" s="962">
        <f>Elect!AK16</f>
        <v>2247.2000000000003</v>
      </c>
      <c r="Q12" s="962">
        <f>Elect!AN16</f>
        <v>768</v>
      </c>
      <c r="R12" s="962">
        <f>Elect!AP16</f>
        <v>262</v>
      </c>
      <c r="S12" s="962">
        <f>Elect!AR16</f>
        <v>24.09</v>
      </c>
      <c r="T12" s="962">
        <f>Elect!AT16</f>
        <v>281</v>
      </c>
      <c r="U12" s="962">
        <f>Elect!AV16</f>
        <v>775</v>
      </c>
      <c r="V12" s="962">
        <f>Elect!AX16</f>
        <v>62</v>
      </c>
      <c r="W12" s="962">
        <f>Elect!AZ16</f>
        <v>4350</v>
      </c>
      <c r="X12" s="962">
        <f>Elect!BB16</f>
        <v>4328.3</v>
      </c>
      <c r="Y12" s="962">
        <f>Elect!BE16</f>
        <v>0</v>
      </c>
      <c r="Z12" s="962">
        <f>Elect!BG16</f>
        <v>872</v>
      </c>
      <c r="AA12" s="962">
        <f>Elect!BI16</f>
        <v>105</v>
      </c>
      <c r="AB12" s="962">
        <f>Elect!BK16</f>
        <v>148</v>
      </c>
      <c r="AC12" s="962"/>
      <c r="AD12" s="962">
        <f>Water!C17</f>
        <v>145</v>
      </c>
      <c r="AE12" s="962">
        <f>Water!E17</f>
        <v>5.8</v>
      </c>
      <c r="AF12" s="962">
        <f>Water!G17</f>
        <v>68.44</v>
      </c>
      <c r="AG12" s="962"/>
      <c r="AH12" s="962">
        <f>Gas!C17</f>
        <v>1668.44</v>
      </c>
      <c r="AI12" s="962">
        <f>Gas!E17</f>
        <v>280.7</v>
      </c>
      <c r="AJ12" s="962">
        <f>Gas!G17</f>
        <v>94</v>
      </c>
      <c r="AK12" s="949">
        <f>Elect!BM16</f>
        <v>215</v>
      </c>
    </row>
    <row r="13" spans="1:37" ht="12.75" customHeight="1">
      <c r="A13" s="959" t="s">
        <v>369</v>
      </c>
      <c r="B13" s="954">
        <f t="shared" si="0"/>
        <v>12</v>
      </c>
      <c r="C13" s="957">
        <v>2</v>
      </c>
      <c r="D13" s="958">
        <v>2020</v>
      </c>
      <c r="E13" s="965"/>
      <c r="F13" s="942">
        <f>Elect!J17</f>
        <v>7127</v>
      </c>
      <c r="G13" s="942">
        <f>Elect!K17</f>
        <v>5773</v>
      </c>
      <c r="H13" s="942">
        <f>Elect!Q17</f>
        <v>600</v>
      </c>
      <c r="I13" s="942">
        <f>Elect!W17</f>
        <v>145</v>
      </c>
      <c r="J13" s="942">
        <f>Elect!Y17</f>
        <v>232</v>
      </c>
      <c r="K13" s="942">
        <f>Elect!AA17</f>
        <v>0</v>
      </c>
      <c r="L13" s="942">
        <f>Elect!AC17</f>
        <v>270.83000000000004</v>
      </c>
      <c r="M13" s="962">
        <f>Elect!AE17</f>
        <v>1526.93</v>
      </c>
      <c r="N13" s="962">
        <f>Elect!AG17</f>
        <v>0</v>
      </c>
      <c r="O13" s="962">
        <f>Elect!AI17</f>
        <v>186.56</v>
      </c>
      <c r="P13" s="962">
        <f>Elect!AK17</f>
        <v>2247.2000000000003</v>
      </c>
      <c r="Q13" s="962">
        <f>Elect!AN17</f>
        <v>791</v>
      </c>
      <c r="R13" s="962">
        <f>Elect!AP17</f>
        <v>290</v>
      </c>
      <c r="S13" s="962">
        <f>Elect!AR17</f>
        <v>29.92</v>
      </c>
      <c r="T13" s="962">
        <f>Elect!AT17</f>
        <v>262</v>
      </c>
      <c r="U13" s="962">
        <f>Elect!AV17</f>
        <v>813</v>
      </c>
      <c r="V13" s="962">
        <f>Elect!AX17</f>
        <v>59</v>
      </c>
      <c r="W13" s="962">
        <f>Elect!AZ17</f>
        <v>5682</v>
      </c>
      <c r="X13" s="962">
        <f>Elect!BB17</f>
        <v>5697.6333332985641</v>
      </c>
      <c r="Y13" s="962">
        <f>Elect!BE17</f>
        <v>0</v>
      </c>
      <c r="Z13" s="962">
        <f>Elect!BG17</f>
        <v>1092</v>
      </c>
      <c r="AA13" s="962">
        <f>Elect!BI17</f>
        <v>121</v>
      </c>
      <c r="AB13" s="962">
        <f>Elect!BK17</f>
        <v>188</v>
      </c>
      <c r="AC13" s="962"/>
      <c r="AD13" s="962">
        <f>Water!C18</f>
        <v>104.39999999999999</v>
      </c>
      <c r="AE13" s="962">
        <f>Water!E18</f>
        <v>0</v>
      </c>
      <c r="AF13" s="962">
        <f>Water!G18</f>
        <v>73.66</v>
      </c>
      <c r="AG13" s="962"/>
      <c r="AH13" s="962">
        <f>Gas!C18</f>
        <v>1429.94</v>
      </c>
      <c r="AI13" s="962">
        <f>Gas!E18</f>
        <v>256.89999999999998</v>
      </c>
      <c r="AJ13" s="962">
        <f>Gas!G18</f>
        <v>74</v>
      </c>
      <c r="AK13" s="949">
        <f>Elect!BM17</f>
        <v>236</v>
      </c>
    </row>
    <row r="14" spans="1:37" ht="12.75" customHeight="1">
      <c r="A14" s="959" t="s">
        <v>369</v>
      </c>
      <c r="B14" s="954">
        <f t="shared" si="0"/>
        <v>13</v>
      </c>
      <c r="C14" s="957">
        <v>2</v>
      </c>
      <c r="D14" s="958">
        <v>2020</v>
      </c>
      <c r="E14" s="965"/>
      <c r="F14" s="942">
        <f>Elect!J18</f>
        <v>7174</v>
      </c>
      <c r="G14" s="942">
        <f>Elect!K18</f>
        <v>4551</v>
      </c>
      <c r="H14" s="942">
        <f>Elect!Q18</f>
        <v>690</v>
      </c>
      <c r="I14" s="942">
        <f>Elect!W18</f>
        <v>153</v>
      </c>
      <c r="J14" s="942">
        <f>Elect!Y18</f>
        <v>248</v>
      </c>
      <c r="K14" s="942">
        <f>Elect!AA18</f>
        <v>0</v>
      </c>
      <c r="L14" s="942">
        <f>Elect!AC18</f>
        <v>0</v>
      </c>
      <c r="M14" s="962">
        <f>Elect!AE18</f>
        <v>2586.9300000000003</v>
      </c>
      <c r="N14" s="962">
        <f>Elect!AG18</f>
        <v>0</v>
      </c>
      <c r="O14" s="962">
        <f>Elect!AI18</f>
        <v>261.82</v>
      </c>
      <c r="P14" s="962">
        <f>Elect!AK18</f>
        <v>2531.81</v>
      </c>
      <c r="Q14" s="962">
        <f>Elect!AN18</f>
        <v>954</v>
      </c>
      <c r="R14" s="962">
        <f>Elect!AP18</f>
        <v>339</v>
      </c>
      <c r="S14" s="962">
        <f>Elect!AR18</f>
        <v>31.13</v>
      </c>
      <c r="T14" s="962">
        <f>Elect!AT18</f>
        <v>233</v>
      </c>
      <c r="U14" s="962">
        <f>Elect!AV18</f>
        <v>907</v>
      </c>
      <c r="V14" s="962">
        <f>Elect!AX18</f>
        <v>64</v>
      </c>
      <c r="W14" s="962">
        <f>Elect!AZ18</f>
        <v>5975</v>
      </c>
      <c r="X14" s="962">
        <f>Elect!BB18</f>
        <v>5611.8666667014359</v>
      </c>
      <c r="Y14" s="962">
        <f>Elect!BE18</f>
        <v>0</v>
      </c>
      <c r="Z14" s="962">
        <f>Elect!BG18</f>
        <v>1203</v>
      </c>
      <c r="AA14" s="962">
        <f>Elect!BI18</f>
        <v>132</v>
      </c>
      <c r="AB14" s="962">
        <f>Elect!BK18</f>
        <v>195</v>
      </c>
      <c r="AC14" s="962"/>
      <c r="AD14" s="962">
        <f>Water!C19</f>
        <v>179.79999999999998</v>
      </c>
      <c r="AE14" s="962">
        <f>Water!E19</f>
        <v>5.8</v>
      </c>
      <c r="AF14" s="962">
        <f>Water!G19</f>
        <v>70.179999999999993</v>
      </c>
      <c r="AG14" s="962"/>
      <c r="AH14" s="962">
        <f>Gas!C19</f>
        <v>1610.14</v>
      </c>
      <c r="AI14" s="962">
        <f>Gas!E19</f>
        <v>344.4</v>
      </c>
      <c r="AJ14" s="962">
        <f>Gas!G19</f>
        <v>92</v>
      </c>
      <c r="AK14" s="949">
        <f>Elect!BM18</f>
        <v>251</v>
      </c>
    </row>
    <row r="15" spans="1:37" ht="12.75" customHeight="1">
      <c r="A15" s="959" t="s">
        <v>369</v>
      </c>
      <c r="B15" s="954">
        <f t="shared" si="0"/>
        <v>14</v>
      </c>
      <c r="C15" s="957">
        <v>2</v>
      </c>
      <c r="D15" s="958">
        <v>2020</v>
      </c>
      <c r="E15" s="965"/>
      <c r="F15" s="942">
        <f>Elect!J19</f>
        <v>7352</v>
      </c>
      <c r="G15" s="942">
        <f>Elect!K19</f>
        <v>5272</v>
      </c>
      <c r="H15" s="942">
        <f>Elect!Q19</f>
        <v>750</v>
      </c>
      <c r="I15" s="942">
        <f>Elect!W19</f>
        <v>145.5</v>
      </c>
      <c r="J15" s="942">
        <f>Elect!Y19</f>
        <v>252</v>
      </c>
      <c r="K15" s="942">
        <f>Elect!AA19</f>
        <v>0</v>
      </c>
      <c r="L15" s="942">
        <f>Elect!AC19</f>
        <v>0</v>
      </c>
      <c r="M15" s="962">
        <f>Elect!AE19</f>
        <v>2724.73</v>
      </c>
      <c r="N15" s="962">
        <f>Elect!AG19</f>
        <v>0</v>
      </c>
      <c r="O15" s="962">
        <f>Elect!AI19</f>
        <v>267.65000000000003</v>
      </c>
      <c r="P15" s="962">
        <f>Elect!AK19</f>
        <v>2533.4</v>
      </c>
      <c r="Q15" s="962">
        <f>Elect!AN19</f>
        <v>876</v>
      </c>
      <c r="R15" s="962">
        <f>Elect!AP19</f>
        <v>301</v>
      </c>
      <c r="S15" s="962">
        <f>Elect!AR19</f>
        <v>35.42</v>
      </c>
      <c r="T15" s="962">
        <f>Elect!AT19</f>
        <v>244</v>
      </c>
      <c r="U15" s="962">
        <f>Elect!AV19</f>
        <v>950</v>
      </c>
      <c r="V15" s="962">
        <f>Elect!AX19</f>
        <v>66</v>
      </c>
      <c r="W15" s="962">
        <f>Elect!AZ19</f>
        <v>5938</v>
      </c>
      <c r="X15" s="962">
        <f>Elect!BB19</f>
        <v>6596.2</v>
      </c>
      <c r="Y15" s="962">
        <f>Elect!BE19</f>
        <v>0</v>
      </c>
      <c r="Z15" s="962">
        <f>Elect!BG19</f>
        <v>1338</v>
      </c>
      <c r="AA15" s="962">
        <f>Elect!BI19</f>
        <v>148</v>
      </c>
      <c r="AB15" s="962">
        <f>Elect!BK19</f>
        <v>225</v>
      </c>
      <c r="AC15" s="962"/>
      <c r="AD15" s="962">
        <f>Water!C20</f>
        <v>162.39999999999998</v>
      </c>
      <c r="AE15" s="962">
        <f>Water!E20</f>
        <v>5.8</v>
      </c>
      <c r="AF15" s="962">
        <f>Water!G20</f>
        <v>74.819999999999993</v>
      </c>
      <c r="AG15" s="962"/>
      <c r="AH15" s="962">
        <f>Gas!C20</f>
        <v>1363.16</v>
      </c>
      <c r="AI15" s="962">
        <f>Gas!E20</f>
        <v>344.4</v>
      </c>
      <c r="AJ15" s="962">
        <f>Gas!G20</f>
        <v>85</v>
      </c>
      <c r="AK15" s="949">
        <f>Elect!BM19</f>
        <v>256</v>
      </c>
    </row>
    <row r="16" spans="1:37" ht="12.75" customHeight="1">
      <c r="A16" s="959" t="s">
        <v>369</v>
      </c>
      <c r="B16" s="954">
        <f t="shared" si="0"/>
        <v>15</v>
      </c>
      <c r="C16" s="957">
        <v>2</v>
      </c>
      <c r="D16" s="958">
        <v>2020</v>
      </c>
      <c r="E16" s="965"/>
      <c r="F16" s="942">
        <f>Elect!J20</f>
        <v>7233.333333298564</v>
      </c>
      <c r="G16" s="942">
        <f>Elect!K20</f>
        <v>5162</v>
      </c>
      <c r="H16" s="942">
        <f>Elect!Q20</f>
        <v>645</v>
      </c>
      <c r="I16" s="942">
        <f>Elect!W20</f>
        <v>142.21428571430442</v>
      </c>
      <c r="J16" s="942">
        <f>Elect!Y20</f>
        <v>240</v>
      </c>
      <c r="K16" s="942">
        <f>Elect!AA20</f>
        <v>0</v>
      </c>
      <c r="L16" s="942">
        <f>Elect!AC20</f>
        <v>0</v>
      </c>
      <c r="M16" s="962">
        <f>Elect!AE20</f>
        <v>0</v>
      </c>
      <c r="N16" s="962">
        <f>Elect!AG20</f>
        <v>0</v>
      </c>
      <c r="O16" s="962">
        <f>Elect!AI20</f>
        <v>224.19</v>
      </c>
      <c r="P16" s="962">
        <f>Elect!AK20</f>
        <v>2275.3429999999994</v>
      </c>
      <c r="Q16" s="962">
        <f>Elect!AN20</f>
        <v>928</v>
      </c>
      <c r="R16" s="962">
        <f>Elect!AP20</f>
        <v>314.5</v>
      </c>
      <c r="S16" s="962">
        <f>Elect!AR20</f>
        <v>32.56</v>
      </c>
      <c r="T16" s="962">
        <f>Elect!AT20</f>
        <v>236.66666666697711</v>
      </c>
      <c r="U16" s="962">
        <f>Elect!AV20</f>
        <v>860</v>
      </c>
      <c r="V16" s="962">
        <f>Elect!AX20</f>
        <v>61.5</v>
      </c>
      <c r="W16" s="962">
        <f>Elect!AZ20</f>
        <v>5828.5</v>
      </c>
      <c r="X16" s="962">
        <f>Elect!BB20</f>
        <v>5589.0333333334884</v>
      </c>
      <c r="Y16" s="962">
        <f>Elect!BE20</f>
        <v>0</v>
      </c>
      <c r="Z16" s="962">
        <f>Elect!BG20</f>
        <v>1248</v>
      </c>
      <c r="AA16" s="962">
        <f>Elect!BI20</f>
        <v>137.33333333302289</v>
      </c>
      <c r="AB16" s="962">
        <f>Elect!BK20</f>
        <v>191.5</v>
      </c>
      <c r="AC16" s="962"/>
      <c r="AD16" s="962">
        <f>Water!C21</f>
        <v>150.79999999999998</v>
      </c>
      <c r="AE16" s="962">
        <f>Water!E21</f>
        <v>5.8</v>
      </c>
      <c r="AF16" s="962">
        <f>Water!G21</f>
        <v>77.14</v>
      </c>
      <c r="AG16" s="962"/>
      <c r="AH16" s="962">
        <f>Gas!C21</f>
        <v>1656.78</v>
      </c>
      <c r="AI16" s="962">
        <f>Gas!E21</f>
        <v>291.2</v>
      </c>
      <c r="AJ16" s="962">
        <f>Gas!G21</f>
        <v>102</v>
      </c>
      <c r="AK16" s="949">
        <f>Elect!BM20</f>
        <v>219</v>
      </c>
    </row>
    <row r="17" spans="1:37" ht="12.75" customHeight="1">
      <c r="A17" s="959" t="s">
        <v>369</v>
      </c>
      <c r="B17" s="954">
        <f t="shared" si="0"/>
        <v>16</v>
      </c>
      <c r="C17" s="957">
        <v>2</v>
      </c>
      <c r="D17" s="958">
        <v>2020</v>
      </c>
      <c r="E17" s="965"/>
      <c r="F17" s="942">
        <f>Elect!J21</f>
        <v>7332.4761904999614</v>
      </c>
      <c r="G17" s="942">
        <f>Elect!K21</f>
        <v>4791</v>
      </c>
      <c r="H17" s="942">
        <f>Elect!Q21</f>
        <v>675</v>
      </c>
      <c r="I17" s="942">
        <f>Elect!W21</f>
        <v>151.28571428569558</v>
      </c>
      <c r="J17" s="942">
        <f>Elect!Y21</f>
        <v>225</v>
      </c>
      <c r="K17" s="942">
        <f>Elect!AA21</f>
        <v>0</v>
      </c>
      <c r="L17" s="942">
        <f>Elect!AC21</f>
        <v>0</v>
      </c>
      <c r="M17" s="962">
        <f>Elect!AE21</f>
        <v>0</v>
      </c>
      <c r="N17" s="962">
        <f>Elect!AG21</f>
        <v>3411.7277777776681</v>
      </c>
      <c r="O17" s="962">
        <f>Elect!AI21</f>
        <v>202.46</v>
      </c>
      <c r="P17" s="962">
        <f>Elect!AK21</f>
        <v>2394.487000000001</v>
      </c>
      <c r="Q17" s="962">
        <f>Elect!AN21</f>
        <v>759</v>
      </c>
      <c r="R17" s="962">
        <f>Elect!AP21</f>
        <v>265.5</v>
      </c>
      <c r="S17" s="962">
        <f>Elect!AR21</f>
        <v>26.29</v>
      </c>
      <c r="T17" s="962">
        <f>Elect!AT21</f>
        <v>186.33333333302289</v>
      </c>
      <c r="U17" s="962">
        <f>Elect!AV21</f>
        <v>932</v>
      </c>
      <c r="V17" s="962">
        <f>Elect!AX21</f>
        <v>59.5</v>
      </c>
      <c r="W17" s="962">
        <f>Elect!AZ21</f>
        <v>5632.5</v>
      </c>
      <c r="X17" s="962">
        <f>Elect!BB21</f>
        <v>4785.0666666665111</v>
      </c>
      <c r="Y17" s="962">
        <f>Elect!BE21</f>
        <v>0</v>
      </c>
      <c r="Z17" s="962">
        <f>Elect!BG21</f>
        <v>796</v>
      </c>
      <c r="AA17" s="962">
        <f>Elect!BI21</f>
        <v>103.66666666697711</v>
      </c>
      <c r="AB17" s="962">
        <f>Elect!BK21</f>
        <v>160.5</v>
      </c>
      <c r="AC17" s="962"/>
      <c r="AD17" s="962">
        <f>Water!C22</f>
        <v>133.39999999999998</v>
      </c>
      <c r="AE17" s="962">
        <f>Water!E22</f>
        <v>0</v>
      </c>
      <c r="AF17" s="962">
        <f>Water!G22</f>
        <v>69.599999999999994</v>
      </c>
      <c r="AG17" s="962"/>
      <c r="AH17" s="962">
        <f>Gas!C22</f>
        <v>1619.68</v>
      </c>
      <c r="AI17" s="962">
        <f>Gas!E22</f>
        <v>259</v>
      </c>
      <c r="AJ17" s="962">
        <f>Gas!G22</f>
        <v>96</v>
      </c>
      <c r="AK17" s="949">
        <f>Elect!BM21</f>
        <v>196</v>
      </c>
    </row>
    <row r="18" spans="1:37" ht="12.75" customHeight="1">
      <c r="A18" s="959" t="s">
        <v>369</v>
      </c>
      <c r="B18" s="954">
        <f t="shared" si="0"/>
        <v>17</v>
      </c>
      <c r="C18" s="957">
        <v>2</v>
      </c>
      <c r="D18" s="958">
        <v>2020</v>
      </c>
      <c r="E18" s="965"/>
      <c r="F18" s="942">
        <f>Elect!J22</f>
        <v>5348.1904762014747</v>
      </c>
      <c r="G18" s="942">
        <f>Elect!K22</f>
        <v>4498</v>
      </c>
      <c r="H18" s="942">
        <f>Elect!Q22</f>
        <v>900</v>
      </c>
      <c r="I18" s="942">
        <f>Elect!W22</f>
        <v>147</v>
      </c>
      <c r="J18" s="942">
        <f>Elect!Y22</f>
        <v>233</v>
      </c>
      <c r="K18" s="942">
        <f>Elect!AA22</f>
        <v>0</v>
      </c>
      <c r="L18" s="942">
        <f>Elect!AC22</f>
        <v>0</v>
      </c>
      <c r="M18" s="962">
        <f>Elect!AE22</f>
        <v>2166.6400000000003</v>
      </c>
      <c r="N18" s="962">
        <f>Elect!AG22</f>
        <v>1685.93</v>
      </c>
      <c r="O18" s="962">
        <f>Elect!AI22</f>
        <v>269.77000000000004</v>
      </c>
      <c r="P18" s="962">
        <f>Elect!AK22</f>
        <v>2376.52</v>
      </c>
      <c r="Q18" s="962">
        <f>Elect!AN22</f>
        <v>937</v>
      </c>
      <c r="R18" s="962">
        <f>Elect!AP22</f>
        <v>315</v>
      </c>
      <c r="S18" s="962">
        <f>Elect!AR22</f>
        <v>30.91</v>
      </c>
      <c r="T18" s="962">
        <f>Elect!AT22</f>
        <v>257</v>
      </c>
      <c r="U18" s="962">
        <f>Elect!AV22</f>
        <v>979</v>
      </c>
      <c r="V18" s="962">
        <f>Elect!AX22</f>
        <v>63</v>
      </c>
      <c r="W18" s="962">
        <f>Elect!AZ22</f>
        <v>6301</v>
      </c>
      <c r="X18" s="962">
        <f>Elect!BB22</f>
        <v>5799.9</v>
      </c>
      <c r="Y18" s="962">
        <f>Elect!BE22</f>
        <v>0</v>
      </c>
      <c r="Z18" s="962">
        <f>Elect!BG22</f>
        <v>1161</v>
      </c>
      <c r="AA18" s="962">
        <f>Elect!BI22</f>
        <v>131</v>
      </c>
      <c r="AB18" s="962">
        <f>Elect!BK22</f>
        <v>200</v>
      </c>
      <c r="AC18" s="962"/>
      <c r="AD18" s="962">
        <f>Water!C23</f>
        <v>145</v>
      </c>
      <c r="AE18" s="962">
        <f>Water!E23</f>
        <v>5.8</v>
      </c>
      <c r="AF18" s="962">
        <f>Water!G23</f>
        <v>75.97999999999999</v>
      </c>
      <c r="AG18" s="962"/>
      <c r="AH18" s="962">
        <f>Gas!C23</f>
        <v>1474.9142857158372</v>
      </c>
      <c r="AI18" s="962">
        <f>Gas!E23</f>
        <v>375.2</v>
      </c>
      <c r="AJ18" s="962">
        <f>Gas!G23</f>
        <v>86</v>
      </c>
      <c r="AK18" s="949">
        <f>Elect!BM22</f>
        <v>230</v>
      </c>
    </row>
    <row r="19" spans="1:37" ht="12.75" customHeight="1">
      <c r="A19" s="959" t="s">
        <v>369</v>
      </c>
      <c r="B19" s="954">
        <f t="shared" si="0"/>
        <v>18</v>
      </c>
      <c r="C19" s="957">
        <v>2</v>
      </c>
      <c r="D19" s="958">
        <v>2020</v>
      </c>
      <c r="E19" s="965"/>
      <c r="F19" s="942">
        <f>Elect!J23</f>
        <v>8482</v>
      </c>
      <c r="G19" s="942">
        <f>Elect!K23</f>
        <v>5107</v>
      </c>
      <c r="H19" s="942">
        <f>Elect!Q23</f>
        <v>570</v>
      </c>
      <c r="I19" s="942">
        <f>Elect!W23</f>
        <v>152</v>
      </c>
      <c r="J19" s="942">
        <f>Elect!Y23</f>
        <v>240</v>
      </c>
      <c r="K19" s="942">
        <f>Elect!AA23</f>
        <v>0</v>
      </c>
      <c r="L19" s="942">
        <f>Elect!AC23</f>
        <v>0</v>
      </c>
      <c r="M19" s="962">
        <f>Elect!AE23</f>
        <v>1876.2</v>
      </c>
      <c r="N19" s="962">
        <f>Elect!AG23</f>
        <v>0</v>
      </c>
      <c r="O19" s="962">
        <f>Elect!AI23</f>
        <v>212.53</v>
      </c>
      <c r="P19" s="962">
        <f>Elect!AK23</f>
        <v>1965.7700000000002</v>
      </c>
      <c r="Q19" s="962">
        <f>Elect!AN23</f>
        <v>933</v>
      </c>
      <c r="R19" s="962">
        <f>Elect!AP23</f>
        <v>332</v>
      </c>
      <c r="S19" s="962">
        <f>Elect!AR23</f>
        <v>30.8</v>
      </c>
      <c r="T19" s="962">
        <f>Elect!AT23</f>
        <v>228</v>
      </c>
      <c r="U19" s="962">
        <f>Elect!AV23</f>
        <v>954</v>
      </c>
      <c r="V19" s="962">
        <f>Elect!AX23</f>
        <v>64</v>
      </c>
      <c r="W19" s="962">
        <f>Elect!AZ23</f>
        <v>6005</v>
      </c>
      <c r="X19" s="962">
        <f>Elect!BB23</f>
        <v>5841.5</v>
      </c>
      <c r="Y19" s="962">
        <f>Elect!BE23</f>
        <v>0</v>
      </c>
      <c r="Z19" s="962">
        <f>Elect!BG23</f>
        <v>1155</v>
      </c>
      <c r="AA19" s="962">
        <f>Elect!BI23</f>
        <v>135</v>
      </c>
      <c r="AB19" s="962">
        <f>Elect!BK23</f>
        <v>205</v>
      </c>
      <c r="AC19" s="962"/>
      <c r="AD19" s="962">
        <f>Water!C24</f>
        <v>162.39999999999998</v>
      </c>
      <c r="AE19" s="962">
        <f>Water!E24</f>
        <v>5.8</v>
      </c>
      <c r="AF19" s="962">
        <f>Water!G24</f>
        <v>114.25999999999999</v>
      </c>
      <c r="AG19" s="962"/>
      <c r="AH19" s="962">
        <f>Gas!C24</f>
        <v>1524.0853061215021</v>
      </c>
      <c r="AI19" s="962">
        <f>Gas!E24</f>
        <v>269.5</v>
      </c>
      <c r="AJ19" s="962">
        <f>Gas!G24</f>
        <v>110</v>
      </c>
      <c r="AK19" s="949">
        <f>Elect!BM23</f>
        <v>235</v>
      </c>
    </row>
    <row r="20" spans="1:37" ht="12.75" customHeight="1">
      <c r="A20" s="959" t="s">
        <v>369</v>
      </c>
      <c r="B20" s="954">
        <f t="shared" si="0"/>
        <v>19</v>
      </c>
      <c r="C20" s="957">
        <v>2</v>
      </c>
      <c r="D20" s="958">
        <v>2020</v>
      </c>
      <c r="E20" s="965"/>
      <c r="F20" s="942">
        <f>Elect!J24</f>
        <v>7427</v>
      </c>
      <c r="G20" s="942">
        <f>Elect!K24</f>
        <v>4530</v>
      </c>
      <c r="H20" s="942">
        <f>Elect!Q24</f>
        <v>810</v>
      </c>
      <c r="I20" s="942">
        <f>Elect!W24</f>
        <v>152</v>
      </c>
      <c r="J20" s="942">
        <f>Elect!Y24</f>
        <v>242</v>
      </c>
      <c r="K20" s="942">
        <f>Elect!AA24</f>
        <v>0</v>
      </c>
      <c r="L20" s="942">
        <f>Elect!AC24</f>
        <v>0</v>
      </c>
      <c r="M20" s="962">
        <f>Elect!AE24</f>
        <v>1811.5400000000002</v>
      </c>
      <c r="N20" s="962">
        <f>Elect!AG24</f>
        <v>0</v>
      </c>
      <c r="O20" s="962">
        <f>Elect!AI24</f>
        <v>210.41</v>
      </c>
      <c r="P20" s="962">
        <f>Elect!AK24</f>
        <v>1939.2700000000002</v>
      </c>
      <c r="Q20" s="962">
        <f>Elect!AN24</f>
        <v>899</v>
      </c>
      <c r="R20" s="962">
        <f>Elect!AP24</f>
        <v>305</v>
      </c>
      <c r="S20" s="962">
        <f>Elect!AR24</f>
        <v>32.01</v>
      </c>
      <c r="T20" s="962">
        <f>Elect!AT24</f>
        <v>222</v>
      </c>
      <c r="U20" s="962">
        <f>Elect!AV24</f>
        <v>943</v>
      </c>
      <c r="V20" s="962">
        <f>Elect!AX24</f>
        <v>63</v>
      </c>
      <c r="W20" s="962">
        <f>Elect!AZ24</f>
        <v>6167</v>
      </c>
      <c r="X20" s="962">
        <f>Elect!BB24</f>
        <v>5991.4</v>
      </c>
      <c r="Y20" s="962">
        <f>Elect!BE24</f>
        <v>0</v>
      </c>
      <c r="Z20" s="962">
        <f>Elect!BG24</f>
        <v>1221</v>
      </c>
      <c r="AA20" s="962">
        <f>Elect!BI24</f>
        <v>136</v>
      </c>
      <c r="AB20" s="962">
        <f>Elect!BK24</f>
        <v>204</v>
      </c>
      <c r="AC20" s="962"/>
      <c r="AD20" s="962">
        <f>Water!C25</f>
        <v>127.6</v>
      </c>
      <c r="AE20" s="962">
        <f>Water!E25</f>
        <v>5.8</v>
      </c>
      <c r="AF20" s="962">
        <f>Water!G25</f>
        <v>56.839999999999996</v>
      </c>
      <c r="AG20" s="962"/>
      <c r="AH20" s="962">
        <f>Gas!C25</f>
        <v>1564.0494693911076</v>
      </c>
      <c r="AI20" s="962">
        <f>Gas!E25</f>
        <v>304.64000000000811</v>
      </c>
      <c r="AJ20" s="962">
        <f>Gas!G25</f>
        <v>92.599999999976717</v>
      </c>
      <c r="AK20" s="949">
        <f>Elect!BM24</f>
        <v>218</v>
      </c>
    </row>
    <row r="21" spans="1:37" ht="12.75" customHeight="1">
      <c r="A21" s="959" t="s">
        <v>369</v>
      </c>
      <c r="B21" s="954">
        <f t="shared" si="0"/>
        <v>20</v>
      </c>
      <c r="C21" s="957">
        <v>2</v>
      </c>
      <c r="D21" s="958">
        <v>2020</v>
      </c>
      <c r="E21" s="965"/>
      <c r="F21" s="942">
        <f>Elect!J25</f>
        <v>6722</v>
      </c>
      <c r="G21" s="942">
        <f>Elect!K25</f>
        <v>4836</v>
      </c>
      <c r="H21" s="942">
        <f>Elect!Q25</f>
        <v>660</v>
      </c>
      <c r="I21" s="942">
        <f>Elect!W25</f>
        <v>153</v>
      </c>
      <c r="J21" s="942">
        <f>Elect!Y25</f>
        <v>247</v>
      </c>
      <c r="K21" s="942">
        <f>Elect!AA25</f>
        <v>0</v>
      </c>
      <c r="L21" s="942">
        <f>Elect!AC25</f>
        <v>87.45</v>
      </c>
      <c r="M21" s="962">
        <f>Elect!AE25</f>
        <v>2094.56</v>
      </c>
      <c r="N21" s="962">
        <f>Elect!AG25</f>
        <v>0</v>
      </c>
      <c r="O21" s="962">
        <f>Elect!AI25</f>
        <v>268.71000000000004</v>
      </c>
      <c r="P21" s="962">
        <f>Elect!AK25</f>
        <v>2213.2800000000002</v>
      </c>
      <c r="Q21" s="962">
        <f>Elect!AN25</f>
        <v>966</v>
      </c>
      <c r="R21" s="962">
        <f>Elect!AP25</f>
        <v>319</v>
      </c>
      <c r="S21" s="962">
        <f>Elect!AR25</f>
        <v>28.93</v>
      </c>
      <c r="T21" s="962">
        <f>Elect!AT25</f>
        <v>248</v>
      </c>
      <c r="U21" s="962">
        <f>Elect!AV25</f>
        <v>1036</v>
      </c>
      <c r="V21" s="962">
        <f>Elect!AX25</f>
        <v>67</v>
      </c>
      <c r="W21" s="962">
        <f>Elect!AZ25</f>
        <v>5087</v>
      </c>
      <c r="X21" s="962">
        <f>Elect!BB25</f>
        <v>5691.6</v>
      </c>
      <c r="Y21" s="962">
        <f>Elect!BE25</f>
        <v>0</v>
      </c>
      <c r="Z21" s="962">
        <f>Elect!BG25</f>
        <v>1159</v>
      </c>
      <c r="AA21" s="962">
        <f>Elect!BI25</f>
        <v>124</v>
      </c>
      <c r="AB21" s="962">
        <f>Elect!BK25</f>
        <v>194</v>
      </c>
      <c r="AC21" s="962"/>
      <c r="AD21" s="962">
        <f>Water!C26</f>
        <v>133.39999999999998</v>
      </c>
      <c r="AE21" s="962">
        <f>Water!E26</f>
        <v>0</v>
      </c>
      <c r="AF21" s="962">
        <f>Water!G26</f>
        <v>58.58</v>
      </c>
      <c r="AG21" s="962"/>
      <c r="AH21" s="962">
        <f>Gas!C26</f>
        <v>1579.9379319690727</v>
      </c>
      <c r="AI21" s="962">
        <f>Gas!E26</f>
        <v>311.12199999999427</v>
      </c>
      <c r="AJ21" s="962">
        <f>Gas!G26</f>
        <v>95.880000000004657</v>
      </c>
      <c r="AK21" s="949">
        <f>Elect!BM25</f>
        <v>242</v>
      </c>
    </row>
    <row r="22" spans="1:37" ht="12.75" customHeight="1">
      <c r="A22" s="959" t="s">
        <v>369</v>
      </c>
      <c r="B22" s="954">
        <f t="shared" si="0"/>
        <v>21</v>
      </c>
      <c r="C22" s="957">
        <v>2</v>
      </c>
      <c r="D22" s="958">
        <v>2020</v>
      </c>
      <c r="E22" s="965"/>
      <c r="F22" s="942">
        <f>Elect!J26</f>
        <v>6166</v>
      </c>
      <c r="G22" s="942">
        <f>Elect!K26</f>
        <v>4407</v>
      </c>
      <c r="H22" s="942">
        <f>Elect!Q26</f>
        <v>660</v>
      </c>
      <c r="I22" s="942">
        <f>Elect!W26</f>
        <v>146</v>
      </c>
      <c r="J22" s="942">
        <f>Elect!Y26</f>
        <v>246</v>
      </c>
      <c r="K22" s="942">
        <f>Elect!AA26</f>
        <v>0</v>
      </c>
      <c r="L22" s="942">
        <f>Elect!AC26</f>
        <v>218.89000000000001</v>
      </c>
      <c r="M22" s="962">
        <f>Elect!AE26</f>
        <v>1435.24</v>
      </c>
      <c r="N22" s="962">
        <f>Elect!AG26</f>
        <v>0</v>
      </c>
      <c r="O22" s="962">
        <f>Elect!AI26</f>
        <v>206.70000000000002</v>
      </c>
      <c r="P22" s="962">
        <f>Elect!AK26</f>
        <v>1903.76</v>
      </c>
      <c r="Q22" s="962">
        <f>Elect!AN26</f>
        <v>861</v>
      </c>
      <c r="R22" s="962">
        <f>Elect!AP26</f>
        <v>316</v>
      </c>
      <c r="S22" s="962">
        <f>Elect!AR26</f>
        <v>30.47</v>
      </c>
      <c r="T22" s="962">
        <f>Elect!AT26</f>
        <v>262</v>
      </c>
      <c r="U22" s="962">
        <f>Elect!AV26</f>
        <v>908</v>
      </c>
      <c r="V22" s="962">
        <f>Elect!AX26</f>
        <v>60</v>
      </c>
      <c r="W22" s="962">
        <f>Elect!AZ26</f>
        <v>6676</v>
      </c>
      <c r="X22" s="962">
        <f>Elect!BB26</f>
        <v>5586.2</v>
      </c>
      <c r="Y22" s="962">
        <f>Elect!BE26</f>
        <v>0</v>
      </c>
      <c r="Z22" s="962">
        <f>Elect!BG26</f>
        <v>1168</v>
      </c>
      <c r="AA22" s="962">
        <f>Elect!BI26</f>
        <v>116</v>
      </c>
      <c r="AB22" s="962">
        <f>Elect!BK26</f>
        <v>201</v>
      </c>
      <c r="AC22" s="962"/>
      <c r="AD22" s="962">
        <f>Water!C27</f>
        <v>162.39999999999998</v>
      </c>
      <c r="AE22" s="962">
        <f>Water!E27</f>
        <v>5.8</v>
      </c>
      <c r="AF22" s="962">
        <f>Water!G27</f>
        <v>98.6</v>
      </c>
      <c r="AG22" s="962"/>
      <c r="AH22" s="962">
        <f>Gas!C27</f>
        <v>1302.4530068024808</v>
      </c>
      <c r="AI22" s="962">
        <f>Gas!E27</f>
        <v>298.43799999999754</v>
      </c>
      <c r="AJ22" s="962">
        <f>Gas!G27</f>
        <v>98.520000000018626</v>
      </c>
      <c r="AK22" s="949">
        <f>Elect!BM26</f>
        <v>251</v>
      </c>
    </row>
    <row r="23" spans="1:37" ht="12.75" customHeight="1">
      <c r="A23" s="959" t="s">
        <v>369</v>
      </c>
      <c r="B23" s="954">
        <f t="shared" si="0"/>
        <v>22</v>
      </c>
      <c r="C23" s="957">
        <v>2</v>
      </c>
      <c r="D23" s="958">
        <v>2020</v>
      </c>
      <c r="E23" s="965"/>
      <c r="F23" s="942">
        <f>Elect!J27</f>
        <v>7714</v>
      </c>
      <c r="G23" s="942">
        <f>Elect!K27</f>
        <v>5062</v>
      </c>
      <c r="H23" s="942">
        <f>Elect!Q27</f>
        <v>720</v>
      </c>
      <c r="I23" s="942">
        <f>Elect!W27</f>
        <v>167</v>
      </c>
      <c r="J23" s="942">
        <f>Elect!Y27</f>
        <v>256</v>
      </c>
      <c r="K23" s="942">
        <f>Elect!AA27</f>
        <v>0</v>
      </c>
      <c r="L23" s="942">
        <f>Elect!AC27</f>
        <v>2116.8200000000002</v>
      </c>
      <c r="M23" s="962">
        <f>Elect!AE27</f>
        <v>0</v>
      </c>
      <c r="N23" s="962">
        <f>Elect!AG27</f>
        <v>0</v>
      </c>
      <c r="O23" s="962">
        <f>Elect!AI27</f>
        <v>234.79000000000002</v>
      </c>
      <c r="P23" s="962">
        <f>Elect!AK27</f>
        <v>2428.46</v>
      </c>
      <c r="Q23" s="962">
        <f>Elect!AN27</f>
        <v>982</v>
      </c>
      <c r="R23" s="962">
        <f>Elect!AP27</f>
        <v>254</v>
      </c>
      <c r="S23" s="962">
        <f>Elect!AR27</f>
        <v>32.67</v>
      </c>
      <c r="T23" s="962">
        <f>Elect!AT27</f>
        <v>278</v>
      </c>
      <c r="U23" s="962">
        <f>Elect!AV27</f>
        <v>1111</v>
      </c>
      <c r="V23" s="962">
        <f>Elect!AX27</f>
        <v>68</v>
      </c>
      <c r="W23" s="962">
        <f>Elect!AZ27</f>
        <v>5518</v>
      </c>
      <c r="X23" s="962">
        <f>Elect!BB27</f>
        <v>6267.1</v>
      </c>
      <c r="Y23" s="962">
        <f>Elect!BE27</f>
        <v>0</v>
      </c>
      <c r="Z23" s="962">
        <f>Elect!BG27</f>
        <v>1224</v>
      </c>
      <c r="AA23" s="962">
        <f>Elect!BI27</f>
        <v>133</v>
      </c>
      <c r="AB23" s="962">
        <f>Elect!BK27</f>
        <v>220</v>
      </c>
      <c r="AC23" s="962"/>
      <c r="AD23" s="962">
        <f>Water!C28</f>
        <v>0</v>
      </c>
      <c r="AE23" s="962">
        <f>Water!E28</f>
        <v>0</v>
      </c>
      <c r="AF23" s="962">
        <f>Water!G28</f>
        <v>0</v>
      </c>
      <c r="AG23" s="962"/>
      <c r="AH23" s="962">
        <f>Gas!C28</f>
        <v>0</v>
      </c>
      <c r="AI23" s="962">
        <f>Gas!E28</f>
        <v>0</v>
      </c>
      <c r="AJ23" s="962">
        <f>Gas!G28</f>
        <v>0</v>
      </c>
      <c r="AK23" s="949">
        <f>Elect!BM27</f>
        <v>243</v>
      </c>
    </row>
    <row r="24" spans="1:37" ht="12.75" customHeight="1">
      <c r="A24" s="959" t="s">
        <v>369</v>
      </c>
      <c r="B24" s="954">
        <f t="shared" si="0"/>
        <v>23</v>
      </c>
      <c r="C24" s="957">
        <v>2</v>
      </c>
      <c r="D24" s="958">
        <v>2020</v>
      </c>
      <c r="E24" s="965"/>
      <c r="F24" s="942">
        <f>Elect!J28</f>
        <v>7008</v>
      </c>
      <c r="G24" s="942">
        <f>Elect!K28</f>
        <v>4313</v>
      </c>
      <c r="H24" s="942">
        <f>Elect!Q28</f>
        <v>660</v>
      </c>
      <c r="I24" s="942">
        <f>Elect!W28</f>
        <v>148</v>
      </c>
      <c r="J24" s="942">
        <f>Elect!Y28</f>
        <v>239</v>
      </c>
      <c r="K24" s="942">
        <f>Elect!AA28</f>
        <v>0</v>
      </c>
      <c r="L24" s="942">
        <f>Elect!AC28</f>
        <v>1217.4100000000001</v>
      </c>
      <c r="M24" s="962">
        <f>Elect!AE28</f>
        <v>0</v>
      </c>
      <c r="N24" s="962">
        <f>Elect!AG28</f>
        <v>0</v>
      </c>
      <c r="O24" s="962">
        <f>Elect!AI28</f>
        <v>149.99</v>
      </c>
      <c r="P24" s="962">
        <f>Elect!AK28</f>
        <v>1847.0500000000002</v>
      </c>
      <c r="Q24" s="962">
        <f>Elect!AN28</f>
        <v>956</v>
      </c>
      <c r="R24" s="962">
        <f>Elect!AP28</f>
        <v>318</v>
      </c>
      <c r="S24" s="962">
        <f>Elect!AR28</f>
        <v>30.36</v>
      </c>
      <c r="T24" s="962">
        <f>Elect!AT28</f>
        <v>221</v>
      </c>
      <c r="U24" s="962">
        <f>Elect!AV28</f>
        <v>914</v>
      </c>
      <c r="V24" s="962">
        <f>Elect!AX28</f>
        <v>55</v>
      </c>
      <c r="W24" s="962">
        <f>Elect!AZ28</f>
        <v>5472</v>
      </c>
      <c r="X24" s="962">
        <f>Elect!BB28</f>
        <v>5540.3</v>
      </c>
      <c r="Y24" s="962">
        <f>Elect!BE28</f>
        <v>0</v>
      </c>
      <c r="Z24" s="962">
        <f>Elect!BG28</f>
        <v>947</v>
      </c>
      <c r="AA24" s="962">
        <f>Elect!BI28</f>
        <v>121</v>
      </c>
      <c r="AB24" s="962">
        <f>Elect!BK28</f>
        <v>191</v>
      </c>
      <c r="AC24" s="962"/>
      <c r="AD24" s="962">
        <f>Water!C29</f>
        <v>0</v>
      </c>
      <c r="AE24" s="962">
        <f>Water!E29</f>
        <v>0</v>
      </c>
      <c r="AF24" s="962">
        <f>Water!G29</f>
        <v>0</v>
      </c>
      <c r="AG24" s="962"/>
      <c r="AH24" s="962">
        <f>Gas!C29</f>
        <v>0</v>
      </c>
      <c r="AI24" s="962">
        <f>Gas!E29</f>
        <v>0</v>
      </c>
      <c r="AJ24" s="962">
        <f>Gas!G29</f>
        <v>0</v>
      </c>
      <c r="AK24" s="949">
        <f>Elect!BM28</f>
        <v>213</v>
      </c>
    </row>
    <row r="25" spans="1:37" ht="12.75" customHeight="1">
      <c r="A25" s="959" t="s">
        <v>369</v>
      </c>
      <c r="B25" s="954">
        <f t="shared" si="0"/>
        <v>24</v>
      </c>
      <c r="C25" s="957">
        <v>2</v>
      </c>
      <c r="D25" s="958">
        <v>2020</v>
      </c>
      <c r="E25" s="965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2">
        <f>Elect!AE29</f>
        <v>0</v>
      </c>
      <c r="N25" s="962">
        <f>Elect!AG29</f>
        <v>0</v>
      </c>
      <c r="O25" s="962">
        <f>Elect!AI29</f>
        <v>0</v>
      </c>
      <c r="P25" s="962">
        <f>Elect!AK29</f>
        <v>0</v>
      </c>
      <c r="Q25" s="962">
        <f>Elect!AN29</f>
        <v>0</v>
      </c>
      <c r="R25" s="962">
        <f>Elect!AP29</f>
        <v>0</v>
      </c>
      <c r="S25" s="962">
        <f>Elect!AR29</f>
        <v>0</v>
      </c>
      <c r="T25" s="962">
        <f>Elect!AT29</f>
        <v>0</v>
      </c>
      <c r="U25" s="962">
        <f>Elect!AV29</f>
        <v>0</v>
      </c>
      <c r="V25" s="962">
        <f>Elect!AX29</f>
        <v>0</v>
      </c>
      <c r="W25" s="962">
        <f>Elect!AZ29</f>
        <v>0</v>
      </c>
      <c r="X25" s="962">
        <f>Elect!BB29</f>
        <v>0</v>
      </c>
      <c r="Y25" s="962">
        <f>Elect!BE29</f>
        <v>0</v>
      </c>
      <c r="Z25" s="962">
        <f>Elect!BG29</f>
        <v>0</v>
      </c>
      <c r="AA25" s="962">
        <f>Elect!BI29</f>
        <v>0</v>
      </c>
      <c r="AB25" s="962">
        <f>Elect!BK29</f>
        <v>0</v>
      </c>
      <c r="AC25" s="962"/>
      <c r="AD25" s="962">
        <f>Water!C30</f>
        <v>0</v>
      </c>
      <c r="AE25" s="962">
        <f>Water!E30</f>
        <v>0</v>
      </c>
      <c r="AF25" s="962">
        <f>Water!G30</f>
        <v>0</v>
      </c>
      <c r="AG25" s="962"/>
      <c r="AH25" s="962">
        <f>Gas!C30</f>
        <v>0</v>
      </c>
      <c r="AI25" s="962">
        <f>Gas!E30</f>
        <v>0</v>
      </c>
      <c r="AJ25" s="962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2</v>
      </c>
      <c r="D26" s="958">
        <v>2020</v>
      </c>
      <c r="E26" s="965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2">
        <f>Elect!AE30</f>
        <v>0</v>
      </c>
      <c r="N26" s="962">
        <f>Elect!AG30</f>
        <v>0</v>
      </c>
      <c r="O26" s="962">
        <f>Elect!AI30</f>
        <v>0</v>
      </c>
      <c r="P26" s="962">
        <f>Elect!AK30</f>
        <v>0</v>
      </c>
      <c r="Q26" s="962">
        <f>Elect!AN30</f>
        <v>0</v>
      </c>
      <c r="R26" s="962">
        <f>Elect!AP30</f>
        <v>0</v>
      </c>
      <c r="S26" s="962">
        <f>Elect!AR30</f>
        <v>0</v>
      </c>
      <c r="T26" s="962">
        <f>Elect!AT30</f>
        <v>0</v>
      </c>
      <c r="U26" s="962">
        <f>Elect!AV30</f>
        <v>0</v>
      </c>
      <c r="V26" s="962">
        <f>Elect!AX30</f>
        <v>0</v>
      </c>
      <c r="W26" s="962">
        <f>Elect!AZ30</f>
        <v>0</v>
      </c>
      <c r="X26" s="962">
        <f>Elect!BB30</f>
        <v>0</v>
      </c>
      <c r="Y26" s="962">
        <f>Elect!BE30</f>
        <v>0</v>
      </c>
      <c r="Z26" s="962">
        <f>Elect!BG30</f>
        <v>0</v>
      </c>
      <c r="AA26" s="962">
        <f>Elect!BI30</f>
        <v>0</v>
      </c>
      <c r="AB26" s="962">
        <f>Elect!BK30</f>
        <v>0</v>
      </c>
      <c r="AC26" s="962"/>
      <c r="AD26" s="962">
        <f>Water!C31</f>
        <v>0</v>
      </c>
      <c r="AE26" s="962">
        <f>Water!E31</f>
        <v>0</v>
      </c>
      <c r="AF26" s="962">
        <f>Water!G31</f>
        <v>0</v>
      </c>
      <c r="AG26" s="962"/>
      <c r="AH26" s="962">
        <f>Gas!C31</f>
        <v>0</v>
      </c>
      <c r="AI26" s="962">
        <f>Gas!E31</f>
        <v>0</v>
      </c>
      <c r="AJ26" s="962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2</v>
      </c>
      <c r="D27" s="958">
        <v>2020</v>
      </c>
      <c r="E27" s="965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2">
        <f>Elect!AE31</f>
        <v>0</v>
      </c>
      <c r="N27" s="962">
        <f>Elect!AG31</f>
        <v>0</v>
      </c>
      <c r="O27" s="962">
        <f>Elect!AI31</f>
        <v>0</v>
      </c>
      <c r="P27" s="962">
        <f>Elect!AK31</f>
        <v>0</v>
      </c>
      <c r="Q27" s="962">
        <f>Elect!AN31</f>
        <v>0</v>
      </c>
      <c r="R27" s="962">
        <f>Elect!AP31</f>
        <v>0</v>
      </c>
      <c r="S27" s="962">
        <f>Elect!AR31</f>
        <v>0</v>
      </c>
      <c r="T27" s="962">
        <f>Elect!AT31</f>
        <v>0</v>
      </c>
      <c r="U27" s="962">
        <f>Elect!AV31</f>
        <v>0</v>
      </c>
      <c r="V27" s="962">
        <f>Elect!AX31</f>
        <v>0</v>
      </c>
      <c r="W27" s="962">
        <f>Elect!AZ31</f>
        <v>0</v>
      </c>
      <c r="X27" s="962">
        <f>Elect!BB31</f>
        <v>0</v>
      </c>
      <c r="Y27" s="962">
        <f>Elect!BE31</f>
        <v>0</v>
      </c>
      <c r="Z27" s="962">
        <f>Elect!BG31</f>
        <v>0</v>
      </c>
      <c r="AA27" s="962">
        <f>Elect!BI31</f>
        <v>0</v>
      </c>
      <c r="AB27" s="962">
        <f>Elect!BK31</f>
        <v>0</v>
      </c>
      <c r="AC27" s="962"/>
      <c r="AD27" s="962">
        <f>Water!C32</f>
        <v>0</v>
      </c>
      <c r="AE27" s="962">
        <f>Water!E32</f>
        <v>0</v>
      </c>
      <c r="AF27" s="962">
        <f>Water!G32</f>
        <v>0</v>
      </c>
      <c r="AG27" s="962"/>
      <c r="AH27" s="962">
        <f>Gas!C32</f>
        <v>0</v>
      </c>
      <c r="AI27" s="962">
        <f>Gas!E32</f>
        <v>0</v>
      </c>
      <c r="AJ27" s="962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2</v>
      </c>
      <c r="D28" s="958">
        <v>2020</v>
      </c>
      <c r="E28" s="965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2">
        <f>Elect!AE32</f>
        <v>0</v>
      </c>
      <c r="N28" s="962">
        <f>Elect!AG32</f>
        <v>0</v>
      </c>
      <c r="O28" s="962">
        <f>Elect!AI32</f>
        <v>0</v>
      </c>
      <c r="P28" s="962">
        <f>Elect!AK32</f>
        <v>0</v>
      </c>
      <c r="Q28" s="962">
        <f>Elect!AN32</f>
        <v>0</v>
      </c>
      <c r="R28" s="962">
        <f>Elect!AP32</f>
        <v>0</v>
      </c>
      <c r="S28" s="962">
        <f>Elect!AR32</f>
        <v>0</v>
      </c>
      <c r="T28" s="962">
        <f>Elect!AT32</f>
        <v>0</v>
      </c>
      <c r="U28" s="962">
        <f>Elect!AV32</f>
        <v>0</v>
      </c>
      <c r="V28" s="962">
        <f>Elect!AX32</f>
        <v>0</v>
      </c>
      <c r="W28" s="962">
        <f>Elect!AZ32</f>
        <v>0</v>
      </c>
      <c r="X28" s="962">
        <f>Elect!BB32</f>
        <v>0</v>
      </c>
      <c r="Y28" s="962">
        <f>Elect!BE32</f>
        <v>0</v>
      </c>
      <c r="Z28" s="962">
        <f>Elect!BG32</f>
        <v>0</v>
      </c>
      <c r="AA28" s="962">
        <f>Elect!BI32</f>
        <v>0</v>
      </c>
      <c r="AB28" s="962">
        <f>Elect!BK32</f>
        <v>0</v>
      </c>
      <c r="AC28" s="962"/>
      <c r="AD28" s="962">
        <f>Water!C33</f>
        <v>0</v>
      </c>
      <c r="AE28" s="962">
        <f>Water!E33</f>
        <v>0</v>
      </c>
      <c r="AF28" s="962">
        <f>Water!G33</f>
        <v>0</v>
      </c>
      <c r="AG28" s="962"/>
      <c r="AH28" s="962">
        <f>Gas!C33</f>
        <v>0</v>
      </c>
      <c r="AI28" s="962">
        <f>Gas!E33</f>
        <v>0</v>
      </c>
      <c r="AJ28" s="962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2</v>
      </c>
      <c r="D29" s="958">
        <v>2020</v>
      </c>
      <c r="E29" s="965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2">
        <f>Elect!AE33</f>
        <v>0</v>
      </c>
      <c r="N29" s="962">
        <f>Elect!AG33</f>
        <v>0</v>
      </c>
      <c r="O29" s="962">
        <f>Elect!AI33</f>
        <v>0</v>
      </c>
      <c r="P29" s="962">
        <f>Elect!AK33</f>
        <v>0</v>
      </c>
      <c r="Q29" s="962">
        <f>Elect!AN33</f>
        <v>0</v>
      </c>
      <c r="R29" s="962">
        <f>Elect!AP33</f>
        <v>0</v>
      </c>
      <c r="S29" s="962">
        <f>Elect!AR33</f>
        <v>0</v>
      </c>
      <c r="T29" s="962">
        <f>Elect!AT33</f>
        <v>0</v>
      </c>
      <c r="U29" s="962">
        <f>Elect!AV33</f>
        <v>0</v>
      </c>
      <c r="V29" s="962">
        <f>Elect!AX33</f>
        <v>0</v>
      </c>
      <c r="W29" s="962">
        <f>Elect!AZ33</f>
        <v>0</v>
      </c>
      <c r="X29" s="962">
        <f>Elect!BB33</f>
        <v>0</v>
      </c>
      <c r="Y29" s="962">
        <f>Elect!BE33</f>
        <v>0</v>
      </c>
      <c r="Z29" s="962">
        <f>Elect!BG33</f>
        <v>0</v>
      </c>
      <c r="AA29" s="962">
        <f>Elect!BI33</f>
        <v>0</v>
      </c>
      <c r="AB29" s="962">
        <f>Elect!BK33</f>
        <v>0</v>
      </c>
      <c r="AC29" s="962"/>
      <c r="AD29" s="962">
        <f>Water!C34</f>
        <v>0</v>
      </c>
      <c r="AE29" s="962">
        <f>Water!E34</f>
        <v>0</v>
      </c>
      <c r="AF29" s="962">
        <f>Water!G34</f>
        <v>0</v>
      </c>
      <c r="AG29" s="962"/>
      <c r="AH29" s="962">
        <f>Gas!C34</f>
        <v>0</v>
      </c>
      <c r="AI29" s="962">
        <f>Gas!E34</f>
        <v>0</v>
      </c>
      <c r="AJ29" s="962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2</v>
      </c>
      <c r="D30" s="958">
        <v>2020</v>
      </c>
      <c r="E30" s="965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2">
        <f>Elect!AE34</f>
        <v>0</v>
      </c>
      <c r="N30" s="962">
        <f>Elect!AG34</f>
        <v>0</v>
      </c>
      <c r="O30" s="962">
        <f>Elect!AI34</f>
        <v>0</v>
      </c>
      <c r="P30" s="962">
        <f>Elect!AK34</f>
        <v>0</v>
      </c>
      <c r="Q30" s="962">
        <f>Elect!AN34</f>
        <v>0</v>
      </c>
      <c r="R30" s="962">
        <f>Elect!AP34</f>
        <v>0</v>
      </c>
      <c r="S30" s="962">
        <f>Elect!AR34</f>
        <v>0</v>
      </c>
      <c r="T30" s="962">
        <f>Elect!AT34</f>
        <v>0</v>
      </c>
      <c r="U30" s="962">
        <f>Elect!AV34</f>
        <v>0</v>
      </c>
      <c r="V30" s="962">
        <f>Elect!AX34</f>
        <v>0</v>
      </c>
      <c r="W30" s="962">
        <f>Elect!AZ34</f>
        <v>0</v>
      </c>
      <c r="X30" s="962">
        <f>Elect!BB34</f>
        <v>0</v>
      </c>
      <c r="Y30" s="962">
        <f>Elect!BE34</f>
        <v>0</v>
      </c>
      <c r="Z30" s="962">
        <f>Elect!BG34</f>
        <v>0</v>
      </c>
      <c r="AA30" s="962">
        <f>Elect!BI34</f>
        <v>0</v>
      </c>
      <c r="AB30" s="962">
        <f>Elect!BK34</f>
        <v>0</v>
      </c>
      <c r="AC30" s="962"/>
      <c r="AD30" s="962">
        <f>Water!C35</f>
        <v>0</v>
      </c>
      <c r="AE30" s="962">
        <f>Water!E35</f>
        <v>0</v>
      </c>
      <c r="AF30" s="962">
        <f>Water!G35</f>
        <v>0</v>
      </c>
      <c r="AG30" s="962"/>
      <c r="AH30" s="962">
        <f>Gas!C35</f>
        <v>0</v>
      </c>
      <c r="AI30" s="962">
        <f>Gas!E35</f>
        <v>0</v>
      </c>
      <c r="AJ30" s="962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2</v>
      </c>
      <c r="D31" s="958">
        <v>2020</v>
      </c>
      <c r="E31" s="965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2">
        <f>Elect!AE35</f>
        <v>0</v>
      </c>
      <c r="N31" s="962">
        <f>Elect!AG35</f>
        <v>0</v>
      </c>
      <c r="O31" s="962">
        <f>Elect!AI35</f>
        <v>0</v>
      </c>
      <c r="P31" s="962">
        <f>Elect!AK35</f>
        <v>0</v>
      </c>
      <c r="Q31" s="962">
        <f>Elect!AN35</f>
        <v>0</v>
      </c>
      <c r="R31" s="962">
        <f>Elect!AP35</f>
        <v>0</v>
      </c>
      <c r="S31" s="962">
        <f>Elect!AR35</f>
        <v>0</v>
      </c>
      <c r="T31" s="962">
        <f>Elect!AT35</f>
        <v>0</v>
      </c>
      <c r="U31" s="962">
        <f>Elect!AV35</f>
        <v>0</v>
      </c>
      <c r="V31" s="962">
        <f>Elect!AX35</f>
        <v>0</v>
      </c>
      <c r="W31" s="962">
        <f>Elect!AZ35</f>
        <v>0</v>
      </c>
      <c r="X31" s="962">
        <f>Elect!BB35</f>
        <v>0</v>
      </c>
      <c r="Y31" s="962">
        <f>Elect!BE35</f>
        <v>0</v>
      </c>
      <c r="Z31" s="962">
        <f>Elect!BG35</f>
        <v>0</v>
      </c>
      <c r="AA31" s="962">
        <f>Elect!BI35</f>
        <v>0</v>
      </c>
      <c r="AB31" s="962">
        <f>Elect!BK35</f>
        <v>0</v>
      </c>
      <c r="AC31" s="962"/>
      <c r="AD31" s="962">
        <f>Water!C36</f>
        <v>0</v>
      </c>
      <c r="AE31" s="962">
        <f>Water!E36</f>
        <v>0</v>
      </c>
      <c r="AF31" s="962">
        <f>Water!G36</f>
        <v>0</v>
      </c>
      <c r="AG31" s="962"/>
      <c r="AH31" s="962">
        <f>Gas!C36</f>
        <v>0</v>
      </c>
      <c r="AI31" s="962">
        <f>Gas!E36</f>
        <v>0</v>
      </c>
      <c r="AJ31" s="962">
        <f>Gas!G36</f>
        <v>0</v>
      </c>
      <c r="AK31" s="949">
        <f>Elect!BM35</f>
        <v>0</v>
      </c>
    </row>
    <row r="32" spans="1:37" ht="12.75" customHeight="1">
      <c r="A32" s="960" t="s">
        <v>369</v>
      </c>
      <c r="B32" s="961">
        <f>B31+1</f>
        <v>31</v>
      </c>
      <c r="C32" s="957">
        <v>2</v>
      </c>
      <c r="D32" s="958">
        <v>2020</v>
      </c>
      <c r="E32" s="966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2">
        <f>Elect!AE36</f>
        <v>0</v>
      </c>
      <c r="N32" s="962">
        <f>Elect!AG36</f>
        <v>0</v>
      </c>
      <c r="O32" s="962">
        <f>Elect!AI36</f>
        <v>0</v>
      </c>
      <c r="P32" s="962">
        <f>Elect!AK36</f>
        <v>0</v>
      </c>
      <c r="Q32" s="962">
        <f>Elect!AN36</f>
        <v>0</v>
      </c>
      <c r="R32" s="962">
        <f>Elect!AP36</f>
        <v>0</v>
      </c>
      <c r="S32" s="962">
        <f>Elect!AR36</f>
        <v>0</v>
      </c>
      <c r="T32" s="962">
        <f>Elect!AT36</f>
        <v>0</v>
      </c>
      <c r="U32" s="962">
        <f>Elect!AV36</f>
        <v>0</v>
      </c>
      <c r="V32" s="962">
        <f>Elect!AX36</f>
        <v>0</v>
      </c>
      <c r="W32" s="962">
        <f>Elect!AZ36</f>
        <v>0</v>
      </c>
      <c r="X32" s="962">
        <f>Elect!BB36</f>
        <v>0</v>
      </c>
      <c r="Y32" s="962">
        <f>Elect!BE36</f>
        <v>0</v>
      </c>
      <c r="Z32" s="962">
        <f>Elect!BG36</f>
        <v>0</v>
      </c>
      <c r="AA32" s="962">
        <f>Elect!BI36</f>
        <v>0</v>
      </c>
      <c r="AB32" s="962">
        <f>Elect!BK36</f>
        <v>0</v>
      </c>
      <c r="AC32" s="962"/>
      <c r="AD32" s="962">
        <f>Water!C37</f>
        <v>0</v>
      </c>
      <c r="AE32" s="962">
        <f>Water!E37</f>
        <v>0</v>
      </c>
      <c r="AF32" s="962">
        <f>Water!G37</f>
        <v>0</v>
      </c>
      <c r="AG32" s="962"/>
      <c r="AH32" s="962">
        <f>Gas!C37</f>
        <v>0</v>
      </c>
      <c r="AI32" s="962">
        <f>Gas!E37</f>
        <v>0</v>
      </c>
      <c r="AJ32" s="962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O174"/>
  <sheetViews>
    <sheetView view="pageBreakPreview" zoomScale="60" zoomScaleNormal="60" workbookViewId="0">
      <pane xSplit="8" ySplit="4" topLeftCell="BB9" activePane="bottomRight" state="frozen"/>
      <selection activeCell="G39" sqref="G39"/>
      <selection pane="topRight" activeCell="G39" sqref="G39"/>
      <selection pane="bottomLeft" activeCell="G39" sqref="G39"/>
      <selection pane="bottomRight" activeCell="BP29" sqref="BP29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5.8554687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7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69" t="s">
        <v>259</v>
      </c>
      <c r="N1" s="969"/>
      <c r="O1" s="969"/>
      <c r="Q1" s="969"/>
      <c r="R1" s="969"/>
      <c r="S1" s="969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68"/>
      <c r="B2" s="118"/>
      <c r="C2" s="30"/>
      <c r="D2" s="30"/>
      <c r="E2" s="198"/>
      <c r="F2" s="198"/>
      <c r="I2" s="199"/>
      <c r="M2" s="970"/>
      <c r="N2" s="970"/>
      <c r="O2" s="970"/>
      <c r="Q2" s="970"/>
      <c r="R2" s="970"/>
      <c r="S2" s="970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79" t="s">
        <v>0</v>
      </c>
      <c r="B3" s="981" t="s">
        <v>1</v>
      </c>
      <c r="C3" s="982"/>
      <c r="D3" s="971" t="s">
        <v>2</v>
      </c>
      <c r="E3" s="971"/>
      <c r="F3" s="971" t="s">
        <v>3</v>
      </c>
      <c r="G3" s="971"/>
      <c r="H3" s="983" t="s">
        <v>4</v>
      </c>
      <c r="I3" s="675" t="s">
        <v>322</v>
      </c>
      <c r="J3" s="603"/>
      <c r="K3" s="604"/>
      <c r="L3" s="971"/>
      <c r="M3" s="971"/>
      <c r="N3" s="971"/>
      <c r="O3" s="971"/>
      <c r="P3" s="971"/>
      <c r="Q3" s="971"/>
      <c r="R3" s="974" t="s">
        <v>324</v>
      </c>
      <c r="S3" s="975"/>
      <c r="T3" s="975"/>
      <c r="U3" s="975"/>
      <c r="V3" s="975"/>
      <c r="W3" s="976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72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1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0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84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3"/>
      <c r="BM4" s="605" t="s">
        <v>315</v>
      </c>
      <c r="BN4" s="605" t="s">
        <v>316</v>
      </c>
      <c r="BO4" s="605" t="s">
        <v>8</v>
      </c>
      <c r="BP4" s="605" t="s">
        <v>8</v>
      </c>
      <c r="BQ4" s="977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20567570</v>
      </c>
      <c r="J5" s="760">
        <f>IF(I5&gt;=I4,I5-I4,0)</f>
        <v>0</v>
      </c>
      <c r="K5" s="760">
        <f t="shared" ref="K5:K36" si="0">M5+O5</f>
        <v>0</v>
      </c>
      <c r="L5" s="480">
        <v>518640.92499999999</v>
      </c>
      <c r="M5" s="760">
        <f t="shared" ref="M5:M36" si="1">IF(L5&gt;=L4,L5-L4,0)</f>
        <v>0</v>
      </c>
      <c r="N5" s="480">
        <v>524607.23333333305</v>
      </c>
      <c r="O5" s="760">
        <f t="shared" ref="O5:O36" si="2">IF(N5&gt;=N4,N5-N4,0)</f>
        <v>0</v>
      </c>
      <c r="P5" s="480">
        <v>209517.6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81036.399999999994</v>
      </c>
      <c r="W5" s="760">
        <f t="shared" si="4"/>
        <v>0</v>
      </c>
      <c r="X5" s="480">
        <v>152631.41666666701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590506.11111111101</v>
      </c>
      <c r="AC5" s="760">
        <f t="shared" ref="AC5:AC28" si="7">IF(AB5&gt;=AB4,AB5-AB4,0)*0.53</f>
        <v>0</v>
      </c>
      <c r="AD5" s="480">
        <v>611571.66666666698</v>
      </c>
      <c r="AE5" s="760">
        <f t="shared" ref="AE5:AE36" si="8">IF(AD5&gt;=AD4,AD5-AD4,0)*0.53</f>
        <v>0</v>
      </c>
      <c r="AF5" s="480">
        <v>673971.44444444403</v>
      </c>
      <c r="AG5" s="760">
        <f t="shared" ref="AG5:AG36" si="9">IF(AF5&gt;=AF4,AF5-AF4,0)*0.53</f>
        <v>0</v>
      </c>
      <c r="AH5" s="480">
        <v>172352.77777777801</v>
      </c>
      <c r="AI5" s="760">
        <f t="shared" ref="AI5:AI36" si="10">IF(AH5&gt;=AH4,AH5-AH4,0)*0.53</f>
        <v>0</v>
      </c>
      <c r="AJ5" s="480">
        <v>0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6842640.6666666698</v>
      </c>
      <c r="AN5" s="760">
        <f t="shared" ref="AN5:AN36" si="12">IF(AM5&gt;=AM4,AM5-AM4,0)</f>
        <v>0</v>
      </c>
      <c r="AO5" s="480">
        <v>521280.75</v>
      </c>
      <c r="AP5" s="760">
        <f t="shared" ref="AP5:AP36" si="13">IF(AO5&gt;=AO4,AO5-AO4,0)</f>
        <v>0</v>
      </c>
      <c r="AQ5" s="480">
        <v>866178.75</v>
      </c>
      <c r="AR5" s="760">
        <f t="shared" ref="AR5:AR36" si="14">IF(AQ5&gt;=AQ4,AQ5-AQ4,0)*0.11</f>
        <v>0</v>
      </c>
      <c r="AS5" s="480">
        <v>769821.5</v>
      </c>
      <c r="AT5" s="760">
        <f t="shared" ref="AT5:AT36" si="15">IF(AS5&gt;=AS4,AS5-AS4,0)</f>
        <v>0</v>
      </c>
      <c r="AU5" s="855">
        <v>2105302.9</v>
      </c>
      <c r="AV5" s="760">
        <f t="shared" ref="AV5:AV36" si="16">IF(AU5&gt;=AU4,AU5-AU4,0)</f>
        <v>0</v>
      </c>
      <c r="AW5" s="855">
        <v>191792.66666666701</v>
      </c>
      <c r="AX5" s="760">
        <v>0</v>
      </c>
      <c r="AY5" s="855">
        <v>16414122.1</v>
      </c>
      <c r="AZ5" s="760">
        <f t="shared" ref="AZ5:AZ36" si="17">IF(AY5&gt;=AY4,AY5-AY4,0)</f>
        <v>0</v>
      </c>
      <c r="BA5" s="480">
        <v>19846431.600000001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3062809</v>
      </c>
      <c r="BG5" s="760">
        <f t="shared" ref="BG5:BG36" si="21">IF(BF5&gt;=BF4,BF5-BF4,0)</f>
        <v>0</v>
      </c>
      <c r="BH5" s="480">
        <v>339862</v>
      </c>
      <c r="BI5" s="760">
        <f t="shared" ref="BI5:BI36" si="22">IF(BH5&gt;=BH4,BH5-BH4,0)</f>
        <v>0</v>
      </c>
      <c r="BJ5" s="480">
        <v>382498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20573823</v>
      </c>
      <c r="J6" s="760">
        <f t="shared" ref="J6:J36" si="23">IF(I6&gt;=I5,I6-I5,0)</f>
        <v>6253</v>
      </c>
      <c r="K6" s="760">
        <f t="shared" si="0"/>
        <v>3560.8416666669655</v>
      </c>
      <c r="L6" s="855">
        <v>520625</v>
      </c>
      <c r="M6" s="760">
        <f t="shared" si="1"/>
        <v>1984.0750000000116</v>
      </c>
      <c r="N6" s="855">
        <v>526184</v>
      </c>
      <c r="O6" s="760">
        <f>IF(N6&gt;=N5,N6-N5,0)</f>
        <v>1576.7666666669538</v>
      </c>
      <c r="P6" s="855">
        <v>209548</v>
      </c>
      <c r="Q6" s="760">
        <f t="shared" si="3"/>
        <v>911.99999999982538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81264</v>
      </c>
      <c r="W6" s="760">
        <f t="shared" si="4"/>
        <v>227.60000000000582</v>
      </c>
      <c r="X6" s="480">
        <v>152933</v>
      </c>
      <c r="Y6" s="760">
        <f t="shared" si="5"/>
        <v>301.58333333299379</v>
      </c>
      <c r="Z6" s="480">
        <v>315108</v>
      </c>
      <c r="AA6" s="760">
        <f t="shared" si="6"/>
        <v>0</v>
      </c>
      <c r="AB6" s="855">
        <v>592445</v>
      </c>
      <c r="AC6" s="760">
        <f t="shared" si="7"/>
        <v>1027.6111111111661</v>
      </c>
      <c r="AD6" s="855">
        <v>613664</v>
      </c>
      <c r="AE6" s="760">
        <f t="shared" si="8"/>
        <v>1108.9366666665021</v>
      </c>
      <c r="AF6" s="480">
        <v>673971.44444444403</v>
      </c>
      <c r="AG6" s="760">
        <f t="shared" si="9"/>
        <v>0</v>
      </c>
      <c r="AH6" s="480">
        <v>172638</v>
      </c>
      <c r="AI6" s="760">
        <f t="shared" si="10"/>
        <v>151.16777777765267</v>
      </c>
      <c r="AJ6" s="480">
        <v>4552</v>
      </c>
      <c r="AK6" s="760">
        <f>IF(AJ6&gt;=AJ5,AJ6-AJ5,0)*0.53</f>
        <v>2412.56</v>
      </c>
      <c r="AL6" s="760">
        <f>AA6+AC6+AE6+AG6+AI6+AK6</f>
        <v>4700.2755555553213</v>
      </c>
      <c r="AM6" s="480">
        <v>6843040</v>
      </c>
      <c r="AN6" s="760">
        <f t="shared" si="12"/>
        <v>399.33333333022892</v>
      </c>
      <c r="AO6" s="855">
        <v>521523</v>
      </c>
      <c r="AP6" s="760">
        <f t="shared" si="13"/>
        <v>242.25</v>
      </c>
      <c r="AQ6" s="855">
        <v>866441</v>
      </c>
      <c r="AR6" s="760">
        <f t="shared" si="14"/>
        <v>28.8475</v>
      </c>
      <c r="AS6" s="855">
        <v>770101</v>
      </c>
      <c r="AT6" s="760">
        <f t="shared" si="15"/>
        <v>279.5</v>
      </c>
      <c r="AU6" s="480">
        <v>2106381</v>
      </c>
      <c r="AV6" s="760">
        <f t="shared" si="16"/>
        <v>1078.1000000000931</v>
      </c>
      <c r="AW6" s="855">
        <v>191822</v>
      </c>
      <c r="AX6" s="760">
        <f t="shared" ref="AX6:AX18" si="25">IF(AW6&gt;=AW5,AW6-AW5,0)</f>
        <v>29.333333332993789</v>
      </c>
      <c r="AY6" s="855">
        <v>16418862</v>
      </c>
      <c r="AZ6" s="760">
        <f t="shared" si="17"/>
        <v>4739.9000000003725</v>
      </c>
      <c r="BA6" s="855">
        <v>19851831</v>
      </c>
      <c r="BB6" s="760">
        <f t="shared" si="18"/>
        <v>4935.6999999985101</v>
      </c>
      <c r="BC6" s="760">
        <f t="shared" si="19"/>
        <v>11732.964166662197</v>
      </c>
      <c r="BD6" s="855">
        <v>1323286</v>
      </c>
      <c r="BE6" s="760">
        <f t="shared" si="20"/>
        <v>0</v>
      </c>
      <c r="BF6" s="855">
        <v>3063256</v>
      </c>
      <c r="BG6" s="760">
        <f t="shared" si="21"/>
        <v>447</v>
      </c>
      <c r="BH6" s="855">
        <v>339923</v>
      </c>
      <c r="BI6" s="760">
        <f t="shared" si="22"/>
        <v>61</v>
      </c>
      <c r="BJ6" s="855">
        <v>382663</v>
      </c>
      <c r="BK6" s="760">
        <f>IF(BJ6&gt;=BJ5,BJ6-BJ5,0)</f>
        <v>165</v>
      </c>
      <c r="BL6" s="870">
        <f t="shared" ref="BL6:BL36" si="26">J6+Q6+AL6+BC6</f>
        <v>23598.239722217346</v>
      </c>
      <c r="BM6" s="871">
        <v>157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10855.190272219979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20580432</v>
      </c>
      <c r="J7" s="760">
        <f t="shared" si="23"/>
        <v>6609</v>
      </c>
      <c r="K7" s="760">
        <f t="shared" si="0"/>
        <v>3960</v>
      </c>
      <c r="L7" s="855">
        <v>522920</v>
      </c>
      <c r="M7" s="760">
        <f>IF(L7&gt;=L6,L7-L6,0)</f>
        <v>2295</v>
      </c>
      <c r="N7" s="855">
        <v>527849</v>
      </c>
      <c r="O7" s="760">
        <f>IF(N7&gt;=N6,N7-N6,0)</f>
        <v>1665</v>
      </c>
      <c r="P7" s="855">
        <v>209571</v>
      </c>
      <c r="Q7" s="760">
        <f t="shared" si="3"/>
        <v>690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81532</v>
      </c>
      <c r="W7" s="760">
        <f t="shared" si="4"/>
        <v>268</v>
      </c>
      <c r="X7" s="480">
        <v>153298</v>
      </c>
      <c r="Y7" s="760">
        <f t="shared" si="5"/>
        <v>365</v>
      </c>
      <c r="Z7" s="480">
        <v>315108</v>
      </c>
      <c r="AA7" s="760">
        <f t="shared" si="6"/>
        <v>0</v>
      </c>
      <c r="AB7" s="855">
        <v>592445</v>
      </c>
      <c r="AC7" s="760">
        <f t="shared" si="7"/>
        <v>0</v>
      </c>
      <c r="AD7" s="855">
        <v>617497</v>
      </c>
      <c r="AE7" s="760">
        <f t="shared" si="8"/>
        <v>2031.49</v>
      </c>
      <c r="AF7" s="480">
        <v>673971.44444444403</v>
      </c>
      <c r="AG7" s="760">
        <f t="shared" si="9"/>
        <v>0</v>
      </c>
      <c r="AH7" s="855">
        <v>173075</v>
      </c>
      <c r="AI7" s="760">
        <f t="shared" si="10"/>
        <v>231.61</v>
      </c>
      <c r="AJ7" s="855">
        <v>9357</v>
      </c>
      <c r="AK7" s="760">
        <f t="shared" ref="AK7:AK36" si="28">IF(AJ7&gt;=AJ6,AJ7-AJ6,0)*0.53</f>
        <v>2546.65</v>
      </c>
      <c r="AL7" s="760">
        <f t="shared" si="11"/>
        <v>4809.75</v>
      </c>
      <c r="AM7" s="480">
        <v>6843716</v>
      </c>
      <c r="AN7" s="760">
        <f t="shared" si="12"/>
        <v>676</v>
      </c>
      <c r="AO7" s="480">
        <v>521978</v>
      </c>
      <c r="AP7" s="760">
        <f t="shared" si="13"/>
        <v>455</v>
      </c>
      <c r="AQ7" s="480">
        <v>866721</v>
      </c>
      <c r="AR7" s="760">
        <f t="shared" si="14"/>
        <v>30.8</v>
      </c>
      <c r="AS7" s="907">
        <v>770339</v>
      </c>
      <c r="AT7" s="760">
        <f t="shared" si="15"/>
        <v>238</v>
      </c>
      <c r="AU7" s="855">
        <v>2107202</v>
      </c>
      <c r="AV7" s="760">
        <f t="shared" si="16"/>
        <v>821</v>
      </c>
      <c r="AW7" s="480">
        <v>191845</v>
      </c>
      <c r="AX7" s="760">
        <f t="shared" si="25"/>
        <v>23</v>
      </c>
      <c r="AY7" s="855">
        <v>16424601</v>
      </c>
      <c r="AZ7" s="760">
        <f t="shared" si="17"/>
        <v>5739</v>
      </c>
      <c r="BA7" s="855">
        <v>19857728</v>
      </c>
      <c r="BB7" s="760">
        <f t="shared" si="18"/>
        <v>5132.1000000000004</v>
      </c>
      <c r="BC7" s="760">
        <f t="shared" si="19"/>
        <v>13114.900000000001</v>
      </c>
      <c r="BD7" s="855">
        <v>1323286</v>
      </c>
      <c r="BE7" s="760">
        <f t="shared" si="20"/>
        <v>0</v>
      </c>
      <c r="BF7" s="855">
        <v>3064095</v>
      </c>
      <c r="BG7" s="760">
        <f t="shared" si="21"/>
        <v>839</v>
      </c>
      <c r="BH7" s="855">
        <v>340050</v>
      </c>
      <c r="BI7" s="760">
        <f t="shared" si="22"/>
        <v>127</v>
      </c>
      <c r="BJ7" s="480">
        <v>382861</v>
      </c>
      <c r="BK7" s="760">
        <f t="shared" ref="BK7:BK36" si="29">IF(BJ7&gt;=BJ6,BJ7-BJ6,0)</f>
        <v>198</v>
      </c>
      <c r="BL7" s="870">
        <f t="shared" si="26"/>
        <v>25223.65</v>
      </c>
      <c r="BM7" s="871">
        <v>192</v>
      </c>
      <c r="BN7" s="870">
        <f t="shared" ref="BN7:BN12" si="30">IF(BL7&gt;0,BL7/BM6,0)</f>
        <v>160.66019108280256</v>
      </c>
      <c r="BO7" s="871"/>
      <c r="BP7" s="870" t="e">
        <f t="shared" si="27"/>
        <v>#DIV/0!</v>
      </c>
      <c r="BQ7" s="870">
        <f>BL7*BS1</f>
        <v>11602.879000000001</v>
      </c>
      <c r="BR7" s="870">
        <f t="shared" ref="BR7:BR15" si="31">IF(BQ7&gt;0,BQ7/BM6,0)</f>
        <v>73.903687898089174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20587460</v>
      </c>
      <c r="J8" s="760">
        <f t="shared" si="23"/>
        <v>7028</v>
      </c>
      <c r="K8" s="760">
        <f t="shared" si="0"/>
        <v>3923</v>
      </c>
      <c r="L8" s="855">
        <v>525453</v>
      </c>
      <c r="M8" s="760">
        <f>IF(L8&gt;=L7,L8-L7,0)</f>
        <v>2533</v>
      </c>
      <c r="N8" s="855">
        <v>529239</v>
      </c>
      <c r="O8" s="760">
        <f t="shared" si="2"/>
        <v>1390</v>
      </c>
      <c r="P8" s="855">
        <v>209596</v>
      </c>
      <c r="Q8" s="760">
        <f t="shared" si="3"/>
        <v>750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81753</v>
      </c>
      <c r="W8" s="760">
        <f t="shared" si="4"/>
        <v>221</v>
      </c>
      <c r="X8" s="480">
        <v>153692</v>
      </c>
      <c r="Y8" s="760">
        <f t="shared" si="5"/>
        <v>394</v>
      </c>
      <c r="Z8" s="480">
        <v>315108</v>
      </c>
      <c r="AA8" s="760">
        <f t="shared" si="6"/>
        <v>0</v>
      </c>
      <c r="AB8" s="855">
        <v>592445</v>
      </c>
      <c r="AC8" s="760">
        <f t="shared" si="7"/>
        <v>0</v>
      </c>
      <c r="AD8" s="855">
        <v>621267</v>
      </c>
      <c r="AE8" s="760">
        <f t="shared" si="8"/>
        <v>1998.1000000000001</v>
      </c>
      <c r="AF8" s="480">
        <v>673971.44444444403</v>
      </c>
      <c r="AG8" s="760">
        <f t="shared" si="9"/>
        <v>0</v>
      </c>
      <c r="AH8" s="480">
        <v>173509</v>
      </c>
      <c r="AI8" s="760">
        <f t="shared" si="10"/>
        <v>230.02</v>
      </c>
      <c r="AJ8" s="480">
        <v>13552</v>
      </c>
      <c r="AK8" s="760">
        <f t="shared" si="28"/>
        <v>2223.35</v>
      </c>
      <c r="AL8" s="760">
        <f>AA8+AC8+AE8+AG8+AI8+AK8</f>
        <v>4451.47</v>
      </c>
      <c r="AM8" s="480">
        <v>6844282</v>
      </c>
      <c r="AN8" s="760">
        <f t="shared" si="12"/>
        <v>566</v>
      </c>
      <c r="AO8" s="480">
        <v>522195</v>
      </c>
      <c r="AP8" s="760">
        <f t="shared" si="13"/>
        <v>217</v>
      </c>
      <c r="AQ8" s="480">
        <v>867010</v>
      </c>
      <c r="AR8" s="760">
        <f t="shared" si="14"/>
        <v>31.79</v>
      </c>
      <c r="AS8" s="855">
        <v>770537</v>
      </c>
      <c r="AT8" s="760">
        <f t="shared" si="15"/>
        <v>198</v>
      </c>
      <c r="AU8" s="480">
        <v>2107872</v>
      </c>
      <c r="AV8" s="760">
        <f t="shared" si="16"/>
        <v>670</v>
      </c>
      <c r="AW8" s="480">
        <v>191898</v>
      </c>
      <c r="AX8" s="760">
        <f t="shared" si="25"/>
        <v>53</v>
      </c>
      <c r="AY8" s="480">
        <v>16428882</v>
      </c>
      <c r="AZ8" s="760">
        <f t="shared" si="17"/>
        <v>4281</v>
      </c>
      <c r="BA8" s="855">
        <v>19863705</v>
      </c>
      <c r="BB8" s="760">
        <f t="shared" si="18"/>
        <v>5226.8</v>
      </c>
      <c r="BC8" s="760">
        <f t="shared" si="19"/>
        <v>11243.59</v>
      </c>
      <c r="BD8" s="855">
        <v>1323286</v>
      </c>
      <c r="BE8" s="760">
        <f t="shared" si="20"/>
        <v>0</v>
      </c>
      <c r="BF8" s="480">
        <v>3064912</v>
      </c>
      <c r="BG8" s="760">
        <f t="shared" si="21"/>
        <v>817</v>
      </c>
      <c r="BH8" s="480">
        <v>340178</v>
      </c>
      <c r="BI8" s="760">
        <f t="shared" si="22"/>
        <v>128</v>
      </c>
      <c r="BJ8" s="480">
        <v>383057</v>
      </c>
      <c r="BK8" s="760">
        <f t="shared" si="29"/>
        <v>196</v>
      </c>
      <c r="BL8" s="870">
        <f t="shared" si="26"/>
        <v>23473.06</v>
      </c>
      <c r="BM8" s="871">
        <v>155</v>
      </c>
      <c r="BN8" s="870">
        <f t="shared" si="30"/>
        <v>122.25552083333334</v>
      </c>
      <c r="BO8" s="871"/>
      <c r="BP8" s="870" t="e">
        <f t="shared" si="27"/>
        <v>#DIV/0!</v>
      </c>
      <c r="BQ8" s="870">
        <f>BL8*BS1</f>
        <v>10797.607600000001</v>
      </c>
      <c r="BR8" s="870">
        <f t="shared" si="31"/>
        <v>56.237539583333337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20594702</v>
      </c>
      <c r="J9" s="760">
        <f>IF(I9&gt;=I8,I9-I8,0)</f>
        <v>7242</v>
      </c>
      <c r="K9" s="760">
        <f t="shared" si="0"/>
        <v>6439</v>
      </c>
      <c r="L9" s="480">
        <v>528089</v>
      </c>
      <c r="M9" s="760">
        <f>IF(L9&gt;=L8,L9-L8,0)</f>
        <v>2636</v>
      </c>
      <c r="N9" s="480">
        <v>533042</v>
      </c>
      <c r="O9" s="760">
        <f t="shared" si="2"/>
        <v>3803</v>
      </c>
      <c r="P9" s="855">
        <v>209621</v>
      </c>
      <c r="Q9" s="760">
        <f t="shared" si="3"/>
        <v>750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81900</v>
      </c>
      <c r="W9" s="760">
        <f t="shared" si="4"/>
        <v>147</v>
      </c>
      <c r="X9" s="480">
        <v>154028</v>
      </c>
      <c r="Y9" s="760">
        <f t="shared" si="5"/>
        <v>336</v>
      </c>
      <c r="Z9" s="480">
        <v>315108</v>
      </c>
      <c r="AA9" s="760">
        <f t="shared" si="6"/>
        <v>0</v>
      </c>
      <c r="AB9" s="855">
        <v>596604</v>
      </c>
      <c r="AC9" s="760">
        <f t="shared" si="7"/>
        <v>2204.27</v>
      </c>
      <c r="AD9" s="904">
        <v>622013</v>
      </c>
      <c r="AE9" s="760">
        <f t="shared" si="8"/>
        <v>395.38</v>
      </c>
      <c r="AF9" s="480">
        <v>673971.44444444403</v>
      </c>
      <c r="AG9" s="760">
        <f t="shared" si="9"/>
        <v>0</v>
      </c>
      <c r="AH9" s="480">
        <v>174021</v>
      </c>
      <c r="AI9" s="760">
        <f t="shared" si="10"/>
        <v>271.36</v>
      </c>
      <c r="AJ9" s="480">
        <v>18569</v>
      </c>
      <c r="AK9" s="760">
        <f t="shared" si="28"/>
        <v>2659.01</v>
      </c>
      <c r="AL9" s="760">
        <f t="shared" si="11"/>
        <v>5530.02</v>
      </c>
      <c r="AM9" s="480">
        <v>6845237</v>
      </c>
      <c r="AN9" s="760">
        <f t="shared" si="12"/>
        <v>955</v>
      </c>
      <c r="AO9" s="855">
        <v>522503</v>
      </c>
      <c r="AP9" s="760">
        <f t="shared" si="13"/>
        <v>308</v>
      </c>
      <c r="AQ9" s="480">
        <v>867340</v>
      </c>
      <c r="AR9" s="760">
        <f t="shared" si="14"/>
        <v>36.299999999999997</v>
      </c>
      <c r="AS9" s="480">
        <v>770903</v>
      </c>
      <c r="AT9" s="760">
        <f t="shared" si="15"/>
        <v>366</v>
      </c>
      <c r="AU9" s="480">
        <v>2109032</v>
      </c>
      <c r="AV9" s="760">
        <f t="shared" si="16"/>
        <v>1160</v>
      </c>
      <c r="AW9" s="480">
        <v>191921</v>
      </c>
      <c r="AX9" s="760">
        <f t="shared" si="25"/>
        <v>23</v>
      </c>
      <c r="AY9" s="480">
        <v>16434556</v>
      </c>
      <c r="AZ9" s="760">
        <f t="shared" si="17"/>
        <v>5674</v>
      </c>
      <c r="BA9" s="855">
        <v>19870590</v>
      </c>
      <c r="BB9" s="760">
        <f t="shared" si="18"/>
        <v>5930</v>
      </c>
      <c r="BC9" s="760">
        <f t="shared" si="19"/>
        <v>14452.3</v>
      </c>
      <c r="BD9" s="855">
        <v>1323286</v>
      </c>
      <c r="BE9" s="760">
        <f t="shared" si="20"/>
        <v>0</v>
      </c>
      <c r="BF9" s="480">
        <v>3066017</v>
      </c>
      <c r="BG9" s="760">
        <f t="shared" si="21"/>
        <v>1105</v>
      </c>
      <c r="BH9" s="480">
        <v>340318</v>
      </c>
      <c r="BI9" s="760">
        <f t="shared" si="22"/>
        <v>140</v>
      </c>
      <c r="BJ9" s="480">
        <v>383279</v>
      </c>
      <c r="BK9" s="760">
        <f t="shared" si="29"/>
        <v>222</v>
      </c>
      <c r="BL9" s="870">
        <f t="shared" si="26"/>
        <v>27974.32</v>
      </c>
      <c r="BM9" s="871">
        <v>167</v>
      </c>
      <c r="BN9" s="870">
        <f t="shared" si="30"/>
        <v>180.47948387096773</v>
      </c>
      <c r="BO9" s="871"/>
      <c r="BP9" s="870" t="e">
        <f t="shared" si="27"/>
        <v>#DIV/0!</v>
      </c>
      <c r="BQ9" s="870">
        <f>BL9*BS1</f>
        <v>12868.1872</v>
      </c>
      <c r="BR9" s="870">
        <f t="shared" si="31"/>
        <v>83.020562580645162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20601283</v>
      </c>
      <c r="J10" s="760">
        <f>IF(I10&gt;=I9,I10-I9,0)</f>
        <v>6581</v>
      </c>
      <c r="K10" s="760">
        <f t="shared" si="0"/>
        <v>4106</v>
      </c>
      <c r="L10" s="855">
        <v>530520</v>
      </c>
      <c r="M10" s="760">
        <f>IF(L10&gt;=L9,L10-L9,0)</f>
        <v>2431</v>
      </c>
      <c r="N10" s="855">
        <v>534717</v>
      </c>
      <c r="O10" s="760">
        <f t="shared" si="2"/>
        <v>1675</v>
      </c>
      <c r="P10" s="855">
        <v>209641</v>
      </c>
      <c r="Q10" s="760">
        <f t="shared" si="3"/>
        <v>600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82049</v>
      </c>
      <c r="W10" s="760">
        <f t="shared" si="4"/>
        <v>149</v>
      </c>
      <c r="X10" s="480">
        <v>154268</v>
      </c>
      <c r="Y10" s="760">
        <f t="shared" si="5"/>
        <v>240</v>
      </c>
      <c r="Z10" s="480">
        <v>315108</v>
      </c>
      <c r="AA10" s="760">
        <f t="shared" si="6"/>
        <v>0</v>
      </c>
      <c r="AB10" s="855">
        <v>600563</v>
      </c>
      <c r="AC10" s="760">
        <f t="shared" si="7"/>
        <v>2098.27</v>
      </c>
      <c r="AD10" s="480">
        <v>622013</v>
      </c>
      <c r="AE10" s="760">
        <f t="shared" si="8"/>
        <v>0</v>
      </c>
      <c r="AF10" s="480">
        <v>673971.44444444403</v>
      </c>
      <c r="AG10" s="760">
        <f t="shared" si="9"/>
        <v>0</v>
      </c>
      <c r="AH10" s="855">
        <v>174452</v>
      </c>
      <c r="AI10" s="760">
        <f t="shared" si="10"/>
        <v>228.43</v>
      </c>
      <c r="AJ10" s="855">
        <v>22788</v>
      </c>
      <c r="AK10" s="760">
        <f t="shared" si="28"/>
        <v>2236.0700000000002</v>
      </c>
      <c r="AL10" s="760">
        <f t="shared" si="11"/>
        <v>4562.7700000000004</v>
      </c>
      <c r="AM10" s="480">
        <v>6846195</v>
      </c>
      <c r="AN10" s="760">
        <f t="shared" si="12"/>
        <v>958</v>
      </c>
      <c r="AO10" s="855">
        <v>522817</v>
      </c>
      <c r="AP10" s="760">
        <f t="shared" si="13"/>
        <v>314</v>
      </c>
      <c r="AQ10" s="855">
        <v>867610</v>
      </c>
      <c r="AR10" s="760">
        <f t="shared" si="14"/>
        <v>29.7</v>
      </c>
      <c r="AS10" s="480">
        <v>771123</v>
      </c>
      <c r="AT10" s="760">
        <f t="shared" si="15"/>
        <v>220</v>
      </c>
      <c r="AU10" s="480">
        <v>2109870</v>
      </c>
      <c r="AV10" s="760">
        <f t="shared" si="16"/>
        <v>838</v>
      </c>
      <c r="AW10" s="480">
        <v>191983</v>
      </c>
      <c r="AX10" s="760">
        <f t="shared" si="25"/>
        <v>62</v>
      </c>
      <c r="AY10" s="480">
        <v>16439905</v>
      </c>
      <c r="AZ10" s="760">
        <f t="shared" si="17"/>
        <v>5349</v>
      </c>
      <c r="BA10" s="855">
        <v>19876212</v>
      </c>
      <c r="BB10" s="760">
        <f t="shared" si="18"/>
        <v>4810</v>
      </c>
      <c r="BC10" s="760">
        <f t="shared" si="19"/>
        <v>12580.7</v>
      </c>
      <c r="BD10" s="855">
        <v>1323286</v>
      </c>
      <c r="BE10" s="760">
        <f t="shared" si="20"/>
        <v>0</v>
      </c>
      <c r="BF10" s="855">
        <v>3066987</v>
      </c>
      <c r="BG10" s="760">
        <f t="shared" si="21"/>
        <v>970</v>
      </c>
      <c r="BH10" s="855">
        <v>340432</v>
      </c>
      <c r="BI10" s="760">
        <f t="shared" si="22"/>
        <v>114</v>
      </c>
      <c r="BJ10" s="855">
        <v>383452</v>
      </c>
      <c r="BK10" s="760">
        <f t="shared" si="29"/>
        <v>173</v>
      </c>
      <c r="BL10" s="870">
        <f t="shared" si="26"/>
        <v>24324.47</v>
      </c>
      <c r="BM10" s="871">
        <v>180</v>
      </c>
      <c r="BN10" s="870">
        <f t="shared" si="30"/>
        <v>145.65550898203594</v>
      </c>
      <c r="BO10" s="871"/>
      <c r="BP10" s="870" t="e">
        <f t="shared" si="27"/>
        <v>#DIV/0!</v>
      </c>
      <c r="BQ10" s="870">
        <f>BL10*BS1</f>
        <v>11189.256200000002</v>
      </c>
      <c r="BR10" s="870">
        <f t="shared" si="31"/>
        <v>67.001534131736534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20605636</v>
      </c>
      <c r="J11" s="760">
        <f>IF(I11&gt;=I10,I11-I10,0)</f>
        <v>4353</v>
      </c>
      <c r="K11" s="760">
        <f t="shared" si="0"/>
        <v>3939</v>
      </c>
      <c r="L11" s="480">
        <v>532652</v>
      </c>
      <c r="M11" s="760">
        <f>IF(L11&gt;=L10,L11-L10,0)</f>
        <v>2132</v>
      </c>
      <c r="N11" s="480">
        <v>536524</v>
      </c>
      <c r="O11" s="760">
        <f t="shared" si="2"/>
        <v>1807</v>
      </c>
      <c r="P11" s="480">
        <v>209668</v>
      </c>
      <c r="Q11" s="760">
        <f t="shared" si="3"/>
        <v>810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82208</v>
      </c>
      <c r="W11" s="760">
        <f t="shared" si="4"/>
        <v>159</v>
      </c>
      <c r="X11" s="480">
        <v>154487</v>
      </c>
      <c r="Y11" s="760">
        <f t="shared" si="5"/>
        <v>219</v>
      </c>
      <c r="Z11" s="480">
        <v>315108</v>
      </c>
      <c r="AA11" s="760">
        <f t="shared" si="6"/>
        <v>0</v>
      </c>
      <c r="AB11" s="855">
        <v>604422</v>
      </c>
      <c r="AC11" s="760">
        <f t="shared" si="7"/>
        <v>2045.2700000000002</v>
      </c>
      <c r="AD11" s="480">
        <v>622013</v>
      </c>
      <c r="AE11" s="760">
        <f t="shared" si="8"/>
        <v>0</v>
      </c>
      <c r="AF11" s="480">
        <v>673971.44444444403</v>
      </c>
      <c r="AG11" s="760">
        <f>IF(AF11&gt;=AF10,AF11-AF10,0)*0.53</f>
        <v>0</v>
      </c>
      <c r="AH11" s="480">
        <v>174849</v>
      </c>
      <c r="AI11" s="760">
        <f t="shared" si="10"/>
        <v>210.41</v>
      </c>
      <c r="AJ11" s="480">
        <v>27328</v>
      </c>
      <c r="AK11" s="760">
        <f t="shared" si="28"/>
        <v>2406.2000000000003</v>
      </c>
      <c r="AL11" s="760">
        <f t="shared" si="11"/>
        <v>4661.880000000001</v>
      </c>
      <c r="AM11" s="480">
        <v>6846977</v>
      </c>
      <c r="AN11" s="760">
        <f t="shared" si="12"/>
        <v>782</v>
      </c>
      <c r="AO11" s="480">
        <v>523133</v>
      </c>
      <c r="AP11" s="760">
        <f t="shared" si="13"/>
        <v>316</v>
      </c>
      <c r="AQ11" s="480">
        <v>867897</v>
      </c>
      <c r="AR11" s="760">
        <f t="shared" si="14"/>
        <v>31.57</v>
      </c>
      <c r="AS11" s="480">
        <v>771381</v>
      </c>
      <c r="AT11" s="760">
        <f t="shared" si="15"/>
        <v>258</v>
      </c>
      <c r="AU11" s="855">
        <v>2110755</v>
      </c>
      <c r="AV11" s="760">
        <f t="shared" si="16"/>
        <v>885</v>
      </c>
      <c r="AW11" s="855">
        <v>192078</v>
      </c>
      <c r="AX11" s="760">
        <f t="shared" si="25"/>
        <v>95</v>
      </c>
      <c r="AY11" s="855">
        <v>16444849</v>
      </c>
      <c r="AZ11" s="760">
        <f t="shared" si="17"/>
        <v>4944</v>
      </c>
      <c r="BA11" s="480">
        <v>19882198</v>
      </c>
      <c r="BB11" s="760">
        <f t="shared" si="18"/>
        <v>5318.9</v>
      </c>
      <c r="BC11" s="760">
        <f t="shared" si="19"/>
        <v>12630.47</v>
      </c>
      <c r="BD11" s="855">
        <v>1323286</v>
      </c>
      <c r="BE11" s="760">
        <f t="shared" si="20"/>
        <v>0</v>
      </c>
      <c r="BF11" s="480">
        <v>3067678</v>
      </c>
      <c r="BG11" s="760">
        <f t="shared" si="21"/>
        <v>691</v>
      </c>
      <c r="BH11" s="480">
        <v>340543</v>
      </c>
      <c r="BI11" s="938">
        <f t="shared" si="22"/>
        <v>111</v>
      </c>
      <c r="BJ11" s="480">
        <v>383649</v>
      </c>
      <c r="BK11" s="760">
        <f t="shared" si="29"/>
        <v>197</v>
      </c>
      <c r="BL11" s="870">
        <f t="shared" si="26"/>
        <v>22455.35</v>
      </c>
      <c r="BM11" s="871">
        <v>191</v>
      </c>
      <c r="BN11" s="870">
        <f t="shared" si="30"/>
        <v>124.75194444444443</v>
      </c>
      <c r="BO11" s="871"/>
      <c r="BP11" s="870" t="e">
        <f t="shared" si="27"/>
        <v>#DIV/0!</v>
      </c>
      <c r="BQ11" s="870">
        <f>BL11*BS1</f>
        <v>10329.460999999999</v>
      </c>
      <c r="BR11" s="870">
        <f t="shared" si="31"/>
        <v>57.385894444444439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20612636</v>
      </c>
      <c r="J12" s="760">
        <f>IF(I12&gt;=I11,I12-I11,0)</f>
        <v>7000</v>
      </c>
      <c r="K12" s="760">
        <f t="shared" si="0"/>
        <v>3604</v>
      </c>
      <c r="L12" s="855">
        <v>534936</v>
      </c>
      <c r="M12" s="760">
        <f t="shared" si="1"/>
        <v>2284</v>
      </c>
      <c r="N12" s="855">
        <v>537844</v>
      </c>
      <c r="O12" s="760">
        <f>IF(N12&gt;=N11,N12-N11,0)</f>
        <v>1320</v>
      </c>
      <c r="P12" s="855">
        <v>209689</v>
      </c>
      <c r="Q12" s="760">
        <f t="shared" si="3"/>
        <v>630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82349</v>
      </c>
      <c r="W12" s="760">
        <f t="shared" si="4"/>
        <v>141</v>
      </c>
      <c r="X12" s="480">
        <v>154760</v>
      </c>
      <c r="Y12" s="760">
        <f t="shared" si="5"/>
        <v>273</v>
      </c>
      <c r="Z12" s="480">
        <v>315108</v>
      </c>
      <c r="AA12" s="760">
        <f t="shared" si="6"/>
        <v>0</v>
      </c>
      <c r="AB12" s="855">
        <v>607114</v>
      </c>
      <c r="AC12" s="760">
        <f t="shared" si="7"/>
        <v>1426.76</v>
      </c>
      <c r="AD12" s="855">
        <v>622013</v>
      </c>
      <c r="AE12" s="760">
        <f t="shared" si="8"/>
        <v>0</v>
      </c>
      <c r="AF12" s="480">
        <v>673971.44444444403</v>
      </c>
      <c r="AG12" s="760">
        <f t="shared" si="9"/>
        <v>0</v>
      </c>
      <c r="AH12" s="480">
        <v>175178</v>
      </c>
      <c r="AI12" s="760">
        <f t="shared" si="10"/>
        <v>174.37</v>
      </c>
      <c r="AJ12" s="480">
        <v>30333</v>
      </c>
      <c r="AK12" s="760">
        <f t="shared" si="28"/>
        <v>1592.65</v>
      </c>
      <c r="AL12" s="760">
        <f t="shared" si="11"/>
        <v>3193.78</v>
      </c>
      <c r="AM12" s="480">
        <v>6847833</v>
      </c>
      <c r="AN12" s="760">
        <f t="shared" si="12"/>
        <v>856</v>
      </c>
      <c r="AO12" s="855">
        <v>523443</v>
      </c>
      <c r="AP12" s="760">
        <f t="shared" si="13"/>
        <v>310</v>
      </c>
      <c r="AQ12" s="855">
        <v>868174</v>
      </c>
      <c r="AR12" s="760">
        <f t="shared" si="14"/>
        <v>30.47</v>
      </c>
      <c r="AS12" s="855">
        <v>771626</v>
      </c>
      <c r="AT12" s="760">
        <f t="shared" si="15"/>
        <v>245</v>
      </c>
      <c r="AU12" s="480">
        <v>2111607</v>
      </c>
      <c r="AV12" s="760">
        <f t="shared" si="16"/>
        <v>852</v>
      </c>
      <c r="AW12" s="855">
        <v>192112</v>
      </c>
      <c r="AX12" s="760">
        <f t="shared" si="25"/>
        <v>34</v>
      </c>
      <c r="AY12" s="480">
        <v>16452030</v>
      </c>
      <c r="AZ12" s="760">
        <f t="shared" si="17"/>
        <v>7181</v>
      </c>
      <c r="BA12" s="855">
        <v>19888661</v>
      </c>
      <c r="BB12" s="760">
        <f t="shared" si="18"/>
        <v>5368.9</v>
      </c>
      <c r="BC12" s="760">
        <f t="shared" si="19"/>
        <v>14877.37</v>
      </c>
      <c r="BD12" s="855">
        <v>1323286</v>
      </c>
      <c r="BE12" s="760">
        <f t="shared" si="20"/>
        <v>0</v>
      </c>
      <c r="BF12" s="855">
        <v>3069044</v>
      </c>
      <c r="BG12" s="760">
        <f t="shared" si="21"/>
        <v>1366</v>
      </c>
      <c r="BH12" s="855">
        <v>340690</v>
      </c>
      <c r="BI12" s="760">
        <f t="shared" si="22"/>
        <v>147</v>
      </c>
      <c r="BJ12" s="855">
        <v>383850</v>
      </c>
      <c r="BK12" s="760">
        <f t="shared" si="29"/>
        <v>201</v>
      </c>
      <c r="BL12" s="870">
        <f t="shared" si="26"/>
        <v>25701.15</v>
      </c>
      <c r="BM12" s="871">
        <v>198</v>
      </c>
      <c r="BN12" s="870">
        <f t="shared" si="30"/>
        <v>134.56099476439792</v>
      </c>
      <c r="BO12" s="871"/>
      <c r="BP12" s="870" t="e">
        <f t="shared" si="27"/>
        <v>#DIV/0!</v>
      </c>
      <c r="BQ12" s="870">
        <f>BL12*BS1</f>
        <v>11822.529</v>
      </c>
      <c r="BR12" s="870">
        <f t="shared" si="31"/>
        <v>61.898057591623036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20621515</v>
      </c>
      <c r="J13" s="760">
        <f t="shared" si="23"/>
        <v>8879</v>
      </c>
      <c r="K13" s="760">
        <f t="shared" si="0"/>
        <v>5695</v>
      </c>
      <c r="L13" s="855">
        <v>537758</v>
      </c>
      <c r="M13" s="760">
        <f t="shared" si="1"/>
        <v>2822</v>
      </c>
      <c r="N13" s="855">
        <v>540717</v>
      </c>
      <c r="O13" s="760">
        <f>IF(N13&gt;=N12,N13-N12,0)</f>
        <v>2873</v>
      </c>
      <c r="P13" s="855">
        <v>209711</v>
      </c>
      <c r="Q13" s="760">
        <f t="shared" si="3"/>
        <v>660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82492</v>
      </c>
      <c r="W13" s="760">
        <f t="shared" si="4"/>
        <v>143</v>
      </c>
      <c r="X13" s="480">
        <v>154989</v>
      </c>
      <c r="Y13" s="760">
        <f t="shared" si="5"/>
        <v>229</v>
      </c>
      <c r="Z13" s="480">
        <v>315108</v>
      </c>
      <c r="AA13" s="760">
        <f t="shared" si="6"/>
        <v>0</v>
      </c>
      <c r="AB13" s="855">
        <v>607114</v>
      </c>
      <c r="AC13" s="760">
        <f t="shared" si="7"/>
        <v>0</v>
      </c>
      <c r="AD13" s="855">
        <v>625677</v>
      </c>
      <c r="AE13" s="760">
        <f t="shared" si="8"/>
        <v>1941.92</v>
      </c>
      <c r="AF13" s="480">
        <v>673971.44444444403</v>
      </c>
      <c r="AG13" s="760">
        <f t="shared" si="9"/>
        <v>0</v>
      </c>
      <c r="AH13" s="855">
        <v>175588</v>
      </c>
      <c r="AI13" s="760">
        <f t="shared" si="10"/>
        <v>217.3</v>
      </c>
      <c r="AJ13" s="855">
        <v>34820</v>
      </c>
      <c r="AK13" s="760">
        <f t="shared" si="28"/>
        <v>2378.11</v>
      </c>
      <c r="AL13" s="760">
        <f t="shared" si="11"/>
        <v>4537.33</v>
      </c>
      <c r="AM13" s="480">
        <v>6848651</v>
      </c>
      <c r="AN13" s="760">
        <f t="shared" si="12"/>
        <v>818</v>
      </c>
      <c r="AO13" s="480">
        <v>523732</v>
      </c>
      <c r="AP13" s="760">
        <f t="shared" si="13"/>
        <v>289</v>
      </c>
      <c r="AQ13" s="855">
        <v>868423</v>
      </c>
      <c r="AR13" s="760">
        <f t="shared" si="14"/>
        <v>27.39</v>
      </c>
      <c r="AS13" s="480">
        <v>771924</v>
      </c>
      <c r="AT13" s="760">
        <f t="shared" si="15"/>
        <v>298</v>
      </c>
      <c r="AU13" s="855">
        <v>2112558</v>
      </c>
      <c r="AV13" s="760">
        <f t="shared" si="16"/>
        <v>951</v>
      </c>
      <c r="AW13" s="480">
        <v>192172</v>
      </c>
      <c r="AX13" s="760">
        <f t="shared" si="25"/>
        <v>60</v>
      </c>
      <c r="AY13" s="855">
        <v>16457862</v>
      </c>
      <c r="AZ13" s="760">
        <f t="shared" si="17"/>
        <v>5832</v>
      </c>
      <c r="BA13" s="855">
        <v>19894889</v>
      </c>
      <c r="BB13" s="760">
        <f t="shared" si="18"/>
        <v>5354.8</v>
      </c>
      <c r="BC13" s="760">
        <f t="shared" si="19"/>
        <v>13630.189999999999</v>
      </c>
      <c r="BD13" s="855">
        <v>1323286</v>
      </c>
      <c r="BE13" s="760">
        <f t="shared" si="20"/>
        <v>0</v>
      </c>
      <c r="BF13" s="855">
        <v>3070051</v>
      </c>
      <c r="BG13" s="760">
        <f t="shared" si="21"/>
        <v>1007</v>
      </c>
      <c r="BH13" s="855">
        <v>340824</v>
      </c>
      <c r="BI13" s="760">
        <f t="shared" si="22"/>
        <v>134</v>
      </c>
      <c r="BJ13" s="480">
        <v>384052</v>
      </c>
      <c r="BK13" s="760">
        <f t="shared" si="29"/>
        <v>202</v>
      </c>
      <c r="BL13" s="870">
        <f t="shared" si="26"/>
        <v>27706.519999999997</v>
      </c>
      <c r="BM13" s="871">
        <v>213</v>
      </c>
      <c r="BN13" s="870">
        <f t="shared" ref="BN13:BN19" si="36">IF(BL13&gt;0,BL13/BM12,0)</f>
        <v>139.93191919191918</v>
      </c>
      <c r="BO13" s="871"/>
      <c r="BP13" s="870" t="e">
        <f t="shared" si="27"/>
        <v>#DIV/0!</v>
      </c>
      <c r="BQ13" s="870">
        <f>BL13*BS1</f>
        <v>12744.999199999998</v>
      </c>
      <c r="BR13" s="870">
        <f t="shared" si="31"/>
        <v>64.368682828282815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20628784</v>
      </c>
      <c r="J14" s="760">
        <f t="shared" si="23"/>
        <v>7269</v>
      </c>
      <c r="K14" s="760">
        <f t="shared" si="0"/>
        <v>4763</v>
      </c>
      <c r="L14" s="855">
        <v>540689</v>
      </c>
      <c r="M14" s="760">
        <f>IF(L14&gt;=L13,L14-L13,0)</f>
        <v>2931</v>
      </c>
      <c r="N14" s="855">
        <v>542549</v>
      </c>
      <c r="O14" s="760">
        <f t="shared" si="2"/>
        <v>1832</v>
      </c>
      <c r="P14" s="855">
        <v>209735</v>
      </c>
      <c r="Q14" s="760">
        <f t="shared" si="3"/>
        <v>720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82643</v>
      </c>
      <c r="W14" s="760">
        <f t="shared" si="4"/>
        <v>151</v>
      </c>
      <c r="X14" s="480">
        <v>155226</v>
      </c>
      <c r="Y14" s="760">
        <f t="shared" si="5"/>
        <v>237</v>
      </c>
      <c r="Z14" s="480">
        <v>315108</v>
      </c>
      <c r="AA14" s="760">
        <f t="shared" si="6"/>
        <v>0</v>
      </c>
      <c r="AB14" s="855">
        <v>607645</v>
      </c>
      <c r="AC14" s="760">
        <f t="shared" si="7"/>
        <v>281.43</v>
      </c>
      <c r="AD14" s="855">
        <v>627873</v>
      </c>
      <c r="AE14" s="760">
        <f t="shared" si="8"/>
        <v>1163.8800000000001</v>
      </c>
      <c r="AF14" s="480">
        <v>673971.44444444403</v>
      </c>
      <c r="AG14" s="760">
        <f t="shared" si="9"/>
        <v>0</v>
      </c>
      <c r="AH14" s="480">
        <v>175969</v>
      </c>
      <c r="AI14" s="760">
        <f t="shared" si="10"/>
        <v>201.93</v>
      </c>
      <c r="AJ14" s="855">
        <v>39347</v>
      </c>
      <c r="AK14" s="760">
        <f t="shared" si="28"/>
        <v>2399.31</v>
      </c>
      <c r="AL14" s="760">
        <f t="shared" si="11"/>
        <v>4046.55</v>
      </c>
      <c r="AM14" s="480">
        <v>6849460</v>
      </c>
      <c r="AN14" s="760">
        <f t="shared" si="12"/>
        <v>809</v>
      </c>
      <c r="AO14" s="855">
        <v>524073</v>
      </c>
      <c r="AP14" s="760">
        <f t="shared" si="13"/>
        <v>341</v>
      </c>
      <c r="AQ14" s="855">
        <v>868677</v>
      </c>
      <c r="AR14" s="760">
        <f t="shared" si="14"/>
        <v>27.94</v>
      </c>
      <c r="AS14" s="855">
        <v>772255</v>
      </c>
      <c r="AT14" s="760">
        <f t="shared" si="15"/>
        <v>331</v>
      </c>
      <c r="AU14" s="480">
        <v>2113543</v>
      </c>
      <c r="AV14" s="760">
        <f t="shared" si="16"/>
        <v>985</v>
      </c>
      <c r="AW14" s="855">
        <v>192236</v>
      </c>
      <c r="AX14" s="760">
        <f t="shared" si="25"/>
        <v>64</v>
      </c>
      <c r="AY14" s="855">
        <v>16463448</v>
      </c>
      <c r="AZ14" s="760">
        <f t="shared" si="17"/>
        <v>5586</v>
      </c>
      <c r="BA14" s="855">
        <v>19901230</v>
      </c>
      <c r="BB14" s="760">
        <f t="shared" si="18"/>
        <v>5462.9</v>
      </c>
      <c r="BC14" s="760">
        <f t="shared" si="19"/>
        <v>13606.84</v>
      </c>
      <c r="BD14" s="855">
        <v>1323286</v>
      </c>
      <c r="BE14" s="760">
        <f t="shared" si="20"/>
        <v>0</v>
      </c>
      <c r="BF14" s="855">
        <v>3071072</v>
      </c>
      <c r="BG14" s="760">
        <f t="shared" si="21"/>
        <v>1021</v>
      </c>
      <c r="BH14" s="855">
        <v>340959</v>
      </c>
      <c r="BI14" s="760">
        <f t="shared" si="22"/>
        <v>135</v>
      </c>
      <c r="BJ14" s="855">
        <v>384250</v>
      </c>
      <c r="BK14" s="760">
        <f t="shared" si="29"/>
        <v>198</v>
      </c>
      <c r="BL14" s="870">
        <f t="shared" si="26"/>
        <v>25642.39</v>
      </c>
      <c r="BM14" s="871">
        <v>200</v>
      </c>
      <c r="BN14" s="870">
        <f t="shared" si="36"/>
        <v>120.38680751173709</v>
      </c>
      <c r="BO14" s="871"/>
      <c r="BP14" s="870" t="e">
        <f t="shared" si="27"/>
        <v>#DIV/0!</v>
      </c>
      <c r="BQ14" s="870">
        <f>BL14*BS1</f>
        <v>11795.499400000001</v>
      </c>
      <c r="BR14" s="870">
        <f t="shared" si="31"/>
        <v>55.377931455399064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20637683</v>
      </c>
      <c r="J15" s="760">
        <f t="shared" si="23"/>
        <v>8899</v>
      </c>
      <c r="K15" s="760">
        <f t="shared" si="0"/>
        <v>5548</v>
      </c>
      <c r="L15" s="855">
        <v>543662</v>
      </c>
      <c r="M15" s="760">
        <f>IF(L15&gt;=L14,L15-L14,0)</f>
        <v>2973</v>
      </c>
      <c r="N15" s="855">
        <v>545124</v>
      </c>
      <c r="O15" s="760">
        <f t="shared" si="2"/>
        <v>2575</v>
      </c>
      <c r="P15" s="855">
        <v>209760</v>
      </c>
      <c r="Q15" s="760">
        <f t="shared" si="3"/>
        <v>750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82777</v>
      </c>
      <c r="W15" s="760">
        <f t="shared" si="4"/>
        <v>134</v>
      </c>
      <c r="X15" s="480">
        <v>155439</v>
      </c>
      <c r="Y15" s="760">
        <f t="shared" si="5"/>
        <v>213</v>
      </c>
      <c r="Z15" s="480">
        <v>315108</v>
      </c>
      <c r="AA15" s="760">
        <f t="shared" si="6"/>
        <v>0</v>
      </c>
      <c r="AB15" s="855">
        <v>610403</v>
      </c>
      <c r="AC15" s="760">
        <f t="shared" si="7"/>
        <v>1461.74</v>
      </c>
      <c r="AD15" s="855">
        <v>627873</v>
      </c>
      <c r="AE15" s="760">
        <f t="shared" si="8"/>
        <v>0</v>
      </c>
      <c r="AF15" s="480">
        <v>673971.44444444403</v>
      </c>
      <c r="AG15" s="760">
        <f t="shared" si="9"/>
        <v>0</v>
      </c>
      <c r="AH15" s="855">
        <v>176275</v>
      </c>
      <c r="AI15" s="760">
        <f t="shared" si="10"/>
        <v>162.18</v>
      </c>
      <c r="AJ15" s="480">
        <v>43196</v>
      </c>
      <c r="AK15" s="760">
        <f t="shared" si="28"/>
        <v>2039.97</v>
      </c>
      <c r="AL15" s="760">
        <f t="shared" si="11"/>
        <v>3663.8900000000003</v>
      </c>
      <c r="AM15" s="480">
        <v>6850136</v>
      </c>
      <c r="AN15" s="760">
        <f t="shared" si="12"/>
        <v>676</v>
      </c>
      <c r="AO15" s="480">
        <v>524362</v>
      </c>
      <c r="AP15" s="760">
        <f t="shared" si="13"/>
        <v>289</v>
      </c>
      <c r="AQ15" s="855">
        <v>868992</v>
      </c>
      <c r="AR15" s="760">
        <f t="shared" si="14"/>
        <v>34.65</v>
      </c>
      <c r="AS15" s="480">
        <v>772492</v>
      </c>
      <c r="AT15" s="760">
        <f t="shared" si="15"/>
        <v>237</v>
      </c>
      <c r="AU15" s="855">
        <v>2114330</v>
      </c>
      <c r="AV15" s="760">
        <f t="shared" si="16"/>
        <v>787</v>
      </c>
      <c r="AW15" s="855">
        <v>192291</v>
      </c>
      <c r="AX15" s="760">
        <f t="shared" si="25"/>
        <v>55</v>
      </c>
      <c r="AY15" s="855">
        <v>16470817</v>
      </c>
      <c r="AZ15" s="760">
        <f t="shared" si="17"/>
        <v>7369</v>
      </c>
      <c r="BA15" s="855">
        <v>19908606</v>
      </c>
      <c r="BB15" s="760">
        <f t="shared" si="18"/>
        <v>6326</v>
      </c>
      <c r="BC15" s="760">
        <f t="shared" si="19"/>
        <v>15773.65</v>
      </c>
      <c r="BD15" s="855">
        <v>1323286</v>
      </c>
      <c r="BE15" s="760">
        <f t="shared" si="20"/>
        <v>0</v>
      </c>
      <c r="BF15" s="855">
        <v>3072327</v>
      </c>
      <c r="BG15" s="760">
        <f t="shared" si="21"/>
        <v>1255</v>
      </c>
      <c r="BH15" s="855">
        <v>341107</v>
      </c>
      <c r="BI15" s="760">
        <f t="shared" si="22"/>
        <v>148</v>
      </c>
      <c r="BJ15" s="855">
        <v>384473</v>
      </c>
      <c r="BK15" s="760">
        <f t="shared" si="29"/>
        <v>223</v>
      </c>
      <c r="BL15" s="870">
        <f t="shared" si="26"/>
        <v>29086.54</v>
      </c>
      <c r="BM15" s="871">
        <v>165</v>
      </c>
      <c r="BN15" s="870">
        <f t="shared" si="36"/>
        <v>145.43270000000001</v>
      </c>
      <c r="BO15" s="871"/>
      <c r="BP15" s="870" t="e">
        <f t="shared" si="27"/>
        <v>#DIV/0!</v>
      </c>
      <c r="BQ15" s="870">
        <f>BL15*BS1</f>
        <v>13379.808400000002</v>
      </c>
      <c r="BR15" s="870">
        <f t="shared" si="31"/>
        <v>66.899042000000009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20643743</v>
      </c>
      <c r="J16" s="760">
        <f t="shared" si="23"/>
        <v>6060</v>
      </c>
      <c r="K16" s="760">
        <f t="shared" si="0"/>
        <v>5463</v>
      </c>
      <c r="L16" s="855">
        <v>546564</v>
      </c>
      <c r="M16" s="760">
        <f>IF(L16&gt;=L15,L16-L15,0)</f>
        <v>2902</v>
      </c>
      <c r="N16" s="480">
        <v>547685</v>
      </c>
      <c r="O16" s="760">
        <f t="shared" si="2"/>
        <v>2561</v>
      </c>
      <c r="P16" s="855">
        <v>209785</v>
      </c>
      <c r="Q16" s="760">
        <f t="shared" si="3"/>
        <v>750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82923</v>
      </c>
      <c r="W16" s="760">
        <f t="shared" si="4"/>
        <v>146</v>
      </c>
      <c r="X16" s="480">
        <v>155671</v>
      </c>
      <c r="Y16" s="760">
        <f t="shared" si="5"/>
        <v>232</v>
      </c>
      <c r="Z16" s="480">
        <v>315108</v>
      </c>
      <c r="AA16" s="760">
        <f t="shared" si="6"/>
        <v>0</v>
      </c>
      <c r="AB16" s="855">
        <v>613192</v>
      </c>
      <c r="AC16" s="760">
        <f t="shared" si="7"/>
        <v>1478.17</v>
      </c>
      <c r="AD16" s="855">
        <v>627873</v>
      </c>
      <c r="AE16" s="760">
        <f t="shared" si="8"/>
        <v>0</v>
      </c>
      <c r="AF16" s="480">
        <v>673971.44444444403</v>
      </c>
      <c r="AG16" s="760">
        <f t="shared" si="9"/>
        <v>0</v>
      </c>
      <c r="AH16" s="480">
        <v>176594</v>
      </c>
      <c r="AI16" s="760">
        <f t="shared" si="10"/>
        <v>169.07000000000002</v>
      </c>
      <c r="AJ16" s="855">
        <v>47436</v>
      </c>
      <c r="AK16" s="760">
        <f t="shared" si="28"/>
        <v>2247.2000000000003</v>
      </c>
      <c r="AL16" s="760">
        <f t="shared" si="11"/>
        <v>3894.4400000000005</v>
      </c>
      <c r="AM16" s="904">
        <v>6850904</v>
      </c>
      <c r="AN16" s="760">
        <f t="shared" si="12"/>
        <v>768</v>
      </c>
      <c r="AO16" s="480">
        <v>524624</v>
      </c>
      <c r="AP16" s="760">
        <f t="shared" si="13"/>
        <v>262</v>
      </c>
      <c r="AQ16" s="480">
        <v>869211</v>
      </c>
      <c r="AR16" s="760">
        <f t="shared" si="14"/>
        <v>24.09</v>
      </c>
      <c r="AS16" s="480">
        <v>772773</v>
      </c>
      <c r="AT16" s="760">
        <f t="shared" si="15"/>
        <v>281</v>
      </c>
      <c r="AU16" s="480">
        <v>2115105</v>
      </c>
      <c r="AV16" s="760">
        <f t="shared" si="16"/>
        <v>775</v>
      </c>
      <c r="AW16" s="480">
        <v>192353</v>
      </c>
      <c r="AX16" s="760">
        <f t="shared" si="25"/>
        <v>62</v>
      </c>
      <c r="AY16" s="480">
        <v>16475167</v>
      </c>
      <c r="AZ16" s="760">
        <f t="shared" si="17"/>
        <v>4350</v>
      </c>
      <c r="BA16" s="855">
        <v>19913658</v>
      </c>
      <c r="BB16" s="760">
        <f t="shared" si="18"/>
        <v>4328.3</v>
      </c>
      <c r="BC16" s="760">
        <f t="shared" si="19"/>
        <v>10850.39</v>
      </c>
      <c r="BD16" s="855">
        <v>1323286</v>
      </c>
      <c r="BE16" s="760">
        <f t="shared" si="20"/>
        <v>0</v>
      </c>
      <c r="BF16" s="855">
        <v>3073199</v>
      </c>
      <c r="BG16" s="760">
        <f t="shared" si="21"/>
        <v>872</v>
      </c>
      <c r="BH16" s="480">
        <v>341212</v>
      </c>
      <c r="BI16" s="760">
        <f t="shared" si="22"/>
        <v>105</v>
      </c>
      <c r="BJ16" s="480">
        <v>384621</v>
      </c>
      <c r="BK16" s="760">
        <f t="shared" si="29"/>
        <v>148</v>
      </c>
      <c r="BL16" s="870">
        <f t="shared" si="26"/>
        <v>21554.83</v>
      </c>
      <c r="BM16" s="871">
        <v>215</v>
      </c>
      <c r="BN16" s="870">
        <f t="shared" si="36"/>
        <v>130.63533333333334</v>
      </c>
      <c r="BO16" s="871"/>
      <c r="BP16" s="870" t="e">
        <f t="shared" si="27"/>
        <v>#DIV/0!</v>
      </c>
      <c r="BQ16" s="870">
        <f>BL16*BS1</f>
        <v>9915.2218000000012</v>
      </c>
      <c r="BR16" s="870">
        <f>IF(BQ16&gt;0,BQ16/BM15,0)</f>
        <v>60.092253333333339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20650870</v>
      </c>
      <c r="J17" s="760">
        <f t="shared" si="23"/>
        <v>7127</v>
      </c>
      <c r="K17" s="760">
        <f t="shared" si="0"/>
        <v>5773</v>
      </c>
      <c r="L17" s="480">
        <v>549465</v>
      </c>
      <c r="M17" s="760">
        <f>IF(L17&gt;=L16,L17-L16,0)</f>
        <v>2901</v>
      </c>
      <c r="N17" s="480">
        <v>550557</v>
      </c>
      <c r="O17" s="760">
        <f t="shared" si="2"/>
        <v>2872</v>
      </c>
      <c r="P17" s="855">
        <v>209805</v>
      </c>
      <c r="Q17" s="760">
        <f t="shared" si="3"/>
        <v>600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83068</v>
      </c>
      <c r="W17" s="760">
        <f t="shared" si="4"/>
        <v>145</v>
      </c>
      <c r="X17" s="855">
        <v>155903</v>
      </c>
      <c r="Y17" s="760">
        <f t="shared" si="5"/>
        <v>232</v>
      </c>
      <c r="Z17" s="480">
        <v>315108</v>
      </c>
      <c r="AA17" s="760">
        <f t="shared" si="6"/>
        <v>0</v>
      </c>
      <c r="AB17" s="480">
        <v>613703</v>
      </c>
      <c r="AC17" s="760">
        <f t="shared" si="7"/>
        <v>270.83000000000004</v>
      </c>
      <c r="AD17" s="904">
        <v>630754</v>
      </c>
      <c r="AE17" s="760">
        <f t="shared" si="8"/>
        <v>1526.93</v>
      </c>
      <c r="AF17" s="480">
        <v>673817</v>
      </c>
      <c r="AG17" s="760">
        <f t="shared" si="9"/>
        <v>0</v>
      </c>
      <c r="AH17" s="480">
        <v>176946</v>
      </c>
      <c r="AI17" s="760">
        <f t="shared" si="10"/>
        <v>186.56</v>
      </c>
      <c r="AJ17" s="480">
        <v>51676</v>
      </c>
      <c r="AK17" s="760">
        <f t="shared" si="28"/>
        <v>2247.2000000000003</v>
      </c>
      <c r="AL17" s="760">
        <f t="shared" si="11"/>
        <v>4231.5200000000004</v>
      </c>
      <c r="AM17" s="480">
        <v>6851695</v>
      </c>
      <c r="AN17" s="760">
        <f t="shared" si="12"/>
        <v>791</v>
      </c>
      <c r="AO17" s="480">
        <v>524914</v>
      </c>
      <c r="AP17" s="760">
        <f t="shared" si="13"/>
        <v>290</v>
      </c>
      <c r="AQ17" s="480">
        <v>869483</v>
      </c>
      <c r="AR17" s="760">
        <f t="shared" si="14"/>
        <v>29.92</v>
      </c>
      <c r="AS17" s="480">
        <v>773035</v>
      </c>
      <c r="AT17" s="760">
        <f t="shared" si="15"/>
        <v>262</v>
      </c>
      <c r="AU17" s="480">
        <v>2115918</v>
      </c>
      <c r="AV17" s="760">
        <f t="shared" si="16"/>
        <v>813</v>
      </c>
      <c r="AW17" s="480">
        <v>192412</v>
      </c>
      <c r="AX17" s="760">
        <f t="shared" si="25"/>
        <v>59</v>
      </c>
      <c r="AY17" s="480">
        <v>16480849</v>
      </c>
      <c r="AZ17" s="760">
        <f t="shared" si="17"/>
        <v>5682</v>
      </c>
      <c r="BA17" s="855">
        <v>19920259.333333299</v>
      </c>
      <c r="BB17" s="760">
        <f t="shared" si="18"/>
        <v>5697.6333332985641</v>
      </c>
      <c r="BC17" s="760">
        <f t="shared" si="19"/>
        <v>13624.553333298565</v>
      </c>
      <c r="BD17" s="855">
        <v>1323286</v>
      </c>
      <c r="BE17" s="760">
        <f>IF(BD17&gt;=BF16,BD17-BF16,0)</f>
        <v>0</v>
      </c>
      <c r="BF17" s="480">
        <v>3074291</v>
      </c>
      <c r="BG17" s="760">
        <f t="shared" si="21"/>
        <v>1092</v>
      </c>
      <c r="BH17" s="480">
        <v>341333</v>
      </c>
      <c r="BI17" s="760">
        <f t="shared" si="22"/>
        <v>121</v>
      </c>
      <c r="BJ17" s="480">
        <v>384809</v>
      </c>
      <c r="BK17" s="760">
        <f t="shared" si="29"/>
        <v>188</v>
      </c>
      <c r="BL17" s="870">
        <f t="shared" si="26"/>
        <v>25583.073333298566</v>
      </c>
      <c r="BM17" s="871">
        <v>236</v>
      </c>
      <c r="BN17" s="870">
        <f t="shared" si="36"/>
        <v>118.99103875952821</v>
      </c>
      <c r="BO17" s="871"/>
      <c r="BP17" s="870" t="e">
        <f t="shared" si="27"/>
        <v>#DIV/0!</v>
      </c>
      <c r="BQ17" s="870">
        <f>BL17*BS1</f>
        <v>11768.213733317341</v>
      </c>
      <c r="BR17" s="870">
        <f>IF(BQ17&gt;0,BQ17/BM16,0)</f>
        <v>54.735877829382986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855">
        <v>20658044</v>
      </c>
      <c r="J18" s="760">
        <f t="shared" si="23"/>
        <v>7174</v>
      </c>
      <c r="K18" s="760">
        <f t="shared" si="0"/>
        <v>4551</v>
      </c>
      <c r="L18" s="855">
        <v>552058</v>
      </c>
      <c r="M18" s="760">
        <f>IF(L18&gt;=L17,L18-L17,0)</f>
        <v>2593</v>
      </c>
      <c r="N18" s="855">
        <v>552515</v>
      </c>
      <c r="O18" s="760">
        <f t="shared" si="2"/>
        <v>1958</v>
      </c>
      <c r="P18" s="855">
        <v>209828</v>
      </c>
      <c r="Q18" s="760">
        <f t="shared" si="3"/>
        <v>690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83221</v>
      </c>
      <c r="W18" s="760">
        <f t="shared" si="4"/>
        <v>153</v>
      </c>
      <c r="X18" s="480">
        <v>156151</v>
      </c>
      <c r="Y18" s="760">
        <f t="shared" si="5"/>
        <v>248</v>
      </c>
      <c r="Z18" s="480">
        <v>315108</v>
      </c>
      <c r="AA18" s="760">
        <f t="shared" si="6"/>
        <v>0</v>
      </c>
      <c r="AB18" s="480">
        <v>613703</v>
      </c>
      <c r="AC18" s="760">
        <f t="shared" si="7"/>
        <v>0</v>
      </c>
      <c r="AD18" s="904">
        <v>635635</v>
      </c>
      <c r="AE18" s="760">
        <f t="shared" si="8"/>
        <v>2586.9300000000003</v>
      </c>
      <c r="AF18" s="480">
        <v>673817</v>
      </c>
      <c r="AG18" s="760">
        <f t="shared" si="9"/>
        <v>0</v>
      </c>
      <c r="AH18" s="855">
        <v>177440</v>
      </c>
      <c r="AI18" s="760">
        <f t="shared" si="10"/>
        <v>261.82</v>
      </c>
      <c r="AJ18" s="480">
        <v>56453</v>
      </c>
      <c r="AK18" s="760">
        <f t="shared" si="28"/>
        <v>2531.81</v>
      </c>
      <c r="AL18" s="760">
        <f t="shared" si="11"/>
        <v>5380.56</v>
      </c>
      <c r="AM18" s="480">
        <v>6852649</v>
      </c>
      <c r="AN18" s="760">
        <f t="shared" si="12"/>
        <v>954</v>
      </c>
      <c r="AO18" s="855">
        <v>525253</v>
      </c>
      <c r="AP18" s="760">
        <f t="shared" si="13"/>
        <v>339</v>
      </c>
      <c r="AQ18" s="480">
        <v>869766</v>
      </c>
      <c r="AR18" s="760">
        <f t="shared" si="14"/>
        <v>31.13</v>
      </c>
      <c r="AS18" s="480">
        <v>773268</v>
      </c>
      <c r="AT18" s="760">
        <f t="shared" si="15"/>
        <v>233</v>
      </c>
      <c r="AU18" s="855">
        <v>2116825</v>
      </c>
      <c r="AV18" s="760">
        <f t="shared" si="16"/>
        <v>907</v>
      </c>
      <c r="AW18" s="855">
        <v>192476</v>
      </c>
      <c r="AX18" s="760">
        <f t="shared" si="25"/>
        <v>64</v>
      </c>
      <c r="AY18" s="855">
        <v>16486824</v>
      </c>
      <c r="AZ18" s="760">
        <f t="shared" si="17"/>
        <v>5975</v>
      </c>
      <c r="BA18" s="855">
        <v>19926854</v>
      </c>
      <c r="BB18" s="760">
        <f t="shared" si="18"/>
        <v>5611.8666667014359</v>
      </c>
      <c r="BC18" s="760">
        <f t="shared" si="19"/>
        <v>14114.996666701438</v>
      </c>
      <c r="BD18" s="855">
        <v>1323286</v>
      </c>
      <c r="BE18" s="760">
        <f t="shared" si="20"/>
        <v>0</v>
      </c>
      <c r="BF18" s="480">
        <v>3075494</v>
      </c>
      <c r="BG18" s="760">
        <f t="shared" si="21"/>
        <v>1203</v>
      </c>
      <c r="BH18" s="480">
        <v>341465</v>
      </c>
      <c r="BI18" s="760">
        <f t="shared" si="22"/>
        <v>132</v>
      </c>
      <c r="BJ18" s="480">
        <v>385004</v>
      </c>
      <c r="BK18" s="760">
        <f t="shared" si="29"/>
        <v>195</v>
      </c>
      <c r="BL18" s="870">
        <f t="shared" si="26"/>
        <v>27359.556666701439</v>
      </c>
      <c r="BM18" s="871">
        <v>251</v>
      </c>
      <c r="BN18" s="870">
        <f t="shared" si="36"/>
        <v>115.9303248589044</v>
      </c>
      <c r="BO18" s="871"/>
      <c r="BP18" s="870" t="e">
        <f t="shared" si="27"/>
        <v>#DIV/0!</v>
      </c>
      <c r="BQ18" s="870">
        <f>BL18*BS1</f>
        <v>12585.396066682662</v>
      </c>
      <c r="BR18" s="870">
        <f>IF(BQ18&gt;0,BQ18/BM17,0)</f>
        <v>53.327949435096031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20665396</v>
      </c>
      <c r="J19" s="760">
        <f t="shared" si="23"/>
        <v>7352</v>
      </c>
      <c r="K19" s="760">
        <f t="shared" si="0"/>
        <v>5272</v>
      </c>
      <c r="L19" s="855">
        <v>554397</v>
      </c>
      <c r="M19" s="760">
        <f t="shared" si="1"/>
        <v>2339</v>
      </c>
      <c r="N19" s="855">
        <v>555448</v>
      </c>
      <c r="O19" s="760">
        <f t="shared" si="2"/>
        <v>2933</v>
      </c>
      <c r="P19" s="855">
        <v>209853</v>
      </c>
      <c r="Q19" s="760">
        <f t="shared" ref="Q19:Q36" si="37">IF(P19&gt;=P18,P19-P18,0)*30</f>
        <v>750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83366.5</v>
      </c>
      <c r="W19" s="760">
        <f t="shared" si="4"/>
        <v>145.5</v>
      </c>
      <c r="X19" s="480">
        <v>156403</v>
      </c>
      <c r="Y19" s="760">
        <f t="shared" si="5"/>
        <v>252</v>
      </c>
      <c r="Z19" s="480">
        <v>315108</v>
      </c>
      <c r="AA19" s="760">
        <f t="shared" si="6"/>
        <v>0</v>
      </c>
      <c r="AB19" s="480">
        <v>613703</v>
      </c>
      <c r="AC19" s="760">
        <f t="shared" si="7"/>
        <v>0</v>
      </c>
      <c r="AD19" s="855">
        <v>640776</v>
      </c>
      <c r="AE19" s="760">
        <f t="shared" si="8"/>
        <v>2724.73</v>
      </c>
      <c r="AF19" s="480">
        <v>673817</v>
      </c>
      <c r="AG19" s="760">
        <f t="shared" si="9"/>
        <v>0</v>
      </c>
      <c r="AH19" s="855">
        <v>177945</v>
      </c>
      <c r="AI19" s="760">
        <f t="shared" si="10"/>
        <v>267.65000000000003</v>
      </c>
      <c r="AJ19" s="480">
        <v>61233</v>
      </c>
      <c r="AK19" s="760">
        <f t="shared" si="28"/>
        <v>2533.4</v>
      </c>
      <c r="AL19" s="760">
        <f t="shared" si="11"/>
        <v>5525.7800000000007</v>
      </c>
      <c r="AM19" s="904">
        <v>6853525</v>
      </c>
      <c r="AN19" s="760">
        <f t="shared" si="12"/>
        <v>876</v>
      </c>
      <c r="AO19" s="480">
        <v>525554</v>
      </c>
      <c r="AP19" s="760">
        <f t="shared" si="13"/>
        <v>301</v>
      </c>
      <c r="AQ19" s="855">
        <v>870088</v>
      </c>
      <c r="AR19" s="760">
        <f t="shared" si="14"/>
        <v>35.42</v>
      </c>
      <c r="AS19" s="480">
        <v>773512</v>
      </c>
      <c r="AT19" s="760">
        <f t="shared" si="15"/>
        <v>244</v>
      </c>
      <c r="AU19" s="855">
        <v>2117775</v>
      </c>
      <c r="AV19" s="760">
        <f t="shared" si="16"/>
        <v>950</v>
      </c>
      <c r="AW19" s="480">
        <v>192542</v>
      </c>
      <c r="AX19" s="760">
        <f t="shared" ref="AX19:AX36" si="40">IF(AW19&gt;=AW18,AW19-AW18,0)</f>
        <v>66</v>
      </c>
      <c r="AY19" s="480">
        <v>16492762</v>
      </c>
      <c r="AZ19" s="760">
        <f t="shared" si="17"/>
        <v>5938</v>
      </c>
      <c r="BA19" s="855">
        <v>19934552</v>
      </c>
      <c r="BB19" s="760">
        <f t="shared" si="18"/>
        <v>6596.2</v>
      </c>
      <c r="BC19" s="760">
        <f t="shared" si="19"/>
        <v>15006.619999999999</v>
      </c>
      <c r="BD19" s="855">
        <v>1323286</v>
      </c>
      <c r="BE19" s="760">
        <f t="shared" si="20"/>
        <v>0</v>
      </c>
      <c r="BF19" s="480">
        <v>3076832</v>
      </c>
      <c r="BG19" s="760">
        <f t="shared" si="21"/>
        <v>1338</v>
      </c>
      <c r="BH19" s="904">
        <v>341613</v>
      </c>
      <c r="BI19" s="760">
        <f t="shared" si="22"/>
        <v>148</v>
      </c>
      <c r="BJ19" s="855">
        <v>385229</v>
      </c>
      <c r="BK19" s="760">
        <f t="shared" si="29"/>
        <v>225</v>
      </c>
      <c r="BL19" s="870">
        <f t="shared" si="26"/>
        <v>28634.400000000001</v>
      </c>
      <c r="BM19" s="904">
        <v>256</v>
      </c>
      <c r="BN19" s="870">
        <f t="shared" si="36"/>
        <v>114.08127490039841</v>
      </c>
      <c r="BO19" s="871"/>
      <c r="BP19" s="870" t="e">
        <f t="shared" si="27"/>
        <v>#DIV/0!</v>
      </c>
      <c r="BQ19" s="870">
        <f>BL19*BS1</f>
        <v>13171.824000000001</v>
      </c>
      <c r="BR19" s="870">
        <f>IF(BQ19&gt;0,BQ19/BM18,0)</f>
        <v>52.477386454183268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20672629.333333299</v>
      </c>
      <c r="J20" s="760">
        <f t="shared" si="23"/>
        <v>7233.333333298564</v>
      </c>
      <c r="K20" s="760">
        <f t="shared" si="0"/>
        <v>5162</v>
      </c>
      <c r="L20" s="855">
        <v>557144</v>
      </c>
      <c r="M20" s="760">
        <f t="shared" si="1"/>
        <v>2747</v>
      </c>
      <c r="N20" s="480">
        <v>557863</v>
      </c>
      <c r="O20" s="760">
        <f t="shared" si="2"/>
        <v>2415</v>
      </c>
      <c r="P20" s="855">
        <v>209874.5</v>
      </c>
      <c r="Q20" s="760">
        <f t="shared" si="37"/>
        <v>645</v>
      </c>
      <c r="R20" s="480">
        <v>702925</v>
      </c>
      <c r="S20" s="760">
        <f t="shared" si="38"/>
        <v>0</v>
      </c>
      <c r="T20" s="480">
        <v>344001</v>
      </c>
      <c r="U20" s="760">
        <f t="shared" si="39"/>
        <v>0</v>
      </c>
      <c r="V20" s="480">
        <v>83508.714285714304</v>
      </c>
      <c r="W20" s="760">
        <f t="shared" si="4"/>
        <v>142.21428571430442</v>
      </c>
      <c r="X20" s="480">
        <v>156643</v>
      </c>
      <c r="Y20" s="760">
        <f t="shared" si="5"/>
        <v>240</v>
      </c>
      <c r="Z20" s="480">
        <v>315108</v>
      </c>
      <c r="AA20" s="760">
        <f t="shared" si="6"/>
        <v>0</v>
      </c>
      <c r="AB20" s="480">
        <v>613703</v>
      </c>
      <c r="AC20" s="760">
        <f t="shared" si="7"/>
        <v>0</v>
      </c>
      <c r="AD20" s="855">
        <v>640776</v>
      </c>
      <c r="AE20" s="760">
        <f t="shared" si="8"/>
        <v>0</v>
      </c>
      <c r="AF20" s="480">
        <v>673739.77777777798</v>
      </c>
      <c r="AG20" s="760">
        <f t="shared" si="9"/>
        <v>0</v>
      </c>
      <c r="AH20" s="480">
        <v>178368</v>
      </c>
      <c r="AI20" s="760">
        <f t="shared" si="10"/>
        <v>224.19</v>
      </c>
      <c r="AJ20" s="480">
        <v>65526.1</v>
      </c>
      <c r="AK20" s="760">
        <f t="shared" si="28"/>
        <v>2275.3429999999994</v>
      </c>
      <c r="AL20" s="760">
        <f t="shared" si="11"/>
        <v>2499.5329999999994</v>
      </c>
      <c r="AM20" s="480">
        <v>6854453</v>
      </c>
      <c r="AN20" s="760">
        <f t="shared" si="12"/>
        <v>928</v>
      </c>
      <c r="AO20" s="480">
        <v>525868.5</v>
      </c>
      <c r="AP20" s="760">
        <f t="shared" si="13"/>
        <v>314.5</v>
      </c>
      <c r="AQ20" s="480">
        <v>870384</v>
      </c>
      <c r="AR20" s="760">
        <f t="shared" si="14"/>
        <v>32.56</v>
      </c>
      <c r="AS20" s="480">
        <v>773748.66666666698</v>
      </c>
      <c r="AT20" s="760">
        <f t="shared" si="15"/>
        <v>236.66666666697711</v>
      </c>
      <c r="AU20" s="480">
        <v>2118635</v>
      </c>
      <c r="AV20" s="760">
        <f t="shared" si="16"/>
        <v>860</v>
      </c>
      <c r="AW20" s="480">
        <v>192603.5</v>
      </c>
      <c r="AX20" s="760">
        <f t="shared" si="40"/>
        <v>61.5</v>
      </c>
      <c r="AY20" s="480">
        <v>16498590.5</v>
      </c>
      <c r="AZ20" s="760">
        <f t="shared" si="17"/>
        <v>5828.5</v>
      </c>
      <c r="BA20" s="855">
        <v>19941150</v>
      </c>
      <c r="BB20" s="760">
        <f t="shared" si="18"/>
        <v>5589.0333333334884</v>
      </c>
      <c r="BC20" s="760">
        <f t="shared" si="19"/>
        <v>13850.760000000464</v>
      </c>
      <c r="BD20" s="855">
        <v>1323286</v>
      </c>
      <c r="BE20" s="760">
        <f t="shared" si="20"/>
        <v>0</v>
      </c>
      <c r="BF20" s="480">
        <v>3078080</v>
      </c>
      <c r="BG20" s="760">
        <f t="shared" si="21"/>
        <v>1248</v>
      </c>
      <c r="BH20" s="480">
        <v>341750.33333333302</v>
      </c>
      <c r="BI20" s="760">
        <f t="shared" si="22"/>
        <v>137.33333333302289</v>
      </c>
      <c r="BJ20" s="480">
        <v>385420.5</v>
      </c>
      <c r="BK20" s="760">
        <f t="shared" si="29"/>
        <v>191.5</v>
      </c>
      <c r="BL20" s="870">
        <f t="shared" si="26"/>
        <v>24228.626333299027</v>
      </c>
      <c r="BM20" s="871">
        <v>219</v>
      </c>
      <c r="BN20" s="870">
        <f t="shared" ref="BN20:BN36" si="41">IF(BL20&gt;0,BL20/BM20,0)</f>
        <v>110.63299695570332</v>
      </c>
      <c r="BO20" s="871"/>
      <c r="BP20" s="870" t="e">
        <f t="shared" si="27"/>
        <v>#DIV/0!</v>
      </c>
      <c r="BQ20" s="870">
        <f>BL20*BS1</f>
        <v>11145.168113317553</v>
      </c>
      <c r="BR20" s="870">
        <f t="shared" ref="BR20:BR36" si="42">IF(BQ20&gt;0,BQ20/BM20,0)</f>
        <v>50.89117859962353</v>
      </c>
      <c r="BS20" s="872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855">
        <v>20679961.809523799</v>
      </c>
      <c r="J21" s="760">
        <f t="shared" si="23"/>
        <v>7332.4761904999614</v>
      </c>
      <c r="K21" s="760">
        <f t="shared" si="0"/>
        <v>4791</v>
      </c>
      <c r="L21" s="480">
        <v>559042</v>
      </c>
      <c r="M21" s="760">
        <f t="shared" si="1"/>
        <v>1898</v>
      </c>
      <c r="N21" s="480">
        <v>560756</v>
      </c>
      <c r="O21" s="760">
        <f t="shared" si="2"/>
        <v>2893</v>
      </c>
      <c r="P21" s="855">
        <v>209897</v>
      </c>
      <c r="Q21" s="760">
        <f t="shared" si="37"/>
        <v>675</v>
      </c>
      <c r="R21" s="480">
        <v>702925</v>
      </c>
      <c r="S21" s="760">
        <f t="shared" si="38"/>
        <v>0</v>
      </c>
      <c r="T21" s="480">
        <v>344001</v>
      </c>
      <c r="U21" s="760">
        <f t="shared" si="39"/>
        <v>0</v>
      </c>
      <c r="V21" s="480">
        <v>83660</v>
      </c>
      <c r="W21" s="760">
        <f t="shared" ref="W21:W36" si="43">IF(V21&gt;=V20,V21-V20,0)</f>
        <v>151.28571428569558</v>
      </c>
      <c r="X21" s="855">
        <v>156868</v>
      </c>
      <c r="Y21" s="760">
        <f t="shared" si="5"/>
        <v>225</v>
      </c>
      <c r="Z21" s="480">
        <v>315108</v>
      </c>
      <c r="AA21" s="760">
        <f t="shared" si="6"/>
        <v>0</v>
      </c>
      <c r="AB21" s="855">
        <v>613703</v>
      </c>
      <c r="AC21" s="760">
        <f>IF(AB21&gt;=AB20,AB21-AB20,0)*0.53</f>
        <v>0</v>
      </c>
      <c r="AD21" s="855">
        <v>640776</v>
      </c>
      <c r="AE21" s="760">
        <f t="shared" si="8"/>
        <v>0</v>
      </c>
      <c r="AF21" s="480">
        <v>680177</v>
      </c>
      <c r="AG21" s="760">
        <f t="shared" si="9"/>
        <v>3411.7277777776681</v>
      </c>
      <c r="AH21" s="480">
        <v>178750</v>
      </c>
      <c r="AI21" s="760">
        <f t="shared" si="10"/>
        <v>202.46</v>
      </c>
      <c r="AJ21" s="480">
        <v>70044</v>
      </c>
      <c r="AK21" s="760">
        <f t="shared" si="28"/>
        <v>2394.487000000001</v>
      </c>
      <c r="AL21" s="760">
        <f t="shared" si="11"/>
        <v>6008.6747777776691</v>
      </c>
      <c r="AM21" s="480">
        <v>6855212</v>
      </c>
      <c r="AN21" s="760">
        <f t="shared" si="12"/>
        <v>759</v>
      </c>
      <c r="AO21" s="480">
        <v>526134</v>
      </c>
      <c r="AP21" s="760">
        <f t="shared" si="13"/>
        <v>265.5</v>
      </c>
      <c r="AQ21" s="480">
        <v>870623</v>
      </c>
      <c r="AR21" s="760">
        <f t="shared" si="14"/>
        <v>26.29</v>
      </c>
      <c r="AS21" s="904">
        <v>773935</v>
      </c>
      <c r="AT21" s="760">
        <f t="shared" si="15"/>
        <v>186.33333333302289</v>
      </c>
      <c r="AU21" s="480">
        <v>2119567</v>
      </c>
      <c r="AV21" s="760">
        <f t="shared" si="16"/>
        <v>932</v>
      </c>
      <c r="AW21" s="855">
        <v>192663</v>
      </c>
      <c r="AX21" s="760">
        <f t="shared" si="40"/>
        <v>59.5</v>
      </c>
      <c r="AY21" s="855">
        <v>16504223</v>
      </c>
      <c r="AZ21" s="760">
        <f t="shared" si="17"/>
        <v>5632.5</v>
      </c>
      <c r="BA21" s="855">
        <v>19946625</v>
      </c>
      <c r="BB21" s="760">
        <f t="shared" si="18"/>
        <v>4785.0666666665111</v>
      </c>
      <c r="BC21" s="760">
        <f t="shared" si="19"/>
        <v>12646.189999999533</v>
      </c>
      <c r="BD21" s="855">
        <v>1323286</v>
      </c>
      <c r="BE21" s="760">
        <f t="shared" si="20"/>
        <v>0</v>
      </c>
      <c r="BF21" s="480">
        <v>3078876</v>
      </c>
      <c r="BG21" s="760">
        <f t="shared" si="21"/>
        <v>796</v>
      </c>
      <c r="BH21" s="480">
        <v>341854</v>
      </c>
      <c r="BI21" s="760">
        <f t="shared" si="22"/>
        <v>103.66666666697711</v>
      </c>
      <c r="BJ21" s="480">
        <v>385581</v>
      </c>
      <c r="BK21" s="760">
        <f t="shared" si="29"/>
        <v>160.5</v>
      </c>
      <c r="BL21" s="870">
        <f t="shared" si="26"/>
        <v>26662.340968277163</v>
      </c>
      <c r="BM21" s="871">
        <v>196</v>
      </c>
      <c r="BN21" s="870">
        <f t="shared" si="41"/>
        <v>136.03235187896513</v>
      </c>
      <c r="BO21" s="871"/>
      <c r="BP21" s="870" t="e">
        <f t="shared" si="27"/>
        <v>#DIV/0!</v>
      </c>
      <c r="BQ21" s="870">
        <f>BL21*BS1</f>
        <v>12264.676845407495</v>
      </c>
      <c r="BR21" s="870">
        <f t="shared" si="42"/>
        <v>62.574881864323956</v>
      </c>
      <c r="BS21" s="872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>
        <v>20685310</v>
      </c>
      <c r="J22" s="760">
        <f t="shared" si="23"/>
        <v>5348.1904762014747</v>
      </c>
      <c r="K22" s="760">
        <f t="shared" si="0"/>
        <v>4498</v>
      </c>
      <c r="L22" s="855">
        <v>561686</v>
      </c>
      <c r="M22" s="760">
        <f t="shared" si="1"/>
        <v>2644</v>
      </c>
      <c r="N22" s="480">
        <v>562610</v>
      </c>
      <c r="O22" s="760">
        <f t="shared" si="2"/>
        <v>1854</v>
      </c>
      <c r="P22" s="855">
        <v>209927</v>
      </c>
      <c r="Q22" s="760">
        <f t="shared" si="37"/>
        <v>900</v>
      </c>
      <c r="R22" s="480">
        <v>702925</v>
      </c>
      <c r="S22" s="760">
        <f t="shared" si="38"/>
        <v>0</v>
      </c>
      <c r="T22" s="480">
        <v>344001</v>
      </c>
      <c r="U22" s="760">
        <f t="shared" si="39"/>
        <v>0</v>
      </c>
      <c r="V22" s="480">
        <v>83807</v>
      </c>
      <c r="W22" s="760">
        <f t="shared" si="43"/>
        <v>147</v>
      </c>
      <c r="X22" s="480">
        <v>157101</v>
      </c>
      <c r="Y22" s="760">
        <f t="shared" si="5"/>
        <v>233</v>
      </c>
      <c r="Z22" s="480">
        <v>315108</v>
      </c>
      <c r="AA22" s="760">
        <f t="shared" si="6"/>
        <v>0</v>
      </c>
      <c r="AB22" s="855">
        <v>613703</v>
      </c>
      <c r="AC22" s="760">
        <f>IF(AB22&gt;=AB21,AB22-AB21,0)*0.53</f>
        <v>0</v>
      </c>
      <c r="AD22" s="904">
        <v>644864</v>
      </c>
      <c r="AE22" s="760">
        <f t="shared" si="8"/>
        <v>2166.6400000000003</v>
      </c>
      <c r="AF22" s="480">
        <v>683358</v>
      </c>
      <c r="AG22" s="760">
        <f t="shared" si="9"/>
        <v>1685.93</v>
      </c>
      <c r="AH22" s="855">
        <v>179259</v>
      </c>
      <c r="AI22" s="760">
        <f t="shared" si="10"/>
        <v>269.77000000000004</v>
      </c>
      <c r="AJ22" s="855">
        <v>74528</v>
      </c>
      <c r="AK22" s="760">
        <f t="shared" si="28"/>
        <v>2376.52</v>
      </c>
      <c r="AL22" s="760">
        <f t="shared" si="11"/>
        <v>6498.8600000000006</v>
      </c>
      <c r="AM22" s="480">
        <v>6856149</v>
      </c>
      <c r="AN22" s="760">
        <f t="shared" si="12"/>
        <v>937</v>
      </c>
      <c r="AO22" s="480">
        <v>526449</v>
      </c>
      <c r="AP22" s="760">
        <f t="shared" si="13"/>
        <v>315</v>
      </c>
      <c r="AQ22" s="480">
        <v>870904</v>
      </c>
      <c r="AR22" s="760">
        <f t="shared" si="14"/>
        <v>30.91</v>
      </c>
      <c r="AS22" s="480">
        <v>774192</v>
      </c>
      <c r="AT22" s="760">
        <f t="shared" si="15"/>
        <v>257</v>
      </c>
      <c r="AU22" s="480">
        <v>2120546</v>
      </c>
      <c r="AV22" s="760">
        <f t="shared" si="16"/>
        <v>979</v>
      </c>
      <c r="AW22" s="480">
        <v>192726</v>
      </c>
      <c r="AX22" s="760">
        <f t="shared" si="40"/>
        <v>63</v>
      </c>
      <c r="AY22" s="855">
        <v>16510524</v>
      </c>
      <c r="AZ22" s="760">
        <f t="shared" si="17"/>
        <v>6301</v>
      </c>
      <c r="BA22" s="855">
        <v>19953387</v>
      </c>
      <c r="BB22" s="760">
        <f t="shared" si="18"/>
        <v>5799.9</v>
      </c>
      <c r="BC22" s="760">
        <f t="shared" si="19"/>
        <v>14682.81</v>
      </c>
      <c r="BD22" s="855">
        <v>1323286</v>
      </c>
      <c r="BE22" s="760">
        <f t="shared" si="20"/>
        <v>0</v>
      </c>
      <c r="BF22" s="480">
        <v>3080037</v>
      </c>
      <c r="BG22" s="760">
        <f t="shared" si="21"/>
        <v>1161</v>
      </c>
      <c r="BH22" s="480">
        <v>341985</v>
      </c>
      <c r="BI22" s="760">
        <f t="shared" si="22"/>
        <v>131</v>
      </c>
      <c r="BJ22" s="855">
        <v>385781</v>
      </c>
      <c r="BK22" s="760">
        <f t="shared" si="29"/>
        <v>200</v>
      </c>
      <c r="BL22" s="870">
        <f t="shared" si="26"/>
        <v>27429.860476201473</v>
      </c>
      <c r="BM22" s="871">
        <v>230</v>
      </c>
      <c r="BN22" s="870">
        <f t="shared" si="41"/>
        <v>119.2602629400064</v>
      </c>
      <c r="BO22" s="871"/>
      <c r="BP22" s="870" t="e">
        <f t="shared" si="27"/>
        <v>#DIV/0!</v>
      </c>
      <c r="BQ22" s="870">
        <f>BL22*BS1</f>
        <v>12617.735819052677</v>
      </c>
      <c r="BR22" s="870">
        <f t="shared" si="42"/>
        <v>54.859720952402945</v>
      </c>
      <c r="BS22" s="872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20693792</v>
      </c>
      <c r="J23" s="760">
        <f t="shared" si="23"/>
        <v>8482</v>
      </c>
      <c r="K23" s="760">
        <f t="shared" si="0"/>
        <v>5107</v>
      </c>
      <c r="L23" s="480">
        <v>564164</v>
      </c>
      <c r="M23" s="760">
        <f t="shared" si="1"/>
        <v>2478</v>
      </c>
      <c r="N23" s="480">
        <v>565239</v>
      </c>
      <c r="O23" s="760">
        <f t="shared" si="2"/>
        <v>2629</v>
      </c>
      <c r="P23" s="855">
        <v>209946</v>
      </c>
      <c r="Q23" s="760">
        <f t="shared" si="37"/>
        <v>570</v>
      </c>
      <c r="R23" s="480">
        <v>702925</v>
      </c>
      <c r="S23" s="760">
        <f t="shared" si="38"/>
        <v>0</v>
      </c>
      <c r="T23" s="480">
        <v>344001</v>
      </c>
      <c r="U23" s="760">
        <f t="shared" si="39"/>
        <v>0</v>
      </c>
      <c r="V23" s="480">
        <v>83959</v>
      </c>
      <c r="W23" s="760">
        <f t="shared" si="43"/>
        <v>152</v>
      </c>
      <c r="X23" s="480">
        <v>157341</v>
      </c>
      <c r="Y23" s="760">
        <f t="shared" si="5"/>
        <v>240</v>
      </c>
      <c r="Z23" s="480">
        <v>315108</v>
      </c>
      <c r="AA23" s="760">
        <f t="shared" si="6"/>
        <v>0</v>
      </c>
      <c r="AB23" s="480">
        <v>613703</v>
      </c>
      <c r="AC23" s="760">
        <f>IF(AB23&gt;=AB22,AB23-AB22,0)*0.53</f>
        <v>0</v>
      </c>
      <c r="AD23" s="904">
        <v>648404</v>
      </c>
      <c r="AE23" s="760">
        <f t="shared" si="8"/>
        <v>1876.2</v>
      </c>
      <c r="AF23" s="480">
        <v>683358</v>
      </c>
      <c r="AG23" s="760">
        <f t="shared" si="9"/>
        <v>0</v>
      </c>
      <c r="AH23" s="480">
        <v>179660</v>
      </c>
      <c r="AI23" s="760">
        <f t="shared" si="10"/>
        <v>212.53</v>
      </c>
      <c r="AJ23" s="480">
        <v>78237</v>
      </c>
      <c r="AK23" s="760">
        <f t="shared" si="28"/>
        <v>1965.7700000000002</v>
      </c>
      <c r="AL23" s="760">
        <f t="shared" si="11"/>
        <v>4054.5</v>
      </c>
      <c r="AM23" s="480">
        <v>6857082</v>
      </c>
      <c r="AN23" s="760">
        <f t="shared" si="12"/>
        <v>933</v>
      </c>
      <c r="AO23" s="480">
        <v>526781</v>
      </c>
      <c r="AP23" s="760">
        <f t="shared" si="13"/>
        <v>332</v>
      </c>
      <c r="AQ23" s="480">
        <v>871184</v>
      </c>
      <c r="AR23" s="760">
        <f t="shared" si="14"/>
        <v>30.8</v>
      </c>
      <c r="AS23" s="480">
        <v>774420</v>
      </c>
      <c r="AT23" s="760">
        <f t="shared" si="15"/>
        <v>228</v>
      </c>
      <c r="AU23" s="480">
        <v>2121500</v>
      </c>
      <c r="AV23" s="760">
        <f t="shared" si="16"/>
        <v>954</v>
      </c>
      <c r="AW23" s="855">
        <v>192790</v>
      </c>
      <c r="AX23" s="760">
        <f t="shared" si="40"/>
        <v>64</v>
      </c>
      <c r="AY23" s="855">
        <v>16516529</v>
      </c>
      <c r="AZ23" s="760">
        <f t="shared" si="17"/>
        <v>6005</v>
      </c>
      <c r="BA23" s="855">
        <v>19960194</v>
      </c>
      <c r="BB23" s="760">
        <f t="shared" si="18"/>
        <v>5841.5</v>
      </c>
      <c r="BC23" s="760">
        <f t="shared" si="19"/>
        <v>14388.3</v>
      </c>
      <c r="BD23" s="855">
        <v>1323286</v>
      </c>
      <c r="BE23" s="760">
        <f t="shared" si="20"/>
        <v>0</v>
      </c>
      <c r="BF23" s="480">
        <v>3081192</v>
      </c>
      <c r="BG23" s="760">
        <f t="shared" si="21"/>
        <v>1155</v>
      </c>
      <c r="BH23" s="480">
        <v>342120</v>
      </c>
      <c r="BI23" s="760">
        <f t="shared" si="22"/>
        <v>135</v>
      </c>
      <c r="BJ23" s="855">
        <v>385986</v>
      </c>
      <c r="BK23" s="760">
        <f t="shared" si="29"/>
        <v>205</v>
      </c>
      <c r="BL23" s="870">
        <f t="shared" si="26"/>
        <v>27494.799999999999</v>
      </c>
      <c r="BM23" s="871">
        <v>235</v>
      </c>
      <c r="BN23" s="870">
        <f t="shared" si="41"/>
        <v>116.99914893617022</v>
      </c>
      <c r="BO23" s="871"/>
      <c r="BP23" s="870" t="e">
        <f t="shared" si="27"/>
        <v>#DIV/0!</v>
      </c>
      <c r="BQ23" s="870">
        <f>BL23*BS1</f>
        <v>12647.608</v>
      </c>
      <c r="BR23" s="870">
        <f t="shared" si="42"/>
        <v>53.819608510638297</v>
      </c>
      <c r="BS23" s="872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>
        <v>20701219</v>
      </c>
      <c r="J24" s="760">
        <f t="shared" si="23"/>
        <v>7427</v>
      </c>
      <c r="K24" s="760">
        <f t="shared" si="0"/>
        <v>4530</v>
      </c>
      <c r="L24" s="480">
        <v>566850</v>
      </c>
      <c r="M24" s="760">
        <f t="shared" si="1"/>
        <v>2686</v>
      </c>
      <c r="N24" s="480">
        <v>567083</v>
      </c>
      <c r="O24" s="760">
        <f t="shared" si="2"/>
        <v>1844</v>
      </c>
      <c r="P24" s="855">
        <v>209973</v>
      </c>
      <c r="Q24" s="760">
        <f>IF(P24&gt;=P23,P24-P23,0)*30</f>
        <v>810</v>
      </c>
      <c r="R24" s="480">
        <v>702925</v>
      </c>
      <c r="S24" s="760">
        <f t="shared" si="38"/>
        <v>0</v>
      </c>
      <c r="T24" s="480">
        <v>344001</v>
      </c>
      <c r="U24" s="760">
        <f t="shared" si="39"/>
        <v>0</v>
      </c>
      <c r="V24" s="480">
        <v>84111</v>
      </c>
      <c r="W24" s="760">
        <f t="shared" si="43"/>
        <v>152</v>
      </c>
      <c r="X24" s="480">
        <v>157583</v>
      </c>
      <c r="Y24" s="760">
        <f t="shared" si="5"/>
        <v>242</v>
      </c>
      <c r="Z24" s="480">
        <v>315108</v>
      </c>
      <c r="AA24" s="760">
        <f t="shared" si="6"/>
        <v>0</v>
      </c>
      <c r="AB24" s="480">
        <v>613703</v>
      </c>
      <c r="AC24" s="760">
        <f t="shared" si="7"/>
        <v>0</v>
      </c>
      <c r="AD24" s="480">
        <v>651822</v>
      </c>
      <c r="AE24" s="760">
        <f t="shared" si="8"/>
        <v>1811.5400000000002</v>
      </c>
      <c r="AF24" s="480">
        <v>683358</v>
      </c>
      <c r="AG24" s="760">
        <f t="shared" si="9"/>
        <v>0</v>
      </c>
      <c r="AH24" s="480">
        <v>180057</v>
      </c>
      <c r="AI24" s="760">
        <f t="shared" si="10"/>
        <v>210.41</v>
      </c>
      <c r="AJ24" s="480">
        <v>81896</v>
      </c>
      <c r="AK24" s="760">
        <f t="shared" si="28"/>
        <v>1939.2700000000002</v>
      </c>
      <c r="AL24" s="760">
        <f t="shared" si="11"/>
        <v>3961.2200000000003</v>
      </c>
      <c r="AM24" s="480">
        <v>6857981</v>
      </c>
      <c r="AN24" s="760">
        <f t="shared" si="12"/>
        <v>899</v>
      </c>
      <c r="AO24" s="480">
        <v>527086</v>
      </c>
      <c r="AP24" s="760">
        <f t="shared" si="13"/>
        <v>305</v>
      </c>
      <c r="AQ24" s="480">
        <v>871475</v>
      </c>
      <c r="AR24" s="760">
        <f t="shared" si="14"/>
        <v>32.01</v>
      </c>
      <c r="AS24" s="480">
        <v>774642</v>
      </c>
      <c r="AT24" s="760">
        <f t="shared" si="15"/>
        <v>222</v>
      </c>
      <c r="AU24" s="480">
        <v>2122443</v>
      </c>
      <c r="AV24" s="760">
        <f t="shared" si="16"/>
        <v>943</v>
      </c>
      <c r="AW24" s="480">
        <v>192853</v>
      </c>
      <c r="AX24" s="760">
        <f t="shared" si="40"/>
        <v>63</v>
      </c>
      <c r="AY24" s="480">
        <v>16522696</v>
      </c>
      <c r="AZ24" s="760">
        <f t="shared" si="17"/>
        <v>6167</v>
      </c>
      <c r="BA24" s="855">
        <v>19967190</v>
      </c>
      <c r="BB24" s="760">
        <f t="shared" si="18"/>
        <v>5991.4</v>
      </c>
      <c r="BC24" s="760">
        <f t="shared" si="19"/>
        <v>14622.41</v>
      </c>
      <c r="BD24" s="855">
        <v>1323286</v>
      </c>
      <c r="BE24" s="760">
        <f t="shared" si="20"/>
        <v>0</v>
      </c>
      <c r="BF24" s="480">
        <v>3082413</v>
      </c>
      <c r="BG24" s="760">
        <f t="shared" si="21"/>
        <v>1221</v>
      </c>
      <c r="BH24" s="480">
        <v>342256</v>
      </c>
      <c r="BI24" s="760">
        <f t="shared" si="22"/>
        <v>136</v>
      </c>
      <c r="BJ24" s="480">
        <v>386190</v>
      </c>
      <c r="BK24" s="760">
        <f t="shared" si="29"/>
        <v>204</v>
      </c>
      <c r="BL24" s="870">
        <f t="shared" si="26"/>
        <v>26820.63</v>
      </c>
      <c r="BM24" s="871">
        <v>218</v>
      </c>
      <c r="BN24" s="870">
        <f t="shared" si="41"/>
        <v>123.0304128440367</v>
      </c>
      <c r="BO24" s="871"/>
      <c r="BP24" s="870" t="e">
        <f t="shared" si="27"/>
        <v>#DIV/0!</v>
      </c>
      <c r="BQ24" s="870">
        <f>BL24*BS1</f>
        <v>12337.489800000001</v>
      </c>
      <c r="BR24" s="870">
        <f t="shared" si="42"/>
        <v>56.593989908256887</v>
      </c>
      <c r="BS24" s="872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20707941</v>
      </c>
      <c r="J25" s="760">
        <f t="shared" si="23"/>
        <v>6722</v>
      </c>
      <c r="K25" s="760">
        <f t="shared" si="0"/>
        <v>4836</v>
      </c>
      <c r="L25" s="480">
        <v>569725</v>
      </c>
      <c r="M25" s="760">
        <f t="shared" si="1"/>
        <v>2875</v>
      </c>
      <c r="N25" s="480">
        <v>569044</v>
      </c>
      <c r="O25" s="760">
        <f t="shared" si="2"/>
        <v>1961</v>
      </c>
      <c r="P25" s="855">
        <v>209995</v>
      </c>
      <c r="Q25" s="760">
        <f t="shared" si="37"/>
        <v>660</v>
      </c>
      <c r="R25" s="480">
        <v>702925</v>
      </c>
      <c r="S25" s="760">
        <f t="shared" si="38"/>
        <v>0</v>
      </c>
      <c r="T25" s="480">
        <v>344001</v>
      </c>
      <c r="U25" s="760">
        <f t="shared" si="39"/>
        <v>0</v>
      </c>
      <c r="V25" s="480">
        <v>84264</v>
      </c>
      <c r="W25" s="760">
        <f t="shared" si="43"/>
        <v>153</v>
      </c>
      <c r="X25" s="480">
        <v>157830</v>
      </c>
      <c r="Y25" s="760">
        <f t="shared" si="5"/>
        <v>247</v>
      </c>
      <c r="Z25" s="480">
        <v>315108</v>
      </c>
      <c r="AA25" s="760">
        <f t="shared" si="6"/>
        <v>0</v>
      </c>
      <c r="AB25" s="855">
        <v>613868</v>
      </c>
      <c r="AC25" s="760">
        <f t="shared" si="7"/>
        <v>87.45</v>
      </c>
      <c r="AD25" s="904">
        <v>655774</v>
      </c>
      <c r="AE25" s="760">
        <f t="shared" si="8"/>
        <v>2094.56</v>
      </c>
      <c r="AF25" s="480">
        <v>683358</v>
      </c>
      <c r="AG25" s="760">
        <f t="shared" si="9"/>
        <v>0</v>
      </c>
      <c r="AH25" s="480">
        <v>180564</v>
      </c>
      <c r="AI25" s="760">
        <f t="shared" si="10"/>
        <v>268.71000000000004</v>
      </c>
      <c r="AJ25" s="480">
        <v>86072</v>
      </c>
      <c r="AK25" s="760">
        <f t="shared" si="28"/>
        <v>2213.2800000000002</v>
      </c>
      <c r="AL25" s="760">
        <f t="shared" si="11"/>
        <v>4664</v>
      </c>
      <c r="AM25" s="480">
        <v>6858947</v>
      </c>
      <c r="AN25" s="760">
        <f t="shared" si="12"/>
        <v>966</v>
      </c>
      <c r="AO25" s="855">
        <v>527405</v>
      </c>
      <c r="AP25" s="760">
        <f>IF(AO25&gt;=AO24,AO25-AO24,0)</f>
        <v>319</v>
      </c>
      <c r="AQ25" s="480">
        <v>871738</v>
      </c>
      <c r="AR25" s="760">
        <f t="shared" si="14"/>
        <v>28.93</v>
      </c>
      <c r="AS25" s="480">
        <v>774890</v>
      </c>
      <c r="AT25" s="760">
        <f t="shared" si="15"/>
        <v>248</v>
      </c>
      <c r="AU25" s="480">
        <v>2123479</v>
      </c>
      <c r="AV25" s="760">
        <f t="shared" si="16"/>
        <v>1036</v>
      </c>
      <c r="AW25" s="855">
        <v>192920</v>
      </c>
      <c r="AX25" s="760">
        <f t="shared" si="40"/>
        <v>67</v>
      </c>
      <c r="AY25" s="480">
        <v>16527783</v>
      </c>
      <c r="AZ25" s="760">
        <f t="shared" si="17"/>
        <v>5087</v>
      </c>
      <c r="BA25" s="855">
        <v>19973833</v>
      </c>
      <c r="BB25" s="760">
        <f t="shared" si="18"/>
        <v>5691.6</v>
      </c>
      <c r="BC25" s="760">
        <f t="shared" si="19"/>
        <v>13443.53</v>
      </c>
      <c r="BD25" s="855">
        <v>1323286</v>
      </c>
      <c r="BE25" s="760">
        <f t="shared" si="20"/>
        <v>0</v>
      </c>
      <c r="BF25" s="480">
        <v>3083572</v>
      </c>
      <c r="BG25" s="760">
        <f t="shared" si="21"/>
        <v>1159</v>
      </c>
      <c r="BH25" s="480">
        <v>342380</v>
      </c>
      <c r="BI25" s="760">
        <f t="shared" si="22"/>
        <v>124</v>
      </c>
      <c r="BJ25" s="480">
        <v>386384</v>
      </c>
      <c r="BK25" s="760">
        <f t="shared" si="29"/>
        <v>194</v>
      </c>
      <c r="BL25" s="870">
        <f t="shared" si="26"/>
        <v>25489.53</v>
      </c>
      <c r="BM25" s="871">
        <v>242</v>
      </c>
      <c r="BN25" s="870">
        <f t="shared" si="41"/>
        <v>105.32863636363636</v>
      </c>
      <c r="BO25" s="871"/>
      <c r="BP25" s="870" t="e">
        <f t="shared" si="27"/>
        <v>#DIV/0!</v>
      </c>
      <c r="BQ25" s="870">
        <f>BL25*BS1</f>
        <v>11725.183800000001</v>
      </c>
      <c r="BR25" s="870">
        <f t="shared" si="42"/>
        <v>48.451172727272727</v>
      </c>
      <c r="BS25" s="872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855">
        <v>20714107</v>
      </c>
      <c r="J26" s="760">
        <f t="shared" si="23"/>
        <v>6166</v>
      </c>
      <c r="K26" s="760">
        <f t="shared" si="0"/>
        <v>4407</v>
      </c>
      <c r="L26" s="480">
        <v>572332</v>
      </c>
      <c r="M26" s="760">
        <f t="shared" si="1"/>
        <v>2607</v>
      </c>
      <c r="N26" s="855">
        <v>570844</v>
      </c>
      <c r="O26" s="760">
        <f t="shared" si="2"/>
        <v>1800</v>
      </c>
      <c r="P26" s="855">
        <v>210017</v>
      </c>
      <c r="Q26" s="760">
        <f t="shared" si="37"/>
        <v>660</v>
      </c>
      <c r="R26" s="480">
        <v>702925</v>
      </c>
      <c r="S26" s="760">
        <f t="shared" si="38"/>
        <v>0</v>
      </c>
      <c r="T26" s="480">
        <v>344001</v>
      </c>
      <c r="U26" s="760">
        <f t="shared" si="39"/>
        <v>0</v>
      </c>
      <c r="V26" s="480">
        <v>84410</v>
      </c>
      <c r="W26" s="760">
        <f t="shared" si="43"/>
        <v>146</v>
      </c>
      <c r="X26" s="480">
        <v>158076</v>
      </c>
      <c r="Y26" s="760">
        <f t="shared" si="5"/>
        <v>246</v>
      </c>
      <c r="Z26" s="480">
        <v>315108</v>
      </c>
      <c r="AA26" s="760">
        <f t="shared" si="6"/>
        <v>0</v>
      </c>
      <c r="AB26" s="480">
        <v>614281</v>
      </c>
      <c r="AC26" s="760">
        <f t="shared" si="7"/>
        <v>218.89000000000001</v>
      </c>
      <c r="AD26" s="480">
        <v>658482</v>
      </c>
      <c r="AE26" s="760">
        <f t="shared" si="8"/>
        <v>1435.24</v>
      </c>
      <c r="AF26" s="480">
        <v>683358</v>
      </c>
      <c r="AG26" s="760">
        <f t="shared" si="9"/>
        <v>0</v>
      </c>
      <c r="AH26" s="480">
        <v>180954</v>
      </c>
      <c r="AI26" s="760">
        <f t="shared" si="10"/>
        <v>206.70000000000002</v>
      </c>
      <c r="AJ26" s="855">
        <v>89664</v>
      </c>
      <c r="AK26" s="760">
        <f t="shared" si="28"/>
        <v>1903.76</v>
      </c>
      <c r="AL26" s="760">
        <f t="shared" si="11"/>
        <v>3764.59</v>
      </c>
      <c r="AM26" s="480">
        <v>6859808</v>
      </c>
      <c r="AN26" s="760">
        <f t="shared" si="12"/>
        <v>861</v>
      </c>
      <c r="AO26" s="480">
        <v>527721</v>
      </c>
      <c r="AP26" s="760">
        <f>IF(AO26&gt;=AO25,AO26-AO25,0)</f>
        <v>316</v>
      </c>
      <c r="AQ26" s="480">
        <v>872015</v>
      </c>
      <c r="AR26" s="760">
        <f t="shared" si="14"/>
        <v>30.47</v>
      </c>
      <c r="AS26" s="907">
        <v>775152</v>
      </c>
      <c r="AT26" s="760">
        <f t="shared" si="15"/>
        <v>262</v>
      </c>
      <c r="AU26" s="855">
        <v>2124387</v>
      </c>
      <c r="AV26" s="760">
        <f t="shared" si="16"/>
        <v>908</v>
      </c>
      <c r="AW26" s="480">
        <v>192980</v>
      </c>
      <c r="AX26" s="760">
        <f t="shared" si="40"/>
        <v>60</v>
      </c>
      <c r="AY26" s="480">
        <v>16534459</v>
      </c>
      <c r="AZ26" s="760">
        <f t="shared" si="17"/>
        <v>6676</v>
      </c>
      <c r="BA26" s="855">
        <v>19980379</v>
      </c>
      <c r="BB26" s="760">
        <f t="shared" si="18"/>
        <v>5586.2</v>
      </c>
      <c r="BC26" s="760">
        <f t="shared" si="19"/>
        <v>14699.670000000002</v>
      </c>
      <c r="BD26" s="855">
        <v>1323286</v>
      </c>
      <c r="BE26" s="760">
        <f t="shared" si="20"/>
        <v>0</v>
      </c>
      <c r="BF26" s="480">
        <v>3084740</v>
      </c>
      <c r="BG26" s="760">
        <f t="shared" si="21"/>
        <v>1168</v>
      </c>
      <c r="BH26" s="480">
        <v>342496</v>
      </c>
      <c r="BI26" s="760">
        <f t="shared" si="22"/>
        <v>116</v>
      </c>
      <c r="BJ26" s="480">
        <v>386585</v>
      </c>
      <c r="BK26" s="760">
        <f t="shared" si="29"/>
        <v>201</v>
      </c>
      <c r="BL26" s="870">
        <f t="shared" si="26"/>
        <v>25290.260000000002</v>
      </c>
      <c r="BM26" s="871">
        <v>251</v>
      </c>
      <c r="BN26" s="870">
        <f t="shared" si="41"/>
        <v>100.7580079681275</v>
      </c>
      <c r="BO26" s="871"/>
      <c r="BP26" s="870" t="e">
        <f t="shared" si="27"/>
        <v>#DIV/0!</v>
      </c>
      <c r="BQ26" s="870">
        <f>BL26*BS1</f>
        <v>11633.519600000001</v>
      </c>
      <c r="BR26" s="870">
        <f t="shared" si="42"/>
        <v>46.348683665338655</v>
      </c>
      <c r="BS26" s="872" t="e">
        <f t="shared" si="32"/>
        <v>#DIV/0!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>
        <v>20721821</v>
      </c>
      <c r="J27" s="760">
        <f t="shared" si="23"/>
        <v>7714</v>
      </c>
      <c r="K27" s="760">
        <f t="shared" si="0"/>
        <v>5062</v>
      </c>
      <c r="L27" s="855">
        <v>575261</v>
      </c>
      <c r="M27" s="760">
        <f t="shared" si="1"/>
        <v>2929</v>
      </c>
      <c r="N27" s="855">
        <v>572977</v>
      </c>
      <c r="O27" s="760">
        <f t="shared" si="2"/>
        <v>2133</v>
      </c>
      <c r="P27" s="855">
        <v>210041</v>
      </c>
      <c r="Q27" s="760">
        <f>IF(P27&gt;=P26,P27-P26,0)*30</f>
        <v>720</v>
      </c>
      <c r="R27" s="480">
        <v>702925</v>
      </c>
      <c r="S27" s="760">
        <f t="shared" si="38"/>
        <v>0</v>
      </c>
      <c r="T27" s="480">
        <v>344001</v>
      </c>
      <c r="U27" s="760">
        <f t="shared" si="39"/>
        <v>0</v>
      </c>
      <c r="V27" s="480">
        <v>84577</v>
      </c>
      <c r="W27" s="760">
        <f t="shared" si="43"/>
        <v>167</v>
      </c>
      <c r="X27" s="480">
        <v>158332</v>
      </c>
      <c r="Y27" s="760">
        <f t="shared" si="5"/>
        <v>256</v>
      </c>
      <c r="Z27" s="480">
        <v>315108</v>
      </c>
      <c r="AA27" s="760">
        <f t="shared" si="6"/>
        <v>0</v>
      </c>
      <c r="AB27" s="855">
        <v>618275</v>
      </c>
      <c r="AC27" s="760">
        <f t="shared" si="7"/>
        <v>2116.8200000000002</v>
      </c>
      <c r="AD27" s="904">
        <v>658482</v>
      </c>
      <c r="AE27" s="760">
        <f t="shared" si="8"/>
        <v>0</v>
      </c>
      <c r="AF27" s="855">
        <v>683358</v>
      </c>
      <c r="AG27" s="760">
        <f t="shared" si="9"/>
        <v>0</v>
      </c>
      <c r="AH27" s="855">
        <v>181397</v>
      </c>
      <c r="AI27" s="760">
        <f t="shared" si="10"/>
        <v>234.79000000000002</v>
      </c>
      <c r="AJ27" s="855">
        <v>94246</v>
      </c>
      <c r="AK27" s="760">
        <f t="shared" si="28"/>
        <v>2428.46</v>
      </c>
      <c r="AL27" s="760">
        <f t="shared" si="11"/>
        <v>4780.07</v>
      </c>
      <c r="AM27" s="480">
        <v>6860790</v>
      </c>
      <c r="AN27" s="760">
        <f t="shared" si="12"/>
        <v>982</v>
      </c>
      <c r="AO27" s="480">
        <v>527975</v>
      </c>
      <c r="AP27" s="760">
        <f>IF(AO27&gt;=AO26,AO27-AO26,0)</f>
        <v>254</v>
      </c>
      <c r="AQ27" s="855">
        <v>872312</v>
      </c>
      <c r="AR27" s="760">
        <f t="shared" si="14"/>
        <v>32.67</v>
      </c>
      <c r="AS27" s="480">
        <v>775430</v>
      </c>
      <c r="AT27" s="760">
        <f t="shared" si="15"/>
        <v>278</v>
      </c>
      <c r="AU27" s="855">
        <v>2125498</v>
      </c>
      <c r="AV27" s="760">
        <f t="shared" si="16"/>
        <v>1111</v>
      </c>
      <c r="AW27" s="480">
        <v>193048</v>
      </c>
      <c r="AX27" s="760">
        <f t="shared" si="40"/>
        <v>68</v>
      </c>
      <c r="AY27" s="855">
        <v>16539977</v>
      </c>
      <c r="AZ27" s="760">
        <f t="shared" si="17"/>
        <v>5518</v>
      </c>
      <c r="BA27" s="855">
        <v>19987667</v>
      </c>
      <c r="BB27" s="760">
        <f t="shared" si="18"/>
        <v>6267.1</v>
      </c>
      <c r="BC27" s="760">
        <f t="shared" si="19"/>
        <v>14510.77</v>
      </c>
      <c r="BD27" s="855">
        <v>1323286</v>
      </c>
      <c r="BE27" s="760">
        <f t="shared" si="20"/>
        <v>0</v>
      </c>
      <c r="BF27" s="855">
        <v>3085964</v>
      </c>
      <c r="BG27" s="760">
        <f t="shared" si="21"/>
        <v>1224</v>
      </c>
      <c r="BH27" s="855">
        <v>342629</v>
      </c>
      <c r="BI27" s="760">
        <f t="shared" si="22"/>
        <v>133</v>
      </c>
      <c r="BJ27" s="855">
        <v>386805</v>
      </c>
      <c r="BK27" s="760">
        <f t="shared" si="29"/>
        <v>220</v>
      </c>
      <c r="BL27" s="870">
        <f t="shared" si="26"/>
        <v>27724.84</v>
      </c>
      <c r="BM27" s="871">
        <v>243</v>
      </c>
      <c r="BN27" s="870">
        <f t="shared" si="41"/>
        <v>114.09399176954733</v>
      </c>
      <c r="BO27" s="871"/>
      <c r="BP27" s="870" t="e">
        <f t="shared" si="27"/>
        <v>#DIV/0!</v>
      </c>
      <c r="BQ27" s="870">
        <f>BL27*BS1</f>
        <v>12753.4264</v>
      </c>
      <c r="BR27" s="870">
        <f t="shared" si="42"/>
        <v>52.483236213991773</v>
      </c>
      <c r="BS27" s="872" t="e">
        <f t="shared" si="32"/>
        <v>#DIV/0!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>
        <v>20728829</v>
      </c>
      <c r="J28" s="760">
        <f t="shared" si="23"/>
        <v>7008</v>
      </c>
      <c r="K28" s="760">
        <f t="shared" si="0"/>
        <v>4313</v>
      </c>
      <c r="L28" s="480">
        <v>577831</v>
      </c>
      <c r="M28" s="760">
        <f t="shared" si="1"/>
        <v>2570</v>
      </c>
      <c r="N28" s="480">
        <v>574720</v>
      </c>
      <c r="O28" s="760">
        <f t="shared" si="2"/>
        <v>1743</v>
      </c>
      <c r="P28" s="855">
        <v>210063</v>
      </c>
      <c r="Q28" s="760">
        <f t="shared" si="37"/>
        <v>660</v>
      </c>
      <c r="R28" s="480">
        <v>702925</v>
      </c>
      <c r="S28" s="760">
        <f t="shared" si="38"/>
        <v>0</v>
      </c>
      <c r="T28" s="480">
        <v>344001</v>
      </c>
      <c r="U28" s="760">
        <f t="shared" si="39"/>
        <v>0</v>
      </c>
      <c r="V28" s="480">
        <v>84725</v>
      </c>
      <c r="W28" s="760">
        <f t="shared" si="43"/>
        <v>148</v>
      </c>
      <c r="X28" s="480">
        <v>158571</v>
      </c>
      <c r="Y28" s="760">
        <f t="shared" si="5"/>
        <v>239</v>
      </c>
      <c r="Z28" s="480">
        <v>315108</v>
      </c>
      <c r="AA28" s="760">
        <f t="shared" si="6"/>
        <v>0</v>
      </c>
      <c r="AB28" s="855">
        <v>620572</v>
      </c>
      <c r="AC28" s="760">
        <f t="shared" si="7"/>
        <v>1217.4100000000001</v>
      </c>
      <c r="AD28" s="480">
        <v>658482</v>
      </c>
      <c r="AE28" s="760">
        <f t="shared" si="8"/>
        <v>0</v>
      </c>
      <c r="AF28" s="480">
        <v>683358</v>
      </c>
      <c r="AG28" s="760">
        <f t="shared" si="9"/>
        <v>0</v>
      </c>
      <c r="AH28" s="480">
        <v>181680</v>
      </c>
      <c r="AI28" s="760">
        <f t="shared" si="10"/>
        <v>149.99</v>
      </c>
      <c r="AJ28" s="480">
        <v>97731</v>
      </c>
      <c r="AK28" s="760">
        <f t="shared" si="28"/>
        <v>1847.0500000000002</v>
      </c>
      <c r="AL28" s="760">
        <f t="shared" si="11"/>
        <v>3214.4500000000003</v>
      </c>
      <c r="AM28" s="480">
        <v>6861746</v>
      </c>
      <c r="AN28" s="760">
        <f t="shared" si="12"/>
        <v>956</v>
      </c>
      <c r="AO28" s="480">
        <v>528293</v>
      </c>
      <c r="AP28" s="760">
        <f>IF(AO28&gt;=AO27,AO28-AO27,0)</f>
        <v>318</v>
      </c>
      <c r="AQ28" s="855">
        <v>872588</v>
      </c>
      <c r="AR28" s="760">
        <f t="shared" si="14"/>
        <v>30.36</v>
      </c>
      <c r="AS28" s="480">
        <v>775651</v>
      </c>
      <c r="AT28" s="760">
        <f t="shared" si="15"/>
        <v>221</v>
      </c>
      <c r="AU28" s="480">
        <v>2126412</v>
      </c>
      <c r="AV28" s="760">
        <f t="shared" si="16"/>
        <v>914</v>
      </c>
      <c r="AW28" s="480">
        <v>193103</v>
      </c>
      <c r="AX28" s="760">
        <f t="shared" si="40"/>
        <v>55</v>
      </c>
      <c r="AY28" s="480">
        <v>16545449</v>
      </c>
      <c r="AZ28" s="760">
        <f t="shared" si="17"/>
        <v>5472</v>
      </c>
      <c r="BA28" s="480">
        <v>19994027</v>
      </c>
      <c r="BB28" s="760">
        <f t="shared" si="18"/>
        <v>5540.3</v>
      </c>
      <c r="BC28" s="760">
        <f t="shared" si="19"/>
        <v>13506.66</v>
      </c>
      <c r="BD28" s="855">
        <v>1323286</v>
      </c>
      <c r="BE28" s="760">
        <f t="shared" si="20"/>
        <v>0</v>
      </c>
      <c r="BF28" s="480">
        <v>3086911</v>
      </c>
      <c r="BG28" s="760">
        <f t="shared" si="21"/>
        <v>947</v>
      </c>
      <c r="BH28" s="480">
        <v>342750</v>
      </c>
      <c r="BI28" s="760">
        <f t="shared" si="22"/>
        <v>121</v>
      </c>
      <c r="BJ28" s="480">
        <v>386996</v>
      </c>
      <c r="BK28" s="760">
        <f t="shared" si="29"/>
        <v>191</v>
      </c>
      <c r="BL28" s="870">
        <f t="shared" si="26"/>
        <v>24389.11</v>
      </c>
      <c r="BM28" s="871">
        <v>213</v>
      </c>
      <c r="BN28" s="870">
        <f t="shared" si="41"/>
        <v>114.50286384976526</v>
      </c>
      <c r="BO28" s="871"/>
      <c r="BP28" s="870" t="e">
        <f t="shared" si="27"/>
        <v>#DIV/0!</v>
      </c>
      <c r="BQ28" s="870">
        <f>BL28*BS1</f>
        <v>11218.990600000001</v>
      </c>
      <c r="BR28" s="870">
        <f t="shared" si="42"/>
        <v>52.671317370892027</v>
      </c>
      <c r="BS28" s="872" t="e">
        <f t="shared" si="32"/>
        <v>#DIV/0!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855"/>
      <c r="J29" s="760">
        <f t="shared" si="23"/>
        <v>0</v>
      </c>
      <c r="K29" s="760">
        <f t="shared" si="0"/>
        <v>0</v>
      </c>
      <c r="L29" s="855"/>
      <c r="M29" s="760">
        <f t="shared" si="1"/>
        <v>0</v>
      </c>
      <c r="N29" s="855"/>
      <c r="O29" s="760">
        <f t="shared" si="2"/>
        <v>0</v>
      </c>
      <c r="P29" s="855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480"/>
      <c r="AE29" s="760">
        <f t="shared" si="8"/>
        <v>0</v>
      </c>
      <c r="AF29" s="480"/>
      <c r="AG29" s="760">
        <f t="shared" si="9"/>
        <v>0</v>
      </c>
      <c r="AH29" s="855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904"/>
      <c r="AN29" s="760">
        <f t="shared" si="12"/>
        <v>0</v>
      </c>
      <c r="AO29" s="855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855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855"/>
      <c r="J30" s="760">
        <f t="shared" si="23"/>
        <v>0</v>
      </c>
      <c r="K30" s="760">
        <f t="shared" si="0"/>
        <v>0</v>
      </c>
      <c r="L30" s="855"/>
      <c r="M30" s="760">
        <f t="shared" si="1"/>
        <v>0</v>
      </c>
      <c r="N30" s="855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855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855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855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855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855"/>
      <c r="J31" s="760">
        <f t="shared" si="23"/>
        <v>0</v>
      </c>
      <c r="K31" s="760">
        <f t="shared" si="0"/>
        <v>0</v>
      </c>
      <c r="L31" s="855"/>
      <c r="M31" s="760">
        <f t="shared" si="1"/>
        <v>0</v>
      </c>
      <c r="N31" s="855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480"/>
      <c r="AE31" s="760">
        <f t="shared" si="8"/>
        <v>0</v>
      </c>
      <c r="AF31" s="480"/>
      <c r="AG31" s="760">
        <f t="shared" si="9"/>
        <v>0</v>
      </c>
      <c r="AH31" s="855"/>
      <c r="AI31" s="760">
        <f t="shared" si="10"/>
        <v>0</v>
      </c>
      <c r="AJ31" s="855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855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855"/>
      <c r="AX32" s="760">
        <f t="shared" si="40"/>
        <v>0</v>
      </c>
      <c r="AY32" s="855"/>
      <c r="AZ32" s="760">
        <f t="shared" si="17"/>
        <v>0</v>
      </c>
      <c r="BA32" s="855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855"/>
      <c r="J33" s="760">
        <f t="shared" si="23"/>
        <v>0</v>
      </c>
      <c r="K33" s="760">
        <f t="shared" si="0"/>
        <v>0</v>
      </c>
      <c r="L33" s="855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855"/>
      <c r="Y33" s="760">
        <f t="shared" si="5"/>
        <v>0</v>
      </c>
      <c r="Z33" s="480"/>
      <c r="AA33" s="760">
        <f t="shared" si="6"/>
        <v>0</v>
      </c>
      <c r="AB33" s="855"/>
      <c r="AC33" s="760">
        <f t="shared" si="44"/>
        <v>0</v>
      </c>
      <c r="AD33" s="480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904"/>
      <c r="AT33" s="760">
        <f t="shared" si="15"/>
        <v>0</v>
      </c>
      <c r="AU33" s="480"/>
      <c r="AV33" s="760">
        <f t="shared" si="16"/>
        <v>0</v>
      </c>
      <c r="AW33" s="855"/>
      <c r="AX33" s="760">
        <f t="shared" si="40"/>
        <v>0</v>
      </c>
      <c r="AY33" s="855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855"/>
      <c r="M34" s="760">
        <f t="shared" si="1"/>
        <v>0</v>
      </c>
      <c r="N34" s="855"/>
      <c r="O34" s="760">
        <f t="shared" si="2"/>
        <v>0</v>
      </c>
      <c r="P34" s="480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480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480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480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480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480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480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480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480"/>
      <c r="M36" s="760">
        <f t="shared" si="1"/>
        <v>0</v>
      </c>
      <c r="N36" s="480"/>
      <c r="O36" s="760">
        <f t="shared" si="2"/>
        <v>0</v>
      </c>
      <c r="P36" s="480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480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480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480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161259</v>
      </c>
      <c r="K37" s="910">
        <f>SUM(K6:K36)</f>
        <v>109302.84166666697</v>
      </c>
      <c r="L37" s="875"/>
      <c r="M37" s="638">
        <f>SUM(M6:M36)</f>
        <v>59190.075000000012</v>
      </c>
      <c r="N37" s="875"/>
      <c r="O37" s="638">
        <f>SUM(O6:O36)</f>
        <v>50112.766666666954</v>
      </c>
      <c r="P37" s="874"/>
      <c r="Q37" s="638">
        <f>SUM(Q6:Q36)</f>
        <v>16361.999999999825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3688.6000000000058</v>
      </c>
      <c r="X37" s="915"/>
      <c r="Y37" s="638">
        <f>SUM(Y6:Y36)</f>
        <v>5939.5833333329938</v>
      </c>
      <c r="Z37" s="874"/>
      <c r="AA37" s="638">
        <f>SUM(AA6:AA36)</f>
        <v>0</v>
      </c>
      <c r="AB37" s="480"/>
      <c r="AC37" s="638">
        <f>SUM(AC5:AC36)</f>
        <v>15934.921111111167</v>
      </c>
      <c r="AD37" s="911"/>
      <c r="AE37" s="910">
        <f>SUM(AE6:AE36)</f>
        <v>24862.476666666505</v>
      </c>
      <c r="AF37" s="874"/>
      <c r="AG37" s="638">
        <f>SUM(AG6:AG36)</f>
        <v>5097.6577777776683</v>
      </c>
      <c r="AH37" s="877"/>
      <c r="AI37" s="638">
        <f>SUM(AI6:AI36)</f>
        <v>4943.4277777776533</v>
      </c>
      <c r="AJ37" s="877"/>
      <c r="AK37" s="638">
        <f>SUM(AK6:AK36)</f>
        <v>51797.43</v>
      </c>
      <c r="AL37" s="910">
        <f>SUM(AL6:AL36)</f>
        <v>102635.91333333297</v>
      </c>
      <c r="AM37" s="877"/>
      <c r="AN37" s="638">
        <f>SUM(AN6:AN36)</f>
        <v>19105.333333330229</v>
      </c>
      <c r="AO37" s="877"/>
      <c r="AP37" s="638">
        <f>SUM(AP6:AP36)</f>
        <v>7012.25</v>
      </c>
      <c r="AQ37" s="877"/>
      <c r="AR37" s="638">
        <f>SUM(AR6:AR36)</f>
        <v>705.01749999999993</v>
      </c>
      <c r="AS37" s="877"/>
      <c r="AT37" s="638">
        <f>SUM(AT6:AT36)</f>
        <v>5829.5</v>
      </c>
      <c r="AU37" s="877"/>
      <c r="AV37" s="638">
        <f>SUM(AV6:AV36)</f>
        <v>21109.100000000093</v>
      </c>
      <c r="AW37" s="877"/>
      <c r="AX37" s="638">
        <f>SUM(AX6:AX36)</f>
        <v>1310.3333333329938</v>
      </c>
      <c r="AY37" s="877"/>
      <c r="AZ37" s="638">
        <f>SUM(AZ6:AZ36)</f>
        <v>131326.90000000037</v>
      </c>
      <c r="BA37" s="877"/>
      <c r="BB37" s="910">
        <f>SUM(BB6:BB36)</f>
        <v>127192.19999999851</v>
      </c>
      <c r="BC37" s="910">
        <f>SUM(BC6:BC36)</f>
        <v>313590.63416666217</v>
      </c>
      <c r="BD37" s="875"/>
      <c r="BE37" s="638">
        <f>SUM(BE6:BE36)</f>
        <v>0</v>
      </c>
      <c r="BF37" s="877"/>
      <c r="BG37" s="638">
        <f>SUM(BG6:BG36)</f>
        <v>24102</v>
      </c>
      <c r="BH37" s="877"/>
      <c r="BI37" s="638">
        <f>SUM(BI6:BI36)</f>
        <v>2888</v>
      </c>
      <c r="BJ37" s="877"/>
      <c r="BK37" s="638">
        <f>SUM(BK6:BK36)</f>
        <v>4498</v>
      </c>
      <c r="BL37" s="638">
        <f>SUM(BL6:BL36)</f>
        <v>593847.54749999498</v>
      </c>
      <c r="BM37" s="878">
        <f>SUM(BM6:BM36)</f>
        <v>4823</v>
      </c>
      <c r="BN37" s="879">
        <f>IF(BL37&gt;0,BL37/BM37,0)</f>
        <v>123.12824953348434</v>
      </c>
      <c r="BO37" s="878">
        <f>SUM(BO6:BO35)</f>
        <v>0</v>
      </c>
      <c r="BP37" s="879" t="e">
        <f>IF(BL37&gt;0,BL37/BO37,0)</f>
        <v>#DIV/0!</v>
      </c>
      <c r="BQ37" s="616">
        <f>SUM(BQ6:BQ35)</f>
        <v>273169.87184999773</v>
      </c>
      <c r="BR37" s="879">
        <f>IF(BQ37&gt;0,BQ37/BM37,0)</f>
        <v>56.638994785402808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7011.260869565217</v>
      </c>
      <c r="K38" s="881">
        <f>K37/J46</f>
        <v>4752.2974637681291</v>
      </c>
      <c r="L38" s="882"/>
      <c r="M38" s="881">
        <f>M37/J46</f>
        <v>2573.481521739131</v>
      </c>
      <c r="N38" s="882"/>
      <c r="O38" s="881">
        <f>O37/J46</f>
        <v>2178.8159420289981</v>
      </c>
      <c r="P38" s="883"/>
      <c r="Q38" s="881">
        <f>Q37/J46</f>
        <v>711.3913043478185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160.37391304347852</v>
      </c>
      <c r="X38" s="916"/>
      <c r="Y38" s="881">
        <f>Y37/J46</f>
        <v>258.24275362317366</v>
      </c>
      <c r="Z38" s="883"/>
      <c r="AA38" s="881">
        <f>AA37/J46</f>
        <v>0</v>
      </c>
      <c r="AB38" s="883"/>
      <c r="AC38" s="760"/>
      <c r="AD38" s="884"/>
      <c r="AE38" s="881">
        <f>AE37/J46</f>
        <v>1080.9772463768045</v>
      </c>
      <c r="AF38" s="883"/>
      <c r="AG38" s="881">
        <f>AG37/J46</f>
        <v>221.63729468598558</v>
      </c>
      <c r="AH38" s="885"/>
      <c r="AI38" s="881">
        <f>AI37/J46</f>
        <v>214.93164251207187</v>
      </c>
      <c r="AJ38" s="885"/>
      <c r="AK38" s="881">
        <f>AK37/J46</f>
        <v>2252.0621739130434</v>
      </c>
      <c r="AL38" s="881">
        <f>AL37/J46</f>
        <v>4462.4310144927376</v>
      </c>
      <c r="AM38" s="885"/>
      <c r="AN38" s="881">
        <f>AN37/J46</f>
        <v>830.66666666653168</v>
      </c>
      <c r="AO38" s="885"/>
      <c r="AP38" s="881">
        <f>AP37/J46</f>
        <v>304.88043478260869</v>
      </c>
      <c r="AQ38" s="885"/>
      <c r="AR38" s="881">
        <f>AR37/J46</f>
        <v>30.652934782608693</v>
      </c>
      <c r="AS38" s="885"/>
      <c r="AT38" s="881">
        <f>AT37/J46</f>
        <v>253.45652173913044</v>
      </c>
      <c r="AU38" s="885"/>
      <c r="AV38" s="881">
        <f>AV37/J46</f>
        <v>917.78695652174315</v>
      </c>
      <c r="AW38" s="885"/>
      <c r="AX38" s="881">
        <f>AX37/J46</f>
        <v>56.97101449273886</v>
      </c>
      <c r="AY38" s="885"/>
      <c r="AZ38" s="881">
        <f>AZ37/J46</f>
        <v>5709.8652173913206</v>
      </c>
      <c r="BA38" s="885"/>
      <c r="BB38" s="881">
        <f>BB37/J46</f>
        <v>5530.0956521738481</v>
      </c>
      <c r="BC38" s="881"/>
      <c r="BD38" s="882"/>
      <c r="BE38" s="881">
        <f>BE37/J46</f>
        <v>0</v>
      </c>
      <c r="BF38" s="885"/>
      <c r="BG38" s="881">
        <f>BG37/J46</f>
        <v>1047.9130434782608</v>
      </c>
      <c r="BH38" s="885"/>
      <c r="BI38" s="881">
        <f>BI37/J46</f>
        <v>125.56521739130434</v>
      </c>
      <c r="BJ38" s="885"/>
      <c r="BK38" s="881">
        <f>BK37/J46</f>
        <v>195.56521739130434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23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78"/>
      <c r="B52" s="978"/>
      <c r="BM52" s="31"/>
    </row>
    <row r="54" spans="1:65" ht="30.75" customHeight="1">
      <c r="BL54" s="585"/>
    </row>
    <row r="56" spans="1:65" ht="30.75" customHeight="1">
      <c r="I56" s="31">
        <f>-L11</f>
        <v>-532652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algorithmName="SHA-512" hashValue="3JWqGiTsBUgIhdUHQB2QzfKGj4nGGuDJwhOuLqLXLKH4u7vuKjDECoFUO/i/W1v+Uwf+b0gCKf3LPow8AQ4XYQ==" saltValue="c5vKmtRjwrbdhbQI9sFKyQ==" spinCount="100000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62"/>
  <sheetViews>
    <sheetView showGridLines="0" zoomScale="50" zoomScaleNormal="50" zoomScaleSheetLayoutView="40" workbookViewId="0">
      <pane xSplit="1" ySplit="5" topLeftCell="B15" activePane="bottomRight" state="frozen"/>
      <selection activeCell="G39" sqref="G39"/>
      <selection pane="topRight" activeCell="G39" sqref="G39"/>
      <selection pane="bottomLeft" activeCell="G39" sqref="G39"/>
      <selection pane="bottomRight" activeCell="B27" sqref="B2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2" t="str">
        <f>Elect!A1</f>
        <v>February</v>
      </c>
      <c r="B1" s="694"/>
      <c r="C1" s="695"/>
      <c r="D1" s="1006"/>
      <c r="E1" s="1006"/>
      <c r="F1" s="1006"/>
      <c r="G1" s="1006"/>
      <c r="H1" s="1006"/>
      <c r="I1" s="1006"/>
      <c r="J1" s="1006"/>
      <c r="K1" s="1006"/>
      <c r="L1" s="1006"/>
      <c r="M1" s="1006"/>
      <c r="N1" s="1006"/>
      <c r="O1" s="696"/>
      <c r="P1" s="1014"/>
      <c r="Q1" s="1014"/>
      <c r="R1" s="1014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3"/>
      <c r="B2" s="701"/>
      <c r="C2" s="695"/>
      <c r="O2" s="696"/>
      <c r="P2" s="1015"/>
      <c r="Q2" s="1015"/>
      <c r="R2" s="1015"/>
      <c r="T2" s="702"/>
      <c r="X2" s="703"/>
    </row>
    <row r="3" spans="1:26" s="617" customFormat="1" ht="42" customHeight="1" thickBot="1">
      <c r="A3" s="1007" t="s">
        <v>10</v>
      </c>
      <c r="B3" s="704"/>
      <c r="C3" s="705"/>
      <c r="D3" s="705"/>
      <c r="E3" s="706" t="s">
        <v>11</v>
      </c>
      <c r="F3" s="705"/>
      <c r="G3" s="705"/>
      <c r="H3" s="707"/>
      <c r="I3" s="1001" t="s">
        <v>362</v>
      </c>
      <c r="J3" s="1002"/>
      <c r="K3" s="1002"/>
      <c r="L3" s="1002"/>
      <c r="M3" s="1003"/>
      <c r="N3" s="992" t="s">
        <v>306</v>
      </c>
      <c r="O3" s="993"/>
      <c r="P3" s="1010" t="s">
        <v>307</v>
      </c>
      <c r="Q3" s="1010"/>
      <c r="R3" s="1010" t="s">
        <v>308</v>
      </c>
      <c r="S3" s="1010"/>
      <c r="T3" s="985" t="s">
        <v>14</v>
      </c>
      <c r="U3" s="988" t="s">
        <v>49</v>
      </c>
      <c r="V3" s="988" t="s">
        <v>15</v>
      </c>
      <c r="W3" s="988" t="s">
        <v>16</v>
      </c>
      <c r="X3" s="1018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08"/>
      <c r="B4" s="995" t="s">
        <v>302</v>
      </c>
      <c r="C4" s="996"/>
      <c r="D4" s="997" t="s">
        <v>303</v>
      </c>
      <c r="E4" s="998"/>
      <c r="F4" s="997" t="s">
        <v>304</v>
      </c>
      <c r="G4" s="998"/>
      <c r="H4" s="994" t="s">
        <v>20</v>
      </c>
      <c r="I4" s="999" t="s">
        <v>363</v>
      </c>
      <c r="J4" s="1000"/>
      <c r="K4" s="999" t="s">
        <v>364</v>
      </c>
      <c r="L4" s="1000"/>
      <c r="M4" s="922"/>
      <c r="N4" s="994" t="s">
        <v>305</v>
      </c>
      <c r="O4" s="994" t="s">
        <v>26</v>
      </c>
      <c r="P4" s="989" t="s">
        <v>63</v>
      </c>
      <c r="Q4" s="989" t="s">
        <v>46</v>
      </c>
      <c r="R4" s="989" t="s">
        <v>63</v>
      </c>
      <c r="S4" s="989" t="s">
        <v>46</v>
      </c>
      <c r="T4" s="986"/>
      <c r="U4" s="989"/>
      <c r="V4" s="989"/>
      <c r="W4" s="989"/>
      <c r="X4" s="1019"/>
      <c r="Y4" s="1016" t="s">
        <v>54</v>
      </c>
      <c r="Z4" s="1004" t="s">
        <v>55</v>
      </c>
    </row>
    <row r="5" spans="1:26" s="617" customFormat="1" ht="48.75" customHeight="1" thickBot="1">
      <c r="A5" s="1009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11"/>
      <c r="I5" s="926" t="s">
        <v>22</v>
      </c>
      <c r="J5" s="927"/>
      <c r="K5" s="926" t="s">
        <v>22</v>
      </c>
      <c r="L5" s="927"/>
      <c r="M5" s="925"/>
      <c r="N5" s="990"/>
      <c r="O5" s="990"/>
      <c r="P5" s="990"/>
      <c r="Q5" s="990"/>
      <c r="R5" s="990"/>
      <c r="S5" s="990"/>
      <c r="T5" s="987"/>
      <c r="U5" s="990"/>
      <c r="V5" s="990"/>
      <c r="W5" s="990"/>
      <c r="X5" s="1020"/>
      <c r="Y5" s="1017"/>
      <c r="Z5" s="1005"/>
    </row>
    <row r="6" spans="1:26" s="488" customFormat="1" ht="36.75" customHeight="1">
      <c r="A6" s="713"/>
      <c r="B6" s="113">
        <v>72522.321428571406</v>
      </c>
      <c r="C6" s="760">
        <f t="shared" ref="C6:C11" si="0">IF(B6&gt;=B5,B6-B5,0)*10*0.58</f>
        <v>0</v>
      </c>
      <c r="D6" s="862">
        <v>145797</v>
      </c>
      <c r="E6" s="760">
        <f>IF(D6&gt;=D5,D6-D5,0)*10*0.58</f>
        <v>0</v>
      </c>
      <c r="F6" s="908">
        <v>11060.785714285699</v>
      </c>
      <c r="G6" s="760">
        <f>IF(F6&gt;=F5,F6-F5,0)*0.58</f>
        <v>0</v>
      </c>
      <c r="H6" s="905"/>
      <c r="I6" s="908">
        <v>180</v>
      </c>
      <c r="J6" s="924"/>
      <c r="K6" s="908">
        <v>2300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72543</v>
      </c>
      <c r="C7" s="760">
        <f t="shared" si="0"/>
        <v>119.93571428584691</v>
      </c>
      <c r="D7" s="862">
        <v>145797</v>
      </c>
      <c r="E7" s="760">
        <f>IF(D7&gt;=D6,D7-D6,0)*10*0.58</f>
        <v>0</v>
      </c>
      <c r="F7" s="908">
        <v>11135</v>
      </c>
      <c r="G7" s="760">
        <f t="shared" ref="G7:G14" si="1">IF(F7&gt;=F6,F7-F6,0)*0.58</f>
        <v>43.044285714294453</v>
      </c>
      <c r="H7" s="760">
        <f>C7+E7+G7</f>
        <v>162.98000000014136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94.528400000081987</v>
      </c>
      <c r="R7" s="112"/>
      <c r="S7" s="484">
        <f>IF(R7-R6&gt;0,R7-R6,0)</f>
        <v>0</v>
      </c>
      <c r="T7" s="903">
        <f>Elect!BM6</f>
        <v>157</v>
      </c>
      <c r="U7" s="724">
        <f>H7/T7</f>
        <v>1.0380891719754226</v>
      </c>
      <c r="V7" s="903">
        <f>Elect!BO6</f>
        <v>0</v>
      </c>
      <c r="W7" s="724" t="e">
        <f>H7/V7</f>
        <v>#DIV/0!</v>
      </c>
      <c r="X7" s="727">
        <f>H7*V1</f>
        <v>651.92000000056544</v>
      </c>
      <c r="Y7" s="724">
        <f>IF(X7&gt;0,X7/T7,0)</f>
        <v>4.1523566879016904</v>
      </c>
      <c r="Z7" s="728">
        <v>0</v>
      </c>
    </row>
    <row r="8" spans="1:26" s="488" customFormat="1" ht="36.75" customHeight="1">
      <c r="A8" s="713">
        <v>2</v>
      </c>
      <c r="B8" s="113">
        <v>72564</v>
      </c>
      <c r="C8" s="760">
        <f t="shared" si="0"/>
        <v>121.8</v>
      </c>
      <c r="D8" s="862">
        <v>145798</v>
      </c>
      <c r="E8" s="760">
        <f t="shared" ref="E8:E37" si="2">IF(D8&gt;=D7,D8-D7,0)*10*0.58</f>
        <v>5.8</v>
      </c>
      <c r="F8" s="908">
        <v>11249</v>
      </c>
      <c r="G8" s="760">
        <f t="shared" si="1"/>
        <v>66.11999999999999</v>
      </c>
      <c r="H8" s="760">
        <f t="shared" ref="H8:H37" si="3">C8+E8+G8</f>
        <v>193.71999999999997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112.35759999999998</v>
      </c>
      <c r="R8" s="112"/>
      <c r="S8" s="484">
        <f t="shared" ref="S8:S37" si="6">IF(R8-R7&gt;0,R8-R7,0)</f>
        <v>0</v>
      </c>
      <c r="T8" s="903">
        <f>Elect!BM7</f>
        <v>192</v>
      </c>
      <c r="U8" s="724">
        <f t="shared" ref="U8:U37" si="7">H8/T8</f>
        <v>1.0089583333333332</v>
      </c>
      <c r="V8" s="903">
        <f>Elect!BO7</f>
        <v>0</v>
      </c>
      <c r="W8" s="724" t="e">
        <f t="shared" ref="W8:W37" si="8">H8/V8</f>
        <v>#DIV/0!</v>
      </c>
      <c r="X8" s="727">
        <f>H8*V1</f>
        <v>774.87999999999988</v>
      </c>
      <c r="Y8" s="724">
        <f>IF(X8&gt;0,X8/T8,0)</f>
        <v>4.0358333333333327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72585</v>
      </c>
      <c r="C9" s="760">
        <f t="shared" si="0"/>
        <v>121.8</v>
      </c>
      <c r="D9" s="862">
        <v>145799</v>
      </c>
      <c r="E9" s="760">
        <f t="shared" si="2"/>
        <v>5.8</v>
      </c>
      <c r="F9" s="908">
        <v>11363</v>
      </c>
      <c r="G9" s="760">
        <f t="shared" si="1"/>
        <v>66.11999999999999</v>
      </c>
      <c r="H9" s="760">
        <f t="shared" si="3"/>
        <v>193.71999999999997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112.35759999999998</v>
      </c>
      <c r="R9" s="112"/>
      <c r="S9" s="484">
        <f t="shared" si="6"/>
        <v>0</v>
      </c>
      <c r="T9" s="903">
        <f>Elect!BM8</f>
        <v>155</v>
      </c>
      <c r="U9" s="724">
        <f t="shared" si="7"/>
        <v>1.249806451612903</v>
      </c>
      <c r="V9" s="903">
        <f>Elect!BO8</f>
        <v>0</v>
      </c>
      <c r="W9" s="724" t="e">
        <f t="shared" si="8"/>
        <v>#DIV/0!</v>
      </c>
      <c r="X9" s="727">
        <f>H9*V1</f>
        <v>774.87999999999988</v>
      </c>
      <c r="Y9" s="724">
        <f t="shared" ref="Y9:Y37" si="9">IF(X9&gt;0,X9/T9,0)</f>
        <v>4.9992258064516122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72607</v>
      </c>
      <c r="C10" s="760">
        <f t="shared" si="0"/>
        <v>127.6</v>
      </c>
      <c r="D10" s="862">
        <v>145800</v>
      </c>
      <c r="E10" s="760">
        <f t="shared" si="2"/>
        <v>5.8</v>
      </c>
      <c r="F10" s="908">
        <v>11484</v>
      </c>
      <c r="G10" s="760">
        <f t="shared" si="1"/>
        <v>70.179999999999993</v>
      </c>
      <c r="H10" s="760">
        <f t="shared" si="3"/>
        <v>203.57999999999998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118.07639999999998</v>
      </c>
      <c r="R10" s="112"/>
      <c r="S10" s="484">
        <f t="shared" si="6"/>
        <v>0</v>
      </c>
      <c r="T10" s="903">
        <f>Elect!BM9</f>
        <v>167</v>
      </c>
      <c r="U10" s="724">
        <f t="shared" si="7"/>
        <v>1.2190419161676647</v>
      </c>
      <c r="V10" s="903">
        <f>Elect!BO9</f>
        <v>0</v>
      </c>
      <c r="W10" s="724" t="e">
        <f t="shared" si="8"/>
        <v>#DIV/0!</v>
      </c>
      <c r="X10" s="727">
        <f>H10*V1</f>
        <v>814.31999999999994</v>
      </c>
      <c r="Y10" s="724">
        <f t="shared" si="9"/>
        <v>4.8761676646706587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72628</v>
      </c>
      <c r="C11" s="760">
        <f t="shared" si="0"/>
        <v>121.8</v>
      </c>
      <c r="D11" s="862">
        <v>145801</v>
      </c>
      <c r="E11" s="760">
        <f>IF(D11&gt;=D10,D11-D10,0)*10*0.58</f>
        <v>5.8</v>
      </c>
      <c r="F11" s="908">
        <v>11607</v>
      </c>
      <c r="G11" s="760">
        <f t="shared" si="1"/>
        <v>71.339999999999989</v>
      </c>
      <c r="H11" s="760">
        <f>C11+E11+G11</f>
        <v>198.94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115.3852</v>
      </c>
      <c r="R11" s="112"/>
      <c r="S11" s="484">
        <f t="shared" si="6"/>
        <v>0</v>
      </c>
      <c r="T11" s="903">
        <f>Elect!BM10</f>
        <v>180</v>
      </c>
      <c r="U11" s="724">
        <f t="shared" si="7"/>
        <v>1.1052222222222221</v>
      </c>
      <c r="V11" s="903">
        <f>Elect!BO10</f>
        <v>0</v>
      </c>
      <c r="W11" s="724" t="e">
        <f t="shared" si="8"/>
        <v>#DIV/0!</v>
      </c>
      <c r="X11" s="727">
        <f>H11*V1</f>
        <v>795.76</v>
      </c>
      <c r="Y11" s="724">
        <f t="shared" si="9"/>
        <v>4.4208888888888884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72645</v>
      </c>
      <c r="C12" s="760">
        <f t="shared" ref="C12:C37" si="11">IF(B12&gt;=B11,B12-B11,0)*10*0.58</f>
        <v>98.6</v>
      </c>
      <c r="D12" s="862">
        <v>145801</v>
      </c>
      <c r="E12" s="760">
        <f>IF(D12&gt;=D11,D12-D11,0)*10*0.58</f>
        <v>0</v>
      </c>
      <c r="F12" s="908">
        <v>11752</v>
      </c>
      <c r="G12" s="760">
        <f t="shared" si="1"/>
        <v>84.1</v>
      </c>
      <c r="H12" s="760">
        <f t="shared" si="3"/>
        <v>182.7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105.96599999999998</v>
      </c>
      <c r="R12" s="112"/>
      <c r="S12" s="484">
        <f t="shared" si="6"/>
        <v>0</v>
      </c>
      <c r="T12" s="903">
        <f>Elect!BM11</f>
        <v>191</v>
      </c>
      <c r="U12" s="724">
        <f t="shared" si="7"/>
        <v>0.956544502617801</v>
      </c>
      <c r="V12" s="903">
        <f>Elect!BO11</f>
        <v>0</v>
      </c>
      <c r="W12" s="724" t="e">
        <f t="shared" si="8"/>
        <v>#DIV/0!</v>
      </c>
      <c r="X12" s="727">
        <f>H12*V1</f>
        <v>730.8</v>
      </c>
      <c r="Y12" s="724">
        <f t="shared" si="9"/>
        <v>3.826178010471204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72674</v>
      </c>
      <c r="C13" s="760">
        <f t="shared" si="11"/>
        <v>168.2</v>
      </c>
      <c r="D13" s="862">
        <v>145801</v>
      </c>
      <c r="E13" s="760">
        <f>IF(D13&gt;=D12,D13-D12,0)*10*0.58</f>
        <v>0</v>
      </c>
      <c r="F13" s="908">
        <v>11867</v>
      </c>
      <c r="G13" s="760">
        <f t="shared" si="1"/>
        <v>66.699999999999989</v>
      </c>
      <c r="H13" s="760">
        <f>C13+E13+G13</f>
        <v>234.89999999999998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136.24199999999999</v>
      </c>
      <c r="R13" s="112"/>
      <c r="S13" s="484">
        <f t="shared" si="6"/>
        <v>0</v>
      </c>
      <c r="T13" s="903">
        <f>Elect!BM12</f>
        <v>198</v>
      </c>
      <c r="U13" s="724">
        <f t="shared" si="7"/>
        <v>1.1863636363636363</v>
      </c>
      <c r="V13" s="903">
        <f>Elect!BO12</f>
        <v>0</v>
      </c>
      <c r="W13" s="724" t="e">
        <f t="shared" si="8"/>
        <v>#DIV/0!</v>
      </c>
      <c r="X13" s="727">
        <f>H13*V1</f>
        <v>939.59999999999991</v>
      </c>
      <c r="Y13" s="724">
        <f t="shared" si="9"/>
        <v>4.7454545454545451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72698</v>
      </c>
      <c r="C14" s="760">
        <f t="shared" si="11"/>
        <v>139.19999999999999</v>
      </c>
      <c r="D14" s="862">
        <v>145802</v>
      </c>
      <c r="E14" s="760">
        <f>IF(D14&gt;=D13,D14-D13,0)*10*0.58</f>
        <v>5.8</v>
      </c>
      <c r="F14" s="908">
        <v>12015</v>
      </c>
      <c r="G14" s="760">
        <f t="shared" si="1"/>
        <v>85.839999999999989</v>
      </c>
      <c r="H14" s="760">
        <f t="shared" si="3"/>
        <v>230.83999999999997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133.88719999999998</v>
      </c>
      <c r="R14" s="112"/>
      <c r="S14" s="484">
        <f t="shared" si="6"/>
        <v>0</v>
      </c>
      <c r="T14" s="903">
        <f>Elect!BM13</f>
        <v>213</v>
      </c>
      <c r="U14" s="724">
        <f t="shared" si="7"/>
        <v>1.0837558685446009</v>
      </c>
      <c r="V14" s="903">
        <f>Elect!BO13</f>
        <v>0</v>
      </c>
      <c r="W14" s="724" t="e">
        <f t="shared" si="8"/>
        <v>#DIV/0!</v>
      </c>
      <c r="X14" s="727">
        <f>H14*V1</f>
        <v>923.3599999999999</v>
      </c>
      <c r="Y14" s="724">
        <f t="shared" si="9"/>
        <v>4.3350234741784037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72719</v>
      </c>
      <c r="C15" s="760">
        <f t="shared" si="11"/>
        <v>121.8</v>
      </c>
      <c r="D15" s="862">
        <v>145802</v>
      </c>
      <c r="E15" s="760">
        <f>IF(D15&gt;=D14,D15-D14,0)*10*0.58</f>
        <v>0</v>
      </c>
      <c r="F15" s="908">
        <v>12108</v>
      </c>
      <c r="G15" s="760">
        <f t="shared" ref="G15:G37" si="12">IF(F15&gt;=F14,F15-F14,0)*0.58</f>
        <v>53.94</v>
      </c>
      <c r="H15" s="760">
        <f t="shared" si="3"/>
        <v>175.74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101.92919999999999</v>
      </c>
      <c r="R15" s="112"/>
      <c r="S15" s="484">
        <f t="shared" si="6"/>
        <v>0</v>
      </c>
      <c r="T15" s="903">
        <f>Elect!BM14</f>
        <v>200</v>
      </c>
      <c r="U15" s="724">
        <f t="shared" si="7"/>
        <v>0.87870000000000004</v>
      </c>
      <c r="V15" s="903">
        <f>Elect!BO14</f>
        <v>0</v>
      </c>
      <c r="W15" s="724" t="e">
        <f t="shared" si="8"/>
        <v>#DIV/0!</v>
      </c>
      <c r="X15" s="727">
        <f>H15*V1</f>
        <v>702.96</v>
      </c>
      <c r="Y15" s="724">
        <f t="shared" si="9"/>
        <v>3.5148000000000001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72741</v>
      </c>
      <c r="C16" s="760">
        <f t="shared" si="11"/>
        <v>127.6</v>
      </c>
      <c r="D16" s="862">
        <v>145803</v>
      </c>
      <c r="E16" s="760">
        <f t="shared" si="2"/>
        <v>5.8</v>
      </c>
      <c r="F16" s="908">
        <v>12219</v>
      </c>
      <c r="G16" s="760">
        <f t="shared" si="12"/>
        <v>64.38</v>
      </c>
      <c r="H16" s="760">
        <f t="shared" si="3"/>
        <v>197.78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114.71239999999999</v>
      </c>
      <c r="R16" s="112"/>
      <c r="S16" s="484">
        <f t="shared" si="6"/>
        <v>0</v>
      </c>
      <c r="T16" s="903">
        <f>Elect!BM15</f>
        <v>165</v>
      </c>
      <c r="U16" s="724">
        <f t="shared" si="7"/>
        <v>1.1986666666666668</v>
      </c>
      <c r="V16" s="903">
        <f>Elect!BO15</f>
        <v>0</v>
      </c>
      <c r="W16" s="724" t="e">
        <f t="shared" si="8"/>
        <v>#DIV/0!</v>
      </c>
      <c r="X16" s="727">
        <f>H16*V1</f>
        <v>791.12</v>
      </c>
      <c r="Y16" s="724">
        <f t="shared" si="9"/>
        <v>4.7946666666666671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72766</v>
      </c>
      <c r="C17" s="760">
        <f t="shared" si="11"/>
        <v>145</v>
      </c>
      <c r="D17" s="862">
        <v>145804</v>
      </c>
      <c r="E17" s="760">
        <f t="shared" si="2"/>
        <v>5.8</v>
      </c>
      <c r="F17" s="908">
        <v>12337</v>
      </c>
      <c r="G17" s="760">
        <f t="shared" si="12"/>
        <v>68.44</v>
      </c>
      <c r="H17" s="760">
        <f t="shared" si="3"/>
        <v>219.24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127.1592</v>
      </c>
      <c r="R17" s="112"/>
      <c r="S17" s="484">
        <f t="shared" si="6"/>
        <v>0</v>
      </c>
      <c r="T17" s="903">
        <f>Elect!BM16</f>
        <v>215</v>
      </c>
      <c r="U17" s="724">
        <f t="shared" si="7"/>
        <v>1.0197209302325583</v>
      </c>
      <c r="V17" s="903">
        <f>Elect!BO16</f>
        <v>0</v>
      </c>
      <c r="W17" s="724" t="e">
        <f t="shared" si="8"/>
        <v>#DIV/0!</v>
      </c>
      <c r="X17" s="727">
        <f>H17*V1</f>
        <v>876.96</v>
      </c>
      <c r="Y17" s="724">
        <f t="shared" si="9"/>
        <v>4.0788837209302331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72784</v>
      </c>
      <c r="C18" s="760">
        <f t="shared" si="11"/>
        <v>104.39999999999999</v>
      </c>
      <c r="D18" s="862">
        <v>145804</v>
      </c>
      <c r="E18" s="760">
        <f t="shared" si="2"/>
        <v>0</v>
      </c>
      <c r="F18" s="908">
        <v>12464</v>
      </c>
      <c r="G18" s="760">
        <f t="shared" si="12"/>
        <v>73.66</v>
      </c>
      <c r="H18" s="760">
        <f t="shared" si="3"/>
        <v>178.06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103.2748</v>
      </c>
      <c r="R18" s="112"/>
      <c r="S18" s="484">
        <f t="shared" si="6"/>
        <v>0</v>
      </c>
      <c r="T18" s="903">
        <f>Elect!BM17</f>
        <v>236</v>
      </c>
      <c r="U18" s="724">
        <f t="shared" si="7"/>
        <v>0.75449152542372877</v>
      </c>
      <c r="V18" s="903">
        <f>Elect!BO17</f>
        <v>0</v>
      </c>
      <c r="W18" s="724" t="e">
        <f t="shared" si="8"/>
        <v>#DIV/0!</v>
      </c>
      <c r="X18" s="727">
        <f>H18*V1</f>
        <v>712.24</v>
      </c>
      <c r="Y18" s="724">
        <f t="shared" si="9"/>
        <v>3.0179661016949151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72815</v>
      </c>
      <c r="C19" s="760">
        <f t="shared" si="11"/>
        <v>179.79999999999998</v>
      </c>
      <c r="D19" s="862">
        <v>145805</v>
      </c>
      <c r="E19" s="760">
        <f t="shared" si="2"/>
        <v>5.8</v>
      </c>
      <c r="F19" s="908">
        <v>12585</v>
      </c>
      <c r="G19" s="760">
        <f t="shared" si="12"/>
        <v>70.179999999999993</v>
      </c>
      <c r="H19" s="760">
        <f t="shared" si="3"/>
        <v>255.77999999999997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148.35239999999996</v>
      </c>
      <c r="R19" s="112"/>
      <c r="S19" s="484">
        <f t="shared" si="6"/>
        <v>0</v>
      </c>
      <c r="T19" s="903">
        <f>Elect!BM18</f>
        <v>251</v>
      </c>
      <c r="U19" s="724">
        <f t="shared" si="7"/>
        <v>1.019043824701195</v>
      </c>
      <c r="V19" s="903">
        <f>Elect!BO18</f>
        <v>0</v>
      </c>
      <c r="W19" s="724" t="e">
        <f t="shared" si="8"/>
        <v>#DIV/0!</v>
      </c>
      <c r="X19" s="727">
        <f>H19*V1</f>
        <v>1023.1199999999999</v>
      </c>
      <c r="Y19" s="724">
        <f t="shared" si="9"/>
        <v>4.0761752988047801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72843</v>
      </c>
      <c r="C20" s="760">
        <f t="shared" si="11"/>
        <v>162.39999999999998</v>
      </c>
      <c r="D20" s="862">
        <v>145806</v>
      </c>
      <c r="E20" s="760">
        <f t="shared" si="2"/>
        <v>5.8</v>
      </c>
      <c r="F20" s="908">
        <v>12714</v>
      </c>
      <c r="G20" s="760">
        <f t="shared" si="12"/>
        <v>74.819999999999993</v>
      </c>
      <c r="H20" s="760">
        <f t="shared" si="3"/>
        <v>243.01999999999998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140.95159999999998</v>
      </c>
      <c r="R20" s="112"/>
      <c r="S20" s="484">
        <f t="shared" si="6"/>
        <v>0</v>
      </c>
      <c r="T20" s="903">
        <f>Elect!BM19</f>
        <v>256</v>
      </c>
      <c r="U20" s="724">
        <f t="shared" si="7"/>
        <v>0.94929687499999993</v>
      </c>
      <c r="V20" s="903">
        <f>Elect!BO19</f>
        <v>0</v>
      </c>
      <c r="W20" s="724" t="e">
        <f t="shared" si="8"/>
        <v>#DIV/0!</v>
      </c>
      <c r="X20" s="727">
        <f>H20*V1</f>
        <v>972.07999999999993</v>
      </c>
      <c r="Y20" s="724">
        <f t="shared" si="9"/>
        <v>3.7971874999999997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72869</v>
      </c>
      <c r="C21" s="760">
        <f t="shared" si="11"/>
        <v>150.79999999999998</v>
      </c>
      <c r="D21" s="862">
        <v>145807</v>
      </c>
      <c r="E21" s="760">
        <f t="shared" ref="E21:E27" si="13">IF(D21&gt;=D20,D21-D20,0)*10*0.58</f>
        <v>5.8</v>
      </c>
      <c r="F21" s="908">
        <v>12847</v>
      </c>
      <c r="G21" s="760">
        <f t="shared" si="12"/>
        <v>77.14</v>
      </c>
      <c r="H21" s="760">
        <f t="shared" si="3"/>
        <v>233.74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135.5692</v>
      </c>
      <c r="R21" s="112"/>
      <c r="S21" s="484">
        <f t="shared" si="6"/>
        <v>0</v>
      </c>
      <c r="T21" s="903">
        <f>Elect!BM20</f>
        <v>219</v>
      </c>
      <c r="U21" s="724">
        <f t="shared" si="7"/>
        <v>1.0673059360730595</v>
      </c>
      <c r="V21" s="903">
        <f>Elect!BO20</f>
        <v>0</v>
      </c>
      <c r="W21" s="724" t="e">
        <f t="shared" si="8"/>
        <v>#DIV/0!</v>
      </c>
      <c r="X21" s="727">
        <f>H21*V1</f>
        <v>934.96</v>
      </c>
      <c r="Y21" s="724">
        <f t="shared" si="9"/>
        <v>4.2692237442922378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72892</v>
      </c>
      <c r="C22" s="760">
        <f t="shared" si="11"/>
        <v>133.39999999999998</v>
      </c>
      <c r="D22" s="862">
        <v>145807</v>
      </c>
      <c r="E22" s="760">
        <f t="shared" si="13"/>
        <v>0</v>
      </c>
      <c r="F22" s="908">
        <v>12967</v>
      </c>
      <c r="G22" s="760">
        <f>IF(F22&gt;=F21,F22-F21,0)*0.58</f>
        <v>69.599999999999994</v>
      </c>
      <c r="H22" s="760">
        <f t="shared" si="3"/>
        <v>202.99999999999997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117.73999999999998</v>
      </c>
      <c r="R22" s="112"/>
      <c r="S22" s="484">
        <f t="shared" si="6"/>
        <v>0</v>
      </c>
      <c r="T22" s="903">
        <f>Elect!BM21</f>
        <v>196</v>
      </c>
      <c r="U22" s="724">
        <f t="shared" si="7"/>
        <v>1.0357142857142856</v>
      </c>
      <c r="V22" s="903">
        <f>Elect!BO21</f>
        <v>0</v>
      </c>
      <c r="W22" s="724" t="e">
        <f t="shared" si="8"/>
        <v>#DIV/0!</v>
      </c>
      <c r="X22" s="727">
        <f>H22*V1</f>
        <v>811.99999999999989</v>
      </c>
      <c r="Y22" s="724">
        <f t="shared" si="9"/>
        <v>4.1428571428571423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72917</v>
      </c>
      <c r="C23" s="760">
        <f t="shared" si="11"/>
        <v>145</v>
      </c>
      <c r="D23" s="862">
        <v>145808</v>
      </c>
      <c r="E23" s="760">
        <f t="shared" si="13"/>
        <v>5.8</v>
      </c>
      <c r="F23" s="908">
        <v>13098</v>
      </c>
      <c r="G23" s="760">
        <f>IF(F23&gt;=F22,F23-F22,0)*0.58</f>
        <v>75.97999999999999</v>
      </c>
      <c r="H23" s="760">
        <f t="shared" si="3"/>
        <v>226.78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131.5324</v>
      </c>
      <c r="R23" s="112"/>
      <c r="S23" s="484">
        <f t="shared" si="6"/>
        <v>0</v>
      </c>
      <c r="T23" s="903">
        <f>Elect!BM22</f>
        <v>230</v>
      </c>
      <c r="U23" s="724">
        <f t="shared" si="7"/>
        <v>0.98599999999999999</v>
      </c>
      <c r="V23" s="903">
        <f>Elect!BO22</f>
        <v>0</v>
      </c>
      <c r="W23" s="724" t="e">
        <f t="shared" si="8"/>
        <v>#DIV/0!</v>
      </c>
      <c r="X23" s="727">
        <f>H23*V1</f>
        <v>907.12</v>
      </c>
      <c r="Y23" s="724">
        <f t="shared" si="9"/>
        <v>3.944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72945</v>
      </c>
      <c r="C24" s="760">
        <f t="shared" si="11"/>
        <v>162.39999999999998</v>
      </c>
      <c r="D24" s="862">
        <v>145809</v>
      </c>
      <c r="E24" s="760">
        <f t="shared" si="13"/>
        <v>5.8</v>
      </c>
      <c r="F24" s="908">
        <v>13295</v>
      </c>
      <c r="G24" s="760">
        <f>IF(F24&gt;=F23,F24-F23,0)*0.58</f>
        <v>114.25999999999999</v>
      </c>
      <c r="H24" s="760">
        <f t="shared" si="3"/>
        <v>282.45999999999998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163.82679999999996</v>
      </c>
      <c r="R24" s="112"/>
      <c r="S24" s="484">
        <f t="shared" si="6"/>
        <v>0</v>
      </c>
      <c r="T24" s="903">
        <f>Elect!BM23</f>
        <v>235</v>
      </c>
      <c r="U24" s="724">
        <f t="shared" si="7"/>
        <v>1.2019574468085106</v>
      </c>
      <c r="V24" s="903">
        <f>Elect!BO23</f>
        <v>0</v>
      </c>
      <c r="W24" s="724" t="e">
        <f t="shared" si="8"/>
        <v>#DIV/0!</v>
      </c>
      <c r="X24" s="727">
        <f>H24*V1</f>
        <v>1129.8399999999999</v>
      </c>
      <c r="Y24" s="724">
        <f t="shared" si="9"/>
        <v>4.8078297872340423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72967</v>
      </c>
      <c r="C25" s="760">
        <f t="shared" si="11"/>
        <v>127.6</v>
      </c>
      <c r="D25" s="862">
        <v>145810</v>
      </c>
      <c r="E25" s="760">
        <f t="shared" si="13"/>
        <v>5.8</v>
      </c>
      <c r="F25" s="908">
        <v>13393</v>
      </c>
      <c r="G25" s="760">
        <f>IF(F25&gt;=F24,F25-F24,0)*0.58</f>
        <v>56.839999999999996</v>
      </c>
      <c r="H25" s="760">
        <f t="shared" si="3"/>
        <v>190.24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110.33919999999999</v>
      </c>
      <c r="R25" s="112"/>
      <c r="S25" s="484">
        <f t="shared" si="6"/>
        <v>0</v>
      </c>
      <c r="T25" s="903">
        <f>Elect!BM24</f>
        <v>218</v>
      </c>
      <c r="U25" s="724">
        <f t="shared" si="7"/>
        <v>0.8726605504587156</v>
      </c>
      <c r="V25" s="903">
        <f>Elect!BO24</f>
        <v>0</v>
      </c>
      <c r="W25" s="724" t="e">
        <f t="shared" si="8"/>
        <v>#DIV/0!</v>
      </c>
      <c r="X25" s="727">
        <f>H25*V1</f>
        <v>760.96</v>
      </c>
      <c r="Y25" s="724">
        <f t="shared" si="9"/>
        <v>3.4906422018348624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72990</v>
      </c>
      <c r="C26" s="760">
        <f t="shared" si="11"/>
        <v>133.39999999999998</v>
      </c>
      <c r="D26" s="862">
        <v>145810</v>
      </c>
      <c r="E26" s="760">
        <f t="shared" si="13"/>
        <v>0</v>
      </c>
      <c r="F26" s="908">
        <v>13494</v>
      </c>
      <c r="G26" s="760">
        <f t="shared" si="12"/>
        <v>58.58</v>
      </c>
      <c r="H26" s="760">
        <f t="shared" si="3"/>
        <v>191.97999999999996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111.34839999999997</v>
      </c>
      <c r="R26" s="112"/>
      <c r="S26" s="484">
        <f t="shared" si="6"/>
        <v>0</v>
      </c>
      <c r="T26" s="903">
        <f>Elect!BM25</f>
        <v>242</v>
      </c>
      <c r="U26" s="724">
        <f t="shared" si="7"/>
        <v>0.79330578512396677</v>
      </c>
      <c r="V26" s="903">
        <f>Elect!BO25</f>
        <v>0</v>
      </c>
      <c r="W26" s="724" t="e">
        <f t="shared" si="8"/>
        <v>#DIV/0!</v>
      </c>
      <c r="X26" s="727">
        <f>H26*V1</f>
        <v>767.91999999999985</v>
      </c>
      <c r="Y26" s="724">
        <f t="shared" si="9"/>
        <v>3.1732231404958671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>
        <v>73018</v>
      </c>
      <c r="C27" s="760">
        <f t="shared" si="11"/>
        <v>162.39999999999998</v>
      </c>
      <c r="D27" s="862">
        <v>145811</v>
      </c>
      <c r="E27" s="760">
        <f t="shared" si="13"/>
        <v>5.8</v>
      </c>
      <c r="F27" s="908">
        <v>13664</v>
      </c>
      <c r="G27" s="760">
        <f t="shared" si="12"/>
        <v>98.6</v>
      </c>
      <c r="H27" s="760">
        <f t="shared" si="3"/>
        <v>266.79999999999995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154.74399999999997</v>
      </c>
      <c r="R27" s="112"/>
      <c r="S27" s="484">
        <f t="shared" si="6"/>
        <v>0</v>
      </c>
      <c r="T27" s="903">
        <f>Elect!BM26</f>
        <v>251</v>
      </c>
      <c r="U27" s="724">
        <f t="shared" si="7"/>
        <v>1.0629482071713146</v>
      </c>
      <c r="V27" s="903">
        <f>Elect!BO26</f>
        <v>0</v>
      </c>
      <c r="W27" s="724" t="e">
        <f t="shared" si="8"/>
        <v>#DIV/0!</v>
      </c>
      <c r="X27" s="727">
        <f>H27*V1</f>
        <v>1067.1999999999998</v>
      </c>
      <c r="Y27" s="724">
        <f t="shared" si="9"/>
        <v>4.2517928286852582</v>
      </c>
      <c r="Z27" s="728" t="e">
        <f t="shared" si="10"/>
        <v>#DIV/0!</v>
      </c>
    </row>
    <row r="28" spans="1:26" s="488" customFormat="1" ht="36.75" customHeight="1">
      <c r="A28" s="713">
        <v>22</v>
      </c>
      <c r="B28" s="113"/>
      <c r="C28" s="760">
        <f t="shared" si="11"/>
        <v>0</v>
      </c>
      <c r="D28" s="862"/>
      <c r="E28" s="760">
        <f t="shared" si="2"/>
        <v>0</v>
      </c>
      <c r="F28" s="908"/>
      <c r="G28" s="760">
        <f t="shared" si="12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243</v>
      </c>
      <c r="U28" s="724">
        <f t="shared" si="7"/>
        <v>0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>IF(B29&gt;=B28,B29-B28,0)*10*0.58</f>
        <v>0</v>
      </c>
      <c r="D29" s="862"/>
      <c r="E29" s="760">
        <f t="shared" si="2"/>
        <v>0</v>
      </c>
      <c r="F29" s="908"/>
      <c r="G29" s="760">
        <f t="shared" si="12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213</v>
      </c>
      <c r="U29" s="724">
        <f t="shared" si="7"/>
        <v>0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>IF(B30&gt;=B29,B30-B29,0)*10*0.58</f>
        <v>0</v>
      </c>
      <c r="D30" s="862"/>
      <c r="E30" s="760">
        <f t="shared" si="2"/>
        <v>0</v>
      </c>
      <c r="F30" s="908"/>
      <c r="G30" s="760">
        <f t="shared" si="12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>IF(B31&gt;=B30,B31-B30,0)*10*0.58</f>
        <v>0</v>
      </c>
      <c r="D31" s="862"/>
      <c r="E31" s="760">
        <f t="shared" si="2"/>
        <v>0</v>
      </c>
      <c r="F31" s="908"/>
      <c r="G31" s="760">
        <f t="shared" si="12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4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11"/>
        <v>0</v>
      </c>
      <c r="D32" s="862"/>
      <c r="E32" s="760">
        <f t="shared" si="2"/>
        <v>0</v>
      </c>
      <c r="F32" s="908"/>
      <c r="G32" s="760">
        <f>IF(F32&gt;=F31,F32-F31,0)*0.58</f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4"/>
        <v>0</v>
      </c>
    </row>
    <row r="33" spans="1:26" s="3" customFormat="1" ht="36.75" customHeight="1">
      <c r="A33" s="715">
        <v>27</v>
      </c>
      <c r="B33" s="113"/>
      <c r="C33" s="760">
        <f t="shared" si="11"/>
        <v>0</v>
      </c>
      <c r="D33" s="862"/>
      <c r="E33" s="760">
        <f t="shared" si="2"/>
        <v>0</v>
      </c>
      <c r="F33" s="908"/>
      <c r="G33" s="760">
        <f>IF(F33&gt;=F32,F33-F32,0)*0.58</f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4"/>
        <v>0</v>
      </c>
    </row>
    <row r="34" spans="1:26" s="3" customFormat="1" ht="36.75" customHeight="1">
      <c r="A34" s="716">
        <v>28</v>
      </c>
      <c r="B34" s="113"/>
      <c r="C34" s="760">
        <f t="shared" si="11"/>
        <v>0</v>
      </c>
      <c r="D34" s="862"/>
      <c r="E34" s="760">
        <f t="shared" si="2"/>
        <v>0</v>
      </c>
      <c r="F34" s="908"/>
      <c r="G34" s="760">
        <f>IF(F34&gt;=F33,F34-F33,0)*0.58</f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4"/>
        <v>0</v>
      </c>
    </row>
    <row r="35" spans="1:26" s="3" customFormat="1" ht="36.75" customHeight="1">
      <c r="A35" s="713">
        <v>29</v>
      </c>
      <c r="B35" s="113"/>
      <c r="C35" s="760">
        <f t="shared" si="11"/>
        <v>0</v>
      </c>
      <c r="D35" s="862"/>
      <c r="E35" s="760">
        <f t="shared" si="2"/>
        <v>0</v>
      </c>
      <c r="F35" s="908"/>
      <c r="G35" s="760">
        <f>IF(F35&gt;=F34,F35-F34,0)*0.58</f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4"/>
        <v>0</v>
      </c>
    </row>
    <row r="36" spans="1:26" s="3" customFormat="1" ht="36.75" customHeight="1">
      <c r="A36" s="715">
        <v>30</v>
      </c>
      <c r="B36" s="113"/>
      <c r="C36" s="760">
        <f t="shared" si="11"/>
        <v>0</v>
      </c>
      <c r="D36" s="862"/>
      <c r="E36" s="760">
        <f t="shared" si="2"/>
        <v>0</v>
      </c>
      <c r="F36" s="908"/>
      <c r="G36" s="760">
        <f t="shared" si="12"/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4"/>
        <v>0</v>
      </c>
    </row>
    <row r="37" spans="1:26" s="3" customFormat="1" ht="36.75" customHeight="1" thickBot="1">
      <c r="A37" s="713">
        <v>31</v>
      </c>
      <c r="B37" s="113"/>
      <c r="C37" s="760">
        <f t="shared" si="11"/>
        <v>0</v>
      </c>
      <c r="D37" s="862"/>
      <c r="E37" s="760">
        <f t="shared" si="2"/>
        <v>0</v>
      </c>
      <c r="F37" s="908"/>
      <c r="G37" s="760">
        <f t="shared" si="12"/>
        <v>0</v>
      </c>
      <c r="H37" s="760">
        <f t="shared" si="3"/>
        <v>0</v>
      </c>
      <c r="I37" s="908">
        <v>180</v>
      </c>
      <c r="J37" s="923"/>
      <c r="K37" s="908">
        <v>2300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4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2874.9357142858466</v>
      </c>
      <c r="D38" s="607"/>
      <c r="E38" s="928">
        <f>SUM(E7:E37)</f>
        <v>81.199999999999974</v>
      </c>
      <c r="F38" s="607"/>
      <c r="G38" s="928">
        <f>SUM(G7:G37)</f>
        <v>1509.8642857142938</v>
      </c>
      <c r="H38" s="928">
        <f>SUM(H7:H37)</f>
        <v>4466.0000000001419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2590.2800000000811</v>
      </c>
      <c r="R38" s="607"/>
      <c r="S38" s="614">
        <f>SUM(S7:S34)</f>
        <v>0</v>
      </c>
      <c r="T38" s="615">
        <f>SUM(T7:T36)</f>
        <v>4823</v>
      </c>
      <c r="U38" s="725">
        <f>IF(H38&gt;0,H38/T38,0)</f>
        <v>0.92597968069669123</v>
      </c>
      <c r="V38" s="794">
        <f>SUM(V7:V36)</f>
        <v>0</v>
      </c>
      <c r="W38" s="725" t="e">
        <f>IF(H38&gt;0,H38/V38,0)</f>
        <v>#DIV/0!</v>
      </c>
      <c r="X38" s="729">
        <f>SUM(X7:X36)</f>
        <v>17864.000000000568</v>
      </c>
      <c r="Y38" s="725">
        <f t="shared" ref="Y38:Y44" si="15">IF(X38&gt;0,X38/T38,0)</f>
        <v>3.7039187227867649</v>
      </c>
      <c r="Z38" s="730" t="e">
        <f t="shared" ref="Z38:Z44" si="16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92.73986175115634</v>
      </c>
      <c r="D39" s="608"/>
      <c r="E39" s="620">
        <f>E38/B49</f>
        <v>2.6193548387096768</v>
      </c>
      <c r="F39" s="608"/>
      <c r="G39" s="620">
        <f>G38/B49</f>
        <v>48.705299539170767</v>
      </c>
      <c r="H39" s="620">
        <f>H38/B49</f>
        <v>144.06451612903683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83.557419354841329</v>
      </c>
      <c r="R39" s="608"/>
      <c r="S39" s="620" t="e">
        <f>S38/C49</f>
        <v>#DIV/0!</v>
      </c>
      <c r="T39" s="622">
        <f>T38/B49</f>
        <v>155.58064516129033</v>
      </c>
      <c r="U39" s="726">
        <f>IF(H39&gt;0,H39/T39,0)</f>
        <v>0.92597968069669112</v>
      </c>
      <c r="V39" s="742">
        <f>V38/B49</f>
        <v>0</v>
      </c>
      <c r="W39" s="725" t="e">
        <f>IF(H39&gt;0,H39/V39,0)</f>
        <v>#DIV/0!</v>
      </c>
      <c r="X39" s="731">
        <f>X38/B49</f>
        <v>576.25806451614733</v>
      </c>
      <c r="Y39" s="726">
        <f t="shared" si="15"/>
        <v>3.7039187227867645</v>
      </c>
      <c r="Z39" s="732" t="e">
        <f t="shared" si="16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5"/>
        <v>0</v>
      </c>
      <c r="Z40" s="730">
        <f t="shared" si="16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5"/>
        <v>#REF!</v>
      </c>
      <c r="Z41" s="732" t="e">
        <f t="shared" si="16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5"/>
        <v>0</v>
      </c>
      <c r="Z43" s="757">
        <f t="shared" si="16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5"/>
        <v>#VALUE!</v>
      </c>
      <c r="Z44" s="644" t="e">
        <f t="shared" si="16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1" t="s">
        <v>11</v>
      </c>
      <c r="B150" s="991"/>
      <c r="C150" s="991"/>
      <c r="D150" s="991"/>
      <c r="E150" s="991"/>
      <c r="F150" s="991"/>
      <c r="G150" s="991"/>
      <c r="H150" s="991"/>
      <c r="I150" s="991"/>
      <c r="J150" s="991"/>
      <c r="K150" s="991"/>
      <c r="L150" s="991"/>
      <c r="M150" s="991"/>
      <c r="N150" s="991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44"/>
  <sheetViews>
    <sheetView tabSelected="1" zoomScale="55" zoomScaleNormal="55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B28" sqref="B28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1" t="str">
        <f>Elect!A1</f>
        <v>February</v>
      </c>
      <c r="E1" s="969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1"/>
      <c r="C2" s="29"/>
      <c r="E2" s="969"/>
      <c r="G2" s="29"/>
      <c r="H2" s="29"/>
      <c r="I2" s="29"/>
      <c r="K2" s="588"/>
      <c r="L2" s="587"/>
      <c r="M2" s="483"/>
    </row>
    <row r="3" spans="1:13" ht="21" customHeight="1" thickBot="1">
      <c r="A3" s="1022"/>
      <c r="B3" s="29"/>
      <c r="C3" s="29"/>
      <c r="D3" s="29"/>
      <c r="E3" s="970"/>
      <c r="F3" s="29"/>
      <c r="G3" s="29"/>
      <c r="H3" s="29"/>
      <c r="I3" s="29"/>
    </row>
    <row r="4" spans="1:13" ht="53.25" customHeight="1">
      <c r="A4" s="795" t="s">
        <v>23</v>
      </c>
      <c r="B4" s="1023" t="s">
        <v>311</v>
      </c>
      <c r="C4" s="1024"/>
      <c r="D4" s="1023" t="s">
        <v>312</v>
      </c>
      <c r="E4" s="1024"/>
      <c r="F4" s="1023" t="s">
        <v>313</v>
      </c>
      <c r="G4" s="1024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7767179</v>
      </c>
      <c r="C6" s="760">
        <f t="shared" ref="C6:C14" si="0">IF(B6&gt;=B5,B6-B5,0)*1.06</f>
        <v>0</v>
      </c>
      <c r="D6" s="862">
        <v>207474</v>
      </c>
      <c r="E6" s="760">
        <f>IF(D6&gt;=D5,D6-D5,0)*0.7</f>
        <v>0</v>
      </c>
      <c r="F6" s="862">
        <v>551462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7769042</v>
      </c>
      <c r="C7" s="760">
        <f t="shared" si="0"/>
        <v>1974.7800000000002</v>
      </c>
      <c r="D7" s="862">
        <v>207631</v>
      </c>
      <c r="E7" s="760">
        <f t="shared" ref="E7:E37" si="2">IF(D7&gt;=D6,D7-D6,0)*0.7</f>
        <v>109.89999999999999</v>
      </c>
      <c r="F7" s="862">
        <v>551554</v>
      </c>
      <c r="G7" s="760">
        <f t="shared" si="1"/>
        <v>92</v>
      </c>
      <c r="H7" s="760">
        <f>(E7*0.55)*1.61</f>
        <v>97.316450000000003</v>
      </c>
      <c r="I7" s="760">
        <f>C7*J1</f>
        <v>3179.3958000000007</v>
      </c>
      <c r="J7" s="760">
        <f>G7*J1</f>
        <v>148.12</v>
      </c>
      <c r="K7" s="935">
        <f t="shared" ref="K7:K37" si="3">C7+E7</f>
        <v>2084.6800000000003</v>
      </c>
    </row>
    <row r="8" spans="1:13" s="475" customFormat="1" ht="41.25" customHeight="1">
      <c r="A8" s="797">
        <v>2</v>
      </c>
      <c r="B8" s="113">
        <v>7770200</v>
      </c>
      <c r="C8" s="760">
        <f t="shared" si="0"/>
        <v>1227.48</v>
      </c>
      <c r="D8" s="862">
        <v>208082</v>
      </c>
      <c r="E8" s="760">
        <f t="shared" si="2"/>
        <v>315.7</v>
      </c>
      <c r="F8" s="862">
        <v>551654</v>
      </c>
      <c r="G8" s="760">
        <f t="shared" si="1"/>
        <v>100</v>
      </c>
      <c r="H8" s="760">
        <f t="shared" ref="H8:H37" si="4">(E8*0.55)*1.61</f>
        <v>279.55235000000005</v>
      </c>
      <c r="I8" s="760">
        <f>C8*J1</f>
        <v>1976.2428000000002</v>
      </c>
      <c r="J8" s="760">
        <f>G8*J1</f>
        <v>161</v>
      </c>
      <c r="K8" s="935">
        <f t="shared" si="3"/>
        <v>1543.18</v>
      </c>
    </row>
    <row r="9" spans="1:13" s="475" customFormat="1" ht="41.25" customHeight="1">
      <c r="A9" s="797">
        <v>3</v>
      </c>
      <c r="B9" s="113">
        <v>7771058</v>
      </c>
      <c r="C9" s="760">
        <f t="shared" si="0"/>
        <v>909.48</v>
      </c>
      <c r="D9" s="862">
        <v>208533</v>
      </c>
      <c r="E9" s="760">
        <f t="shared" si="2"/>
        <v>315.7</v>
      </c>
      <c r="F9" s="862">
        <v>551714</v>
      </c>
      <c r="G9" s="760">
        <f t="shared" si="1"/>
        <v>60</v>
      </c>
      <c r="H9" s="760">
        <f>(E9*0.55)*1.61</f>
        <v>279.55235000000005</v>
      </c>
      <c r="I9" s="760">
        <f>C9*J1</f>
        <v>1464.2628000000002</v>
      </c>
      <c r="J9" s="760">
        <f>G9*J1</f>
        <v>96.600000000000009</v>
      </c>
      <c r="K9" s="935">
        <f>C9+E9</f>
        <v>1225.18</v>
      </c>
    </row>
    <row r="10" spans="1:13" s="475" customFormat="1" ht="41.25" customHeight="1">
      <c r="A10" s="797">
        <v>4</v>
      </c>
      <c r="B10" s="113">
        <v>7772045</v>
      </c>
      <c r="C10" s="760">
        <f t="shared" si="0"/>
        <v>1046.22</v>
      </c>
      <c r="D10" s="862">
        <v>208916</v>
      </c>
      <c r="E10" s="760">
        <f t="shared" si="2"/>
        <v>268.09999999999997</v>
      </c>
      <c r="F10" s="862">
        <v>551791</v>
      </c>
      <c r="G10" s="760">
        <f t="shared" si="1"/>
        <v>77</v>
      </c>
      <c r="H10" s="760">
        <f>(E10*0.55)*1.61</f>
        <v>237.40254999999999</v>
      </c>
      <c r="I10" s="760">
        <f>C10*J1</f>
        <v>1684.4142000000002</v>
      </c>
      <c r="J10" s="760">
        <f>G10*J1</f>
        <v>123.97000000000001</v>
      </c>
      <c r="K10" s="935">
        <f t="shared" si="3"/>
        <v>1314.32</v>
      </c>
    </row>
    <row r="11" spans="1:13" s="475" customFormat="1" ht="41.25" customHeight="1">
      <c r="A11" s="797">
        <v>5</v>
      </c>
      <c r="B11" s="113">
        <v>7773164</v>
      </c>
      <c r="C11" s="760">
        <f t="shared" si="0"/>
        <v>1186.1400000000001</v>
      </c>
      <c r="D11" s="862">
        <v>209296</v>
      </c>
      <c r="E11" s="760">
        <f t="shared" si="2"/>
        <v>266</v>
      </c>
      <c r="F11" s="862">
        <v>551876</v>
      </c>
      <c r="G11" s="760">
        <f t="shared" si="1"/>
        <v>85</v>
      </c>
      <c r="H11" s="760">
        <f t="shared" si="4"/>
        <v>235.54300000000003</v>
      </c>
      <c r="I11" s="760">
        <f>C11*J1</f>
        <v>1909.6854000000003</v>
      </c>
      <c r="J11" s="760">
        <f>G11*J1</f>
        <v>136.85</v>
      </c>
      <c r="K11" s="935">
        <f t="shared" si="3"/>
        <v>1452.14</v>
      </c>
    </row>
    <row r="12" spans="1:13" s="475" customFormat="1" ht="41.25" customHeight="1">
      <c r="A12" s="797">
        <v>6</v>
      </c>
      <c r="B12" s="113">
        <v>7774637</v>
      </c>
      <c r="C12" s="760">
        <f t="shared" si="0"/>
        <v>1561.38</v>
      </c>
      <c r="D12" s="862">
        <v>209702</v>
      </c>
      <c r="E12" s="760">
        <f t="shared" si="2"/>
        <v>284.2</v>
      </c>
      <c r="F12" s="862">
        <v>551982</v>
      </c>
      <c r="G12" s="760">
        <f t="shared" si="1"/>
        <v>106</v>
      </c>
      <c r="H12" s="760">
        <f t="shared" si="4"/>
        <v>251.65910000000002</v>
      </c>
      <c r="I12" s="760">
        <f>C12*J1</f>
        <v>2513.8218000000002</v>
      </c>
      <c r="J12" s="760">
        <f>G12*J1</f>
        <v>170.66</v>
      </c>
      <c r="K12" s="935">
        <f t="shared" si="3"/>
        <v>1845.5800000000002</v>
      </c>
    </row>
    <row r="13" spans="1:13" s="475" customFormat="1" ht="41.25" customHeight="1">
      <c r="A13" s="797">
        <v>7</v>
      </c>
      <c r="B13" s="113">
        <v>7776089</v>
      </c>
      <c r="C13" s="760">
        <f t="shared" si="0"/>
        <v>1539.1200000000001</v>
      </c>
      <c r="D13" s="862">
        <v>210064</v>
      </c>
      <c r="E13" s="760">
        <f t="shared" si="2"/>
        <v>253.39999999999998</v>
      </c>
      <c r="F13" s="862">
        <v>552077</v>
      </c>
      <c r="G13" s="760">
        <f t="shared" si="1"/>
        <v>95</v>
      </c>
      <c r="H13" s="760">
        <f t="shared" si="4"/>
        <v>224.38570000000001</v>
      </c>
      <c r="I13" s="760">
        <f>C13*J1</f>
        <v>2477.9832000000001</v>
      </c>
      <c r="J13" s="760">
        <f>G13*J1</f>
        <v>152.95000000000002</v>
      </c>
      <c r="K13" s="935">
        <f t="shared" si="3"/>
        <v>1792.52</v>
      </c>
    </row>
    <row r="14" spans="1:13" s="475" customFormat="1" ht="41.25" customHeight="1">
      <c r="A14" s="797">
        <v>8</v>
      </c>
      <c r="B14" s="113">
        <v>7777736</v>
      </c>
      <c r="C14" s="760">
        <f t="shared" si="0"/>
        <v>1745.8200000000002</v>
      </c>
      <c r="D14" s="862">
        <v>210455</v>
      </c>
      <c r="E14" s="760">
        <f t="shared" si="2"/>
        <v>273.7</v>
      </c>
      <c r="F14" s="862">
        <v>552178</v>
      </c>
      <c r="G14" s="760">
        <f t="shared" si="1"/>
        <v>101</v>
      </c>
      <c r="H14" s="760">
        <f t="shared" si="4"/>
        <v>242.36135000000002</v>
      </c>
      <c r="I14" s="760">
        <f>C14*J1</f>
        <v>2810.7702000000004</v>
      </c>
      <c r="J14" s="760">
        <f>G14*J1</f>
        <v>162.61000000000001</v>
      </c>
      <c r="K14" s="935">
        <f t="shared" si="3"/>
        <v>2019.5200000000002</v>
      </c>
    </row>
    <row r="15" spans="1:13" s="475" customFormat="1" ht="41.25" customHeight="1">
      <c r="A15" s="797">
        <v>9</v>
      </c>
      <c r="B15" s="113">
        <v>7779253</v>
      </c>
      <c r="C15" s="760">
        <f t="shared" ref="C15:C32" si="5">IF(B15&gt;=B14,B15-B14,0)*1.06</f>
        <v>1608.02</v>
      </c>
      <c r="D15" s="862">
        <v>210860</v>
      </c>
      <c r="E15" s="760">
        <f t="shared" si="2"/>
        <v>283.5</v>
      </c>
      <c r="F15" s="862">
        <v>552288</v>
      </c>
      <c r="G15" s="760">
        <f t="shared" ref="G15:G37" si="6">IF(F15&gt;=F14,F15-F14,0)</f>
        <v>110</v>
      </c>
      <c r="H15" s="760">
        <f t="shared" si="4"/>
        <v>251.03925000000004</v>
      </c>
      <c r="I15" s="760">
        <f>C15*J1</f>
        <v>2588.9122000000002</v>
      </c>
      <c r="J15" s="760">
        <f>G15*J1</f>
        <v>177.10000000000002</v>
      </c>
      <c r="K15" s="935">
        <f t="shared" si="3"/>
        <v>1891.52</v>
      </c>
    </row>
    <row r="16" spans="1:13" s="475" customFormat="1" ht="41.25" customHeight="1">
      <c r="A16" s="797">
        <v>10</v>
      </c>
      <c r="B16" s="113">
        <v>7780941</v>
      </c>
      <c r="C16" s="760">
        <f t="shared" si="5"/>
        <v>1789.2800000000002</v>
      </c>
      <c r="D16" s="862">
        <v>211267</v>
      </c>
      <c r="E16" s="760">
        <f t="shared" si="2"/>
        <v>284.89999999999998</v>
      </c>
      <c r="F16" s="862">
        <v>552384</v>
      </c>
      <c r="G16" s="760">
        <f>IF(F16&gt;=F15,F16-F15,0)</f>
        <v>96</v>
      </c>
      <c r="H16" s="760">
        <f t="shared" si="4"/>
        <v>252.27895000000001</v>
      </c>
      <c r="I16" s="760">
        <f>C16*J1</f>
        <v>2880.7408000000005</v>
      </c>
      <c r="J16" s="760">
        <f>G16*J1</f>
        <v>154.56</v>
      </c>
      <c r="K16" s="935">
        <f t="shared" si="3"/>
        <v>2074.1800000000003</v>
      </c>
    </row>
    <row r="17" spans="1:11" s="475" customFormat="1" ht="41.25" customHeight="1">
      <c r="A17" s="797">
        <v>11</v>
      </c>
      <c r="B17" s="113">
        <v>7782515</v>
      </c>
      <c r="C17" s="760">
        <f t="shared" si="5"/>
        <v>1668.44</v>
      </c>
      <c r="D17" s="862">
        <v>211668</v>
      </c>
      <c r="E17" s="760">
        <f t="shared" si="2"/>
        <v>280.7</v>
      </c>
      <c r="F17" s="862">
        <v>552478</v>
      </c>
      <c r="G17" s="760">
        <f t="shared" si="6"/>
        <v>94</v>
      </c>
      <c r="H17" s="760">
        <f t="shared" si="4"/>
        <v>248.55985000000004</v>
      </c>
      <c r="I17" s="760">
        <f>C17*J1</f>
        <v>2686.1884000000005</v>
      </c>
      <c r="J17" s="760">
        <f>G17*J1</f>
        <v>151.34</v>
      </c>
      <c r="K17" s="935">
        <f t="shared" si="3"/>
        <v>1949.14</v>
      </c>
    </row>
    <row r="18" spans="1:11" s="475" customFormat="1" ht="41.25" customHeight="1">
      <c r="A18" s="797">
        <v>12</v>
      </c>
      <c r="B18" s="113">
        <v>7783864</v>
      </c>
      <c r="C18" s="760">
        <f t="shared" si="5"/>
        <v>1429.94</v>
      </c>
      <c r="D18" s="862">
        <v>212035</v>
      </c>
      <c r="E18" s="760">
        <f t="shared" si="2"/>
        <v>256.89999999999998</v>
      </c>
      <c r="F18" s="862">
        <v>552552</v>
      </c>
      <c r="G18" s="760">
        <f t="shared" si="6"/>
        <v>74</v>
      </c>
      <c r="H18" s="760">
        <f t="shared" si="4"/>
        <v>227.48495</v>
      </c>
      <c r="I18" s="760">
        <f>C18*J1</f>
        <v>2302.2034000000003</v>
      </c>
      <c r="J18" s="760">
        <f>G18*J1</f>
        <v>119.14</v>
      </c>
      <c r="K18" s="935">
        <f t="shared" si="3"/>
        <v>1686.8400000000001</v>
      </c>
    </row>
    <row r="19" spans="1:11" s="475" customFormat="1" ht="41.25" customHeight="1">
      <c r="A19" s="797">
        <v>13</v>
      </c>
      <c r="B19" s="113">
        <v>7785383</v>
      </c>
      <c r="C19" s="760">
        <f t="shared" si="5"/>
        <v>1610.14</v>
      </c>
      <c r="D19" s="862">
        <v>212527</v>
      </c>
      <c r="E19" s="760">
        <f t="shared" si="2"/>
        <v>344.4</v>
      </c>
      <c r="F19" s="862">
        <v>552644</v>
      </c>
      <c r="G19" s="760">
        <f t="shared" si="6"/>
        <v>92</v>
      </c>
      <c r="H19" s="760">
        <f t="shared" si="4"/>
        <v>304.96620000000007</v>
      </c>
      <c r="I19" s="760">
        <f>C19*J1</f>
        <v>2592.3254000000002</v>
      </c>
      <c r="J19" s="760">
        <f>G19*J1</f>
        <v>148.12</v>
      </c>
      <c r="K19" s="935">
        <f t="shared" si="3"/>
        <v>1954.54</v>
      </c>
    </row>
    <row r="20" spans="1:11" s="475" customFormat="1" ht="41.25" customHeight="1">
      <c r="A20" s="797">
        <v>14</v>
      </c>
      <c r="B20" s="113">
        <v>7786669</v>
      </c>
      <c r="C20" s="760">
        <f t="shared" si="5"/>
        <v>1363.16</v>
      </c>
      <c r="D20" s="862">
        <v>213019</v>
      </c>
      <c r="E20" s="760">
        <f t="shared" si="2"/>
        <v>344.4</v>
      </c>
      <c r="F20" s="862">
        <v>552729</v>
      </c>
      <c r="G20" s="760">
        <f t="shared" si="6"/>
        <v>85</v>
      </c>
      <c r="H20" s="760">
        <f t="shared" si="4"/>
        <v>304.96620000000007</v>
      </c>
      <c r="I20" s="760">
        <f>C20*J1</f>
        <v>2194.6876000000002</v>
      </c>
      <c r="J20" s="760">
        <f>G20*J1</f>
        <v>136.85</v>
      </c>
      <c r="K20" s="935">
        <f t="shared" si="3"/>
        <v>1707.56</v>
      </c>
    </row>
    <row r="21" spans="1:11" s="475" customFormat="1" ht="41.25" customHeight="1">
      <c r="A21" s="797">
        <v>15</v>
      </c>
      <c r="B21" s="113">
        <v>7788232</v>
      </c>
      <c r="C21" s="760">
        <f t="shared" si="5"/>
        <v>1656.78</v>
      </c>
      <c r="D21" s="862">
        <v>213435</v>
      </c>
      <c r="E21" s="760">
        <f t="shared" si="2"/>
        <v>291.2</v>
      </c>
      <c r="F21" s="862">
        <v>552831</v>
      </c>
      <c r="G21" s="760">
        <f t="shared" ref="G21:G27" si="7">IF(F21&gt;=F20,F21-F20,0)</f>
        <v>102</v>
      </c>
      <c r="H21" s="760">
        <f t="shared" si="4"/>
        <v>257.85759999999999</v>
      </c>
      <c r="I21" s="760">
        <f>C21*J1</f>
        <v>2667.4158000000002</v>
      </c>
      <c r="J21" s="760">
        <f>G21*J1</f>
        <v>164.22</v>
      </c>
      <c r="K21" s="935">
        <f t="shared" si="3"/>
        <v>1947.98</v>
      </c>
    </row>
    <row r="22" spans="1:11" s="475" customFormat="1" ht="41.25" customHeight="1">
      <c r="A22" s="797">
        <v>16</v>
      </c>
      <c r="B22" s="864">
        <v>7789760</v>
      </c>
      <c r="C22" s="760">
        <f t="shared" si="5"/>
        <v>1619.68</v>
      </c>
      <c r="D22" s="862">
        <v>213805</v>
      </c>
      <c r="E22" s="760">
        <f t="shared" si="2"/>
        <v>259</v>
      </c>
      <c r="F22" s="862">
        <v>552927</v>
      </c>
      <c r="G22" s="760">
        <f t="shared" si="7"/>
        <v>96</v>
      </c>
      <c r="H22" s="760">
        <f t="shared" si="4"/>
        <v>229.34450000000004</v>
      </c>
      <c r="I22" s="760">
        <f>C22*J1</f>
        <v>2607.6848000000005</v>
      </c>
      <c r="J22" s="760">
        <f>G22*J1</f>
        <v>154.56</v>
      </c>
      <c r="K22" s="935">
        <f t="shared" si="3"/>
        <v>1878.68</v>
      </c>
    </row>
    <row r="23" spans="1:11" s="475" customFormat="1" ht="41.25" customHeight="1">
      <c r="A23" s="797">
        <v>17</v>
      </c>
      <c r="B23" s="113">
        <v>7791151.42857143</v>
      </c>
      <c r="C23" s="760">
        <f t="shared" si="5"/>
        <v>1474.9142857158372</v>
      </c>
      <c r="D23" s="862">
        <v>214341</v>
      </c>
      <c r="E23" s="760">
        <f t="shared" si="2"/>
        <v>375.2</v>
      </c>
      <c r="F23" s="862">
        <v>553013</v>
      </c>
      <c r="G23" s="760">
        <f t="shared" si="7"/>
        <v>86</v>
      </c>
      <c r="H23" s="760">
        <f t="shared" si="4"/>
        <v>332.23960000000005</v>
      </c>
      <c r="I23" s="760">
        <f>C23*J1</f>
        <v>2374.612000002498</v>
      </c>
      <c r="J23" s="760">
        <f>G23*J1</f>
        <v>138.46</v>
      </c>
      <c r="K23" s="935">
        <f t="shared" si="3"/>
        <v>1850.1142857158372</v>
      </c>
    </row>
    <row r="24" spans="1:11" s="475" customFormat="1" ht="41.25" customHeight="1">
      <c r="A24" s="797">
        <v>18</v>
      </c>
      <c r="B24" s="113">
        <v>7792589.2448979598</v>
      </c>
      <c r="C24" s="760">
        <f t="shared" si="5"/>
        <v>1524.0853061215021</v>
      </c>
      <c r="D24" s="862">
        <v>214726</v>
      </c>
      <c r="E24" s="760">
        <f t="shared" si="2"/>
        <v>269.5</v>
      </c>
      <c r="F24" s="862">
        <v>553123</v>
      </c>
      <c r="G24" s="760">
        <f t="shared" si="7"/>
        <v>110</v>
      </c>
      <c r="H24" s="760">
        <f t="shared" si="4"/>
        <v>238.64225000000005</v>
      </c>
      <c r="I24" s="760">
        <f>C24*J1</f>
        <v>2453.7773428556184</v>
      </c>
      <c r="J24" s="760">
        <f>G24*J1</f>
        <v>177.10000000000002</v>
      </c>
      <c r="K24" s="935">
        <f t="shared" si="3"/>
        <v>1793.5853061215021</v>
      </c>
    </row>
    <row r="25" spans="1:11" s="475" customFormat="1" ht="41.25" customHeight="1">
      <c r="A25" s="797">
        <v>19</v>
      </c>
      <c r="B25" s="113">
        <v>7794064.7632653099</v>
      </c>
      <c r="C25" s="760">
        <f t="shared" si="5"/>
        <v>1564.0494693911076</v>
      </c>
      <c r="D25" s="862">
        <v>215161.2</v>
      </c>
      <c r="E25" s="760">
        <f t="shared" si="2"/>
        <v>304.64000000000811</v>
      </c>
      <c r="F25" s="862">
        <v>553215.6</v>
      </c>
      <c r="G25" s="760">
        <f t="shared" si="7"/>
        <v>92.599999999976717</v>
      </c>
      <c r="H25" s="760">
        <f t="shared" si="4"/>
        <v>269.75872000000726</v>
      </c>
      <c r="I25" s="760">
        <f>C25*J1</f>
        <v>2518.1196457196834</v>
      </c>
      <c r="J25" s="760">
        <f>G25*J1</f>
        <v>149.08599999996252</v>
      </c>
      <c r="K25" s="935">
        <f t="shared" si="3"/>
        <v>1868.6894693911156</v>
      </c>
    </row>
    <row r="26" spans="1:11" s="475" customFormat="1" ht="41.25" customHeight="1">
      <c r="A26" s="797">
        <v>20</v>
      </c>
      <c r="B26" s="113">
        <v>7795555.2707482995</v>
      </c>
      <c r="C26" s="760">
        <f t="shared" si="5"/>
        <v>1579.9379319690727</v>
      </c>
      <c r="D26" s="862">
        <v>215605.66</v>
      </c>
      <c r="E26" s="760">
        <f t="shared" si="2"/>
        <v>311.12199999999427</v>
      </c>
      <c r="F26" s="862">
        <v>553311.48</v>
      </c>
      <c r="G26" s="760">
        <f t="shared" si="7"/>
        <v>95.880000000004657</v>
      </c>
      <c r="H26" s="760">
        <f t="shared" si="4"/>
        <v>275.49853099999495</v>
      </c>
      <c r="I26" s="760">
        <f>C26*J1</f>
        <v>2543.7000704702073</v>
      </c>
      <c r="J26" s="760">
        <f>G26*J1</f>
        <v>154.36680000000752</v>
      </c>
      <c r="K26" s="935">
        <f t="shared" si="3"/>
        <v>1891.0599319690668</v>
      </c>
    </row>
    <row r="27" spans="1:11" s="475" customFormat="1" ht="41.25" customHeight="1">
      <c r="A27" s="797">
        <v>21</v>
      </c>
      <c r="B27" s="113">
        <v>7796784</v>
      </c>
      <c r="C27" s="760">
        <f t="shared" si="5"/>
        <v>1302.4530068024808</v>
      </c>
      <c r="D27" s="862">
        <v>216032</v>
      </c>
      <c r="E27" s="760">
        <f t="shared" si="2"/>
        <v>298.43799999999754</v>
      </c>
      <c r="F27" s="862">
        <v>553410</v>
      </c>
      <c r="G27" s="760">
        <f t="shared" si="7"/>
        <v>98.520000000018626</v>
      </c>
      <c r="H27" s="760">
        <f t="shared" si="4"/>
        <v>264.26684899999782</v>
      </c>
      <c r="I27" s="760">
        <f>C27*J1</f>
        <v>2096.9493409519941</v>
      </c>
      <c r="J27" s="760">
        <f>G27*J1</f>
        <v>158.61720000003001</v>
      </c>
      <c r="K27" s="935">
        <f t="shared" si="3"/>
        <v>1600.8910068024784</v>
      </c>
    </row>
    <row r="28" spans="1:11" s="475" customFormat="1" ht="41.25" customHeight="1">
      <c r="A28" s="797">
        <v>22</v>
      </c>
      <c r="B28" s="113"/>
      <c r="C28" s="760">
        <f>IF(B28&gt;=B27,B28-B27,0)*1.06</f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>IF(B29&gt;=B28,B29-B28,0)*1.06</f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>IF(B30&gt;=B29,B30-B29,0)*1.06</f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113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31381.3</v>
      </c>
      <c r="D38" s="865"/>
      <c r="E38" s="866">
        <f>SUM(E7:E37)</f>
        <v>5990.5999999999995</v>
      </c>
      <c r="F38" s="865"/>
      <c r="G38" s="866">
        <f>SUM(G7:G37)</f>
        <v>1948</v>
      </c>
      <c r="H38" s="867">
        <f>SUM(H6:H37)</f>
        <v>5304.6763000000001</v>
      </c>
      <c r="I38" s="867">
        <f>SUM(I6:I37)</f>
        <v>50523.893000000004</v>
      </c>
      <c r="J38" s="867">
        <f>SUM(J6:J37)</f>
        <v>3136.2799999999997</v>
      </c>
      <c r="K38" s="936">
        <f>SUM(K6:K37)</f>
        <v>37371.9</v>
      </c>
    </row>
    <row r="39" spans="1:14" s="602" customFormat="1" ht="41.25" customHeight="1" thickBot="1">
      <c r="A39" s="800" t="s">
        <v>331</v>
      </c>
      <c r="B39" s="868"/>
      <c r="C39" s="869">
        <f>C38/A51</f>
        <v>1364.4043478260869</v>
      </c>
      <c r="D39" s="868"/>
      <c r="E39" s="869">
        <f>E38/A51</f>
        <v>260.46086956521737</v>
      </c>
      <c r="F39" s="868"/>
      <c r="G39" s="869">
        <f>G38/A51</f>
        <v>84.695652173913047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23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25" t="str">
        <f>Elect!A1</f>
        <v>February</v>
      </c>
      <c r="B1" s="177"/>
      <c r="C1" s="177"/>
      <c r="H1" s="143"/>
      <c r="I1" s="144"/>
      <c r="J1" s="145"/>
      <c r="K1" s="145"/>
      <c r="L1" s="1027" t="s">
        <v>144</v>
      </c>
      <c r="M1" s="1027"/>
      <c r="N1" s="1027"/>
      <c r="P1" s="1028" t="str">
        <f>Elect!A1</f>
        <v>February</v>
      </c>
      <c r="Q1" s="1028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6"/>
      <c r="B2" s="1029" t="s">
        <v>131</v>
      </c>
      <c r="C2" s="1030"/>
      <c r="D2" s="1030"/>
      <c r="E2" s="1030"/>
      <c r="F2" s="1030"/>
      <c r="G2" s="1031"/>
      <c r="H2" s="1029" t="s">
        <v>11</v>
      </c>
      <c r="I2" s="1030"/>
      <c r="J2" s="1030"/>
      <c r="K2" s="1030"/>
      <c r="L2" s="1030"/>
      <c r="M2" s="1030"/>
      <c r="N2" s="1030"/>
      <c r="O2" s="1030"/>
      <c r="P2" s="1031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58" t="s">
        <v>56</v>
      </c>
      <c r="AH2" s="1059"/>
      <c r="AI2" s="1059"/>
      <c r="AJ2" s="395" t="s">
        <v>50</v>
      </c>
      <c r="AK2" s="1062" t="s">
        <v>58</v>
      </c>
      <c r="AL2" s="1064" t="s">
        <v>65</v>
      </c>
      <c r="AM2" s="1064" t="s">
        <v>64</v>
      </c>
      <c r="AN2" s="1056" t="s">
        <v>120</v>
      </c>
      <c r="AO2" s="1046" t="s">
        <v>45</v>
      </c>
      <c r="AP2" s="1048" t="s">
        <v>51</v>
      </c>
      <c r="AQ2" s="1050" t="s">
        <v>66</v>
      </c>
      <c r="AR2" s="1052" t="s">
        <v>44</v>
      </c>
      <c r="AS2" s="1054" t="s">
        <v>51</v>
      </c>
      <c r="AT2" s="1044" t="s">
        <v>269</v>
      </c>
      <c r="AU2" s="1045"/>
      <c r="AV2" s="1029" t="s">
        <v>132</v>
      </c>
      <c r="AW2" s="1030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2" t="s">
        <v>5</v>
      </c>
      <c r="C3" s="1033"/>
      <c r="D3" s="1034" t="s">
        <v>2</v>
      </c>
      <c r="E3" s="1035"/>
      <c r="F3" s="1036" t="s">
        <v>3</v>
      </c>
      <c r="G3" s="1037"/>
      <c r="H3" s="1036" t="s">
        <v>17</v>
      </c>
      <c r="I3" s="1037"/>
      <c r="J3" s="1038" t="s">
        <v>18</v>
      </c>
      <c r="K3" s="1039"/>
      <c r="L3" s="1040" t="s">
        <v>19</v>
      </c>
      <c r="M3" s="1041"/>
      <c r="N3" s="161" t="s">
        <v>272</v>
      </c>
      <c r="O3" s="1042" t="s">
        <v>20</v>
      </c>
      <c r="P3" s="1043"/>
      <c r="Q3" s="1042" t="s">
        <v>114</v>
      </c>
      <c r="R3" s="1043"/>
      <c r="S3" s="1060" t="s">
        <v>121</v>
      </c>
      <c r="T3" s="1061"/>
      <c r="U3" s="1060" t="s">
        <v>122</v>
      </c>
      <c r="V3" s="1061"/>
      <c r="W3" s="1066" t="s">
        <v>123</v>
      </c>
      <c r="X3" s="1067"/>
      <c r="Y3" s="1060" t="s">
        <v>13</v>
      </c>
      <c r="Z3" s="1061"/>
      <c r="AA3" s="1066" t="s">
        <v>12</v>
      </c>
      <c r="AB3" s="1067"/>
      <c r="AC3" s="1060" t="s">
        <v>124</v>
      </c>
      <c r="AD3" s="1061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3"/>
      <c r="AL3" s="1065"/>
      <c r="AM3" s="1065"/>
      <c r="AN3" s="1057"/>
      <c r="AO3" s="1047"/>
      <c r="AP3" s="1049"/>
      <c r="AQ3" s="1051"/>
      <c r="AR3" s="1053"/>
      <c r="AS3" s="1055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6253</v>
      </c>
      <c r="D5" s="512">
        <f>[3]Consp!$E$6</f>
        <v>0</v>
      </c>
      <c r="E5" s="511">
        <f>Elect!M6</f>
        <v>1984.0750000000116</v>
      </c>
      <c r="F5" s="512">
        <f>[3]Consp!G6</f>
        <v>20</v>
      </c>
      <c r="G5" s="511">
        <f>Elect!O6</f>
        <v>1576.7666666669538</v>
      </c>
      <c r="H5" s="512">
        <f>[3]Consp!I6</f>
        <v>800</v>
      </c>
      <c r="I5" s="511">
        <f>Water!C7</f>
        <v>119.93571428584691</v>
      </c>
      <c r="J5" s="512">
        <f>[4]Consp!$K$6</f>
        <v>0</v>
      </c>
      <c r="K5" s="511">
        <f>Water!E7</f>
        <v>0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162.98000000014136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94.528400000081987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1974.7800000000002</v>
      </c>
      <c r="AI5" s="516" t="e">
        <f>Gas!#REF!</f>
        <v>#REF!</v>
      </c>
      <c r="AJ5" s="517">
        <f>Gas!J7</f>
        <v>148.12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165</v>
      </c>
      <c r="AU5" s="511">
        <f>Elect!BI6</f>
        <v>61</v>
      </c>
      <c r="AV5" s="511" t="e">
        <f>Elect!#REF!</f>
        <v>#REF!</v>
      </c>
      <c r="AW5" s="511">
        <f>Elect!BK6</f>
        <v>165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1.0380891719754226</v>
      </c>
      <c r="BN5" s="528" t="e">
        <f>Water!W7</f>
        <v>#DIV/0!</v>
      </c>
      <c r="BO5" s="523">
        <f>Water!X7</f>
        <v>651.92000000056544</v>
      </c>
      <c r="BP5" s="528">
        <f>Water!Y7</f>
        <v>4.1523566879016904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6609</v>
      </c>
      <c r="D6" s="512">
        <f>[3]Consp!$E$6</f>
        <v>0</v>
      </c>
      <c r="E6" s="511">
        <f>Elect!M7</f>
        <v>2295</v>
      </c>
      <c r="F6" s="512">
        <f>[3]Consp!G7</f>
        <v>20</v>
      </c>
      <c r="G6" s="511">
        <f>Elect!O7</f>
        <v>1665</v>
      </c>
      <c r="H6" s="512">
        <f>[3]Consp!I7</f>
        <v>936</v>
      </c>
      <c r="I6" s="511">
        <f>Water!C8</f>
        <v>121.8</v>
      </c>
      <c r="J6" s="512">
        <f>[4]Consp!$K$6</f>
        <v>0</v>
      </c>
      <c r="K6" s="511">
        <f>Water!E8</f>
        <v>5.8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193.71999999999997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112.35759999999998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7769042</v>
      </c>
      <c r="AH6" s="515">
        <f>Gas!C8</f>
        <v>1227.48</v>
      </c>
      <c r="AI6" s="516" t="e">
        <f>Gas!#REF!</f>
        <v>#REF!</v>
      </c>
      <c r="AJ6" s="517">
        <f>Gas!J8</f>
        <v>161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198</v>
      </c>
      <c r="AU6" s="511">
        <f>Elect!BI7</f>
        <v>127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382861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1.0089583333333332</v>
      </c>
      <c r="BN6" s="528" t="e">
        <f>Water!W8</f>
        <v>#DIV/0!</v>
      </c>
      <c r="BO6" s="523">
        <f>Water!X8</f>
        <v>774.87999999999988</v>
      </c>
      <c r="BP6" s="528">
        <f>Water!Y8</f>
        <v>4.0358333333333327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7028</v>
      </c>
      <c r="D7" s="512">
        <f>[3]Consp!$E$6</f>
        <v>0</v>
      </c>
      <c r="E7" s="511">
        <f>Elect!M8</f>
        <v>2533</v>
      </c>
      <c r="F7" s="512">
        <f>[3]Consp!G8</f>
        <v>20</v>
      </c>
      <c r="G7" s="511">
        <f>Elect!O8</f>
        <v>1390</v>
      </c>
      <c r="H7" s="512">
        <f>[3]Consp!I8</f>
        <v>685</v>
      </c>
      <c r="I7" s="511">
        <f>Water!C9</f>
        <v>121.8</v>
      </c>
      <c r="J7" s="512">
        <f>[4]Consp!$K$6</f>
        <v>0</v>
      </c>
      <c r="K7" s="511">
        <f>Water!E9</f>
        <v>5.8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193.71999999999997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112.35759999999998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7771058</v>
      </c>
      <c r="AH7" s="515">
        <f>Gas!C9</f>
        <v>909.48</v>
      </c>
      <c r="AI7" s="516" t="e">
        <f>Gas!#REF!</f>
        <v>#REF!</v>
      </c>
      <c r="AJ7" s="517">
        <f>Gas!J9</f>
        <v>96.600000000000009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196</v>
      </c>
      <c r="AU7" s="511">
        <f>Elect!BI8</f>
        <v>128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383057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1.249806451612903</v>
      </c>
      <c r="BN7" s="528" t="e">
        <f>Water!W9</f>
        <v>#DIV/0!</v>
      </c>
      <c r="BO7" s="523">
        <f>Water!X9</f>
        <v>774.87999999999988</v>
      </c>
      <c r="BP7" s="528">
        <f>Water!Y9</f>
        <v>4.9992258064516122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7242</v>
      </c>
      <c r="D8" s="512">
        <f>[3]Consp!$E$6</f>
        <v>0</v>
      </c>
      <c r="E8" s="511">
        <f>Elect!M9</f>
        <v>2636</v>
      </c>
      <c r="F8" s="512">
        <f>[3]Consp!G9</f>
        <v>20</v>
      </c>
      <c r="G8" s="511">
        <f>Elect!O9</f>
        <v>3803</v>
      </c>
      <c r="H8" s="512">
        <f>[3]Consp!I9</f>
        <v>786</v>
      </c>
      <c r="I8" s="511">
        <f>Water!C10</f>
        <v>127.6</v>
      </c>
      <c r="J8" s="512">
        <f>[4]Consp!$K$6</f>
        <v>0</v>
      </c>
      <c r="K8" s="511">
        <f>Water!E10</f>
        <v>5.8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203.57999999999998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118.07639999999998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7772045</v>
      </c>
      <c r="AH8" s="515">
        <f>Gas!C10</f>
        <v>1046.22</v>
      </c>
      <c r="AI8" s="516" t="e">
        <f>Gas!#REF!</f>
        <v>#REF!</v>
      </c>
      <c r="AJ8" s="517">
        <f>Gas!J10</f>
        <v>123.97000000000001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222</v>
      </c>
      <c r="AU8" s="511">
        <f>Elect!BI9</f>
        <v>140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383279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1.2190419161676647</v>
      </c>
      <c r="BN8" s="528" t="e">
        <f>Water!W10</f>
        <v>#DIV/0!</v>
      </c>
      <c r="BO8" s="523">
        <f>Water!X10</f>
        <v>814.31999999999994</v>
      </c>
      <c r="BP8" s="528">
        <f>Water!Y10</f>
        <v>4.8761676646706587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6581</v>
      </c>
      <c r="D9" s="512">
        <f>[3]Consp!$E$6</f>
        <v>0</v>
      </c>
      <c r="E9" s="511">
        <f>Elect!M10</f>
        <v>2431</v>
      </c>
      <c r="F9" s="512">
        <f>[3]Consp!G10</f>
        <v>20</v>
      </c>
      <c r="G9" s="511">
        <f>Elect!O10</f>
        <v>1675</v>
      </c>
      <c r="H9" s="512">
        <f>[3]Consp!I10</f>
        <v>789</v>
      </c>
      <c r="I9" s="511">
        <f>Water!C11</f>
        <v>121.8</v>
      </c>
      <c r="J9" s="512">
        <f>[4]Consp!$K$6</f>
        <v>0</v>
      </c>
      <c r="K9" s="511">
        <f>Water!E11</f>
        <v>5.8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198.94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115.3852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7773164</v>
      </c>
      <c r="AH9" s="515">
        <f>Gas!C11</f>
        <v>1186.1400000000001</v>
      </c>
      <c r="AI9" s="516" t="e">
        <f>Gas!#REF!</f>
        <v>#REF!</v>
      </c>
      <c r="AJ9" s="517">
        <f>Gas!J11</f>
        <v>136.85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173</v>
      </c>
      <c r="AU9" s="511">
        <f>Elect!BI10</f>
        <v>114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383452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1.1052222222222221</v>
      </c>
      <c r="BN9" s="528" t="e">
        <f>Water!W11</f>
        <v>#DIV/0!</v>
      </c>
      <c r="BO9" s="523">
        <f>Water!X11</f>
        <v>795.76</v>
      </c>
      <c r="BP9" s="528">
        <f>Water!Y11</f>
        <v>4.4208888888888884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4353</v>
      </c>
      <c r="D10" s="512">
        <f>[3]Consp!$E$6</f>
        <v>0</v>
      </c>
      <c r="E10" s="511">
        <f>Elect!M11</f>
        <v>2132</v>
      </c>
      <c r="F10" s="512">
        <f>[3]Consp!G11</f>
        <v>20</v>
      </c>
      <c r="G10" s="511">
        <f>Elect!O11</f>
        <v>1807</v>
      </c>
      <c r="H10" s="512">
        <f>[3]Consp!I11</f>
        <v>805</v>
      </c>
      <c r="I10" s="511">
        <f>Water!C12</f>
        <v>98.6</v>
      </c>
      <c r="J10" s="512">
        <f>[4]Consp!$K$6</f>
        <v>0</v>
      </c>
      <c r="K10" s="511">
        <f>Water!E12</f>
        <v>0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182.7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105.96599999999998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7774637</v>
      </c>
      <c r="AH10" s="515">
        <f>Gas!C12</f>
        <v>1561.38</v>
      </c>
      <c r="AI10" s="516" t="e">
        <f>Gas!#REF!</f>
        <v>#REF!</v>
      </c>
      <c r="AJ10" s="517">
        <f>Gas!J12</f>
        <v>170.66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197</v>
      </c>
      <c r="AU10" s="511">
        <f>Elect!BI11</f>
        <v>111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383649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0.956544502617801</v>
      </c>
      <c r="BN10" s="528" t="e">
        <f>Water!W12</f>
        <v>#DIV/0!</v>
      </c>
      <c r="BO10" s="523">
        <f>Water!X12</f>
        <v>730.8</v>
      </c>
      <c r="BP10" s="528">
        <f>Water!Y12</f>
        <v>3.826178010471204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7000</v>
      </c>
      <c r="D11" s="512">
        <f>[3]Consp!$E$6</f>
        <v>0</v>
      </c>
      <c r="E11" s="511">
        <f>Elect!M12</f>
        <v>2284</v>
      </c>
      <c r="F11" s="512">
        <f>[3]Consp!G12</f>
        <v>20</v>
      </c>
      <c r="G11" s="511">
        <f>Elect!O12</f>
        <v>1320</v>
      </c>
      <c r="H11" s="512">
        <f>[3]Consp!I12</f>
        <v>871</v>
      </c>
      <c r="I11" s="511">
        <f>Water!C13</f>
        <v>168.2</v>
      </c>
      <c r="J11" s="512">
        <f>[4]Consp!$K$6</f>
        <v>0</v>
      </c>
      <c r="K11" s="511">
        <f>Water!E13</f>
        <v>0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234.89999999999998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136.24199999999999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7776089</v>
      </c>
      <c r="AH11" s="515">
        <f>Gas!C13</f>
        <v>1539.1200000000001</v>
      </c>
      <c r="AI11" s="516" t="e">
        <f>Gas!#REF!</f>
        <v>#REF!</v>
      </c>
      <c r="AJ11" s="517">
        <f>Gas!J13</f>
        <v>152.95000000000002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201</v>
      </c>
      <c r="AU11" s="511">
        <f>Elect!BI12</f>
        <v>147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383850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1.1863636363636363</v>
      </c>
      <c r="BN11" s="528" t="e">
        <f>Water!W13</f>
        <v>#DIV/0!</v>
      </c>
      <c r="BO11" s="523">
        <f>Water!X13</f>
        <v>939.59999999999991</v>
      </c>
      <c r="BP11" s="528">
        <f>Water!Y13</f>
        <v>4.7454545454545451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8879</v>
      </c>
      <c r="D12" s="512">
        <f>[3]Consp!$E$6</f>
        <v>0</v>
      </c>
      <c r="E12" s="511">
        <f>Elect!M13</f>
        <v>2822</v>
      </c>
      <c r="F12" s="512">
        <f>[3]Consp!G13</f>
        <v>20</v>
      </c>
      <c r="G12" s="511">
        <f>Elect!O13</f>
        <v>2873</v>
      </c>
      <c r="H12" s="512">
        <f>[3]Consp!I13</f>
        <v>963</v>
      </c>
      <c r="I12" s="511">
        <f>Water!C14</f>
        <v>139.19999999999999</v>
      </c>
      <c r="J12" s="512">
        <f>[4]Consp!$K$6</f>
        <v>0</v>
      </c>
      <c r="K12" s="511">
        <f>Water!E14</f>
        <v>5.8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230.83999999999997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133.88719999999998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7777736</v>
      </c>
      <c r="AH12" s="515">
        <f>Gas!C14</f>
        <v>1745.8200000000002</v>
      </c>
      <c r="AI12" s="516" t="e">
        <f>Gas!#REF!</f>
        <v>#REF!</v>
      </c>
      <c r="AJ12" s="517">
        <f>Gas!J14</f>
        <v>162.61000000000001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202</v>
      </c>
      <c r="AU12" s="511">
        <f>Elect!BI13</f>
        <v>134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384052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1.0837558685446009</v>
      </c>
      <c r="BN12" s="528" t="e">
        <f>Water!W14</f>
        <v>#DIV/0!</v>
      </c>
      <c r="BO12" s="523">
        <f>Water!X14</f>
        <v>923.3599999999999</v>
      </c>
      <c r="BP12" s="528">
        <f>Water!Y14</f>
        <v>4.3350234741784037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7269</v>
      </c>
      <c r="D13" s="512">
        <f>[3]Consp!$E$6</f>
        <v>0</v>
      </c>
      <c r="E13" s="511">
        <f>Elect!M14</f>
        <v>2931</v>
      </c>
      <c r="F13" s="512">
        <f>[3]Consp!G14</f>
        <v>20</v>
      </c>
      <c r="G13" s="511">
        <f>Elect!O14</f>
        <v>1832</v>
      </c>
      <c r="H13" s="512">
        <f>[3]Consp!I14</f>
        <v>790</v>
      </c>
      <c r="I13" s="511">
        <f>Water!C15</f>
        <v>121.8</v>
      </c>
      <c r="J13" s="512">
        <f>[4]Consp!$K$6</f>
        <v>0</v>
      </c>
      <c r="K13" s="511">
        <f>Water!E15</f>
        <v>0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175.74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101.92919999999999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7779253</v>
      </c>
      <c r="AH13" s="515">
        <f>Gas!C15</f>
        <v>1608.02</v>
      </c>
      <c r="AI13" s="516" t="e">
        <f>Gas!#REF!</f>
        <v>#REF!</v>
      </c>
      <c r="AJ13" s="517">
        <f>Gas!J15</f>
        <v>177.10000000000002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198</v>
      </c>
      <c r="AU13" s="511">
        <f>Elect!BI14</f>
        <v>135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384250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0.87870000000000004</v>
      </c>
      <c r="BN13" s="528" t="e">
        <f>Water!W15</f>
        <v>#DIV/0!</v>
      </c>
      <c r="BO13" s="523">
        <f>Water!X15</f>
        <v>702.96</v>
      </c>
      <c r="BP13" s="528">
        <f>Water!Y15</f>
        <v>3.5148000000000001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8899</v>
      </c>
      <c r="D14" s="512">
        <f>[3]Consp!$E$6</f>
        <v>0</v>
      </c>
      <c r="E14" s="511">
        <f>Elect!M15</f>
        <v>2973</v>
      </c>
      <c r="F14" s="512">
        <f>[3]Consp!G15</f>
        <v>20</v>
      </c>
      <c r="G14" s="511">
        <f>Elect!O15</f>
        <v>2575</v>
      </c>
      <c r="H14" s="512">
        <f>[3]Consp!I15</f>
        <v>792</v>
      </c>
      <c r="I14" s="511">
        <f>Water!C16</f>
        <v>127.6</v>
      </c>
      <c r="J14" s="512">
        <f>[4]Consp!$K$6</f>
        <v>0</v>
      </c>
      <c r="K14" s="511">
        <f>Water!E16</f>
        <v>5.8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197.78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114.71239999999999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7780941</v>
      </c>
      <c r="AH14" s="515">
        <f>Gas!C16</f>
        <v>1789.2800000000002</v>
      </c>
      <c r="AI14" s="516" t="e">
        <f>Gas!#REF!</f>
        <v>#REF!</v>
      </c>
      <c r="AJ14" s="517">
        <f>Gas!J16</f>
        <v>154.56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223</v>
      </c>
      <c r="AU14" s="511">
        <f>Elect!BI15</f>
        <v>148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384473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1.1986666666666668</v>
      </c>
      <c r="BN14" s="528" t="e">
        <f>Water!W16</f>
        <v>#DIV/0!</v>
      </c>
      <c r="BO14" s="523">
        <f>Water!X16</f>
        <v>791.12</v>
      </c>
      <c r="BP14" s="528">
        <f>Water!Y16</f>
        <v>4.7946666666666671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6060</v>
      </c>
      <c r="D15" s="512">
        <f>[3]Consp!$E$6</f>
        <v>0</v>
      </c>
      <c r="E15" s="511">
        <f>Elect!M16</f>
        <v>2902</v>
      </c>
      <c r="F15" s="512">
        <f>[3]Consp!G16</f>
        <v>20</v>
      </c>
      <c r="G15" s="511">
        <f>Elect!O16</f>
        <v>2561</v>
      </c>
      <c r="H15" s="512">
        <f>[3]Consp!I16</f>
        <v>817</v>
      </c>
      <c r="I15" s="511">
        <f>Water!C17</f>
        <v>145</v>
      </c>
      <c r="J15" s="512">
        <f>[4]Consp!$K$6</f>
        <v>0</v>
      </c>
      <c r="K15" s="511">
        <f>Water!E17</f>
        <v>5.8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219.24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127.1592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1668.44</v>
      </c>
      <c r="AI15" s="516" t="e">
        <f>Gas!#REF!</f>
        <v>#REF!</v>
      </c>
      <c r="AJ15" s="517">
        <f>Gas!J17</f>
        <v>151.34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148</v>
      </c>
      <c r="AU15" s="511">
        <f>Elect!BI16</f>
        <v>105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384621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1.0197209302325583</v>
      </c>
      <c r="BN15" s="528" t="e">
        <f>Water!W17</f>
        <v>#DIV/0!</v>
      </c>
      <c r="BO15" s="523">
        <f>Water!X17</f>
        <v>876.96</v>
      </c>
      <c r="BP15" s="528">
        <f>Water!Y17</f>
        <v>4.0788837209302331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7127</v>
      </c>
      <c r="D16" s="512">
        <f>[3]Consp!$E$6</f>
        <v>0</v>
      </c>
      <c r="E16" s="511">
        <f>Elect!M17</f>
        <v>2901</v>
      </c>
      <c r="F16" s="512">
        <f>[3]Consp!G17</f>
        <v>20</v>
      </c>
      <c r="G16" s="511">
        <f>Elect!O17</f>
        <v>2872</v>
      </c>
      <c r="H16" s="512">
        <f>[3]Consp!I17</f>
        <v>907</v>
      </c>
      <c r="I16" s="511">
        <f>Water!C18</f>
        <v>104.39999999999999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178.06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103.2748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7783864</v>
      </c>
      <c r="AH16" s="515">
        <f>Gas!C18</f>
        <v>1429.94</v>
      </c>
      <c r="AI16" s="516" t="e">
        <f>Gas!#REF!</f>
        <v>#REF!</v>
      </c>
      <c r="AJ16" s="517">
        <f>Gas!J18</f>
        <v>119.14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188</v>
      </c>
      <c r="AU16" s="511">
        <f>Elect!BI17</f>
        <v>121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384809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0.75449152542372877</v>
      </c>
      <c r="BN16" s="528" t="e">
        <f>Water!W18</f>
        <v>#DIV/0!</v>
      </c>
      <c r="BO16" s="523">
        <f>Water!X18</f>
        <v>712.24</v>
      </c>
      <c r="BP16" s="528">
        <f>Water!Y18</f>
        <v>3.0179661016949151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7174</v>
      </c>
      <c r="D17" s="512">
        <f>[3]Consp!$E$6</f>
        <v>0</v>
      </c>
      <c r="E17" s="511">
        <f>Elect!M18</f>
        <v>2593</v>
      </c>
      <c r="F17" s="512">
        <f>[3]Consp!G18</f>
        <v>20</v>
      </c>
      <c r="G17" s="511">
        <f>Elect!O18</f>
        <v>1958</v>
      </c>
      <c r="H17" s="512">
        <f>[3]Consp!I18</f>
        <v>812</v>
      </c>
      <c r="I17" s="511">
        <f>Water!C19</f>
        <v>179.79999999999998</v>
      </c>
      <c r="J17" s="512">
        <f>[4]Consp!$K$6</f>
        <v>0</v>
      </c>
      <c r="K17" s="511">
        <f>Water!E19</f>
        <v>5.8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255.77999999999997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148.35239999999996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7785383</v>
      </c>
      <c r="AH17" s="515">
        <f>Gas!C19</f>
        <v>1610.14</v>
      </c>
      <c r="AI17" s="516" t="e">
        <f>Gas!#REF!</f>
        <v>#REF!</v>
      </c>
      <c r="AJ17" s="517">
        <f>Gas!J19</f>
        <v>148.12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195</v>
      </c>
      <c r="AU17" s="511">
        <f>Elect!BI18</f>
        <v>132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385004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1.019043824701195</v>
      </c>
      <c r="BN17" s="528" t="e">
        <f>Water!W19</f>
        <v>#DIV/0!</v>
      </c>
      <c r="BO17" s="523">
        <f>Water!X19</f>
        <v>1023.1199999999999</v>
      </c>
      <c r="BP17" s="528">
        <f>Water!Y19</f>
        <v>4.0761752988047801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7352</v>
      </c>
      <c r="D18" s="512">
        <f>[3]Consp!$E$6</f>
        <v>0</v>
      </c>
      <c r="E18" s="511">
        <f>Elect!M19</f>
        <v>2339</v>
      </c>
      <c r="F18" s="512">
        <f>[3]Consp!G19</f>
        <v>30</v>
      </c>
      <c r="G18" s="511">
        <f>Elect!O19</f>
        <v>2933</v>
      </c>
      <c r="H18" s="512">
        <f>[3]Consp!I19</f>
        <v>810</v>
      </c>
      <c r="I18" s="511">
        <f>Water!C20</f>
        <v>162.39999999999998</v>
      </c>
      <c r="J18" s="512">
        <f>[4]Consp!$K$6</f>
        <v>0</v>
      </c>
      <c r="K18" s="511">
        <f>Water!E20</f>
        <v>5.8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243.01999999999998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140.95159999999998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7786669</v>
      </c>
      <c r="AH18" s="515">
        <f>Gas!C20</f>
        <v>1363.16</v>
      </c>
      <c r="AI18" s="516" t="e">
        <f>Gas!#REF!</f>
        <v>#REF!</v>
      </c>
      <c r="AJ18" s="517">
        <f>Gas!J20</f>
        <v>136.85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225</v>
      </c>
      <c r="AU18" s="511">
        <f>Elect!BI19</f>
        <v>148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382663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0.94929687499999993</v>
      </c>
      <c r="BN18" s="528" t="e">
        <f>Water!W20</f>
        <v>#DIV/0!</v>
      </c>
      <c r="BO18" s="523">
        <f>Water!X20</f>
        <v>972.07999999999993</v>
      </c>
      <c r="BP18" s="528">
        <f>Water!Y20</f>
        <v>3.7971874999999997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7233.333333298564</v>
      </c>
      <c r="D19" s="512">
        <f>[3]Consp!$E$6</f>
        <v>0</v>
      </c>
      <c r="E19" s="511">
        <f>Elect!M20</f>
        <v>2747</v>
      </c>
      <c r="F19" s="512">
        <f>[3]Consp!G20</f>
        <v>20</v>
      </c>
      <c r="G19" s="511">
        <f>Elect!O20</f>
        <v>2415</v>
      </c>
      <c r="H19" s="512">
        <f>[3]Consp!I20</f>
        <v>841</v>
      </c>
      <c r="I19" s="511">
        <f>Water!C21</f>
        <v>150.79999999999998</v>
      </c>
      <c r="J19" s="512">
        <f>[4]Consp!$K$6</f>
        <v>0</v>
      </c>
      <c r="K19" s="511">
        <f>Water!E21</f>
        <v>5.8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233.74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135.5692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7788232</v>
      </c>
      <c r="AH19" s="515">
        <f>Gas!C21</f>
        <v>1656.78</v>
      </c>
      <c r="AI19" s="516" t="e">
        <f>Gas!#REF!</f>
        <v>#REF!</v>
      </c>
      <c r="AJ19" s="517">
        <f>Gas!J21</f>
        <v>164.22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191.5</v>
      </c>
      <c r="AU19" s="511">
        <f>Elect!BI20</f>
        <v>137.33333333302289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385420.5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>
        <f>Water!U21</f>
        <v>1.0673059360730595</v>
      </c>
      <c r="BN19" s="528" t="e">
        <f>Water!W21</f>
        <v>#DIV/0!</v>
      </c>
      <c r="BO19" s="523">
        <f>Water!X21</f>
        <v>934.96</v>
      </c>
      <c r="BP19" s="528">
        <f>Water!Y21</f>
        <v>4.2692237442922378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7332.4761904999614</v>
      </c>
      <c r="D20" s="512">
        <f>[3]Consp!$E$6</f>
        <v>0</v>
      </c>
      <c r="E20" s="511">
        <f>Elect!M21</f>
        <v>1898</v>
      </c>
      <c r="F20" s="512">
        <f>[3]Consp!G21</f>
        <v>20</v>
      </c>
      <c r="G20" s="511">
        <f>Elect!O21</f>
        <v>2893</v>
      </c>
      <c r="H20" s="512">
        <f>[3]Consp!I21</f>
        <v>932</v>
      </c>
      <c r="I20" s="511">
        <f>Water!C22</f>
        <v>133.39999999999998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202.99999999999997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117.73999999999998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7789760</v>
      </c>
      <c r="AH20" s="515">
        <f>Gas!C22</f>
        <v>1619.68</v>
      </c>
      <c r="AI20" s="516" t="e">
        <f>Gas!#REF!</f>
        <v>#REF!</v>
      </c>
      <c r="AJ20" s="517">
        <f>Gas!J22</f>
        <v>154.56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160.5</v>
      </c>
      <c r="AU20" s="511">
        <f>Elect!BI21</f>
        <v>103.66666666697711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385581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>
        <f>Water!U22</f>
        <v>1.0357142857142856</v>
      </c>
      <c r="BN20" s="528" t="e">
        <f>Water!W22</f>
        <v>#DIV/0!</v>
      </c>
      <c r="BO20" s="523">
        <f>Water!X22</f>
        <v>811.99999999999989</v>
      </c>
      <c r="BP20" s="528">
        <f>Water!Y22</f>
        <v>4.1428571428571423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5348.1904762014747</v>
      </c>
      <c r="D21" s="512">
        <f>[3]Consp!$E$6</f>
        <v>0</v>
      </c>
      <c r="E21" s="511">
        <f>Elect!M22</f>
        <v>2644</v>
      </c>
      <c r="F21" s="512">
        <f>[3]Consp!G22</f>
        <v>20</v>
      </c>
      <c r="G21" s="511">
        <f>Elect!O22</f>
        <v>1854</v>
      </c>
      <c r="H21" s="512">
        <f>[3]Consp!I22</f>
        <v>972</v>
      </c>
      <c r="I21" s="511">
        <f>Water!C23</f>
        <v>145</v>
      </c>
      <c r="J21" s="512">
        <f>[4]Consp!$K$6</f>
        <v>0</v>
      </c>
      <c r="K21" s="511">
        <f>Water!E23</f>
        <v>5.8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226.78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131.5324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7791151.42857143</v>
      </c>
      <c r="AH21" s="515">
        <f>Gas!C23</f>
        <v>1474.9142857158372</v>
      </c>
      <c r="AI21" s="516" t="e">
        <f>Gas!#REF!</f>
        <v>#REF!</v>
      </c>
      <c r="AJ21" s="517">
        <f>Gas!J23</f>
        <v>138.46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200</v>
      </c>
      <c r="AU21" s="511">
        <f>Elect!BI22</f>
        <v>131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385781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>
        <f>Water!U23</f>
        <v>0.98599999999999999</v>
      </c>
      <c r="BN21" s="528" t="e">
        <f>Water!W23</f>
        <v>#DIV/0!</v>
      </c>
      <c r="BO21" s="523">
        <f>Water!X23</f>
        <v>907.12</v>
      </c>
      <c r="BP21" s="528">
        <f>Water!Y23</f>
        <v>3.944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8482</v>
      </c>
      <c r="D22" s="512">
        <f>[3]Consp!$E$6</f>
        <v>0</v>
      </c>
      <c r="E22" s="511">
        <f>Elect!M23</f>
        <v>2478</v>
      </c>
      <c r="F22" s="512">
        <f>[3]Consp!G23</f>
        <v>20</v>
      </c>
      <c r="G22" s="511">
        <f>Elect!O23</f>
        <v>2629</v>
      </c>
      <c r="H22" s="512">
        <f>[3]Consp!I23</f>
        <v>864</v>
      </c>
      <c r="I22" s="511">
        <f>Water!C24</f>
        <v>162.39999999999998</v>
      </c>
      <c r="J22" s="512">
        <f>[4]Consp!$K$6</f>
        <v>0</v>
      </c>
      <c r="K22" s="511">
        <f>Water!E24</f>
        <v>5.8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282.45999999999998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163.82679999999996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7792589.2448979598</v>
      </c>
      <c r="AH22" s="515">
        <f>Gas!C24</f>
        <v>1524.0853061215021</v>
      </c>
      <c r="AI22" s="516" t="e">
        <f>Gas!#REF!</f>
        <v>#REF!</v>
      </c>
      <c r="AJ22" s="517">
        <f>Gas!J24</f>
        <v>177.10000000000002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205</v>
      </c>
      <c r="AU22" s="511">
        <f>Elect!BI23</f>
        <v>135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385986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>
        <f>Water!U24</f>
        <v>1.2019574468085106</v>
      </c>
      <c r="BN22" s="528" t="e">
        <f>Water!W24</f>
        <v>#DIV/0!</v>
      </c>
      <c r="BO22" s="523">
        <f>Water!X24</f>
        <v>1129.8399999999999</v>
      </c>
      <c r="BP22" s="528">
        <f>Water!Y24</f>
        <v>4.8078297872340423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7427</v>
      </c>
      <c r="D23" s="512">
        <f>[3]Consp!$E$6</f>
        <v>0</v>
      </c>
      <c r="E23" s="511">
        <f>Elect!M24</f>
        <v>2686</v>
      </c>
      <c r="F23" s="512">
        <f>[3]Consp!G24</f>
        <v>30</v>
      </c>
      <c r="G23" s="511">
        <f>Elect!O24</f>
        <v>1844</v>
      </c>
      <c r="H23" s="512">
        <f>[3]Consp!I24</f>
        <v>894</v>
      </c>
      <c r="I23" s="511">
        <f>Water!C25</f>
        <v>127.6</v>
      </c>
      <c r="J23" s="512">
        <f>[4]Consp!$K$6</f>
        <v>0</v>
      </c>
      <c r="K23" s="511">
        <f>Water!E25</f>
        <v>5.8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190.24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110.33919999999999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7794064.7632653099</v>
      </c>
      <c r="AH23" s="515">
        <f>Gas!C25</f>
        <v>1564.0494693911076</v>
      </c>
      <c r="AI23" s="516" t="e">
        <f>Gas!#REF!</f>
        <v>#REF!</v>
      </c>
      <c r="AJ23" s="517">
        <f>Gas!J25</f>
        <v>149.08599999996252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204</v>
      </c>
      <c r="AU23" s="511">
        <f>Elect!BI24</f>
        <v>136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386190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>
        <f>Water!U25</f>
        <v>0.8726605504587156</v>
      </c>
      <c r="BN23" s="528" t="e">
        <f>Water!W25</f>
        <v>#DIV/0!</v>
      </c>
      <c r="BO23" s="523">
        <f>Water!X25</f>
        <v>760.96</v>
      </c>
      <c r="BP23" s="528">
        <f>Water!Y25</f>
        <v>3.4906422018348624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6722</v>
      </c>
      <c r="D24" s="512">
        <f>[3]Consp!$E$6</f>
        <v>0</v>
      </c>
      <c r="E24" s="511">
        <f>Elect!M25</f>
        <v>2875</v>
      </c>
      <c r="F24" s="512">
        <f>[3]Consp!G25</f>
        <v>20</v>
      </c>
      <c r="G24" s="511">
        <f>Elect!O25</f>
        <v>1961</v>
      </c>
      <c r="H24" s="512">
        <f>[3]Consp!I25</f>
        <v>944</v>
      </c>
      <c r="I24" s="511">
        <f>Water!C26</f>
        <v>133.39999999999998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191.97999999999996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111.34839999999997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7795555.2707482995</v>
      </c>
      <c r="AH24" s="515">
        <f>Gas!C26</f>
        <v>1579.9379319690727</v>
      </c>
      <c r="AI24" s="516" t="e">
        <f>Gas!#REF!</f>
        <v>#REF!</v>
      </c>
      <c r="AJ24" s="517">
        <f>Gas!J26</f>
        <v>154.36680000000752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194</v>
      </c>
      <c r="AU24" s="511">
        <f>Elect!BI25</f>
        <v>124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386384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>
        <f>Water!U26</f>
        <v>0.79330578512396677</v>
      </c>
      <c r="BN24" s="528" t="e">
        <f>Water!W26</f>
        <v>#DIV/0!</v>
      </c>
      <c r="BO24" s="523">
        <f>Water!X26</f>
        <v>767.91999999999985</v>
      </c>
      <c r="BP24" s="528">
        <f>Water!Y26</f>
        <v>3.1732231404958671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6166</v>
      </c>
      <c r="D25" s="512">
        <f>[3]Consp!$E$6</f>
        <v>0</v>
      </c>
      <c r="E25" s="511">
        <f>Elect!M26</f>
        <v>2607</v>
      </c>
      <c r="F25" s="512">
        <f>[3]Consp!G26</f>
        <v>20</v>
      </c>
      <c r="G25" s="511">
        <f>Elect!O26</f>
        <v>1800</v>
      </c>
      <c r="H25" s="512">
        <f>[3]Consp!I26</f>
        <v>916</v>
      </c>
      <c r="I25" s="511">
        <f>Water!C27</f>
        <v>162.39999999999998</v>
      </c>
      <c r="J25" s="512">
        <f>[4]Consp!$K$6</f>
        <v>0</v>
      </c>
      <c r="K25" s="511">
        <f>Water!E27</f>
        <v>5.8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266.79999999999995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154.74399999999997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7796784</v>
      </c>
      <c r="AH25" s="515">
        <f>Gas!C27</f>
        <v>1302.4530068024808</v>
      </c>
      <c r="AI25" s="516" t="e">
        <f>Gas!#REF!</f>
        <v>#REF!</v>
      </c>
      <c r="AJ25" s="517">
        <f>Gas!J27</f>
        <v>158.61720000003001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201</v>
      </c>
      <c r="AU25" s="511">
        <f>Elect!BI26</f>
        <v>116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386585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>
        <f>Water!U27</f>
        <v>1.0629482071713146</v>
      </c>
      <c r="BN25" s="528" t="e">
        <f>Water!W27</f>
        <v>#DIV/0!</v>
      </c>
      <c r="BO25" s="523">
        <f>Water!X27</f>
        <v>1067.1999999999998</v>
      </c>
      <c r="BP25" s="528">
        <f>Water!Y27</f>
        <v>4.2517928286852582</v>
      </c>
      <c r="BQ25" s="529" t="e">
        <f>Water!Z27</f>
        <v>#DIV/0!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7714</v>
      </c>
      <c r="D26" s="512">
        <f>[3]Consp!$E$6</f>
        <v>0</v>
      </c>
      <c r="E26" s="511">
        <f>Elect!M27</f>
        <v>2929</v>
      </c>
      <c r="F26" s="512">
        <f>[3]Consp!G27</f>
        <v>20</v>
      </c>
      <c r="G26" s="511">
        <f>Elect!O27</f>
        <v>2133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220</v>
      </c>
      <c r="AU26" s="511">
        <f>Elect!BI27</f>
        <v>133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386805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>
        <f>Water!U28</f>
        <v>0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7008</v>
      </c>
      <c r="D27" s="512">
        <f>[3]Consp!$E$6</f>
        <v>0</v>
      </c>
      <c r="E27" s="511">
        <f>Elect!M28</f>
        <v>2570</v>
      </c>
      <c r="F27" s="512">
        <f>[3]Consp!G28</f>
        <v>30</v>
      </c>
      <c r="G27" s="511">
        <f>Elect!O28</f>
        <v>1743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191</v>
      </c>
      <c r="AU27" s="511">
        <f>Elect!BI28</f>
        <v>121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386996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>
        <f>Water!U29</f>
        <v>0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2874.9357142858466</v>
      </c>
      <c r="J33" s="556">
        <f>[4]Consp!$K$6</f>
        <v>0</v>
      </c>
      <c r="K33" s="555">
        <f>Water!E39</f>
        <v>2.6193548387096768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4466.0000000001419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2590.2800000000811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31381.3</v>
      </c>
      <c r="AI33" s="560" t="e">
        <f>Gas!#REF!</f>
        <v>#REF!</v>
      </c>
      <c r="AJ33" s="561">
        <f>Gas!J38</f>
        <v>3136.2799999999997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0.92597968069669123</v>
      </c>
      <c r="BN33" s="572" t="e">
        <f>Water!W38</f>
        <v>#DIV/0!</v>
      </c>
      <c r="BO33" s="567">
        <f>Water!X38</f>
        <v>17864.000000000568</v>
      </c>
      <c r="BP33" s="572">
        <f>Water!Y38</f>
        <v>3.7039187227867649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92.73986175115634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144.06451612903683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83.557419354841329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1364.4043478260869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0.92597968069669112</v>
      </c>
      <c r="BN34" s="572" t="e">
        <f>Water!W39</f>
        <v>#DIV/0!</v>
      </c>
      <c r="BO34" s="567">
        <f>Water!X39</f>
        <v>576.25806451614733</v>
      </c>
      <c r="BP34" s="572">
        <f>Water!Y39</f>
        <v>3.7039187227867645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382498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68" t="s">
        <v>30</v>
      </c>
      <c r="B4" s="1068"/>
      <c r="C4" s="1068"/>
      <c r="D4" s="1068"/>
      <c r="E4" s="1068"/>
      <c r="F4" s="1068"/>
      <c r="G4" s="111" t="str">
        <f>Elect!A1</f>
        <v>February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69"/>
      <c r="B3" s="1071" t="str">
        <f>Elect!A1</f>
        <v>February</v>
      </c>
      <c r="C3" s="1072"/>
      <c r="D3" s="1072"/>
      <c r="E3" s="1073"/>
    </row>
    <row r="4" spans="1:5" ht="14.25" customHeight="1" thickBot="1">
      <c r="A4" s="1070"/>
      <c r="B4" s="1074" t="s">
        <v>9</v>
      </c>
      <c r="C4" s="1075"/>
      <c r="D4" s="1076" t="s">
        <v>68</v>
      </c>
      <c r="E4" s="1077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4466.0000000001419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256140.00000000015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17864.000000000568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1396474.7900000005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February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M54"/>
  <sheetViews>
    <sheetView view="pageBreakPreview" topLeftCell="B27" zoomScaleSheetLayoutView="100" workbookViewId="0">
      <selection activeCell="G23" sqref="G23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February</v>
      </c>
      <c r="I6" s="832"/>
      <c r="J6" s="832"/>
      <c r="K6" s="832"/>
    </row>
    <row r="9" spans="2:13" ht="13.5" customHeight="1">
      <c r="B9" s="1084" t="s">
        <v>332</v>
      </c>
      <c r="C9" s="1085"/>
      <c r="D9" s="1085"/>
      <c r="E9" s="1085"/>
      <c r="F9" s="1085"/>
      <c r="G9" s="1085"/>
      <c r="H9" s="1085"/>
      <c r="I9" s="1085"/>
      <c r="J9" s="1085"/>
      <c r="K9" s="1085"/>
      <c r="L9" s="1085"/>
      <c r="M9" s="1085"/>
    </row>
    <row r="10" spans="2:13" ht="13.5" customHeight="1" thickBot="1">
      <c r="B10" s="1091"/>
      <c r="C10" s="1092"/>
      <c r="D10" s="1092"/>
      <c r="E10" s="1092"/>
      <c r="F10" s="1092"/>
      <c r="G10" s="1092"/>
      <c r="H10" s="1092"/>
      <c r="I10" s="1092"/>
      <c r="J10" s="1092"/>
      <c r="K10" s="1092"/>
      <c r="L10" s="1092"/>
      <c r="M10" s="1092"/>
    </row>
    <row r="11" spans="2:13" ht="16.5" thickBot="1">
      <c r="B11" s="1099" t="s">
        <v>333</v>
      </c>
      <c r="C11" s="1099"/>
      <c r="D11" s="1099" t="s">
        <v>334</v>
      </c>
      <c r="E11" s="1099"/>
      <c r="F11" s="1099" t="s">
        <v>335</v>
      </c>
      <c r="G11" s="1099"/>
      <c r="H11" s="1097" t="s">
        <v>336</v>
      </c>
      <c r="I11" s="1098"/>
      <c r="J11" s="1097" t="s">
        <v>337</v>
      </c>
      <c r="K11" s="1098"/>
      <c r="L11" s="1097" t="s">
        <v>355</v>
      </c>
      <c r="M11" s="1098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102635.91333333297</v>
      </c>
      <c r="C13" s="838">
        <f>(B13*1.15)+(2879*60*0.72)</f>
        <v>242404.1003333329</v>
      </c>
      <c r="D13" s="837">
        <f>Elect!J37</f>
        <v>161259</v>
      </c>
      <c r="E13" s="838">
        <f>(D13*1.15)+(573*60)+10000</f>
        <v>229827.84999999998</v>
      </c>
      <c r="F13" s="837">
        <f>Elect!BC37</f>
        <v>313590.63416666217</v>
      </c>
      <c r="G13" s="838">
        <f>(F13*1.15)</f>
        <v>360629.22929166147</v>
      </c>
      <c r="H13" s="837">
        <f>Elect!Q37</f>
        <v>16361.999999999825</v>
      </c>
      <c r="I13" s="838">
        <f>H13*1.6+1500</f>
        <v>27679.199999999721</v>
      </c>
      <c r="J13" s="839">
        <f>B13+D13+F13+H13</f>
        <v>593847.54749999498</v>
      </c>
      <c r="K13" s="840">
        <f>G13+E13+C13+I13</f>
        <v>860540.37962499412</v>
      </c>
      <c r="L13" s="839">
        <f>B13+F13</f>
        <v>416226.54749999515</v>
      </c>
      <c r="M13" s="860">
        <f>C13+G13</f>
        <v>603033.32962499443</v>
      </c>
    </row>
    <row r="16" spans="2:13" ht="0.75" customHeight="1" thickBot="1">
      <c r="K16" s="833">
        <f>K18</f>
        <v>0</v>
      </c>
    </row>
    <row r="17" spans="4:11" ht="13.5" customHeight="1" thickBot="1">
      <c r="E17" s="1093" t="s">
        <v>340</v>
      </c>
      <c r="F17" s="1094"/>
      <c r="K17" s="840">
        <f>K13/J13</f>
        <v>1.4490930934172148</v>
      </c>
    </row>
    <row r="18" spans="4:11" ht="34.5" customHeight="1" thickBot="1">
      <c r="E18" s="1095"/>
      <c r="F18" s="1096"/>
    </row>
    <row r="19" spans="4:11" ht="13.5" thickBot="1">
      <c r="E19" s="841" t="s">
        <v>341</v>
      </c>
      <c r="F19" s="841" t="s">
        <v>339</v>
      </c>
    </row>
    <row r="20" spans="4:11" ht="13.5" thickBot="1">
      <c r="E20" s="1079">
        <f>Water!H38</f>
        <v>4466.0000000001419</v>
      </c>
      <c r="F20" s="1080">
        <f>E20*10</f>
        <v>44660.000000001419</v>
      </c>
    </row>
    <row r="21" spans="4:11" ht="13.5" thickBot="1">
      <c r="E21" s="1079"/>
      <c r="F21" s="1080"/>
    </row>
    <row r="23" spans="4:11" ht="13.5" thickBot="1"/>
    <row r="24" spans="4:11" ht="13.5" thickBot="1">
      <c r="E24" s="1078" t="s">
        <v>342</v>
      </c>
      <c r="F24" s="1078"/>
    </row>
    <row r="25" spans="4:11" ht="11.25" customHeight="1" thickBot="1">
      <c r="E25" s="1078"/>
      <c r="F25" s="1078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79">
        <f>Gas!C38</f>
        <v>31381.3</v>
      </c>
      <c r="F27" s="1080">
        <f>E27*3.8</f>
        <v>119248.93999999999</v>
      </c>
    </row>
    <row r="28" spans="4:11" ht="13.5" thickBot="1">
      <c r="E28" s="1079"/>
      <c r="F28" s="1080"/>
    </row>
    <row r="30" spans="4:11" ht="13.5" thickBot="1"/>
    <row r="31" spans="4:11" ht="20.25">
      <c r="D31" s="1081" t="s">
        <v>343</v>
      </c>
      <c r="E31" s="1082"/>
      <c r="F31" s="1082"/>
      <c r="G31" s="1083"/>
      <c r="H31" s="843"/>
      <c r="I31" s="843"/>
    </row>
    <row r="32" spans="4:11" ht="21" thickBot="1">
      <c r="D32" s="1084"/>
      <c r="E32" s="1085"/>
      <c r="F32" s="1085"/>
      <c r="G32" s="1086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207474</v>
      </c>
      <c r="E34" s="850">
        <f>Gas!D36</f>
        <v>0</v>
      </c>
      <c r="F34" s="913">
        <f>Gas!E38</f>
        <v>5990.5999999999995</v>
      </c>
      <c r="G34" s="842">
        <f>F34*3.8</f>
        <v>22764.279999999995</v>
      </c>
      <c r="H34" s="847"/>
      <c r="I34" s="847"/>
    </row>
    <row r="35" spans="3:9" ht="18.75" thickBot="1">
      <c r="D35" s="1090" t="s">
        <v>347</v>
      </c>
      <c r="E35" s="1090"/>
      <c r="F35" s="1090"/>
      <c r="G35" s="842">
        <f>G34</f>
        <v>22764.279999999995</v>
      </c>
      <c r="H35" s="849"/>
      <c r="I35" s="849"/>
    </row>
    <row r="37" spans="3:9" ht="13.5" thickBot="1"/>
    <row r="38" spans="3:9" ht="20.25">
      <c r="D38" s="1081" t="s">
        <v>348</v>
      </c>
      <c r="E38" s="1082"/>
      <c r="F38" s="1082"/>
      <c r="G38" s="1083"/>
      <c r="H38" s="843"/>
      <c r="I38" s="843"/>
    </row>
    <row r="39" spans="3:9" ht="21" thickBot="1">
      <c r="D39" s="1084"/>
      <c r="E39" s="1085"/>
      <c r="F39" s="1085"/>
      <c r="G39" s="1086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81036.399999999994</v>
      </c>
      <c r="E41" s="851">
        <f>Elect!V36</f>
        <v>0</v>
      </c>
      <c r="F41" s="852">
        <f>E41-D41</f>
        <v>-81036.399999999994</v>
      </c>
      <c r="G41" s="840">
        <f>F41*1.15</f>
        <v>-93191.859999999986</v>
      </c>
      <c r="H41" s="853"/>
      <c r="I41" s="853"/>
    </row>
    <row r="42" spans="3:9" ht="13.5" thickBot="1">
      <c r="C42" s="846" t="s">
        <v>361</v>
      </c>
      <c r="D42" s="851">
        <f>Elect!X5</f>
        <v>152631.41666666701</v>
      </c>
      <c r="E42" s="851">
        <f>Elect!X36</f>
        <v>0</v>
      </c>
      <c r="F42" s="852">
        <f>E42-D42</f>
        <v>-152631.41666666701</v>
      </c>
      <c r="G42" s="840">
        <f>F42*1.15</f>
        <v>-175526.12916666703</v>
      </c>
      <c r="H42" s="853"/>
      <c r="I42" s="853"/>
    </row>
    <row r="43" spans="3:9" ht="18.75" thickBot="1">
      <c r="D43" s="1087" t="s">
        <v>347</v>
      </c>
      <c r="E43" s="1088"/>
      <c r="F43" s="1089"/>
      <c r="G43" s="848">
        <f>G42+G41</f>
        <v>-268717.98916666699</v>
      </c>
      <c r="H43" s="849"/>
      <c r="I43" s="849"/>
    </row>
    <row r="44" spans="3:9">
      <c r="F44" s="854"/>
    </row>
    <row r="48" spans="3:9" ht="13.5" thickBot="1"/>
    <row r="49" spans="3:7">
      <c r="D49" s="1081" t="s">
        <v>378</v>
      </c>
      <c r="E49" s="1082"/>
      <c r="F49" s="1082"/>
      <c r="G49" s="1083"/>
    </row>
    <row r="50" spans="3:7" ht="13.5" thickBot="1">
      <c r="D50" s="1084"/>
      <c r="E50" s="1085"/>
      <c r="F50" s="1085"/>
      <c r="G50" s="1086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180</v>
      </c>
      <c r="E52" s="851">
        <f>Water!I37</f>
        <v>180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2300</v>
      </c>
      <c r="E53" s="851">
        <f>Water!K37</f>
        <v>2300</v>
      </c>
      <c r="F53" s="852">
        <f>E53-D53</f>
        <v>0</v>
      </c>
      <c r="G53" s="840">
        <f>F53*10</f>
        <v>0</v>
      </c>
    </row>
    <row r="54" spans="3:7" ht="18.75" thickBot="1">
      <c r="D54" s="1087" t="s">
        <v>347</v>
      </c>
      <c r="E54" s="1088"/>
      <c r="F54" s="1089"/>
      <c r="G54" s="848">
        <f>G52+G53</f>
        <v>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 Abdelmotaal</cp:lastModifiedBy>
  <cp:lastPrinted>2016-08-18T17:18:40Z</cp:lastPrinted>
  <dcterms:created xsi:type="dcterms:W3CDTF">2007-10-20T05:06:40Z</dcterms:created>
  <dcterms:modified xsi:type="dcterms:W3CDTF">2020-02-24T08:01:46Z</dcterms:modified>
</cp:coreProperties>
</file>