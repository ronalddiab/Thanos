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2" i="8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2" i="8"/>
  <c r="N78" i="10"/>
  <c r="G61" i="10"/>
  <c r="G60" i="10"/>
  <c r="G59" i="10"/>
  <c r="G58" i="10"/>
  <c r="G57" i="10"/>
  <c r="G56" i="10"/>
  <c r="G55" i="10"/>
  <c r="G54" i="10"/>
  <c r="G53" i="10"/>
  <c r="G51" i="10"/>
  <c r="G50" i="10"/>
  <c r="G49" i="10"/>
  <c r="G48" i="10"/>
  <c r="G47" i="10"/>
  <c r="G46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65" i="10"/>
  <c r="R21" i="1"/>
  <c r="O21" i="1"/>
  <c r="M21" i="1"/>
  <c r="L21" i="1"/>
  <c r="I21" i="1"/>
  <c r="J21" i="1"/>
  <c r="G21" i="1"/>
  <c r="F21" i="1"/>
  <c r="C21" i="1"/>
  <c r="S22" i="4"/>
  <c r="Q22" i="4"/>
  <c r="N20" i="8"/>
  <c r="O22" i="4"/>
  <c r="M22" i="4"/>
  <c r="L20" i="8"/>
  <c r="K22" i="4"/>
  <c r="H22" i="4"/>
  <c r="F22" i="4"/>
  <c r="I22" i="4"/>
  <c r="D22" i="4"/>
  <c r="H23" i="4"/>
  <c r="J21" i="8"/>
  <c r="J20" i="8"/>
  <c r="M20" i="8"/>
  <c r="W22" i="4"/>
  <c r="I22" i="3"/>
  <c r="G22" i="3"/>
  <c r="E22" i="3"/>
  <c r="F20" i="8"/>
  <c r="C22" i="3"/>
  <c r="E20" i="8"/>
  <c r="R22" i="2"/>
  <c r="Q22" i="2"/>
  <c r="O22" i="2"/>
  <c r="M22" i="2"/>
  <c r="K22" i="2"/>
  <c r="J22" i="2"/>
  <c r="I22" i="2"/>
  <c r="G22" i="2"/>
  <c r="E22" i="2"/>
  <c r="C22" i="2"/>
  <c r="D13" i="4"/>
  <c r="D14" i="4"/>
  <c r="Q12" i="8"/>
  <c r="O12" i="1"/>
  <c r="L11" i="1"/>
  <c r="L12" i="1"/>
  <c r="L13" i="1"/>
  <c r="V12" i="8"/>
  <c r="I12" i="1"/>
  <c r="J12" i="1"/>
  <c r="F14" i="1"/>
  <c r="S13" i="8"/>
  <c r="C12" i="1"/>
  <c r="C10" i="1"/>
  <c r="D10" i="1"/>
  <c r="S12" i="4"/>
  <c r="O10" i="8"/>
  <c r="Q12" i="4"/>
  <c r="O11" i="4"/>
  <c r="O10" i="4"/>
  <c r="M12" i="4"/>
  <c r="F12" i="4"/>
  <c r="F13" i="4"/>
  <c r="D11" i="4"/>
  <c r="Q11" i="8"/>
  <c r="G11" i="3"/>
  <c r="G9" i="8"/>
  <c r="E11" i="3"/>
  <c r="F9" i="8"/>
  <c r="C12" i="3"/>
  <c r="C13" i="3"/>
  <c r="E11" i="8"/>
  <c r="C14" i="3"/>
  <c r="R14" i="2"/>
  <c r="S14" i="2"/>
  <c r="Q10" i="2"/>
  <c r="O11" i="2"/>
  <c r="O12" i="2"/>
  <c r="O14" i="2"/>
  <c r="M12" i="2"/>
  <c r="M10" i="2"/>
  <c r="K11" i="2"/>
  <c r="K12" i="2"/>
  <c r="I14" i="2"/>
  <c r="G13" i="2"/>
  <c r="G11" i="2"/>
  <c r="E11" i="2"/>
  <c r="E12" i="2"/>
  <c r="C11" i="2"/>
  <c r="M95" i="10"/>
  <c r="M94" i="10"/>
  <c r="N15" i="10"/>
  <c r="N10" i="10"/>
  <c r="N3" i="10"/>
  <c r="D21" i="11"/>
  <c r="D20" i="11"/>
  <c r="D19" i="11"/>
  <c r="D18" i="11"/>
  <c r="D17" i="11"/>
  <c r="C6" i="3"/>
  <c r="AA3" i="4"/>
  <c r="Z3" i="4"/>
  <c r="X3" i="4"/>
  <c r="I3" i="4"/>
  <c r="J3" i="3"/>
  <c r="K3" i="3"/>
  <c r="F4" i="1"/>
  <c r="S3" i="8"/>
  <c r="F5" i="1"/>
  <c r="S4" i="8"/>
  <c r="F6" i="1"/>
  <c r="G6" i="1"/>
  <c r="F7" i="1"/>
  <c r="G7" i="1"/>
  <c r="S6" i="8"/>
  <c r="F8" i="1"/>
  <c r="F9" i="1"/>
  <c r="S8" i="8"/>
  <c r="F10" i="1"/>
  <c r="G10" i="1"/>
  <c r="S9" i="8"/>
  <c r="F11" i="1"/>
  <c r="S10" i="8"/>
  <c r="G11" i="1"/>
  <c r="R11" i="1"/>
  <c r="W10" i="8"/>
  <c r="O11" i="1"/>
  <c r="P11" i="1"/>
  <c r="I11" i="1"/>
  <c r="J11" i="1"/>
  <c r="T10" i="8"/>
  <c r="C11" i="1"/>
  <c r="D11" i="1"/>
  <c r="R10" i="1"/>
  <c r="S10" i="1"/>
  <c r="O10" i="1"/>
  <c r="U9" i="8"/>
  <c r="L10" i="1"/>
  <c r="V9" i="8"/>
  <c r="M10" i="1"/>
  <c r="I10" i="1"/>
  <c r="T9" i="8"/>
  <c r="R9" i="1"/>
  <c r="W8" i="8"/>
  <c r="S9" i="1"/>
  <c r="O9" i="1"/>
  <c r="P9" i="1"/>
  <c r="L9" i="1"/>
  <c r="V8" i="8"/>
  <c r="M9" i="1"/>
  <c r="I9" i="1"/>
  <c r="J9" i="1"/>
  <c r="C9" i="1"/>
  <c r="D9" i="1"/>
  <c r="R8" i="1"/>
  <c r="S8" i="1"/>
  <c r="O8" i="1"/>
  <c r="U7" i="8"/>
  <c r="P8" i="1"/>
  <c r="L8" i="1"/>
  <c r="M8" i="1"/>
  <c r="I8" i="1"/>
  <c r="J8" i="1"/>
  <c r="G8" i="1"/>
  <c r="C8" i="1"/>
  <c r="R7" i="8"/>
  <c r="R7" i="1"/>
  <c r="W6" i="8"/>
  <c r="O7" i="1"/>
  <c r="P7" i="1"/>
  <c r="L7" i="1"/>
  <c r="V6" i="8"/>
  <c r="I7" i="1"/>
  <c r="T6" i="8"/>
  <c r="C7" i="1"/>
  <c r="D7" i="1"/>
  <c r="R6" i="1"/>
  <c r="W5" i="8"/>
  <c r="S6" i="1"/>
  <c r="O6" i="1"/>
  <c r="P6" i="1"/>
  <c r="L6" i="1"/>
  <c r="M6" i="1"/>
  <c r="I6" i="1"/>
  <c r="T5" i="8"/>
  <c r="J6" i="1"/>
  <c r="C6" i="1"/>
  <c r="D6" i="1"/>
  <c r="R5" i="1"/>
  <c r="W4" i="8"/>
  <c r="O5" i="1"/>
  <c r="P5" i="1"/>
  <c r="L5" i="1"/>
  <c r="M5" i="1"/>
  <c r="I5" i="1"/>
  <c r="J5" i="1"/>
  <c r="C5" i="1"/>
  <c r="D5" i="1"/>
  <c r="R4" i="1"/>
  <c r="W3" i="8"/>
  <c r="O4" i="1"/>
  <c r="U3" i="8"/>
  <c r="L4" i="1"/>
  <c r="V3" i="8"/>
  <c r="I4" i="1"/>
  <c r="T3" i="8"/>
  <c r="C4" i="1"/>
  <c r="D4" i="1"/>
  <c r="R3" i="1"/>
  <c r="S3" i="1"/>
  <c r="O3" i="1"/>
  <c r="P3" i="1"/>
  <c r="L3" i="1"/>
  <c r="V2" i="8"/>
  <c r="I3" i="1"/>
  <c r="J3" i="1"/>
  <c r="T2" i="8"/>
  <c r="F3" i="1"/>
  <c r="S2" i="8"/>
  <c r="C3" i="1"/>
  <c r="C11" i="5"/>
  <c r="C10" i="5"/>
  <c r="C9" i="5"/>
  <c r="C8" i="5"/>
  <c r="C7" i="5"/>
  <c r="C6" i="5"/>
  <c r="C5" i="5"/>
  <c r="C4" i="5"/>
  <c r="W11" i="4"/>
  <c r="P9" i="8"/>
  <c r="S11" i="4"/>
  <c r="O9" i="8"/>
  <c r="M11" i="4"/>
  <c r="K11" i="4"/>
  <c r="K9" i="8"/>
  <c r="H11" i="4"/>
  <c r="J9" i="8"/>
  <c r="F11" i="4"/>
  <c r="I9" i="8"/>
  <c r="W10" i="4"/>
  <c r="P8" i="8"/>
  <c r="S10" i="4"/>
  <c r="O8" i="8"/>
  <c r="Q10" i="4"/>
  <c r="N8" i="8"/>
  <c r="M10" i="4"/>
  <c r="L8" i="8"/>
  <c r="K10" i="4"/>
  <c r="K8" i="8"/>
  <c r="H10" i="4"/>
  <c r="J8" i="8"/>
  <c r="F10" i="4"/>
  <c r="D10" i="4"/>
  <c r="Q8" i="8"/>
  <c r="W9" i="4"/>
  <c r="P7" i="8"/>
  <c r="S9" i="4"/>
  <c r="O7" i="8"/>
  <c r="Q9" i="4"/>
  <c r="N7" i="8"/>
  <c r="O9" i="4"/>
  <c r="M7" i="8"/>
  <c r="M9" i="4"/>
  <c r="L7" i="8"/>
  <c r="K9" i="4"/>
  <c r="K7" i="8"/>
  <c r="H9" i="4"/>
  <c r="J7" i="8"/>
  <c r="F9" i="4"/>
  <c r="I9" i="4"/>
  <c r="I7" i="8"/>
  <c r="D9" i="4"/>
  <c r="Q7" i="8"/>
  <c r="W8" i="4"/>
  <c r="P6" i="8"/>
  <c r="S8" i="4"/>
  <c r="O6" i="8"/>
  <c r="Q8" i="4"/>
  <c r="N6" i="8"/>
  <c r="O8" i="4"/>
  <c r="M6" i="8"/>
  <c r="M8" i="4"/>
  <c r="K8" i="4"/>
  <c r="K6" i="8"/>
  <c r="H8" i="4"/>
  <c r="J6" i="8"/>
  <c r="F8" i="4"/>
  <c r="I6" i="8"/>
  <c r="D8" i="4"/>
  <c r="Q6" i="8"/>
  <c r="W7" i="4"/>
  <c r="P5" i="8"/>
  <c r="S7" i="4"/>
  <c r="O5" i="8"/>
  <c r="Q7" i="4"/>
  <c r="N5" i="8"/>
  <c r="O7" i="4"/>
  <c r="M5" i="8"/>
  <c r="M7" i="4"/>
  <c r="L5" i="8"/>
  <c r="K7" i="4"/>
  <c r="K5" i="8"/>
  <c r="H7" i="4"/>
  <c r="F7" i="4"/>
  <c r="I5" i="8"/>
  <c r="D7" i="4"/>
  <c r="Q5" i="8"/>
  <c r="W6" i="4"/>
  <c r="P4" i="8"/>
  <c r="S6" i="4"/>
  <c r="O4" i="8"/>
  <c r="Q6" i="4"/>
  <c r="N4" i="8"/>
  <c r="O6" i="4"/>
  <c r="M4" i="8"/>
  <c r="M6" i="4"/>
  <c r="L4" i="8"/>
  <c r="K6" i="4"/>
  <c r="K4" i="8"/>
  <c r="H6" i="4"/>
  <c r="J4" i="8"/>
  <c r="F6" i="4"/>
  <c r="I4" i="8"/>
  <c r="D6" i="4"/>
  <c r="Q4" i="8"/>
  <c r="W5" i="4"/>
  <c r="P3" i="8"/>
  <c r="S5" i="4"/>
  <c r="O3" i="8"/>
  <c r="Q5" i="4"/>
  <c r="N3" i="8"/>
  <c r="O5" i="4"/>
  <c r="M3" i="8"/>
  <c r="M5" i="4"/>
  <c r="L3" i="8"/>
  <c r="K5" i="4"/>
  <c r="K3" i="8"/>
  <c r="H5" i="4"/>
  <c r="J3" i="8"/>
  <c r="F5" i="4"/>
  <c r="I3" i="8"/>
  <c r="D5" i="4"/>
  <c r="Q3" i="8"/>
  <c r="W4" i="4"/>
  <c r="P2" i="8"/>
  <c r="S4" i="4"/>
  <c r="O2" i="8"/>
  <c r="Q4" i="4"/>
  <c r="N2" i="8"/>
  <c r="O4" i="4"/>
  <c r="M2" i="8"/>
  <c r="M4" i="4"/>
  <c r="L2" i="8"/>
  <c r="K4" i="4"/>
  <c r="K2" i="8"/>
  <c r="H4" i="4"/>
  <c r="J2" i="8"/>
  <c r="F4" i="4"/>
  <c r="D4" i="4"/>
  <c r="C11" i="3"/>
  <c r="E9" i="8"/>
  <c r="I10" i="3"/>
  <c r="H8" i="8"/>
  <c r="G10" i="3"/>
  <c r="G8" i="8"/>
  <c r="E10" i="3"/>
  <c r="F8" i="8"/>
  <c r="C10" i="3"/>
  <c r="E8" i="8"/>
  <c r="I9" i="3"/>
  <c r="H7" i="8"/>
  <c r="G9" i="3"/>
  <c r="G7" i="8"/>
  <c r="E9" i="3"/>
  <c r="F7" i="8"/>
  <c r="C9" i="3"/>
  <c r="E7" i="8"/>
  <c r="I8" i="3"/>
  <c r="H6" i="8"/>
  <c r="G8" i="3"/>
  <c r="G6" i="8"/>
  <c r="E8" i="3"/>
  <c r="C8" i="3"/>
  <c r="E6" i="8"/>
  <c r="I7" i="3"/>
  <c r="H5" i="8"/>
  <c r="G7" i="3"/>
  <c r="G5" i="8"/>
  <c r="E7" i="3"/>
  <c r="F5" i="8"/>
  <c r="C7" i="3"/>
  <c r="E5" i="8"/>
  <c r="I6" i="3"/>
  <c r="H4" i="8"/>
  <c r="G6" i="3"/>
  <c r="G4" i="8"/>
  <c r="E6" i="3"/>
  <c r="F4" i="8"/>
  <c r="I5" i="3"/>
  <c r="H3" i="8"/>
  <c r="G5" i="3"/>
  <c r="G3" i="8"/>
  <c r="E5" i="3"/>
  <c r="F3" i="8"/>
  <c r="C5" i="3"/>
  <c r="E3" i="8"/>
  <c r="I4" i="3"/>
  <c r="H2" i="8"/>
  <c r="G4" i="3"/>
  <c r="G2" i="8"/>
  <c r="E4" i="3"/>
  <c r="C4" i="3"/>
  <c r="E2" i="8"/>
  <c r="S12" i="2"/>
  <c r="S11" i="2"/>
  <c r="Q11" i="2"/>
  <c r="M11" i="2"/>
  <c r="I11" i="2"/>
  <c r="S10" i="2"/>
  <c r="O10" i="2"/>
  <c r="K10" i="2"/>
  <c r="I10" i="2"/>
  <c r="E10" i="2"/>
  <c r="C10" i="2"/>
  <c r="S9" i="2"/>
  <c r="Q9" i="2"/>
  <c r="O9" i="2"/>
  <c r="M9" i="2"/>
  <c r="K9" i="2"/>
  <c r="I9" i="2"/>
  <c r="G9" i="2"/>
  <c r="E9" i="2"/>
  <c r="C9" i="2"/>
  <c r="S8" i="2"/>
  <c r="Q8" i="2"/>
  <c r="O8" i="2"/>
  <c r="M8" i="2"/>
  <c r="K8" i="2"/>
  <c r="I8" i="2"/>
  <c r="G8" i="2"/>
  <c r="E8" i="2"/>
  <c r="C8" i="2"/>
  <c r="S7" i="2"/>
  <c r="Q7" i="2"/>
  <c r="O7" i="2"/>
  <c r="M7" i="2"/>
  <c r="K7" i="2"/>
  <c r="I7" i="2"/>
  <c r="G7" i="2"/>
  <c r="E7" i="2"/>
  <c r="C7" i="2"/>
  <c r="S6" i="2"/>
  <c r="Q6" i="2"/>
  <c r="O6" i="2"/>
  <c r="M6" i="2"/>
  <c r="K6" i="2"/>
  <c r="I6" i="2"/>
  <c r="G6" i="2"/>
  <c r="E6" i="2"/>
  <c r="C6" i="2"/>
  <c r="S5" i="2"/>
  <c r="Q5" i="2"/>
  <c r="O5" i="2"/>
  <c r="M5" i="2"/>
  <c r="K5" i="2"/>
  <c r="I5" i="2"/>
  <c r="G5" i="2"/>
  <c r="E5" i="2"/>
  <c r="C5" i="2"/>
  <c r="S4" i="2"/>
  <c r="Q4" i="2"/>
  <c r="O4" i="2"/>
  <c r="M4" i="2"/>
  <c r="K4" i="2"/>
  <c r="I4" i="2"/>
  <c r="G4" i="2"/>
  <c r="E4" i="2"/>
  <c r="C4" i="2"/>
  <c r="M85" i="10"/>
  <c r="N40" i="10"/>
  <c r="N41" i="10"/>
  <c r="N42" i="10"/>
  <c r="N43" i="10"/>
  <c r="N44" i="10"/>
  <c r="N46" i="10"/>
  <c r="I26" i="11"/>
  <c r="I35" i="11"/>
  <c r="K35" i="11"/>
  <c r="C26" i="11"/>
  <c r="I32" i="11"/>
  <c r="I31" i="11"/>
  <c r="I30" i="11"/>
  <c r="I29" i="11"/>
  <c r="K29" i="11"/>
  <c r="C14" i="11"/>
  <c r="I25" i="11"/>
  <c r="I24" i="11"/>
  <c r="I23" i="11"/>
  <c r="I22" i="11"/>
  <c r="I21" i="11"/>
  <c r="I20" i="11"/>
  <c r="I19" i="11"/>
  <c r="K19" i="11"/>
  <c r="I18" i="11"/>
  <c r="I17" i="11"/>
  <c r="I12" i="11"/>
  <c r="I10" i="11"/>
  <c r="I9" i="11"/>
  <c r="K9" i="11"/>
  <c r="I8" i="11"/>
  <c r="I7" i="11"/>
  <c r="I6" i="11"/>
  <c r="I4" i="11"/>
  <c r="K4" i="11"/>
  <c r="K5" i="11"/>
  <c r="I3" i="11"/>
  <c r="K11" i="11"/>
  <c r="N95" i="10"/>
  <c r="N94" i="10"/>
  <c r="O93" i="10"/>
  <c r="N93" i="10"/>
  <c r="M93" i="10"/>
  <c r="O92" i="10"/>
  <c r="N92" i="10"/>
  <c r="M92" i="10"/>
  <c r="O91" i="10"/>
  <c r="N91" i="10"/>
  <c r="M91" i="10"/>
  <c r="O90" i="10"/>
  <c r="N90" i="10"/>
  <c r="M90" i="10"/>
  <c r="O89" i="10"/>
  <c r="N89" i="10"/>
  <c r="M89" i="10"/>
  <c r="O88" i="10"/>
  <c r="N88" i="10"/>
  <c r="M88" i="10"/>
  <c r="O87" i="10"/>
  <c r="N87" i="10"/>
  <c r="M87" i="10"/>
  <c r="O86" i="10"/>
  <c r="N86" i="10"/>
  <c r="M86" i="10"/>
  <c r="O85" i="10"/>
  <c r="N85" i="10"/>
  <c r="O84" i="10"/>
  <c r="N84" i="10"/>
  <c r="M84" i="10"/>
  <c r="O83" i="10"/>
  <c r="N83" i="10"/>
  <c r="M83" i="10"/>
  <c r="O82" i="10"/>
  <c r="N82" i="10"/>
  <c r="M82" i="10"/>
  <c r="O81" i="10"/>
  <c r="N81" i="10"/>
  <c r="M81" i="10"/>
  <c r="O80" i="10"/>
  <c r="N80" i="10"/>
  <c r="M80" i="10"/>
  <c r="O79" i="10"/>
  <c r="N79" i="10"/>
  <c r="M79" i="10"/>
  <c r="O78" i="10"/>
  <c r="M78" i="10"/>
  <c r="O77" i="10"/>
  <c r="N77" i="10"/>
  <c r="M77" i="10"/>
  <c r="O76" i="10"/>
  <c r="N76" i="10"/>
  <c r="M76" i="10"/>
  <c r="O75" i="10"/>
  <c r="N75" i="10"/>
  <c r="M75" i="10"/>
  <c r="O74" i="10"/>
  <c r="N74" i="10"/>
  <c r="M74" i="10"/>
  <c r="O73" i="10"/>
  <c r="N73" i="10"/>
  <c r="M73" i="10"/>
  <c r="O72" i="10"/>
  <c r="N72" i="10"/>
  <c r="M72" i="10"/>
  <c r="N61" i="10"/>
  <c r="N60" i="10"/>
  <c r="N59" i="10"/>
  <c r="N58" i="10"/>
  <c r="N57" i="10"/>
  <c r="N56" i="10"/>
  <c r="N55" i="10"/>
  <c r="N54" i="10"/>
  <c r="N53" i="10"/>
  <c r="N51" i="10"/>
  <c r="N50" i="10"/>
  <c r="N49" i="10"/>
  <c r="N48" i="10"/>
  <c r="N47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4" i="10"/>
  <c r="N13" i="10"/>
  <c r="N12" i="10"/>
  <c r="N11" i="10"/>
  <c r="N9" i="10"/>
  <c r="N8" i="10"/>
  <c r="N7" i="10"/>
  <c r="N6" i="10"/>
  <c r="N5" i="10"/>
  <c r="N4" i="10"/>
  <c r="S7" i="8"/>
  <c r="T8" i="8"/>
  <c r="X2" i="8"/>
  <c r="B3" i="8"/>
  <c r="X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E4" i="8"/>
  <c r="S5" i="8"/>
  <c r="Y3" i="4"/>
  <c r="F2" i="8"/>
  <c r="G5" i="1"/>
  <c r="V4" i="8"/>
  <c r="U4" i="8"/>
  <c r="V7" i="8"/>
  <c r="T4" i="8"/>
  <c r="R4" i="8"/>
  <c r="R5" i="8"/>
  <c r="I2" i="8"/>
  <c r="R6" i="8"/>
  <c r="M7" i="1"/>
  <c r="T7" i="8"/>
  <c r="L6" i="8"/>
  <c r="L9" i="8"/>
  <c r="S11" i="1"/>
  <c r="W9" i="8"/>
  <c r="F12" i="1"/>
  <c r="G12" i="1"/>
  <c r="R10" i="8"/>
  <c r="U8" i="8"/>
  <c r="P10" i="1"/>
  <c r="R8" i="8"/>
  <c r="D8" i="1"/>
  <c r="S7" i="1"/>
  <c r="S5" i="1"/>
  <c r="U5" i="8"/>
  <c r="V5" i="8"/>
  <c r="T6" i="1"/>
  <c r="U6" i="1"/>
  <c r="S4" i="1"/>
  <c r="J4" i="1"/>
  <c r="G4" i="1"/>
  <c r="M3" i="1"/>
  <c r="M4" i="1"/>
  <c r="W12" i="4"/>
  <c r="P10" i="8"/>
  <c r="Q11" i="4"/>
  <c r="N9" i="8"/>
  <c r="Z9" i="4"/>
  <c r="I7" i="4"/>
  <c r="J5" i="8"/>
  <c r="I5" i="4"/>
  <c r="Q2" i="8"/>
  <c r="J9" i="3"/>
  <c r="K9" i="3"/>
  <c r="J5" i="3"/>
  <c r="K5" i="3"/>
  <c r="G10" i="2"/>
  <c r="W7" i="8"/>
  <c r="P4" i="1"/>
  <c r="U2" i="8"/>
  <c r="U6" i="8"/>
  <c r="T5" i="1"/>
  <c r="U5" i="1"/>
  <c r="T7" i="1"/>
  <c r="U7" i="1"/>
  <c r="J7" i="1"/>
  <c r="J10" i="1"/>
  <c r="T8" i="1"/>
  <c r="U8" i="1"/>
  <c r="G9" i="1"/>
  <c r="T9" i="1"/>
  <c r="U9" i="1"/>
  <c r="R3" i="8"/>
  <c r="T4" i="1"/>
  <c r="U4" i="1"/>
  <c r="X9" i="4"/>
  <c r="Y9" i="4"/>
  <c r="Z10" i="4"/>
  <c r="AA10" i="4"/>
  <c r="Z7" i="4"/>
  <c r="X7" i="4"/>
  <c r="Z6" i="4"/>
  <c r="X6" i="4"/>
  <c r="Z5" i="4"/>
  <c r="X5" i="4"/>
  <c r="Y5" i="4"/>
  <c r="Z8" i="4"/>
  <c r="X8" i="4"/>
  <c r="M8" i="8"/>
  <c r="Z4" i="4"/>
  <c r="AA4" i="4"/>
  <c r="I4" i="4"/>
  <c r="I6" i="4"/>
  <c r="I8" i="4"/>
  <c r="J8" i="3"/>
  <c r="K8" i="3"/>
  <c r="J10" i="3"/>
  <c r="K10" i="3"/>
  <c r="J6" i="3"/>
  <c r="K6" i="3"/>
  <c r="F6" i="8"/>
  <c r="J7" i="3"/>
  <c r="K7" i="3"/>
  <c r="X4" i="4"/>
  <c r="W2" i="8"/>
  <c r="G3" i="1"/>
  <c r="T3" i="1"/>
  <c r="D3" i="1"/>
  <c r="R2" i="8"/>
  <c r="J4" i="3"/>
  <c r="Y8" i="4"/>
  <c r="Y7" i="4"/>
  <c r="Y6" i="4"/>
  <c r="AA6" i="4"/>
  <c r="AA5" i="4"/>
  <c r="AA8" i="4"/>
  <c r="AA9" i="4"/>
  <c r="AA7" i="4"/>
  <c r="Y4" i="4"/>
  <c r="U3" i="1"/>
  <c r="K4" i="3"/>
  <c r="W13" i="4"/>
  <c r="P11" i="8"/>
  <c r="H12" i="4"/>
  <c r="J10" i="8"/>
  <c r="S13" i="4"/>
  <c r="O11" i="8"/>
  <c r="S14" i="4"/>
  <c r="O12" i="8"/>
  <c r="N10" i="8"/>
  <c r="Q13" i="4"/>
  <c r="N11" i="8"/>
  <c r="M9" i="8"/>
  <c r="Z11" i="4"/>
  <c r="X11" i="4"/>
  <c r="O12" i="4"/>
  <c r="K12" i="4"/>
  <c r="K10" i="8"/>
  <c r="X10" i="4"/>
  <c r="I10" i="8"/>
  <c r="I10" i="4"/>
  <c r="I8" i="8"/>
  <c r="I11" i="4"/>
  <c r="Q9" i="8"/>
  <c r="D12" i="4"/>
  <c r="Q10" i="8"/>
  <c r="R13" i="1"/>
  <c r="R12" i="1"/>
  <c r="S12" i="1"/>
  <c r="V10" i="8"/>
  <c r="M11" i="1"/>
  <c r="I13" i="1"/>
  <c r="F13" i="1"/>
  <c r="G13" i="1"/>
  <c r="C13" i="1"/>
  <c r="R12" i="8"/>
  <c r="T10" i="1"/>
  <c r="R9" i="8"/>
  <c r="C13" i="5"/>
  <c r="C15" i="5"/>
  <c r="C12" i="5"/>
  <c r="I12" i="3"/>
  <c r="H10" i="8"/>
  <c r="I11" i="3"/>
  <c r="J11" i="3"/>
  <c r="K11" i="3"/>
  <c r="G12" i="3"/>
  <c r="G10" i="8"/>
  <c r="E12" i="3"/>
  <c r="F10" i="8"/>
  <c r="E10" i="8"/>
  <c r="S13" i="2"/>
  <c r="Q12" i="2"/>
  <c r="O13" i="2"/>
  <c r="M13" i="2"/>
  <c r="K13" i="2"/>
  <c r="I13" i="2"/>
  <c r="I12" i="2"/>
  <c r="G14" i="2"/>
  <c r="G12" i="2"/>
  <c r="E14" i="2"/>
  <c r="C13" i="2"/>
  <c r="C12" i="2"/>
  <c r="I12" i="4"/>
  <c r="Y10" i="4"/>
  <c r="Y11" i="4"/>
  <c r="AA11" i="4"/>
  <c r="W11" i="8"/>
  <c r="R14" i="1"/>
  <c r="W13" i="8"/>
  <c r="S12" i="8"/>
  <c r="U10" i="1"/>
  <c r="H9" i="8"/>
  <c r="E13" i="2"/>
  <c r="W12" i="8"/>
  <c r="S13" i="1"/>
  <c r="R16" i="1"/>
  <c r="R15" i="1"/>
  <c r="S15" i="1"/>
  <c r="U11" i="8"/>
  <c r="P12" i="1"/>
  <c r="U10" i="8"/>
  <c r="M13" i="1"/>
  <c r="M12" i="1"/>
  <c r="V11" i="8"/>
  <c r="T11" i="8"/>
  <c r="T12" i="8"/>
  <c r="T11" i="1"/>
  <c r="U11" i="1"/>
  <c r="D12" i="1"/>
  <c r="C14" i="1"/>
  <c r="Q15" i="4"/>
  <c r="N13" i="8"/>
  <c r="Q14" i="4"/>
  <c r="N12" i="8"/>
  <c r="K14" i="4"/>
  <c r="K12" i="8"/>
  <c r="K16" i="4"/>
  <c r="K13" i="4"/>
  <c r="K11" i="8"/>
  <c r="H13" i="4"/>
  <c r="J11" i="8"/>
  <c r="I14" i="3"/>
  <c r="H12" i="8"/>
  <c r="I13" i="3"/>
  <c r="H11" i="8"/>
  <c r="E13" i="3"/>
  <c r="F11" i="8"/>
  <c r="Q13" i="2"/>
  <c r="M14" i="2"/>
  <c r="C14" i="5"/>
  <c r="W14" i="4"/>
  <c r="P12" i="8"/>
  <c r="O14" i="4"/>
  <c r="M12" i="8"/>
  <c r="O15" i="4"/>
  <c r="M10" i="8"/>
  <c r="Z12" i="4"/>
  <c r="O13" i="4"/>
  <c r="X12" i="4"/>
  <c r="Y12" i="4"/>
  <c r="M14" i="4"/>
  <c r="L12" i="8"/>
  <c r="M15" i="4"/>
  <c r="L13" i="8"/>
  <c r="L10" i="8"/>
  <c r="M13" i="4"/>
  <c r="K17" i="4"/>
  <c r="H14" i="4"/>
  <c r="J12" i="8"/>
  <c r="I13" i="4"/>
  <c r="I11" i="8"/>
  <c r="G14" i="3"/>
  <c r="G12" i="8"/>
  <c r="G13" i="3"/>
  <c r="E14" i="3"/>
  <c r="F12" i="8"/>
  <c r="J12" i="3"/>
  <c r="K12" i="3"/>
  <c r="E12" i="8"/>
  <c r="K14" i="2"/>
  <c r="C14" i="2"/>
  <c r="K15" i="4"/>
  <c r="O13" i="1"/>
  <c r="L14" i="1"/>
  <c r="V13" i="8"/>
  <c r="M14" i="1"/>
  <c r="I16" i="1"/>
  <c r="J16" i="1"/>
  <c r="I14" i="1"/>
  <c r="R13" i="8"/>
  <c r="D14" i="1"/>
  <c r="F14" i="4"/>
  <c r="I14" i="4"/>
  <c r="D15" i="4"/>
  <c r="I15" i="3"/>
  <c r="H13" i="8"/>
  <c r="X14" i="4"/>
  <c r="W15" i="4"/>
  <c r="P13" i="8"/>
  <c r="M11" i="8"/>
  <c r="Z13" i="4"/>
  <c r="AA12" i="4"/>
  <c r="L11" i="8"/>
  <c r="X13" i="4"/>
  <c r="Y13" i="4"/>
  <c r="K13" i="8"/>
  <c r="H16" i="4"/>
  <c r="J14" i="8"/>
  <c r="H15" i="4"/>
  <c r="J13" i="8"/>
  <c r="G15" i="3"/>
  <c r="G13" i="8"/>
  <c r="J13" i="3"/>
  <c r="K13" i="3"/>
  <c r="G11" i="8"/>
  <c r="E15" i="3"/>
  <c r="F13" i="8"/>
  <c r="C16" i="3"/>
  <c r="C15" i="3"/>
  <c r="E13" i="8"/>
  <c r="K15" i="2"/>
  <c r="O15" i="1"/>
  <c r="O14" i="1"/>
  <c r="P14" i="1"/>
  <c r="U13" i="8"/>
  <c r="U12" i="8"/>
  <c r="P13" i="1"/>
  <c r="J14" i="1"/>
  <c r="T13" i="8"/>
  <c r="I15" i="1"/>
  <c r="J15" i="1"/>
  <c r="T14" i="8"/>
  <c r="I12" i="8"/>
  <c r="F15" i="4"/>
  <c r="I15" i="4"/>
  <c r="F16" i="4"/>
  <c r="Q13" i="8"/>
  <c r="D16" i="4"/>
  <c r="Q14" i="8"/>
  <c r="W16" i="4"/>
  <c r="P14" i="8"/>
  <c r="AA13" i="4"/>
  <c r="H19" i="4"/>
  <c r="J17" i="8"/>
  <c r="K16" i="2"/>
  <c r="O16" i="1"/>
  <c r="U15" i="8"/>
  <c r="I13" i="8"/>
  <c r="I16" i="3"/>
  <c r="H14" i="8"/>
  <c r="G16" i="3"/>
  <c r="G14" i="8"/>
  <c r="J14" i="3"/>
  <c r="K14" i="3"/>
  <c r="T12" i="1"/>
  <c r="U12" i="1"/>
  <c r="S11" i="8"/>
  <c r="R11" i="8"/>
  <c r="D13" i="1"/>
  <c r="L15" i="1"/>
  <c r="V14" i="8"/>
  <c r="L17" i="1"/>
  <c r="J13" i="1"/>
  <c r="T13" i="1"/>
  <c r="U13" i="1"/>
  <c r="F15" i="1"/>
  <c r="C17" i="5"/>
  <c r="C16" i="5"/>
  <c r="W17" i="4"/>
  <c r="P15" i="8"/>
  <c r="S16" i="4"/>
  <c r="O14" i="8"/>
  <c r="Z14" i="4"/>
  <c r="S15" i="4"/>
  <c r="O13" i="8"/>
  <c r="Q16" i="4"/>
  <c r="N14" i="8"/>
  <c r="M13" i="8"/>
  <c r="AA14" i="4"/>
  <c r="M16" i="4"/>
  <c r="L14" i="8"/>
  <c r="K15" i="8"/>
  <c r="Y14" i="4"/>
  <c r="H17" i="4"/>
  <c r="J15" i="8"/>
  <c r="C15" i="2"/>
  <c r="C16" i="2"/>
  <c r="F16" i="1"/>
  <c r="O16" i="4"/>
  <c r="O18" i="4"/>
  <c r="O17" i="4"/>
  <c r="M15" i="8"/>
  <c r="S18" i="4"/>
  <c r="O16" i="8"/>
  <c r="S17" i="4"/>
  <c r="O15" i="8"/>
  <c r="O19" i="4"/>
  <c r="H21" i="4"/>
  <c r="J19" i="8"/>
  <c r="H18" i="4"/>
  <c r="J16" i="8"/>
  <c r="W14" i="8"/>
  <c r="L16" i="1"/>
  <c r="S15" i="8"/>
  <c r="G16" i="1"/>
  <c r="F17" i="1"/>
  <c r="S16" i="8"/>
  <c r="G17" i="1"/>
  <c r="W15" i="8"/>
  <c r="S16" i="1"/>
  <c r="S14" i="1"/>
  <c r="P15" i="1"/>
  <c r="U14" i="8"/>
  <c r="P16" i="1"/>
  <c r="M15" i="1"/>
  <c r="T14" i="1"/>
  <c r="U14" i="1"/>
  <c r="G15" i="1"/>
  <c r="S14" i="8"/>
  <c r="G14" i="1"/>
  <c r="C15" i="1"/>
  <c r="C18" i="5"/>
  <c r="C21" i="5"/>
  <c r="Z15" i="4"/>
  <c r="AA15" i="4"/>
  <c r="Q17" i="4"/>
  <c r="Q18" i="4"/>
  <c r="Z16" i="4"/>
  <c r="AA16" i="4"/>
  <c r="M14" i="8"/>
  <c r="M18" i="4"/>
  <c r="L16" i="8"/>
  <c r="X15" i="4"/>
  <c r="Y15" i="4"/>
  <c r="M17" i="4"/>
  <c r="K18" i="4"/>
  <c r="K14" i="8"/>
  <c r="X16" i="4"/>
  <c r="I16" i="4"/>
  <c r="I14" i="8"/>
  <c r="D17" i="4"/>
  <c r="Q15" i="8"/>
  <c r="I17" i="3"/>
  <c r="J17" i="3"/>
  <c r="K17" i="3"/>
  <c r="H15" i="8"/>
  <c r="G17" i="3"/>
  <c r="E17" i="3"/>
  <c r="F15" i="8"/>
  <c r="E16" i="3"/>
  <c r="F14" i="8"/>
  <c r="E14" i="8"/>
  <c r="J15" i="3"/>
  <c r="C17" i="3"/>
  <c r="K17" i="2"/>
  <c r="S15" i="2"/>
  <c r="R16" i="2"/>
  <c r="Q15" i="2"/>
  <c r="Q14" i="2"/>
  <c r="M16" i="2"/>
  <c r="M15" i="2"/>
  <c r="J16" i="3"/>
  <c r="K16" i="3"/>
  <c r="S19" i="4"/>
  <c r="O17" i="8"/>
  <c r="H20" i="4"/>
  <c r="J18" i="8"/>
  <c r="O17" i="1"/>
  <c r="U16" i="8"/>
  <c r="V15" i="8"/>
  <c r="M16" i="1"/>
  <c r="F19" i="1"/>
  <c r="F18" i="1"/>
  <c r="G18" i="1"/>
  <c r="C16" i="1"/>
  <c r="R15" i="8"/>
  <c r="T15" i="1"/>
  <c r="R14" i="8"/>
  <c r="D15" i="1"/>
  <c r="N15" i="8"/>
  <c r="Q19" i="4"/>
  <c r="N17" i="8"/>
  <c r="L15" i="8"/>
  <c r="K16" i="8"/>
  <c r="Y16" i="4"/>
  <c r="K19" i="4"/>
  <c r="K17" i="8"/>
  <c r="F17" i="4"/>
  <c r="I15" i="8"/>
  <c r="D18" i="4"/>
  <c r="Q16" i="8"/>
  <c r="D19" i="4"/>
  <c r="Q17" i="8"/>
  <c r="G19" i="3"/>
  <c r="G17" i="8"/>
  <c r="G18" i="3"/>
  <c r="G16" i="8"/>
  <c r="K15" i="3"/>
  <c r="E15" i="8"/>
  <c r="S17" i="2"/>
  <c r="K18" i="2"/>
  <c r="S16" i="2"/>
  <c r="S18" i="2"/>
  <c r="Q16" i="2"/>
  <c r="O15" i="2"/>
  <c r="M17" i="2"/>
  <c r="I15" i="2"/>
  <c r="G15" i="2"/>
  <c r="E15" i="2"/>
  <c r="C17" i="2"/>
  <c r="P17" i="1"/>
  <c r="C17" i="1"/>
  <c r="D17" i="1"/>
  <c r="U15" i="1"/>
  <c r="D16" i="1"/>
  <c r="F18" i="4"/>
  <c r="I18" i="4"/>
  <c r="F19" i="4"/>
  <c r="G20" i="3"/>
  <c r="G18" i="8"/>
  <c r="Q17" i="2"/>
  <c r="Q18" i="2"/>
  <c r="O16" i="2"/>
  <c r="M18" i="2"/>
  <c r="I16" i="2"/>
  <c r="G16" i="2"/>
  <c r="E16" i="2"/>
  <c r="C19" i="2"/>
  <c r="C18" i="2"/>
  <c r="R16" i="8"/>
  <c r="G21" i="3"/>
  <c r="G19" i="8"/>
  <c r="Q19" i="2"/>
  <c r="O19" i="2"/>
  <c r="O17" i="2"/>
  <c r="M19" i="2"/>
  <c r="M20" i="2"/>
  <c r="I17" i="2"/>
  <c r="G17" i="2"/>
  <c r="E17" i="2"/>
  <c r="I18" i="2"/>
  <c r="G21" i="2"/>
  <c r="G18" i="2"/>
  <c r="E19" i="2"/>
  <c r="E18" i="2"/>
  <c r="G19" i="2"/>
  <c r="S17" i="8"/>
  <c r="C18" i="1"/>
  <c r="R18" i="1"/>
  <c r="W17" i="8"/>
  <c r="R17" i="1"/>
  <c r="O19" i="1"/>
  <c r="U18" i="8"/>
  <c r="O18" i="1"/>
  <c r="M17" i="1"/>
  <c r="V16" i="8"/>
  <c r="L19" i="1"/>
  <c r="M19" i="1"/>
  <c r="L20" i="1"/>
  <c r="L18" i="1"/>
  <c r="I18" i="1"/>
  <c r="J18" i="1"/>
  <c r="I19" i="1"/>
  <c r="I17" i="1"/>
  <c r="T15" i="8"/>
  <c r="F20" i="1"/>
  <c r="T16" i="1"/>
  <c r="U16" i="1"/>
  <c r="I16" i="8"/>
  <c r="W19" i="4"/>
  <c r="P17" i="8"/>
  <c r="W18" i="4"/>
  <c r="X18" i="4"/>
  <c r="Y18" i="4"/>
  <c r="S21" i="4"/>
  <c r="O19" i="8"/>
  <c r="S20" i="4"/>
  <c r="O18" i="8"/>
  <c r="N16" i="8"/>
  <c r="M16" i="8"/>
  <c r="M17" i="8"/>
  <c r="X17" i="4"/>
  <c r="Z17" i="4"/>
  <c r="M19" i="4"/>
  <c r="L17" i="8"/>
  <c r="K20" i="4"/>
  <c r="K18" i="8"/>
  <c r="I17" i="4"/>
  <c r="I19" i="4"/>
  <c r="I17" i="8"/>
  <c r="I19" i="3"/>
  <c r="H17" i="8"/>
  <c r="I18" i="3"/>
  <c r="G15" i="8"/>
  <c r="E19" i="3"/>
  <c r="F17" i="8"/>
  <c r="E18" i="3"/>
  <c r="C19" i="3"/>
  <c r="J19" i="3"/>
  <c r="C20" i="3"/>
  <c r="C18" i="3"/>
  <c r="S19" i="2"/>
  <c r="O18" i="2"/>
  <c r="K20" i="2"/>
  <c r="K19" i="2"/>
  <c r="I21" i="2"/>
  <c r="I19" i="2"/>
  <c r="R17" i="8"/>
  <c r="D18" i="1"/>
  <c r="S17" i="1"/>
  <c r="W16" i="8"/>
  <c r="V17" i="8"/>
  <c r="M18" i="1"/>
  <c r="T16" i="8"/>
  <c r="J17" i="1"/>
  <c r="T17" i="1"/>
  <c r="U17" i="1"/>
  <c r="T17" i="8"/>
  <c r="Z18" i="4"/>
  <c r="W21" i="4"/>
  <c r="P19" i="8"/>
  <c r="W20" i="4"/>
  <c r="P18" i="8"/>
  <c r="P16" i="8"/>
  <c r="Y17" i="4"/>
  <c r="Q20" i="4"/>
  <c r="AA18" i="4"/>
  <c r="AA17" i="4"/>
  <c r="F20" i="4"/>
  <c r="I18" i="8"/>
  <c r="H16" i="8"/>
  <c r="F16" i="8"/>
  <c r="E20" i="3"/>
  <c r="F18" i="8"/>
  <c r="J18" i="3"/>
  <c r="E16" i="8"/>
  <c r="C21" i="3"/>
  <c r="R21" i="2"/>
  <c r="S21" i="2"/>
  <c r="S20" i="2"/>
  <c r="I20" i="2"/>
  <c r="I20" i="1"/>
  <c r="T19" i="8"/>
  <c r="N18" i="8"/>
  <c r="E21" i="3"/>
  <c r="F19" i="8"/>
  <c r="K18" i="3"/>
  <c r="C20" i="5"/>
  <c r="C19" i="5"/>
  <c r="G20" i="2"/>
  <c r="C20" i="2"/>
  <c r="D20" i="4"/>
  <c r="C23" i="5"/>
  <c r="Q20" i="2"/>
  <c r="Q21" i="2"/>
  <c r="K21" i="2"/>
  <c r="E20" i="2"/>
  <c r="E21" i="2"/>
  <c r="D21" i="4"/>
  <c r="Q19" i="8"/>
  <c r="C22" i="5"/>
  <c r="I24" i="2"/>
  <c r="I25" i="2"/>
  <c r="I23" i="2"/>
  <c r="V18" i="8"/>
  <c r="R19" i="1"/>
  <c r="R20" i="1"/>
  <c r="S18" i="1"/>
  <c r="O20" i="1"/>
  <c r="P18" i="1"/>
  <c r="P19" i="1"/>
  <c r="U17" i="8"/>
  <c r="V19" i="8"/>
  <c r="M20" i="1"/>
  <c r="I22" i="1"/>
  <c r="J22" i="1"/>
  <c r="J19" i="1"/>
  <c r="T18" i="8"/>
  <c r="J20" i="1"/>
  <c r="T18" i="1"/>
  <c r="U18" i="1"/>
  <c r="S19" i="8"/>
  <c r="G20" i="1"/>
  <c r="G19" i="1"/>
  <c r="S18" i="8"/>
  <c r="C20" i="1"/>
  <c r="C19" i="1"/>
  <c r="Z19" i="4"/>
  <c r="Q21" i="4"/>
  <c r="N19" i="8"/>
  <c r="O21" i="4"/>
  <c r="Z21" i="4"/>
  <c r="AA19" i="4"/>
  <c r="O20" i="4"/>
  <c r="X19" i="4"/>
  <c r="Y19" i="4"/>
  <c r="M21" i="4"/>
  <c r="L19" i="8"/>
  <c r="M20" i="4"/>
  <c r="K21" i="4"/>
  <c r="I20" i="4"/>
  <c r="F21" i="4"/>
  <c r="Q18" i="8"/>
  <c r="D23" i="4"/>
  <c r="Q21" i="8"/>
  <c r="I21" i="3"/>
  <c r="H19" i="8"/>
  <c r="I20" i="3"/>
  <c r="J20" i="3"/>
  <c r="K20" i="3"/>
  <c r="J21" i="3"/>
  <c r="K21" i="3"/>
  <c r="E19" i="8"/>
  <c r="E18" i="8"/>
  <c r="K19" i="3"/>
  <c r="E17" i="8"/>
  <c r="R23" i="2"/>
  <c r="S23" i="2"/>
  <c r="G23" i="2"/>
  <c r="R24" i="2"/>
  <c r="S22" i="2"/>
  <c r="O21" i="2"/>
  <c r="O20" i="2"/>
  <c r="M21" i="2"/>
  <c r="J23" i="2"/>
  <c r="J24" i="2"/>
  <c r="E25" i="2"/>
  <c r="E23" i="2"/>
  <c r="W18" i="8"/>
  <c r="S19" i="1"/>
  <c r="W19" i="8"/>
  <c r="S20" i="1"/>
  <c r="U19" i="8"/>
  <c r="P20" i="1"/>
  <c r="V20" i="8"/>
  <c r="T20" i="8"/>
  <c r="I23" i="1"/>
  <c r="T22" i="8"/>
  <c r="F22" i="1"/>
  <c r="D19" i="1"/>
  <c r="T19" i="1"/>
  <c r="R18" i="8"/>
  <c r="C22" i="1"/>
  <c r="R21" i="8"/>
  <c r="D20" i="1"/>
  <c r="T20" i="1"/>
  <c r="U20" i="1"/>
  <c r="R19" i="8"/>
  <c r="Q20" i="8"/>
  <c r="O20" i="8"/>
  <c r="O23" i="4"/>
  <c r="M18" i="8"/>
  <c r="Z20" i="4"/>
  <c r="M19" i="8"/>
  <c r="L18" i="8"/>
  <c r="X20" i="4"/>
  <c r="Y20" i="4"/>
  <c r="K19" i="8"/>
  <c r="I21" i="4"/>
  <c r="I19" i="8"/>
  <c r="F23" i="4"/>
  <c r="D24" i="4"/>
  <c r="Q22" i="8"/>
  <c r="G23" i="3"/>
  <c r="G21" i="8"/>
  <c r="G20" i="8"/>
  <c r="H20" i="8"/>
  <c r="I23" i="3"/>
  <c r="H21" i="8"/>
  <c r="H18" i="8"/>
  <c r="S24" i="2"/>
  <c r="R25" i="2"/>
  <c r="M23" i="2"/>
  <c r="M24" i="2"/>
  <c r="C21" i="2"/>
  <c r="W20" i="8"/>
  <c r="S21" i="1"/>
  <c r="R22" i="1"/>
  <c r="S22" i="1"/>
  <c r="R23" i="1"/>
  <c r="S23" i="1"/>
  <c r="W22" i="8"/>
  <c r="U20" i="8"/>
  <c r="O22" i="1"/>
  <c r="U21" i="8"/>
  <c r="O24" i="1"/>
  <c r="T21" i="8"/>
  <c r="S20" i="8"/>
  <c r="U19" i="1"/>
  <c r="AA20" i="4"/>
  <c r="I21" i="8"/>
  <c r="G24" i="3"/>
  <c r="G22" i="8"/>
  <c r="J22" i="3"/>
  <c r="K22" i="3"/>
  <c r="S25" i="2"/>
  <c r="Q23" i="2"/>
  <c r="O23" i="2"/>
  <c r="O25" i="2"/>
  <c r="I24" i="3"/>
  <c r="H22" i="8"/>
  <c r="I26" i="3"/>
  <c r="Q25" i="2"/>
  <c r="Q24" i="2"/>
  <c r="C23" i="2"/>
  <c r="W21" i="8"/>
  <c r="O23" i="1"/>
  <c r="T23" i="1"/>
  <c r="U23" i="1"/>
  <c r="J23" i="1"/>
  <c r="Q26" i="2"/>
  <c r="O24" i="2"/>
  <c r="C24" i="2"/>
  <c r="G22" i="1"/>
  <c r="S21" i="8"/>
  <c r="L22" i="1"/>
  <c r="D21" i="1"/>
  <c r="P22" i="1"/>
  <c r="T21" i="1"/>
  <c r="P21" i="1"/>
  <c r="D22" i="1"/>
  <c r="R20" i="8"/>
  <c r="D25" i="4"/>
  <c r="Q23" i="8"/>
  <c r="W24" i="4"/>
  <c r="P22" i="8"/>
  <c r="X22" i="4"/>
  <c r="Y22" i="4"/>
  <c r="P20" i="8"/>
  <c r="Z22" i="4"/>
  <c r="K24" i="4"/>
  <c r="K22" i="8"/>
  <c r="K23" i="4"/>
  <c r="K21" i="8"/>
  <c r="W23" i="4"/>
  <c r="P21" i="8"/>
  <c r="I20" i="8"/>
  <c r="Q23" i="4"/>
  <c r="S23" i="4"/>
  <c r="O21" i="8"/>
  <c r="K20" i="8"/>
  <c r="I23" i="4"/>
  <c r="M21" i="8"/>
  <c r="N21" i="8"/>
  <c r="F24" i="4"/>
  <c r="I22" i="8"/>
  <c r="C23" i="3"/>
  <c r="E23" i="3"/>
  <c r="I25" i="3"/>
  <c r="H23" i="8"/>
  <c r="E26" i="2"/>
  <c r="G24" i="2"/>
  <c r="S26" i="2"/>
  <c r="R27" i="2"/>
  <c r="K24" i="2"/>
  <c r="J25" i="2"/>
  <c r="M25" i="2"/>
  <c r="E24" i="2"/>
  <c r="K23" i="2"/>
  <c r="AA21" i="4"/>
  <c r="AA22" i="4"/>
  <c r="X21" i="4"/>
  <c r="R24" i="1"/>
  <c r="U22" i="8"/>
  <c r="O24" i="4"/>
  <c r="M22" i="8"/>
  <c r="O25" i="4"/>
  <c r="M23" i="8"/>
  <c r="O26" i="4"/>
  <c r="M24" i="8"/>
  <c r="G25" i="3"/>
  <c r="G23" i="8"/>
  <c r="F23" i="1"/>
  <c r="G23" i="1"/>
  <c r="M22" i="1"/>
  <c r="V21" i="8"/>
  <c r="I25" i="1"/>
  <c r="T24" i="8"/>
  <c r="I24" i="1"/>
  <c r="U21" i="1"/>
  <c r="T22" i="1"/>
  <c r="U22" i="1"/>
  <c r="C23" i="1"/>
  <c r="R22" i="8"/>
  <c r="L24" i="1"/>
  <c r="L23" i="1"/>
  <c r="C24" i="5"/>
  <c r="D26" i="4"/>
  <c r="Q24" i="8"/>
  <c r="Z23" i="4"/>
  <c r="AA23" i="4"/>
  <c r="K26" i="4"/>
  <c r="K24" i="8"/>
  <c r="K25" i="4"/>
  <c r="K23" i="8"/>
  <c r="Q24" i="4"/>
  <c r="F25" i="4"/>
  <c r="I23" i="8"/>
  <c r="H24" i="4"/>
  <c r="I24" i="4"/>
  <c r="M23" i="4"/>
  <c r="S24" i="4"/>
  <c r="O22" i="8"/>
  <c r="E21" i="8"/>
  <c r="J23" i="3"/>
  <c r="C24" i="3"/>
  <c r="E24" i="3"/>
  <c r="F22" i="8"/>
  <c r="F21" i="8"/>
  <c r="S27" i="2"/>
  <c r="R28" i="2"/>
  <c r="S28" i="2"/>
  <c r="K25" i="2"/>
  <c r="G25" i="2"/>
  <c r="Y21" i="4"/>
  <c r="W23" i="8"/>
  <c r="O27" i="4"/>
  <c r="O28" i="4"/>
  <c r="M26" i="8"/>
  <c r="C25" i="1"/>
  <c r="D25" i="1"/>
  <c r="C24" i="1"/>
  <c r="D23" i="1"/>
  <c r="F24" i="1"/>
  <c r="G24" i="1"/>
  <c r="F25" i="1"/>
  <c r="G25" i="1"/>
  <c r="V22" i="8"/>
  <c r="M23" i="1"/>
  <c r="J24" i="1"/>
  <c r="T23" i="8"/>
  <c r="S22" i="8"/>
  <c r="C26" i="5"/>
  <c r="C25" i="5"/>
  <c r="M24" i="4"/>
  <c r="L22" i="8"/>
  <c r="H25" i="4"/>
  <c r="J23" i="8"/>
  <c r="N22" i="8"/>
  <c r="K29" i="4"/>
  <c r="Q25" i="4"/>
  <c r="N23" i="8"/>
  <c r="L21" i="8"/>
  <c r="X23" i="4"/>
  <c r="Y23" i="4"/>
  <c r="E25" i="3"/>
  <c r="F23" i="8"/>
  <c r="C26" i="3"/>
  <c r="C25" i="3"/>
  <c r="K23" i="3"/>
  <c r="E22" i="8"/>
  <c r="G26" i="2"/>
  <c r="K26" i="2"/>
  <c r="D24" i="1"/>
  <c r="R23" i="8"/>
  <c r="M25" i="4"/>
  <c r="L23" i="8"/>
  <c r="E26" i="3"/>
  <c r="F24" i="8"/>
  <c r="K27" i="2"/>
  <c r="K28" i="2"/>
  <c r="M28" i="4"/>
  <c r="M26" i="4"/>
  <c r="L24" i="8"/>
  <c r="E27" i="3"/>
  <c r="F25" i="8"/>
  <c r="M27" i="4"/>
  <c r="L25" i="8"/>
  <c r="F26" i="1"/>
  <c r="R25" i="1"/>
  <c r="S24" i="1"/>
  <c r="U23" i="8"/>
  <c r="P24" i="1"/>
  <c r="P23" i="1"/>
  <c r="M24" i="1"/>
  <c r="V23" i="8"/>
  <c r="T24" i="1"/>
  <c r="U24" i="1"/>
  <c r="S24" i="8"/>
  <c r="S23" i="8"/>
  <c r="R24" i="8"/>
  <c r="W26" i="4"/>
  <c r="P24" i="8"/>
  <c r="W25" i="4"/>
  <c r="P23" i="8"/>
  <c r="S26" i="4"/>
  <c r="O24" i="8"/>
  <c r="Z24" i="4"/>
  <c r="AA24" i="4"/>
  <c r="S25" i="4"/>
  <c r="Z25" i="4"/>
  <c r="Q26" i="4"/>
  <c r="N24" i="8"/>
  <c r="M25" i="8"/>
  <c r="M30" i="4"/>
  <c r="L28" i="8"/>
  <c r="M29" i="4"/>
  <c r="L27" i="8"/>
  <c r="X24" i="4"/>
  <c r="Y24" i="4"/>
  <c r="K28" i="4"/>
  <c r="K27" i="4"/>
  <c r="K25" i="8"/>
  <c r="H26" i="4"/>
  <c r="J24" i="8"/>
  <c r="J22" i="8"/>
  <c r="F26" i="4"/>
  <c r="I25" i="4"/>
  <c r="D28" i="4"/>
  <c r="Q26" i="8"/>
  <c r="D27" i="4"/>
  <c r="Q25" i="8"/>
  <c r="G26" i="3"/>
  <c r="G24" i="8"/>
  <c r="J25" i="3"/>
  <c r="K25" i="3"/>
  <c r="G27" i="3"/>
  <c r="G25" i="8"/>
  <c r="J24" i="3"/>
  <c r="K24" i="3"/>
  <c r="E24" i="8"/>
  <c r="E23" i="8"/>
  <c r="O26" i="2"/>
  <c r="O27" i="2"/>
  <c r="C26" i="2"/>
  <c r="C27" i="2"/>
  <c r="C25" i="2"/>
  <c r="I26" i="1"/>
  <c r="J26" i="1"/>
  <c r="F28" i="1"/>
  <c r="G28" i="1"/>
  <c r="W24" i="8"/>
  <c r="S25" i="1"/>
  <c r="R26" i="1"/>
  <c r="S26" i="1"/>
  <c r="O25" i="1"/>
  <c r="P25" i="1"/>
  <c r="L25" i="1"/>
  <c r="L26" i="1"/>
  <c r="C26" i="1"/>
  <c r="R25" i="8"/>
  <c r="C27" i="1"/>
  <c r="D27" i="1"/>
  <c r="C27" i="5"/>
  <c r="W28" i="4"/>
  <c r="W27" i="4"/>
  <c r="P25" i="8"/>
  <c r="O23" i="8"/>
  <c r="X25" i="4"/>
  <c r="Y25" i="4"/>
  <c r="S27" i="4"/>
  <c r="O25" i="8"/>
  <c r="Q27" i="4"/>
  <c r="N25" i="8"/>
  <c r="AA25" i="4"/>
  <c r="K26" i="8"/>
  <c r="H27" i="4"/>
  <c r="J25" i="8"/>
  <c r="I24" i="8"/>
  <c r="F27" i="4"/>
  <c r="I25" i="8"/>
  <c r="F29" i="4"/>
  <c r="D30" i="4"/>
  <c r="D29" i="4"/>
  <c r="Q27" i="8"/>
  <c r="C27" i="3"/>
  <c r="E25" i="8"/>
  <c r="M27" i="2"/>
  <c r="M26" i="2"/>
  <c r="I27" i="2"/>
  <c r="I26" i="2"/>
  <c r="E30" i="2"/>
  <c r="E27" i="2"/>
  <c r="U24" i="8"/>
  <c r="O26" i="1"/>
  <c r="U25" i="8"/>
  <c r="L27" i="1"/>
  <c r="V26" i="8"/>
  <c r="V24" i="8"/>
  <c r="M25" i="1"/>
  <c r="D26" i="1"/>
  <c r="C28" i="5"/>
  <c r="S28" i="4"/>
  <c r="O26" i="8"/>
  <c r="Q28" i="4"/>
  <c r="H29" i="4"/>
  <c r="I29" i="4"/>
  <c r="J27" i="8"/>
  <c r="H28" i="4"/>
  <c r="J26" i="8"/>
  <c r="F28" i="4"/>
  <c r="I26" i="8"/>
  <c r="I28" i="2"/>
  <c r="O27" i="1"/>
  <c r="U26" i="8"/>
  <c r="O28" i="1"/>
  <c r="C29" i="5"/>
  <c r="N26" i="8"/>
  <c r="Q29" i="4"/>
  <c r="N27" i="8"/>
  <c r="H30" i="4"/>
  <c r="I30" i="4"/>
  <c r="J28" i="8"/>
  <c r="M28" i="2"/>
  <c r="M30" i="2"/>
  <c r="H31" i="4"/>
  <c r="J29" i="8"/>
  <c r="P27" i="1"/>
  <c r="F27" i="1"/>
  <c r="G27" i="1"/>
  <c r="S26" i="8"/>
  <c r="W25" i="8"/>
  <c r="R27" i="1"/>
  <c r="S27" i="1"/>
  <c r="P26" i="1"/>
  <c r="M26" i="1"/>
  <c r="V25" i="8"/>
  <c r="I27" i="1"/>
  <c r="J27" i="1"/>
  <c r="T25" i="8"/>
  <c r="J25" i="1"/>
  <c r="F29" i="1"/>
  <c r="S25" i="8"/>
  <c r="T26" i="1"/>
  <c r="U26" i="1"/>
  <c r="G26" i="1"/>
  <c r="R26" i="8"/>
  <c r="T25" i="1"/>
  <c r="O31" i="2"/>
  <c r="O29" i="2"/>
  <c r="O28" i="2"/>
  <c r="R29" i="2"/>
  <c r="Q28" i="2"/>
  <c r="Q29" i="2"/>
  <c r="Q27" i="2"/>
  <c r="O30" i="2"/>
  <c r="J29" i="2"/>
  <c r="J30" i="2"/>
  <c r="G28" i="2"/>
  <c r="G29" i="2"/>
  <c r="G27" i="2"/>
  <c r="E29" i="2"/>
  <c r="E28" i="2"/>
  <c r="C29" i="2"/>
  <c r="C28" i="2"/>
  <c r="I28" i="3"/>
  <c r="H26" i="8"/>
  <c r="I27" i="3"/>
  <c r="H25" i="8"/>
  <c r="H24" i="8"/>
  <c r="G29" i="3"/>
  <c r="G27" i="8"/>
  <c r="G28" i="3"/>
  <c r="G26" i="8"/>
  <c r="J26" i="3"/>
  <c r="K26" i="3"/>
  <c r="E28" i="3"/>
  <c r="F26" i="8"/>
  <c r="C28" i="3"/>
  <c r="C29" i="3"/>
  <c r="E27" i="8"/>
  <c r="Z26" i="4"/>
  <c r="AA26" i="4"/>
  <c r="X26" i="4"/>
  <c r="I26" i="4"/>
  <c r="P26" i="8"/>
  <c r="Z27" i="4"/>
  <c r="O29" i="4"/>
  <c r="X29" i="4"/>
  <c r="X27" i="4"/>
  <c r="L26" i="8"/>
  <c r="I27" i="4"/>
  <c r="R28" i="1"/>
  <c r="W27" i="8"/>
  <c r="S28" i="1"/>
  <c r="L28" i="1"/>
  <c r="M28" i="1"/>
  <c r="I28" i="1"/>
  <c r="J28" i="1"/>
  <c r="T26" i="8"/>
  <c r="C28" i="1"/>
  <c r="D28" i="1"/>
  <c r="U25" i="1"/>
  <c r="S29" i="2"/>
  <c r="R30" i="2"/>
  <c r="K29" i="2"/>
  <c r="I30" i="2"/>
  <c r="I29" i="2"/>
  <c r="J27" i="3"/>
  <c r="K27" i="3"/>
  <c r="I29" i="3"/>
  <c r="H27" i="8"/>
  <c r="E29" i="3"/>
  <c r="F27" i="8"/>
  <c r="E26" i="8"/>
  <c r="Y27" i="4"/>
  <c r="AA27" i="4"/>
  <c r="Y26" i="4"/>
  <c r="K30" i="4"/>
  <c r="K28" i="8"/>
  <c r="L29" i="1"/>
  <c r="M29" i="1"/>
  <c r="L31" i="1"/>
  <c r="V27" i="8"/>
  <c r="I30" i="1"/>
  <c r="J30" i="1"/>
  <c r="I29" i="1"/>
  <c r="J29" i="1"/>
  <c r="R31" i="2"/>
  <c r="S30" i="2"/>
  <c r="G30" i="3"/>
  <c r="G28" i="8"/>
  <c r="L30" i="1"/>
  <c r="M30" i="1"/>
  <c r="I32" i="1"/>
  <c r="T31" i="8"/>
  <c r="I31" i="1"/>
  <c r="T30" i="8"/>
  <c r="S31" i="2"/>
  <c r="R32" i="2"/>
  <c r="I32" i="2"/>
  <c r="I31" i="2"/>
  <c r="S32" i="2"/>
  <c r="R33" i="2"/>
  <c r="S33" i="2"/>
  <c r="R34" i="2"/>
  <c r="S34" i="2"/>
  <c r="S35" i="2"/>
  <c r="J20" i="11"/>
  <c r="K20" i="11"/>
  <c r="C30" i="5"/>
  <c r="C31" i="5"/>
  <c r="R29" i="1"/>
  <c r="W28" i="8"/>
  <c r="W26" i="8"/>
  <c r="U27" i="8"/>
  <c r="P28" i="1"/>
  <c r="K33" i="1"/>
  <c r="L33" i="1"/>
  <c r="M33" i="1"/>
  <c r="M27" i="1"/>
  <c r="T29" i="8"/>
  <c r="T27" i="8"/>
  <c r="S27" i="8"/>
  <c r="G29" i="1"/>
  <c r="S28" i="8"/>
  <c r="C30" i="1"/>
  <c r="C31" i="1"/>
  <c r="C29" i="1"/>
  <c r="R28" i="8"/>
  <c r="R27" i="8"/>
  <c r="Q30" i="2"/>
  <c r="M29" i="2"/>
  <c r="J31" i="2"/>
  <c r="K30" i="2"/>
  <c r="G30" i="2"/>
  <c r="C31" i="2"/>
  <c r="C30" i="2"/>
  <c r="W30" i="4"/>
  <c r="P28" i="8"/>
  <c r="W31" i="4"/>
  <c r="W29" i="4"/>
  <c r="S30" i="4"/>
  <c r="O28" i="8"/>
  <c r="S29" i="4"/>
  <c r="O27" i="8"/>
  <c r="Q30" i="4"/>
  <c r="N28" i="8"/>
  <c r="X28" i="4"/>
  <c r="M27" i="8"/>
  <c r="Z28" i="4"/>
  <c r="K27" i="8"/>
  <c r="I28" i="4"/>
  <c r="I27" i="8"/>
  <c r="I31" i="3"/>
  <c r="H29" i="8"/>
  <c r="I30" i="3"/>
  <c r="G31" i="3"/>
  <c r="G29" i="8"/>
  <c r="J28" i="3"/>
  <c r="K28" i="3"/>
  <c r="E30" i="3"/>
  <c r="C32" i="5"/>
  <c r="B34" i="5"/>
  <c r="C34" i="5"/>
  <c r="R30" i="1"/>
  <c r="S30" i="1"/>
  <c r="O29" i="1"/>
  <c r="L32" i="1"/>
  <c r="V31" i="8"/>
  <c r="F30" i="1"/>
  <c r="S29" i="8"/>
  <c r="F31" i="1"/>
  <c r="D30" i="1"/>
  <c r="R29" i="8"/>
  <c r="C32" i="1"/>
  <c r="R31" i="8"/>
  <c r="D29" i="1"/>
  <c r="Q31" i="2"/>
  <c r="J32" i="2"/>
  <c r="K31" i="2"/>
  <c r="Y28" i="4"/>
  <c r="P27" i="8"/>
  <c r="W32" i="4"/>
  <c r="P30" i="8"/>
  <c r="S31" i="4"/>
  <c r="O29" i="8"/>
  <c r="Z29" i="4"/>
  <c r="AA29" i="4"/>
  <c r="AA28" i="4"/>
  <c r="F30" i="4"/>
  <c r="E31" i="3"/>
  <c r="F29" i="8"/>
  <c r="F28" i="8"/>
  <c r="C33" i="5"/>
  <c r="R31" i="1"/>
  <c r="W30" i="8"/>
  <c r="O30" i="1"/>
  <c r="P30" i="1"/>
  <c r="U28" i="8"/>
  <c r="P29" i="1"/>
  <c r="K32" i="2"/>
  <c r="J33" i="2"/>
  <c r="V34" i="4"/>
  <c r="W34" i="4"/>
  <c r="F31" i="4"/>
  <c r="I28" i="8"/>
  <c r="Q33" i="1"/>
  <c r="R33" i="1"/>
  <c r="R34" i="1"/>
  <c r="S33" i="1"/>
  <c r="R32" i="1"/>
  <c r="W31" i="8"/>
  <c r="O31" i="1"/>
  <c r="P31" i="1"/>
  <c r="N33" i="1"/>
  <c r="O33" i="1"/>
  <c r="P33" i="1"/>
  <c r="U29" i="8"/>
  <c r="J34" i="2"/>
  <c r="K33" i="2"/>
  <c r="I29" i="8"/>
  <c r="K34" i="2"/>
  <c r="K35" i="2"/>
  <c r="J17" i="11"/>
  <c r="K17" i="11"/>
  <c r="S29" i="1"/>
  <c r="W29" i="8"/>
  <c r="S32" i="1"/>
  <c r="S34" i="1"/>
  <c r="S31" i="1"/>
  <c r="U30" i="8"/>
  <c r="O32" i="1"/>
  <c r="U31" i="8"/>
  <c r="T27" i="1"/>
  <c r="U27" i="1"/>
  <c r="V28" i="8"/>
  <c r="V30" i="8"/>
  <c r="M31" i="1"/>
  <c r="V29" i="8"/>
  <c r="J31" i="1"/>
  <c r="G30" i="1"/>
  <c r="J32" i="1"/>
  <c r="T29" i="1"/>
  <c r="U29" i="1"/>
  <c r="T28" i="1"/>
  <c r="U28" i="1"/>
  <c r="H33" i="1"/>
  <c r="I33" i="1"/>
  <c r="I34" i="1"/>
  <c r="T28" i="8"/>
  <c r="S30" i="8"/>
  <c r="G31" i="1"/>
  <c r="T30" i="1"/>
  <c r="U30" i="1"/>
  <c r="D32" i="1"/>
  <c r="R30" i="8"/>
  <c r="T31" i="1"/>
  <c r="U31" i="1"/>
  <c r="D31" i="1"/>
  <c r="B33" i="1"/>
  <c r="C33" i="1"/>
  <c r="D33" i="1"/>
  <c r="D34" i="1"/>
  <c r="P29" i="8"/>
  <c r="J12" i="11"/>
  <c r="K12" i="11"/>
  <c r="W33" i="4"/>
  <c r="P31" i="8"/>
  <c r="S32" i="4"/>
  <c r="Q31" i="4"/>
  <c r="N29" i="8"/>
  <c r="O31" i="4"/>
  <c r="O30" i="4"/>
  <c r="M31" i="4"/>
  <c r="L29" i="8"/>
  <c r="X30" i="4"/>
  <c r="Y30" i="4"/>
  <c r="Y29" i="4"/>
  <c r="K32" i="4"/>
  <c r="K31" i="4"/>
  <c r="H32" i="4"/>
  <c r="I31" i="4"/>
  <c r="F32" i="4"/>
  <c r="Q28" i="8"/>
  <c r="G32" i="3"/>
  <c r="G30" i="8"/>
  <c r="F34" i="3"/>
  <c r="J32" i="11"/>
  <c r="K32" i="11"/>
  <c r="D34" i="3"/>
  <c r="E34" i="3"/>
  <c r="E32" i="3"/>
  <c r="F30" i="8"/>
  <c r="H34" i="3"/>
  <c r="I33" i="3"/>
  <c r="H31" i="8"/>
  <c r="I32" i="3"/>
  <c r="H30" i="8"/>
  <c r="H28" i="8"/>
  <c r="G34" i="3"/>
  <c r="G33" i="3"/>
  <c r="G31" i="8"/>
  <c r="J31" i="11"/>
  <c r="K31" i="11"/>
  <c r="C31" i="3"/>
  <c r="C30" i="3"/>
  <c r="J29" i="3"/>
  <c r="P34" i="2"/>
  <c r="J19" i="11"/>
  <c r="Q33" i="2"/>
  <c r="Q32" i="2"/>
  <c r="M32" i="2"/>
  <c r="M31" i="2"/>
  <c r="G32" i="2"/>
  <c r="G31" i="2"/>
  <c r="C32" i="2"/>
  <c r="P32" i="1"/>
  <c r="P34" i="1"/>
  <c r="J33" i="1"/>
  <c r="J34" i="1"/>
  <c r="F32" i="1"/>
  <c r="E33" i="1"/>
  <c r="F33" i="1"/>
  <c r="C34" i="1"/>
  <c r="R34" i="4"/>
  <c r="S33" i="4"/>
  <c r="O31" i="8"/>
  <c r="O30" i="8"/>
  <c r="Q32" i="4"/>
  <c r="N30" i="8"/>
  <c r="M28" i="8"/>
  <c r="Z30" i="4"/>
  <c r="M29" i="8"/>
  <c r="Z31" i="4"/>
  <c r="O32" i="4"/>
  <c r="M32" i="4"/>
  <c r="K29" i="8"/>
  <c r="X31" i="4"/>
  <c r="X35" i="4"/>
  <c r="K30" i="8"/>
  <c r="K33" i="4"/>
  <c r="K31" i="8"/>
  <c r="J34" i="4"/>
  <c r="K34" i="4"/>
  <c r="J30" i="8"/>
  <c r="G34" i="4"/>
  <c r="H33" i="4"/>
  <c r="J31" i="8"/>
  <c r="I30" i="8"/>
  <c r="I32" i="4"/>
  <c r="F33" i="4"/>
  <c r="I33" i="4"/>
  <c r="E34" i="4"/>
  <c r="D31" i="4"/>
  <c r="E33" i="3"/>
  <c r="F31" i="8"/>
  <c r="J30" i="11"/>
  <c r="K30" i="11"/>
  <c r="C15" i="11"/>
  <c r="D15" i="11"/>
  <c r="I34" i="3"/>
  <c r="G35" i="3"/>
  <c r="C32" i="3"/>
  <c r="K29" i="3"/>
  <c r="J30" i="3"/>
  <c r="K30" i="3"/>
  <c r="E28" i="8"/>
  <c r="E29" i="8"/>
  <c r="J31" i="3"/>
  <c r="K31" i="3"/>
  <c r="O32" i="2"/>
  <c r="L34" i="2"/>
  <c r="M33" i="2"/>
  <c r="M35" i="2"/>
  <c r="I33" i="2"/>
  <c r="H34" i="2"/>
  <c r="I34" i="2"/>
  <c r="I35" i="2"/>
  <c r="G33" i="2"/>
  <c r="F34" i="2"/>
  <c r="J23" i="11"/>
  <c r="K23" i="11"/>
  <c r="E31" i="2"/>
  <c r="B34" i="2"/>
  <c r="C34" i="2"/>
  <c r="C35" i="2"/>
  <c r="C33" i="2"/>
  <c r="X32" i="4"/>
  <c r="Y32" i="4"/>
  <c r="S34" i="4"/>
  <c r="J10" i="11"/>
  <c r="K10" i="11"/>
  <c r="C5" i="11"/>
  <c r="D5" i="11"/>
  <c r="P34" i="4"/>
  <c r="Q33" i="4"/>
  <c r="N31" i="8"/>
  <c r="M30" i="8"/>
  <c r="Z32" i="4"/>
  <c r="AA32" i="4"/>
  <c r="AA30" i="4"/>
  <c r="Z35" i="4"/>
  <c r="AA31" i="4"/>
  <c r="N34" i="4"/>
  <c r="O34" i="4"/>
  <c r="O33" i="4"/>
  <c r="Y31" i="4"/>
  <c r="Y35" i="4"/>
  <c r="M33" i="4"/>
  <c r="L31" i="8"/>
  <c r="L34" i="4"/>
  <c r="L30" i="8"/>
  <c r="J6" i="11"/>
  <c r="K6" i="11"/>
  <c r="H34" i="4"/>
  <c r="J4" i="11"/>
  <c r="H35" i="4"/>
  <c r="F34" i="4"/>
  <c r="J3" i="11"/>
  <c r="K3" i="11"/>
  <c r="I31" i="8"/>
  <c r="D32" i="4"/>
  <c r="Q30" i="8"/>
  <c r="Q29" i="8"/>
  <c r="I35" i="3"/>
  <c r="J32" i="3"/>
  <c r="K32" i="3"/>
  <c r="E30" i="8"/>
  <c r="B34" i="3"/>
  <c r="C33" i="3"/>
  <c r="J33" i="3"/>
  <c r="K33" i="3"/>
  <c r="K35" i="3"/>
  <c r="J35" i="3"/>
  <c r="N34" i="2"/>
  <c r="O33" i="2"/>
  <c r="M34" i="2"/>
  <c r="J18" i="11"/>
  <c r="K18" i="11"/>
  <c r="J24" i="11"/>
  <c r="K24" i="11"/>
  <c r="E32" i="2"/>
  <c r="S35" i="4"/>
  <c r="Q34" i="4"/>
  <c r="J9" i="11"/>
  <c r="J7" i="11"/>
  <c r="K7" i="11"/>
  <c r="M34" i="4"/>
  <c r="I34" i="4"/>
  <c r="D33" i="4"/>
  <c r="C34" i="4"/>
  <c r="D34" i="4"/>
  <c r="J29" i="11"/>
  <c r="C34" i="3"/>
  <c r="J25" i="11"/>
  <c r="K25" i="11"/>
  <c r="C9" i="11"/>
  <c r="D9" i="11"/>
  <c r="O34" i="2"/>
  <c r="D34" i="2"/>
  <c r="E33" i="2"/>
  <c r="Q35" i="4"/>
  <c r="M35" i="4"/>
  <c r="J26" i="11"/>
  <c r="K26" i="11"/>
  <c r="C6" i="11"/>
  <c r="D6" i="11"/>
  <c r="Q31" i="8"/>
  <c r="E34" i="2"/>
  <c r="E35" i="2"/>
  <c r="J22" i="11"/>
  <c r="K22" i="11"/>
  <c r="N65" i="10"/>
  <c r="O34" i="1"/>
  <c r="L34" i="1"/>
  <c r="M32" i="1"/>
  <c r="M34" i="1"/>
  <c r="T32" i="1"/>
  <c r="U32" i="1"/>
  <c r="G33" i="1"/>
  <c r="T33" i="1"/>
  <c r="U33" i="1"/>
  <c r="S31" i="8"/>
  <c r="F34" i="1"/>
  <c r="G32" i="1"/>
  <c r="G34" i="1"/>
  <c r="C35" i="5"/>
  <c r="J35" i="11"/>
  <c r="W35" i="4"/>
  <c r="Z33" i="4"/>
  <c r="AA33" i="4"/>
  <c r="Z34" i="4"/>
  <c r="J8" i="11"/>
  <c r="K8" i="11"/>
  <c r="O35" i="4"/>
  <c r="M31" i="8"/>
  <c r="X33" i="4"/>
  <c r="Y33" i="4"/>
  <c r="K35" i="4"/>
  <c r="X34" i="4"/>
  <c r="Y34" i="4"/>
  <c r="F35" i="4"/>
  <c r="I35" i="4"/>
  <c r="D35" i="4"/>
  <c r="E35" i="3"/>
  <c r="J34" i="3"/>
  <c r="K34" i="3"/>
  <c r="E31" i="8"/>
  <c r="C35" i="3"/>
  <c r="Q34" i="2"/>
  <c r="Q35" i="2"/>
  <c r="G34" i="2"/>
  <c r="G35" i="2"/>
  <c r="J21" i="11"/>
  <c r="K21" i="11"/>
  <c r="U34" i="1"/>
  <c r="T34" i="1"/>
  <c r="AA34" i="4"/>
  <c r="E29" i="9"/>
  <c r="E17" i="9"/>
  <c r="E8" i="9"/>
  <c r="E28" i="9"/>
  <c r="E11" i="9"/>
  <c r="E7" i="9"/>
  <c r="E3" i="9"/>
  <c r="E10" i="9"/>
  <c r="E30" i="9"/>
  <c r="E27" i="9"/>
  <c r="E22" i="9"/>
  <c r="E18" i="9"/>
  <c r="E15" i="9"/>
  <c r="E5" i="9"/>
  <c r="Y22" i="8"/>
  <c r="Y4" i="8"/>
  <c r="E4" i="9"/>
  <c r="Y7" i="8"/>
  <c r="Y8" i="8"/>
  <c r="Y21" i="8"/>
  <c r="E21" i="9"/>
  <c r="Y28" i="8"/>
  <c r="Y20" i="8"/>
  <c r="E20" i="9"/>
  <c r="Y30" i="8"/>
  <c r="Y27" i="8"/>
  <c r="Y12" i="8"/>
  <c r="E12" i="9"/>
  <c r="Y11" i="8"/>
  <c r="Y26" i="8"/>
  <c r="E26" i="9"/>
  <c r="Y24" i="8"/>
  <c r="E24" i="9"/>
  <c r="Y19" i="8"/>
  <c r="E19" i="9"/>
  <c r="Y13" i="8"/>
  <c r="E13" i="9"/>
  <c r="Y17" i="8"/>
  <c r="Y2" i="8"/>
  <c r="E2" i="9"/>
  <c r="Y3" i="8"/>
  <c r="Y5" i="8"/>
  <c r="Y6" i="8"/>
  <c r="E6" i="9"/>
  <c r="Y9" i="8"/>
  <c r="E9" i="9"/>
  <c r="Y31" i="8"/>
  <c r="E31" i="9"/>
  <c r="Y29" i="8"/>
  <c r="Y25" i="8"/>
  <c r="E25" i="9"/>
  <c r="Y23" i="8"/>
  <c r="E23" i="9"/>
  <c r="Y18" i="8"/>
  <c r="Y16" i="8"/>
  <c r="E16" i="9"/>
  <c r="Y15" i="8"/>
  <c r="Y10" i="8"/>
  <c r="Y14" i="8"/>
  <c r="E14" i="9"/>
  <c r="D14" i="11"/>
  <c r="C16" i="11"/>
  <c r="D16" i="11"/>
  <c r="C22" i="11"/>
  <c r="D22" i="11"/>
  <c r="C27" i="11"/>
  <c r="D27" i="11"/>
  <c r="D26" i="11"/>
  <c r="C8" i="11"/>
  <c r="C10" i="11"/>
  <c r="D10" i="11"/>
  <c r="C11" i="11"/>
  <c r="D11" i="11"/>
  <c r="K13" i="11"/>
  <c r="K14" i="11"/>
  <c r="C2" i="11"/>
  <c r="D2" i="11"/>
  <c r="D8" i="11"/>
  <c r="C7" i="11"/>
  <c r="D7" i="11"/>
</calcChain>
</file>

<file path=xl/sharedStrings.xml><?xml version="1.0" encoding="utf-8"?>
<sst xmlns="http://schemas.openxmlformats.org/spreadsheetml/2006/main" count="467" uniqueCount="153">
  <si>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</si>
  <si>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</si>
  <si>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</si>
  <si>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</si>
  <si>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</si>
  <si>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</si>
  <si>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</si>
  <si>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</si>
  <si>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</si>
  <si>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</si>
  <si>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</si>
  <si>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</si>
  <si>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</si>
  <si>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</si>
  <si>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</si>
  <si>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</si>
  <si>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</si>
  <si>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</si>
  <si>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</si>
  <si>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</si>
  <si>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</si>
  <si>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</si>
  <si>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</si>
  <si>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</si>
  <si>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</si>
  <si>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</si>
  <si>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</si>
  <si>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</si>
  <si>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</si>
  <si>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</si>
  <si>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</si>
  <si>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</si>
  <si>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</si>
  <si>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</si>
  <si>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</si>
  <si>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</si>
  <si>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</si>
  <si>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</si>
  <si>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</si>
  <si>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</si>
  <si>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</si>
  <si>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</si>
  <si>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</si>
  <si>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</si>
  <si>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</si>
  <si>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</si>
  <si>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</si>
  <si>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</si>
  <si>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</si>
  <si>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</si>
  <si>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</si>
  <si>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</si>
  <si>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</si>
  <si>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</si>
  <si>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</si>
  <si>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</si>
  <si>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</si>
  <si>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</si>
  <si>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</si>
  <si>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</si>
  <si>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</si>
  <si>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</si>
  <si>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</si>
  <si>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</si>
  <si>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</si>
  <si>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</si>
  <si>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</si>
  <si>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</si>
  <si>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</si>
  <si>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</si>
  <si>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</si>
  <si>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</si>
  <si>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</si>
  <si>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</si>
  <si>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</si>
  <si>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</si>
  <si>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</si>
  <si>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</si>
  <si>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</si>
  <si>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</si>
  <si>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</si>
  <si>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</si>
  <si>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</si>
  <si>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</si>
  <si>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</si>
  <si>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</si>
  <si>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</si>
  <si>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</si>
  <si>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</si>
  <si>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</si>
  <si>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</si>
  <si>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</si>
  <si>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</si>
  <si>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</si>
  <si>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</si>
  <si>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</si>
  <si>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</si>
  <si>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</si>
  <si>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</si>
  <si>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</si>
  <si>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</si>
  <si>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</si>
  <si>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</si>
  <si>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</si>
  <si>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</si>
  <si>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</si>
  <si>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</si>
  <si>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</si>
  <si>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</si>
  <si>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</si>
  <si>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</si>
  <si>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</si>
  <si>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</si>
  <si>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</si>
  <si>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</si>
  <si>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</si>
  <si>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</si>
  <si>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</si>
  <si>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</si>
  <si>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</si>
  <si>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</si>
  <si>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</si>
  <si>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</si>
  <si>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</si>
  <si>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</si>
  <si>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</si>
  <si>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</si>
  <si>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</si>
  <si>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</si>
  <si>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</si>
  <si>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</si>
  <si>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</si>
  <si>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</si>
  <si>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</si>
  <si>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</si>
  <si>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</si>
  <si>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</si>
  <si>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Acutal till Sep.  2019</t>
  </si>
  <si>
    <t>Acutal till October.2019</t>
  </si>
  <si>
    <t>October . 2019</t>
  </si>
  <si>
    <t>Mall, Citadel and Rotana readings and cons. Nov. 2019</t>
  </si>
  <si>
    <t>Main Building, Podium, Hotel and Large cons.  Nov. 2019</t>
  </si>
  <si>
    <t>Feeders and transformers Electrity cons.  Nov  2019</t>
  </si>
  <si>
    <t>Gas Con. Nov  2019</t>
  </si>
  <si>
    <t>Energy Monthly Statement  Nov . 2019</t>
  </si>
  <si>
    <t>Acutal till November.2019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</si>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</sst>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72" formatCode="#,##0.0"/>
    <numFmt numFmtId="174" formatCode="[$-409]d\-mmm\-yyyy;@"/>
    <numFmt numFmtId="176" formatCode="0.000"/>
    <numFmt numFmtId="178" formatCode="0.00;[Red]0.00"/>
    <numFmt numFmtId="181" formatCode="0;[Red]0"/>
  </numFmts>
  <fonts count="5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7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4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4" fontId="8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74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74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7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7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8" fontId="18" fillId="3" borderId="1" xfId="0" applyNumberFormat="1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39" fillId="14" borderId="1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/>
    </xf>
    <xf numFmtId="0" fontId="3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1" fillId="0" borderId="1" xfId="0" applyNumberFormat="1" applyFont="1" applyBorder="1" applyAlignment="1">
      <alignment horizontal="center" vertical="center"/>
    </xf>
    <xf numFmtId="1" fontId="42" fillId="0" borderId="0" xfId="0" applyNumberFormat="1" applyFont="1"/>
    <xf numFmtId="1" fontId="41" fillId="0" borderId="0" xfId="0" applyNumberFormat="1" applyFont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1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4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45" fillId="0" borderId="5" xfId="0" applyFont="1" applyBorder="1"/>
    <xf numFmtId="0" fontId="46" fillId="0" borderId="0" xfId="0" applyFont="1"/>
    <xf numFmtId="1" fontId="38" fillId="0" borderId="5" xfId="0" applyNumberFormat="1" applyFont="1" applyBorder="1" applyAlignment="1">
      <alignment wrapText="1"/>
    </xf>
    <xf numFmtId="0" fontId="38" fillId="0" borderId="5" xfId="0" applyFont="1" applyBorder="1" applyAlignment="1">
      <alignment horizontal="center" wrapText="1"/>
    </xf>
    <xf numFmtId="0" fontId="47" fillId="0" borderId="5" xfId="0" applyFont="1" applyBorder="1" applyAlignment="1">
      <alignment horizontal="center"/>
    </xf>
    <xf numFmtId="1" fontId="38" fillId="0" borderId="5" xfId="0" applyNumberFormat="1" applyFont="1" applyBorder="1" applyAlignment="1">
      <alignment horizontal="center" wrapText="1"/>
    </xf>
    <xf numFmtId="0" fontId="46" fillId="0" borderId="0" xfId="0" applyFont="1" applyAlignment="1">
      <alignment horizontal="center"/>
    </xf>
    <xf numFmtId="2" fontId="38" fillId="0" borderId="5" xfId="0" applyNumberFormat="1" applyFont="1" applyBorder="1" applyAlignment="1">
      <alignment horizontal="center" wrapText="1"/>
    </xf>
    <xf numFmtId="176" fontId="25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4" applyFont="1"/>
    <xf numFmtId="0" fontId="27" fillId="4" borderId="4" xfId="5" applyFont="1" applyFill="1" applyBorder="1" applyAlignment="1">
      <alignment horizontal="center" vertical="center" wrapText="1"/>
    </xf>
    <xf numFmtId="0" fontId="27" fillId="4" borderId="4" xfId="5" applyFont="1" applyFill="1" applyBorder="1" applyAlignment="1">
      <alignment horizontal="left" vertical="center" wrapText="1"/>
    </xf>
    <xf numFmtId="0" fontId="28" fillId="4" borderId="4" xfId="5" applyFont="1" applyFill="1" applyBorder="1" applyAlignment="1">
      <alignment horizontal="center" vertical="center" wrapText="1"/>
    </xf>
    <xf numFmtId="0" fontId="29" fillId="0" borderId="4" xfId="5" applyFont="1" applyBorder="1" applyAlignment="1">
      <alignment horizontal="left" vertical="center" wrapText="1"/>
    </xf>
    <xf numFmtId="3" fontId="29" fillId="5" borderId="4" xfId="5" applyNumberFormat="1" applyFont="1" applyFill="1" applyBorder="1" applyAlignment="1">
      <alignment horizontal="left" vertical="center" wrapText="1"/>
    </xf>
    <xf numFmtId="3" fontId="27" fillId="0" borderId="4" xfId="5" applyNumberFormat="1" applyFont="1" applyBorder="1" applyAlignment="1">
      <alignment horizontal="left" vertical="center" wrapText="1"/>
    </xf>
    <xf numFmtId="0" fontId="30" fillId="0" borderId="4" xfId="5" applyFont="1" applyBorder="1" applyAlignment="1">
      <alignment horizontal="center" vertical="center" wrapText="1"/>
    </xf>
    <xf numFmtId="3" fontId="31" fillId="0" borderId="4" xfId="5" applyNumberFormat="1" applyFont="1" applyFill="1" applyBorder="1" applyAlignment="1">
      <alignment horizontal="left" vertical="center" wrapText="1"/>
    </xf>
    <xf numFmtId="3" fontId="27" fillId="0" borderId="4" xfId="5" applyNumberFormat="1" applyFont="1" applyFill="1" applyBorder="1" applyAlignment="1">
      <alignment horizontal="left" vertical="center" wrapText="1"/>
    </xf>
    <xf numFmtId="3" fontId="32" fillId="3" borderId="4" xfId="1" applyNumberFormat="1" applyFont="1" applyFill="1" applyBorder="1" applyAlignment="1">
      <alignment horizontal="left" vertical="center" wrapText="1"/>
    </xf>
    <xf numFmtId="0" fontId="28" fillId="0" borderId="4" xfId="5" applyFont="1" applyBorder="1" applyAlignment="1">
      <alignment horizontal="left" vertical="center" wrapText="1"/>
    </xf>
    <xf numFmtId="0" fontId="1" fillId="0" borderId="6" xfId="4" applyFont="1" applyFill="1" applyBorder="1" applyAlignment="1"/>
    <xf numFmtId="0" fontId="3" fillId="0" borderId="0" xfId="4"/>
    <xf numFmtId="3" fontId="29" fillId="0" borderId="4" xfId="5" applyNumberFormat="1" applyFont="1" applyFill="1" applyBorder="1" applyAlignment="1">
      <alignment horizontal="left" vertical="center" wrapText="1"/>
    </xf>
    <xf numFmtId="0" fontId="3" fillId="3" borderId="0" xfId="4" applyFill="1"/>
    <xf numFmtId="3" fontId="33" fillId="5" borderId="4" xfId="5" applyNumberFormat="1" applyFont="1" applyFill="1" applyBorder="1" applyAlignment="1">
      <alignment horizontal="left" vertical="center" wrapText="1"/>
    </xf>
    <xf numFmtId="0" fontId="30" fillId="3" borderId="4" xfId="5" applyFont="1" applyFill="1" applyBorder="1" applyAlignment="1">
      <alignment horizontal="center" vertical="center" wrapText="1"/>
    </xf>
    <xf numFmtId="3" fontId="34" fillId="0" borderId="4" xfId="5" applyNumberFormat="1" applyFont="1" applyFill="1" applyBorder="1" applyAlignment="1">
      <alignment horizontal="left" vertical="center" wrapText="1"/>
    </xf>
    <xf numFmtId="0" fontId="27" fillId="6" borderId="7" xfId="5" applyFont="1" applyFill="1" applyBorder="1" applyAlignment="1">
      <alignment horizontal="center" vertical="center" wrapText="1"/>
    </xf>
    <xf numFmtId="0" fontId="29" fillId="6" borderId="4" xfId="5" applyFont="1" applyFill="1" applyBorder="1" applyAlignment="1">
      <alignment horizontal="left" vertical="center" wrapText="1"/>
    </xf>
    <xf numFmtId="3" fontId="29" fillId="6" borderId="4" xfId="5" applyNumberFormat="1" applyFont="1" applyFill="1" applyBorder="1" applyAlignment="1">
      <alignment horizontal="left" vertical="center" wrapText="1"/>
    </xf>
    <xf numFmtId="0" fontId="30" fillId="6" borderId="4" xfId="5" applyFont="1" applyFill="1" applyBorder="1" applyAlignment="1">
      <alignment horizontal="center" vertical="center" wrapText="1"/>
    </xf>
    <xf numFmtId="0" fontId="29" fillId="0" borderId="4" xfId="5" applyFont="1" applyFill="1" applyBorder="1" applyAlignment="1">
      <alignment horizontal="left" vertical="center" wrapText="1"/>
    </xf>
    <xf numFmtId="3" fontId="30" fillId="5" borderId="4" xfId="5" applyNumberFormat="1" applyFont="1" applyFill="1" applyBorder="1" applyAlignment="1">
      <alignment horizontal="left" vertical="center" wrapText="1"/>
    </xf>
    <xf numFmtId="0" fontId="27" fillId="6" borderId="4" xfId="5" applyFont="1" applyFill="1" applyBorder="1" applyAlignment="1">
      <alignment horizontal="center" vertical="center" wrapText="1"/>
    </xf>
    <xf numFmtId="0" fontId="30" fillId="0" borderId="4" xfId="5" applyFont="1" applyFill="1" applyBorder="1" applyAlignment="1">
      <alignment horizontal="center" vertical="center" wrapText="1"/>
    </xf>
    <xf numFmtId="0" fontId="35" fillId="0" borderId="4" xfId="5" applyFont="1" applyFill="1" applyBorder="1" applyAlignment="1">
      <alignment horizontal="left" vertical="center" wrapText="1"/>
    </xf>
    <xf numFmtId="3" fontId="34" fillId="0" borderId="4" xfId="5" applyNumberFormat="1" applyFont="1" applyBorder="1" applyAlignment="1">
      <alignment horizontal="left" vertical="center" wrapText="1"/>
    </xf>
    <xf numFmtId="3" fontId="27" fillId="6" borderId="4" xfId="5" applyNumberFormat="1" applyFont="1" applyFill="1" applyBorder="1" applyAlignment="1">
      <alignment horizontal="left" vertical="center" wrapText="1"/>
    </xf>
    <xf numFmtId="3" fontId="36" fillId="4" borderId="4" xfId="5" applyNumberFormat="1" applyFont="1" applyFill="1" applyBorder="1" applyAlignment="1">
      <alignment horizontal="left" vertical="center"/>
    </xf>
    <xf numFmtId="0" fontId="37" fillId="0" borderId="0" xfId="5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3" fillId="0" borderId="0" xfId="3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6" fillId="15" borderId="1" xfId="0" applyFont="1" applyFill="1" applyBorder="1" applyAlignment="1">
      <alignment horizontal="center" vertical="center"/>
    </xf>
    <xf numFmtId="43" fontId="46" fillId="0" borderId="1" xfId="0" applyNumberFormat="1" applyFont="1" applyFill="1" applyBorder="1" applyAlignment="1">
      <alignment horizontal="center" vertical="center"/>
    </xf>
    <xf numFmtId="43" fontId="46" fillId="0" borderId="0" xfId="0" applyNumberFormat="1" applyFont="1" applyFill="1" applyBorder="1" applyAlignment="1">
      <alignment horizontal="center" vertical="center"/>
    </xf>
    <xf numFmtId="0" fontId="46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46" fillId="15" borderId="1" xfId="6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172" fontId="46" fillId="0" borderId="1" xfId="0" applyNumberFormat="1" applyFont="1" applyFill="1" applyBorder="1" applyAlignment="1">
      <alignment horizontal="center" vertical="center"/>
    </xf>
    <xf numFmtId="172" fontId="46" fillId="0" borderId="0" xfId="0" applyNumberFormat="1" applyFont="1" applyFill="1" applyBorder="1" applyAlignment="1">
      <alignment horizontal="center" vertical="center"/>
    </xf>
    <xf numFmtId="0" fontId="1" fillId="17" borderId="1" xfId="6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72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46" fillId="0" borderId="1" xfId="6" applyFont="1" applyFill="1" applyBorder="1" applyAlignment="1">
      <alignment horizontal="center" vertical="center"/>
    </xf>
    <xf numFmtId="172" fontId="46" fillId="0" borderId="1" xfId="6" applyNumberFormat="1" applyFont="1" applyFill="1" applyBorder="1" applyAlignment="1">
      <alignment horizontal="center" vertical="center"/>
    </xf>
    <xf numFmtId="172" fontId="46" fillId="0" borderId="0" xfId="6" applyNumberFormat="1" applyFont="1" applyFill="1" applyBorder="1" applyAlignment="1">
      <alignment horizontal="center" vertical="center"/>
    </xf>
    <xf numFmtId="172" fontId="46" fillId="0" borderId="1" xfId="2" applyNumberFormat="1" applyFont="1" applyFill="1" applyBorder="1" applyAlignment="1">
      <alignment horizontal="center" vertical="center"/>
    </xf>
    <xf numFmtId="0" fontId="46" fillId="15" borderId="4" xfId="6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172" fontId="46" fillId="0" borderId="8" xfId="6" applyNumberFormat="1" applyFont="1" applyFill="1" applyBorder="1" applyAlignment="1">
      <alignment horizontal="center" vertical="center"/>
    </xf>
    <xf numFmtId="172" fontId="49" fillId="0" borderId="1" xfId="0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6" fillId="0" borderId="0" xfId="6" applyFont="1" applyFill="1" applyBorder="1" applyAlignment="1">
      <alignment horizontal="center"/>
    </xf>
    <xf numFmtId="0" fontId="46" fillId="15" borderId="4" xfId="6" applyFont="1" applyFill="1" applyBorder="1"/>
    <xf numFmtId="0" fontId="1" fillId="17" borderId="4" xfId="0" applyFont="1" applyFill="1" applyBorder="1"/>
    <xf numFmtId="0" fontId="1" fillId="0" borderId="4" xfId="0" applyFont="1" applyFill="1" applyBorder="1"/>
    <xf numFmtId="1" fontId="1" fillId="17" borderId="4" xfId="0" applyNumberFormat="1" applyFont="1" applyFill="1" applyBorder="1" applyAlignment="1">
      <alignment horizontal="center" vertical="center"/>
    </xf>
    <xf numFmtId="3" fontId="27" fillId="14" borderId="4" xfId="5" applyNumberFormat="1" applyFont="1" applyFill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" fontId="18" fillId="0" borderId="1" xfId="0" applyNumberFormat="1" applyFont="1" applyFill="1" applyBorder="1" applyAlignment="1">
      <alignment horizontal="center"/>
    </xf>
    <xf numFmtId="1" fontId="19" fillId="4" borderId="1" xfId="0" applyNumberFormat="1" applyFont="1" applyFill="1" applyBorder="1" applyAlignment="1">
      <alignment horizontal="center"/>
    </xf>
    <xf numFmtId="181" fontId="18" fillId="0" borderId="1" xfId="0" applyNumberFormat="1" applyFont="1" applyBorder="1" applyAlignment="1">
      <alignment horizontal="center"/>
    </xf>
    <xf numFmtId="41" fontId="46" fillId="0" borderId="1" xfId="2" applyNumberFormat="1" applyFont="1" applyFill="1" applyBorder="1" applyAlignment="1">
      <alignment horizontal="center" vertical="center"/>
    </xf>
    <xf numFmtId="1" fontId="38" fillId="0" borderId="0" xfId="0" applyNumberFormat="1" applyFont="1" applyBorder="1" applyAlignment="1">
      <alignment wrapText="1"/>
    </xf>
    <xf numFmtId="0" fontId="38" fillId="0" borderId="0" xfId="0" applyFont="1" applyAlignment="1">
      <alignment horizontal="center" vertical="center" wrapText="1"/>
    </xf>
    <xf numFmtId="174" fontId="4" fillId="0" borderId="9" xfId="0" applyNumberFormat="1" applyFont="1" applyBorder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74" fontId="9" fillId="0" borderId="0" xfId="0" applyNumberFormat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174" fontId="16" fillId="0" borderId="10" xfId="0" applyNumberFormat="1" applyFont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18" fillId="19" borderId="11" xfId="0" applyFont="1" applyFill="1" applyBorder="1" applyAlignment="1">
      <alignment horizontal="left" vertical="center"/>
    </xf>
    <xf numFmtId="0" fontId="18" fillId="19" borderId="0" xfId="0" applyFont="1" applyFill="1" applyBorder="1" applyAlignment="1">
      <alignment horizontal="left" vertical="center"/>
    </xf>
    <xf numFmtId="176" fontId="26" fillId="12" borderId="15" xfId="5" applyNumberFormat="1" applyFont="1" applyFill="1" applyBorder="1" applyAlignment="1">
      <alignment horizontal="center" vertical="center"/>
    </xf>
    <xf numFmtId="176" fontId="26" fillId="12" borderId="16" xfId="5" applyNumberFormat="1" applyFont="1" applyFill="1" applyBorder="1" applyAlignment="1">
      <alignment horizontal="center" vertical="center"/>
    </xf>
    <xf numFmtId="176" fontId="26" fillId="12" borderId="17" xfId="5" applyNumberFormat="1" applyFont="1" applyFill="1" applyBorder="1" applyAlignment="1">
      <alignment horizontal="center" vertical="center"/>
    </xf>
    <xf numFmtId="0" fontId="27" fillId="0" borderId="12" xfId="5" applyFont="1" applyBorder="1" applyAlignment="1">
      <alignment horizontal="center" vertical="center" wrapText="1"/>
    </xf>
    <xf numFmtId="0" fontId="27" fillId="0" borderId="7" xfId="5" applyFont="1" applyBorder="1" applyAlignment="1">
      <alignment horizontal="center" vertical="center" wrapText="1"/>
    </xf>
    <xf numFmtId="0" fontId="27" fillId="0" borderId="13" xfId="5" applyFont="1" applyBorder="1" applyAlignment="1">
      <alignment horizontal="center" vertical="center" wrapText="1"/>
    </xf>
    <xf numFmtId="0" fontId="27" fillId="0" borderId="12" xfId="5" applyFont="1" applyFill="1" applyBorder="1" applyAlignment="1">
      <alignment horizontal="center" vertical="center" wrapText="1"/>
    </xf>
    <xf numFmtId="0" fontId="27" fillId="0" borderId="7" xfId="5" applyFont="1" applyFill="1" applyBorder="1" applyAlignment="1">
      <alignment horizontal="center" vertical="center" wrapText="1"/>
    </xf>
    <xf numFmtId="0" fontId="27" fillId="0" borderId="13" xfId="5" applyFont="1" applyFill="1" applyBorder="1" applyAlignment="1">
      <alignment horizontal="center" vertical="center" wrapText="1"/>
    </xf>
    <xf numFmtId="0" fontId="29" fillId="0" borderId="12" xfId="5" applyFont="1" applyBorder="1" applyAlignment="1">
      <alignment horizontal="left" vertical="center" wrapText="1"/>
    </xf>
    <xf numFmtId="0" fontId="29" fillId="0" borderId="13" xfId="5" applyFont="1" applyBorder="1" applyAlignment="1">
      <alignment horizontal="left" vertical="center" wrapText="1"/>
    </xf>
    <xf numFmtId="0" fontId="28" fillId="0" borderId="12" xfId="5" applyFont="1" applyBorder="1" applyAlignment="1">
      <alignment horizontal="left" vertical="center" wrapText="1"/>
    </xf>
    <xf numFmtId="0" fontId="28" fillId="0" borderId="13" xfId="5" applyFont="1" applyBorder="1" applyAlignment="1">
      <alignment horizontal="left" vertical="center" wrapText="1"/>
    </xf>
    <xf numFmtId="0" fontId="36" fillId="4" borderId="4" xfId="5" applyFont="1" applyFill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4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1"/>
  <sheetViews>
    <sheetView tabSelected="1" zoomScale="85" zoomScaleNormal="85" workbookViewId="0">
      <selection activeCell="I31" sqref="I31"/>
    </sheetView>
  </sheetViews>
  <sheetFormatPr defaultColWidth="11.5703125" defaultRowHeight="12.75" x14ac:dyDescent="0.2"/>
  <cols>
    <col min="1" max="1" width="15.85546875" style="76" bestFit="1" customWidth="1"/>
    <col min="2" max="3" width="11.5703125" style="81"/>
    <col min="4" max="4" width="13.42578125" style="81" customWidth="1"/>
    <col min="5" max="6" width="12.5703125" style="16" customWidth="1"/>
    <col min="7" max="11" width="11.5703125" style="16"/>
  </cols>
  <sheetData>
    <row r="1" spans="1:11" s="59" customFormat="1" ht="60" x14ac:dyDescent="0.25">
      <c r="A1" s="75" t="s">
        <v>51</v>
      </c>
      <c r="B1" s="79" t="s">
        <v>0</v>
      </c>
      <c r="C1" s="79" t="s">
        <v>52</v>
      </c>
      <c r="D1" s="79" t="s">
        <v>53</v>
      </c>
      <c r="E1" s="78" t="s">
        <v>54</v>
      </c>
      <c r="F1" s="78" t="s">
        <v>55</v>
      </c>
      <c r="G1" s="78" t="s">
        <v>80</v>
      </c>
      <c r="H1" s="78" t="s">
        <v>81</v>
      </c>
      <c r="I1" s="78" t="s">
        <v>56</v>
      </c>
      <c r="J1" s="78" t="s">
        <v>57</v>
      </c>
      <c r="K1" s="78" t="s">
        <v>58</v>
      </c>
    </row>
    <row r="2" spans="1:11" x14ac:dyDescent="0.2">
      <c r="A2" s="76" t="s">
        <v>59</v>
      </c>
      <c r="B2" s="81">
        <v>1</v>
      </c>
      <c r="C2" s="81">
        <v>11</v>
      </c>
      <c r="D2" s="81">
        <v>2019</v>
      </c>
      <c r="E2" s="6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54983.598491999997</v>
      </c>
      <c r="F2" s="16">
        <v>1.27</v>
      </c>
      <c r="G2" s="62">
        <f>Gas!C4*0.9147</f>
        <v>2046.1839</v>
      </c>
      <c r="H2" s="16">
        <v>3.65</v>
      </c>
      <c r="I2" s="62">
        <f>Submetering!AE2+Submetering!AD2+Submetering!H2</f>
        <v>646</v>
      </c>
      <c r="J2" s="63">
        <v>10.029999999999999</v>
      </c>
      <c r="K2" s="62">
        <f>ELECT.!B4</f>
        <v>335</v>
      </c>
    </row>
    <row r="3" spans="1:11" x14ac:dyDescent="0.2">
      <c r="A3" s="76" t="s">
        <v>59</v>
      </c>
      <c r="B3" s="81">
        <f>B2+1</f>
        <v>2</v>
      </c>
      <c r="C3" s="81">
        <v>11</v>
      </c>
      <c r="D3" s="81">
        <v>2019</v>
      </c>
      <c r="E3" s="6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41428.727652000001</v>
      </c>
      <c r="F3" s="16">
        <v>1.27</v>
      </c>
      <c r="G3" s="62">
        <f>Gas!C5*0.9147</f>
        <v>2652.6299999999997</v>
      </c>
      <c r="H3" s="16">
        <v>3.65</v>
      </c>
      <c r="I3" s="62">
        <f>Submetering!AE3+Submetering!AD3+Submetering!H3</f>
        <v>956.00000000000011</v>
      </c>
      <c r="J3" s="63">
        <v>10.029999999999999</v>
      </c>
      <c r="K3" s="62">
        <f>ELECT.!B5</f>
        <v>323</v>
      </c>
    </row>
    <row r="4" spans="1:11" x14ac:dyDescent="0.2">
      <c r="A4" s="76" t="s">
        <v>59</v>
      </c>
      <c r="B4" s="81">
        <f t="shared" ref="B4:B31" si="0">B3+1</f>
        <v>3</v>
      </c>
      <c r="C4" s="81">
        <v>11</v>
      </c>
      <c r="D4" s="81">
        <v>2019</v>
      </c>
      <c r="E4" s="6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90057.330591999998</v>
      </c>
      <c r="F4" s="16">
        <v>1.27</v>
      </c>
      <c r="G4" s="62">
        <f>Gas!C6*0.9147</f>
        <v>3206.0234999999998</v>
      </c>
      <c r="H4" s="16">
        <v>3.65</v>
      </c>
      <c r="I4" s="62">
        <f>Submetering!AE4+Submetering!AD4+Submetering!H4</f>
        <v>915.99999999999989</v>
      </c>
      <c r="J4" s="63">
        <v>10.029999999999999</v>
      </c>
      <c r="K4" s="62">
        <f>ELECT.!B6</f>
        <v>345</v>
      </c>
    </row>
    <row r="5" spans="1:11" x14ac:dyDescent="0.2">
      <c r="A5" s="76" t="s">
        <v>59</v>
      </c>
      <c r="B5" s="81">
        <f t="shared" si="0"/>
        <v>4</v>
      </c>
      <c r="C5" s="81">
        <v>11</v>
      </c>
      <c r="D5" s="81">
        <v>2019</v>
      </c>
      <c r="E5" s="6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59673.98444</v>
      </c>
      <c r="F5" s="16">
        <v>1.27</v>
      </c>
      <c r="G5" s="62">
        <f>Gas!C7*0.9147</f>
        <v>3707.2790999999997</v>
      </c>
      <c r="H5" s="16">
        <v>3.65</v>
      </c>
      <c r="I5" s="62">
        <f>Submetering!AE5+Submetering!AD5+Submetering!H5</f>
        <v>936</v>
      </c>
      <c r="J5" s="63">
        <v>10.029999999999999</v>
      </c>
      <c r="K5" s="62">
        <f>ELECT.!B7</f>
        <v>338</v>
      </c>
    </row>
    <row r="6" spans="1:11" x14ac:dyDescent="0.2">
      <c r="A6" s="76" t="s">
        <v>59</v>
      </c>
      <c r="B6" s="81">
        <f t="shared" si="0"/>
        <v>5</v>
      </c>
      <c r="C6" s="81">
        <v>11</v>
      </c>
      <c r="D6" s="81">
        <v>2019</v>
      </c>
      <c r="E6" s="6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60207.436664000008</v>
      </c>
      <c r="F6" s="16">
        <v>1.27</v>
      </c>
      <c r="G6" s="62">
        <f>Gas!C8*0.9147</f>
        <v>3096.2594999999997</v>
      </c>
      <c r="H6" s="16">
        <v>3.65</v>
      </c>
      <c r="I6" s="62">
        <f>Submetering!AE6+Submetering!AD6+Submetering!H6</f>
        <v>926</v>
      </c>
      <c r="J6" s="63">
        <v>10.029999999999999</v>
      </c>
      <c r="K6" s="62">
        <f>ELECT.!B8</f>
        <v>345</v>
      </c>
    </row>
    <row r="7" spans="1:11" x14ac:dyDescent="0.2">
      <c r="A7" s="76" t="s">
        <v>59</v>
      </c>
      <c r="B7" s="81">
        <f t="shared" si="0"/>
        <v>6</v>
      </c>
      <c r="C7" s="81">
        <v>11</v>
      </c>
      <c r="D7" s="81">
        <v>2019</v>
      </c>
      <c r="E7" s="6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60689.821643999996</v>
      </c>
      <c r="F7" s="16">
        <v>1.27</v>
      </c>
      <c r="G7" s="62">
        <f>Gas!C9*0.9147</f>
        <v>2835.5699999999997</v>
      </c>
      <c r="H7" s="16">
        <v>3.65</v>
      </c>
      <c r="I7" s="62">
        <f>Submetering!AE7+Submetering!AD7+Submetering!H7</f>
        <v>995.99999999999989</v>
      </c>
      <c r="J7" s="63">
        <v>10.029999999999999</v>
      </c>
      <c r="K7" s="62">
        <f>ELECT.!B9</f>
        <v>358</v>
      </c>
    </row>
    <row r="8" spans="1:11" x14ac:dyDescent="0.2">
      <c r="A8" s="76" t="s">
        <v>59</v>
      </c>
      <c r="B8" s="81">
        <f t="shared" si="0"/>
        <v>7</v>
      </c>
      <c r="C8" s="81">
        <v>11</v>
      </c>
      <c r="D8" s="81">
        <v>2019</v>
      </c>
      <c r="E8" s="6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85211.209288000013</v>
      </c>
      <c r="F8" s="16">
        <v>1.27</v>
      </c>
      <c r="G8" s="62">
        <f>Gas!C10*0.9147</f>
        <v>3679.8380999999999</v>
      </c>
      <c r="H8" s="16">
        <v>3.65</v>
      </c>
      <c r="I8" s="62">
        <f>Submetering!AE8+Submetering!AD8+Submetering!H8</f>
        <v>996.00000000000011</v>
      </c>
      <c r="J8" s="63">
        <v>10.029999999999999</v>
      </c>
      <c r="K8" s="62">
        <f>ELECT.!B10</f>
        <v>360</v>
      </c>
    </row>
    <row r="9" spans="1:11" x14ac:dyDescent="0.2">
      <c r="A9" s="76" t="s">
        <v>59</v>
      </c>
      <c r="B9" s="81">
        <f t="shared" si="0"/>
        <v>8</v>
      </c>
      <c r="C9" s="81">
        <v>11</v>
      </c>
      <c r="D9" s="81">
        <v>2019</v>
      </c>
      <c r="E9" s="6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71363.167028000011</v>
      </c>
      <c r="F9" s="16">
        <v>1.27</v>
      </c>
      <c r="G9" s="62">
        <f>Gas!C11*0.9147</f>
        <v>3776.7963</v>
      </c>
      <c r="H9" s="16">
        <v>3.65</v>
      </c>
      <c r="I9" s="62">
        <f>Submetering!AE9+Submetering!AD9+Submetering!H9</f>
        <v>836</v>
      </c>
      <c r="J9" s="63">
        <v>10.029999999999999</v>
      </c>
      <c r="K9" s="62">
        <f>ELECT.!B11</f>
        <v>317</v>
      </c>
    </row>
    <row r="10" spans="1:11" x14ac:dyDescent="0.2">
      <c r="A10" s="76" t="s">
        <v>59</v>
      </c>
      <c r="B10" s="81">
        <f t="shared" si="0"/>
        <v>9</v>
      </c>
      <c r="C10" s="81">
        <v>11</v>
      </c>
      <c r="D10" s="81">
        <v>2019</v>
      </c>
      <c r="E10" s="6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59910.072187999998</v>
      </c>
      <c r="F10" s="16">
        <v>1.27</v>
      </c>
      <c r="G10" s="62">
        <f>Gas!C12*0.9147</f>
        <v>3436.5279</v>
      </c>
      <c r="H10" s="16">
        <v>3.65</v>
      </c>
      <c r="I10" s="62">
        <f>Submetering!AE10+Submetering!AD10+Submetering!H10</f>
        <v>926</v>
      </c>
      <c r="J10" s="63">
        <v>10.029999999999999</v>
      </c>
      <c r="K10" s="62">
        <f>ELECT.!B12</f>
        <v>332</v>
      </c>
    </row>
    <row r="11" spans="1:11" x14ac:dyDescent="0.2">
      <c r="A11" s="76" t="s">
        <v>59</v>
      </c>
      <c r="B11" s="81">
        <f t="shared" si="0"/>
        <v>10</v>
      </c>
      <c r="C11" s="81">
        <v>11</v>
      </c>
      <c r="D11" s="81">
        <v>2019</v>
      </c>
      <c r="E11" s="6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47826.610744000005</v>
      </c>
      <c r="F11" s="16">
        <v>1.27</v>
      </c>
      <c r="G11" s="62">
        <f>Gas!C13*0.9147</f>
        <v>2771.5409999999997</v>
      </c>
      <c r="H11" s="16">
        <v>3.65</v>
      </c>
      <c r="I11" s="62">
        <f>Submetering!AE11+Submetering!AD11+Submetering!H11</f>
        <v>916.00000000000011</v>
      </c>
      <c r="J11" s="63">
        <v>10.029999999999999</v>
      </c>
      <c r="K11" s="62">
        <f>ELECT.!B13</f>
        <v>322</v>
      </c>
    </row>
    <row r="12" spans="1:11" x14ac:dyDescent="0.2">
      <c r="A12" s="76" t="s">
        <v>59</v>
      </c>
      <c r="B12" s="81">
        <f t="shared" si="0"/>
        <v>11</v>
      </c>
      <c r="C12" s="81">
        <v>11</v>
      </c>
      <c r="D12" s="81">
        <v>2019</v>
      </c>
      <c r="E12" s="6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90402.907315999997</v>
      </c>
      <c r="F12" s="16">
        <v>1.27</v>
      </c>
      <c r="G12" s="62">
        <f>Gas!C14*0.9147</f>
        <v>3776.7963</v>
      </c>
      <c r="H12" s="16">
        <v>3.65</v>
      </c>
      <c r="I12" s="62">
        <f>Submetering!AE12+Submetering!AD12+Submetering!H12</f>
        <v>706</v>
      </c>
      <c r="J12" s="63">
        <v>10.029999999999999</v>
      </c>
      <c r="K12" s="62">
        <f>ELECT.!B14</f>
        <v>292</v>
      </c>
    </row>
    <row r="13" spans="1:11" x14ac:dyDescent="0.2">
      <c r="A13" s="76" t="s">
        <v>59</v>
      </c>
      <c r="B13" s="81">
        <f t="shared" si="0"/>
        <v>12</v>
      </c>
      <c r="C13" s="81">
        <v>11</v>
      </c>
      <c r="D13" s="81">
        <v>2019</v>
      </c>
      <c r="E13" s="6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58099.474940000007</v>
      </c>
      <c r="F13" s="16">
        <v>1.27</v>
      </c>
      <c r="G13" s="62">
        <f>Gas!C15*0.9147</f>
        <v>3185.9000999999998</v>
      </c>
      <c r="H13" s="16">
        <v>3.65</v>
      </c>
      <c r="I13" s="62">
        <f>Submetering!AE13+Submetering!AD13+Submetering!H13</f>
        <v>1036</v>
      </c>
      <c r="J13" s="63">
        <v>10.029999999999999</v>
      </c>
      <c r="K13" s="62">
        <f>ELECT.!B15</f>
        <v>325</v>
      </c>
    </row>
    <row r="14" spans="1:11" x14ac:dyDescent="0.2">
      <c r="A14" s="76" t="s">
        <v>59</v>
      </c>
      <c r="B14" s="81">
        <f t="shared" si="0"/>
        <v>13</v>
      </c>
      <c r="C14" s="81">
        <v>11</v>
      </c>
      <c r="D14" s="81">
        <v>2019</v>
      </c>
      <c r="E14" s="6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68287.446911999999</v>
      </c>
      <c r="F14" s="16">
        <v>1.27</v>
      </c>
      <c r="G14" s="62">
        <f>Gas!C16*0.9147</f>
        <v>3160.2884999999997</v>
      </c>
      <c r="H14" s="16">
        <v>3.65</v>
      </c>
      <c r="I14" s="62">
        <f>Submetering!AE14+Submetering!AD14+Submetering!H14</f>
        <v>896</v>
      </c>
      <c r="J14" s="63">
        <v>10.029999999999999</v>
      </c>
      <c r="K14" s="62">
        <f>ELECT.!B16</f>
        <v>340</v>
      </c>
    </row>
    <row r="15" spans="1:11" x14ac:dyDescent="0.2">
      <c r="A15" s="76" t="s">
        <v>59</v>
      </c>
      <c r="B15" s="81">
        <f t="shared" si="0"/>
        <v>14</v>
      </c>
      <c r="C15" s="81">
        <v>11</v>
      </c>
      <c r="D15" s="81">
        <v>2019</v>
      </c>
      <c r="E15" s="6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75594.092688000004</v>
      </c>
      <c r="F15" s="16">
        <v>1.27</v>
      </c>
      <c r="G15" s="62">
        <f>Gas!C17*0.9147</f>
        <v>2791.6643999999997</v>
      </c>
      <c r="H15" s="16">
        <v>3.65</v>
      </c>
      <c r="I15" s="62">
        <f>Submetering!AE15+Submetering!AD15+Submetering!H15</f>
        <v>916</v>
      </c>
      <c r="J15" s="63">
        <v>10.029999999999999</v>
      </c>
      <c r="K15" s="62">
        <f>ELECT.!B17</f>
        <v>340</v>
      </c>
    </row>
    <row r="16" spans="1:11" x14ac:dyDescent="0.2">
      <c r="A16" s="76" t="s">
        <v>59</v>
      </c>
      <c r="B16" s="81">
        <f t="shared" si="0"/>
        <v>15</v>
      </c>
      <c r="C16" s="81">
        <v>11</v>
      </c>
      <c r="D16" s="81">
        <v>2019</v>
      </c>
      <c r="E16" s="6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64099.995552</v>
      </c>
      <c r="F16" s="16">
        <v>1.27</v>
      </c>
      <c r="G16" s="62">
        <f>Gas!C18*0.9147</f>
        <v>3452.9924999999998</v>
      </c>
      <c r="H16" s="16">
        <v>3.65</v>
      </c>
      <c r="I16" s="62">
        <f>Submetering!AE16+Submetering!AD16+Submetering!H16</f>
        <v>836</v>
      </c>
      <c r="J16" s="63">
        <v>10.029999999999999</v>
      </c>
      <c r="K16" s="62">
        <f>ELECT.!B18</f>
        <v>332</v>
      </c>
    </row>
    <row r="17" spans="1:13" x14ac:dyDescent="0.2">
      <c r="A17" s="76" t="s">
        <v>59</v>
      </c>
      <c r="B17" s="81">
        <f t="shared" si="0"/>
        <v>16</v>
      </c>
      <c r="C17" s="81">
        <v>11</v>
      </c>
      <c r="D17" s="81">
        <v>2019</v>
      </c>
      <c r="E17" s="6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63992.823572000001</v>
      </c>
      <c r="F17" s="16">
        <v>1.27</v>
      </c>
      <c r="G17" s="62">
        <f>Gas!C19*0.9147</f>
        <v>2235.5268000000001</v>
      </c>
      <c r="H17" s="16">
        <v>3.65</v>
      </c>
      <c r="I17" s="62">
        <f>Submetering!AE17+Submetering!AD17+Submetering!H17</f>
        <v>875.99999999999989</v>
      </c>
      <c r="J17" s="63">
        <v>10.029999999999999</v>
      </c>
      <c r="K17" s="62">
        <f>ELECT.!B19</f>
        <v>364</v>
      </c>
    </row>
    <row r="18" spans="1:13" x14ac:dyDescent="0.2">
      <c r="A18" s="76" t="s">
        <v>59</v>
      </c>
      <c r="B18" s="81">
        <f t="shared" si="0"/>
        <v>17</v>
      </c>
      <c r="C18" s="81">
        <v>11</v>
      </c>
      <c r="D18" s="81">
        <v>2019</v>
      </c>
      <c r="E18" s="6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73886.532979999989</v>
      </c>
      <c r="F18" s="16">
        <v>1.27</v>
      </c>
      <c r="G18" s="62">
        <f>Gas!C20*0.9147</f>
        <v>2741.3559</v>
      </c>
      <c r="H18" s="16">
        <v>3.65</v>
      </c>
      <c r="I18" s="62">
        <f>Submetering!AE18+Submetering!AD18+Submetering!H18</f>
        <v>1016</v>
      </c>
      <c r="J18" s="63">
        <v>10.029999999999999</v>
      </c>
      <c r="K18" s="62">
        <f>ELECT.!B20</f>
        <v>303</v>
      </c>
    </row>
    <row r="19" spans="1:13" x14ac:dyDescent="0.2">
      <c r="A19" s="76" t="s">
        <v>59</v>
      </c>
      <c r="B19" s="81">
        <f t="shared" si="0"/>
        <v>18</v>
      </c>
      <c r="C19" s="81">
        <v>11</v>
      </c>
      <c r="D19" s="81">
        <v>2019</v>
      </c>
      <c r="E19" s="6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41831.275928000003</v>
      </c>
      <c r="F19" s="16">
        <v>1.27</v>
      </c>
      <c r="G19" s="62">
        <f>Gas!C21*0.9147</f>
        <v>3251.7584999999999</v>
      </c>
      <c r="H19" s="16">
        <v>3.65</v>
      </c>
      <c r="I19" s="62">
        <f>Submetering!AE19+Submetering!AD19+Submetering!H19</f>
        <v>1066</v>
      </c>
      <c r="J19" s="63">
        <v>10.029999999999999</v>
      </c>
      <c r="K19" s="62">
        <f>ELECT.!B21</f>
        <v>303</v>
      </c>
    </row>
    <row r="20" spans="1:13" x14ac:dyDescent="0.2">
      <c r="A20" s="76" t="s">
        <v>59</v>
      </c>
      <c r="B20" s="81">
        <f t="shared" si="0"/>
        <v>19</v>
      </c>
      <c r="C20" s="81">
        <v>11</v>
      </c>
      <c r="D20" s="81">
        <v>2019</v>
      </c>
      <c r="E20" s="6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81434.970260000002</v>
      </c>
      <c r="F20" s="16">
        <v>1.27</v>
      </c>
      <c r="G20" s="62">
        <f>Gas!C22*0.9147</f>
        <v>2940.7604999999999</v>
      </c>
      <c r="H20" s="16">
        <v>3.65</v>
      </c>
      <c r="I20" s="62">
        <f>Submetering!AE20+Submetering!AD20+Submetering!H20</f>
        <v>746</v>
      </c>
      <c r="J20" s="63">
        <v>10.029999999999999</v>
      </c>
      <c r="K20" s="62">
        <f>ELECT.!B22</f>
        <v>227</v>
      </c>
    </row>
    <row r="21" spans="1:13" x14ac:dyDescent="0.2">
      <c r="A21" s="76" t="s">
        <v>59</v>
      </c>
      <c r="B21" s="81">
        <f t="shared" si="0"/>
        <v>20</v>
      </c>
      <c r="C21" s="81">
        <v>11</v>
      </c>
      <c r="D21" s="81">
        <v>2019</v>
      </c>
      <c r="E21" s="6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51419.454079999996</v>
      </c>
      <c r="F21" s="16">
        <v>1.27</v>
      </c>
      <c r="G21" s="62">
        <f>Gas!C23*0.9147</f>
        <v>2718.4883999999997</v>
      </c>
      <c r="H21" s="16">
        <v>3.65</v>
      </c>
      <c r="I21" s="62">
        <f>Submetering!AE21+Submetering!AD21+Submetering!H21</f>
        <v>845.99999999999989</v>
      </c>
      <c r="J21" s="63">
        <v>10.029999999999999</v>
      </c>
      <c r="K21" s="62">
        <f>ELECT.!B23</f>
        <v>291</v>
      </c>
    </row>
    <row r="22" spans="1:13" x14ac:dyDescent="0.2">
      <c r="A22" s="76" t="s">
        <v>59</v>
      </c>
      <c r="B22" s="81">
        <f t="shared" si="0"/>
        <v>21</v>
      </c>
      <c r="C22" s="81">
        <v>11</v>
      </c>
      <c r="D22" s="81">
        <v>2019</v>
      </c>
      <c r="E22" s="6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49323.727724000004</v>
      </c>
      <c r="F22" s="16">
        <v>1.27</v>
      </c>
      <c r="G22" s="62">
        <f>Gas!C24*0.9147</f>
        <v>3066.0744</v>
      </c>
      <c r="H22" s="16">
        <v>3.65</v>
      </c>
      <c r="I22" s="62">
        <f>Submetering!AE22+Submetering!AD22+Submetering!H22</f>
        <v>856</v>
      </c>
      <c r="J22" s="63">
        <v>10.029999999999999</v>
      </c>
      <c r="K22" s="62">
        <f>ELECT.!B24</f>
        <v>333</v>
      </c>
    </row>
    <row r="23" spans="1:13" x14ac:dyDescent="0.2">
      <c r="A23" s="76" t="s">
        <v>59</v>
      </c>
      <c r="B23" s="81">
        <f t="shared" si="0"/>
        <v>22</v>
      </c>
      <c r="C23" s="81">
        <v>11</v>
      </c>
      <c r="D23" s="81">
        <v>2019</v>
      </c>
      <c r="E23" s="6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80611.361951999992</v>
      </c>
      <c r="F23" s="16">
        <v>1.27</v>
      </c>
      <c r="G23" s="62">
        <f>Gas!C25*0.9147</f>
        <v>2922.4665</v>
      </c>
      <c r="H23" s="16">
        <v>3.65</v>
      </c>
      <c r="I23" s="62">
        <f>Submetering!AE23+Submetering!AD23+Submetering!H23</f>
        <v>836</v>
      </c>
      <c r="J23" s="63">
        <v>10.029999999999999</v>
      </c>
      <c r="K23" s="62">
        <f>ELECT.!B25</f>
        <v>340</v>
      </c>
    </row>
    <row r="24" spans="1:13" x14ac:dyDescent="0.2">
      <c r="A24" s="76" t="s">
        <v>59</v>
      </c>
      <c r="B24" s="81">
        <f t="shared" si="0"/>
        <v>23</v>
      </c>
      <c r="C24" s="81">
        <v>11</v>
      </c>
      <c r="D24" s="81">
        <v>2019</v>
      </c>
      <c r="E24" s="6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48410.080519999996</v>
      </c>
      <c r="F24" s="16">
        <v>1.27</v>
      </c>
      <c r="G24" s="62">
        <f>Gas!C26*0.9147</f>
        <v>3394.4516999999996</v>
      </c>
      <c r="H24" s="16">
        <v>3.65</v>
      </c>
      <c r="I24" s="62">
        <f>Submetering!AE24+Submetering!AD24+Submetering!H24</f>
        <v>796</v>
      </c>
      <c r="J24" s="63">
        <v>10.029999999999999</v>
      </c>
      <c r="K24" s="62">
        <f>ELECT.!B26</f>
        <v>322</v>
      </c>
    </row>
    <row r="25" spans="1:13" x14ac:dyDescent="0.2">
      <c r="A25" s="76" t="s">
        <v>59</v>
      </c>
      <c r="B25" s="81">
        <f t="shared" si="0"/>
        <v>24</v>
      </c>
      <c r="C25" s="81">
        <v>11</v>
      </c>
      <c r="D25" s="81">
        <v>2019</v>
      </c>
      <c r="E25" s="6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73095.433184000009</v>
      </c>
      <c r="F25" s="16">
        <v>1.27</v>
      </c>
      <c r="G25" s="62">
        <f>Gas!C27*0.9147</f>
        <v>4744.5488999999998</v>
      </c>
      <c r="H25" s="16">
        <v>3.65</v>
      </c>
      <c r="I25" s="62">
        <f>Submetering!AE25+Submetering!AD25+Submetering!H25</f>
        <v>836</v>
      </c>
      <c r="J25" s="63">
        <v>10.029999999999999</v>
      </c>
      <c r="K25" s="62">
        <f>ELECT.!B27</f>
        <v>346</v>
      </c>
    </row>
    <row r="26" spans="1:13" x14ac:dyDescent="0.2">
      <c r="A26" s="76" t="s">
        <v>59</v>
      </c>
      <c r="B26" s="81">
        <f>B25+1</f>
        <v>25</v>
      </c>
      <c r="C26" s="81">
        <v>11</v>
      </c>
      <c r="D26" s="81">
        <v>2019</v>
      </c>
      <c r="E26" s="6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59694.399212000011</v>
      </c>
      <c r="F26" s="16">
        <v>1.27</v>
      </c>
      <c r="G26" s="62">
        <f>Gas!C28*0.9147</f>
        <v>4339.3368</v>
      </c>
      <c r="H26" s="16">
        <v>3.65</v>
      </c>
      <c r="I26" s="62">
        <f>Submetering!AE26+Submetering!AD26+Submetering!H26</f>
        <v>876</v>
      </c>
      <c r="J26" s="63">
        <v>10.029999999999999</v>
      </c>
      <c r="K26" s="62">
        <f>ELECT.!B28</f>
        <v>324</v>
      </c>
      <c r="M26" s="48" t="s">
        <v>13</v>
      </c>
    </row>
    <row r="27" spans="1:13" x14ac:dyDescent="0.2">
      <c r="A27" s="76" t="s">
        <v>59</v>
      </c>
      <c r="B27" s="81">
        <f t="shared" si="0"/>
        <v>26</v>
      </c>
      <c r="C27" s="81">
        <v>11</v>
      </c>
      <c r="D27" s="81">
        <v>2019</v>
      </c>
      <c r="E27" s="6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47052.989091999996</v>
      </c>
      <c r="F27" s="16">
        <v>1.27</v>
      </c>
      <c r="G27" s="62">
        <f>Gas!C29*0.9147</f>
        <v>2453.2253999999998</v>
      </c>
      <c r="H27" s="16">
        <v>3.65</v>
      </c>
      <c r="I27" s="62">
        <f>Submetering!AE27+Submetering!AD27+Submetering!H27</f>
        <v>876</v>
      </c>
      <c r="J27" s="63">
        <v>10.029999999999999</v>
      </c>
      <c r="K27" s="62">
        <f>ELECT.!B29</f>
        <v>327</v>
      </c>
    </row>
    <row r="28" spans="1:13" x14ac:dyDescent="0.2">
      <c r="A28" s="76" t="s">
        <v>59</v>
      </c>
      <c r="B28" s="81">
        <f t="shared" si="0"/>
        <v>27</v>
      </c>
      <c r="C28" s="81">
        <v>11</v>
      </c>
      <c r="D28" s="81">
        <v>2019</v>
      </c>
      <c r="E28" s="6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70367.805040000007</v>
      </c>
      <c r="F28" s="16">
        <v>1.27</v>
      </c>
      <c r="G28" s="62">
        <f>Gas!C30*0.9147</f>
        <v>3504.2156999999997</v>
      </c>
      <c r="H28" s="16">
        <v>3.65</v>
      </c>
      <c r="I28" s="62">
        <f>Submetering!AE28+Submetering!AD28+Submetering!H28</f>
        <v>906</v>
      </c>
      <c r="J28" s="63">
        <v>10.029999999999999</v>
      </c>
      <c r="K28" s="62">
        <f>ELECT.!B30</f>
        <v>344</v>
      </c>
    </row>
    <row r="29" spans="1:13" x14ac:dyDescent="0.2">
      <c r="A29" s="76" t="s">
        <v>59</v>
      </c>
      <c r="B29" s="81">
        <f t="shared" si="0"/>
        <v>28</v>
      </c>
      <c r="C29" s="81">
        <v>11</v>
      </c>
      <c r="D29" s="81">
        <v>2019</v>
      </c>
      <c r="E29" s="6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72910.231411999994</v>
      </c>
      <c r="F29" s="16">
        <v>1.27</v>
      </c>
      <c r="G29" s="62">
        <f>Gas!C31*0.9147</f>
        <v>3504.2156999999997</v>
      </c>
      <c r="H29" s="16">
        <v>3.65</v>
      </c>
      <c r="I29" s="62">
        <f>Submetering!AE29+Submetering!AD29+Submetering!H29</f>
        <v>916</v>
      </c>
      <c r="J29" s="63">
        <v>10.029999999999999</v>
      </c>
      <c r="K29" s="62">
        <f>ELECT.!B31</f>
        <v>350</v>
      </c>
    </row>
    <row r="30" spans="1:13" x14ac:dyDescent="0.2">
      <c r="A30" s="76" t="s">
        <v>59</v>
      </c>
      <c r="B30" s="81">
        <f t="shared" si="0"/>
        <v>29</v>
      </c>
      <c r="C30" s="81">
        <v>11</v>
      </c>
      <c r="D30" s="81">
        <v>2019</v>
      </c>
      <c r="E30" s="6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68747.554107999997</v>
      </c>
      <c r="F30" s="16">
        <v>1.27</v>
      </c>
      <c r="G30" s="62">
        <f>Gas!C32*0.9147</f>
        <v>3505.1304</v>
      </c>
      <c r="H30" s="16">
        <v>3.65</v>
      </c>
      <c r="I30" s="62">
        <f>Submetering!AE30+Submetering!AD30+Submetering!H30</f>
        <v>436</v>
      </c>
      <c r="J30" s="63">
        <v>10.029999999999999</v>
      </c>
      <c r="K30" s="62">
        <f>ELECT.!B32</f>
        <v>357</v>
      </c>
    </row>
    <row r="31" spans="1:13" x14ac:dyDescent="0.2">
      <c r="A31" s="76" t="s">
        <v>59</v>
      </c>
      <c r="B31" s="81">
        <f t="shared" si="0"/>
        <v>30</v>
      </c>
      <c r="C31" s="81">
        <v>11</v>
      </c>
      <c r="D31" s="81">
        <v>2019</v>
      </c>
      <c r="E31" s="6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62645.531991999997</v>
      </c>
      <c r="F31" s="16">
        <v>1.27</v>
      </c>
      <c r="G31" s="62">
        <f>Gas!C33*0.9147</f>
        <v>1907.1495</v>
      </c>
      <c r="H31" s="16">
        <v>3.65</v>
      </c>
      <c r="I31" s="62">
        <f>Submetering!AE31+Submetering!AD31+Submetering!H31</f>
        <v>756</v>
      </c>
      <c r="J31" s="63">
        <v>10.029999999999999</v>
      </c>
      <c r="K31" s="62">
        <f>ELECT.!B33</f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L1" zoomScale="85" zoomScaleNormal="85" workbookViewId="0">
      <selection activeCell="AE31" sqref="AE31"/>
    </sheetView>
  </sheetViews>
  <sheetFormatPr defaultColWidth="11.5703125" defaultRowHeight="12.75" x14ac:dyDescent="0.2"/>
  <cols>
    <col min="1" max="1" width="15.85546875" style="76" bestFit="1" customWidth="1"/>
    <col min="2" max="3" width="11.5703125" style="81"/>
    <col min="4" max="4" width="13.42578125" style="81" customWidth="1"/>
    <col min="5" max="17" width="12.5703125" style="62" customWidth="1"/>
    <col min="18" max="23" width="12.5703125" style="63" customWidth="1"/>
    <col min="24" max="25" width="11.5703125" style="60"/>
    <col min="27" max="27" width="13.7109375" bestFit="1" customWidth="1"/>
    <col min="28" max="28" width="13.5703125" bestFit="1" customWidth="1"/>
    <col min="30" max="30" width="15.5703125" customWidth="1"/>
  </cols>
  <sheetData>
    <row r="1" spans="1:31" s="59" customFormat="1" ht="60" x14ac:dyDescent="0.25">
      <c r="A1" s="75" t="s">
        <v>51</v>
      </c>
      <c r="B1" s="79" t="s">
        <v>0</v>
      </c>
      <c r="C1" s="79" t="s">
        <v>52</v>
      </c>
      <c r="D1" s="79" t="s">
        <v>53</v>
      </c>
      <c r="E1" s="80" t="s">
        <v>70</v>
      </c>
      <c r="F1" s="80" t="s">
        <v>71</v>
      </c>
      <c r="G1" s="80" t="s">
        <v>72</v>
      </c>
      <c r="H1" s="80" t="s">
        <v>73</v>
      </c>
      <c r="I1" s="80" t="s">
        <v>63</v>
      </c>
      <c r="J1" s="80" t="s">
        <v>62</v>
      </c>
      <c r="K1" s="80" t="s">
        <v>61</v>
      </c>
      <c r="L1" s="80" t="s">
        <v>64</v>
      </c>
      <c r="M1" s="80" t="s">
        <v>65</v>
      </c>
      <c r="N1" s="80" t="s">
        <v>66</v>
      </c>
      <c r="O1" s="80" t="s">
        <v>67</v>
      </c>
      <c r="P1" s="80" t="s">
        <v>68</v>
      </c>
      <c r="Q1" s="80" t="s">
        <v>82</v>
      </c>
      <c r="R1" s="82" t="s">
        <v>74</v>
      </c>
      <c r="S1" s="82" t="s">
        <v>75</v>
      </c>
      <c r="T1" s="82" t="s">
        <v>76</v>
      </c>
      <c r="U1" s="82" t="s">
        <v>77</v>
      </c>
      <c r="V1" s="82" t="s">
        <v>78</v>
      </c>
      <c r="W1" s="82" t="s">
        <v>79</v>
      </c>
      <c r="X1" s="77" t="s">
        <v>58</v>
      </c>
      <c r="Y1" s="169" t="s">
        <v>146</v>
      </c>
      <c r="Z1" s="59" t="s">
        <v>147</v>
      </c>
      <c r="AA1" s="59" t="s">
        <v>148</v>
      </c>
      <c r="AB1" s="59" t="s">
        <v>149</v>
      </c>
      <c r="AC1" s="59" t="s">
        <v>150</v>
      </c>
      <c r="AD1" s="170" t="s">
        <v>151</v>
      </c>
      <c r="AE1" s="170" t="s">
        <v>152</v>
      </c>
    </row>
    <row r="2" spans="1:31" x14ac:dyDescent="0.2">
      <c r="A2" s="76" t="s">
        <v>59</v>
      </c>
      <c r="B2" s="81">
        <v>1</v>
      </c>
      <c r="C2" s="81">
        <v>11</v>
      </c>
      <c r="D2" s="81">
        <v>2019</v>
      </c>
      <c r="E2" s="62">
        <f>Water!C4</f>
        <v>840</v>
      </c>
      <c r="F2" s="62">
        <f>Water!E4</f>
        <v>445.5</v>
      </c>
      <c r="G2" s="62">
        <f>Water!G4</f>
        <v>383.4</v>
      </c>
      <c r="H2" s="62">
        <f>Water!I4</f>
        <v>4.3469999999999995</v>
      </c>
      <c r="I2" s="62">
        <f>ELECT.!F4</f>
        <v>10617</v>
      </c>
      <c r="J2" s="62">
        <f>ELECT.!H4</f>
        <v>46719</v>
      </c>
      <c r="K2" s="62">
        <f>ELECT.!K4</f>
        <v>4746</v>
      </c>
      <c r="L2" s="62">
        <f>ELECT.!M4</f>
        <v>4082</v>
      </c>
      <c r="M2" s="62">
        <f>ELECT.!O4</f>
        <v>6390</v>
      </c>
      <c r="N2" s="62">
        <f>ELECT.!Q4</f>
        <v>7794</v>
      </c>
      <c r="O2" s="62">
        <f>ELECT.!S4</f>
        <v>9847</v>
      </c>
      <c r="P2" s="62">
        <f>ELECT.!W4*2</f>
        <v>22266</v>
      </c>
      <c r="Q2" s="62">
        <f>ELECT.!D4</f>
        <v>640</v>
      </c>
      <c r="R2" s="63">
        <f>BTU!C3</f>
        <v>7.9000000000014552</v>
      </c>
      <c r="S2" s="63">
        <f>BTU!F3</f>
        <v>1.8000000000001819</v>
      </c>
      <c r="T2" s="63">
        <f>BTU!I3</f>
        <v>4</v>
      </c>
      <c r="U2" s="63">
        <f>BTU!O3</f>
        <v>2.4000000000000909</v>
      </c>
      <c r="V2" s="63">
        <f>BTU!L3</f>
        <v>0.7999999999992724</v>
      </c>
      <c r="W2" s="63">
        <f>BTU!R3</f>
        <v>2.1000000000003638</v>
      </c>
      <c r="X2" s="60">
        <f>ELECT.!B4</f>
        <v>335</v>
      </c>
      <c r="Y2" s="60">
        <f>I2+J2-(K2+L2+M2+N2+O2+P2)</f>
        <v>2211</v>
      </c>
      <c r="Z2">
        <f>'Mall, Citadel, Rotana'!C4+'Mall, Citadel, Rotana'!E4+'Mall, Citadel, Rotana'!G4+'Mall, Citadel, Rotana'!I4</f>
        <v>1028</v>
      </c>
      <c r="AA2">
        <f>'Mall, Citadel, Rotana'!K4+'Mall, Citadel, Rotana'!M4</f>
        <v>480</v>
      </c>
      <c r="AB2">
        <f>'Mall, Citadel, Rotana'!O4</f>
        <v>3</v>
      </c>
      <c r="AC2">
        <f>'Mall, Citadel, Rotana'!Q4+'Mall, Citadel, Rotana'!S4</f>
        <v>106</v>
      </c>
      <c r="AD2" s="60">
        <f>(E2-H2-194)*0.1318</f>
        <v>84.569865399999998</v>
      </c>
      <c r="AE2" s="60">
        <f>E2-H2-AD2-194</f>
        <v>557.08313459999999</v>
      </c>
    </row>
    <row r="3" spans="1:31" x14ac:dyDescent="0.2">
      <c r="A3" s="76" t="s">
        <v>59</v>
      </c>
      <c r="B3" s="81">
        <f>B2+1</f>
        <v>2</v>
      </c>
      <c r="C3" s="81">
        <v>11</v>
      </c>
      <c r="D3" s="81">
        <v>2019</v>
      </c>
      <c r="E3" s="62">
        <f>Water!C5</f>
        <v>1150</v>
      </c>
      <c r="F3" s="62">
        <f>Water!E5</f>
        <v>594</v>
      </c>
      <c r="G3" s="62">
        <f>Water!G5</f>
        <v>510.3</v>
      </c>
      <c r="H3" s="62">
        <f>Water!I5</f>
        <v>5.5620000000000003</v>
      </c>
      <c r="I3" s="62">
        <f>ELECT.!F5</f>
        <v>8330</v>
      </c>
      <c r="J3" s="62">
        <f>ELECT.!H5</f>
        <v>35697</v>
      </c>
      <c r="K3" s="62">
        <f>ELECT.!K5</f>
        <v>3898</v>
      </c>
      <c r="L3" s="62">
        <f>ELECT.!M5</f>
        <v>3300</v>
      </c>
      <c r="M3" s="62">
        <f>ELECT.!O5</f>
        <v>4914</v>
      </c>
      <c r="N3" s="62">
        <f>ELECT.!Q5</f>
        <v>7867</v>
      </c>
      <c r="O3" s="62">
        <f>ELECT.!S5</f>
        <v>7475</v>
      </c>
      <c r="P3" s="62">
        <f>ELECT.!W5*2</f>
        <v>16928</v>
      </c>
      <c r="Q3" s="62">
        <f>ELECT.!D5</f>
        <v>960</v>
      </c>
      <c r="R3" s="63">
        <f>BTU!C4</f>
        <v>7.2999999999992724</v>
      </c>
      <c r="S3" s="63">
        <f>BTU!F4</f>
        <v>1</v>
      </c>
      <c r="T3" s="63">
        <f>BTU!I4</f>
        <v>3</v>
      </c>
      <c r="U3" s="63">
        <f>BTU!O4</f>
        <v>1.9000000000000909</v>
      </c>
      <c r="V3" s="63">
        <f>BTU!L4</f>
        <v>0.42000000000007276</v>
      </c>
      <c r="W3" s="63">
        <f>BTU!R4</f>
        <v>2.3000000000001819</v>
      </c>
      <c r="X3" s="60">
        <f>ELECT.!B5</f>
        <v>323</v>
      </c>
      <c r="Y3" s="60">
        <f t="shared" ref="Y3:Y31" si="0">I3+J3-(K3+L3+M3+N3+O3+P3)</f>
        <v>-355</v>
      </c>
      <c r="Z3">
        <f>'Mall, Citadel, Rotana'!C5+'Mall, Citadel, Rotana'!E5+'Mall, Citadel, Rotana'!G5+'Mall, Citadel, Rotana'!I5</f>
        <v>1335</v>
      </c>
      <c r="AA3">
        <f>'Mall, Citadel, Rotana'!K5+'Mall, Citadel, Rotana'!M5</f>
        <v>640</v>
      </c>
      <c r="AB3">
        <f>'Mall, Citadel, Rotana'!O5</f>
        <v>3</v>
      </c>
      <c r="AC3">
        <f>'Mall, Citadel, Rotana'!Q5+'Mall, Citadel, Rotana'!S5</f>
        <v>133</v>
      </c>
      <c r="AD3" s="60">
        <f t="shared" ref="AD3:AD31" si="1">(E3-H3-194)*0.1318</f>
        <v>125.26772840000001</v>
      </c>
      <c r="AE3" s="60">
        <f t="shared" ref="AE3:AE31" si="2">E3-H3-AD3-194</f>
        <v>825.17027160000009</v>
      </c>
    </row>
    <row r="4" spans="1:31" x14ac:dyDescent="0.2">
      <c r="A4" s="76" t="s">
        <v>59</v>
      </c>
      <c r="B4" s="81">
        <f t="shared" ref="B4:B31" si="3">B3+1</f>
        <v>3</v>
      </c>
      <c r="C4" s="81">
        <v>11</v>
      </c>
      <c r="D4" s="81">
        <v>2019</v>
      </c>
      <c r="E4" s="62">
        <f>Water!C6</f>
        <v>1110</v>
      </c>
      <c r="F4" s="62">
        <f>Water!E6</f>
        <v>583.20000000000005</v>
      </c>
      <c r="G4" s="62">
        <f>Water!G6</f>
        <v>450.9</v>
      </c>
      <c r="H4" s="62">
        <f>Water!I6</f>
        <v>5.5350000000000001</v>
      </c>
      <c r="I4" s="62">
        <f>ELECT.!F6</f>
        <v>18395</v>
      </c>
      <c r="J4" s="62">
        <f>ELECT.!H6</f>
        <v>74819</v>
      </c>
      <c r="K4" s="62">
        <f>ELECT.!K6</f>
        <v>7991</v>
      </c>
      <c r="L4" s="62">
        <f>ELECT.!M6</f>
        <v>7409</v>
      </c>
      <c r="M4" s="62">
        <f>ELECT.!O6</f>
        <v>10620</v>
      </c>
      <c r="N4" s="62">
        <f>ELECT.!Q6</f>
        <v>14736</v>
      </c>
      <c r="O4" s="62">
        <f>ELECT.!S6</f>
        <v>15350</v>
      </c>
      <c r="P4" s="62">
        <f>ELECT.!W6*2</f>
        <v>35338</v>
      </c>
      <c r="Q4" s="62">
        <f>ELECT.!D6</f>
        <v>960</v>
      </c>
      <c r="R4" s="63">
        <f>BTU!C5</f>
        <v>6.7999999999992724</v>
      </c>
      <c r="S4" s="63">
        <f>BTU!F5</f>
        <v>1.7999999999997272</v>
      </c>
      <c r="T4" s="63">
        <f>BTU!I5</f>
        <v>3</v>
      </c>
      <c r="U4" s="63">
        <f>BTU!O5</f>
        <v>2.1999999999998181</v>
      </c>
      <c r="V4" s="63">
        <f>BTU!L5</f>
        <v>0.38000000000101863</v>
      </c>
      <c r="W4" s="63">
        <f>BTU!R5</f>
        <v>1.0999999999994543</v>
      </c>
      <c r="X4" s="60">
        <f>ELECT.!B6</f>
        <v>345</v>
      </c>
      <c r="Y4" s="60">
        <f t="shared" si="0"/>
        <v>1770</v>
      </c>
      <c r="Z4">
        <f>'Mall, Citadel, Rotana'!C6+'Mall, Citadel, Rotana'!E6+'Mall, Citadel, Rotana'!G6+'Mall, Citadel, Rotana'!I6</f>
        <v>1159</v>
      </c>
      <c r="AA4">
        <f>'Mall, Citadel, Rotana'!K6+'Mall, Citadel, Rotana'!M6</f>
        <v>640</v>
      </c>
      <c r="AB4">
        <f>'Mall, Citadel, Rotana'!O6</f>
        <v>3</v>
      </c>
      <c r="AC4">
        <f>'Mall, Citadel, Rotana'!Q6+'Mall, Citadel, Rotana'!S6</f>
        <v>145</v>
      </c>
      <c r="AD4" s="60">
        <f t="shared" si="1"/>
        <v>119.999287</v>
      </c>
      <c r="AE4" s="60">
        <f t="shared" si="2"/>
        <v>790.46571299999994</v>
      </c>
    </row>
    <row r="5" spans="1:31" x14ac:dyDescent="0.2">
      <c r="A5" s="76" t="s">
        <v>59</v>
      </c>
      <c r="B5" s="81">
        <f t="shared" si="3"/>
        <v>4</v>
      </c>
      <c r="C5" s="81">
        <v>11</v>
      </c>
      <c r="D5" s="81">
        <v>2019</v>
      </c>
      <c r="E5" s="62">
        <f>Water!C7</f>
        <v>1130</v>
      </c>
      <c r="F5" s="62">
        <f>Water!E7</f>
        <v>588.6</v>
      </c>
      <c r="G5" s="62">
        <f>Water!G7</f>
        <v>469.8</v>
      </c>
      <c r="H5" s="62">
        <f>Water!I7</f>
        <v>5.4539999999999997</v>
      </c>
      <c r="I5" s="62">
        <f>ELECT.!F7</f>
        <v>12023</v>
      </c>
      <c r="J5" s="62">
        <f>ELECT.!H7</f>
        <v>50422</v>
      </c>
      <c r="K5" s="62">
        <f>ELECT.!K7</f>
        <v>5623</v>
      </c>
      <c r="L5" s="62">
        <f>ELECT.!M7</f>
        <v>4943</v>
      </c>
      <c r="M5" s="62">
        <f>ELECT.!O7</f>
        <v>7116</v>
      </c>
      <c r="N5" s="62">
        <f>ELECT.!Q7</f>
        <v>9931</v>
      </c>
      <c r="O5" s="62">
        <f>ELECT.!S7</f>
        <v>10058</v>
      </c>
      <c r="P5" s="62">
        <f>ELECT.!W7*2</f>
        <v>24052</v>
      </c>
      <c r="Q5" s="62">
        <f>ELECT.!D7</f>
        <v>800</v>
      </c>
      <c r="R5" s="63">
        <f>BTU!C6</f>
        <v>9.2000000000007276</v>
      </c>
      <c r="S5" s="63">
        <f>BTU!F6</f>
        <v>2.4000000000000909</v>
      </c>
      <c r="T5" s="63">
        <f>BTU!I6</f>
        <v>3</v>
      </c>
      <c r="U5" s="63">
        <f>BTU!O6</f>
        <v>2.5</v>
      </c>
      <c r="V5" s="63">
        <f>BTU!L6</f>
        <v>0.3999999999996362</v>
      </c>
      <c r="W5" s="63">
        <f>BTU!R6</f>
        <v>1.5</v>
      </c>
      <c r="X5" s="60">
        <f>ELECT.!B7</f>
        <v>338</v>
      </c>
      <c r="Y5" s="60">
        <f t="shared" si="0"/>
        <v>722</v>
      </c>
      <c r="Z5">
        <f>'Mall, Citadel, Rotana'!C7+'Mall, Citadel, Rotana'!E7+'Mall, Citadel, Rotana'!G7+'Mall, Citadel, Rotana'!I7</f>
        <v>1060</v>
      </c>
      <c r="AA5">
        <f>'Mall, Citadel, Rotana'!K7+'Mall, Citadel, Rotana'!M7</f>
        <v>800</v>
      </c>
      <c r="AB5">
        <f>'Mall, Citadel, Rotana'!O7</f>
        <v>3</v>
      </c>
      <c r="AC5">
        <f>'Mall, Citadel, Rotana'!Q7+'Mall, Citadel, Rotana'!S7</f>
        <v>133</v>
      </c>
      <c r="AD5" s="60">
        <f t="shared" si="1"/>
        <v>122.64596280000001</v>
      </c>
      <c r="AE5" s="60">
        <f t="shared" si="2"/>
        <v>807.90003720000004</v>
      </c>
    </row>
    <row r="6" spans="1:31" x14ac:dyDescent="0.2">
      <c r="A6" s="76" t="s">
        <v>59</v>
      </c>
      <c r="B6" s="81">
        <f t="shared" si="3"/>
        <v>5</v>
      </c>
      <c r="C6" s="81">
        <v>11</v>
      </c>
      <c r="D6" s="81">
        <v>2019</v>
      </c>
      <c r="E6" s="62">
        <f>Water!C8</f>
        <v>1120</v>
      </c>
      <c r="F6" s="62">
        <f>Water!E8</f>
        <v>580.5</v>
      </c>
      <c r="G6" s="62">
        <f>Water!G8</f>
        <v>480.6</v>
      </c>
      <c r="H6" s="62">
        <f>Water!I8</f>
        <v>5.3460000000000001</v>
      </c>
      <c r="I6" s="62">
        <f>ELECT.!F8</f>
        <v>12147</v>
      </c>
      <c r="J6" s="62">
        <f>ELECT.!H8</f>
        <v>51121</v>
      </c>
      <c r="K6" s="62">
        <f>ELECT.!K8</f>
        <v>5281</v>
      </c>
      <c r="L6" s="62">
        <f>ELECT.!M8</f>
        <v>4717</v>
      </c>
      <c r="M6" s="62">
        <f>ELECT.!O8</f>
        <v>7224</v>
      </c>
      <c r="N6" s="62">
        <f>ELECT.!Q8</f>
        <v>10166</v>
      </c>
      <c r="O6" s="62">
        <f>ELECT.!S8</f>
        <v>10006</v>
      </c>
      <c r="P6" s="62">
        <f>ELECT.!W8*2</f>
        <v>23940</v>
      </c>
      <c r="Q6" s="62">
        <f>ELECT.!D8</f>
        <v>1120</v>
      </c>
      <c r="R6" s="63">
        <f>BTU!C7</f>
        <v>8</v>
      </c>
      <c r="S6" s="63">
        <f>BTU!F7</f>
        <v>2.5999999999999091</v>
      </c>
      <c r="T6" s="63">
        <f>BTU!I7</f>
        <v>4</v>
      </c>
      <c r="U6" s="63">
        <f>BTU!O7</f>
        <v>2.2000000000002728</v>
      </c>
      <c r="V6" s="63">
        <f>BTU!L7</f>
        <v>0.6000000000003638</v>
      </c>
      <c r="W6" s="63">
        <f>BTU!R7</f>
        <v>1.1000000000003638</v>
      </c>
      <c r="X6" s="60">
        <f>ELECT.!B8</f>
        <v>345</v>
      </c>
      <c r="Y6" s="60">
        <f t="shared" si="0"/>
        <v>1934</v>
      </c>
      <c r="Z6">
        <f>'Mall, Citadel, Rotana'!C8+'Mall, Citadel, Rotana'!E8+'Mall, Citadel, Rotana'!G8+'Mall, Citadel, Rotana'!I8</f>
        <v>1482</v>
      </c>
      <c r="AA6">
        <f>'Mall, Citadel, Rotana'!K8+'Mall, Citadel, Rotana'!M8</f>
        <v>640</v>
      </c>
      <c r="AB6">
        <f>'Mall, Citadel, Rotana'!O8</f>
        <v>3</v>
      </c>
      <c r="AC6">
        <f>'Mall, Citadel, Rotana'!Q8+'Mall, Citadel, Rotana'!S8</f>
        <v>158</v>
      </c>
      <c r="AD6" s="60">
        <f t="shared" si="1"/>
        <v>121.3421972</v>
      </c>
      <c r="AE6" s="60">
        <f t="shared" si="2"/>
        <v>799.31180280000001</v>
      </c>
    </row>
    <row r="7" spans="1:31" x14ac:dyDescent="0.2">
      <c r="A7" s="76" t="s">
        <v>59</v>
      </c>
      <c r="B7" s="81">
        <f t="shared" si="3"/>
        <v>6</v>
      </c>
      <c r="C7" s="81">
        <v>11</v>
      </c>
      <c r="D7" s="81">
        <v>2019</v>
      </c>
      <c r="E7" s="62">
        <f>Water!C9</f>
        <v>1190</v>
      </c>
      <c r="F7" s="62">
        <f>Water!E9</f>
        <v>631.79999999999995</v>
      </c>
      <c r="G7" s="62">
        <f>Water!G9</f>
        <v>477.9</v>
      </c>
      <c r="H7" s="62">
        <f>Water!I9</f>
        <v>5.8049999999999997</v>
      </c>
      <c r="I7" s="62">
        <f>ELECT.!F9</f>
        <v>12301</v>
      </c>
      <c r="J7" s="62">
        <f>ELECT.!H9</f>
        <v>50976</v>
      </c>
      <c r="K7" s="62">
        <f>ELECT.!K9</f>
        <v>5526</v>
      </c>
      <c r="L7" s="62">
        <f>ELECT.!M9</f>
        <v>4730</v>
      </c>
      <c r="M7" s="62">
        <f>ELECT.!O9</f>
        <v>7420</v>
      </c>
      <c r="N7" s="62">
        <f>ELECT.!Q9</f>
        <v>10518</v>
      </c>
      <c r="O7" s="62">
        <f>ELECT.!S9</f>
        <v>10293</v>
      </c>
      <c r="P7" s="62">
        <f>ELECT.!W9*2</f>
        <v>24548</v>
      </c>
      <c r="Q7" s="62">
        <f>ELECT.!D9</f>
        <v>800</v>
      </c>
      <c r="R7" s="63">
        <f>BTU!C8</f>
        <v>8.7999999999992724</v>
      </c>
      <c r="S7" s="63">
        <f>BTU!F8</f>
        <v>2.0999999999999091</v>
      </c>
      <c r="T7" s="63">
        <f>BTU!I8</f>
        <v>4</v>
      </c>
      <c r="U7" s="63">
        <f>BTU!O8</f>
        <v>2.1999999999998181</v>
      </c>
      <c r="V7" s="63">
        <f>BTU!L8</f>
        <v>0.3999999999996362</v>
      </c>
      <c r="W7" s="63">
        <f>BTU!R8</f>
        <v>1</v>
      </c>
      <c r="X7" s="60">
        <f>ELECT.!B9</f>
        <v>358</v>
      </c>
      <c r="Y7" s="60">
        <f t="shared" si="0"/>
        <v>242</v>
      </c>
      <c r="Z7">
        <f>'Mall, Citadel, Rotana'!C9+'Mall, Citadel, Rotana'!E9+'Mall, Citadel, Rotana'!G9+'Mall, Citadel, Rotana'!I9</f>
        <v>1061</v>
      </c>
      <c r="AA7">
        <f>'Mall, Citadel, Rotana'!K9+'Mall, Citadel, Rotana'!M9</f>
        <v>640</v>
      </c>
      <c r="AB7">
        <f>'Mall, Citadel, Rotana'!O9</f>
        <v>3</v>
      </c>
      <c r="AC7">
        <f>'Mall, Citadel, Rotana'!Q9+'Mall, Citadel, Rotana'!S9</f>
        <v>88</v>
      </c>
      <c r="AD7" s="60">
        <f t="shared" si="1"/>
        <v>130.507701</v>
      </c>
      <c r="AE7" s="60">
        <f t="shared" si="2"/>
        <v>859.68729899999994</v>
      </c>
    </row>
    <row r="8" spans="1:31" x14ac:dyDescent="0.2">
      <c r="A8" s="76" t="s">
        <v>59</v>
      </c>
      <c r="B8" s="81">
        <f t="shared" si="3"/>
        <v>7</v>
      </c>
      <c r="C8" s="81">
        <v>11</v>
      </c>
      <c r="D8" s="81">
        <v>2019</v>
      </c>
      <c r="E8" s="62">
        <f>Water!C10</f>
        <v>1190</v>
      </c>
      <c r="F8" s="62">
        <f>Water!E10</f>
        <v>612.9</v>
      </c>
      <c r="G8" s="62">
        <f>Water!G10</f>
        <v>518.4</v>
      </c>
      <c r="H8" s="62">
        <f>Water!I10</f>
        <v>5.5620000000000003</v>
      </c>
      <c r="I8" s="62">
        <f>ELECT.!F10</f>
        <v>17439</v>
      </c>
      <c r="J8" s="62">
        <f>ELECT.!H10</f>
        <v>71265</v>
      </c>
      <c r="K8" s="62">
        <f>ELECT.!K10</f>
        <v>7518</v>
      </c>
      <c r="L8" s="62">
        <f>ELECT.!M10</f>
        <v>6660</v>
      </c>
      <c r="M8" s="62">
        <f>ELECT.!O10</f>
        <v>10578</v>
      </c>
      <c r="N8" s="62">
        <f>ELECT.!Q10</f>
        <v>15018</v>
      </c>
      <c r="O8" s="62">
        <f>ELECT.!S10</f>
        <v>14560</v>
      </c>
      <c r="P8" s="62">
        <f>ELECT.!W10*2</f>
        <v>32822</v>
      </c>
      <c r="Q8" s="62">
        <f>ELECT.!D10</f>
        <v>960</v>
      </c>
      <c r="R8" s="63">
        <f>BTU!C9</f>
        <v>9.2000000000007276</v>
      </c>
      <c r="S8" s="63">
        <f>BTU!F9</f>
        <v>2.6000000000003638</v>
      </c>
      <c r="T8" s="63">
        <f>BTU!I9</f>
        <v>5</v>
      </c>
      <c r="U8" s="63">
        <f>BTU!O9</f>
        <v>2.5</v>
      </c>
      <c r="V8" s="63">
        <f>BTU!L9</f>
        <v>0.6000000000003638</v>
      </c>
      <c r="W8" s="63">
        <f>BTU!R9</f>
        <v>1.6000000000003638</v>
      </c>
      <c r="X8" s="60">
        <f>ELECT.!B10</f>
        <v>360</v>
      </c>
      <c r="Y8" s="60">
        <f t="shared" si="0"/>
        <v>1548</v>
      </c>
      <c r="Z8">
        <f>'Mall, Citadel, Rotana'!C10+'Mall, Citadel, Rotana'!E10+'Mall, Citadel, Rotana'!G10+'Mall, Citadel, Rotana'!I10</f>
        <v>1304</v>
      </c>
      <c r="AA8">
        <f>'Mall, Citadel, Rotana'!K10+'Mall, Citadel, Rotana'!M10</f>
        <v>800</v>
      </c>
      <c r="AB8">
        <f>'Mall, Citadel, Rotana'!O10</f>
        <v>4</v>
      </c>
      <c r="AC8">
        <f>'Mall, Citadel, Rotana'!Q10+'Mall, Citadel, Rotana'!S10</f>
        <v>204</v>
      </c>
      <c r="AD8" s="60">
        <f t="shared" si="1"/>
        <v>130.5397284</v>
      </c>
      <c r="AE8" s="60">
        <f t="shared" si="2"/>
        <v>859.89827160000004</v>
      </c>
    </row>
    <row r="9" spans="1:31" x14ac:dyDescent="0.2">
      <c r="A9" s="76" t="s">
        <v>59</v>
      </c>
      <c r="B9" s="81">
        <f t="shared" si="3"/>
        <v>8</v>
      </c>
      <c r="C9" s="81">
        <v>11</v>
      </c>
      <c r="D9" s="81">
        <v>2019</v>
      </c>
      <c r="E9" s="62">
        <f>Water!C11</f>
        <v>1030</v>
      </c>
      <c r="F9" s="62">
        <f>Water!E11</f>
        <v>521.1</v>
      </c>
      <c r="G9" s="62">
        <f>Water!G11</f>
        <v>453.6</v>
      </c>
      <c r="H9" s="62">
        <f>Water!I11</f>
        <v>4.7789999999999999</v>
      </c>
      <c r="I9" s="62">
        <f>ELECT.!F11</f>
        <v>14513</v>
      </c>
      <c r="J9" s="62">
        <f>ELECT.!H11</f>
        <v>59498</v>
      </c>
      <c r="K9" s="62">
        <f>ELECT.!K11</f>
        <v>5915</v>
      </c>
      <c r="L9" s="62">
        <f>ELECT.!M11</f>
        <v>5157</v>
      </c>
      <c r="M9" s="62">
        <f>ELECT.!O11</f>
        <v>9132</v>
      </c>
      <c r="N9" s="62">
        <f>ELECT.!Q11</f>
        <v>12728</v>
      </c>
      <c r="O9" s="62">
        <f>ELECT.!S11</f>
        <v>12101</v>
      </c>
      <c r="P9" s="62">
        <f>ELECT.!W11*2</f>
        <v>27666</v>
      </c>
      <c r="Q9" s="62">
        <f>ELECT.!D11</f>
        <v>800</v>
      </c>
      <c r="R9" s="63">
        <f>BTU!C10</f>
        <v>8.7999999999992724</v>
      </c>
      <c r="S9" s="63">
        <f>BTU!F10</f>
        <v>1.0999999999999091</v>
      </c>
      <c r="T9" s="63">
        <f>BTU!I10</f>
        <v>4</v>
      </c>
      <c r="U9" s="63">
        <f>BTU!O10</f>
        <v>2.0999999999999091</v>
      </c>
      <c r="V9" s="63">
        <f>BTU!L10</f>
        <v>0.3999999999996362</v>
      </c>
      <c r="W9" s="63">
        <f>BTU!R10</f>
        <v>1.5999999999994543</v>
      </c>
      <c r="X9" s="60">
        <f>ELECT.!B11</f>
        <v>317</v>
      </c>
      <c r="Y9" s="60">
        <f t="shared" si="0"/>
        <v>1312</v>
      </c>
      <c r="Z9">
        <f>'Mall, Citadel, Rotana'!C11+'Mall, Citadel, Rotana'!E11+'Mall, Citadel, Rotana'!G11+'Mall, Citadel, Rotana'!I11</f>
        <v>1054</v>
      </c>
      <c r="AA9">
        <f>'Mall, Citadel, Rotana'!K11+'Mall, Citadel, Rotana'!M11</f>
        <v>480</v>
      </c>
      <c r="AB9">
        <f>'Mall, Citadel, Rotana'!O11</f>
        <v>2</v>
      </c>
      <c r="AC9">
        <f>'Mall, Citadel, Rotana'!Q11+'Mall, Citadel, Rotana'!S11</f>
        <v>107</v>
      </c>
      <c r="AD9" s="60">
        <f t="shared" si="1"/>
        <v>109.5549278</v>
      </c>
      <c r="AE9" s="60">
        <f t="shared" si="2"/>
        <v>721.66607220000003</v>
      </c>
    </row>
    <row r="10" spans="1:31" x14ac:dyDescent="0.2">
      <c r="A10" s="76" t="s">
        <v>59</v>
      </c>
      <c r="B10" s="81">
        <f t="shared" si="3"/>
        <v>9</v>
      </c>
      <c r="C10" s="81">
        <v>11</v>
      </c>
      <c r="D10" s="81">
        <v>2019</v>
      </c>
      <c r="E10" s="62">
        <f>Water!C12</f>
        <v>1120</v>
      </c>
      <c r="F10" s="62">
        <f>Water!E12</f>
        <v>567</v>
      </c>
      <c r="G10" s="62">
        <f>Water!G12</f>
        <v>483.3</v>
      </c>
      <c r="H10" s="62">
        <f>Water!I12</f>
        <v>5.508</v>
      </c>
      <c r="I10" s="62">
        <f>ELECT.!F12</f>
        <v>12003</v>
      </c>
      <c r="J10" s="62">
        <f>ELECT.!H12</f>
        <v>50485</v>
      </c>
      <c r="K10" s="62">
        <f>ELECT.!K12</f>
        <v>5304</v>
      </c>
      <c r="L10" s="62">
        <f>ELECT.!M12</f>
        <v>4318</v>
      </c>
      <c r="M10" s="62">
        <f>ELECT.!O12</f>
        <v>7554</v>
      </c>
      <c r="N10" s="62">
        <f>ELECT.!Q12</f>
        <v>10564</v>
      </c>
      <c r="O10" s="62">
        <f>ELECT.!S12</f>
        <v>9869</v>
      </c>
      <c r="P10" s="62">
        <f>ELECT.!W12*2</f>
        <v>23988</v>
      </c>
      <c r="Q10" s="62">
        <f>ELECT.!D12</f>
        <v>800</v>
      </c>
      <c r="R10" s="63">
        <f>BTU!C11</f>
        <v>9.3060000000004948</v>
      </c>
      <c r="S10" s="63">
        <f>BTU!F11</f>
        <v>1.306999999999789</v>
      </c>
      <c r="T10" s="63">
        <f>BTU!I11</f>
        <v>4</v>
      </c>
      <c r="U10" s="63">
        <f>BTU!O11</f>
        <v>2.1640000000002146</v>
      </c>
      <c r="V10" s="63">
        <f>BTU!L11</f>
        <v>0.55999999999949068</v>
      </c>
      <c r="W10" s="63">
        <f>BTU!R11</f>
        <v>1.5500000000001819</v>
      </c>
      <c r="X10" s="60">
        <f>ELECT.!B12</f>
        <v>332</v>
      </c>
      <c r="Y10" s="60">
        <f t="shared" si="0"/>
        <v>891</v>
      </c>
      <c r="Z10">
        <f>'Mall, Citadel, Rotana'!C12+'Mall, Citadel, Rotana'!E12+'Mall, Citadel, Rotana'!G12+'Mall, Citadel, Rotana'!I12</f>
        <v>1180</v>
      </c>
      <c r="AA10">
        <f>'Mall, Citadel, Rotana'!K12+'Mall, Citadel, Rotana'!M12</f>
        <v>480</v>
      </c>
      <c r="AB10">
        <f>'Mall, Citadel, Rotana'!O12</f>
        <v>4</v>
      </c>
      <c r="AC10">
        <f>'Mall, Citadel, Rotana'!Q12+'Mall, Citadel, Rotana'!S12</f>
        <v>100</v>
      </c>
      <c r="AD10" s="60">
        <f t="shared" si="1"/>
        <v>121.3208456</v>
      </c>
      <c r="AE10" s="60">
        <f t="shared" si="2"/>
        <v>799.17115439999998</v>
      </c>
    </row>
    <row r="11" spans="1:31" x14ac:dyDescent="0.2">
      <c r="A11" s="76" t="s">
        <v>59</v>
      </c>
      <c r="B11" s="81">
        <f t="shared" si="3"/>
        <v>10</v>
      </c>
      <c r="C11" s="81">
        <v>11</v>
      </c>
      <c r="D11" s="81">
        <v>2019</v>
      </c>
      <c r="E11" s="62">
        <f>Water!C13</f>
        <v>1110</v>
      </c>
      <c r="F11" s="62">
        <f>Water!E13</f>
        <v>550.79999999999995</v>
      </c>
      <c r="G11" s="62">
        <f>Water!G13</f>
        <v>483.3</v>
      </c>
      <c r="H11" s="62">
        <f>Water!I13</f>
        <v>4.8600000000000003</v>
      </c>
      <c r="I11" s="62">
        <f>ELECT.!F13</f>
        <v>9598</v>
      </c>
      <c r="J11" s="62">
        <f>ELECT.!H13</f>
        <v>40769</v>
      </c>
      <c r="K11" s="62">
        <f>ELECT.!K13</f>
        <v>4164</v>
      </c>
      <c r="L11" s="62">
        <f>ELECT.!M13</f>
        <v>3365</v>
      </c>
      <c r="M11" s="62">
        <f>ELECT.!O13</f>
        <v>6106</v>
      </c>
      <c r="N11" s="62">
        <f>ELECT.!Q13</f>
        <v>8047</v>
      </c>
      <c r="O11" s="62">
        <f>ELECT.!S13</f>
        <v>8022</v>
      </c>
      <c r="P11" s="62">
        <f>ELECT.!W13*2</f>
        <v>19444</v>
      </c>
      <c r="Q11" s="62">
        <f>ELECT.!D13</f>
        <v>960</v>
      </c>
      <c r="R11" s="63">
        <f>BTU!C12</f>
        <v>10.138999999999214</v>
      </c>
      <c r="S11" s="63">
        <f>BTU!F12</f>
        <v>1.305000000000291</v>
      </c>
      <c r="T11" s="63">
        <f>BTU!I12</f>
        <v>5</v>
      </c>
      <c r="U11" s="63">
        <f>BTU!O12</f>
        <v>2.2480000000000473</v>
      </c>
      <c r="V11" s="63">
        <f>BTU!L12</f>
        <v>0.44000000000050932</v>
      </c>
      <c r="W11" s="63">
        <f>BTU!R12</f>
        <v>0.5</v>
      </c>
      <c r="X11" s="60">
        <f>ELECT.!B13</f>
        <v>322</v>
      </c>
      <c r="Y11" s="60">
        <f t="shared" si="0"/>
        <v>1219</v>
      </c>
      <c r="Z11">
        <f>'Mall, Citadel, Rotana'!C13+'Mall, Citadel, Rotana'!E13+'Mall, Citadel, Rotana'!G13+'Mall, Citadel, Rotana'!I13</f>
        <v>1340</v>
      </c>
      <c r="AA11">
        <f>'Mall, Citadel, Rotana'!K13+'Mall, Citadel, Rotana'!M13</f>
        <v>480</v>
      </c>
      <c r="AB11">
        <f>'Mall, Citadel, Rotana'!O13</f>
        <v>3</v>
      </c>
      <c r="AC11">
        <f>'Mall, Citadel, Rotana'!Q13+'Mall, Citadel, Rotana'!S13</f>
        <v>105</v>
      </c>
      <c r="AD11" s="60">
        <f t="shared" si="1"/>
        <v>120.08825200000001</v>
      </c>
      <c r="AE11" s="60">
        <f t="shared" si="2"/>
        <v>791.05174800000009</v>
      </c>
    </row>
    <row r="12" spans="1:31" x14ac:dyDescent="0.2">
      <c r="A12" s="76" t="s">
        <v>59</v>
      </c>
      <c r="B12" s="81">
        <f t="shared" si="3"/>
        <v>11</v>
      </c>
      <c r="C12" s="81">
        <v>11</v>
      </c>
      <c r="D12" s="81">
        <v>2019</v>
      </c>
      <c r="E12" s="62">
        <f>Water!C14</f>
        <v>900</v>
      </c>
      <c r="F12" s="62">
        <f>Water!E14</f>
        <v>448.2</v>
      </c>
      <c r="G12" s="62">
        <f>Water!G14</f>
        <v>405</v>
      </c>
      <c r="H12" s="62">
        <f>Water!I14</f>
        <v>3.9420000000000002</v>
      </c>
      <c r="I12" s="62">
        <f>ELECT.!F14</f>
        <v>18503</v>
      </c>
      <c r="J12" s="62">
        <f>ELECT.!H14</f>
        <v>74916</v>
      </c>
      <c r="K12" s="62">
        <f>ELECT.!K14</f>
        <v>7920</v>
      </c>
      <c r="L12" s="62">
        <f>ELECT.!M14</f>
        <v>7122</v>
      </c>
      <c r="M12" s="62">
        <f>ELECT.!O14</f>
        <v>11166</v>
      </c>
      <c r="N12" s="62">
        <f>ELECT.!Q14</f>
        <v>16076</v>
      </c>
      <c r="O12" s="62">
        <f>ELECT.!S14</f>
        <v>14895</v>
      </c>
      <c r="P12" s="62">
        <f>ELECT.!W14*2</f>
        <v>35104</v>
      </c>
      <c r="Q12" s="62">
        <f>ELECT.!D14</f>
        <v>960</v>
      </c>
      <c r="R12" s="63">
        <f>BTU!C13</f>
        <v>7.2530000000006112</v>
      </c>
      <c r="S12" s="63">
        <f>BTU!F13</f>
        <v>2.1019999999998618</v>
      </c>
      <c r="T12" s="63">
        <f>BTU!I13</f>
        <v>4</v>
      </c>
      <c r="U12" s="63">
        <f>BTU!O13</f>
        <v>2.1089999999999236</v>
      </c>
      <c r="V12" s="63">
        <f>BTU!L13</f>
        <v>0.6000000000003638</v>
      </c>
      <c r="W12" s="63">
        <f>BTU!R13</f>
        <v>2.8999999999996362</v>
      </c>
      <c r="X12" s="60">
        <f>ELECT.!B14</f>
        <v>292</v>
      </c>
      <c r="Y12" s="60">
        <f t="shared" si="0"/>
        <v>1136</v>
      </c>
      <c r="Z12">
        <f>'Mall, Citadel, Rotana'!C14+'Mall, Citadel, Rotana'!E14+'Mall, Citadel, Rotana'!G14+'Mall, Citadel, Rotana'!I14</f>
        <v>1179</v>
      </c>
      <c r="AA12">
        <f>'Mall, Citadel, Rotana'!K14+'Mall, Citadel, Rotana'!M14</f>
        <v>480</v>
      </c>
      <c r="AB12">
        <f>'Mall, Citadel, Rotana'!O14</f>
        <v>7</v>
      </c>
      <c r="AC12">
        <f>'Mall, Citadel, Rotana'!Q14+'Mall, Citadel, Rotana'!S14</f>
        <v>105</v>
      </c>
      <c r="AD12" s="60">
        <f t="shared" si="1"/>
        <v>92.531244400000006</v>
      </c>
      <c r="AE12" s="60">
        <f t="shared" si="2"/>
        <v>609.5267556</v>
      </c>
    </row>
    <row r="13" spans="1:31" x14ac:dyDescent="0.2">
      <c r="A13" s="76" t="s">
        <v>59</v>
      </c>
      <c r="B13" s="81">
        <f t="shared" si="3"/>
        <v>12</v>
      </c>
      <c r="C13" s="81">
        <v>11</v>
      </c>
      <c r="D13" s="81">
        <v>2019</v>
      </c>
      <c r="E13" s="62">
        <f>Water!C15</f>
        <v>1230</v>
      </c>
      <c r="F13" s="62">
        <f>Water!E15</f>
        <v>680.4</v>
      </c>
      <c r="G13" s="62">
        <f>Water!G15</f>
        <v>448.2</v>
      </c>
      <c r="H13" s="62">
        <f>Water!I15</f>
        <v>6.6959999999999997</v>
      </c>
      <c r="I13" s="62">
        <f>ELECT.!F15</f>
        <v>11613</v>
      </c>
      <c r="J13" s="62">
        <f>ELECT.!H15</f>
        <v>48792</v>
      </c>
      <c r="K13" s="62">
        <f>ELECT.!K15</f>
        <v>5182</v>
      </c>
      <c r="L13" s="62">
        <f>ELECT.!M15</f>
        <v>4437</v>
      </c>
      <c r="M13" s="62">
        <f>ELECT.!O15</f>
        <v>6972</v>
      </c>
      <c r="N13" s="62">
        <f>ELECT.!Q15</f>
        <v>9625</v>
      </c>
      <c r="O13" s="62">
        <f>ELECT.!S15</f>
        <v>12391</v>
      </c>
      <c r="P13" s="62">
        <f>ELECT.!W15*2</f>
        <v>23194</v>
      </c>
      <c r="Q13" s="62">
        <f>ELECT.!D15</f>
        <v>480</v>
      </c>
      <c r="R13" s="63">
        <f>BTU!C14</f>
        <v>7.2669999999998254</v>
      </c>
      <c r="S13" s="63">
        <f>BTU!F14</f>
        <v>1.8670000000001892</v>
      </c>
      <c r="T13" s="63">
        <f>BTU!I14</f>
        <v>3</v>
      </c>
      <c r="U13" s="63">
        <f>BTU!O14</f>
        <v>1.7959999999998217</v>
      </c>
      <c r="V13" s="63">
        <f>BTU!L14</f>
        <v>0.44999999999890861</v>
      </c>
      <c r="W13" s="63">
        <f>BTU!R14</f>
        <v>1.7400000000006912</v>
      </c>
      <c r="X13" s="60">
        <f>ELECT.!B15</f>
        <v>325</v>
      </c>
      <c r="Y13" s="60">
        <f t="shared" si="0"/>
        <v>-1396</v>
      </c>
      <c r="Z13">
        <f>'Mall, Citadel, Rotana'!C15+'Mall, Citadel, Rotana'!E15+'Mall, Citadel, Rotana'!G15+'Mall, Citadel, Rotana'!I15</f>
        <v>1143</v>
      </c>
      <c r="AA13">
        <f>'Mall, Citadel, Rotana'!K15+'Mall, Citadel, Rotana'!M15</f>
        <v>320</v>
      </c>
      <c r="AB13">
        <f>'Mall, Citadel, Rotana'!O15</f>
        <v>4</v>
      </c>
      <c r="AC13">
        <f>'Mall, Citadel, Rotana'!Q15+'Mall, Citadel, Rotana'!S15</f>
        <v>88</v>
      </c>
      <c r="AD13" s="60">
        <f t="shared" si="1"/>
        <v>135.6622672</v>
      </c>
      <c r="AE13" s="60">
        <f t="shared" si="2"/>
        <v>893.6417328</v>
      </c>
    </row>
    <row r="14" spans="1:31" x14ac:dyDescent="0.2">
      <c r="A14" s="76" t="s">
        <v>59</v>
      </c>
      <c r="B14" s="81">
        <f t="shared" si="3"/>
        <v>13</v>
      </c>
      <c r="C14" s="81">
        <v>11</v>
      </c>
      <c r="D14" s="81">
        <v>2019</v>
      </c>
      <c r="E14" s="62">
        <f>Water!C16</f>
        <v>1090</v>
      </c>
      <c r="F14" s="62">
        <f>Water!E16</f>
        <v>577.79999999999995</v>
      </c>
      <c r="G14" s="62">
        <f>Water!G16</f>
        <v>461.7</v>
      </c>
      <c r="H14" s="62">
        <f>Water!I16</f>
        <v>5.508</v>
      </c>
      <c r="I14" s="62">
        <f>ELECT.!F16</f>
        <v>13384</v>
      </c>
      <c r="J14" s="62">
        <f>ELECT.!H16</f>
        <v>58067</v>
      </c>
      <c r="K14" s="62">
        <f>ELECT.!K16</f>
        <v>6062</v>
      </c>
      <c r="L14" s="62">
        <f>ELECT.!M16</f>
        <v>5088</v>
      </c>
      <c r="M14" s="62">
        <f>ELECT.!O16</f>
        <v>8158</v>
      </c>
      <c r="N14" s="62">
        <f>ELECT.!Q16</f>
        <v>11281</v>
      </c>
      <c r="O14" s="62">
        <f>ELECT.!S16</f>
        <v>9186</v>
      </c>
      <c r="P14" s="62">
        <f>ELECT.!W16*2</f>
        <v>28082</v>
      </c>
      <c r="Q14" s="62">
        <f>ELECT.!D16</f>
        <v>480</v>
      </c>
      <c r="R14" s="63">
        <f>BTU!C15</f>
        <v>8.672999999998865</v>
      </c>
      <c r="S14" s="63">
        <f>BTU!F15</f>
        <v>2.2599999999997635</v>
      </c>
      <c r="T14" s="63">
        <f>BTU!I15</f>
        <v>5</v>
      </c>
      <c r="U14" s="63">
        <f>BTU!O15</f>
        <v>2.2890000000002146</v>
      </c>
      <c r="V14" s="63">
        <f>BTU!L15</f>
        <v>0.46000000000094587</v>
      </c>
      <c r="W14" s="63">
        <f>BTU!R15</f>
        <v>1.7199999999993452</v>
      </c>
      <c r="X14" s="60">
        <f>ELECT.!B16</f>
        <v>340</v>
      </c>
      <c r="Y14" s="60">
        <f t="shared" si="0"/>
        <v>3594</v>
      </c>
      <c r="Z14">
        <f>'Mall, Citadel, Rotana'!C16+'Mall, Citadel, Rotana'!E16+'Mall, Citadel, Rotana'!G16+'Mall, Citadel, Rotana'!I16</f>
        <v>1364</v>
      </c>
      <c r="AA14">
        <f>'Mall, Citadel, Rotana'!K16+'Mall, Citadel, Rotana'!M16</f>
        <v>640</v>
      </c>
      <c r="AB14">
        <f>'Mall, Citadel, Rotana'!O16</f>
        <v>3</v>
      </c>
      <c r="AC14">
        <f>'Mall, Citadel, Rotana'!Q16+'Mall, Citadel, Rotana'!S16</f>
        <v>131</v>
      </c>
      <c r="AD14" s="60">
        <f t="shared" si="1"/>
        <v>117.36684559999999</v>
      </c>
      <c r="AE14" s="60">
        <f t="shared" si="2"/>
        <v>773.12515439999993</v>
      </c>
    </row>
    <row r="15" spans="1:31" x14ac:dyDescent="0.2">
      <c r="A15" s="76" t="s">
        <v>59</v>
      </c>
      <c r="B15" s="81">
        <f t="shared" si="3"/>
        <v>14</v>
      </c>
      <c r="C15" s="81">
        <v>11</v>
      </c>
      <c r="D15" s="81">
        <v>2019</v>
      </c>
      <c r="E15" s="62">
        <f>Water!C17</f>
        <v>1110</v>
      </c>
      <c r="F15" s="62">
        <f>Water!E17</f>
        <v>577.79999999999995</v>
      </c>
      <c r="G15" s="62">
        <f>Water!G17</f>
        <v>507.59999999999997</v>
      </c>
      <c r="H15" s="62">
        <f>Water!I17</f>
        <v>5.6429999999999998</v>
      </c>
      <c r="I15" s="62">
        <f>ELECT.!F17</f>
        <v>14768</v>
      </c>
      <c r="J15" s="62">
        <f>ELECT.!H17</f>
        <v>63565</v>
      </c>
      <c r="K15" s="62">
        <f>ELECT.!K17</f>
        <v>6586</v>
      </c>
      <c r="L15" s="62">
        <f>ELECT.!M17</f>
        <v>5326</v>
      </c>
      <c r="M15" s="62">
        <f>ELECT.!O17</f>
        <v>9228</v>
      </c>
      <c r="N15" s="62">
        <f>ELECT.!Q17</f>
        <v>12478</v>
      </c>
      <c r="O15" s="62">
        <f>ELECT.!S17</f>
        <v>12916</v>
      </c>
      <c r="P15" s="62">
        <f>ELECT.!W17*2</f>
        <v>30316</v>
      </c>
      <c r="Q15" s="62">
        <f>ELECT.!D17</f>
        <v>480</v>
      </c>
      <c r="R15" s="63">
        <f>BTU!C16</f>
        <v>7.2330000000001746</v>
      </c>
      <c r="S15" s="63">
        <f>BTU!F16</f>
        <v>1.7260000000001128</v>
      </c>
      <c r="T15" s="63">
        <f>BTU!I16</f>
        <v>3</v>
      </c>
      <c r="U15" s="63">
        <f>BTU!O16</f>
        <v>1.9200000000000728</v>
      </c>
      <c r="V15" s="63">
        <f>BTU!L16</f>
        <v>0.37999999999919964</v>
      </c>
      <c r="W15" s="63">
        <f>BTU!R16</f>
        <v>2.3900000000003274</v>
      </c>
      <c r="X15" s="60">
        <f>ELECT.!B17</f>
        <v>340</v>
      </c>
      <c r="Y15" s="60">
        <f t="shared" si="0"/>
        <v>1483</v>
      </c>
      <c r="Z15">
        <f>'Mall, Citadel, Rotana'!C17+'Mall, Citadel, Rotana'!E17+'Mall, Citadel, Rotana'!G17+'Mall, Citadel, Rotana'!I17</f>
        <v>1184</v>
      </c>
      <c r="AA15">
        <f>'Mall, Citadel, Rotana'!K17+'Mall, Citadel, Rotana'!M17</f>
        <v>320</v>
      </c>
      <c r="AB15">
        <f>'Mall, Citadel, Rotana'!O17</f>
        <v>1</v>
      </c>
      <c r="AC15">
        <f>'Mall, Citadel, Rotana'!Q17+'Mall, Citadel, Rotana'!S17</f>
        <v>150</v>
      </c>
      <c r="AD15" s="60">
        <f t="shared" si="1"/>
        <v>119.9850526</v>
      </c>
      <c r="AE15" s="60">
        <f t="shared" si="2"/>
        <v>790.37194739999995</v>
      </c>
    </row>
    <row r="16" spans="1:31" x14ac:dyDescent="0.2">
      <c r="A16" s="76" t="s">
        <v>59</v>
      </c>
      <c r="B16" s="81">
        <f t="shared" si="3"/>
        <v>15</v>
      </c>
      <c r="C16" s="81">
        <v>11</v>
      </c>
      <c r="D16" s="81">
        <v>2019</v>
      </c>
      <c r="E16" s="62">
        <f>Water!C18</f>
        <v>1030</v>
      </c>
      <c r="F16" s="62">
        <f>Water!E18</f>
        <v>467.1</v>
      </c>
      <c r="G16" s="62">
        <f>Water!G18</f>
        <v>437.4</v>
      </c>
      <c r="H16" s="62">
        <f>Water!I18</f>
        <v>3.375</v>
      </c>
      <c r="I16" s="62">
        <f>ELECT.!F18</f>
        <v>12735</v>
      </c>
      <c r="J16" s="62">
        <f>ELECT.!H18</f>
        <v>54332</v>
      </c>
      <c r="K16" s="62">
        <f>ELECT.!K18</f>
        <v>5408</v>
      </c>
      <c r="L16" s="62">
        <f>ELECT.!M18</f>
        <v>4647</v>
      </c>
      <c r="M16" s="62">
        <f>ELECT.!O18</f>
        <v>7952</v>
      </c>
      <c r="N16" s="62">
        <f>ELECT.!Q18</f>
        <v>10617</v>
      </c>
      <c r="O16" s="62">
        <f>ELECT.!S18</f>
        <v>11282</v>
      </c>
      <c r="P16" s="62">
        <f>ELECT.!W18*2</f>
        <v>26246</v>
      </c>
      <c r="Q16" s="62">
        <f>ELECT.!D18</f>
        <v>1280</v>
      </c>
      <c r="R16" s="63">
        <f>BTU!C17</f>
        <v>9.9690000000009604</v>
      </c>
      <c r="S16" s="63">
        <f>BTU!F17</f>
        <v>1.7210000000000036</v>
      </c>
      <c r="T16" s="63">
        <f>BTU!I17</f>
        <v>4</v>
      </c>
      <c r="U16" s="63">
        <f>BTU!O17</f>
        <v>2.6739999999999782</v>
      </c>
      <c r="V16" s="63">
        <f>BTU!L17</f>
        <v>0.51000000000021828</v>
      </c>
      <c r="W16" s="63">
        <f>BTU!R17</f>
        <v>1.0200000000004366</v>
      </c>
      <c r="X16" s="60">
        <f>ELECT.!B18</f>
        <v>332</v>
      </c>
      <c r="Y16" s="60">
        <f t="shared" si="0"/>
        <v>915</v>
      </c>
      <c r="Z16">
        <f>'Mall, Citadel, Rotana'!C18+'Mall, Citadel, Rotana'!E18+'Mall, Citadel, Rotana'!G18+'Mall, Citadel, Rotana'!I18</f>
        <v>1335</v>
      </c>
      <c r="AA16">
        <f>'Mall, Citadel, Rotana'!K18+'Mall, Citadel, Rotana'!M18</f>
        <v>640</v>
      </c>
      <c r="AB16">
        <f>'Mall, Citadel, Rotana'!O18</f>
        <v>1</v>
      </c>
      <c r="AC16">
        <f>'Mall, Citadel, Rotana'!Q18+'Mall, Citadel, Rotana'!S18</f>
        <v>200</v>
      </c>
      <c r="AD16" s="60">
        <f t="shared" si="1"/>
        <v>109.739975</v>
      </c>
      <c r="AE16" s="60">
        <f t="shared" si="2"/>
        <v>722.88502500000004</v>
      </c>
    </row>
    <row r="17" spans="1:31" x14ac:dyDescent="0.2">
      <c r="A17" s="76" t="s">
        <v>59</v>
      </c>
      <c r="B17" s="81">
        <f t="shared" si="3"/>
        <v>16</v>
      </c>
      <c r="C17" s="81">
        <v>11</v>
      </c>
      <c r="D17" s="81">
        <v>2019</v>
      </c>
      <c r="E17" s="62">
        <f>Water!C19</f>
        <v>1070</v>
      </c>
      <c r="F17" s="62">
        <f>Water!E19</f>
        <v>531.9</v>
      </c>
      <c r="G17" s="62">
        <f>Water!G19</f>
        <v>475.2</v>
      </c>
      <c r="H17" s="62">
        <f>Water!I19</f>
        <v>5.2649999999999997</v>
      </c>
      <c r="I17" s="62">
        <f>ELECT.!F19</f>
        <v>12614</v>
      </c>
      <c r="J17" s="62">
        <f>ELECT.!H19</f>
        <v>54513</v>
      </c>
      <c r="K17" s="62">
        <f>ELECT.!K19</f>
        <v>5339</v>
      </c>
      <c r="L17" s="62">
        <f>ELECT.!M19</f>
        <v>4607</v>
      </c>
      <c r="M17" s="62">
        <f>ELECT.!O19</f>
        <v>7820</v>
      </c>
      <c r="N17" s="62">
        <f>ELECT.!Q19</f>
        <v>10479</v>
      </c>
      <c r="O17" s="62">
        <f>ELECT.!S19</f>
        <v>11101</v>
      </c>
      <c r="P17" s="62">
        <f>ELECT.!W19*2</f>
        <v>26282</v>
      </c>
      <c r="Q17" s="62">
        <f>ELECT.!D19</f>
        <v>480</v>
      </c>
      <c r="R17" s="63">
        <f>BTU!C18</f>
        <v>6.8699999999989814</v>
      </c>
      <c r="S17" s="63">
        <f>BTU!F18</f>
        <v>0.84999999999990905</v>
      </c>
      <c r="T17" s="63">
        <f>BTU!I18</f>
        <v>3</v>
      </c>
      <c r="U17" s="63">
        <f>BTU!O18</f>
        <v>1.7999999999997272</v>
      </c>
      <c r="V17" s="63">
        <f>BTU!L18</f>
        <v>0.30000000000109139</v>
      </c>
      <c r="W17" s="63">
        <f>BTU!R18</f>
        <v>0.77999999999974534</v>
      </c>
      <c r="X17" s="60">
        <f>ELECT.!B19</f>
        <v>364</v>
      </c>
      <c r="Y17" s="60">
        <f t="shared" si="0"/>
        <v>1499</v>
      </c>
      <c r="Z17">
        <f>'Mall, Citadel, Rotana'!C19+'Mall, Citadel, Rotana'!E19+'Mall, Citadel, Rotana'!G19+'Mall, Citadel, Rotana'!I19</f>
        <v>1066</v>
      </c>
      <c r="AA17">
        <f>'Mall, Citadel, Rotana'!K19+'Mall, Citadel, Rotana'!M19</f>
        <v>960</v>
      </c>
      <c r="AB17">
        <f>'Mall, Citadel, Rotana'!O19</f>
        <v>2</v>
      </c>
      <c r="AC17">
        <f>'Mall, Citadel, Rotana'!Q19+'Mall, Citadel, Rotana'!S19</f>
        <v>187</v>
      </c>
      <c r="AD17" s="60">
        <f t="shared" si="1"/>
        <v>114.76287299999998</v>
      </c>
      <c r="AE17" s="60">
        <f t="shared" si="2"/>
        <v>755.97212699999989</v>
      </c>
    </row>
    <row r="18" spans="1:31" x14ac:dyDescent="0.2">
      <c r="A18" s="76" t="s">
        <v>59</v>
      </c>
      <c r="B18" s="81">
        <f t="shared" si="3"/>
        <v>17</v>
      </c>
      <c r="C18" s="81">
        <v>11</v>
      </c>
      <c r="D18" s="81">
        <v>2019</v>
      </c>
      <c r="E18" s="62">
        <f>Water!C20</f>
        <v>1210</v>
      </c>
      <c r="F18" s="62">
        <f>Water!E20</f>
        <v>569.70000000000005</v>
      </c>
      <c r="G18" s="62">
        <f>Water!G20</f>
        <v>486</v>
      </c>
      <c r="H18" s="62">
        <f>Water!I20</f>
        <v>5.13</v>
      </c>
      <c r="I18" s="62">
        <f>ELECT.!F20</f>
        <v>14519</v>
      </c>
      <c r="J18" s="62">
        <f>ELECT.!H20</f>
        <v>62491</v>
      </c>
      <c r="K18" s="62">
        <f>ELECT.!K20</f>
        <v>7154</v>
      </c>
      <c r="L18" s="62">
        <f>ELECT.!M20</f>
        <v>5449</v>
      </c>
      <c r="M18" s="62">
        <f>ELECT.!O20</f>
        <v>8844</v>
      </c>
      <c r="N18" s="62">
        <f>ELECT.!Q20</f>
        <v>11811</v>
      </c>
      <c r="O18" s="62">
        <f>ELECT.!S20</f>
        <v>12917</v>
      </c>
      <c r="P18" s="62">
        <f>ELECT.!W20*2</f>
        <v>29778</v>
      </c>
      <c r="Q18" s="62">
        <f>ELECT.!D20</f>
        <v>800</v>
      </c>
      <c r="R18" s="63">
        <f>BTU!C19</f>
        <v>7.408000000003085</v>
      </c>
      <c r="S18" s="63">
        <f>BTU!F19</f>
        <v>1.5579999999999927</v>
      </c>
      <c r="T18" s="63">
        <f>BTU!I19</f>
        <v>3</v>
      </c>
      <c r="U18" s="63">
        <f>BTU!O19</f>
        <v>1.9569999999998799</v>
      </c>
      <c r="V18" s="63">
        <f>BTU!L19</f>
        <v>0.53999999999905413</v>
      </c>
      <c r="W18" s="63">
        <f>BTU!R19</f>
        <v>1.1300000000001091</v>
      </c>
      <c r="X18" s="60">
        <f>ELECT.!B20</f>
        <v>303</v>
      </c>
      <c r="Y18" s="60">
        <f t="shared" si="0"/>
        <v>1057</v>
      </c>
      <c r="Z18">
        <f>'Mall, Citadel, Rotana'!C20+'Mall, Citadel, Rotana'!E20+'Mall, Citadel, Rotana'!G20+'Mall, Citadel, Rotana'!I20</f>
        <v>1157</v>
      </c>
      <c r="AA18">
        <f>'Mall, Citadel, Rotana'!K20+'Mall, Citadel, Rotana'!M20</f>
        <v>800</v>
      </c>
      <c r="AB18">
        <f>'Mall, Citadel, Rotana'!O20</f>
        <v>4</v>
      </c>
      <c r="AC18">
        <f>'Mall, Citadel, Rotana'!Q20+'Mall, Citadel, Rotana'!S20</f>
        <v>180</v>
      </c>
      <c r="AD18" s="60">
        <f t="shared" si="1"/>
        <v>133.23266599999999</v>
      </c>
      <c r="AE18" s="60">
        <f t="shared" si="2"/>
        <v>877.63733400000001</v>
      </c>
    </row>
    <row r="19" spans="1:31" x14ac:dyDescent="0.2">
      <c r="A19" s="76" t="s">
        <v>59</v>
      </c>
      <c r="B19" s="81">
        <f t="shared" si="3"/>
        <v>18</v>
      </c>
      <c r="C19" s="81">
        <v>11</v>
      </c>
      <c r="D19" s="81">
        <v>2019</v>
      </c>
      <c r="E19" s="62">
        <f>Water!C21</f>
        <v>1260</v>
      </c>
      <c r="F19" s="62">
        <f>Water!E21</f>
        <v>464.4</v>
      </c>
      <c r="G19" s="62">
        <f>Water!G21</f>
        <v>453.6</v>
      </c>
      <c r="H19" s="62">
        <f>Water!I21</f>
        <v>5.2649999999999997</v>
      </c>
      <c r="I19" s="62">
        <f>ELECT.!F21</f>
        <v>8294</v>
      </c>
      <c r="J19" s="62">
        <f>ELECT.!H21</f>
        <v>36418</v>
      </c>
      <c r="K19" s="62">
        <f>ELECT.!K21</f>
        <v>3954</v>
      </c>
      <c r="L19" s="62">
        <f>ELECT.!M21</f>
        <v>3194</v>
      </c>
      <c r="M19" s="62">
        <f>ELECT.!O21</f>
        <v>5010</v>
      </c>
      <c r="N19" s="62">
        <f>ELECT.!Q21</f>
        <v>6736</v>
      </c>
      <c r="O19" s="62">
        <f>ELECT.!S21</f>
        <v>7446</v>
      </c>
      <c r="P19" s="62">
        <f>ELECT.!W21*2</f>
        <v>17796</v>
      </c>
      <c r="Q19" s="62">
        <f>ELECT.!D21</f>
        <v>480</v>
      </c>
      <c r="R19" s="63">
        <f>BTU!C20</f>
        <v>7.8919999999998254</v>
      </c>
      <c r="S19" s="63">
        <f>BTU!F20</f>
        <v>2.1869999999998981</v>
      </c>
      <c r="T19" s="63">
        <f>BTU!I20</f>
        <v>4</v>
      </c>
      <c r="U19" s="63">
        <f>BTU!O20</f>
        <v>2.2780000000002474</v>
      </c>
      <c r="V19" s="63">
        <f>BTU!L20</f>
        <v>0.46999999999934516</v>
      </c>
      <c r="W19" s="63">
        <f>BTU!R20</f>
        <v>1.069999999999709</v>
      </c>
      <c r="X19" s="60">
        <f>ELECT.!B21</f>
        <v>303</v>
      </c>
      <c r="Y19" s="60">
        <f t="shared" si="0"/>
        <v>576</v>
      </c>
      <c r="Z19">
        <f>'Mall, Citadel, Rotana'!C21+'Mall, Citadel, Rotana'!E21+'Mall, Citadel, Rotana'!G21+'Mall, Citadel, Rotana'!I21</f>
        <v>1476</v>
      </c>
      <c r="AA19">
        <f>'Mall, Citadel, Rotana'!K21+'Mall, Citadel, Rotana'!M21</f>
        <v>640</v>
      </c>
      <c r="AB19">
        <f>'Mall, Citadel, Rotana'!O21</f>
        <v>3</v>
      </c>
      <c r="AC19">
        <f>'Mall, Citadel, Rotana'!Q21+'Mall, Citadel, Rotana'!S21</f>
        <v>199</v>
      </c>
      <c r="AD19" s="60">
        <f t="shared" si="1"/>
        <v>139.80487299999999</v>
      </c>
      <c r="AE19" s="60">
        <f t="shared" si="2"/>
        <v>920.93012699999986</v>
      </c>
    </row>
    <row r="20" spans="1:31" x14ac:dyDescent="0.2">
      <c r="A20" s="76" t="s">
        <v>59</v>
      </c>
      <c r="B20" s="81">
        <f t="shared" si="3"/>
        <v>19</v>
      </c>
      <c r="C20" s="81">
        <v>11</v>
      </c>
      <c r="D20" s="81">
        <v>2019</v>
      </c>
      <c r="E20" s="62">
        <f>Water!C22</f>
        <v>940</v>
      </c>
      <c r="F20" s="62">
        <f>Water!E22</f>
        <v>521.1</v>
      </c>
      <c r="G20" s="62">
        <f>Water!G22</f>
        <v>464.4</v>
      </c>
      <c r="H20" s="62">
        <f>Water!I22</f>
        <v>5.4539999999999997</v>
      </c>
      <c r="I20" s="62">
        <f>ELECT.!F22</f>
        <v>15492</v>
      </c>
      <c r="J20" s="62">
        <f>ELECT.!H22</f>
        <v>69206</v>
      </c>
      <c r="K20" s="62">
        <f>ELECT.!K22</f>
        <v>7290</v>
      </c>
      <c r="L20" s="62">
        <f>ELECT.!M22</f>
        <v>6260</v>
      </c>
      <c r="M20" s="62">
        <f>ELECT.!O22</f>
        <v>9030</v>
      </c>
      <c r="N20" s="62">
        <f>ELECT.!Q22</f>
        <v>11883</v>
      </c>
      <c r="O20" s="62">
        <f>ELECT.!S22</f>
        <v>14797</v>
      </c>
      <c r="P20" s="62">
        <f>ELECT.!W22*2</f>
        <v>34118</v>
      </c>
      <c r="Q20" s="62">
        <f>ELECT.!D22</f>
        <v>640</v>
      </c>
      <c r="R20" s="63">
        <f>BTU!C21</f>
        <v>6.1899999999986903</v>
      </c>
      <c r="S20" s="63">
        <f>BTU!F21</f>
        <v>1.7170000000000982</v>
      </c>
      <c r="T20" s="63">
        <f>BTU!I21</f>
        <v>3</v>
      </c>
      <c r="U20" s="63">
        <f>BTU!O21</f>
        <v>2.1649999999999636</v>
      </c>
      <c r="V20" s="63">
        <f>BTU!L21</f>
        <v>0.29000000000087311</v>
      </c>
      <c r="W20" s="63">
        <f>BTU!R21</f>
        <v>1</v>
      </c>
      <c r="X20" s="60">
        <f>ELECT.!B22</f>
        <v>227</v>
      </c>
      <c r="Y20" s="60">
        <f t="shared" si="0"/>
        <v>1320</v>
      </c>
      <c r="Z20">
        <f>'Mall, Citadel, Rotana'!C22+'Mall, Citadel, Rotana'!E22+'Mall, Citadel, Rotana'!G22+'Mall, Citadel, Rotana'!I22</f>
        <v>1186</v>
      </c>
      <c r="AA20">
        <f>'Mall, Citadel, Rotana'!K22+'Mall, Citadel, Rotana'!M22</f>
        <v>800</v>
      </c>
      <c r="AB20">
        <f>'Mall, Citadel, Rotana'!O22</f>
        <v>3</v>
      </c>
      <c r="AC20">
        <f>'Mall, Citadel, Rotana'!Q22+'Mall, Citadel, Rotana'!S22</f>
        <v>195</v>
      </c>
      <c r="AD20" s="60">
        <f t="shared" si="1"/>
        <v>97.603962800000005</v>
      </c>
      <c r="AE20" s="60">
        <f t="shared" si="2"/>
        <v>642.94203720000007</v>
      </c>
    </row>
    <row r="21" spans="1:31" x14ac:dyDescent="0.2">
      <c r="A21" s="76" t="s">
        <v>59</v>
      </c>
      <c r="B21" s="81">
        <f t="shared" si="3"/>
        <v>20</v>
      </c>
      <c r="C21" s="81">
        <v>11</v>
      </c>
      <c r="D21" s="81">
        <v>2019</v>
      </c>
      <c r="E21" s="62">
        <f>Water!C23</f>
        <v>1040</v>
      </c>
      <c r="F21" s="62">
        <f>Water!E23</f>
        <v>591.29999999999995</v>
      </c>
      <c r="G21" s="62">
        <f>Water!G23</f>
        <v>432</v>
      </c>
      <c r="H21" s="62">
        <f>Water!I23</f>
        <v>5.8319999999999999</v>
      </c>
      <c r="I21" s="62">
        <f>ELECT.!F23</f>
        <v>9911</v>
      </c>
      <c r="J21" s="62">
        <f>ELECT.!H23</f>
        <v>43765</v>
      </c>
      <c r="K21" s="62">
        <f>ELECT.!K23</f>
        <v>4901</v>
      </c>
      <c r="L21" s="62">
        <f>ELECT.!M23</f>
        <v>4097</v>
      </c>
      <c r="M21" s="62">
        <f>ELECT.!O23</f>
        <v>5668</v>
      </c>
      <c r="N21" s="62">
        <f>ELECT.!Q23</f>
        <v>7621</v>
      </c>
      <c r="O21" s="62">
        <f>ELECT.!S23</f>
        <v>9064</v>
      </c>
      <c r="P21" s="62">
        <f>ELECT.!W23*2</f>
        <v>21456</v>
      </c>
      <c r="Q21" s="62">
        <f>ELECT.!D23</f>
        <v>320</v>
      </c>
      <c r="R21" s="63">
        <f>BTU!C22</f>
        <v>4.7999999999992724</v>
      </c>
      <c r="S21" s="63">
        <f>BTU!F22</f>
        <v>1.3000000000001819</v>
      </c>
      <c r="T21" s="63">
        <f>BTU!I22</f>
        <v>3</v>
      </c>
      <c r="U21" s="63">
        <f>BTU!O22</f>
        <v>1.75</v>
      </c>
      <c r="V21" s="63">
        <f>BTU!L22</f>
        <v>0.6000000000003638</v>
      </c>
      <c r="W21" s="63">
        <f>BTU!R22</f>
        <v>0.3999999999996362</v>
      </c>
      <c r="X21" s="60">
        <f>ELECT.!B23</f>
        <v>291</v>
      </c>
      <c r="Y21" s="60">
        <f t="shared" si="0"/>
        <v>869</v>
      </c>
      <c r="Z21">
        <f>'Mall, Citadel, Rotana'!C23+'Mall, Citadel, Rotana'!E23+'Mall, Citadel, Rotana'!G23+'Mall, Citadel, Rotana'!I23</f>
        <v>879</v>
      </c>
      <c r="AA21">
        <f>'Mall, Citadel, Rotana'!K23+'Mall, Citadel, Rotana'!M23</f>
        <v>480</v>
      </c>
      <c r="AB21">
        <f>'Mall, Citadel, Rotana'!O23</f>
        <v>2</v>
      </c>
      <c r="AC21">
        <f>'Mall, Citadel, Rotana'!Q23+'Mall, Citadel, Rotana'!S23</f>
        <v>201</v>
      </c>
      <c r="AD21" s="60">
        <f t="shared" si="1"/>
        <v>110.73414239999998</v>
      </c>
      <c r="AE21" s="60">
        <f t="shared" si="2"/>
        <v>729.4338575999999</v>
      </c>
    </row>
    <row r="22" spans="1:31" x14ac:dyDescent="0.2">
      <c r="A22" s="76" t="s">
        <v>59</v>
      </c>
      <c r="B22" s="81">
        <f t="shared" si="3"/>
        <v>21</v>
      </c>
      <c r="C22" s="81">
        <v>11</v>
      </c>
      <c r="D22" s="81">
        <v>2019</v>
      </c>
      <c r="E22" s="62">
        <f>Water!C24</f>
        <v>1050</v>
      </c>
      <c r="F22" s="62">
        <f>Water!E24</f>
        <v>486</v>
      </c>
      <c r="G22" s="62">
        <f>Water!G24</f>
        <v>391.5</v>
      </c>
      <c r="H22" s="62">
        <f>Water!I24</f>
        <v>4.7789999999999999</v>
      </c>
      <c r="I22" s="62">
        <f>ELECT.!F24</f>
        <v>10678</v>
      </c>
      <c r="J22" s="62">
        <f>ELECT.!H24</f>
        <v>41643</v>
      </c>
      <c r="K22" s="62">
        <f>ELECT.!K24</f>
        <v>5205</v>
      </c>
      <c r="L22" s="62">
        <f>ELECT.!M24</f>
        <v>4423</v>
      </c>
      <c r="M22" s="62">
        <f>ELECT.!O24</f>
        <v>6096</v>
      </c>
      <c r="N22" s="62">
        <f>ELECT.!Q24</f>
        <v>8091</v>
      </c>
      <c r="O22" s="62">
        <f>ELECT.!S24</f>
        <v>10145</v>
      </c>
      <c r="P22" s="62">
        <f>ELECT.!W24*2</f>
        <v>22416</v>
      </c>
      <c r="Q22" s="62">
        <f>ELECT.!D24</f>
        <v>480</v>
      </c>
      <c r="R22" s="63">
        <f>BTU!C23</f>
        <v>5.5</v>
      </c>
      <c r="S22" s="63">
        <f>BTU!F23</f>
        <v>1.3899999999998727</v>
      </c>
      <c r="T22" s="63">
        <f>BTU!I23</f>
        <v>3</v>
      </c>
      <c r="U22" s="63">
        <f>BTU!O23</f>
        <v>1.8499999999999091</v>
      </c>
      <c r="V22" s="63">
        <f>BTU!L23</f>
        <v>0.7999999999992724</v>
      </c>
      <c r="W22" s="63">
        <f>BTU!R23</f>
        <v>0</v>
      </c>
      <c r="X22" s="60">
        <f>ELECT.!B24</f>
        <v>333</v>
      </c>
      <c r="Y22" s="60">
        <f t="shared" si="0"/>
        <v>-4055</v>
      </c>
      <c r="Z22">
        <f>'Mall, Citadel, Rotana'!C24+'Mall, Citadel, Rotana'!E24+'Mall, Citadel, Rotana'!G24+'Mall, Citadel, Rotana'!I24</f>
        <v>1438</v>
      </c>
      <c r="AA22">
        <f>'Mall, Citadel, Rotana'!K24+'Mall, Citadel, Rotana'!M24</f>
        <v>800</v>
      </c>
      <c r="AB22">
        <f>'Mall, Citadel, Rotana'!O24</f>
        <v>3</v>
      </c>
      <c r="AC22">
        <f>'Mall, Citadel, Rotana'!Q24+'Mall, Citadel, Rotana'!S24</f>
        <v>201</v>
      </c>
      <c r="AD22" s="60">
        <f t="shared" si="1"/>
        <v>112.1909278</v>
      </c>
      <c r="AE22" s="60">
        <f t="shared" si="2"/>
        <v>739.03007219999995</v>
      </c>
    </row>
    <row r="23" spans="1:31" x14ac:dyDescent="0.2">
      <c r="A23" s="76" t="s">
        <v>59</v>
      </c>
      <c r="B23" s="81">
        <f t="shared" si="3"/>
        <v>22</v>
      </c>
      <c r="C23" s="81">
        <v>11</v>
      </c>
      <c r="D23" s="81">
        <v>2019</v>
      </c>
      <c r="E23" s="62">
        <f>Water!C25</f>
        <v>1030</v>
      </c>
      <c r="F23" s="62">
        <f>Water!E25</f>
        <v>483.3</v>
      </c>
      <c r="G23" s="62">
        <f>Water!G25</f>
        <v>445.5</v>
      </c>
      <c r="H23" s="62">
        <f>Water!I25</f>
        <v>4.5090000000000003</v>
      </c>
      <c r="I23" s="62">
        <f>ELECT.!F25</f>
        <v>14625</v>
      </c>
      <c r="J23" s="62">
        <f>ELECT.!H25</f>
        <v>68752</v>
      </c>
      <c r="K23" s="62">
        <f>ELECT.!K25</f>
        <v>6565</v>
      </c>
      <c r="L23" s="62">
        <f>ELECT.!M25</f>
        <v>5722</v>
      </c>
      <c r="M23" s="62">
        <f>ELECT.!O25</f>
        <v>8674</v>
      </c>
      <c r="N23" s="62">
        <f>ELECT.!Q25</f>
        <v>11454</v>
      </c>
      <c r="O23" s="62">
        <f>ELECT.!S25</f>
        <v>13904</v>
      </c>
      <c r="P23" s="62">
        <f>ELECT.!W25*2</f>
        <v>30624</v>
      </c>
      <c r="Q23" s="62">
        <f>ELECT.!D25</f>
        <v>640</v>
      </c>
      <c r="R23" s="63">
        <f>BTU!C24</f>
        <v>5</v>
      </c>
      <c r="S23" s="63">
        <f>BTU!F24</f>
        <v>0.67000000000007276</v>
      </c>
      <c r="T23" s="63">
        <f>BTU!I24</f>
        <v>2</v>
      </c>
      <c r="U23" s="63">
        <f>BTU!O24</f>
        <v>1.4000000000000909</v>
      </c>
      <c r="V23" s="63">
        <f>BTU!L24</f>
        <v>0.6000000000003638</v>
      </c>
      <c r="W23" s="63">
        <f>BTU!R24</f>
        <v>0</v>
      </c>
      <c r="X23" s="60">
        <f>ELECT.!B25</f>
        <v>340</v>
      </c>
      <c r="Y23" s="60">
        <f t="shared" si="0"/>
        <v>6434</v>
      </c>
      <c r="Z23">
        <f>'Mall, Citadel, Rotana'!C25+'Mall, Citadel, Rotana'!E25+'Mall, Citadel, Rotana'!G25+'Mall, Citadel, Rotana'!I25</f>
        <v>1057</v>
      </c>
      <c r="AA23">
        <f>'Mall, Citadel, Rotana'!K25+'Mall, Citadel, Rotana'!M25</f>
        <v>320</v>
      </c>
      <c r="AB23">
        <f>'Mall, Citadel, Rotana'!O25</f>
        <v>3</v>
      </c>
      <c r="AC23">
        <f>'Mall, Citadel, Rotana'!Q25+'Mall, Citadel, Rotana'!S25</f>
        <v>202</v>
      </c>
      <c r="AD23" s="60">
        <f t="shared" si="1"/>
        <v>109.5905138</v>
      </c>
      <c r="AE23" s="60">
        <f t="shared" si="2"/>
        <v>721.90048619999993</v>
      </c>
    </row>
    <row r="24" spans="1:31" x14ac:dyDescent="0.2">
      <c r="A24" s="76" t="s">
        <v>59</v>
      </c>
      <c r="B24" s="81">
        <f t="shared" si="3"/>
        <v>23</v>
      </c>
      <c r="C24" s="81">
        <v>11</v>
      </c>
      <c r="D24" s="81">
        <v>2019</v>
      </c>
      <c r="E24" s="62">
        <f>Water!C26</f>
        <v>990</v>
      </c>
      <c r="F24" s="62">
        <f>Water!E26</f>
        <v>480.6</v>
      </c>
      <c r="G24" s="62">
        <f>Water!G26</f>
        <v>426.6</v>
      </c>
      <c r="H24" s="62">
        <f>Water!I26</f>
        <v>4.4820000000000002</v>
      </c>
      <c r="I24" s="62">
        <f>ELECT.!F26</f>
        <v>9490</v>
      </c>
      <c r="J24" s="62">
        <f>ELECT.!H26</f>
        <v>41652</v>
      </c>
      <c r="K24" s="62">
        <f>ELECT.!K26</f>
        <v>4569</v>
      </c>
      <c r="L24" s="62">
        <f>ELECT.!M26</f>
        <v>3738</v>
      </c>
      <c r="M24" s="62">
        <f>ELECT.!O26</f>
        <v>5612</v>
      </c>
      <c r="N24" s="62">
        <f>ELECT.!Q26</f>
        <v>7542</v>
      </c>
      <c r="O24" s="62">
        <f>ELECT.!S26</f>
        <v>4816</v>
      </c>
      <c r="P24" s="62">
        <f>ELECT.!W26*2</f>
        <v>20714</v>
      </c>
      <c r="Q24" s="62">
        <f>ELECT.!D26</f>
        <v>640</v>
      </c>
      <c r="R24" s="63">
        <f>BTU!C25</f>
        <v>5.6500000000014552</v>
      </c>
      <c r="S24" s="63">
        <f>BTU!F25</f>
        <v>0.61999999999989086</v>
      </c>
      <c r="T24" s="63">
        <f>BTU!I25</f>
        <v>3</v>
      </c>
      <c r="U24" s="63">
        <f>BTU!O25</f>
        <v>1</v>
      </c>
      <c r="V24" s="63">
        <f>BTU!L25</f>
        <v>0.6000000000003638</v>
      </c>
      <c r="W24" s="63" t="str">
        <f>BTU!R25</f>
        <v>0</v>
      </c>
      <c r="X24" s="60">
        <f>ELECT.!B26</f>
        <v>322</v>
      </c>
      <c r="Y24" s="60">
        <f t="shared" si="0"/>
        <v>4151</v>
      </c>
      <c r="Z24">
        <f>'Mall, Citadel, Rotana'!C26+'Mall, Citadel, Rotana'!E26+'Mall, Citadel, Rotana'!G26+'Mall, Citadel, Rotana'!I26</f>
        <v>1340</v>
      </c>
      <c r="AA24">
        <f>'Mall, Citadel, Rotana'!K26+'Mall, Citadel, Rotana'!M26</f>
        <v>480</v>
      </c>
      <c r="AB24">
        <f>'Mall, Citadel, Rotana'!O26</f>
        <v>4</v>
      </c>
      <c r="AC24">
        <f>'Mall, Citadel, Rotana'!Q26+'Mall, Citadel, Rotana'!S26</f>
        <v>201</v>
      </c>
      <c r="AD24" s="60">
        <f t="shared" si="1"/>
        <v>104.32207240000001</v>
      </c>
      <c r="AE24" s="60">
        <f t="shared" si="2"/>
        <v>687.1959276</v>
      </c>
    </row>
    <row r="25" spans="1:31" x14ac:dyDescent="0.2">
      <c r="A25" s="76" t="s">
        <v>59</v>
      </c>
      <c r="B25" s="81">
        <f t="shared" si="3"/>
        <v>24</v>
      </c>
      <c r="C25" s="81">
        <v>11</v>
      </c>
      <c r="D25" s="81">
        <v>2019</v>
      </c>
      <c r="E25" s="62">
        <f>Water!C27</f>
        <v>1030</v>
      </c>
      <c r="F25" s="62">
        <f>Water!E27</f>
        <v>502.2</v>
      </c>
      <c r="G25" s="62">
        <f>Water!G27</f>
        <v>440.1</v>
      </c>
      <c r="H25" s="62">
        <f>Water!I27</f>
        <v>5.4539999999999997</v>
      </c>
      <c r="I25" s="62">
        <f>ELECT.!F27</f>
        <v>14142</v>
      </c>
      <c r="J25" s="62">
        <f>ELECT.!H27</f>
        <v>62161</v>
      </c>
      <c r="K25" s="62">
        <f>ELECT.!K27</f>
        <v>6855</v>
      </c>
      <c r="L25" s="62">
        <f>ELECT.!M27</f>
        <v>5729</v>
      </c>
      <c r="M25" s="62">
        <f>ELECT.!O27</f>
        <v>8234</v>
      </c>
      <c r="N25" s="62">
        <f>ELECT.!Q27</f>
        <v>11005</v>
      </c>
      <c r="O25" s="62">
        <f>ELECT.!S27</f>
        <v>17140</v>
      </c>
      <c r="P25" s="62">
        <f>ELECT.!W27*2</f>
        <v>29536</v>
      </c>
      <c r="Q25" s="62">
        <f>ELECT.!D27</f>
        <v>480</v>
      </c>
      <c r="R25" s="63">
        <f>BTU!C26</f>
        <v>6.819999999999709</v>
      </c>
      <c r="S25" s="63">
        <f>BTU!F26</f>
        <v>1.5199999999999818</v>
      </c>
      <c r="T25" s="63">
        <f>BTU!I26</f>
        <v>4</v>
      </c>
      <c r="U25" s="63">
        <f>BTU!O26</f>
        <v>2</v>
      </c>
      <c r="V25" s="63">
        <f>BTU!L26</f>
        <v>0.69999999999890861</v>
      </c>
      <c r="W25" s="63">
        <f>BTU!R26</f>
        <v>0</v>
      </c>
      <c r="X25" s="60">
        <f>ELECT.!B27</f>
        <v>346</v>
      </c>
      <c r="Y25" s="60">
        <f t="shared" si="0"/>
        <v>-2196</v>
      </c>
      <c r="Z25">
        <f>'Mall, Citadel, Rotana'!C27+'Mall, Citadel, Rotana'!E27+'Mall, Citadel, Rotana'!G27+'Mall, Citadel, Rotana'!I27</f>
        <v>1293</v>
      </c>
      <c r="AA25">
        <f>'Mall, Citadel, Rotana'!K27+'Mall, Citadel, Rotana'!M27</f>
        <v>800</v>
      </c>
      <c r="AB25">
        <f>'Mall, Citadel, Rotana'!O27</f>
        <v>3</v>
      </c>
      <c r="AC25">
        <f>'Mall, Citadel, Rotana'!Q27+'Mall, Citadel, Rotana'!S27</f>
        <v>201</v>
      </c>
      <c r="AD25" s="60">
        <f t="shared" si="1"/>
        <v>109.4659628</v>
      </c>
      <c r="AE25" s="60">
        <f t="shared" si="2"/>
        <v>721.08003720000011</v>
      </c>
    </row>
    <row r="26" spans="1:31" x14ac:dyDescent="0.2">
      <c r="A26" s="76" t="s">
        <v>59</v>
      </c>
      <c r="B26" s="81">
        <f>B25+1</f>
        <v>25</v>
      </c>
      <c r="C26" s="81">
        <v>11</v>
      </c>
      <c r="D26" s="81">
        <v>2019</v>
      </c>
      <c r="E26" s="62">
        <f>Water!C28</f>
        <v>1070</v>
      </c>
      <c r="F26" s="62">
        <f>Water!E28</f>
        <v>332.1</v>
      </c>
      <c r="G26" s="62">
        <f>Water!G28</f>
        <v>475.2</v>
      </c>
      <c r="H26" s="62">
        <f>Water!I28</f>
        <v>3.3479999999999999</v>
      </c>
      <c r="I26" s="62">
        <f>ELECT.!F28</f>
        <v>11254</v>
      </c>
      <c r="J26" s="62">
        <f>ELECT.!H28</f>
        <v>50824</v>
      </c>
      <c r="K26" s="62">
        <f>ELECT.!K28</f>
        <v>5718</v>
      </c>
      <c r="L26" s="62">
        <f>ELECT.!M28</f>
        <v>4483</v>
      </c>
      <c r="M26" s="62">
        <f>ELECT.!O28</f>
        <v>6624</v>
      </c>
      <c r="N26" s="62">
        <f>ELECT.!Q28</f>
        <v>8838</v>
      </c>
      <c r="O26" s="62">
        <f>ELECT.!S28</f>
        <v>10615</v>
      </c>
      <c r="P26" s="62">
        <f>ELECT.!W28*2</f>
        <v>24778</v>
      </c>
      <c r="Q26" s="62">
        <f>ELECT.!D28</f>
        <v>640</v>
      </c>
      <c r="R26" s="63">
        <f>BTU!C27</f>
        <v>8.4639999999999418</v>
      </c>
      <c r="S26" s="63">
        <f>BTU!F27</f>
        <v>1.9650000000001455</v>
      </c>
      <c r="T26" s="63">
        <f>BTU!I27</f>
        <v>4</v>
      </c>
      <c r="U26" s="63">
        <f>BTU!O27</f>
        <v>1.9540000000001783</v>
      </c>
      <c r="V26" s="63">
        <f>BTU!L27</f>
        <v>0</v>
      </c>
      <c r="W26" s="63">
        <f>BTU!R27</f>
        <v>8.9999999999236024E-2</v>
      </c>
      <c r="X26" s="60">
        <f>ELECT.!B28</f>
        <v>324</v>
      </c>
      <c r="Y26" s="60">
        <f t="shared" si="0"/>
        <v>1022</v>
      </c>
      <c r="Z26">
        <f>'Mall, Citadel, Rotana'!C28+'Mall, Citadel, Rotana'!E28+'Mall, Citadel, Rotana'!G28+'Mall, Citadel, Rotana'!I28</f>
        <v>864</v>
      </c>
      <c r="AA26">
        <f>'Mall, Citadel, Rotana'!K28+'Mall, Citadel, Rotana'!M28</f>
        <v>640</v>
      </c>
      <c r="AB26">
        <f>'Mall, Citadel, Rotana'!O28</f>
        <v>4</v>
      </c>
      <c r="AC26">
        <f>'Mall, Citadel, Rotana'!Q28+'Mall, Citadel, Rotana'!S28</f>
        <v>108</v>
      </c>
      <c r="AD26" s="60">
        <f t="shared" si="1"/>
        <v>115.01553360000001</v>
      </c>
      <c r="AE26" s="60">
        <f t="shared" si="2"/>
        <v>757.63646640000002</v>
      </c>
    </row>
    <row r="27" spans="1:31" x14ac:dyDescent="0.2">
      <c r="A27" s="76" t="s">
        <v>59</v>
      </c>
      <c r="B27" s="81">
        <f t="shared" si="3"/>
        <v>26</v>
      </c>
      <c r="C27" s="81">
        <v>11</v>
      </c>
      <c r="D27" s="81">
        <v>2019</v>
      </c>
      <c r="E27" s="62">
        <f>Water!C29</f>
        <v>1070</v>
      </c>
      <c r="F27" s="62">
        <f>Water!E29</f>
        <v>591.29999999999995</v>
      </c>
      <c r="G27" s="62">
        <f>Water!G29</f>
        <v>432</v>
      </c>
      <c r="H27" s="62">
        <f>Water!I29</f>
        <v>6.4799999999999995</v>
      </c>
      <c r="I27" s="62">
        <f>ELECT.!F29</f>
        <v>9426</v>
      </c>
      <c r="J27" s="62">
        <f>ELECT.!H29</f>
        <v>40536</v>
      </c>
      <c r="K27" s="62">
        <f>ELECT.!K29</f>
        <v>4481</v>
      </c>
      <c r="L27" s="62">
        <f>ELECT.!M29</f>
        <v>3880</v>
      </c>
      <c r="M27" s="62">
        <f>ELECT.!O29</f>
        <v>5402</v>
      </c>
      <c r="N27" s="62">
        <f>ELECT.!Q29</f>
        <v>7290</v>
      </c>
      <c r="O27" s="62">
        <f>ELECT.!S29</f>
        <v>8305</v>
      </c>
      <c r="P27" s="62">
        <f>ELECT.!W29*2</f>
        <v>19858</v>
      </c>
      <c r="Q27" s="62">
        <f>ELECT.!D29</f>
        <v>640</v>
      </c>
      <c r="R27" s="63">
        <f>BTU!C28</f>
        <v>5.1781999999984691</v>
      </c>
      <c r="S27" s="63">
        <f>BTU!F28</f>
        <v>1.069999999999709</v>
      </c>
      <c r="T27" s="63">
        <f>BTU!I28</f>
        <v>4</v>
      </c>
      <c r="U27" s="63">
        <f>BTU!O28</f>
        <v>1.5</v>
      </c>
      <c r="V27" s="63">
        <f>BTU!L28</f>
        <v>0</v>
      </c>
      <c r="W27" s="63" t="str">
        <f>BTU!R28</f>
        <v>0</v>
      </c>
      <c r="X27" s="60">
        <f>ELECT.!B29</f>
        <v>327</v>
      </c>
      <c r="Y27" s="60">
        <f t="shared" si="0"/>
        <v>746</v>
      </c>
      <c r="Z27">
        <f>'Mall, Citadel, Rotana'!C29+'Mall, Citadel, Rotana'!E29+'Mall, Citadel, Rotana'!G29+'Mall, Citadel, Rotana'!I29</f>
        <v>1465</v>
      </c>
      <c r="AA27">
        <f>'Mall, Citadel, Rotana'!K29+'Mall, Citadel, Rotana'!M29</f>
        <v>640</v>
      </c>
      <c r="AB27">
        <f>'Mall, Citadel, Rotana'!O29</f>
        <v>4</v>
      </c>
      <c r="AC27">
        <f>'Mall, Citadel, Rotana'!Q29+'Mall, Citadel, Rotana'!S29</f>
        <v>198</v>
      </c>
      <c r="AD27" s="60">
        <f t="shared" si="1"/>
        <v>114.60273599999999</v>
      </c>
      <c r="AE27" s="60">
        <f t="shared" si="2"/>
        <v>754.91726399999993</v>
      </c>
    </row>
    <row r="28" spans="1:31" x14ac:dyDescent="0.2">
      <c r="A28" s="76" t="s">
        <v>59</v>
      </c>
      <c r="B28" s="81">
        <f t="shared" si="3"/>
        <v>27</v>
      </c>
      <c r="C28" s="81">
        <v>11</v>
      </c>
      <c r="D28" s="81">
        <v>2019</v>
      </c>
      <c r="E28" s="62">
        <f>Water!C30</f>
        <v>1100</v>
      </c>
      <c r="F28" s="62">
        <f>Water!E30</f>
        <v>162</v>
      </c>
      <c r="G28" s="62">
        <f>Water!G30</f>
        <v>369.9</v>
      </c>
      <c r="H28" s="62">
        <f>Water!I30</f>
        <v>3.4830000000000001</v>
      </c>
      <c r="I28" s="62">
        <f>ELECT.!F30</f>
        <v>13286</v>
      </c>
      <c r="J28" s="62">
        <f>ELECT.!H30</f>
        <v>59874</v>
      </c>
      <c r="K28" s="62">
        <f>ELECT.!K30</f>
        <v>6550</v>
      </c>
      <c r="L28" s="62">
        <f>ELECT.!M30</f>
        <v>5580</v>
      </c>
      <c r="M28" s="62">
        <f>ELECT.!O30</f>
        <v>7784</v>
      </c>
      <c r="N28" s="62">
        <f>ELECT.!Q30</f>
        <v>10289</v>
      </c>
      <c r="O28" s="62">
        <f>ELECT.!S30</f>
        <v>12118</v>
      </c>
      <c r="P28" s="62">
        <f>ELECT.!W30*2</f>
        <v>29942</v>
      </c>
      <c r="Q28" s="62">
        <f>ELECT.!D30</f>
        <v>320</v>
      </c>
      <c r="R28" s="63">
        <f>BTU!C29</f>
        <v>6.4338000000025204</v>
      </c>
      <c r="S28" s="63">
        <f>BTU!F29</f>
        <v>1.3835000000003674</v>
      </c>
      <c r="T28" s="63">
        <f>BTU!I29</f>
        <v>2</v>
      </c>
      <c r="U28" s="63">
        <f>BTU!O29</f>
        <v>1.6861999999996442</v>
      </c>
      <c r="V28" s="63">
        <f>BTU!L29</f>
        <v>0</v>
      </c>
      <c r="W28" s="63">
        <f>BTU!R29</f>
        <v>1.5540000000000873</v>
      </c>
      <c r="X28" s="60">
        <f>ELECT.!B30</f>
        <v>344</v>
      </c>
      <c r="Y28" s="60">
        <f t="shared" si="0"/>
        <v>897</v>
      </c>
      <c r="Z28">
        <f>'Mall, Citadel, Rotana'!C30+'Mall, Citadel, Rotana'!E30+'Mall, Citadel, Rotana'!G30+'Mall, Citadel, Rotana'!I30</f>
        <v>924</v>
      </c>
      <c r="AA28">
        <f>'Mall, Citadel, Rotana'!K30+'Mall, Citadel, Rotana'!M30</f>
        <v>800</v>
      </c>
      <c r="AB28">
        <f>'Mall, Citadel, Rotana'!O30</f>
        <v>4</v>
      </c>
      <c r="AC28">
        <f>'Mall, Citadel, Rotana'!Q30+'Mall, Citadel, Rotana'!S30</f>
        <v>107</v>
      </c>
      <c r="AD28" s="60">
        <f t="shared" si="1"/>
        <v>118.95174060000001</v>
      </c>
      <c r="AE28" s="60">
        <f t="shared" si="2"/>
        <v>783.56525940000006</v>
      </c>
    </row>
    <row r="29" spans="1:31" x14ac:dyDescent="0.2">
      <c r="A29" s="76" t="s">
        <v>59</v>
      </c>
      <c r="B29" s="81">
        <f t="shared" si="3"/>
        <v>28</v>
      </c>
      <c r="C29" s="81">
        <v>11</v>
      </c>
      <c r="D29" s="81">
        <v>2019</v>
      </c>
      <c r="E29" s="62">
        <f>Water!C31</f>
        <v>1110</v>
      </c>
      <c r="F29" s="62">
        <f>Water!E31</f>
        <v>926.1</v>
      </c>
      <c r="G29" s="62">
        <f>Water!G31</f>
        <v>564.29999999999995</v>
      </c>
      <c r="H29" s="62">
        <f>Water!I31</f>
        <v>13.365</v>
      </c>
      <c r="I29" s="62">
        <f>ELECT.!F31</f>
        <v>12965</v>
      </c>
      <c r="J29" s="62">
        <f>ELECT.!H31</f>
        <v>62785</v>
      </c>
      <c r="K29" s="62">
        <f>ELECT.!K31</f>
        <v>6808</v>
      </c>
      <c r="L29" s="62">
        <f>ELECT.!M31</f>
        <v>4544</v>
      </c>
      <c r="M29" s="62">
        <f>ELECT.!O31</f>
        <v>7986</v>
      </c>
      <c r="N29" s="62">
        <f>ELECT.!Q31</f>
        <v>10722</v>
      </c>
      <c r="O29" s="62">
        <f>ELECT.!S31</f>
        <v>12901</v>
      </c>
      <c r="P29" s="62">
        <f>ELECT.!W31*2</f>
        <v>31342</v>
      </c>
      <c r="Q29" s="62">
        <f>ELECT.!D31</f>
        <v>960</v>
      </c>
      <c r="R29" s="63">
        <f>BTU!C30</f>
        <v>6.4337999999988824</v>
      </c>
      <c r="S29" s="63">
        <f>BTU!F30</f>
        <v>1.0814999999997781</v>
      </c>
      <c r="T29" s="63">
        <f>BTU!I30</f>
        <v>4</v>
      </c>
      <c r="U29" s="63">
        <f>BTU!O30</f>
        <v>1.686200000000099</v>
      </c>
      <c r="V29" s="63">
        <f>BTU!L30</f>
        <v>0</v>
      </c>
      <c r="W29" s="63">
        <f>BTU!R30</f>
        <v>1.5</v>
      </c>
      <c r="X29" s="60">
        <f>ELECT.!B31</f>
        <v>350</v>
      </c>
      <c r="Y29" s="60">
        <f t="shared" si="0"/>
        <v>1447</v>
      </c>
      <c r="Z29">
        <f>'Mall, Citadel, Rotana'!C31+'Mall, Citadel, Rotana'!E31+'Mall, Citadel, Rotana'!G31+'Mall, Citadel, Rotana'!I31</f>
        <v>863</v>
      </c>
      <c r="AA29">
        <f>'Mall, Citadel, Rotana'!K31+'Mall, Citadel, Rotana'!M31</f>
        <v>960</v>
      </c>
      <c r="AB29">
        <f>'Mall, Citadel, Rotana'!O31</f>
        <v>2</v>
      </c>
      <c r="AC29">
        <f>'Mall, Citadel, Rotana'!Q31+'Mall, Citadel, Rotana'!S31</f>
        <v>94</v>
      </c>
      <c r="AD29" s="60">
        <f t="shared" si="1"/>
        <v>118.967293</v>
      </c>
      <c r="AE29" s="60">
        <f t="shared" si="2"/>
        <v>783.66770699999995</v>
      </c>
    </row>
    <row r="30" spans="1:31" x14ac:dyDescent="0.2">
      <c r="A30" s="76" t="s">
        <v>59</v>
      </c>
      <c r="B30" s="81">
        <f t="shared" si="3"/>
        <v>29</v>
      </c>
      <c r="C30" s="81">
        <v>11</v>
      </c>
      <c r="D30" s="81">
        <v>2019</v>
      </c>
      <c r="E30" s="62">
        <f>Water!C32</f>
        <v>630</v>
      </c>
      <c r="F30" s="62">
        <f>Water!E32</f>
        <v>504.9</v>
      </c>
      <c r="G30" s="62">
        <f>Water!G32</f>
        <v>475.2</v>
      </c>
      <c r="H30" s="62">
        <f>Water!I32</f>
        <v>6.1289999999999996</v>
      </c>
      <c r="I30" s="62">
        <f>ELECT.!F32</f>
        <v>12686</v>
      </c>
      <c r="J30" s="62">
        <f>ELECT.!H32</f>
        <v>59142</v>
      </c>
      <c r="K30" s="62">
        <f>ELECT.!K32</f>
        <v>5825</v>
      </c>
      <c r="L30" s="62">
        <f>ELECT.!M32</f>
        <v>4707</v>
      </c>
      <c r="M30" s="62">
        <f>ELECT.!O32</f>
        <v>7724</v>
      </c>
      <c r="N30" s="62">
        <f>ELECT.!Q32</f>
        <v>10303</v>
      </c>
      <c r="O30" s="62">
        <f>ELECT.!S32</f>
        <v>12541</v>
      </c>
      <c r="P30" s="62">
        <f>ELECT.!W32*2</f>
        <v>29196</v>
      </c>
      <c r="Q30" s="62">
        <f>ELECT.!D32</f>
        <v>800</v>
      </c>
      <c r="R30" s="63">
        <f>BTU!C31</f>
        <v>4.7201999999997497</v>
      </c>
      <c r="S30" s="63">
        <f>BTU!F31</f>
        <v>0.3000000000001819</v>
      </c>
      <c r="T30" s="63">
        <f>BTU!I31</f>
        <v>2</v>
      </c>
      <c r="U30" s="63">
        <f>BTU!O31</f>
        <v>0.37359999999989668</v>
      </c>
      <c r="V30" s="63">
        <f>BTU!L31</f>
        <v>0.2000000000007276</v>
      </c>
      <c r="W30" s="63">
        <f>BTU!R31</f>
        <v>2.3000000000001819</v>
      </c>
      <c r="X30" s="60">
        <f>ELECT.!B32</f>
        <v>357</v>
      </c>
      <c r="Y30" s="60">
        <f t="shared" si="0"/>
        <v>1532</v>
      </c>
      <c r="Z30">
        <f>'Mall, Citadel, Rotana'!C32+'Mall, Citadel, Rotana'!E32+'Mall, Citadel, Rotana'!G32+'Mall, Citadel, Rotana'!I32</f>
        <v>1762</v>
      </c>
      <c r="AA30">
        <f>'Mall, Citadel, Rotana'!K32+'Mall, Citadel, Rotana'!M32</f>
        <v>320</v>
      </c>
      <c r="AB30">
        <f>'Mall, Citadel, Rotana'!O32</f>
        <v>2</v>
      </c>
      <c r="AC30">
        <f>'Mall, Citadel, Rotana'!Q32+'Mall, Citadel, Rotana'!S32</f>
        <v>94</v>
      </c>
      <c r="AD30" s="60">
        <f t="shared" si="1"/>
        <v>56.656997799999999</v>
      </c>
      <c r="AE30" s="60">
        <f t="shared" si="2"/>
        <v>373.21400219999998</v>
      </c>
    </row>
    <row r="31" spans="1:31" x14ac:dyDescent="0.2">
      <c r="A31" s="76" t="s">
        <v>59</v>
      </c>
      <c r="B31" s="81">
        <f t="shared" si="3"/>
        <v>30</v>
      </c>
      <c r="C31" s="81">
        <v>11</v>
      </c>
      <c r="D31" s="81">
        <v>2019</v>
      </c>
      <c r="E31" s="62">
        <f>Water!C33</f>
        <v>950</v>
      </c>
      <c r="F31" s="62">
        <f>Water!E33</f>
        <v>496.8</v>
      </c>
      <c r="G31" s="62">
        <f>Water!G33</f>
        <v>421.2</v>
      </c>
      <c r="H31" s="62">
        <f>Water!I33</f>
        <v>7.56</v>
      </c>
      <c r="I31" s="62">
        <f>ELECT.!F33</f>
        <v>11941</v>
      </c>
      <c r="J31" s="62">
        <f>ELECT.!H33</f>
        <v>53742</v>
      </c>
      <c r="K31" s="62">
        <f>ELECT.!K33</f>
        <v>5396</v>
      </c>
      <c r="L31" s="62">
        <f>ELECT.!M33</f>
        <v>4662</v>
      </c>
      <c r="M31" s="62">
        <f>ELECT.!O33</f>
        <v>7168</v>
      </c>
      <c r="N31" s="62">
        <f>ELECT.!Q33</f>
        <v>9618</v>
      </c>
      <c r="O31" s="62">
        <f>ELECT.!S33</f>
        <v>11460</v>
      </c>
      <c r="P31" s="62">
        <f>ELECT.!W33*2</f>
        <v>26378</v>
      </c>
      <c r="Q31" s="62">
        <f>ELECT.!D33</f>
        <v>480</v>
      </c>
      <c r="R31" s="63">
        <f>BTU!C32</f>
        <v>6</v>
      </c>
      <c r="S31" s="63">
        <f>BTU!F32</f>
        <v>1.2999999999997272</v>
      </c>
      <c r="T31" s="63">
        <f>BTU!I32</f>
        <v>4</v>
      </c>
      <c r="U31" s="63">
        <f>BTU!O32</f>
        <v>1.4000000000000909</v>
      </c>
      <c r="V31" s="63">
        <f>BTU!L32</f>
        <v>5.9999999999490683E-2</v>
      </c>
      <c r="W31" s="63">
        <f>BTU!R32</f>
        <v>0.6999999999998181</v>
      </c>
      <c r="X31" s="60">
        <f>ELECT.!B33</f>
        <v>355</v>
      </c>
      <c r="Y31" s="60">
        <f t="shared" si="0"/>
        <v>1001</v>
      </c>
      <c r="Z31">
        <f>'Mall, Citadel, Rotana'!C33+'Mall, Citadel, Rotana'!E33+'Mall, Citadel, Rotana'!G33+'Mall, Citadel, Rotana'!I33</f>
        <v>1631</v>
      </c>
      <c r="AA31">
        <f>'Mall, Citadel, Rotana'!K33+'Mall, Citadel, Rotana'!M33</f>
        <v>480</v>
      </c>
      <c r="AB31">
        <f>'Mall, Citadel, Rotana'!O33</f>
        <v>0</v>
      </c>
      <c r="AC31">
        <f>'Mall, Citadel, Rotana'!Q33+'Mall, Citadel, Rotana'!S33</f>
        <v>70</v>
      </c>
      <c r="AD31" s="60">
        <f t="shared" si="1"/>
        <v>98.644392000000011</v>
      </c>
      <c r="AE31" s="60">
        <f t="shared" si="2"/>
        <v>649.79560800000002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zoomScale="85" zoomScaleNormal="85" workbookViewId="0">
      <selection activeCell="O4" sqref="O4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8.7109375" style="22" bestFit="1" customWidth="1"/>
    <col min="13" max="13" width="14.140625" style="23" bestFit="1" customWidth="1"/>
    <col min="14" max="14" width="11.42578125" style="56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8.42578125" style="23" bestFit="1" customWidth="1"/>
  </cols>
  <sheetData>
    <row r="1" spans="1:24" ht="13.5" thickBot="1" x14ac:dyDescent="0.25">
      <c r="A1" s="171" t="s">
        <v>140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7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42886</v>
      </c>
      <c r="C3" s="17"/>
      <c r="D3" s="1">
        <v>38051</v>
      </c>
      <c r="E3" s="17"/>
      <c r="F3" s="1">
        <v>18412</v>
      </c>
      <c r="G3" s="17"/>
      <c r="H3" s="1">
        <v>221603</v>
      </c>
      <c r="I3" s="17"/>
      <c r="J3" s="1">
        <v>303517</v>
      </c>
      <c r="K3" s="17"/>
      <c r="L3" s="1">
        <v>22880</v>
      </c>
      <c r="M3" s="17"/>
      <c r="N3" s="57">
        <v>168730</v>
      </c>
      <c r="O3" s="17"/>
      <c r="P3" s="1">
        <v>20181</v>
      </c>
      <c r="Q3" s="17"/>
      <c r="R3" s="1">
        <v>55047</v>
      </c>
      <c r="S3" s="17"/>
    </row>
    <row r="4" spans="1:24" ht="13.5" thickBot="1" x14ac:dyDescent="0.25">
      <c r="A4" s="10">
        <v>43770</v>
      </c>
      <c r="B4" s="1">
        <v>42891</v>
      </c>
      <c r="C4" s="17">
        <f t="shared" ref="C4:C33" si="0">(B4-B3)*600/5</f>
        <v>600</v>
      </c>
      <c r="D4" s="1">
        <v>38053</v>
      </c>
      <c r="E4" s="17">
        <f>(D4-D3)*800/5</f>
        <v>320</v>
      </c>
      <c r="F4" s="1">
        <v>18416</v>
      </c>
      <c r="G4" s="17">
        <f>(F4-F3)*100/5</f>
        <v>80</v>
      </c>
      <c r="H4" s="1">
        <v>221631</v>
      </c>
      <c r="I4" s="17">
        <f>H4-H3</f>
        <v>28</v>
      </c>
      <c r="J4" s="1">
        <v>303517</v>
      </c>
      <c r="K4" s="17">
        <f t="shared" ref="K4:K33" si="1">J4-J3</f>
        <v>0</v>
      </c>
      <c r="L4" s="1">
        <v>22883</v>
      </c>
      <c r="M4" s="17">
        <f>(L4-L3)*800/5</f>
        <v>480</v>
      </c>
      <c r="N4" s="57">
        <v>168733</v>
      </c>
      <c r="O4" s="17">
        <f>N4-N3</f>
        <v>3</v>
      </c>
      <c r="P4" s="1">
        <v>20287</v>
      </c>
      <c r="Q4" s="17">
        <f t="shared" ref="Q4:Q33" si="2">P4-P3</f>
        <v>106</v>
      </c>
      <c r="R4" s="1">
        <v>55047</v>
      </c>
      <c r="S4" s="17">
        <f>R4-R3</f>
        <v>0</v>
      </c>
    </row>
    <row r="5" spans="1:24" ht="13.5" thickBot="1" x14ac:dyDescent="0.25">
      <c r="A5" s="10">
        <v>43771</v>
      </c>
      <c r="B5" s="1">
        <v>42897</v>
      </c>
      <c r="C5" s="17">
        <f t="shared" si="0"/>
        <v>720</v>
      </c>
      <c r="D5" s="1">
        <v>38056</v>
      </c>
      <c r="E5" s="17">
        <f t="shared" ref="E5:E33" si="3">(D5-D4)*800/5</f>
        <v>480</v>
      </c>
      <c r="F5" s="1">
        <v>18420</v>
      </c>
      <c r="G5" s="17">
        <f t="shared" ref="G5:G33" si="4">(F5-F4)*100/5</f>
        <v>80</v>
      </c>
      <c r="H5" s="1">
        <v>221686</v>
      </c>
      <c r="I5" s="17">
        <f t="shared" ref="I5:I33" si="5">H5-H4</f>
        <v>55</v>
      </c>
      <c r="J5" s="1">
        <v>303517</v>
      </c>
      <c r="K5" s="17">
        <f t="shared" si="1"/>
        <v>0</v>
      </c>
      <c r="L5" s="1">
        <v>22887</v>
      </c>
      <c r="M5" s="17">
        <f t="shared" ref="M5:M33" si="6">(L5-L4)*800/5</f>
        <v>640</v>
      </c>
      <c r="N5" s="57">
        <v>168736</v>
      </c>
      <c r="O5" s="17">
        <f t="shared" ref="O5:O33" si="7">N5-N4</f>
        <v>3</v>
      </c>
      <c r="P5" s="1">
        <v>20420</v>
      </c>
      <c r="Q5" s="17">
        <f t="shared" si="2"/>
        <v>133</v>
      </c>
      <c r="R5" s="1">
        <v>55047</v>
      </c>
      <c r="S5" s="17">
        <f t="shared" ref="S5:S33" si="8">R5-R4</f>
        <v>0</v>
      </c>
    </row>
    <row r="6" spans="1:24" ht="13.5" thickBot="1" x14ac:dyDescent="0.25">
      <c r="A6" s="10">
        <v>43772</v>
      </c>
      <c r="B6" s="1">
        <v>42902</v>
      </c>
      <c r="C6" s="17">
        <f t="shared" si="0"/>
        <v>600</v>
      </c>
      <c r="D6" s="1">
        <v>38059</v>
      </c>
      <c r="E6" s="17">
        <f t="shared" si="3"/>
        <v>480</v>
      </c>
      <c r="F6" s="1">
        <v>18423</v>
      </c>
      <c r="G6" s="17">
        <f t="shared" si="4"/>
        <v>60</v>
      </c>
      <c r="H6" s="1">
        <v>221705</v>
      </c>
      <c r="I6" s="17">
        <f t="shared" si="5"/>
        <v>19</v>
      </c>
      <c r="J6" s="1">
        <v>303517</v>
      </c>
      <c r="K6" s="17">
        <f t="shared" si="1"/>
        <v>0</v>
      </c>
      <c r="L6" s="1">
        <v>22891</v>
      </c>
      <c r="M6" s="17">
        <f t="shared" si="6"/>
        <v>640</v>
      </c>
      <c r="N6" s="57">
        <v>168739</v>
      </c>
      <c r="O6" s="17">
        <f t="shared" si="7"/>
        <v>3</v>
      </c>
      <c r="P6" s="1">
        <v>20565</v>
      </c>
      <c r="Q6" s="17">
        <f t="shared" si="2"/>
        <v>145</v>
      </c>
      <c r="R6" s="1">
        <v>55047</v>
      </c>
      <c r="S6" s="17">
        <f t="shared" si="8"/>
        <v>0</v>
      </c>
    </row>
    <row r="7" spans="1:24" ht="13.5" thickBot="1" x14ac:dyDescent="0.25">
      <c r="A7" s="10">
        <v>43773</v>
      </c>
      <c r="B7" s="1">
        <v>42906</v>
      </c>
      <c r="C7" s="17">
        <f t="shared" si="0"/>
        <v>480</v>
      </c>
      <c r="D7" s="1">
        <v>38062</v>
      </c>
      <c r="E7" s="17">
        <f t="shared" si="3"/>
        <v>480</v>
      </c>
      <c r="F7" s="1">
        <v>18427</v>
      </c>
      <c r="G7" s="17">
        <f t="shared" si="4"/>
        <v>80</v>
      </c>
      <c r="H7" s="1">
        <v>221725</v>
      </c>
      <c r="I7" s="17">
        <f t="shared" si="5"/>
        <v>20</v>
      </c>
      <c r="J7" s="1">
        <v>303517</v>
      </c>
      <c r="K7" s="17">
        <f t="shared" si="1"/>
        <v>0</v>
      </c>
      <c r="L7" s="1">
        <v>22896</v>
      </c>
      <c r="M7" s="17">
        <f t="shared" si="6"/>
        <v>800</v>
      </c>
      <c r="N7" s="57">
        <v>168742</v>
      </c>
      <c r="O7" s="17">
        <f t="shared" si="7"/>
        <v>3</v>
      </c>
      <c r="P7" s="1">
        <v>20698</v>
      </c>
      <c r="Q7" s="17">
        <f t="shared" si="2"/>
        <v>133</v>
      </c>
      <c r="R7" s="1">
        <v>55047</v>
      </c>
      <c r="S7" s="17">
        <f t="shared" si="8"/>
        <v>0</v>
      </c>
    </row>
    <row r="8" spans="1:24" ht="13.5" thickBot="1" x14ac:dyDescent="0.25">
      <c r="A8" s="10">
        <v>43774</v>
      </c>
      <c r="B8" s="1">
        <v>42912</v>
      </c>
      <c r="C8" s="17">
        <f t="shared" si="0"/>
        <v>720</v>
      </c>
      <c r="D8" s="1">
        <v>38066</v>
      </c>
      <c r="E8" s="17">
        <f t="shared" si="3"/>
        <v>640</v>
      </c>
      <c r="F8" s="1">
        <v>18431</v>
      </c>
      <c r="G8" s="17">
        <f t="shared" si="4"/>
        <v>80</v>
      </c>
      <c r="H8" s="1">
        <v>221767</v>
      </c>
      <c r="I8" s="17">
        <f t="shared" si="5"/>
        <v>42</v>
      </c>
      <c r="J8" s="1">
        <v>303517</v>
      </c>
      <c r="K8" s="17">
        <f t="shared" si="1"/>
        <v>0</v>
      </c>
      <c r="L8" s="1">
        <v>22900</v>
      </c>
      <c r="M8" s="17">
        <f t="shared" si="6"/>
        <v>640</v>
      </c>
      <c r="N8" s="57">
        <v>168745</v>
      </c>
      <c r="O8" s="17">
        <f t="shared" si="7"/>
        <v>3</v>
      </c>
      <c r="P8" s="1">
        <v>20856</v>
      </c>
      <c r="Q8" s="17">
        <f t="shared" si="2"/>
        <v>158</v>
      </c>
      <c r="R8" s="1">
        <v>55047</v>
      </c>
      <c r="S8" s="17">
        <f t="shared" si="8"/>
        <v>0</v>
      </c>
    </row>
    <row r="9" spans="1:24" ht="13.5" thickBot="1" x14ac:dyDescent="0.25">
      <c r="A9" s="10">
        <v>43775</v>
      </c>
      <c r="B9" s="1">
        <v>42916</v>
      </c>
      <c r="C9" s="17">
        <f t="shared" si="0"/>
        <v>480</v>
      </c>
      <c r="D9" s="1">
        <v>38069</v>
      </c>
      <c r="E9" s="17">
        <f t="shared" si="3"/>
        <v>480</v>
      </c>
      <c r="F9" s="1">
        <v>18434</v>
      </c>
      <c r="G9" s="17">
        <f t="shared" si="4"/>
        <v>60</v>
      </c>
      <c r="H9" s="1">
        <v>221808</v>
      </c>
      <c r="I9" s="17">
        <f t="shared" si="5"/>
        <v>41</v>
      </c>
      <c r="J9" s="1">
        <v>303517</v>
      </c>
      <c r="K9" s="17">
        <f t="shared" si="1"/>
        <v>0</v>
      </c>
      <c r="L9" s="1">
        <v>22904</v>
      </c>
      <c r="M9" s="17">
        <f t="shared" si="6"/>
        <v>640</v>
      </c>
      <c r="N9" s="57">
        <v>168748</v>
      </c>
      <c r="O9" s="17">
        <f t="shared" si="7"/>
        <v>3</v>
      </c>
      <c r="P9" s="1">
        <v>20944</v>
      </c>
      <c r="Q9" s="17">
        <f t="shared" si="2"/>
        <v>88</v>
      </c>
      <c r="R9" s="1">
        <v>55047</v>
      </c>
      <c r="S9" s="17">
        <f t="shared" si="8"/>
        <v>0</v>
      </c>
    </row>
    <row r="10" spans="1:24" ht="13.5" thickBot="1" x14ac:dyDescent="0.25">
      <c r="A10" s="10">
        <v>43776</v>
      </c>
      <c r="B10" s="1">
        <v>42922</v>
      </c>
      <c r="C10" s="17">
        <f t="shared" si="0"/>
        <v>720</v>
      </c>
      <c r="D10" s="1">
        <v>38072</v>
      </c>
      <c r="E10" s="17">
        <f t="shared" si="3"/>
        <v>480</v>
      </c>
      <c r="F10" s="1">
        <v>18438</v>
      </c>
      <c r="G10" s="17">
        <f t="shared" si="4"/>
        <v>80</v>
      </c>
      <c r="H10" s="1">
        <v>221832</v>
      </c>
      <c r="I10" s="17">
        <f t="shared" si="5"/>
        <v>24</v>
      </c>
      <c r="J10" s="1">
        <v>303517</v>
      </c>
      <c r="K10" s="17">
        <f t="shared" si="1"/>
        <v>0</v>
      </c>
      <c r="L10" s="1">
        <v>22909</v>
      </c>
      <c r="M10" s="17">
        <f t="shared" si="6"/>
        <v>800</v>
      </c>
      <c r="N10" s="57">
        <v>168752</v>
      </c>
      <c r="O10" s="17">
        <f t="shared" si="7"/>
        <v>4</v>
      </c>
      <c r="P10" s="1">
        <v>21148</v>
      </c>
      <c r="Q10" s="17">
        <f>P10-P9</f>
        <v>204</v>
      </c>
      <c r="R10" s="1">
        <v>55047</v>
      </c>
      <c r="S10" s="17">
        <f>R10-R9</f>
        <v>0</v>
      </c>
    </row>
    <row r="11" spans="1:24" ht="13.5" thickBot="1" x14ac:dyDescent="0.25">
      <c r="A11" s="10">
        <v>43777</v>
      </c>
      <c r="B11" s="1">
        <v>42926</v>
      </c>
      <c r="C11" s="17">
        <f t="shared" si="0"/>
        <v>480</v>
      </c>
      <c r="D11" s="1">
        <v>38075</v>
      </c>
      <c r="E11" s="17">
        <f t="shared" si="3"/>
        <v>480</v>
      </c>
      <c r="F11" s="1">
        <v>18441</v>
      </c>
      <c r="G11" s="17">
        <f t="shared" si="4"/>
        <v>60</v>
      </c>
      <c r="H11" s="1">
        <v>221866</v>
      </c>
      <c r="I11" s="17">
        <f t="shared" si="5"/>
        <v>34</v>
      </c>
      <c r="J11" s="1">
        <v>303517</v>
      </c>
      <c r="K11" s="17">
        <f t="shared" si="1"/>
        <v>0</v>
      </c>
      <c r="L11" s="1">
        <v>22912</v>
      </c>
      <c r="M11" s="17">
        <f t="shared" si="6"/>
        <v>480</v>
      </c>
      <c r="N11" s="57">
        <v>168754</v>
      </c>
      <c r="O11" s="17">
        <f t="shared" si="7"/>
        <v>2</v>
      </c>
      <c r="P11" s="1">
        <v>21255</v>
      </c>
      <c r="Q11" s="17">
        <f>P11-P10</f>
        <v>107</v>
      </c>
      <c r="R11" s="1">
        <v>55047</v>
      </c>
      <c r="S11" s="17">
        <f>R11-R10</f>
        <v>0</v>
      </c>
    </row>
    <row r="12" spans="1:24" ht="13.5" thickBot="1" x14ac:dyDescent="0.25">
      <c r="A12" s="10">
        <v>43778</v>
      </c>
      <c r="B12" s="1">
        <v>42931</v>
      </c>
      <c r="C12" s="17">
        <f t="shared" si="0"/>
        <v>600</v>
      </c>
      <c r="D12" s="1">
        <v>38078</v>
      </c>
      <c r="E12" s="17">
        <f t="shared" si="3"/>
        <v>480</v>
      </c>
      <c r="F12" s="1">
        <v>18445</v>
      </c>
      <c r="G12" s="17">
        <f>(F12-F11)*100/5</f>
        <v>80</v>
      </c>
      <c r="H12" s="1">
        <v>221886</v>
      </c>
      <c r="I12" s="17">
        <f t="shared" si="5"/>
        <v>20</v>
      </c>
      <c r="J12" s="1">
        <v>303517</v>
      </c>
      <c r="K12" s="17">
        <f t="shared" si="1"/>
        <v>0</v>
      </c>
      <c r="L12" s="1">
        <v>22915</v>
      </c>
      <c r="M12" s="17">
        <f t="shared" si="6"/>
        <v>480</v>
      </c>
      <c r="N12" s="57">
        <v>168758</v>
      </c>
      <c r="O12" s="17">
        <f t="shared" si="7"/>
        <v>4</v>
      </c>
      <c r="P12" s="1">
        <v>21355</v>
      </c>
      <c r="Q12" s="17">
        <f t="shared" si="2"/>
        <v>100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43779</v>
      </c>
      <c r="B13" s="1">
        <v>42936</v>
      </c>
      <c r="C13" s="17">
        <f t="shared" si="0"/>
        <v>600</v>
      </c>
      <c r="D13" s="1">
        <v>38082</v>
      </c>
      <c r="E13" s="17">
        <f t="shared" si="3"/>
        <v>640</v>
      </c>
      <c r="F13" s="1">
        <v>18449</v>
      </c>
      <c r="G13" s="17">
        <f t="shared" si="4"/>
        <v>80</v>
      </c>
      <c r="H13" s="1">
        <v>221906</v>
      </c>
      <c r="I13" s="17">
        <f t="shared" si="5"/>
        <v>20</v>
      </c>
      <c r="J13" s="1">
        <v>303517</v>
      </c>
      <c r="K13" s="17">
        <f t="shared" si="1"/>
        <v>0</v>
      </c>
      <c r="L13" s="1">
        <v>22918</v>
      </c>
      <c r="M13" s="17">
        <f t="shared" si="6"/>
        <v>480</v>
      </c>
      <c r="N13" s="57">
        <v>168761</v>
      </c>
      <c r="O13" s="17">
        <f t="shared" si="7"/>
        <v>3</v>
      </c>
      <c r="P13" s="1">
        <v>21460</v>
      </c>
      <c r="Q13" s="17">
        <f t="shared" si="2"/>
        <v>105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43780</v>
      </c>
      <c r="B14" s="1">
        <v>42941</v>
      </c>
      <c r="C14" s="17">
        <f t="shared" si="0"/>
        <v>600</v>
      </c>
      <c r="D14" s="1">
        <v>38085</v>
      </c>
      <c r="E14" s="17">
        <f t="shared" si="3"/>
        <v>480</v>
      </c>
      <c r="F14" s="1">
        <v>18453</v>
      </c>
      <c r="G14" s="17">
        <f t="shared" si="4"/>
        <v>80</v>
      </c>
      <c r="H14" s="1">
        <v>221925</v>
      </c>
      <c r="I14" s="17">
        <f t="shared" si="5"/>
        <v>19</v>
      </c>
      <c r="J14" s="1">
        <v>303517</v>
      </c>
      <c r="K14" s="17">
        <f t="shared" si="1"/>
        <v>0</v>
      </c>
      <c r="L14" s="1">
        <v>22921</v>
      </c>
      <c r="M14" s="17">
        <f t="shared" si="6"/>
        <v>480</v>
      </c>
      <c r="N14" s="57">
        <v>168768</v>
      </c>
      <c r="O14" s="17">
        <f t="shared" si="7"/>
        <v>7</v>
      </c>
      <c r="P14" s="1">
        <v>21565</v>
      </c>
      <c r="Q14" s="17">
        <f t="shared" si="2"/>
        <v>105</v>
      </c>
      <c r="R14" s="1">
        <f t="shared" ref="R14:R34" si="9">R13</f>
        <v>55047</v>
      </c>
      <c r="S14" s="17">
        <f t="shared" si="8"/>
        <v>0</v>
      </c>
    </row>
    <row r="15" spans="1:24" ht="13.5" thickBot="1" x14ac:dyDescent="0.25">
      <c r="A15" s="10">
        <v>43781</v>
      </c>
      <c r="B15" s="1">
        <v>42945</v>
      </c>
      <c r="C15" s="17">
        <f t="shared" si="0"/>
        <v>480</v>
      </c>
      <c r="D15" s="1">
        <v>38089</v>
      </c>
      <c r="E15" s="17">
        <f t="shared" si="3"/>
        <v>640</v>
      </c>
      <c r="F15" s="1">
        <v>18454</v>
      </c>
      <c r="G15" s="17">
        <f t="shared" si="4"/>
        <v>20</v>
      </c>
      <c r="H15" s="1">
        <v>221928</v>
      </c>
      <c r="I15" s="17">
        <f t="shared" si="5"/>
        <v>3</v>
      </c>
      <c r="J15" s="1">
        <v>303517</v>
      </c>
      <c r="K15" s="17">
        <f t="shared" si="1"/>
        <v>0</v>
      </c>
      <c r="L15" s="1">
        <v>22923</v>
      </c>
      <c r="M15" s="17">
        <f t="shared" si="6"/>
        <v>320</v>
      </c>
      <c r="N15" s="57">
        <v>168772</v>
      </c>
      <c r="O15" s="17">
        <f t="shared" si="7"/>
        <v>4</v>
      </c>
      <c r="P15" s="1">
        <v>21653</v>
      </c>
      <c r="Q15" s="17">
        <f t="shared" si="2"/>
        <v>88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43782</v>
      </c>
      <c r="B16" s="1">
        <v>42949</v>
      </c>
      <c r="C16" s="17">
        <f t="shared" si="0"/>
        <v>480</v>
      </c>
      <c r="D16" s="1">
        <v>38094</v>
      </c>
      <c r="E16" s="17">
        <f t="shared" si="3"/>
        <v>800</v>
      </c>
      <c r="F16" s="1">
        <v>18458</v>
      </c>
      <c r="G16" s="17">
        <f t="shared" si="4"/>
        <v>80</v>
      </c>
      <c r="H16" s="1">
        <v>221932</v>
      </c>
      <c r="I16" s="17">
        <f t="shared" si="5"/>
        <v>4</v>
      </c>
      <c r="J16" s="1">
        <v>303517</v>
      </c>
      <c r="K16" s="17">
        <f t="shared" si="1"/>
        <v>0</v>
      </c>
      <c r="L16" s="1">
        <v>22927</v>
      </c>
      <c r="M16" s="17">
        <f t="shared" si="6"/>
        <v>640</v>
      </c>
      <c r="N16" s="57">
        <v>168775</v>
      </c>
      <c r="O16" s="17">
        <f t="shared" si="7"/>
        <v>3</v>
      </c>
      <c r="P16" s="1">
        <v>21784</v>
      </c>
      <c r="Q16" s="17">
        <f t="shared" si="2"/>
        <v>131</v>
      </c>
      <c r="R16" s="1">
        <f t="shared" si="9"/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43783</v>
      </c>
      <c r="B17" s="1">
        <v>42954</v>
      </c>
      <c r="C17" s="17">
        <f t="shared" si="0"/>
        <v>600</v>
      </c>
      <c r="D17" s="1">
        <v>38097</v>
      </c>
      <c r="E17" s="17">
        <f t="shared" si="3"/>
        <v>480</v>
      </c>
      <c r="F17" s="1">
        <v>18463</v>
      </c>
      <c r="G17" s="17">
        <f t="shared" si="4"/>
        <v>100</v>
      </c>
      <c r="H17" s="1">
        <v>221936</v>
      </c>
      <c r="I17" s="17">
        <f t="shared" si="5"/>
        <v>4</v>
      </c>
      <c r="J17" s="1">
        <v>303517</v>
      </c>
      <c r="K17" s="17">
        <f t="shared" si="1"/>
        <v>0</v>
      </c>
      <c r="L17" s="1">
        <v>22929</v>
      </c>
      <c r="M17" s="17">
        <f t="shared" si="6"/>
        <v>320</v>
      </c>
      <c r="N17" s="57">
        <v>168776</v>
      </c>
      <c r="O17" s="17">
        <f t="shared" si="7"/>
        <v>1</v>
      </c>
      <c r="P17" s="1">
        <v>21934</v>
      </c>
      <c r="Q17" s="17">
        <f t="shared" si="2"/>
        <v>150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43784</v>
      </c>
      <c r="B18" s="1">
        <v>42961</v>
      </c>
      <c r="C18" s="17">
        <f t="shared" si="0"/>
        <v>840</v>
      </c>
      <c r="D18" s="1">
        <v>38099</v>
      </c>
      <c r="E18" s="17">
        <f t="shared" si="3"/>
        <v>320</v>
      </c>
      <c r="F18" s="1">
        <v>18468</v>
      </c>
      <c r="G18" s="17">
        <f t="shared" si="4"/>
        <v>100</v>
      </c>
      <c r="H18" s="1">
        <v>222011</v>
      </c>
      <c r="I18" s="17">
        <f t="shared" si="5"/>
        <v>75</v>
      </c>
      <c r="J18" s="1">
        <v>303517</v>
      </c>
      <c r="K18" s="17">
        <f t="shared" si="1"/>
        <v>0</v>
      </c>
      <c r="L18" s="1">
        <v>22933</v>
      </c>
      <c r="M18" s="17">
        <f t="shared" si="6"/>
        <v>640</v>
      </c>
      <c r="N18" s="57">
        <v>168777</v>
      </c>
      <c r="O18" s="17">
        <f t="shared" si="7"/>
        <v>1</v>
      </c>
      <c r="P18" s="1">
        <v>22134</v>
      </c>
      <c r="Q18" s="17">
        <f t="shared" si="2"/>
        <v>200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43785</v>
      </c>
      <c r="B19" s="1">
        <v>42966</v>
      </c>
      <c r="C19" s="17">
        <f t="shared" si="0"/>
        <v>600</v>
      </c>
      <c r="D19" s="1">
        <v>38101</v>
      </c>
      <c r="E19" s="17">
        <f t="shared" si="3"/>
        <v>320</v>
      </c>
      <c r="F19" s="1">
        <v>18472</v>
      </c>
      <c r="G19" s="17">
        <f t="shared" si="4"/>
        <v>80</v>
      </c>
      <c r="H19" s="1">
        <v>222077</v>
      </c>
      <c r="I19" s="17">
        <f t="shared" si="5"/>
        <v>66</v>
      </c>
      <c r="J19" s="1">
        <v>303517</v>
      </c>
      <c r="K19" s="17">
        <f t="shared" si="1"/>
        <v>0</v>
      </c>
      <c r="L19" s="1">
        <v>22939</v>
      </c>
      <c r="M19" s="17">
        <f t="shared" si="6"/>
        <v>960</v>
      </c>
      <c r="N19" s="57">
        <v>168779</v>
      </c>
      <c r="O19" s="17">
        <f t="shared" si="7"/>
        <v>2</v>
      </c>
      <c r="P19" s="1">
        <v>22321</v>
      </c>
      <c r="Q19" s="17">
        <f t="shared" si="2"/>
        <v>187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43786</v>
      </c>
      <c r="B20" s="1">
        <v>42971</v>
      </c>
      <c r="C20" s="17">
        <f t="shared" si="0"/>
        <v>600</v>
      </c>
      <c r="D20" s="1">
        <v>38104</v>
      </c>
      <c r="E20" s="17">
        <f t="shared" si="3"/>
        <v>480</v>
      </c>
      <c r="F20" s="1">
        <v>18475</v>
      </c>
      <c r="G20" s="17">
        <f t="shared" si="4"/>
        <v>60</v>
      </c>
      <c r="H20" s="1">
        <v>222094</v>
      </c>
      <c r="I20" s="17">
        <f t="shared" si="5"/>
        <v>17</v>
      </c>
      <c r="J20" s="1">
        <v>303517</v>
      </c>
      <c r="K20" s="17">
        <f t="shared" si="1"/>
        <v>0</v>
      </c>
      <c r="L20" s="1">
        <v>22944</v>
      </c>
      <c r="M20" s="17">
        <f t="shared" si="6"/>
        <v>800</v>
      </c>
      <c r="N20" s="57">
        <v>168783</v>
      </c>
      <c r="O20" s="17">
        <f t="shared" si="7"/>
        <v>4</v>
      </c>
      <c r="P20" s="1">
        <v>22501</v>
      </c>
      <c r="Q20" s="17">
        <f t="shared" si="2"/>
        <v>180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43787</v>
      </c>
      <c r="B21" s="1">
        <v>42977</v>
      </c>
      <c r="C21" s="17">
        <f t="shared" si="0"/>
        <v>720</v>
      </c>
      <c r="D21" s="1">
        <v>38108</v>
      </c>
      <c r="E21" s="17">
        <f t="shared" si="3"/>
        <v>640</v>
      </c>
      <c r="F21" s="1">
        <v>18479</v>
      </c>
      <c r="G21" s="17">
        <f t="shared" si="4"/>
        <v>80</v>
      </c>
      <c r="H21" s="1">
        <v>222130</v>
      </c>
      <c r="I21" s="17">
        <f t="shared" si="5"/>
        <v>36</v>
      </c>
      <c r="J21" s="1">
        <v>303517</v>
      </c>
      <c r="K21" s="17">
        <f t="shared" si="1"/>
        <v>0</v>
      </c>
      <c r="L21" s="1">
        <v>22948</v>
      </c>
      <c r="M21" s="17">
        <f t="shared" si="6"/>
        <v>640</v>
      </c>
      <c r="N21" s="57">
        <v>168786</v>
      </c>
      <c r="O21" s="17">
        <f t="shared" si="7"/>
        <v>3</v>
      </c>
      <c r="P21" s="1">
        <v>22700</v>
      </c>
      <c r="Q21" s="17">
        <f t="shared" si="2"/>
        <v>199</v>
      </c>
      <c r="R21" s="1">
        <f t="shared" si="9"/>
        <v>55047</v>
      </c>
      <c r="S21" s="17">
        <f t="shared" si="8"/>
        <v>0</v>
      </c>
    </row>
    <row r="22" spans="1:23" ht="13.5" thickBot="1" x14ac:dyDescent="0.25">
      <c r="A22" s="10">
        <v>43788</v>
      </c>
      <c r="B22" s="1">
        <v>42982</v>
      </c>
      <c r="C22" s="17">
        <f t="shared" si="0"/>
        <v>600</v>
      </c>
      <c r="D22" s="1">
        <v>38111</v>
      </c>
      <c r="E22" s="17">
        <f t="shared" si="3"/>
        <v>480</v>
      </c>
      <c r="F22" s="1">
        <v>18483</v>
      </c>
      <c r="G22" s="17">
        <f t="shared" si="4"/>
        <v>80</v>
      </c>
      <c r="H22" s="1">
        <v>222156</v>
      </c>
      <c r="I22" s="17">
        <f t="shared" si="5"/>
        <v>26</v>
      </c>
      <c r="J22" s="1">
        <f>J21</f>
        <v>303517</v>
      </c>
      <c r="K22" s="17">
        <f t="shared" si="1"/>
        <v>0</v>
      </c>
      <c r="L22" s="1">
        <v>22953</v>
      </c>
      <c r="M22" s="17">
        <f t="shared" si="6"/>
        <v>800</v>
      </c>
      <c r="N22" s="57">
        <v>168789</v>
      </c>
      <c r="O22" s="17">
        <f t="shared" si="7"/>
        <v>3</v>
      </c>
      <c r="P22" s="1">
        <v>22895</v>
      </c>
      <c r="Q22" s="17">
        <f t="shared" si="2"/>
        <v>195</v>
      </c>
      <c r="R22" s="1">
        <f t="shared" si="9"/>
        <v>55047</v>
      </c>
      <c r="S22" s="17">
        <f t="shared" si="8"/>
        <v>0</v>
      </c>
    </row>
    <row r="23" spans="1:23" ht="13.5" thickBot="1" x14ac:dyDescent="0.25">
      <c r="A23" s="10">
        <v>43789</v>
      </c>
      <c r="B23" s="1">
        <v>42986</v>
      </c>
      <c r="C23" s="17">
        <f t="shared" si="0"/>
        <v>480</v>
      </c>
      <c r="D23" s="1">
        <v>38113</v>
      </c>
      <c r="E23" s="17">
        <f t="shared" si="3"/>
        <v>320</v>
      </c>
      <c r="F23" s="1">
        <v>18486</v>
      </c>
      <c r="G23" s="17">
        <f t="shared" si="4"/>
        <v>60</v>
      </c>
      <c r="H23" s="1">
        <v>222175</v>
      </c>
      <c r="I23" s="17">
        <f t="shared" si="5"/>
        <v>19</v>
      </c>
      <c r="J23" s="1">
        <f t="shared" ref="J23:J34" si="10">J22</f>
        <v>303517</v>
      </c>
      <c r="K23" s="17">
        <f t="shared" si="1"/>
        <v>0</v>
      </c>
      <c r="L23" s="1">
        <v>22956</v>
      </c>
      <c r="M23" s="17">
        <f t="shared" si="6"/>
        <v>480</v>
      </c>
      <c r="N23" s="57">
        <v>168791</v>
      </c>
      <c r="O23" s="17">
        <f t="shared" si="7"/>
        <v>2</v>
      </c>
      <c r="P23" s="1">
        <v>23096</v>
      </c>
      <c r="Q23" s="17">
        <f t="shared" si="2"/>
        <v>201</v>
      </c>
      <c r="R23" s="1">
        <f t="shared" si="9"/>
        <v>55047</v>
      </c>
      <c r="S23" s="17">
        <f t="shared" si="8"/>
        <v>0</v>
      </c>
    </row>
    <row r="24" spans="1:23" ht="13.5" thickBot="1" x14ac:dyDescent="0.25">
      <c r="A24" s="10">
        <v>43790</v>
      </c>
      <c r="B24" s="1">
        <v>42992</v>
      </c>
      <c r="C24" s="17">
        <f t="shared" si="0"/>
        <v>720</v>
      </c>
      <c r="D24" s="1">
        <v>38117</v>
      </c>
      <c r="E24" s="17">
        <f t="shared" si="3"/>
        <v>640</v>
      </c>
      <c r="F24" s="1">
        <v>18489</v>
      </c>
      <c r="G24" s="17">
        <f t="shared" si="4"/>
        <v>60</v>
      </c>
      <c r="H24" s="1">
        <v>222193</v>
      </c>
      <c r="I24" s="17">
        <f t="shared" si="5"/>
        <v>18</v>
      </c>
      <c r="J24" s="1">
        <f t="shared" si="10"/>
        <v>303517</v>
      </c>
      <c r="K24" s="17">
        <f t="shared" si="1"/>
        <v>0</v>
      </c>
      <c r="L24" s="1">
        <v>22961</v>
      </c>
      <c r="M24" s="17">
        <f t="shared" si="6"/>
        <v>800</v>
      </c>
      <c r="N24" s="57">
        <v>168794</v>
      </c>
      <c r="O24" s="17">
        <f t="shared" si="7"/>
        <v>3</v>
      </c>
      <c r="P24" s="1">
        <v>23297</v>
      </c>
      <c r="Q24" s="17">
        <f t="shared" si="2"/>
        <v>201</v>
      </c>
      <c r="R24" s="1">
        <f t="shared" si="9"/>
        <v>55047</v>
      </c>
      <c r="S24" s="17">
        <f t="shared" si="8"/>
        <v>0</v>
      </c>
    </row>
    <row r="25" spans="1:23" ht="13.5" thickBot="1" x14ac:dyDescent="0.25">
      <c r="A25" s="10">
        <v>43791</v>
      </c>
      <c r="B25" s="1">
        <v>42996</v>
      </c>
      <c r="C25" s="17">
        <f t="shared" si="0"/>
        <v>480</v>
      </c>
      <c r="D25" s="1">
        <v>38120</v>
      </c>
      <c r="E25" s="17">
        <f t="shared" si="3"/>
        <v>480</v>
      </c>
      <c r="F25" s="1">
        <v>18493</v>
      </c>
      <c r="G25" s="17">
        <f t="shared" si="4"/>
        <v>80</v>
      </c>
      <c r="H25" s="1">
        <v>222210</v>
      </c>
      <c r="I25" s="17">
        <f t="shared" si="5"/>
        <v>17</v>
      </c>
      <c r="J25" s="1">
        <f t="shared" si="10"/>
        <v>303517</v>
      </c>
      <c r="K25" s="17">
        <f t="shared" si="1"/>
        <v>0</v>
      </c>
      <c r="L25" s="1">
        <v>22963</v>
      </c>
      <c r="M25" s="17">
        <f t="shared" si="6"/>
        <v>320</v>
      </c>
      <c r="N25" s="57">
        <v>168797</v>
      </c>
      <c r="O25" s="17">
        <f t="shared" si="7"/>
        <v>3</v>
      </c>
      <c r="P25" s="1">
        <v>23499</v>
      </c>
      <c r="Q25" s="17">
        <f t="shared" si="2"/>
        <v>202</v>
      </c>
      <c r="R25" s="1">
        <f t="shared" si="9"/>
        <v>55047</v>
      </c>
      <c r="S25" s="17">
        <f t="shared" si="8"/>
        <v>0</v>
      </c>
    </row>
    <row r="26" spans="1:23" ht="13.5" thickBot="1" x14ac:dyDescent="0.25">
      <c r="A26" s="10">
        <v>43792</v>
      </c>
      <c r="B26" s="1">
        <v>43001</v>
      </c>
      <c r="C26" s="17">
        <f t="shared" si="0"/>
        <v>600</v>
      </c>
      <c r="D26" s="1">
        <v>38124</v>
      </c>
      <c r="E26" s="17">
        <f t="shared" si="3"/>
        <v>640</v>
      </c>
      <c r="F26" s="1">
        <v>18497</v>
      </c>
      <c r="G26" s="17">
        <f t="shared" si="4"/>
        <v>80</v>
      </c>
      <c r="H26" s="1">
        <v>222230</v>
      </c>
      <c r="I26" s="17">
        <f t="shared" si="5"/>
        <v>20</v>
      </c>
      <c r="J26" s="1">
        <v>303517</v>
      </c>
      <c r="K26" s="17">
        <f t="shared" si="1"/>
        <v>0</v>
      </c>
      <c r="L26" s="1">
        <v>22966</v>
      </c>
      <c r="M26" s="17">
        <f t="shared" si="6"/>
        <v>480</v>
      </c>
      <c r="N26" s="57">
        <v>168801</v>
      </c>
      <c r="O26" s="17">
        <f t="shared" si="7"/>
        <v>4</v>
      </c>
      <c r="P26" s="1">
        <v>23700</v>
      </c>
      <c r="Q26" s="17">
        <f t="shared" si="2"/>
        <v>201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43793</v>
      </c>
      <c r="B27" s="1">
        <v>43007</v>
      </c>
      <c r="C27" s="17">
        <f t="shared" si="0"/>
        <v>720</v>
      </c>
      <c r="D27" s="1">
        <v>38127</v>
      </c>
      <c r="E27" s="17">
        <f t="shared" si="3"/>
        <v>480</v>
      </c>
      <c r="F27" s="1">
        <v>18501</v>
      </c>
      <c r="G27" s="17">
        <f t="shared" si="4"/>
        <v>80</v>
      </c>
      <c r="H27" s="1">
        <v>222243</v>
      </c>
      <c r="I27" s="17">
        <f t="shared" si="5"/>
        <v>13</v>
      </c>
      <c r="J27" s="1">
        <v>303517</v>
      </c>
      <c r="K27" s="17">
        <f t="shared" si="1"/>
        <v>0</v>
      </c>
      <c r="L27" s="1">
        <v>22971</v>
      </c>
      <c r="M27" s="17">
        <f t="shared" si="6"/>
        <v>800</v>
      </c>
      <c r="N27" s="57">
        <v>168804</v>
      </c>
      <c r="O27" s="17">
        <f t="shared" si="7"/>
        <v>3</v>
      </c>
      <c r="P27" s="1">
        <v>23901</v>
      </c>
      <c r="Q27" s="17">
        <f t="shared" si="2"/>
        <v>201</v>
      </c>
      <c r="R27" s="1">
        <f t="shared" si="9"/>
        <v>55047</v>
      </c>
      <c r="S27" s="17">
        <f t="shared" si="8"/>
        <v>0</v>
      </c>
      <c r="W27" t="s">
        <v>13</v>
      </c>
    </row>
    <row r="28" spans="1:23" ht="13.5" thickBot="1" x14ac:dyDescent="0.25">
      <c r="A28" s="10">
        <v>43794</v>
      </c>
      <c r="B28" s="1">
        <v>43011</v>
      </c>
      <c r="C28" s="17">
        <f t="shared" si="0"/>
        <v>480</v>
      </c>
      <c r="D28" s="1">
        <v>38129</v>
      </c>
      <c r="E28" s="17">
        <f t="shared" si="3"/>
        <v>320</v>
      </c>
      <c r="F28" s="1">
        <v>18504</v>
      </c>
      <c r="G28" s="17">
        <f t="shared" si="4"/>
        <v>60</v>
      </c>
      <c r="H28" s="1">
        <v>222247</v>
      </c>
      <c r="I28" s="17">
        <f t="shared" si="5"/>
        <v>4</v>
      </c>
      <c r="J28" s="1">
        <v>303517</v>
      </c>
      <c r="K28" s="17">
        <f t="shared" si="1"/>
        <v>0</v>
      </c>
      <c r="L28" s="1">
        <v>22975</v>
      </c>
      <c r="M28" s="17">
        <f t="shared" si="6"/>
        <v>640</v>
      </c>
      <c r="N28" s="57">
        <v>168808</v>
      </c>
      <c r="O28" s="17">
        <f t="shared" si="7"/>
        <v>4</v>
      </c>
      <c r="P28" s="1">
        <v>24009</v>
      </c>
      <c r="Q28" s="17">
        <f t="shared" si="2"/>
        <v>108</v>
      </c>
      <c r="R28" s="1">
        <f t="shared" si="9"/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43795</v>
      </c>
      <c r="B29" s="1">
        <v>43016</v>
      </c>
      <c r="C29" s="17">
        <f t="shared" si="0"/>
        <v>600</v>
      </c>
      <c r="D29" s="1">
        <v>38134</v>
      </c>
      <c r="E29" s="17">
        <f t="shared" si="3"/>
        <v>800</v>
      </c>
      <c r="F29" s="1">
        <v>18507</v>
      </c>
      <c r="G29" s="17">
        <f t="shared" si="4"/>
        <v>60</v>
      </c>
      <c r="H29" s="1">
        <v>222252</v>
      </c>
      <c r="I29" s="17">
        <f t="shared" si="5"/>
        <v>5</v>
      </c>
      <c r="J29" s="1">
        <f t="shared" si="10"/>
        <v>303517</v>
      </c>
      <c r="K29" s="17">
        <f t="shared" si="1"/>
        <v>0</v>
      </c>
      <c r="L29" s="1">
        <v>22979</v>
      </c>
      <c r="M29" s="17">
        <f t="shared" si="6"/>
        <v>640</v>
      </c>
      <c r="N29" s="57">
        <v>168812</v>
      </c>
      <c r="O29" s="17">
        <f t="shared" si="7"/>
        <v>4</v>
      </c>
      <c r="P29" s="1">
        <v>24207</v>
      </c>
      <c r="Q29" s="18">
        <f t="shared" si="2"/>
        <v>198</v>
      </c>
      <c r="R29" s="1">
        <f t="shared" si="9"/>
        <v>55047</v>
      </c>
      <c r="S29" s="18">
        <f t="shared" si="8"/>
        <v>0</v>
      </c>
    </row>
    <row r="30" spans="1:23" ht="13.5" thickBot="1" x14ac:dyDescent="0.25">
      <c r="A30" s="10">
        <v>43796</v>
      </c>
      <c r="B30" s="1">
        <v>43019</v>
      </c>
      <c r="C30" s="17">
        <f t="shared" si="0"/>
        <v>360</v>
      </c>
      <c r="D30" s="1">
        <v>38137</v>
      </c>
      <c r="E30" s="17">
        <f t="shared" si="3"/>
        <v>480</v>
      </c>
      <c r="F30" s="1">
        <v>18511</v>
      </c>
      <c r="G30" s="17">
        <f t="shared" si="4"/>
        <v>80</v>
      </c>
      <c r="H30" s="1">
        <v>222256</v>
      </c>
      <c r="I30" s="17">
        <f t="shared" si="5"/>
        <v>4</v>
      </c>
      <c r="J30" s="1">
        <f t="shared" si="10"/>
        <v>303517</v>
      </c>
      <c r="K30" s="17">
        <f t="shared" si="1"/>
        <v>0</v>
      </c>
      <c r="L30" s="1">
        <v>22984</v>
      </c>
      <c r="M30" s="17">
        <f t="shared" si="6"/>
        <v>800</v>
      </c>
      <c r="N30" s="57">
        <v>168816</v>
      </c>
      <c r="O30" s="17">
        <f t="shared" si="7"/>
        <v>4</v>
      </c>
      <c r="P30" s="1">
        <v>24314</v>
      </c>
      <c r="Q30" s="17">
        <f t="shared" si="2"/>
        <v>107</v>
      </c>
      <c r="R30" s="1">
        <f t="shared" si="9"/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43797</v>
      </c>
      <c r="B31" s="1">
        <v>43023</v>
      </c>
      <c r="C31" s="17">
        <f t="shared" si="0"/>
        <v>480</v>
      </c>
      <c r="D31" s="1">
        <v>38139</v>
      </c>
      <c r="E31" s="17">
        <f t="shared" si="3"/>
        <v>320</v>
      </c>
      <c r="F31" s="1">
        <v>18514</v>
      </c>
      <c r="G31" s="17">
        <f t="shared" si="4"/>
        <v>60</v>
      </c>
      <c r="H31" s="1">
        <v>222259</v>
      </c>
      <c r="I31" s="17">
        <f t="shared" si="5"/>
        <v>3</v>
      </c>
      <c r="J31" s="1">
        <f t="shared" si="10"/>
        <v>303517</v>
      </c>
      <c r="K31" s="17">
        <f t="shared" si="1"/>
        <v>0</v>
      </c>
      <c r="L31" s="1">
        <v>22990</v>
      </c>
      <c r="M31" s="17">
        <f t="shared" si="6"/>
        <v>960</v>
      </c>
      <c r="N31" s="57">
        <v>168818</v>
      </c>
      <c r="O31" s="17">
        <f t="shared" si="7"/>
        <v>2</v>
      </c>
      <c r="P31" s="1">
        <v>24408</v>
      </c>
      <c r="Q31" s="17">
        <f t="shared" si="2"/>
        <v>94</v>
      </c>
      <c r="R31" s="1">
        <f t="shared" si="9"/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43798</v>
      </c>
      <c r="B32" s="1">
        <v>43029</v>
      </c>
      <c r="C32" s="17">
        <f t="shared" si="0"/>
        <v>720</v>
      </c>
      <c r="D32" s="1">
        <v>38144</v>
      </c>
      <c r="E32" s="17">
        <f t="shared" si="3"/>
        <v>800</v>
      </c>
      <c r="F32" s="1">
        <v>18521</v>
      </c>
      <c r="G32" s="17">
        <f t="shared" si="4"/>
        <v>140</v>
      </c>
      <c r="H32" s="1">
        <v>222361</v>
      </c>
      <c r="I32" s="17">
        <f t="shared" si="5"/>
        <v>102</v>
      </c>
      <c r="J32" s="1">
        <f t="shared" si="10"/>
        <v>303517</v>
      </c>
      <c r="K32" s="17">
        <f t="shared" si="1"/>
        <v>0</v>
      </c>
      <c r="L32" s="1">
        <v>22992</v>
      </c>
      <c r="M32" s="17">
        <f t="shared" si="6"/>
        <v>320</v>
      </c>
      <c r="N32" s="57">
        <v>168820</v>
      </c>
      <c r="O32" s="17">
        <f t="shared" si="7"/>
        <v>2</v>
      </c>
      <c r="P32" s="1">
        <v>24502</v>
      </c>
      <c r="Q32" s="17">
        <f t="shared" si="2"/>
        <v>94</v>
      </c>
      <c r="R32" s="1">
        <f t="shared" si="9"/>
        <v>55047</v>
      </c>
      <c r="S32" s="17">
        <f t="shared" si="8"/>
        <v>0</v>
      </c>
    </row>
    <row r="33" spans="1:22" ht="13.5" thickBot="1" x14ac:dyDescent="0.25">
      <c r="A33" s="10">
        <v>43799</v>
      </c>
      <c r="B33" s="1">
        <v>43038</v>
      </c>
      <c r="C33" s="17">
        <f t="shared" si="0"/>
        <v>1080</v>
      </c>
      <c r="D33" s="1">
        <v>38147</v>
      </c>
      <c r="E33" s="17">
        <f t="shared" si="3"/>
        <v>480</v>
      </c>
      <c r="F33" s="1">
        <v>18524</v>
      </c>
      <c r="G33" s="17">
        <f t="shared" si="4"/>
        <v>60</v>
      </c>
      <c r="H33" s="1">
        <v>222372</v>
      </c>
      <c r="I33" s="17">
        <f t="shared" si="5"/>
        <v>11</v>
      </c>
      <c r="J33" s="1">
        <f t="shared" si="10"/>
        <v>303517</v>
      </c>
      <c r="K33" s="17">
        <f t="shared" si="1"/>
        <v>0</v>
      </c>
      <c r="L33" s="1">
        <v>22995</v>
      </c>
      <c r="M33" s="17">
        <f t="shared" si="6"/>
        <v>480</v>
      </c>
      <c r="N33" s="57">
        <v>168820</v>
      </c>
      <c r="O33" s="17">
        <f t="shared" si="7"/>
        <v>0</v>
      </c>
      <c r="P33" s="1">
        <v>24572</v>
      </c>
      <c r="Q33" s="17">
        <f t="shared" si="2"/>
        <v>70</v>
      </c>
      <c r="R33" s="1">
        <f t="shared" si="9"/>
        <v>55047</v>
      </c>
      <c r="S33" s="17">
        <f t="shared" si="8"/>
        <v>0</v>
      </c>
      <c r="V33" t="s">
        <v>13</v>
      </c>
    </row>
    <row r="34" spans="1:22" ht="13.5" thickBot="1" x14ac:dyDescent="0.25">
      <c r="A34" s="10"/>
      <c r="B34" s="1">
        <f>B33</f>
        <v>43038</v>
      </c>
      <c r="C34" s="17">
        <f>(B34-B32)*600/5</f>
        <v>1080</v>
      </c>
      <c r="D34" s="1">
        <f>D33</f>
        <v>38147</v>
      </c>
      <c r="E34" s="17">
        <f>(D34-D32)*800/5</f>
        <v>480</v>
      </c>
      <c r="F34" s="1">
        <f>F33</f>
        <v>18524</v>
      </c>
      <c r="G34" s="17">
        <f>(F34-F32)*100/5</f>
        <v>60</v>
      </c>
      <c r="H34" s="1">
        <f>H33</f>
        <v>222372</v>
      </c>
      <c r="I34" s="17">
        <f>H34-H32</f>
        <v>11</v>
      </c>
      <c r="J34" s="1">
        <f t="shared" si="10"/>
        <v>303517</v>
      </c>
      <c r="K34" s="17">
        <f>J34-J32</f>
        <v>0</v>
      </c>
      <c r="L34" s="1">
        <f>L33</f>
        <v>22995</v>
      </c>
      <c r="M34" s="17">
        <f>(L34-L32)*800/5</f>
        <v>480</v>
      </c>
      <c r="N34" s="57">
        <f>N33</f>
        <v>168820</v>
      </c>
      <c r="O34" s="17">
        <f>N34-N32</f>
        <v>0</v>
      </c>
      <c r="P34" s="1">
        <f>P33</f>
        <v>24572</v>
      </c>
      <c r="Q34" s="17">
        <f>P34-P32</f>
        <v>70</v>
      </c>
      <c r="R34" s="1">
        <f t="shared" si="9"/>
        <v>55047</v>
      </c>
      <c r="S34" s="17">
        <f>R34-R32</f>
        <v>0</v>
      </c>
    </row>
    <row r="35" spans="1:22" ht="16.5" thickBot="1" x14ac:dyDescent="0.3">
      <c r="A35" s="10" t="s">
        <v>28</v>
      </c>
      <c r="B35" s="1"/>
      <c r="C35" s="11">
        <f>SUM(C4:C34)</f>
        <v>19320</v>
      </c>
      <c r="D35" s="14"/>
      <c r="E35" s="11">
        <f>SUM(E4:E34)</f>
        <v>15840</v>
      </c>
      <c r="F35" s="14"/>
      <c r="G35" s="11">
        <f>SUM(G4:G34)</f>
        <v>2300</v>
      </c>
      <c r="H35" s="14"/>
      <c r="I35" s="11">
        <f>SUM(I4:I34)</f>
        <v>780</v>
      </c>
      <c r="J35" s="14"/>
      <c r="K35" s="11">
        <f>SUM(K4:K34)</f>
        <v>0</v>
      </c>
      <c r="L35" s="14"/>
      <c r="M35" s="11">
        <f>SUM(M4:M34)</f>
        <v>18880</v>
      </c>
      <c r="N35" s="58"/>
      <c r="O35" s="11"/>
      <c r="P35" s="14"/>
      <c r="Q35" s="11">
        <f>SUM(Q4:Q34)</f>
        <v>4461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zoomScale="55" zoomScaleNormal="55" workbookViewId="0">
      <selection activeCell="I33" sqref="I33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1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72" t="s">
        <v>141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8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371948</v>
      </c>
      <c r="C3" s="25"/>
      <c r="D3" s="3">
        <v>97635200</v>
      </c>
      <c r="E3" s="26"/>
      <c r="F3" s="3">
        <v>96955500</v>
      </c>
      <c r="G3" s="26"/>
      <c r="H3" s="3">
        <v>642600</v>
      </c>
      <c r="I3" s="69"/>
      <c r="J3" s="27">
        <f>C3+E3+G3+I3</f>
        <v>0</v>
      </c>
      <c r="K3" s="28">
        <f>J3*5.86</f>
        <v>0</v>
      </c>
    </row>
    <row r="4" spans="1:14" ht="21" thickBot="1" x14ac:dyDescent="0.3">
      <c r="A4" s="9">
        <v>43770</v>
      </c>
      <c r="B4" s="3">
        <v>372032</v>
      </c>
      <c r="C4" s="64">
        <f>(IF((B4-B3)&lt;0,"0",(B4-B3)))*10</f>
        <v>840</v>
      </c>
      <c r="D4" s="3">
        <v>97651700</v>
      </c>
      <c r="E4" s="64">
        <f>(IF((D4-D3)&lt;0,"0",(D4-D3)))*0.027</f>
        <v>445.5</v>
      </c>
      <c r="F4" s="3">
        <v>96969700</v>
      </c>
      <c r="G4" s="64">
        <f>(IF((F4-F3)&lt;0,"0",(F4-F3)))*0.027</f>
        <v>383.4</v>
      </c>
      <c r="H4" s="3">
        <v>642761</v>
      </c>
      <c r="I4" s="70">
        <f>(IF((H4-H3)&lt;0,"0",(H4-H3)))*0.027</f>
        <v>4.3469999999999995</v>
      </c>
      <c r="J4" s="27">
        <f>C4+E4+G4+I4</f>
        <v>1673.2470000000001</v>
      </c>
      <c r="K4" s="28">
        <f>J4*5.86</f>
        <v>9805.2274200000011</v>
      </c>
    </row>
    <row r="5" spans="1:14" ht="21" thickBot="1" x14ac:dyDescent="0.3">
      <c r="A5" s="9">
        <v>43771</v>
      </c>
      <c r="B5" s="3">
        <v>372147</v>
      </c>
      <c r="C5" s="64">
        <f t="shared" ref="C5:C34" si="0">(IF((B5-B4)&lt;0,"0",(B5-B4)))*10</f>
        <v>1150</v>
      </c>
      <c r="D5" s="3">
        <v>97673700</v>
      </c>
      <c r="E5" s="64">
        <f t="shared" ref="E5:E34" si="1">(IF((D5-D4)&lt;0,"0",(D5-D4)))*0.027</f>
        <v>594</v>
      </c>
      <c r="F5" s="3">
        <v>96988600</v>
      </c>
      <c r="G5" s="64">
        <f>(IF((F5-F4)&lt;0,"0",(F5-F4)))*0.027</f>
        <v>510.3</v>
      </c>
      <c r="H5" s="3">
        <v>642967</v>
      </c>
      <c r="I5" s="70">
        <f>(IF((H5-H4)&lt;0,"0",(H5-H4)))*0.027</f>
        <v>5.5620000000000003</v>
      </c>
      <c r="J5" s="27">
        <f t="shared" ref="J5:J31" si="2">C5+E5+G5+I5</f>
        <v>2259.8620000000001</v>
      </c>
      <c r="K5" s="28">
        <f t="shared" ref="K5:K34" si="3">J5*5.86</f>
        <v>13242.791320000002</v>
      </c>
    </row>
    <row r="6" spans="1:14" ht="21" thickBot="1" x14ac:dyDescent="0.3">
      <c r="A6" s="9">
        <v>43772</v>
      </c>
      <c r="B6" s="3">
        <v>372258</v>
      </c>
      <c r="C6" s="64">
        <f t="shared" si="0"/>
        <v>1110</v>
      </c>
      <c r="D6" s="3">
        <v>97695300</v>
      </c>
      <c r="E6" s="64">
        <f t="shared" si="1"/>
        <v>583.20000000000005</v>
      </c>
      <c r="F6" s="3">
        <v>97005300</v>
      </c>
      <c r="G6" s="64">
        <f t="shared" ref="G6:G34" si="4">(IF((F6-F5)&lt;0,"0",(F6-F5)))*0.027</f>
        <v>450.9</v>
      </c>
      <c r="H6" s="3">
        <v>643172</v>
      </c>
      <c r="I6" s="70">
        <f t="shared" ref="I6:I34" si="5">(IF((H6-H5)&lt;0,"0",(H6-H5)))*0.027</f>
        <v>5.5350000000000001</v>
      </c>
      <c r="J6" s="27">
        <f t="shared" si="2"/>
        <v>2149.6349999999998</v>
      </c>
      <c r="K6" s="28">
        <f t="shared" si="3"/>
        <v>12596.8611</v>
      </c>
    </row>
    <row r="7" spans="1:14" ht="21" thickBot="1" x14ac:dyDescent="0.3">
      <c r="A7" s="9">
        <v>43773</v>
      </c>
      <c r="B7" s="3">
        <v>372371</v>
      </c>
      <c r="C7" s="64">
        <f t="shared" si="0"/>
        <v>1130</v>
      </c>
      <c r="D7" s="3">
        <v>97717100</v>
      </c>
      <c r="E7" s="64">
        <f t="shared" si="1"/>
        <v>588.6</v>
      </c>
      <c r="F7" s="3">
        <v>97022700</v>
      </c>
      <c r="G7" s="64">
        <f t="shared" si="4"/>
        <v>469.8</v>
      </c>
      <c r="H7" s="3">
        <v>643374</v>
      </c>
      <c r="I7" s="70">
        <f t="shared" si="5"/>
        <v>5.4539999999999997</v>
      </c>
      <c r="J7" s="27">
        <f t="shared" si="2"/>
        <v>2193.8540000000003</v>
      </c>
      <c r="K7" s="28">
        <f t="shared" si="3"/>
        <v>12855.984440000002</v>
      </c>
    </row>
    <row r="8" spans="1:14" ht="21" thickBot="1" x14ac:dyDescent="0.3">
      <c r="A8" s="9">
        <v>43774</v>
      </c>
      <c r="B8" s="3">
        <v>372483</v>
      </c>
      <c r="C8" s="64">
        <f t="shared" si="0"/>
        <v>1120</v>
      </c>
      <c r="D8" s="3">
        <v>97738600</v>
      </c>
      <c r="E8" s="64">
        <f t="shared" si="1"/>
        <v>580.5</v>
      </c>
      <c r="F8" s="3">
        <v>97040500</v>
      </c>
      <c r="G8" s="64">
        <f t="shared" si="4"/>
        <v>480.6</v>
      </c>
      <c r="H8" s="3">
        <v>643572</v>
      </c>
      <c r="I8" s="70">
        <f t="shared" si="5"/>
        <v>5.3460000000000001</v>
      </c>
      <c r="J8" s="27">
        <f t="shared" si="2"/>
        <v>2186.4459999999999</v>
      </c>
      <c r="K8" s="28">
        <f t="shared" si="3"/>
        <v>12812.573560000001</v>
      </c>
      <c r="L8" t="s">
        <v>13</v>
      </c>
      <c r="N8" t="s">
        <v>13</v>
      </c>
    </row>
    <row r="9" spans="1:14" ht="21" thickBot="1" x14ac:dyDescent="0.3">
      <c r="A9" s="9">
        <v>43775</v>
      </c>
      <c r="B9" s="3">
        <v>372602</v>
      </c>
      <c r="C9" s="64">
        <f t="shared" si="0"/>
        <v>1190</v>
      </c>
      <c r="D9" s="3">
        <v>97762000</v>
      </c>
      <c r="E9" s="64">
        <f t="shared" si="1"/>
        <v>631.79999999999995</v>
      </c>
      <c r="F9" s="3">
        <v>97058200</v>
      </c>
      <c r="G9" s="64">
        <f t="shared" si="4"/>
        <v>477.9</v>
      </c>
      <c r="H9" s="3">
        <v>643787</v>
      </c>
      <c r="I9" s="70">
        <f t="shared" si="5"/>
        <v>5.8049999999999997</v>
      </c>
      <c r="J9" s="27">
        <f t="shared" si="2"/>
        <v>2305.5049999999997</v>
      </c>
      <c r="K9" s="28">
        <f t="shared" si="3"/>
        <v>13510.259299999998</v>
      </c>
    </row>
    <row r="10" spans="1:14" ht="21" thickBot="1" x14ac:dyDescent="0.3">
      <c r="A10" s="9">
        <v>43776</v>
      </c>
      <c r="B10" s="3">
        <v>372721</v>
      </c>
      <c r="C10" s="64">
        <f t="shared" si="0"/>
        <v>1190</v>
      </c>
      <c r="D10" s="3">
        <v>97784700</v>
      </c>
      <c r="E10" s="64">
        <f t="shared" si="1"/>
        <v>612.9</v>
      </c>
      <c r="F10" s="3">
        <v>97077400</v>
      </c>
      <c r="G10" s="64">
        <f t="shared" si="4"/>
        <v>518.4</v>
      </c>
      <c r="H10" s="3">
        <v>643993</v>
      </c>
      <c r="I10" s="70">
        <f t="shared" si="5"/>
        <v>5.5620000000000003</v>
      </c>
      <c r="J10" s="27">
        <f t="shared" si="2"/>
        <v>2326.8620000000001</v>
      </c>
      <c r="K10" s="28">
        <f t="shared" si="3"/>
        <v>13635.411320000001</v>
      </c>
    </row>
    <row r="11" spans="1:14" ht="21" thickBot="1" x14ac:dyDescent="0.3">
      <c r="A11" s="9">
        <v>43777</v>
      </c>
      <c r="B11" s="3">
        <v>372824</v>
      </c>
      <c r="C11" s="64">
        <f>(IF((B11-B10)&lt;0,"0",(B11-B10)))*10</f>
        <v>1030</v>
      </c>
      <c r="D11" s="3">
        <v>97804000</v>
      </c>
      <c r="E11" s="64">
        <f t="shared" si="1"/>
        <v>521.1</v>
      </c>
      <c r="F11" s="3">
        <v>97094200</v>
      </c>
      <c r="G11" s="64">
        <f t="shared" si="4"/>
        <v>453.6</v>
      </c>
      <c r="H11" s="3">
        <v>644170</v>
      </c>
      <c r="I11" s="70">
        <f t="shared" si="5"/>
        <v>4.7789999999999999</v>
      </c>
      <c r="J11" s="27">
        <f t="shared" si="2"/>
        <v>2009.4789999999998</v>
      </c>
      <c r="K11" s="28">
        <f t="shared" si="3"/>
        <v>11775.54694</v>
      </c>
    </row>
    <row r="12" spans="1:14" ht="21" thickBot="1" x14ac:dyDescent="0.3">
      <c r="A12" s="9">
        <v>43778</v>
      </c>
      <c r="B12" s="3">
        <v>372936</v>
      </c>
      <c r="C12" s="64">
        <f t="shared" si="0"/>
        <v>1120</v>
      </c>
      <c r="D12" s="3">
        <v>97825000</v>
      </c>
      <c r="E12" s="64">
        <f t="shared" si="1"/>
        <v>567</v>
      </c>
      <c r="F12" s="3">
        <v>97112100</v>
      </c>
      <c r="G12" s="64">
        <f t="shared" si="4"/>
        <v>483.3</v>
      </c>
      <c r="H12" s="3">
        <v>644374</v>
      </c>
      <c r="I12" s="70">
        <f t="shared" si="5"/>
        <v>5.508</v>
      </c>
      <c r="J12" s="27">
        <f t="shared" si="2"/>
        <v>2175.808</v>
      </c>
      <c r="K12" s="28">
        <f t="shared" si="3"/>
        <v>12750.23488</v>
      </c>
      <c r="N12" t="s">
        <v>13</v>
      </c>
    </row>
    <row r="13" spans="1:14" ht="21" thickBot="1" x14ac:dyDescent="0.3">
      <c r="A13" s="9">
        <v>43779</v>
      </c>
      <c r="B13" s="3">
        <v>373047</v>
      </c>
      <c r="C13" s="64">
        <f t="shared" si="0"/>
        <v>1110</v>
      </c>
      <c r="D13" s="3">
        <v>97845400</v>
      </c>
      <c r="E13" s="64">
        <f t="shared" si="1"/>
        <v>550.79999999999995</v>
      </c>
      <c r="F13" s="3">
        <v>97130000</v>
      </c>
      <c r="G13" s="64">
        <f t="shared" si="4"/>
        <v>483.3</v>
      </c>
      <c r="H13" s="3">
        <v>644554</v>
      </c>
      <c r="I13" s="70">
        <f t="shared" si="5"/>
        <v>4.8600000000000003</v>
      </c>
      <c r="J13" s="27">
        <f t="shared" si="2"/>
        <v>2148.96</v>
      </c>
      <c r="K13" s="28">
        <f t="shared" si="3"/>
        <v>12592.9056</v>
      </c>
    </row>
    <row r="14" spans="1:14" ht="21" thickBot="1" x14ac:dyDescent="0.3">
      <c r="A14" s="9">
        <v>43780</v>
      </c>
      <c r="B14" s="3">
        <v>373137</v>
      </c>
      <c r="C14" s="64">
        <f t="shared" si="0"/>
        <v>900</v>
      </c>
      <c r="D14" s="3">
        <v>97862000</v>
      </c>
      <c r="E14" s="64">
        <f t="shared" si="1"/>
        <v>448.2</v>
      </c>
      <c r="F14" s="3">
        <v>97145000</v>
      </c>
      <c r="G14" s="64">
        <f t="shared" si="4"/>
        <v>405</v>
      </c>
      <c r="H14" s="3">
        <v>644700</v>
      </c>
      <c r="I14" s="70">
        <f t="shared" si="5"/>
        <v>3.9420000000000002</v>
      </c>
      <c r="J14" s="27">
        <f t="shared" si="2"/>
        <v>1757.1420000000001</v>
      </c>
      <c r="K14" s="28">
        <f t="shared" si="3"/>
        <v>10296.852120000001</v>
      </c>
    </row>
    <row r="15" spans="1:14" ht="21" thickBot="1" x14ac:dyDescent="0.3">
      <c r="A15" s="9">
        <v>43781</v>
      </c>
      <c r="B15" s="3">
        <v>373260</v>
      </c>
      <c r="C15" s="64">
        <f t="shared" si="0"/>
        <v>1230</v>
      </c>
      <c r="D15" s="3">
        <v>97887200</v>
      </c>
      <c r="E15" s="64">
        <f t="shared" si="1"/>
        <v>680.4</v>
      </c>
      <c r="F15" s="3">
        <v>97161600</v>
      </c>
      <c r="G15" s="64">
        <f t="shared" si="4"/>
        <v>448.2</v>
      </c>
      <c r="H15" s="3">
        <v>644948</v>
      </c>
      <c r="I15" s="70">
        <f t="shared" si="5"/>
        <v>6.6959999999999997</v>
      </c>
      <c r="J15" s="27">
        <f t="shared" si="2"/>
        <v>2365.2959999999998</v>
      </c>
      <c r="K15" s="28">
        <f t="shared" si="3"/>
        <v>13860.63456</v>
      </c>
    </row>
    <row r="16" spans="1:14" ht="21" thickBot="1" x14ac:dyDescent="0.3">
      <c r="A16" s="9">
        <v>43782</v>
      </c>
      <c r="B16" s="3">
        <v>373369</v>
      </c>
      <c r="C16" s="64">
        <f t="shared" si="0"/>
        <v>1090</v>
      </c>
      <c r="D16" s="3">
        <v>97908600</v>
      </c>
      <c r="E16" s="64">
        <f t="shared" si="1"/>
        <v>577.79999999999995</v>
      </c>
      <c r="F16" s="3">
        <v>97178700</v>
      </c>
      <c r="G16" s="64">
        <f t="shared" si="4"/>
        <v>461.7</v>
      </c>
      <c r="H16" s="3">
        <v>645152</v>
      </c>
      <c r="I16" s="70">
        <f t="shared" si="5"/>
        <v>5.508</v>
      </c>
      <c r="J16" s="27">
        <f t="shared" si="2"/>
        <v>2135.0079999999998</v>
      </c>
      <c r="K16" s="28">
        <f t="shared" si="3"/>
        <v>12511.14688</v>
      </c>
    </row>
    <row r="17" spans="1:25" ht="21" thickBot="1" x14ac:dyDescent="0.3">
      <c r="A17" s="9">
        <v>43783</v>
      </c>
      <c r="B17" s="3">
        <v>373480</v>
      </c>
      <c r="C17" s="64">
        <f t="shared" si="0"/>
        <v>1110</v>
      </c>
      <c r="D17" s="3">
        <v>97930000</v>
      </c>
      <c r="E17" s="64">
        <f t="shared" si="1"/>
        <v>577.79999999999995</v>
      </c>
      <c r="F17" s="3">
        <v>97197500</v>
      </c>
      <c r="G17" s="64">
        <f t="shared" si="4"/>
        <v>507.59999999999997</v>
      </c>
      <c r="H17" s="3">
        <v>645361</v>
      </c>
      <c r="I17" s="70">
        <f t="shared" si="5"/>
        <v>5.6429999999999998</v>
      </c>
      <c r="J17" s="27">
        <f t="shared" si="2"/>
        <v>2201.0430000000001</v>
      </c>
      <c r="K17" s="28">
        <f t="shared" si="3"/>
        <v>12898.111980000001</v>
      </c>
    </row>
    <row r="18" spans="1:25" ht="21" thickBot="1" x14ac:dyDescent="0.3">
      <c r="A18" s="9">
        <v>43784</v>
      </c>
      <c r="B18" s="3">
        <v>373583</v>
      </c>
      <c r="C18" s="64">
        <f t="shared" si="0"/>
        <v>1030</v>
      </c>
      <c r="D18" s="3">
        <v>97947300</v>
      </c>
      <c r="E18" s="64">
        <f t="shared" si="1"/>
        <v>467.1</v>
      </c>
      <c r="F18" s="3">
        <v>97213700</v>
      </c>
      <c r="G18" s="64">
        <f t="shared" si="4"/>
        <v>437.4</v>
      </c>
      <c r="H18" s="3">
        <v>645486</v>
      </c>
      <c r="I18" s="70">
        <f t="shared" si="5"/>
        <v>3.375</v>
      </c>
      <c r="J18" s="27">
        <f t="shared" si="2"/>
        <v>1937.875</v>
      </c>
      <c r="K18" s="28">
        <f t="shared" si="3"/>
        <v>11355.9475</v>
      </c>
      <c r="P18" t="s">
        <v>13</v>
      </c>
      <c r="R18" t="s">
        <v>13</v>
      </c>
    </row>
    <row r="19" spans="1:25" ht="21" thickBot="1" x14ac:dyDescent="0.3">
      <c r="A19" s="9">
        <v>43785</v>
      </c>
      <c r="B19" s="3">
        <v>373690</v>
      </c>
      <c r="C19" s="64">
        <f t="shared" si="0"/>
        <v>1070</v>
      </c>
      <c r="D19" s="3">
        <v>97967000</v>
      </c>
      <c r="E19" s="64">
        <f t="shared" si="1"/>
        <v>531.9</v>
      </c>
      <c r="F19" s="3">
        <v>97231300</v>
      </c>
      <c r="G19" s="64">
        <f t="shared" si="4"/>
        <v>475.2</v>
      </c>
      <c r="H19" s="3">
        <v>645681</v>
      </c>
      <c r="I19" s="70">
        <f t="shared" si="5"/>
        <v>5.2649999999999997</v>
      </c>
      <c r="J19" s="27">
        <f t="shared" si="2"/>
        <v>2082.3649999999998</v>
      </c>
      <c r="K19" s="28">
        <f t="shared" si="3"/>
        <v>12202.658899999999</v>
      </c>
      <c r="O19" t="s">
        <v>13</v>
      </c>
      <c r="Q19" t="s">
        <v>49</v>
      </c>
    </row>
    <row r="20" spans="1:25" ht="21" thickBot="1" x14ac:dyDescent="0.3">
      <c r="A20" s="9">
        <v>43786</v>
      </c>
      <c r="B20" s="3">
        <v>373811</v>
      </c>
      <c r="C20" s="64">
        <f t="shared" si="0"/>
        <v>1210</v>
      </c>
      <c r="D20" s="3">
        <v>97988100</v>
      </c>
      <c r="E20" s="64">
        <f t="shared" si="1"/>
        <v>569.70000000000005</v>
      </c>
      <c r="F20" s="3">
        <v>97249300</v>
      </c>
      <c r="G20" s="64">
        <f t="shared" si="4"/>
        <v>486</v>
      </c>
      <c r="H20" s="3">
        <v>645871</v>
      </c>
      <c r="I20" s="70">
        <f t="shared" si="5"/>
        <v>5.13</v>
      </c>
      <c r="J20" s="27">
        <f t="shared" si="2"/>
        <v>2270.83</v>
      </c>
      <c r="K20" s="28">
        <f t="shared" si="3"/>
        <v>13307.0638</v>
      </c>
      <c r="Q20" t="s">
        <v>13</v>
      </c>
    </row>
    <row r="21" spans="1:25" ht="21" thickBot="1" x14ac:dyDescent="0.3">
      <c r="A21" s="9">
        <v>43787</v>
      </c>
      <c r="B21" s="3">
        <v>373937</v>
      </c>
      <c r="C21" s="64">
        <f t="shared" si="0"/>
        <v>1260</v>
      </c>
      <c r="D21" s="3">
        <v>98005300</v>
      </c>
      <c r="E21" s="64">
        <f t="shared" si="1"/>
        <v>464.4</v>
      </c>
      <c r="F21" s="3">
        <v>97266100</v>
      </c>
      <c r="G21" s="64">
        <f t="shared" si="4"/>
        <v>453.6</v>
      </c>
      <c r="H21" s="3">
        <v>646066</v>
      </c>
      <c r="I21" s="70">
        <f t="shared" si="5"/>
        <v>5.2649999999999997</v>
      </c>
      <c r="J21" s="27">
        <f t="shared" si="2"/>
        <v>2183.2649999999999</v>
      </c>
      <c r="K21" s="28">
        <f t="shared" si="3"/>
        <v>12793.9329</v>
      </c>
    </row>
    <row r="22" spans="1:25" ht="21" thickBot="1" x14ac:dyDescent="0.3">
      <c r="A22" s="9">
        <v>43788</v>
      </c>
      <c r="B22" s="3">
        <v>374031</v>
      </c>
      <c r="C22" s="64">
        <f t="shared" si="0"/>
        <v>940</v>
      </c>
      <c r="D22" s="3">
        <v>98024600</v>
      </c>
      <c r="E22" s="64">
        <f t="shared" si="1"/>
        <v>521.1</v>
      </c>
      <c r="F22" s="3">
        <v>97283300</v>
      </c>
      <c r="G22" s="64">
        <f t="shared" si="4"/>
        <v>464.4</v>
      </c>
      <c r="H22" s="3">
        <v>646268</v>
      </c>
      <c r="I22" s="70">
        <f t="shared" si="5"/>
        <v>5.4539999999999997</v>
      </c>
      <c r="J22" s="27">
        <f t="shared" si="2"/>
        <v>1930.954</v>
      </c>
      <c r="K22" s="28">
        <f t="shared" si="3"/>
        <v>11315.390440000001</v>
      </c>
      <c r="N22" t="s">
        <v>13</v>
      </c>
    </row>
    <row r="23" spans="1:25" ht="21" thickBot="1" x14ac:dyDescent="0.3">
      <c r="A23" s="9">
        <v>43789</v>
      </c>
      <c r="B23" s="3">
        <v>374135</v>
      </c>
      <c r="C23" s="64">
        <f t="shared" si="0"/>
        <v>1040</v>
      </c>
      <c r="D23" s="3">
        <v>98046500</v>
      </c>
      <c r="E23" s="64">
        <f t="shared" si="1"/>
        <v>591.29999999999995</v>
      </c>
      <c r="F23" s="3">
        <v>97299300</v>
      </c>
      <c r="G23" s="64">
        <f t="shared" si="4"/>
        <v>432</v>
      </c>
      <c r="H23" s="3">
        <v>646484</v>
      </c>
      <c r="I23" s="70">
        <f t="shared" si="5"/>
        <v>5.8319999999999999</v>
      </c>
      <c r="J23" s="27">
        <f t="shared" si="2"/>
        <v>2069.1320000000001</v>
      </c>
      <c r="K23" s="28">
        <f t="shared" si="3"/>
        <v>12125.113520000001</v>
      </c>
      <c r="P23" t="s">
        <v>13</v>
      </c>
      <c r="S23" s="48" t="s">
        <v>13</v>
      </c>
    </row>
    <row r="24" spans="1:25" ht="21" thickBot="1" x14ac:dyDescent="0.3">
      <c r="A24" s="9">
        <v>43790</v>
      </c>
      <c r="B24" s="3">
        <v>374240</v>
      </c>
      <c r="C24" s="64">
        <f t="shared" si="0"/>
        <v>1050</v>
      </c>
      <c r="D24" s="3">
        <v>98064500</v>
      </c>
      <c r="E24" s="64">
        <f t="shared" si="1"/>
        <v>486</v>
      </c>
      <c r="F24" s="3">
        <v>97313800</v>
      </c>
      <c r="G24" s="64">
        <f t="shared" si="4"/>
        <v>391.5</v>
      </c>
      <c r="H24" s="3">
        <v>646661</v>
      </c>
      <c r="I24" s="70">
        <f t="shared" si="5"/>
        <v>4.7789999999999999</v>
      </c>
      <c r="J24" s="27">
        <f t="shared" si="2"/>
        <v>1932.279</v>
      </c>
      <c r="K24" s="28">
        <f t="shared" si="3"/>
        <v>11323.15494</v>
      </c>
      <c r="Q24" t="s">
        <v>13</v>
      </c>
    </row>
    <row r="25" spans="1:25" ht="21" thickBot="1" x14ac:dyDescent="0.3">
      <c r="A25" s="9">
        <v>43791</v>
      </c>
      <c r="B25" s="3">
        <v>374343</v>
      </c>
      <c r="C25" s="64">
        <f t="shared" si="0"/>
        <v>1030</v>
      </c>
      <c r="D25" s="3">
        <v>98082400</v>
      </c>
      <c r="E25" s="64">
        <f t="shared" si="1"/>
        <v>483.3</v>
      </c>
      <c r="F25" s="3">
        <v>97330300</v>
      </c>
      <c r="G25" s="64">
        <f t="shared" si="4"/>
        <v>445.5</v>
      </c>
      <c r="H25" s="3">
        <v>646828</v>
      </c>
      <c r="I25" s="70">
        <f t="shared" si="5"/>
        <v>4.5090000000000003</v>
      </c>
      <c r="J25" s="27">
        <f t="shared" si="2"/>
        <v>1963.309</v>
      </c>
      <c r="K25" s="28">
        <f t="shared" si="3"/>
        <v>11504.990740000001</v>
      </c>
    </row>
    <row r="26" spans="1:25" ht="22.5" customHeight="1" thickBot="1" x14ac:dyDescent="0.4">
      <c r="A26" s="9">
        <v>43792</v>
      </c>
      <c r="B26" s="3">
        <v>374442</v>
      </c>
      <c r="C26" s="64">
        <f t="shared" si="0"/>
        <v>990</v>
      </c>
      <c r="D26" s="3">
        <v>98100200</v>
      </c>
      <c r="E26" s="64">
        <f t="shared" si="1"/>
        <v>480.6</v>
      </c>
      <c r="F26" s="3">
        <v>97346100</v>
      </c>
      <c r="G26" s="64">
        <f t="shared" si="4"/>
        <v>426.6</v>
      </c>
      <c r="H26" s="3">
        <v>646994</v>
      </c>
      <c r="I26" s="70">
        <f t="shared" si="5"/>
        <v>4.4820000000000002</v>
      </c>
      <c r="J26" s="27">
        <f t="shared" si="2"/>
        <v>1901.6819999999998</v>
      </c>
      <c r="K26" s="28">
        <f t="shared" si="3"/>
        <v>11143.856519999999</v>
      </c>
      <c r="Y26" s="83"/>
    </row>
    <row r="27" spans="1:25" ht="21" thickBot="1" x14ac:dyDescent="0.3">
      <c r="A27" s="9">
        <v>43793</v>
      </c>
      <c r="B27" s="3">
        <v>374545</v>
      </c>
      <c r="C27" s="64">
        <f t="shared" si="0"/>
        <v>1030</v>
      </c>
      <c r="D27" s="3">
        <v>98118800</v>
      </c>
      <c r="E27" s="64">
        <f t="shared" si="1"/>
        <v>502.2</v>
      </c>
      <c r="F27" s="3">
        <v>97362400</v>
      </c>
      <c r="G27" s="64">
        <f t="shared" si="4"/>
        <v>440.1</v>
      </c>
      <c r="H27" s="3">
        <v>647196</v>
      </c>
      <c r="I27" s="70">
        <f t="shared" si="5"/>
        <v>5.4539999999999997</v>
      </c>
      <c r="J27" s="27">
        <f t="shared" si="2"/>
        <v>1977.7540000000001</v>
      </c>
      <c r="K27" s="28">
        <f t="shared" si="3"/>
        <v>11589.638440000001</v>
      </c>
      <c r="L27" t="s">
        <v>13</v>
      </c>
    </row>
    <row r="28" spans="1:25" ht="21" thickBot="1" x14ac:dyDescent="0.3">
      <c r="A28" s="9">
        <v>43794</v>
      </c>
      <c r="B28" s="3">
        <v>374652</v>
      </c>
      <c r="C28" s="64">
        <f t="shared" si="0"/>
        <v>1070</v>
      </c>
      <c r="D28" s="3">
        <v>98131100</v>
      </c>
      <c r="E28" s="64">
        <f t="shared" si="1"/>
        <v>332.1</v>
      </c>
      <c r="F28" s="3">
        <v>97380000</v>
      </c>
      <c r="G28" s="64">
        <f t="shared" si="4"/>
        <v>475.2</v>
      </c>
      <c r="H28" s="3">
        <v>647320</v>
      </c>
      <c r="I28" s="70">
        <f t="shared" si="5"/>
        <v>3.3479999999999999</v>
      </c>
      <c r="J28" s="27">
        <f t="shared" si="2"/>
        <v>1880.6479999999999</v>
      </c>
      <c r="K28" s="28">
        <f t="shared" si="3"/>
        <v>11020.59728</v>
      </c>
      <c r="O28" t="s">
        <v>13</v>
      </c>
    </row>
    <row r="29" spans="1:25" ht="21" thickBot="1" x14ac:dyDescent="0.3">
      <c r="A29" s="9">
        <v>43795</v>
      </c>
      <c r="B29" s="3">
        <v>374759</v>
      </c>
      <c r="C29" s="64">
        <f t="shared" si="0"/>
        <v>1070</v>
      </c>
      <c r="D29" s="3">
        <v>98153000</v>
      </c>
      <c r="E29" s="64">
        <f t="shared" si="1"/>
        <v>591.29999999999995</v>
      </c>
      <c r="F29" s="3">
        <v>97396000</v>
      </c>
      <c r="G29" s="64">
        <f t="shared" si="4"/>
        <v>432</v>
      </c>
      <c r="H29" s="3">
        <v>647560</v>
      </c>
      <c r="I29" s="70">
        <f t="shared" si="5"/>
        <v>6.4799999999999995</v>
      </c>
      <c r="J29" s="27">
        <f t="shared" si="2"/>
        <v>2099.7800000000002</v>
      </c>
      <c r="K29" s="28">
        <f t="shared" si="3"/>
        <v>12304.710800000003</v>
      </c>
    </row>
    <row r="30" spans="1:25" ht="21" thickBot="1" x14ac:dyDescent="0.3">
      <c r="A30" s="9">
        <v>43796</v>
      </c>
      <c r="B30" s="3">
        <v>374869</v>
      </c>
      <c r="C30" s="64">
        <f t="shared" si="0"/>
        <v>1100</v>
      </c>
      <c r="D30" s="3">
        <v>98159000</v>
      </c>
      <c r="E30" s="64">
        <f t="shared" si="1"/>
        <v>162</v>
      </c>
      <c r="F30" s="3">
        <v>97409700</v>
      </c>
      <c r="G30" s="64">
        <f t="shared" si="4"/>
        <v>369.9</v>
      </c>
      <c r="H30" s="3">
        <v>647689</v>
      </c>
      <c r="I30" s="70">
        <f t="shared" si="5"/>
        <v>3.4830000000000001</v>
      </c>
      <c r="J30" s="27">
        <f t="shared" si="2"/>
        <v>1635.383</v>
      </c>
      <c r="K30" s="28">
        <f t="shared" si="3"/>
        <v>9583.3443800000005</v>
      </c>
    </row>
    <row r="31" spans="1:25" ht="21" thickBot="1" x14ac:dyDescent="0.3">
      <c r="A31" s="9">
        <v>43797</v>
      </c>
      <c r="B31" s="3">
        <v>374980</v>
      </c>
      <c r="C31" s="64">
        <f t="shared" si="0"/>
        <v>1110</v>
      </c>
      <c r="D31" s="3">
        <v>98193300</v>
      </c>
      <c r="E31" s="64">
        <f t="shared" si="1"/>
        <v>926.1</v>
      </c>
      <c r="F31" s="3">
        <v>97430600</v>
      </c>
      <c r="G31" s="64">
        <f t="shared" si="4"/>
        <v>564.29999999999995</v>
      </c>
      <c r="H31" s="3">
        <v>648184</v>
      </c>
      <c r="I31" s="70">
        <f t="shared" si="5"/>
        <v>13.365</v>
      </c>
      <c r="J31" s="27">
        <f t="shared" si="2"/>
        <v>2613.7649999999994</v>
      </c>
      <c r="K31" s="28">
        <f t="shared" si="3"/>
        <v>15316.662899999998</v>
      </c>
    </row>
    <row r="32" spans="1:25" ht="21" thickBot="1" x14ac:dyDescent="0.3">
      <c r="A32" s="9">
        <v>43798</v>
      </c>
      <c r="B32" s="3">
        <v>375043</v>
      </c>
      <c r="C32" s="64">
        <f t="shared" si="0"/>
        <v>630</v>
      </c>
      <c r="D32" s="3">
        <v>98212000</v>
      </c>
      <c r="E32" s="64">
        <f t="shared" si="1"/>
        <v>504.9</v>
      </c>
      <c r="F32" s="3">
        <v>97448200</v>
      </c>
      <c r="G32" s="64">
        <f t="shared" si="4"/>
        <v>475.2</v>
      </c>
      <c r="H32" s="3">
        <v>648411</v>
      </c>
      <c r="I32" s="70">
        <f t="shared" si="5"/>
        <v>6.1289999999999996</v>
      </c>
      <c r="J32" s="27">
        <f>C32+E32+G32+I32</f>
        <v>1616.229</v>
      </c>
      <c r="K32" s="28">
        <f t="shared" si="3"/>
        <v>9471.1019400000005</v>
      </c>
    </row>
    <row r="33" spans="1:11" ht="21" thickBot="1" x14ac:dyDescent="0.3">
      <c r="A33" s="9">
        <v>43799</v>
      </c>
      <c r="B33" s="3">
        <v>375138</v>
      </c>
      <c r="C33" s="64">
        <f t="shared" si="0"/>
        <v>950</v>
      </c>
      <c r="D33" s="3">
        <v>98230400</v>
      </c>
      <c r="E33" s="64">
        <f t="shared" si="1"/>
        <v>496.8</v>
      </c>
      <c r="F33" s="3">
        <v>97463800</v>
      </c>
      <c r="G33" s="64">
        <f t="shared" si="4"/>
        <v>421.2</v>
      </c>
      <c r="H33" s="3">
        <v>648691</v>
      </c>
      <c r="I33" s="70">
        <f t="shared" si="5"/>
        <v>7.56</v>
      </c>
      <c r="J33" s="27">
        <f>C33+E33+G33+I33</f>
        <v>1875.56</v>
      </c>
      <c r="K33" s="28">
        <f t="shared" si="3"/>
        <v>10990.7816</v>
      </c>
    </row>
    <row r="34" spans="1:11" ht="21" thickBot="1" x14ac:dyDescent="0.3">
      <c r="A34" s="9"/>
      <c r="B34" s="3">
        <f>B33</f>
        <v>375138</v>
      </c>
      <c r="C34" s="64">
        <f t="shared" si="0"/>
        <v>0</v>
      </c>
      <c r="D34" s="3">
        <f>D33</f>
        <v>98230400</v>
      </c>
      <c r="E34" s="64">
        <f t="shared" si="1"/>
        <v>0</v>
      </c>
      <c r="F34" s="3">
        <f>F33</f>
        <v>97463800</v>
      </c>
      <c r="G34" s="64">
        <f t="shared" si="4"/>
        <v>0</v>
      </c>
      <c r="H34" s="3">
        <f>H33</f>
        <v>648691</v>
      </c>
      <c r="I34" s="70">
        <f t="shared" si="5"/>
        <v>0</v>
      </c>
      <c r="J34" s="27">
        <f>C34+E34+G34+I34</f>
        <v>0</v>
      </c>
      <c r="K34" s="28">
        <f t="shared" si="3"/>
        <v>0</v>
      </c>
    </row>
    <row r="35" spans="1:11" ht="21" thickBot="1" x14ac:dyDescent="0.3">
      <c r="A35" s="9" t="s">
        <v>28</v>
      </c>
      <c r="B35" s="3"/>
      <c r="C35" s="84">
        <f>SUM(C4:C34)</f>
        <v>31900</v>
      </c>
      <c r="D35" s="3"/>
      <c r="E35" s="84">
        <f>SUM(E4:E34)</f>
        <v>16070.4</v>
      </c>
      <c r="F35" s="3"/>
      <c r="G35" s="84">
        <f>SUM(G4:G34)</f>
        <v>13724.1</v>
      </c>
      <c r="H35" s="3"/>
      <c r="I35" s="71">
        <f>SUM(I4:I34)</f>
        <v>164.45699999999997</v>
      </c>
      <c r="J35" s="11">
        <f>SUM(J4:J31)</f>
        <v>58367.168000000005</v>
      </c>
      <c r="K35" s="11">
        <f>SUM(K4:K31)</f>
        <v>342031.60448000004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zoomScale="70" zoomScaleNormal="110" zoomScaleSheetLayoutView="70" workbookViewId="0">
      <selection activeCell="W33" sqref="W33"/>
    </sheetView>
  </sheetViews>
  <sheetFormatPr defaultColWidth="23" defaultRowHeight="15.75" x14ac:dyDescent="0.25"/>
  <cols>
    <col min="1" max="1" width="15.140625" style="38" bestFit="1" customWidth="1"/>
    <col min="2" max="2" width="14.85546875" style="66" bestFit="1" customWidth="1"/>
    <col min="3" max="3" width="15.28515625" style="66" bestFit="1" customWidth="1"/>
    <col min="4" max="4" width="10.28515625" style="66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39" bestFit="1" customWidth="1"/>
    <col min="27" max="27" width="20.42578125" style="39" bestFit="1" customWidth="1"/>
    <col min="28" max="16384" width="23" style="30"/>
  </cols>
  <sheetData>
    <row r="1" spans="1:27" ht="16.5" thickBot="1" x14ac:dyDescent="0.25">
      <c r="A1" s="173" t="s">
        <v>142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</row>
    <row r="2" spans="1:27" ht="16.5" thickBot="1" x14ac:dyDescent="0.3">
      <c r="A2" s="6" t="s">
        <v>0</v>
      </c>
      <c r="B2" s="64" t="s">
        <v>60</v>
      </c>
      <c r="C2" s="67" t="s">
        <v>69</v>
      </c>
      <c r="D2" s="67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4"/>
      <c r="C3" s="64">
        <v>16704</v>
      </c>
      <c r="D3" s="64">
        <v>0</v>
      </c>
      <c r="E3" s="163">
        <v>19737593</v>
      </c>
      <c r="F3" s="32">
        <v>0</v>
      </c>
      <c r="G3" s="163">
        <v>56370688</v>
      </c>
      <c r="H3" s="32">
        <v>0</v>
      </c>
      <c r="I3" s="33">
        <f>F3+H3</f>
        <v>0</v>
      </c>
      <c r="J3" s="163">
        <v>4991084</v>
      </c>
      <c r="K3" s="32">
        <v>0</v>
      </c>
      <c r="L3" s="165">
        <v>5316936</v>
      </c>
      <c r="M3" s="32">
        <v>0</v>
      </c>
      <c r="N3" s="163">
        <v>3440825</v>
      </c>
      <c r="O3" s="32">
        <v>0</v>
      </c>
      <c r="P3" s="165">
        <v>8134977</v>
      </c>
      <c r="Q3" s="32">
        <v>0</v>
      </c>
      <c r="R3" s="163">
        <v>12292323</v>
      </c>
      <c r="S3" s="32">
        <v>0</v>
      </c>
      <c r="T3" s="31">
        <v>0</v>
      </c>
      <c r="U3" s="32"/>
      <c r="V3" s="163">
        <v>9183292</v>
      </c>
      <c r="W3" s="32"/>
      <c r="X3" s="33">
        <f>K3+M3+O3+Q3+S3+U3+W3</f>
        <v>0</v>
      </c>
      <c r="Y3" s="46">
        <f>I3-X3</f>
        <v>0</v>
      </c>
      <c r="Z3" s="31">
        <f>(0.93352*(W3+S3)+0.5568*(Q3+O3))*0.26</f>
        <v>0</v>
      </c>
      <c r="AA3" s="31" t="e">
        <f>SUM(#REF!)</f>
        <v>#REF!</v>
      </c>
    </row>
    <row r="4" spans="1:27" ht="16.5" thickBot="1" x14ac:dyDescent="0.25">
      <c r="A4" s="6">
        <v>43770</v>
      </c>
      <c r="B4" s="64">
        <v>335</v>
      </c>
      <c r="C4" s="64">
        <v>16708</v>
      </c>
      <c r="D4" s="64">
        <f>IF((C4-C3)&lt;0,"0",(C4-C3))*160</f>
        <v>640</v>
      </c>
      <c r="E4" s="163">
        <v>19748210</v>
      </c>
      <c r="F4" s="64">
        <f>IF((E4-E3)&lt;0,"0",(E4-E3))</f>
        <v>10617</v>
      </c>
      <c r="G4" s="167">
        <v>56417407</v>
      </c>
      <c r="H4" s="64">
        <f>IF((G4-G3)&lt;0,"0",(G4-G3))</f>
        <v>46719</v>
      </c>
      <c r="I4" s="164">
        <f t="shared" ref="I4:I35" si="0">F4+H4</f>
        <v>57336</v>
      </c>
      <c r="J4" s="163">
        <v>4995830</v>
      </c>
      <c r="K4" s="64">
        <f>IF((J4-J3)&lt;0,"0",(J4-J3))</f>
        <v>4746</v>
      </c>
      <c r="L4" s="165">
        <v>5321018</v>
      </c>
      <c r="M4" s="64">
        <f>IF((L4-L3)&lt;0,"0",(L4-L3))</f>
        <v>4082</v>
      </c>
      <c r="N4" s="163">
        <v>3444020</v>
      </c>
      <c r="O4" s="64">
        <f>(IF((N4-N3)&lt;0,"0",(N4-N3)))*2</f>
        <v>6390</v>
      </c>
      <c r="P4" s="165">
        <v>8142771</v>
      </c>
      <c r="Q4" s="64">
        <f>IF((P4-P3)&lt;0,"0",(P4-P3))</f>
        <v>7794</v>
      </c>
      <c r="R4" s="163">
        <v>12302170</v>
      </c>
      <c r="S4" s="64">
        <f>IF((R4-R3)&lt;0,"0",(R4-R3))</f>
        <v>9847</v>
      </c>
      <c r="T4" s="163">
        <v>0</v>
      </c>
      <c r="U4" s="166"/>
      <c r="V4" s="163">
        <v>9194425</v>
      </c>
      <c r="W4" s="64">
        <f>IF((V4-V3)&lt;0,"0",(V4-V3))</f>
        <v>11133</v>
      </c>
      <c r="X4" s="33">
        <f t="shared" ref="X4:X31" si="1">K4+M4+O4+Q4+S4+U4+W4</f>
        <v>43992</v>
      </c>
      <c r="Y4" s="46">
        <f t="shared" ref="Y4:Y31" si="2">I4-X4</f>
        <v>13344</v>
      </c>
      <c r="Z4" s="31">
        <f t="shared" ref="Z4:Z34" si="3">(0.93352*(W4+S4)+0.5568*(Q4+O4))*0.26</f>
        <v>7145.5542080000005</v>
      </c>
      <c r="AA4" s="31">
        <f>SUM(Z1:Z4)</f>
        <v>7145.5542080000005</v>
      </c>
    </row>
    <row r="5" spans="1:27" ht="16.5" thickBot="1" x14ac:dyDescent="0.25">
      <c r="A5" s="6">
        <v>43771</v>
      </c>
      <c r="B5" s="64">
        <v>323</v>
      </c>
      <c r="C5" s="64">
        <v>16714</v>
      </c>
      <c r="D5" s="64">
        <f t="shared" ref="D5:D34" si="4">IF((C5-C4)&lt;0,"0",(C5-C4))*160</f>
        <v>960</v>
      </c>
      <c r="E5" s="163">
        <v>19756540</v>
      </c>
      <c r="F5" s="64">
        <f t="shared" ref="F5:F34" si="5">IF((E5-E4)&lt;0,"0",(E5-E4))</f>
        <v>8330</v>
      </c>
      <c r="G5" s="167">
        <v>56453104</v>
      </c>
      <c r="H5" s="64">
        <f t="shared" ref="H5:H34" si="6">IF((G5-G4)&lt;0,"0",(G5-G4))</f>
        <v>35697</v>
      </c>
      <c r="I5" s="164">
        <f t="shared" si="0"/>
        <v>44027</v>
      </c>
      <c r="J5" s="163">
        <v>4999728</v>
      </c>
      <c r="K5" s="64">
        <f t="shared" ref="K5:K34" si="7">IF((J5-J4)&lt;0,"0",(J5-J4))</f>
        <v>3898</v>
      </c>
      <c r="L5" s="165">
        <v>5324318</v>
      </c>
      <c r="M5" s="64">
        <f t="shared" ref="M5:M34" si="8">IF((L5-L4)&lt;0,"0",(L5-L4))</f>
        <v>3300</v>
      </c>
      <c r="N5" s="163">
        <v>3446477</v>
      </c>
      <c r="O5" s="64">
        <f>(IF((N5-N4)&lt;P100,"0",(N5-N4)))*2</f>
        <v>4914</v>
      </c>
      <c r="P5" s="165">
        <v>8150638</v>
      </c>
      <c r="Q5" s="64">
        <f t="shared" ref="Q5:Q34" si="9">IF((P5-P4)&lt;0,"0",(P5-P4))</f>
        <v>7867</v>
      </c>
      <c r="R5" s="163">
        <v>12309645</v>
      </c>
      <c r="S5" s="64">
        <f t="shared" ref="S5:S34" si="10">IF((R5-R4)&lt;0,"0",(R5-R4))</f>
        <v>7475</v>
      </c>
      <c r="T5" s="163">
        <v>0</v>
      </c>
      <c r="U5" s="166"/>
      <c r="V5" s="163">
        <v>9202889</v>
      </c>
      <c r="W5" s="64">
        <f t="shared" ref="W5:W34" si="11">IF((V5-V4)&lt;0,"0",(V5-V4))</f>
        <v>8464</v>
      </c>
      <c r="X5" s="33">
        <f t="shared" si="1"/>
        <v>35918</v>
      </c>
      <c r="Y5" s="46">
        <f t="shared" si="2"/>
        <v>8109</v>
      </c>
      <c r="Z5" s="31">
        <f t="shared" si="3"/>
        <v>5718.9173808000005</v>
      </c>
      <c r="AA5" s="31">
        <f t="shared" ref="AA5:AA34" si="12">SUM(Z2:Z5)</f>
        <v>12864.471588800001</v>
      </c>
    </row>
    <row r="6" spans="1:27" ht="16.5" thickBot="1" x14ac:dyDescent="0.25">
      <c r="A6" s="6">
        <v>43772</v>
      </c>
      <c r="B6" s="64">
        <v>345</v>
      </c>
      <c r="C6" s="64">
        <v>16720</v>
      </c>
      <c r="D6" s="64">
        <f t="shared" si="4"/>
        <v>960</v>
      </c>
      <c r="E6" s="163">
        <v>19774935</v>
      </c>
      <c r="F6" s="64">
        <f t="shared" si="5"/>
        <v>18395</v>
      </c>
      <c r="G6" s="167">
        <v>56527923</v>
      </c>
      <c r="H6" s="64">
        <f t="shared" si="6"/>
        <v>74819</v>
      </c>
      <c r="I6" s="164">
        <f t="shared" si="0"/>
        <v>93214</v>
      </c>
      <c r="J6" s="163">
        <v>5007719</v>
      </c>
      <c r="K6" s="64">
        <f t="shared" si="7"/>
        <v>7991</v>
      </c>
      <c r="L6" s="165">
        <v>5331727</v>
      </c>
      <c r="M6" s="64">
        <f t="shared" si="8"/>
        <v>7409</v>
      </c>
      <c r="N6" s="163">
        <v>3451787</v>
      </c>
      <c r="O6" s="64">
        <f t="shared" ref="O6:O34" si="13">(IF((N6-N5)&lt;0,"0",(N6-N5)))*2</f>
        <v>10620</v>
      </c>
      <c r="P6" s="165">
        <v>8165374</v>
      </c>
      <c r="Q6" s="64">
        <f t="shared" si="9"/>
        <v>14736</v>
      </c>
      <c r="R6" s="163">
        <v>12324995</v>
      </c>
      <c r="S6" s="64">
        <f t="shared" si="10"/>
        <v>15350</v>
      </c>
      <c r="T6" s="163">
        <v>0</v>
      </c>
      <c r="U6" s="166"/>
      <c r="V6" s="163">
        <v>9220558</v>
      </c>
      <c r="W6" s="64">
        <f t="shared" si="11"/>
        <v>17669</v>
      </c>
      <c r="X6" s="33">
        <f t="shared" si="1"/>
        <v>73775</v>
      </c>
      <c r="Y6" s="46">
        <f t="shared" si="2"/>
        <v>19439</v>
      </c>
      <c r="Z6" s="31">
        <f t="shared" si="3"/>
        <v>11684.950596799999</v>
      </c>
      <c r="AA6" s="31">
        <f t="shared" si="12"/>
        <v>24549.4221856</v>
      </c>
    </row>
    <row r="7" spans="1:27" ht="16.5" thickBot="1" x14ac:dyDescent="0.25">
      <c r="A7" s="6">
        <v>43773</v>
      </c>
      <c r="B7" s="64">
        <v>338</v>
      </c>
      <c r="C7" s="64">
        <v>16725</v>
      </c>
      <c r="D7" s="64">
        <f t="shared" si="4"/>
        <v>800</v>
      </c>
      <c r="E7" s="163">
        <v>19786958</v>
      </c>
      <c r="F7" s="64">
        <f t="shared" si="5"/>
        <v>12023</v>
      </c>
      <c r="G7" s="167">
        <v>56578345</v>
      </c>
      <c r="H7" s="64">
        <f t="shared" si="6"/>
        <v>50422</v>
      </c>
      <c r="I7" s="164">
        <f t="shared" si="0"/>
        <v>62445</v>
      </c>
      <c r="J7" s="163">
        <v>5013342</v>
      </c>
      <c r="K7" s="64">
        <f t="shared" si="7"/>
        <v>5623</v>
      </c>
      <c r="L7" s="165">
        <v>5336670</v>
      </c>
      <c r="M7" s="64">
        <f t="shared" si="8"/>
        <v>4943</v>
      </c>
      <c r="N7" s="163">
        <v>3455345</v>
      </c>
      <c r="O7" s="64">
        <f t="shared" si="13"/>
        <v>7116</v>
      </c>
      <c r="P7" s="165">
        <v>8175305</v>
      </c>
      <c r="Q7" s="64">
        <f t="shared" si="9"/>
        <v>9931</v>
      </c>
      <c r="R7" s="163">
        <v>12335053</v>
      </c>
      <c r="S7" s="64">
        <f t="shared" si="10"/>
        <v>10058</v>
      </c>
      <c r="T7" s="163">
        <v>0</v>
      </c>
      <c r="U7" s="166"/>
      <c r="V7" s="163">
        <v>9232584</v>
      </c>
      <c r="W7" s="64">
        <f t="shared" si="11"/>
        <v>12026</v>
      </c>
      <c r="X7" s="33">
        <f t="shared" si="1"/>
        <v>49697</v>
      </c>
      <c r="Y7" s="46">
        <f t="shared" si="2"/>
        <v>12748</v>
      </c>
      <c r="Z7" s="31">
        <f t="shared" si="3"/>
        <v>7827.9825728000005</v>
      </c>
      <c r="AA7" s="31">
        <f t="shared" si="12"/>
        <v>32377.4047584</v>
      </c>
    </row>
    <row r="8" spans="1:27" ht="16.5" thickBot="1" x14ac:dyDescent="0.25">
      <c r="A8" s="6">
        <v>43774</v>
      </c>
      <c r="B8" s="64">
        <v>345</v>
      </c>
      <c r="C8" s="64">
        <v>16732</v>
      </c>
      <c r="D8" s="64">
        <f t="shared" si="4"/>
        <v>1120</v>
      </c>
      <c r="E8" s="163">
        <v>19799105</v>
      </c>
      <c r="F8" s="64">
        <f t="shared" si="5"/>
        <v>12147</v>
      </c>
      <c r="G8" s="167">
        <v>56629466</v>
      </c>
      <c r="H8" s="64">
        <f t="shared" si="6"/>
        <v>51121</v>
      </c>
      <c r="I8" s="164">
        <f t="shared" si="0"/>
        <v>63268</v>
      </c>
      <c r="J8" s="163">
        <v>5018623</v>
      </c>
      <c r="K8" s="64">
        <f t="shared" si="7"/>
        <v>5281</v>
      </c>
      <c r="L8" s="165">
        <v>5341387</v>
      </c>
      <c r="M8" s="64">
        <f t="shared" si="8"/>
        <v>4717</v>
      </c>
      <c r="N8" s="163">
        <v>3458957</v>
      </c>
      <c r="O8" s="64">
        <f t="shared" si="13"/>
        <v>7224</v>
      </c>
      <c r="P8" s="165">
        <v>8185471</v>
      </c>
      <c r="Q8" s="64">
        <f t="shared" si="9"/>
        <v>10166</v>
      </c>
      <c r="R8" s="163">
        <v>12345059</v>
      </c>
      <c r="S8" s="64">
        <f t="shared" si="10"/>
        <v>10006</v>
      </c>
      <c r="T8" s="163">
        <v>0</v>
      </c>
      <c r="U8" s="166"/>
      <c r="V8" s="163">
        <v>9244554</v>
      </c>
      <c r="W8" s="64">
        <f t="shared" si="11"/>
        <v>11970</v>
      </c>
      <c r="X8" s="33">
        <f t="shared" si="1"/>
        <v>49364</v>
      </c>
      <c r="Y8" s="46">
        <f t="shared" si="2"/>
        <v>13904</v>
      </c>
      <c r="Z8" s="31">
        <f t="shared" si="3"/>
        <v>7851.4247551999997</v>
      </c>
      <c r="AA8" s="31">
        <f t="shared" si="12"/>
        <v>33083.2753056</v>
      </c>
    </row>
    <row r="9" spans="1:27" ht="16.5" thickBot="1" x14ac:dyDescent="0.25">
      <c r="A9" s="6">
        <v>43775</v>
      </c>
      <c r="B9" s="64">
        <v>358</v>
      </c>
      <c r="C9" s="64">
        <v>16737</v>
      </c>
      <c r="D9" s="64">
        <f t="shared" si="4"/>
        <v>800</v>
      </c>
      <c r="E9" s="163">
        <v>19811406</v>
      </c>
      <c r="F9" s="64">
        <f t="shared" si="5"/>
        <v>12301</v>
      </c>
      <c r="G9" s="167">
        <v>56680442</v>
      </c>
      <c r="H9" s="64">
        <f t="shared" si="6"/>
        <v>50976</v>
      </c>
      <c r="I9" s="164">
        <f t="shared" si="0"/>
        <v>63277</v>
      </c>
      <c r="J9" s="163">
        <v>5024149</v>
      </c>
      <c r="K9" s="64">
        <f t="shared" si="7"/>
        <v>5526</v>
      </c>
      <c r="L9" s="165">
        <v>5346117</v>
      </c>
      <c r="M9" s="64">
        <f t="shared" si="8"/>
        <v>4730</v>
      </c>
      <c r="N9" s="163">
        <v>3462667</v>
      </c>
      <c r="O9" s="64">
        <f t="shared" si="13"/>
        <v>7420</v>
      </c>
      <c r="P9" s="165">
        <v>8195989</v>
      </c>
      <c r="Q9" s="64">
        <f t="shared" si="9"/>
        <v>10518</v>
      </c>
      <c r="R9" s="163">
        <v>12355352</v>
      </c>
      <c r="S9" s="64">
        <f t="shared" si="10"/>
        <v>10293</v>
      </c>
      <c r="T9" s="163">
        <v>0</v>
      </c>
      <c r="U9" s="166"/>
      <c r="V9" s="163">
        <v>9256828</v>
      </c>
      <c r="W9" s="64">
        <f t="shared" si="11"/>
        <v>12274</v>
      </c>
      <c r="X9" s="33">
        <f t="shared" si="1"/>
        <v>50761</v>
      </c>
      <c r="Y9" s="46">
        <f t="shared" si="2"/>
        <v>12516</v>
      </c>
      <c r="Z9" s="31">
        <f t="shared" si="3"/>
        <v>8074.2023024</v>
      </c>
      <c r="AA9" s="31">
        <f t="shared" si="12"/>
        <v>35438.560227200003</v>
      </c>
    </row>
    <row r="10" spans="1:27" ht="16.5" thickBot="1" x14ac:dyDescent="0.25">
      <c r="A10" s="6">
        <v>43776</v>
      </c>
      <c r="B10" s="64">
        <v>360</v>
      </c>
      <c r="C10" s="64">
        <v>16743</v>
      </c>
      <c r="D10" s="64">
        <f t="shared" si="4"/>
        <v>960</v>
      </c>
      <c r="E10" s="163">
        <v>19828845</v>
      </c>
      <c r="F10" s="64">
        <f t="shared" si="5"/>
        <v>17439</v>
      </c>
      <c r="G10" s="167">
        <v>56751707</v>
      </c>
      <c r="H10" s="64">
        <f t="shared" si="6"/>
        <v>71265</v>
      </c>
      <c r="I10" s="164">
        <f t="shared" si="0"/>
        <v>88704</v>
      </c>
      <c r="J10" s="163">
        <v>5031667</v>
      </c>
      <c r="K10" s="64">
        <f t="shared" si="7"/>
        <v>7518</v>
      </c>
      <c r="L10" s="165">
        <v>5352777</v>
      </c>
      <c r="M10" s="64">
        <f t="shared" si="8"/>
        <v>6660</v>
      </c>
      <c r="N10" s="163">
        <v>3467956</v>
      </c>
      <c r="O10" s="64">
        <f t="shared" si="13"/>
        <v>10578</v>
      </c>
      <c r="P10" s="165">
        <v>8211007</v>
      </c>
      <c r="Q10" s="64">
        <f t="shared" si="9"/>
        <v>15018</v>
      </c>
      <c r="R10" s="163">
        <v>12369912</v>
      </c>
      <c r="S10" s="64">
        <f t="shared" si="10"/>
        <v>14560</v>
      </c>
      <c r="T10" s="163">
        <v>0</v>
      </c>
      <c r="U10" s="166"/>
      <c r="V10" s="163">
        <v>9273239</v>
      </c>
      <c r="W10" s="64">
        <f t="shared" si="11"/>
        <v>16411</v>
      </c>
      <c r="X10" s="33">
        <f t="shared" si="1"/>
        <v>70745</v>
      </c>
      <c r="Y10" s="46">
        <f t="shared" si="2"/>
        <v>17959</v>
      </c>
      <c r="Z10" s="31">
        <f t="shared" si="3"/>
        <v>11222.614187199999</v>
      </c>
      <c r="AA10" s="31">
        <f t="shared" si="12"/>
        <v>34976.223817600003</v>
      </c>
    </row>
    <row r="11" spans="1:27" ht="16.5" thickBot="1" x14ac:dyDescent="0.25">
      <c r="A11" s="6">
        <v>43777</v>
      </c>
      <c r="B11" s="64">
        <v>317</v>
      </c>
      <c r="C11" s="64">
        <v>16748</v>
      </c>
      <c r="D11" s="64">
        <f t="shared" si="4"/>
        <v>800</v>
      </c>
      <c r="E11" s="163">
        <v>19843358</v>
      </c>
      <c r="F11" s="64">
        <f t="shared" si="5"/>
        <v>14513</v>
      </c>
      <c r="G11" s="167">
        <v>56811205</v>
      </c>
      <c r="H11" s="64">
        <f t="shared" si="6"/>
        <v>59498</v>
      </c>
      <c r="I11" s="164">
        <f t="shared" si="0"/>
        <v>74011</v>
      </c>
      <c r="J11" s="163">
        <v>5037582</v>
      </c>
      <c r="K11" s="64">
        <f t="shared" si="7"/>
        <v>5915</v>
      </c>
      <c r="L11" s="165">
        <v>5357934</v>
      </c>
      <c r="M11" s="64">
        <f t="shared" si="8"/>
        <v>5157</v>
      </c>
      <c r="N11" s="163">
        <v>3472522</v>
      </c>
      <c r="O11" s="64">
        <f t="shared" si="13"/>
        <v>9132</v>
      </c>
      <c r="P11" s="165">
        <v>8223735</v>
      </c>
      <c r="Q11" s="64">
        <f t="shared" si="9"/>
        <v>12728</v>
      </c>
      <c r="R11" s="163">
        <v>12382013</v>
      </c>
      <c r="S11" s="64">
        <f t="shared" si="10"/>
        <v>12101</v>
      </c>
      <c r="T11" s="163">
        <v>0</v>
      </c>
      <c r="U11" s="166"/>
      <c r="V11" s="163">
        <v>9287072</v>
      </c>
      <c r="W11" s="64">
        <f t="shared" si="11"/>
        <v>13833</v>
      </c>
      <c r="X11" s="33">
        <f t="shared" si="1"/>
        <v>58866</v>
      </c>
      <c r="Y11" s="46">
        <f t="shared" si="2"/>
        <v>15145</v>
      </c>
      <c r="Z11" s="31">
        <f t="shared" si="3"/>
        <v>9459.2044767999996</v>
      </c>
      <c r="AA11" s="31">
        <f t="shared" si="12"/>
        <v>36607.445721599994</v>
      </c>
    </row>
    <row r="12" spans="1:27" ht="16.5" thickBot="1" x14ac:dyDescent="0.25">
      <c r="A12" s="6">
        <v>43778</v>
      </c>
      <c r="B12" s="64">
        <v>332</v>
      </c>
      <c r="C12" s="64">
        <v>16753</v>
      </c>
      <c r="D12" s="64">
        <f t="shared" si="4"/>
        <v>800</v>
      </c>
      <c r="E12" s="163">
        <v>19855361</v>
      </c>
      <c r="F12" s="64">
        <f t="shared" si="5"/>
        <v>12003</v>
      </c>
      <c r="G12" s="167">
        <v>56861690</v>
      </c>
      <c r="H12" s="64">
        <f t="shared" si="6"/>
        <v>50485</v>
      </c>
      <c r="I12" s="164">
        <f t="shared" si="0"/>
        <v>62488</v>
      </c>
      <c r="J12" s="163">
        <v>5042886</v>
      </c>
      <c r="K12" s="64">
        <f t="shared" si="7"/>
        <v>5304</v>
      </c>
      <c r="L12" s="165">
        <v>5362252</v>
      </c>
      <c r="M12" s="64">
        <f t="shared" si="8"/>
        <v>4318</v>
      </c>
      <c r="N12" s="163">
        <v>3476299</v>
      </c>
      <c r="O12" s="64">
        <f t="shared" si="13"/>
        <v>7554</v>
      </c>
      <c r="P12" s="165">
        <v>8234299</v>
      </c>
      <c r="Q12" s="64">
        <f t="shared" si="9"/>
        <v>10564</v>
      </c>
      <c r="R12" s="163">
        <v>12391882</v>
      </c>
      <c r="S12" s="64">
        <f t="shared" si="10"/>
        <v>9869</v>
      </c>
      <c r="T12" s="163">
        <v>0</v>
      </c>
      <c r="U12" s="166"/>
      <c r="V12" s="163">
        <v>9299066</v>
      </c>
      <c r="W12" s="64">
        <f t="shared" si="11"/>
        <v>11994</v>
      </c>
      <c r="X12" s="33">
        <f t="shared" si="1"/>
        <v>49603</v>
      </c>
      <c r="Y12" s="46">
        <f t="shared" si="2"/>
        <v>12885</v>
      </c>
      <c r="Z12" s="31">
        <f t="shared" si="3"/>
        <v>7929.3890416000004</v>
      </c>
      <c r="AA12" s="31">
        <f t="shared" si="12"/>
        <v>36685.410007999999</v>
      </c>
    </row>
    <row r="13" spans="1:27" ht="16.5" thickBot="1" x14ac:dyDescent="0.25">
      <c r="A13" s="6">
        <v>43779</v>
      </c>
      <c r="B13" s="64">
        <v>322</v>
      </c>
      <c r="C13" s="64">
        <v>16759</v>
      </c>
      <c r="D13" s="64">
        <f t="shared" si="4"/>
        <v>960</v>
      </c>
      <c r="E13" s="163">
        <v>19864959</v>
      </c>
      <c r="F13" s="64">
        <f t="shared" si="5"/>
        <v>9598</v>
      </c>
      <c r="G13" s="167">
        <v>56902459</v>
      </c>
      <c r="H13" s="64">
        <f t="shared" si="6"/>
        <v>40769</v>
      </c>
      <c r="I13" s="164">
        <f t="shared" si="0"/>
        <v>50367</v>
      </c>
      <c r="J13" s="163">
        <v>5047050</v>
      </c>
      <c r="K13" s="64">
        <f t="shared" si="7"/>
        <v>4164</v>
      </c>
      <c r="L13" s="165">
        <v>5365617</v>
      </c>
      <c r="M13" s="64">
        <f t="shared" si="8"/>
        <v>3365</v>
      </c>
      <c r="N13" s="163">
        <v>3479352</v>
      </c>
      <c r="O13" s="64">
        <f t="shared" si="13"/>
        <v>6106</v>
      </c>
      <c r="P13" s="165">
        <v>8242346</v>
      </c>
      <c r="Q13" s="64">
        <f t="shared" si="9"/>
        <v>8047</v>
      </c>
      <c r="R13" s="163">
        <v>12399904</v>
      </c>
      <c r="S13" s="64">
        <f t="shared" si="10"/>
        <v>8022</v>
      </c>
      <c r="T13" s="163">
        <v>0</v>
      </c>
      <c r="U13" s="166"/>
      <c r="V13" s="163">
        <v>9308788</v>
      </c>
      <c r="W13" s="64">
        <f t="shared" si="11"/>
        <v>9722</v>
      </c>
      <c r="X13" s="33">
        <f t="shared" si="1"/>
        <v>39426</v>
      </c>
      <c r="Y13" s="46">
        <f t="shared" si="2"/>
        <v>10941</v>
      </c>
      <c r="Z13" s="31">
        <f t="shared" si="3"/>
        <v>6355.6400128000005</v>
      </c>
      <c r="AA13" s="31">
        <f t="shared" si="12"/>
        <v>34966.8477184</v>
      </c>
    </row>
    <row r="14" spans="1:27" ht="16.5" thickBot="1" x14ac:dyDescent="0.25">
      <c r="A14" s="6">
        <v>43780</v>
      </c>
      <c r="B14" s="64">
        <v>292</v>
      </c>
      <c r="C14" s="64">
        <v>16765</v>
      </c>
      <c r="D14" s="64">
        <f t="shared" si="4"/>
        <v>960</v>
      </c>
      <c r="E14" s="163">
        <v>19883462</v>
      </c>
      <c r="F14" s="64">
        <f t="shared" si="5"/>
        <v>18503</v>
      </c>
      <c r="G14" s="167">
        <v>56977375</v>
      </c>
      <c r="H14" s="64">
        <f t="shared" si="6"/>
        <v>74916</v>
      </c>
      <c r="I14" s="164">
        <f t="shared" si="0"/>
        <v>93419</v>
      </c>
      <c r="J14" s="163">
        <v>5054970</v>
      </c>
      <c r="K14" s="64">
        <f t="shared" si="7"/>
        <v>7920</v>
      </c>
      <c r="L14" s="165">
        <v>5372739</v>
      </c>
      <c r="M14" s="64">
        <f t="shared" si="8"/>
        <v>7122</v>
      </c>
      <c r="N14" s="163">
        <v>3484935</v>
      </c>
      <c r="O14" s="64">
        <f t="shared" si="13"/>
        <v>11166</v>
      </c>
      <c r="P14" s="165">
        <v>8258422</v>
      </c>
      <c r="Q14" s="64">
        <f t="shared" si="9"/>
        <v>16076</v>
      </c>
      <c r="R14" s="163">
        <v>12414799</v>
      </c>
      <c r="S14" s="64">
        <f t="shared" si="10"/>
        <v>14895</v>
      </c>
      <c r="T14" s="163">
        <v>0</v>
      </c>
      <c r="U14" s="166"/>
      <c r="V14" s="163">
        <v>9326340</v>
      </c>
      <c r="W14" s="64">
        <f t="shared" si="11"/>
        <v>17552</v>
      </c>
      <c r="X14" s="33">
        <f t="shared" si="1"/>
        <v>74731</v>
      </c>
      <c r="Y14" s="46">
        <f t="shared" si="2"/>
        <v>18688</v>
      </c>
      <c r="Z14" s="31">
        <f t="shared" si="3"/>
        <v>11819.1499504</v>
      </c>
      <c r="AA14" s="31">
        <f t="shared" si="12"/>
        <v>35563.383481600002</v>
      </c>
    </row>
    <row r="15" spans="1:27" ht="16.5" thickBot="1" x14ac:dyDescent="0.25">
      <c r="A15" s="6">
        <v>43781</v>
      </c>
      <c r="B15" s="64">
        <v>325</v>
      </c>
      <c r="C15" s="64">
        <v>16768</v>
      </c>
      <c r="D15" s="64">
        <f t="shared" si="4"/>
        <v>480</v>
      </c>
      <c r="E15" s="163">
        <v>19895075</v>
      </c>
      <c r="F15" s="64">
        <f t="shared" si="5"/>
        <v>11613</v>
      </c>
      <c r="G15" s="167">
        <v>57026167</v>
      </c>
      <c r="H15" s="64">
        <f t="shared" si="6"/>
        <v>48792</v>
      </c>
      <c r="I15" s="164">
        <f t="shared" si="0"/>
        <v>60405</v>
      </c>
      <c r="J15" s="163">
        <v>5060152</v>
      </c>
      <c r="K15" s="64">
        <f t="shared" si="7"/>
        <v>5182</v>
      </c>
      <c r="L15" s="165">
        <v>5377176</v>
      </c>
      <c r="M15" s="64">
        <f t="shared" si="8"/>
        <v>4437</v>
      </c>
      <c r="N15" s="163">
        <v>3488421</v>
      </c>
      <c r="O15" s="64">
        <f t="shared" si="13"/>
        <v>6972</v>
      </c>
      <c r="P15" s="165">
        <v>8268047</v>
      </c>
      <c r="Q15" s="64">
        <f t="shared" si="9"/>
        <v>9625</v>
      </c>
      <c r="R15" s="163">
        <v>12427190</v>
      </c>
      <c r="S15" s="64">
        <f t="shared" si="10"/>
        <v>12391</v>
      </c>
      <c r="T15" s="163">
        <v>0</v>
      </c>
      <c r="U15" s="166"/>
      <c r="V15" s="163">
        <v>9337937</v>
      </c>
      <c r="W15" s="64">
        <f t="shared" si="11"/>
        <v>11597</v>
      </c>
      <c r="X15" s="33">
        <f t="shared" si="1"/>
        <v>50204</v>
      </c>
      <c r="Y15" s="46">
        <f t="shared" si="2"/>
        <v>10201</v>
      </c>
      <c r="Z15" s="31">
        <f t="shared" si="3"/>
        <v>8224.9667136000007</v>
      </c>
      <c r="AA15" s="31">
        <f t="shared" si="12"/>
        <v>34329.145718400003</v>
      </c>
    </row>
    <row r="16" spans="1:27" ht="16.5" thickBot="1" x14ac:dyDescent="0.25">
      <c r="A16" s="6">
        <v>43782</v>
      </c>
      <c r="B16" s="64">
        <v>340</v>
      </c>
      <c r="C16" s="64">
        <v>16771</v>
      </c>
      <c r="D16" s="64">
        <f t="shared" si="4"/>
        <v>480</v>
      </c>
      <c r="E16" s="163">
        <v>19908459</v>
      </c>
      <c r="F16" s="64">
        <f t="shared" si="5"/>
        <v>13384</v>
      </c>
      <c r="G16" s="167">
        <v>57084234</v>
      </c>
      <c r="H16" s="64">
        <f t="shared" si="6"/>
        <v>58067</v>
      </c>
      <c r="I16" s="164">
        <f t="shared" si="0"/>
        <v>71451</v>
      </c>
      <c r="J16" s="163">
        <v>5066214</v>
      </c>
      <c r="K16" s="64">
        <f t="shared" si="7"/>
        <v>6062</v>
      </c>
      <c r="L16" s="165">
        <v>5382264</v>
      </c>
      <c r="M16" s="64">
        <f t="shared" si="8"/>
        <v>5088</v>
      </c>
      <c r="N16" s="163">
        <v>3492500</v>
      </c>
      <c r="O16" s="64">
        <f t="shared" si="13"/>
        <v>8158</v>
      </c>
      <c r="P16" s="165">
        <v>8279328</v>
      </c>
      <c r="Q16" s="64">
        <f t="shared" si="9"/>
        <v>11281</v>
      </c>
      <c r="R16" s="163">
        <v>12436376</v>
      </c>
      <c r="S16" s="64">
        <f t="shared" si="10"/>
        <v>9186</v>
      </c>
      <c r="T16" s="163">
        <v>0</v>
      </c>
      <c r="U16" s="166"/>
      <c r="V16" s="163">
        <v>9351978</v>
      </c>
      <c r="W16" s="64">
        <f t="shared" si="11"/>
        <v>14041</v>
      </c>
      <c r="X16" s="33">
        <f t="shared" si="1"/>
        <v>53816</v>
      </c>
      <c r="Y16" s="46">
        <f t="shared" si="2"/>
        <v>17635</v>
      </c>
      <c r="Z16" s="31">
        <f t="shared" si="3"/>
        <v>8451.6911024000001</v>
      </c>
      <c r="AA16" s="31">
        <f t="shared" si="12"/>
        <v>34851.447779200003</v>
      </c>
    </row>
    <row r="17" spans="1:27" ht="16.5" thickBot="1" x14ac:dyDescent="0.25">
      <c r="A17" s="6">
        <v>43783</v>
      </c>
      <c r="B17" s="64">
        <v>340</v>
      </c>
      <c r="C17" s="64">
        <v>16774</v>
      </c>
      <c r="D17" s="64">
        <f t="shared" si="4"/>
        <v>480</v>
      </c>
      <c r="E17" s="163">
        <v>19923227</v>
      </c>
      <c r="F17" s="64">
        <f t="shared" si="5"/>
        <v>14768</v>
      </c>
      <c r="G17" s="167">
        <v>57147799</v>
      </c>
      <c r="H17" s="64">
        <f t="shared" si="6"/>
        <v>63565</v>
      </c>
      <c r="I17" s="164">
        <f t="shared" si="0"/>
        <v>78333</v>
      </c>
      <c r="J17" s="163">
        <v>5072800</v>
      </c>
      <c r="K17" s="64">
        <f t="shared" si="7"/>
        <v>6586</v>
      </c>
      <c r="L17" s="165">
        <v>5387590</v>
      </c>
      <c r="M17" s="64">
        <f t="shared" si="8"/>
        <v>5326</v>
      </c>
      <c r="N17" s="163">
        <v>3497114</v>
      </c>
      <c r="O17" s="64">
        <f t="shared" si="13"/>
        <v>9228</v>
      </c>
      <c r="P17" s="165">
        <v>8291806</v>
      </c>
      <c r="Q17" s="64">
        <f t="shared" si="9"/>
        <v>12478</v>
      </c>
      <c r="R17" s="163">
        <v>12449292</v>
      </c>
      <c r="S17" s="64">
        <f t="shared" si="10"/>
        <v>12916</v>
      </c>
      <c r="T17" s="163">
        <v>0</v>
      </c>
      <c r="U17" s="166"/>
      <c r="V17" s="163">
        <v>9367136</v>
      </c>
      <c r="W17" s="64">
        <f t="shared" si="11"/>
        <v>15158</v>
      </c>
      <c r="X17" s="33">
        <f t="shared" si="1"/>
        <v>61692</v>
      </c>
      <c r="Y17" s="46">
        <f t="shared" si="2"/>
        <v>16641</v>
      </c>
      <c r="Z17" s="31">
        <f t="shared" si="3"/>
        <v>9956.3207328000008</v>
      </c>
      <c r="AA17" s="31">
        <f t="shared" si="12"/>
        <v>38452.1284992</v>
      </c>
    </row>
    <row r="18" spans="1:27" ht="16.5" thickBot="1" x14ac:dyDescent="0.25">
      <c r="A18" s="6">
        <v>43784</v>
      </c>
      <c r="B18" s="64">
        <v>332</v>
      </c>
      <c r="C18" s="64">
        <v>16782</v>
      </c>
      <c r="D18" s="64">
        <f t="shared" si="4"/>
        <v>1280</v>
      </c>
      <c r="E18" s="163">
        <v>19935962</v>
      </c>
      <c r="F18" s="64">
        <f t="shared" si="5"/>
        <v>12735</v>
      </c>
      <c r="G18" s="167">
        <v>57202131</v>
      </c>
      <c r="H18" s="64">
        <f t="shared" si="6"/>
        <v>54332</v>
      </c>
      <c r="I18" s="164">
        <f t="shared" si="0"/>
        <v>67067</v>
      </c>
      <c r="J18" s="163">
        <v>5078208</v>
      </c>
      <c r="K18" s="64">
        <f t="shared" si="7"/>
        <v>5408</v>
      </c>
      <c r="L18" s="165">
        <v>5392237</v>
      </c>
      <c r="M18" s="64">
        <f t="shared" si="8"/>
        <v>4647</v>
      </c>
      <c r="N18" s="163">
        <v>3501090</v>
      </c>
      <c r="O18" s="64">
        <f t="shared" si="13"/>
        <v>7952</v>
      </c>
      <c r="P18" s="165">
        <v>8302423</v>
      </c>
      <c r="Q18" s="64">
        <f t="shared" si="9"/>
        <v>10617</v>
      </c>
      <c r="R18" s="163">
        <v>12460574</v>
      </c>
      <c r="S18" s="64">
        <f t="shared" si="10"/>
        <v>11282</v>
      </c>
      <c r="T18" s="163">
        <v>0</v>
      </c>
      <c r="U18" s="166"/>
      <c r="V18" s="163">
        <v>9380259</v>
      </c>
      <c r="W18" s="64">
        <f t="shared" si="11"/>
        <v>13123</v>
      </c>
      <c r="X18" s="33">
        <f t="shared" si="1"/>
        <v>53029</v>
      </c>
      <c r="Y18" s="46">
        <f t="shared" si="2"/>
        <v>14038</v>
      </c>
      <c r="Z18" s="31">
        <f t="shared" si="3"/>
        <v>8611.6614480000007</v>
      </c>
      <c r="AA18" s="31">
        <f t="shared" si="12"/>
        <v>35244.639996799997</v>
      </c>
    </row>
    <row r="19" spans="1:27" ht="16.5" thickBot="1" x14ac:dyDescent="0.25">
      <c r="A19" s="6">
        <v>43785</v>
      </c>
      <c r="B19" s="64">
        <v>364</v>
      </c>
      <c r="C19" s="64">
        <v>16785</v>
      </c>
      <c r="D19" s="64">
        <f t="shared" si="4"/>
        <v>480</v>
      </c>
      <c r="E19" s="163">
        <v>19948576</v>
      </c>
      <c r="F19" s="64">
        <f t="shared" si="5"/>
        <v>12614</v>
      </c>
      <c r="G19" s="167">
        <v>57256644</v>
      </c>
      <c r="H19" s="64">
        <f t="shared" si="6"/>
        <v>54513</v>
      </c>
      <c r="I19" s="164">
        <f t="shared" si="0"/>
        <v>67127</v>
      </c>
      <c r="J19" s="163">
        <v>5083547</v>
      </c>
      <c r="K19" s="64">
        <f t="shared" si="7"/>
        <v>5339</v>
      </c>
      <c r="L19" s="165">
        <v>5396844</v>
      </c>
      <c r="M19" s="64">
        <f t="shared" si="8"/>
        <v>4607</v>
      </c>
      <c r="N19" s="163">
        <v>3505000</v>
      </c>
      <c r="O19" s="64">
        <f t="shared" si="13"/>
        <v>7820</v>
      </c>
      <c r="P19" s="165">
        <v>8312902</v>
      </c>
      <c r="Q19" s="64">
        <f t="shared" si="9"/>
        <v>10479</v>
      </c>
      <c r="R19" s="163">
        <v>12471675</v>
      </c>
      <c r="S19" s="64">
        <f t="shared" si="10"/>
        <v>11101</v>
      </c>
      <c r="T19" s="163">
        <v>0</v>
      </c>
      <c r="U19" s="166"/>
      <c r="V19" s="163">
        <v>9393400</v>
      </c>
      <c r="W19" s="64">
        <f t="shared" si="11"/>
        <v>13141</v>
      </c>
      <c r="X19" s="33">
        <f t="shared" si="1"/>
        <v>52487</v>
      </c>
      <c r="Y19" s="46">
        <f t="shared" si="2"/>
        <v>14640</v>
      </c>
      <c r="Z19" s="31">
        <f t="shared" si="3"/>
        <v>8533.0115103999997</v>
      </c>
      <c r="AA19" s="31">
        <f t="shared" si="12"/>
        <v>35552.684793599998</v>
      </c>
    </row>
    <row r="20" spans="1:27" ht="16.5" thickBot="1" x14ac:dyDescent="0.25">
      <c r="A20" s="6">
        <v>43786</v>
      </c>
      <c r="B20" s="64">
        <v>303</v>
      </c>
      <c r="C20" s="64">
        <v>16790</v>
      </c>
      <c r="D20" s="64">
        <f>IF((C20-C19)&lt;0,"0",(C20-C19))*160</f>
        <v>800</v>
      </c>
      <c r="E20" s="163">
        <v>19963095</v>
      </c>
      <c r="F20" s="64">
        <f t="shared" si="5"/>
        <v>14519</v>
      </c>
      <c r="G20" s="167">
        <v>57319135</v>
      </c>
      <c r="H20" s="64">
        <f t="shared" si="6"/>
        <v>62491</v>
      </c>
      <c r="I20" s="164">
        <f t="shared" si="0"/>
        <v>77010</v>
      </c>
      <c r="J20" s="163">
        <v>5090701</v>
      </c>
      <c r="K20" s="64">
        <f t="shared" si="7"/>
        <v>7154</v>
      </c>
      <c r="L20" s="165">
        <v>5402293</v>
      </c>
      <c r="M20" s="64">
        <f t="shared" si="8"/>
        <v>5449</v>
      </c>
      <c r="N20" s="163">
        <v>3509422</v>
      </c>
      <c r="O20" s="64">
        <f t="shared" si="13"/>
        <v>8844</v>
      </c>
      <c r="P20" s="165">
        <v>8324713</v>
      </c>
      <c r="Q20" s="64">
        <f t="shared" si="9"/>
        <v>11811</v>
      </c>
      <c r="R20" s="163">
        <v>12484592</v>
      </c>
      <c r="S20" s="64">
        <f t="shared" si="10"/>
        <v>12917</v>
      </c>
      <c r="T20" s="163">
        <v>0</v>
      </c>
      <c r="U20" s="166"/>
      <c r="V20" s="163">
        <v>9408289</v>
      </c>
      <c r="W20" s="64">
        <f t="shared" si="11"/>
        <v>14889</v>
      </c>
      <c r="X20" s="33">
        <f t="shared" si="1"/>
        <v>61064</v>
      </c>
      <c r="Y20" s="46">
        <f t="shared" si="2"/>
        <v>15946</v>
      </c>
      <c r="Z20" s="31">
        <f t="shared" si="3"/>
        <v>9739.1218912000004</v>
      </c>
      <c r="AA20" s="31">
        <f t="shared" si="12"/>
        <v>36840.115582400002</v>
      </c>
    </row>
    <row r="21" spans="1:27" ht="16.5" thickBot="1" x14ac:dyDescent="0.25">
      <c r="A21" s="6">
        <v>43787</v>
      </c>
      <c r="B21" s="64">
        <v>303</v>
      </c>
      <c r="C21" s="64">
        <v>16793</v>
      </c>
      <c r="D21" s="64">
        <f>IF((C21-C20)&lt;0,"0",(C21-C20))*160</f>
        <v>480</v>
      </c>
      <c r="E21" s="163">
        <v>19971389</v>
      </c>
      <c r="F21" s="64">
        <f t="shared" si="5"/>
        <v>8294</v>
      </c>
      <c r="G21" s="167">
        <v>57355553</v>
      </c>
      <c r="H21" s="64">
        <f t="shared" si="6"/>
        <v>36418</v>
      </c>
      <c r="I21" s="164">
        <f t="shared" si="0"/>
        <v>44712</v>
      </c>
      <c r="J21" s="163">
        <v>5094655</v>
      </c>
      <c r="K21" s="64">
        <f t="shared" si="7"/>
        <v>3954</v>
      </c>
      <c r="L21" s="165">
        <v>5405487</v>
      </c>
      <c r="M21" s="64">
        <f t="shared" si="8"/>
        <v>3194</v>
      </c>
      <c r="N21" s="163">
        <v>3511927</v>
      </c>
      <c r="O21" s="64">
        <f t="shared" si="13"/>
        <v>5010</v>
      </c>
      <c r="P21" s="165">
        <v>8331449</v>
      </c>
      <c r="Q21" s="64">
        <f t="shared" si="9"/>
        <v>6736</v>
      </c>
      <c r="R21" s="163">
        <v>12492038</v>
      </c>
      <c r="S21" s="64">
        <f t="shared" si="10"/>
        <v>7446</v>
      </c>
      <c r="T21" s="163">
        <v>0</v>
      </c>
      <c r="U21" s="166"/>
      <c r="V21" s="163">
        <v>9417187</v>
      </c>
      <c r="W21" s="64">
        <f t="shared" si="11"/>
        <v>8898</v>
      </c>
      <c r="X21" s="33">
        <f t="shared" si="1"/>
        <v>35238</v>
      </c>
      <c r="Y21" s="46">
        <f t="shared" si="2"/>
        <v>9474</v>
      </c>
      <c r="Z21" s="31">
        <f t="shared" si="3"/>
        <v>5667.3821568000003</v>
      </c>
      <c r="AA21" s="31">
        <f t="shared" si="12"/>
        <v>32551.177006400001</v>
      </c>
    </row>
    <row r="22" spans="1:27" ht="16.5" thickBot="1" x14ac:dyDescent="0.25">
      <c r="A22" s="6">
        <v>43788</v>
      </c>
      <c r="B22" s="64">
        <v>227</v>
      </c>
      <c r="C22" s="64">
        <v>16797</v>
      </c>
      <c r="D22" s="64">
        <f>IF((C22-C21)&lt;0,"0",(C22-C21))*160</f>
        <v>640</v>
      </c>
      <c r="E22" s="163">
        <v>19986881</v>
      </c>
      <c r="F22" s="64">
        <f t="shared" si="5"/>
        <v>15492</v>
      </c>
      <c r="G22" s="167">
        <v>57424759</v>
      </c>
      <c r="H22" s="64">
        <f t="shared" si="6"/>
        <v>69206</v>
      </c>
      <c r="I22" s="164">
        <f t="shared" si="0"/>
        <v>84698</v>
      </c>
      <c r="J22" s="163">
        <v>5101945</v>
      </c>
      <c r="K22" s="64">
        <f t="shared" si="7"/>
        <v>7290</v>
      </c>
      <c r="L22" s="165">
        <v>5411747</v>
      </c>
      <c r="M22" s="64">
        <f t="shared" si="8"/>
        <v>6260</v>
      </c>
      <c r="N22" s="163">
        <v>3516442</v>
      </c>
      <c r="O22" s="64">
        <f t="shared" si="13"/>
        <v>9030</v>
      </c>
      <c r="P22" s="165">
        <v>8343332</v>
      </c>
      <c r="Q22" s="64">
        <f t="shared" si="9"/>
        <v>11883</v>
      </c>
      <c r="R22" s="163">
        <v>12506835</v>
      </c>
      <c r="S22" s="64">
        <f t="shared" si="10"/>
        <v>14797</v>
      </c>
      <c r="T22" s="163">
        <v>0</v>
      </c>
      <c r="U22" s="166"/>
      <c r="V22" s="163">
        <v>9434246</v>
      </c>
      <c r="W22" s="64">
        <f t="shared" si="11"/>
        <v>17059</v>
      </c>
      <c r="X22" s="33">
        <f t="shared" si="1"/>
        <v>66319</v>
      </c>
      <c r="Y22" s="46">
        <f t="shared" si="2"/>
        <v>18379</v>
      </c>
      <c r="Z22" s="31">
        <f t="shared" si="3"/>
        <v>10759.4685952</v>
      </c>
      <c r="AA22" s="31">
        <f t="shared" si="12"/>
        <v>34698.984153600002</v>
      </c>
    </row>
    <row r="23" spans="1:27" ht="16.5" thickBot="1" x14ac:dyDescent="0.25">
      <c r="A23" s="6">
        <v>43789</v>
      </c>
      <c r="B23" s="64">
        <v>291</v>
      </c>
      <c r="C23" s="64">
        <v>16799</v>
      </c>
      <c r="D23" s="64">
        <f t="shared" si="4"/>
        <v>320</v>
      </c>
      <c r="E23" s="163">
        <v>19996792</v>
      </c>
      <c r="F23" s="64">
        <f t="shared" si="5"/>
        <v>9911</v>
      </c>
      <c r="G23" s="167">
        <v>57468524</v>
      </c>
      <c r="H23" s="64">
        <f t="shared" si="6"/>
        <v>43765</v>
      </c>
      <c r="I23" s="164">
        <f t="shared" si="0"/>
        <v>53676</v>
      </c>
      <c r="J23" s="163">
        <v>5106846</v>
      </c>
      <c r="K23" s="64">
        <f t="shared" si="7"/>
        <v>4901</v>
      </c>
      <c r="L23" s="165">
        <v>5415844</v>
      </c>
      <c r="M23" s="64">
        <f t="shared" si="8"/>
        <v>4097</v>
      </c>
      <c r="N23" s="163">
        <v>3519276</v>
      </c>
      <c r="O23" s="64">
        <f t="shared" si="13"/>
        <v>5668</v>
      </c>
      <c r="P23" s="165">
        <v>8350953</v>
      </c>
      <c r="Q23" s="64">
        <f t="shared" si="9"/>
        <v>7621</v>
      </c>
      <c r="R23" s="163">
        <v>12515899</v>
      </c>
      <c r="S23" s="64">
        <f t="shared" si="10"/>
        <v>9064</v>
      </c>
      <c r="T23" s="163">
        <v>0</v>
      </c>
      <c r="U23" s="166"/>
      <c r="V23" s="163">
        <v>9444974</v>
      </c>
      <c r="W23" s="64">
        <f t="shared" si="11"/>
        <v>10728</v>
      </c>
      <c r="X23" s="33">
        <f t="shared" si="1"/>
        <v>42079</v>
      </c>
      <c r="Y23" s="46">
        <f t="shared" si="2"/>
        <v>11597</v>
      </c>
      <c r="Z23" s="31">
        <f t="shared" si="3"/>
        <v>6727.6411903999997</v>
      </c>
      <c r="AA23" s="31">
        <f t="shared" si="12"/>
        <v>32893.6138336</v>
      </c>
    </row>
    <row r="24" spans="1:27" ht="16.5" thickBot="1" x14ac:dyDescent="0.25">
      <c r="A24" s="6">
        <v>43790</v>
      </c>
      <c r="B24" s="64">
        <v>333</v>
      </c>
      <c r="C24" s="64">
        <v>16802</v>
      </c>
      <c r="D24" s="64">
        <f t="shared" si="4"/>
        <v>480</v>
      </c>
      <c r="E24" s="163">
        <v>20007470</v>
      </c>
      <c r="F24" s="64">
        <f t="shared" si="5"/>
        <v>10678</v>
      </c>
      <c r="G24" s="167">
        <v>57510167</v>
      </c>
      <c r="H24" s="64">
        <f t="shared" si="6"/>
        <v>41643</v>
      </c>
      <c r="I24" s="164">
        <f t="shared" si="0"/>
        <v>52321</v>
      </c>
      <c r="J24" s="163">
        <v>5112051</v>
      </c>
      <c r="K24" s="64">
        <f t="shared" si="7"/>
        <v>5205</v>
      </c>
      <c r="L24" s="165">
        <v>5420267</v>
      </c>
      <c r="M24" s="64">
        <f t="shared" si="8"/>
        <v>4423</v>
      </c>
      <c r="N24" s="163">
        <v>3522324</v>
      </c>
      <c r="O24" s="64">
        <f t="shared" si="13"/>
        <v>6096</v>
      </c>
      <c r="P24" s="165">
        <v>8359044</v>
      </c>
      <c r="Q24" s="64">
        <f t="shared" si="9"/>
        <v>8091</v>
      </c>
      <c r="R24" s="163">
        <v>12526044</v>
      </c>
      <c r="S24" s="64">
        <f t="shared" si="10"/>
        <v>10145</v>
      </c>
      <c r="T24" s="163">
        <v>0</v>
      </c>
      <c r="U24" s="166"/>
      <c r="V24" s="163">
        <v>9456182</v>
      </c>
      <c r="W24" s="64">
        <f t="shared" si="11"/>
        <v>11208</v>
      </c>
      <c r="X24" s="33">
        <f t="shared" si="1"/>
        <v>45168</v>
      </c>
      <c r="Y24" s="46">
        <f t="shared" si="2"/>
        <v>7153</v>
      </c>
      <c r="Z24" s="31">
        <f t="shared" si="3"/>
        <v>7236.5212816000003</v>
      </c>
      <c r="AA24" s="31">
        <f t="shared" si="12"/>
        <v>30391.013223999995</v>
      </c>
    </row>
    <row r="25" spans="1:27" ht="16.5" thickBot="1" x14ac:dyDescent="0.25">
      <c r="A25" s="6">
        <v>43791</v>
      </c>
      <c r="B25" s="64">
        <v>340</v>
      </c>
      <c r="C25" s="64">
        <v>16806</v>
      </c>
      <c r="D25" s="64">
        <f t="shared" si="4"/>
        <v>640</v>
      </c>
      <c r="E25" s="163">
        <v>20022095</v>
      </c>
      <c r="F25" s="64">
        <f t="shared" si="5"/>
        <v>14625</v>
      </c>
      <c r="G25" s="167">
        <v>57578919</v>
      </c>
      <c r="H25" s="64">
        <f t="shared" si="6"/>
        <v>68752</v>
      </c>
      <c r="I25" s="164">
        <f t="shared" si="0"/>
        <v>83377</v>
      </c>
      <c r="J25" s="163">
        <v>5118616</v>
      </c>
      <c r="K25" s="64">
        <f t="shared" si="7"/>
        <v>6565</v>
      </c>
      <c r="L25" s="165">
        <v>5425989</v>
      </c>
      <c r="M25" s="64">
        <f t="shared" si="8"/>
        <v>5722</v>
      </c>
      <c r="N25" s="163">
        <v>3526661</v>
      </c>
      <c r="O25" s="64">
        <f t="shared" si="13"/>
        <v>8674</v>
      </c>
      <c r="P25" s="165">
        <v>8370498</v>
      </c>
      <c r="Q25" s="64">
        <f t="shared" si="9"/>
        <v>11454</v>
      </c>
      <c r="R25" s="163">
        <v>12539948</v>
      </c>
      <c r="S25" s="64">
        <f t="shared" si="10"/>
        <v>13904</v>
      </c>
      <c r="T25" s="163">
        <v>0</v>
      </c>
      <c r="U25" s="166"/>
      <c r="V25" s="163">
        <v>9471494</v>
      </c>
      <c r="W25" s="64">
        <f t="shared" si="11"/>
        <v>15312</v>
      </c>
      <c r="X25" s="33">
        <f t="shared" si="1"/>
        <v>61631</v>
      </c>
      <c r="Y25" s="46">
        <f t="shared" si="2"/>
        <v>21746</v>
      </c>
      <c r="Z25" s="31">
        <f t="shared" si="3"/>
        <v>10005.057587200001</v>
      </c>
      <c r="AA25" s="31">
        <f t="shared" si="12"/>
        <v>34728.688654400001</v>
      </c>
    </row>
    <row r="26" spans="1:27" ht="16.5" thickBot="1" x14ac:dyDescent="0.25">
      <c r="A26" s="6">
        <v>43792</v>
      </c>
      <c r="B26" s="64">
        <v>322</v>
      </c>
      <c r="C26" s="64">
        <v>16810</v>
      </c>
      <c r="D26" s="64">
        <f t="shared" si="4"/>
        <v>640</v>
      </c>
      <c r="E26" s="163">
        <v>20031585</v>
      </c>
      <c r="F26" s="64">
        <f t="shared" si="5"/>
        <v>9490</v>
      </c>
      <c r="G26" s="167">
        <v>57620571</v>
      </c>
      <c r="H26" s="64">
        <f t="shared" si="6"/>
        <v>41652</v>
      </c>
      <c r="I26" s="164">
        <f t="shared" si="0"/>
        <v>51142</v>
      </c>
      <c r="J26" s="163">
        <v>5123185</v>
      </c>
      <c r="K26" s="64">
        <f t="shared" si="7"/>
        <v>4569</v>
      </c>
      <c r="L26" s="165">
        <v>5429727</v>
      </c>
      <c r="M26" s="64">
        <f t="shared" si="8"/>
        <v>3738</v>
      </c>
      <c r="N26" s="163">
        <v>3529467</v>
      </c>
      <c r="O26" s="64">
        <f t="shared" si="13"/>
        <v>5612</v>
      </c>
      <c r="P26" s="165">
        <v>8378040</v>
      </c>
      <c r="Q26" s="64">
        <f t="shared" si="9"/>
        <v>7542</v>
      </c>
      <c r="R26" s="163">
        <v>12544764</v>
      </c>
      <c r="S26" s="64">
        <f t="shared" si="10"/>
        <v>4816</v>
      </c>
      <c r="T26" s="163">
        <v>0</v>
      </c>
      <c r="U26" s="166"/>
      <c r="V26" s="163">
        <v>9481851</v>
      </c>
      <c r="W26" s="64">
        <f t="shared" si="11"/>
        <v>10357</v>
      </c>
      <c r="X26" s="33">
        <f t="shared" si="1"/>
        <v>36634</v>
      </c>
      <c r="Y26" s="46">
        <f t="shared" si="2"/>
        <v>14508</v>
      </c>
      <c r="Z26" s="31">
        <f t="shared" si="3"/>
        <v>5586.9960016000005</v>
      </c>
      <c r="AA26" s="31">
        <f t="shared" si="12"/>
        <v>29556.216060800001</v>
      </c>
    </row>
    <row r="27" spans="1:27" ht="16.5" thickBot="1" x14ac:dyDescent="0.25">
      <c r="A27" s="6">
        <v>43793</v>
      </c>
      <c r="B27" s="64">
        <v>346</v>
      </c>
      <c r="C27" s="64">
        <v>16813</v>
      </c>
      <c r="D27" s="64">
        <f t="shared" si="4"/>
        <v>480</v>
      </c>
      <c r="E27" s="163">
        <v>20045727</v>
      </c>
      <c r="F27" s="64">
        <f t="shared" si="5"/>
        <v>14142</v>
      </c>
      <c r="G27" s="167">
        <v>57682732</v>
      </c>
      <c r="H27" s="64">
        <f t="shared" si="6"/>
        <v>62161</v>
      </c>
      <c r="I27" s="164">
        <f t="shared" si="0"/>
        <v>76303</v>
      </c>
      <c r="J27" s="163">
        <v>5130040</v>
      </c>
      <c r="K27" s="64">
        <f t="shared" si="7"/>
        <v>6855</v>
      </c>
      <c r="L27" s="165">
        <v>5435456</v>
      </c>
      <c r="M27" s="64">
        <f t="shared" si="8"/>
        <v>5729</v>
      </c>
      <c r="N27" s="163">
        <v>3533584</v>
      </c>
      <c r="O27" s="64">
        <f t="shared" si="13"/>
        <v>8234</v>
      </c>
      <c r="P27" s="165">
        <v>8389045</v>
      </c>
      <c r="Q27" s="64">
        <f t="shared" si="9"/>
        <v>11005</v>
      </c>
      <c r="R27" s="163">
        <v>12561904</v>
      </c>
      <c r="S27" s="64">
        <f t="shared" si="10"/>
        <v>17140</v>
      </c>
      <c r="T27" s="163">
        <v>0</v>
      </c>
      <c r="U27" s="166"/>
      <c r="V27" s="163">
        <v>9496619</v>
      </c>
      <c r="W27" s="64">
        <f t="shared" si="11"/>
        <v>14768</v>
      </c>
      <c r="X27" s="33">
        <f t="shared" si="1"/>
        <v>63731</v>
      </c>
      <c r="Y27" s="46">
        <f t="shared" si="2"/>
        <v>12572</v>
      </c>
      <c r="Z27" s="31">
        <f t="shared" si="3"/>
        <v>10529.748153600001</v>
      </c>
      <c r="AA27" s="31">
        <f t="shared" si="12"/>
        <v>33358.323024000005</v>
      </c>
    </row>
    <row r="28" spans="1:27" ht="16.5" thickBot="1" x14ac:dyDescent="0.25">
      <c r="A28" s="6">
        <v>43794</v>
      </c>
      <c r="B28" s="64">
        <v>324</v>
      </c>
      <c r="C28" s="64">
        <v>16817</v>
      </c>
      <c r="D28" s="64">
        <f t="shared" si="4"/>
        <v>640</v>
      </c>
      <c r="E28" s="163">
        <v>20056981</v>
      </c>
      <c r="F28" s="64">
        <f t="shared" si="5"/>
        <v>11254</v>
      </c>
      <c r="G28" s="167">
        <v>57733556</v>
      </c>
      <c r="H28" s="64">
        <f t="shared" si="6"/>
        <v>50824</v>
      </c>
      <c r="I28" s="164">
        <f t="shared" si="0"/>
        <v>62078</v>
      </c>
      <c r="J28" s="163">
        <v>5135758</v>
      </c>
      <c r="K28" s="64">
        <f t="shared" si="7"/>
        <v>5718</v>
      </c>
      <c r="L28" s="165">
        <v>5439939</v>
      </c>
      <c r="M28" s="64">
        <f t="shared" si="8"/>
        <v>4483</v>
      </c>
      <c r="N28" s="163">
        <v>3536896</v>
      </c>
      <c r="O28" s="64">
        <f t="shared" si="13"/>
        <v>6624</v>
      </c>
      <c r="P28" s="165">
        <v>8397883</v>
      </c>
      <c r="Q28" s="64">
        <f t="shared" si="9"/>
        <v>8838</v>
      </c>
      <c r="R28" s="163">
        <v>12572519</v>
      </c>
      <c r="S28" s="64">
        <f t="shared" si="10"/>
        <v>10615</v>
      </c>
      <c r="T28" s="163">
        <v>0</v>
      </c>
      <c r="U28" s="166"/>
      <c r="V28" s="163">
        <v>9509008</v>
      </c>
      <c r="W28" s="64">
        <f t="shared" si="11"/>
        <v>12389</v>
      </c>
      <c r="X28" s="33">
        <f t="shared" si="1"/>
        <v>48667</v>
      </c>
      <c r="Y28" s="46">
        <f t="shared" si="2"/>
        <v>13411</v>
      </c>
      <c r="Z28" s="31">
        <f t="shared" si="3"/>
        <v>7821.8232768000007</v>
      </c>
      <c r="AA28" s="31">
        <f t="shared" si="12"/>
        <v>33943.625019200001</v>
      </c>
    </row>
    <row r="29" spans="1:27" ht="16.5" thickBot="1" x14ac:dyDescent="0.25">
      <c r="A29" s="6">
        <v>43795</v>
      </c>
      <c r="B29" s="64">
        <v>327</v>
      </c>
      <c r="C29" s="64">
        <v>16821</v>
      </c>
      <c r="D29" s="64">
        <f t="shared" si="4"/>
        <v>640</v>
      </c>
      <c r="E29" s="163">
        <v>20066407</v>
      </c>
      <c r="F29" s="64">
        <f t="shared" si="5"/>
        <v>9426</v>
      </c>
      <c r="G29" s="167">
        <v>57774092</v>
      </c>
      <c r="H29" s="64">
        <f t="shared" si="6"/>
        <v>40536</v>
      </c>
      <c r="I29" s="164">
        <f t="shared" si="0"/>
        <v>49962</v>
      </c>
      <c r="J29" s="163">
        <v>5140239</v>
      </c>
      <c r="K29" s="64">
        <f t="shared" si="7"/>
        <v>4481</v>
      </c>
      <c r="L29" s="165">
        <v>5443819</v>
      </c>
      <c r="M29" s="64">
        <f t="shared" si="8"/>
        <v>3880</v>
      </c>
      <c r="N29" s="163">
        <v>3539597</v>
      </c>
      <c r="O29" s="64">
        <f t="shared" si="13"/>
        <v>5402</v>
      </c>
      <c r="P29" s="165">
        <v>8405173</v>
      </c>
      <c r="Q29" s="64">
        <f t="shared" si="9"/>
        <v>7290</v>
      </c>
      <c r="R29" s="163">
        <v>12580824</v>
      </c>
      <c r="S29" s="64">
        <f t="shared" si="10"/>
        <v>8305</v>
      </c>
      <c r="T29" s="163">
        <v>0</v>
      </c>
      <c r="U29" s="166"/>
      <c r="V29" s="163">
        <v>9518937</v>
      </c>
      <c r="W29" s="64">
        <f t="shared" si="11"/>
        <v>9929</v>
      </c>
      <c r="X29" s="33">
        <f t="shared" si="1"/>
        <v>39287</v>
      </c>
      <c r="Y29" s="46">
        <f t="shared" si="2"/>
        <v>10675</v>
      </c>
      <c r="Z29" s="31">
        <f t="shared" si="3"/>
        <v>6263.0644128000004</v>
      </c>
      <c r="AA29" s="31">
        <f t="shared" si="12"/>
        <v>30201.631844800002</v>
      </c>
    </row>
    <row r="30" spans="1:27" ht="16.5" thickBot="1" x14ac:dyDescent="0.25">
      <c r="A30" s="6">
        <v>43796</v>
      </c>
      <c r="B30" s="64">
        <v>344</v>
      </c>
      <c r="C30" s="64">
        <v>16823</v>
      </c>
      <c r="D30" s="64">
        <f t="shared" si="4"/>
        <v>320</v>
      </c>
      <c r="E30" s="163">
        <v>20079693</v>
      </c>
      <c r="F30" s="64">
        <f t="shared" si="5"/>
        <v>13286</v>
      </c>
      <c r="G30" s="167">
        <v>57833966</v>
      </c>
      <c r="H30" s="64">
        <f t="shared" si="6"/>
        <v>59874</v>
      </c>
      <c r="I30" s="164">
        <f t="shared" si="0"/>
        <v>73160</v>
      </c>
      <c r="J30" s="163">
        <v>5146789</v>
      </c>
      <c r="K30" s="64">
        <f t="shared" si="7"/>
        <v>6550</v>
      </c>
      <c r="L30" s="165">
        <v>5449399</v>
      </c>
      <c r="M30" s="64">
        <f t="shared" si="8"/>
        <v>5580</v>
      </c>
      <c r="N30" s="163">
        <v>3543489</v>
      </c>
      <c r="O30" s="64">
        <f t="shared" si="13"/>
        <v>7784</v>
      </c>
      <c r="P30" s="165">
        <v>8415462</v>
      </c>
      <c r="Q30" s="64">
        <f t="shared" si="9"/>
        <v>10289</v>
      </c>
      <c r="R30" s="163">
        <v>12592942</v>
      </c>
      <c r="S30" s="64">
        <f t="shared" si="10"/>
        <v>12118</v>
      </c>
      <c r="T30" s="163">
        <v>0</v>
      </c>
      <c r="U30" s="166"/>
      <c r="V30" s="163">
        <v>9533908</v>
      </c>
      <c r="W30" s="64">
        <f t="shared" si="11"/>
        <v>14971</v>
      </c>
      <c r="X30" s="33">
        <f t="shared" si="1"/>
        <v>57292</v>
      </c>
      <c r="Y30" s="46">
        <f t="shared" si="2"/>
        <v>15868</v>
      </c>
      <c r="Z30" s="31">
        <f t="shared" si="3"/>
        <v>9191.3041168</v>
      </c>
      <c r="AA30" s="31">
        <f t="shared" si="12"/>
        <v>33805.939960000003</v>
      </c>
    </row>
    <row r="31" spans="1:27" ht="16.5" thickBot="1" x14ac:dyDescent="0.25">
      <c r="A31" s="6">
        <v>43797</v>
      </c>
      <c r="B31" s="64">
        <v>350</v>
      </c>
      <c r="C31" s="64">
        <v>16829</v>
      </c>
      <c r="D31" s="64">
        <f t="shared" si="4"/>
        <v>960</v>
      </c>
      <c r="E31" s="163">
        <v>20092658</v>
      </c>
      <c r="F31" s="64">
        <f t="shared" si="5"/>
        <v>12965</v>
      </c>
      <c r="G31" s="167">
        <v>57896751</v>
      </c>
      <c r="H31" s="64">
        <f t="shared" si="6"/>
        <v>62785</v>
      </c>
      <c r="I31" s="164">
        <f t="shared" si="0"/>
        <v>75750</v>
      </c>
      <c r="J31" s="163">
        <v>5153597</v>
      </c>
      <c r="K31" s="64">
        <f t="shared" si="7"/>
        <v>6808</v>
      </c>
      <c r="L31" s="165">
        <v>5453943</v>
      </c>
      <c r="M31" s="64">
        <f t="shared" si="8"/>
        <v>4544</v>
      </c>
      <c r="N31" s="163">
        <v>3547482</v>
      </c>
      <c r="O31" s="64">
        <f t="shared" si="13"/>
        <v>7986</v>
      </c>
      <c r="P31" s="165">
        <v>8426184</v>
      </c>
      <c r="Q31" s="64">
        <f t="shared" si="9"/>
        <v>10722</v>
      </c>
      <c r="R31" s="163">
        <v>12605843</v>
      </c>
      <c r="S31" s="64">
        <f t="shared" si="10"/>
        <v>12901</v>
      </c>
      <c r="T31" s="163">
        <v>0</v>
      </c>
      <c r="U31" s="166"/>
      <c r="V31" s="163">
        <v>9549579</v>
      </c>
      <c r="W31" s="64">
        <f t="shared" si="11"/>
        <v>15671</v>
      </c>
      <c r="X31" s="33">
        <f t="shared" si="1"/>
        <v>58632</v>
      </c>
      <c r="Y31" s="46">
        <f t="shared" si="2"/>
        <v>17118</v>
      </c>
      <c r="Z31" s="31">
        <f t="shared" si="3"/>
        <v>9643.1784384000002</v>
      </c>
      <c r="AA31" s="31">
        <f t="shared" si="12"/>
        <v>32919.370244799997</v>
      </c>
    </row>
    <row r="32" spans="1:27" ht="16.5" thickBot="1" x14ac:dyDescent="0.25">
      <c r="A32" s="6">
        <v>43798</v>
      </c>
      <c r="B32" s="64">
        <v>357</v>
      </c>
      <c r="C32" s="64">
        <v>16834</v>
      </c>
      <c r="D32" s="64">
        <f t="shared" si="4"/>
        <v>800</v>
      </c>
      <c r="E32" s="163">
        <v>20105344</v>
      </c>
      <c r="F32" s="64">
        <f t="shared" si="5"/>
        <v>12686</v>
      </c>
      <c r="G32" s="167">
        <v>57955893</v>
      </c>
      <c r="H32" s="64">
        <f t="shared" si="6"/>
        <v>59142</v>
      </c>
      <c r="I32" s="164">
        <f>F32+H32</f>
        <v>71828</v>
      </c>
      <c r="J32" s="163">
        <v>5159422</v>
      </c>
      <c r="K32" s="64">
        <f t="shared" si="7"/>
        <v>5825</v>
      </c>
      <c r="L32" s="165">
        <v>5458650</v>
      </c>
      <c r="M32" s="64">
        <f t="shared" si="8"/>
        <v>4707</v>
      </c>
      <c r="N32" s="163">
        <v>3551344</v>
      </c>
      <c r="O32" s="64">
        <f t="shared" si="13"/>
        <v>7724</v>
      </c>
      <c r="P32" s="165">
        <v>8436487</v>
      </c>
      <c r="Q32" s="64">
        <f t="shared" si="9"/>
        <v>10303</v>
      </c>
      <c r="R32" s="163">
        <v>12618384</v>
      </c>
      <c r="S32" s="64">
        <f t="shared" si="10"/>
        <v>12541</v>
      </c>
      <c r="T32" s="163">
        <v>0</v>
      </c>
      <c r="U32" s="166"/>
      <c r="V32" s="163">
        <v>9564177</v>
      </c>
      <c r="W32" s="64">
        <f t="shared" si="11"/>
        <v>14598</v>
      </c>
      <c r="X32" s="33">
        <f>K32+M32+O32+Q32+S32+U32+W32</f>
        <v>55698</v>
      </c>
      <c r="Y32" s="46">
        <f>I32-X32</f>
        <v>16130</v>
      </c>
      <c r="Z32" s="31">
        <f t="shared" si="3"/>
        <v>9196.7805487999995</v>
      </c>
      <c r="AA32" s="31">
        <f t="shared" si="12"/>
        <v>34294.327516800004</v>
      </c>
    </row>
    <row r="33" spans="1:27" ht="16.5" thickBot="1" x14ac:dyDescent="0.25">
      <c r="A33" s="6">
        <v>43799</v>
      </c>
      <c r="B33" s="64">
        <v>355</v>
      </c>
      <c r="C33" s="64">
        <v>16837</v>
      </c>
      <c r="D33" s="64">
        <f t="shared" si="4"/>
        <v>480</v>
      </c>
      <c r="E33" s="163">
        <v>20117285</v>
      </c>
      <c r="F33" s="64">
        <f t="shared" si="5"/>
        <v>11941</v>
      </c>
      <c r="G33" s="167">
        <v>58009635</v>
      </c>
      <c r="H33" s="64">
        <f t="shared" si="6"/>
        <v>53742</v>
      </c>
      <c r="I33" s="164">
        <f>F33+H33</f>
        <v>65683</v>
      </c>
      <c r="J33" s="163">
        <v>5164818</v>
      </c>
      <c r="K33" s="64">
        <f t="shared" si="7"/>
        <v>5396</v>
      </c>
      <c r="L33" s="165">
        <v>5463312</v>
      </c>
      <c r="M33" s="64">
        <f t="shared" si="8"/>
        <v>4662</v>
      </c>
      <c r="N33" s="163">
        <v>3554928</v>
      </c>
      <c r="O33" s="64">
        <f t="shared" si="13"/>
        <v>7168</v>
      </c>
      <c r="P33" s="165">
        <v>8446105</v>
      </c>
      <c r="Q33" s="64">
        <f t="shared" si="9"/>
        <v>9618</v>
      </c>
      <c r="R33" s="163">
        <v>12629844</v>
      </c>
      <c r="S33" s="64">
        <f t="shared" si="10"/>
        <v>11460</v>
      </c>
      <c r="T33" s="163">
        <v>0</v>
      </c>
      <c r="U33" s="166"/>
      <c r="V33" s="163">
        <v>9577366</v>
      </c>
      <c r="W33" s="64">
        <f t="shared" si="11"/>
        <v>13189</v>
      </c>
      <c r="X33" s="33">
        <f>K33+M33+O33+Q33+S33+U33+W33</f>
        <v>51493</v>
      </c>
      <c r="Y33" s="46">
        <f>I33-X33</f>
        <v>14190</v>
      </c>
      <c r="Z33" s="31">
        <f t="shared" si="3"/>
        <v>8412.7626128000011</v>
      </c>
      <c r="AA33" s="31">
        <f t="shared" si="12"/>
        <v>36444.025716799995</v>
      </c>
    </row>
    <row r="34" spans="1:27" ht="16.5" thickBot="1" x14ac:dyDescent="0.25">
      <c r="A34" s="6"/>
      <c r="B34" s="64"/>
      <c r="C34" s="64">
        <f>C33</f>
        <v>16837</v>
      </c>
      <c r="D34" s="64">
        <f t="shared" si="4"/>
        <v>0</v>
      </c>
      <c r="E34" s="163">
        <f>E33</f>
        <v>20117285</v>
      </c>
      <c r="F34" s="64">
        <f t="shared" si="5"/>
        <v>0</v>
      </c>
      <c r="G34" s="167">
        <f>G33</f>
        <v>58009635</v>
      </c>
      <c r="H34" s="64">
        <f t="shared" si="6"/>
        <v>0</v>
      </c>
      <c r="I34" s="164">
        <f>F34+H34</f>
        <v>0</v>
      </c>
      <c r="J34" s="163">
        <f>J33</f>
        <v>5164818</v>
      </c>
      <c r="K34" s="64">
        <f t="shared" si="7"/>
        <v>0</v>
      </c>
      <c r="L34" s="165">
        <f>L33</f>
        <v>5463312</v>
      </c>
      <c r="M34" s="64">
        <f t="shared" si="8"/>
        <v>0</v>
      </c>
      <c r="N34" s="163">
        <f>N33</f>
        <v>3554928</v>
      </c>
      <c r="O34" s="64">
        <f t="shared" si="13"/>
        <v>0</v>
      </c>
      <c r="P34" s="165">
        <f>P33</f>
        <v>8446105</v>
      </c>
      <c r="Q34" s="64">
        <f t="shared" si="9"/>
        <v>0</v>
      </c>
      <c r="R34" s="163">
        <f>R33</f>
        <v>12629844</v>
      </c>
      <c r="S34" s="64">
        <f t="shared" si="10"/>
        <v>0</v>
      </c>
      <c r="T34" s="163">
        <v>0</v>
      </c>
      <c r="U34" s="166"/>
      <c r="V34" s="163">
        <f>V33</f>
        <v>9577366</v>
      </c>
      <c r="W34" s="64">
        <f t="shared" si="11"/>
        <v>0</v>
      </c>
      <c r="X34" s="33">
        <f>K34+M34+O34+Q34+S34+U34+W34</f>
        <v>0</v>
      </c>
      <c r="Y34" s="46">
        <f>I34-X34</f>
        <v>0</v>
      </c>
      <c r="Z34" s="31">
        <f t="shared" si="3"/>
        <v>0</v>
      </c>
      <c r="AA34" s="31">
        <f t="shared" si="12"/>
        <v>27252.721600000001</v>
      </c>
    </row>
    <row r="35" spans="1:27" ht="16.5" thickBot="1" x14ac:dyDescent="0.25">
      <c r="A35" s="6" t="s">
        <v>28</v>
      </c>
      <c r="B35" s="64"/>
      <c r="C35" s="64"/>
      <c r="D35" s="64">
        <f>SUM(D3:D34)</f>
        <v>21280</v>
      </c>
      <c r="E35" s="35"/>
      <c r="F35" s="36">
        <f>SUM(F3:F34)</f>
        <v>379692</v>
      </c>
      <c r="G35" s="37"/>
      <c r="H35" s="36">
        <f>SUM(H3:H34)</f>
        <v>1638947</v>
      </c>
      <c r="I35" s="33">
        <f t="shared" si="0"/>
        <v>2018639</v>
      </c>
      <c r="J35" s="35"/>
      <c r="K35" s="36">
        <f>SUM(K3:K34)</f>
        <v>173734</v>
      </c>
      <c r="L35" s="34"/>
      <c r="M35" s="36">
        <f>SUM(M3:M34)</f>
        <v>146376</v>
      </c>
      <c r="N35" s="34"/>
      <c r="O35" s="36">
        <f>SUM(O3:O34)</f>
        <v>228206</v>
      </c>
      <c r="P35" s="34"/>
      <c r="Q35" s="36">
        <f>SUM(Q3:Q34)</f>
        <v>311128</v>
      </c>
      <c r="R35" s="34"/>
      <c r="S35" s="36">
        <f>SUM(S3:T34)</f>
        <v>337521</v>
      </c>
      <c r="T35" s="34"/>
      <c r="U35" s="36"/>
      <c r="V35" s="34"/>
      <c r="W35" s="36">
        <f>SUM(W3:W34)</f>
        <v>394074</v>
      </c>
      <c r="X35" s="36">
        <f>SUM(X4:X31)</f>
        <v>1483848</v>
      </c>
      <c r="Y35" s="47">
        <f>SUM(Y4:Y31)</f>
        <v>397280</v>
      </c>
      <c r="Z35" s="36">
        <f>SUM(Z5:Z31)</f>
        <v>230892.43388639996</v>
      </c>
      <c r="AA35" s="36"/>
    </row>
    <row r="37" spans="1:27" ht="15" x14ac:dyDescent="0.2">
      <c r="A37" s="30"/>
      <c r="B37" s="65"/>
      <c r="C37" s="65"/>
      <c r="D37" s="65"/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39"/>
    </row>
    <row r="39" spans="1:27" x14ac:dyDescent="0.25">
      <c r="U39" s="30" t="s">
        <v>13</v>
      </c>
      <c r="Y39" s="39"/>
    </row>
    <row r="40" spans="1:27" x14ac:dyDescent="0.25">
      <c r="Y40" s="39"/>
    </row>
    <row r="41" spans="1:27" x14ac:dyDescent="0.25">
      <c r="Y41" s="39"/>
    </row>
    <row r="52" spans="1:27" ht="15" x14ac:dyDescent="0.2">
      <c r="A52" s="30"/>
      <c r="B52" s="65"/>
      <c r="C52" s="65"/>
      <c r="D52" s="65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topLeftCell="A10" zoomScale="70" zoomScaleNormal="55" zoomScaleSheetLayoutView="70" workbookViewId="0">
      <selection activeCell="C33" sqref="C33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3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74" t="s">
        <v>143</v>
      </c>
      <c r="B1" s="174"/>
      <c r="C1" s="174"/>
    </row>
    <row r="2" spans="1:9" ht="24" thickBot="1" x14ac:dyDescent="0.4">
      <c r="A2" s="40" t="s">
        <v>0</v>
      </c>
      <c r="B2" s="41" t="s">
        <v>48</v>
      </c>
      <c r="C2" s="42" t="s">
        <v>31</v>
      </c>
    </row>
    <row r="3" spans="1:9" ht="24" thickBot="1" x14ac:dyDescent="0.4">
      <c r="A3" s="40" t="s">
        <v>12</v>
      </c>
      <c r="B3" s="43">
        <v>16030756</v>
      </c>
      <c r="C3" s="44"/>
    </row>
    <row r="4" spans="1:9" ht="24" thickBot="1" x14ac:dyDescent="0.4">
      <c r="A4" s="40">
        <v>43770</v>
      </c>
      <c r="B4" s="43">
        <v>16032993</v>
      </c>
      <c r="C4" s="72">
        <f>IF((B4-B3)&lt;0,"0",(B4-B3))</f>
        <v>2237</v>
      </c>
    </row>
    <row r="5" spans="1:9" ht="24" thickBot="1" x14ac:dyDescent="0.4">
      <c r="A5" s="40">
        <v>43771</v>
      </c>
      <c r="B5" s="43">
        <v>16035893</v>
      </c>
      <c r="C5" s="72">
        <f t="shared" ref="C5:C34" si="0">IF((B5-B4)&lt;0,"0",(B5-B4))</f>
        <v>2900</v>
      </c>
    </row>
    <row r="6" spans="1:9" ht="24" thickBot="1" x14ac:dyDescent="0.4">
      <c r="A6" s="40">
        <v>43772</v>
      </c>
      <c r="B6" s="43">
        <v>16039398</v>
      </c>
      <c r="C6" s="72">
        <f t="shared" si="0"/>
        <v>3505</v>
      </c>
    </row>
    <row r="7" spans="1:9" ht="24" thickBot="1" x14ac:dyDescent="0.4">
      <c r="A7" s="40">
        <v>43773</v>
      </c>
      <c r="B7" s="43">
        <v>16043451</v>
      </c>
      <c r="C7" s="72">
        <f t="shared" si="0"/>
        <v>4053</v>
      </c>
    </row>
    <row r="8" spans="1:9" ht="24" thickBot="1" x14ac:dyDescent="0.4">
      <c r="A8" s="40">
        <v>43774</v>
      </c>
      <c r="B8" s="43">
        <v>16046836</v>
      </c>
      <c r="C8" s="72">
        <f t="shared" si="0"/>
        <v>3385</v>
      </c>
    </row>
    <row r="9" spans="1:9" ht="24" thickBot="1" x14ac:dyDescent="0.4">
      <c r="A9" s="40">
        <v>43775</v>
      </c>
      <c r="B9" s="43">
        <v>16049936</v>
      </c>
      <c r="C9" s="72">
        <f t="shared" si="0"/>
        <v>3100</v>
      </c>
    </row>
    <row r="10" spans="1:9" ht="24" thickBot="1" x14ac:dyDescent="0.4">
      <c r="A10" s="40">
        <v>43776</v>
      </c>
      <c r="B10" s="43">
        <v>16053959</v>
      </c>
      <c r="C10" s="72">
        <f t="shared" si="0"/>
        <v>4023</v>
      </c>
    </row>
    <row r="11" spans="1:9" ht="24" thickBot="1" x14ac:dyDescent="0.4">
      <c r="A11" s="40">
        <v>43777</v>
      </c>
      <c r="B11" s="43">
        <v>16058088</v>
      </c>
      <c r="C11" s="72">
        <f t="shared" si="0"/>
        <v>4129</v>
      </c>
    </row>
    <row r="12" spans="1:9" ht="24" thickBot="1" x14ac:dyDescent="0.4">
      <c r="A12" s="40">
        <v>43778</v>
      </c>
      <c r="B12" s="43">
        <v>16061845</v>
      </c>
      <c r="C12" s="72">
        <f t="shared" si="0"/>
        <v>3757</v>
      </c>
    </row>
    <row r="13" spans="1:9" ht="24" thickBot="1" x14ac:dyDescent="0.4">
      <c r="A13" s="40">
        <v>43779</v>
      </c>
      <c r="B13" s="43">
        <v>16064875</v>
      </c>
      <c r="C13" s="72">
        <f t="shared" si="0"/>
        <v>3030</v>
      </c>
    </row>
    <row r="14" spans="1:9" ht="24" thickBot="1" x14ac:dyDescent="0.4">
      <c r="A14" s="40">
        <v>43780</v>
      </c>
      <c r="B14" s="43">
        <v>16069004</v>
      </c>
      <c r="C14" s="72">
        <f t="shared" si="0"/>
        <v>4129</v>
      </c>
    </row>
    <row r="15" spans="1:9" ht="24" thickBot="1" x14ac:dyDescent="0.4">
      <c r="A15" s="40">
        <v>43781</v>
      </c>
      <c r="B15" s="43">
        <v>16072487</v>
      </c>
      <c r="C15" s="72">
        <f t="shared" si="0"/>
        <v>3483</v>
      </c>
    </row>
    <row r="16" spans="1:9" ht="24" thickBot="1" x14ac:dyDescent="0.4">
      <c r="A16" s="40">
        <v>43782</v>
      </c>
      <c r="B16" s="43">
        <v>16075942</v>
      </c>
      <c r="C16" s="72">
        <f t="shared" si="0"/>
        <v>3455</v>
      </c>
      <c r="I16" t="s">
        <v>13</v>
      </c>
    </row>
    <row r="17" spans="1:9" ht="24" thickBot="1" x14ac:dyDescent="0.4">
      <c r="A17" s="40">
        <v>43783</v>
      </c>
      <c r="B17" s="43">
        <v>16078994</v>
      </c>
      <c r="C17" s="72">
        <f t="shared" si="0"/>
        <v>3052</v>
      </c>
    </row>
    <row r="18" spans="1:9" ht="24" thickBot="1" x14ac:dyDescent="0.4">
      <c r="A18" s="40">
        <v>43784</v>
      </c>
      <c r="B18" s="43">
        <v>16082769</v>
      </c>
      <c r="C18" s="72">
        <f>IF((B18-B17)&lt;0,"0",(B18-B17))</f>
        <v>3775</v>
      </c>
    </row>
    <row r="19" spans="1:9" ht="24" thickBot="1" x14ac:dyDescent="0.4">
      <c r="A19" s="40">
        <v>43785</v>
      </c>
      <c r="B19" s="43">
        <v>16085213</v>
      </c>
      <c r="C19" s="72">
        <f>IF((B19-B18)&lt;0,"0",(B19-B18))</f>
        <v>2444</v>
      </c>
    </row>
    <row r="20" spans="1:9" ht="24" thickBot="1" x14ac:dyDescent="0.4">
      <c r="A20" s="40">
        <v>43786</v>
      </c>
      <c r="B20" s="43">
        <v>16088210</v>
      </c>
      <c r="C20" s="72">
        <f>IF((B20-B19)&lt;0,"0",(B20-B19))</f>
        <v>2997</v>
      </c>
    </row>
    <row r="21" spans="1:9" ht="24" thickBot="1" x14ac:dyDescent="0.4">
      <c r="A21" s="40">
        <v>43787</v>
      </c>
      <c r="B21" s="43">
        <v>16091765</v>
      </c>
      <c r="C21" s="72">
        <f>IF((B21-B20)&lt;0,"0",(B21-B20))</f>
        <v>3555</v>
      </c>
    </row>
    <row r="22" spans="1:9" ht="24" thickBot="1" x14ac:dyDescent="0.4">
      <c r="A22" s="40">
        <v>43788</v>
      </c>
      <c r="B22" s="43">
        <v>16094980</v>
      </c>
      <c r="C22" s="72">
        <f t="shared" si="0"/>
        <v>3215</v>
      </c>
    </row>
    <row r="23" spans="1:9" ht="24" thickBot="1" x14ac:dyDescent="0.4">
      <c r="A23" s="40">
        <v>43789</v>
      </c>
      <c r="B23" s="43">
        <v>16097952</v>
      </c>
      <c r="C23" s="72">
        <f t="shared" si="0"/>
        <v>2972</v>
      </c>
    </row>
    <row r="24" spans="1:9" ht="24" thickBot="1" x14ac:dyDescent="0.4">
      <c r="A24" s="40">
        <v>43790</v>
      </c>
      <c r="B24" s="43">
        <v>16101304</v>
      </c>
      <c r="C24" s="72">
        <f t="shared" si="0"/>
        <v>3352</v>
      </c>
      <c r="F24" t="s">
        <v>13</v>
      </c>
    </row>
    <row r="25" spans="1:9" ht="24" thickBot="1" x14ac:dyDescent="0.4">
      <c r="A25" s="40">
        <v>43791</v>
      </c>
      <c r="B25" s="43">
        <v>16104499</v>
      </c>
      <c r="C25" s="72">
        <f t="shared" si="0"/>
        <v>3195</v>
      </c>
      <c r="E25" t="s">
        <v>13</v>
      </c>
    </row>
    <row r="26" spans="1:9" ht="24" thickBot="1" x14ac:dyDescent="0.4">
      <c r="A26" s="40">
        <v>43792</v>
      </c>
      <c r="B26" s="43">
        <v>16108210</v>
      </c>
      <c r="C26" s="72">
        <f t="shared" si="0"/>
        <v>3711</v>
      </c>
    </row>
    <row r="27" spans="1:9" ht="24" thickBot="1" x14ac:dyDescent="0.4">
      <c r="A27" s="40">
        <v>43793</v>
      </c>
      <c r="B27" s="43">
        <v>16113397</v>
      </c>
      <c r="C27" s="72">
        <f t="shared" si="0"/>
        <v>5187</v>
      </c>
    </row>
    <row r="28" spans="1:9" ht="24" thickBot="1" x14ac:dyDescent="0.4">
      <c r="A28" s="40">
        <v>43794</v>
      </c>
      <c r="B28" s="43">
        <v>16118141</v>
      </c>
      <c r="C28" s="72">
        <f t="shared" si="0"/>
        <v>4744</v>
      </c>
    </row>
    <row r="29" spans="1:9" ht="24" thickBot="1" x14ac:dyDescent="0.4">
      <c r="A29" s="40">
        <v>43795</v>
      </c>
      <c r="B29" s="43">
        <v>16120823</v>
      </c>
      <c r="C29" s="72">
        <f t="shared" si="0"/>
        <v>2682</v>
      </c>
      <c r="I29" t="s">
        <v>13</v>
      </c>
    </row>
    <row r="30" spans="1:9" ht="24" thickBot="1" x14ac:dyDescent="0.4">
      <c r="A30" s="40">
        <v>43796</v>
      </c>
      <c r="B30" s="43">
        <v>16124654</v>
      </c>
      <c r="C30" s="72">
        <f t="shared" si="0"/>
        <v>3831</v>
      </c>
    </row>
    <row r="31" spans="1:9" ht="24" thickBot="1" x14ac:dyDescent="0.4">
      <c r="A31" s="40">
        <v>43797</v>
      </c>
      <c r="B31" s="43">
        <v>16128485</v>
      </c>
      <c r="C31" s="72">
        <f t="shared" si="0"/>
        <v>3831</v>
      </c>
    </row>
    <row r="32" spans="1:9" ht="24" thickBot="1" x14ac:dyDescent="0.4">
      <c r="A32" s="40">
        <v>43798</v>
      </c>
      <c r="B32" s="43">
        <v>16132317</v>
      </c>
      <c r="C32" s="72">
        <f t="shared" si="0"/>
        <v>3832</v>
      </c>
    </row>
    <row r="33" spans="1:3" ht="24" thickBot="1" x14ac:dyDescent="0.4">
      <c r="A33" s="40">
        <v>43799</v>
      </c>
      <c r="B33" s="43">
        <v>16134402</v>
      </c>
      <c r="C33" s="72">
        <f t="shared" si="0"/>
        <v>2085</v>
      </c>
    </row>
    <row r="34" spans="1:3" ht="24" thickBot="1" x14ac:dyDescent="0.4">
      <c r="A34" s="40"/>
      <c r="B34" s="43">
        <f>B33</f>
        <v>16134402</v>
      </c>
      <c r="C34" s="72">
        <f t="shared" si="0"/>
        <v>0</v>
      </c>
    </row>
    <row r="35" spans="1:3" ht="24" thickBot="1" x14ac:dyDescent="0.4">
      <c r="A35" s="175" t="s">
        <v>28</v>
      </c>
      <c r="B35" s="176"/>
      <c r="C35" s="45">
        <f>SUM(C4:C34)</f>
        <v>103646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opLeftCell="D1" zoomScale="70" zoomScaleNormal="70" workbookViewId="0">
      <selection activeCell="Q33" sqref="Q33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1" bestFit="1" customWidth="1"/>
    <col min="4" max="4" width="15.140625" bestFit="1" customWidth="1"/>
    <col min="5" max="5" width="12.5703125" bestFit="1" customWidth="1"/>
    <col min="6" max="6" width="17" style="61" bestFit="1" customWidth="1"/>
    <col min="7" max="7" width="15.140625" customWidth="1"/>
    <col min="8" max="8" width="17.7109375" customWidth="1"/>
    <col min="9" max="9" width="12.85546875" style="61" bestFit="1" customWidth="1"/>
    <col min="10" max="10" width="11.42578125" bestFit="1" customWidth="1"/>
    <col min="11" max="11" width="15.7109375" bestFit="1" customWidth="1"/>
    <col min="12" max="12" width="12.85546875" style="61" bestFit="1" customWidth="1"/>
    <col min="13" max="13" width="12.7109375" bestFit="1" customWidth="1"/>
    <col min="14" max="14" width="11.28515625" bestFit="1" customWidth="1"/>
    <col min="15" max="15" width="12.85546875" style="61" bestFit="1" customWidth="1"/>
    <col min="16" max="16" width="15.140625" bestFit="1" customWidth="1"/>
    <col min="17" max="17" width="13.85546875" bestFit="1" customWidth="1"/>
    <col min="18" max="18" width="16.28515625" style="6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8" t="s">
        <v>2</v>
      </c>
      <c r="D1" s="49" t="s">
        <v>3</v>
      </c>
      <c r="E1" s="3" t="s">
        <v>4</v>
      </c>
      <c r="F1" s="68" t="s">
        <v>2</v>
      </c>
      <c r="G1" s="49" t="s">
        <v>3</v>
      </c>
      <c r="H1" s="3" t="s">
        <v>5</v>
      </c>
      <c r="I1" s="68" t="s">
        <v>6</v>
      </c>
      <c r="J1" s="49" t="s">
        <v>83</v>
      </c>
      <c r="K1" s="3" t="s">
        <v>7</v>
      </c>
      <c r="L1" s="68" t="s">
        <v>6</v>
      </c>
      <c r="M1" s="49" t="s">
        <v>3</v>
      </c>
      <c r="N1" s="4" t="s">
        <v>8</v>
      </c>
      <c r="O1" s="68" t="s">
        <v>6</v>
      </c>
      <c r="P1" s="49" t="s">
        <v>3</v>
      </c>
      <c r="Q1" s="4" t="s">
        <v>9</v>
      </c>
      <c r="R1" s="68" t="s">
        <v>6</v>
      </c>
      <c r="S1" s="49" t="s">
        <v>3</v>
      </c>
      <c r="T1" s="5" t="s">
        <v>10</v>
      </c>
      <c r="U1" s="52" t="s">
        <v>11</v>
      </c>
    </row>
    <row r="2" spans="1:25" ht="16.5" thickBot="1" x14ac:dyDescent="0.25">
      <c r="A2" s="6" t="s">
        <v>12</v>
      </c>
      <c r="B2" s="1">
        <v>16802.8</v>
      </c>
      <c r="C2" s="74"/>
      <c r="D2" s="50">
        <v>0</v>
      </c>
      <c r="E2" s="1">
        <v>2671</v>
      </c>
      <c r="F2" s="74">
        <v>0</v>
      </c>
      <c r="G2" s="50">
        <v>0</v>
      </c>
      <c r="H2" s="1">
        <v>176</v>
      </c>
      <c r="I2" s="74">
        <v>0</v>
      </c>
      <c r="J2" s="50">
        <v>0</v>
      </c>
      <c r="K2" s="7">
        <v>12875</v>
      </c>
      <c r="L2" s="74">
        <v>0</v>
      </c>
      <c r="M2" s="50">
        <v>0</v>
      </c>
      <c r="N2" s="7">
        <v>2266.6</v>
      </c>
      <c r="O2" s="74">
        <v>0</v>
      </c>
      <c r="P2" s="50">
        <v>0</v>
      </c>
      <c r="Q2" s="7">
        <v>4297.8999999999996</v>
      </c>
      <c r="R2" s="74">
        <v>0</v>
      </c>
      <c r="S2" s="50">
        <v>0</v>
      </c>
      <c r="T2" s="8">
        <v>0</v>
      </c>
      <c r="U2" s="53">
        <v>0</v>
      </c>
    </row>
    <row r="3" spans="1:25" ht="21" thickBot="1" x14ac:dyDescent="0.25">
      <c r="A3" s="9">
        <v>43770</v>
      </c>
      <c r="B3" s="1">
        <v>16810.7</v>
      </c>
      <c r="C3" s="70">
        <f>IF((B3-B2)&lt;0,"0",(B3-B2))</f>
        <v>7.9000000000014552</v>
      </c>
      <c r="D3" s="50">
        <f>C3*1.9*1000</f>
        <v>15010.000000002763</v>
      </c>
      <c r="E3" s="1">
        <v>2672.8</v>
      </c>
      <c r="F3" s="70">
        <f t="shared" ref="F3:F33" si="0">IF((E3-E2)&lt;0,"0",(E3-E2))</f>
        <v>1.8000000000001819</v>
      </c>
      <c r="G3" s="50">
        <f>F3*1.9*1000</f>
        <v>3420.0000000003456</v>
      </c>
      <c r="H3" s="1">
        <v>180</v>
      </c>
      <c r="I3" s="70">
        <f>IF((H3-H2)&lt;0,"0",(H3-H2))</f>
        <v>4</v>
      </c>
      <c r="J3" s="50">
        <f>I3*1.9*1000</f>
        <v>7600</v>
      </c>
      <c r="K3" s="7">
        <v>12875.8</v>
      </c>
      <c r="L3" s="70">
        <f>IF((K3-K2)&lt;0,"0",(K3-K2))</f>
        <v>0.7999999999992724</v>
      </c>
      <c r="M3" s="50">
        <f>L3*1.9*1000</f>
        <v>1519.9999999986176</v>
      </c>
      <c r="N3" s="7">
        <v>2269</v>
      </c>
      <c r="O3" s="70">
        <f>IF((N3-N2)&lt;0,"0",(N3-N2))</f>
        <v>2.4000000000000909</v>
      </c>
      <c r="P3" s="50">
        <f>O3*1.9*1000</f>
        <v>4560.0000000001728</v>
      </c>
      <c r="Q3" s="7">
        <v>4300</v>
      </c>
      <c r="R3" s="70">
        <f>IF((Q3-Q2)&lt;0,"0",(Q3-Q2))</f>
        <v>2.1000000000003638</v>
      </c>
      <c r="S3" s="50">
        <f>R3*1.9*1000</f>
        <v>3990.0000000006912</v>
      </c>
      <c r="T3" s="8">
        <f>C3+F3+I3+L3+O3+R3</f>
        <v>19.000000000001364</v>
      </c>
      <c r="U3" s="54">
        <f>T3*1.9*1000</f>
        <v>36100.00000000259</v>
      </c>
    </row>
    <row r="4" spans="1:25" ht="21" thickBot="1" x14ac:dyDescent="0.25">
      <c r="A4" s="9">
        <v>43771</v>
      </c>
      <c r="B4" s="1">
        <v>16818</v>
      </c>
      <c r="C4" s="70">
        <f t="shared" ref="C4:C33" si="1">IF((B4-B3)&lt;0,"0",(B4-B3))</f>
        <v>7.2999999999992724</v>
      </c>
      <c r="D4" s="50">
        <f t="shared" ref="D4:D31" si="2">C4*1.9*1000</f>
        <v>13869.999999998618</v>
      </c>
      <c r="E4" s="1">
        <v>2673.8</v>
      </c>
      <c r="F4" s="70">
        <f t="shared" si="0"/>
        <v>1</v>
      </c>
      <c r="G4" s="50">
        <f t="shared" ref="G4:G31" si="3">F4*1.9*1000</f>
        <v>1900</v>
      </c>
      <c r="H4" s="1">
        <v>183</v>
      </c>
      <c r="I4" s="70">
        <f t="shared" ref="I4:I33" si="4">IF((H4-H3)&lt;0,"0",(H4-H3))</f>
        <v>3</v>
      </c>
      <c r="J4" s="50">
        <f t="shared" ref="J4:J31" si="5">I4*1.9*1000</f>
        <v>5699.9999999999991</v>
      </c>
      <c r="K4" s="7">
        <v>12876.22</v>
      </c>
      <c r="L4" s="70">
        <f t="shared" ref="L4:L33" si="6">IF((K4-K3)&lt;0,"0",(K4-K3))</f>
        <v>0.42000000000007276</v>
      </c>
      <c r="M4" s="50">
        <f t="shared" ref="M4:M31" si="7">L4*1.9*1000</f>
        <v>798.00000000013813</v>
      </c>
      <c r="N4" s="7">
        <v>2270.9</v>
      </c>
      <c r="O4" s="70">
        <f t="shared" ref="O4:O33" si="8">IF((N4-N3)&lt;0,"0",(N4-N3))</f>
        <v>1.9000000000000909</v>
      </c>
      <c r="P4" s="50">
        <f t="shared" ref="P4:P31" si="9">O4*1.9*1000</f>
        <v>3610.0000000001728</v>
      </c>
      <c r="Q4" s="7">
        <v>4302.3</v>
      </c>
      <c r="R4" s="70">
        <f t="shared" ref="R4:R33" si="10">IF((Q4-Q3)&lt;0,"0",(Q4-Q3))</f>
        <v>2.3000000000001819</v>
      </c>
      <c r="S4" s="50">
        <f t="shared" ref="S4:S31" si="11">R4*1.9*1000</f>
        <v>4370.0000000003456</v>
      </c>
      <c r="T4" s="8">
        <f t="shared" ref="T4:T31" si="12">C4+F4+I4+L4+O4+R4</f>
        <v>15.919999999999618</v>
      </c>
      <c r="U4" s="54">
        <f t="shared" ref="U4:U31" si="13">T4*1.9*1000</f>
        <v>30247.999999999272</v>
      </c>
    </row>
    <row r="5" spans="1:25" ht="21" thickBot="1" x14ac:dyDescent="0.25">
      <c r="A5" s="9">
        <v>43772</v>
      </c>
      <c r="B5" s="1">
        <v>16824.8</v>
      </c>
      <c r="C5" s="70">
        <f t="shared" si="1"/>
        <v>6.7999999999992724</v>
      </c>
      <c r="D5" s="50">
        <f t="shared" si="2"/>
        <v>12919.999999998616</v>
      </c>
      <c r="E5" s="1">
        <v>2675.6</v>
      </c>
      <c r="F5" s="70">
        <f t="shared" si="0"/>
        <v>1.7999999999997272</v>
      </c>
      <c r="G5" s="50">
        <f t="shared" si="3"/>
        <v>3419.9999999994811</v>
      </c>
      <c r="H5" s="1">
        <v>186</v>
      </c>
      <c r="I5" s="70">
        <f t="shared" si="4"/>
        <v>3</v>
      </c>
      <c r="J5" s="50">
        <f t="shared" si="5"/>
        <v>5699.9999999999991</v>
      </c>
      <c r="K5" s="7">
        <v>12876.6</v>
      </c>
      <c r="L5" s="70">
        <f t="shared" si="6"/>
        <v>0.38000000000101863</v>
      </c>
      <c r="M5" s="50">
        <f t="shared" si="7"/>
        <v>722.00000000193529</v>
      </c>
      <c r="N5" s="7">
        <v>2273.1</v>
      </c>
      <c r="O5" s="70">
        <f t="shared" si="8"/>
        <v>2.1999999999998181</v>
      </c>
      <c r="P5" s="50">
        <f t="shared" si="9"/>
        <v>4179.9999999996544</v>
      </c>
      <c r="Q5" s="7">
        <v>4303.3999999999996</v>
      </c>
      <c r="R5" s="70">
        <f t="shared" si="10"/>
        <v>1.0999999999994543</v>
      </c>
      <c r="S5" s="50">
        <f t="shared" si="11"/>
        <v>2089.9999999989627</v>
      </c>
      <c r="T5" s="8">
        <f t="shared" si="12"/>
        <v>15.279999999999291</v>
      </c>
      <c r="U5" s="54">
        <f t="shared" si="13"/>
        <v>29031.99999999865</v>
      </c>
    </row>
    <row r="6" spans="1:25" ht="21" thickBot="1" x14ac:dyDescent="0.25">
      <c r="A6" s="9">
        <v>43773</v>
      </c>
      <c r="B6" s="1">
        <v>16834</v>
      </c>
      <c r="C6" s="70">
        <f t="shared" si="1"/>
        <v>9.2000000000007276</v>
      </c>
      <c r="D6" s="50">
        <f t="shared" si="2"/>
        <v>17480.000000001382</v>
      </c>
      <c r="E6" s="1">
        <v>2678</v>
      </c>
      <c r="F6" s="70">
        <f t="shared" si="0"/>
        <v>2.4000000000000909</v>
      </c>
      <c r="G6" s="50">
        <f t="shared" si="3"/>
        <v>4560.0000000001728</v>
      </c>
      <c r="H6" s="1">
        <v>189</v>
      </c>
      <c r="I6" s="70">
        <f t="shared" si="4"/>
        <v>3</v>
      </c>
      <c r="J6" s="50">
        <f t="shared" si="5"/>
        <v>5699.9999999999991</v>
      </c>
      <c r="K6" s="7">
        <v>12877</v>
      </c>
      <c r="L6" s="70">
        <f t="shared" si="6"/>
        <v>0.3999999999996362</v>
      </c>
      <c r="M6" s="50">
        <f t="shared" si="7"/>
        <v>759.99999999930878</v>
      </c>
      <c r="N6" s="7">
        <v>2275.6</v>
      </c>
      <c r="O6" s="70">
        <f t="shared" si="8"/>
        <v>2.5</v>
      </c>
      <c r="P6" s="50">
        <f t="shared" si="9"/>
        <v>4750</v>
      </c>
      <c r="Q6" s="7">
        <v>4304.8999999999996</v>
      </c>
      <c r="R6" s="70">
        <f t="shared" si="10"/>
        <v>1.5</v>
      </c>
      <c r="S6" s="50">
        <f t="shared" si="11"/>
        <v>2849.9999999999995</v>
      </c>
      <c r="T6" s="8">
        <f t="shared" si="12"/>
        <v>19.000000000000455</v>
      </c>
      <c r="U6" s="54">
        <f t="shared" si="13"/>
        <v>36100.000000000859</v>
      </c>
    </row>
    <row r="7" spans="1:25" ht="21" thickBot="1" x14ac:dyDescent="0.25">
      <c r="A7" s="9">
        <v>43774</v>
      </c>
      <c r="B7" s="1">
        <v>16842</v>
      </c>
      <c r="C7" s="70">
        <f t="shared" si="1"/>
        <v>8</v>
      </c>
      <c r="D7" s="50">
        <f t="shared" si="2"/>
        <v>15200</v>
      </c>
      <c r="E7" s="1">
        <v>2680.6</v>
      </c>
      <c r="F7" s="70">
        <f t="shared" si="0"/>
        <v>2.5999999999999091</v>
      </c>
      <c r="G7" s="50">
        <f t="shared" si="3"/>
        <v>4939.9999999998272</v>
      </c>
      <c r="H7" s="1">
        <v>193</v>
      </c>
      <c r="I7" s="70">
        <f t="shared" si="4"/>
        <v>4</v>
      </c>
      <c r="J7" s="50">
        <f t="shared" si="5"/>
        <v>7600</v>
      </c>
      <c r="K7" s="7">
        <v>12877.6</v>
      </c>
      <c r="L7" s="70">
        <f t="shared" si="6"/>
        <v>0.6000000000003638</v>
      </c>
      <c r="M7" s="50">
        <f t="shared" si="7"/>
        <v>1140.0000000006912</v>
      </c>
      <c r="N7" s="7">
        <v>2277.8000000000002</v>
      </c>
      <c r="O7" s="70">
        <f t="shared" si="8"/>
        <v>2.2000000000002728</v>
      </c>
      <c r="P7" s="50">
        <f t="shared" si="9"/>
        <v>4180.0000000005184</v>
      </c>
      <c r="Q7" s="7">
        <v>4306</v>
      </c>
      <c r="R7" s="70">
        <f t="shared" si="10"/>
        <v>1.1000000000003638</v>
      </c>
      <c r="S7" s="50">
        <f t="shared" si="11"/>
        <v>2090.0000000006912</v>
      </c>
      <c r="T7" s="8">
        <f t="shared" si="12"/>
        <v>18.500000000000909</v>
      </c>
      <c r="U7" s="54">
        <f t="shared" si="13"/>
        <v>35150.000000001724</v>
      </c>
    </row>
    <row r="8" spans="1:25" ht="21" thickBot="1" x14ac:dyDescent="0.25">
      <c r="A8" s="9">
        <v>43775</v>
      </c>
      <c r="B8" s="1">
        <v>16850.8</v>
      </c>
      <c r="C8" s="70">
        <f t="shared" si="1"/>
        <v>8.7999999999992724</v>
      </c>
      <c r="D8" s="50">
        <f t="shared" si="2"/>
        <v>16719.999999998618</v>
      </c>
      <c r="E8" s="1">
        <v>2682.7</v>
      </c>
      <c r="F8" s="70">
        <f t="shared" si="0"/>
        <v>2.0999999999999091</v>
      </c>
      <c r="G8" s="50">
        <f t="shared" si="3"/>
        <v>3989.9999999998272</v>
      </c>
      <c r="H8" s="1">
        <v>197</v>
      </c>
      <c r="I8" s="70">
        <f t="shared" si="4"/>
        <v>4</v>
      </c>
      <c r="J8" s="50">
        <f t="shared" si="5"/>
        <v>7600</v>
      </c>
      <c r="K8" s="7">
        <v>12878</v>
      </c>
      <c r="L8" s="70">
        <f t="shared" si="6"/>
        <v>0.3999999999996362</v>
      </c>
      <c r="M8" s="50">
        <f t="shared" si="7"/>
        <v>759.99999999930878</v>
      </c>
      <c r="N8" s="7">
        <v>2280</v>
      </c>
      <c r="O8" s="70">
        <f t="shared" si="8"/>
        <v>2.1999999999998181</v>
      </c>
      <c r="P8" s="50">
        <f t="shared" si="9"/>
        <v>4179.9999999996544</v>
      </c>
      <c r="Q8" s="7">
        <v>4307</v>
      </c>
      <c r="R8" s="70">
        <f t="shared" si="10"/>
        <v>1</v>
      </c>
      <c r="S8" s="50">
        <f t="shared" si="11"/>
        <v>1900</v>
      </c>
      <c r="T8" s="8">
        <f t="shared" si="12"/>
        <v>18.499999999998636</v>
      </c>
      <c r="U8" s="54">
        <f t="shared" si="13"/>
        <v>35149.999999997402</v>
      </c>
    </row>
    <row r="9" spans="1:25" ht="21" thickBot="1" x14ac:dyDescent="0.25">
      <c r="A9" s="9">
        <v>43776</v>
      </c>
      <c r="B9" s="1">
        <v>16860</v>
      </c>
      <c r="C9" s="70">
        <f t="shared" si="1"/>
        <v>9.2000000000007276</v>
      </c>
      <c r="D9" s="50">
        <f t="shared" si="2"/>
        <v>17480.000000001382</v>
      </c>
      <c r="E9" s="1">
        <v>2685.3</v>
      </c>
      <c r="F9" s="70">
        <f t="shared" si="0"/>
        <v>2.6000000000003638</v>
      </c>
      <c r="G9" s="50">
        <f t="shared" si="3"/>
        <v>4940.0000000006912</v>
      </c>
      <c r="H9" s="1">
        <v>202</v>
      </c>
      <c r="I9" s="70">
        <f t="shared" si="4"/>
        <v>5</v>
      </c>
      <c r="J9" s="50">
        <f t="shared" si="5"/>
        <v>9500</v>
      </c>
      <c r="K9" s="7">
        <v>12878.6</v>
      </c>
      <c r="L9" s="70">
        <f t="shared" si="6"/>
        <v>0.6000000000003638</v>
      </c>
      <c r="M9" s="50">
        <f t="shared" si="7"/>
        <v>1140.0000000006912</v>
      </c>
      <c r="N9" s="7">
        <v>2282.5</v>
      </c>
      <c r="O9" s="70">
        <f t="shared" si="8"/>
        <v>2.5</v>
      </c>
      <c r="P9" s="50">
        <f t="shared" si="9"/>
        <v>4750</v>
      </c>
      <c r="Q9" s="7">
        <v>4308.6000000000004</v>
      </c>
      <c r="R9" s="70">
        <f t="shared" si="10"/>
        <v>1.6000000000003638</v>
      </c>
      <c r="S9" s="50">
        <f t="shared" si="11"/>
        <v>3040.0000000006912</v>
      </c>
      <c r="T9" s="8">
        <f t="shared" si="12"/>
        <v>21.500000000001819</v>
      </c>
      <c r="U9" s="54">
        <f t="shared" si="13"/>
        <v>40850.000000003456</v>
      </c>
    </row>
    <row r="10" spans="1:25" ht="21" thickBot="1" x14ac:dyDescent="0.25">
      <c r="A10" s="9">
        <v>43777</v>
      </c>
      <c r="B10" s="1">
        <v>16868.8</v>
      </c>
      <c r="C10" s="70">
        <f t="shared" si="1"/>
        <v>8.7999999999992724</v>
      </c>
      <c r="D10" s="50">
        <f t="shared" si="2"/>
        <v>16719.999999998618</v>
      </c>
      <c r="E10" s="1">
        <v>2686.4</v>
      </c>
      <c r="F10" s="70">
        <f t="shared" si="0"/>
        <v>1.0999999999999091</v>
      </c>
      <c r="G10" s="50">
        <f t="shared" si="3"/>
        <v>2089.9999999998272</v>
      </c>
      <c r="H10" s="1">
        <v>206</v>
      </c>
      <c r="I10" s="70">
        <f t="shared" si="4"/>
        <v>4</v>
      </c>
      <c r="J10" s="50">
        <f t="shared" si="5"/>
        <v>7600</v>
      </c>
      <c r="K10" s="7">
        <v>12879</v>
      </c>
      <c r="L10" s="70">
        <f t="shared" si="6"/>
        <v>0.3999999999996362</v>
      </c>
      <c r="M10" s="50">
        <f t="shared" si="7"/>
        <v>759.99999999930878</v>
      </c>
      <c r="N10" s="7">
        <v>2284.6</v>
      </c>
      <c r="O10" s="70">
        <f t="shared" si="8"/>
        <v>2.0999999999999091</v>
      </c>
      <c r="P10" s="50">
        <f t="shared" si="9"/>
        <v>3989.9999999998272</v>
      </c>
      <c r="Q10" s="7">
        <v>4310.2</v>
      </c>
      <c r="R10" s="70">
        <f t="shared" si="10"/>
        <v>1.5999999999994543</v>
      </c>
      <c r="S10" s="50">
        <f t="shared" si="11"/>
        <v>3039.9999999989632</v>
      </c>
      <c r="T10" s="8">
        <f t="shared" si="12"/>
        <v>17.999999999998181</v>
      </c>
      <c r="U10" s="54">
        <f t="shared" si="13"/>
        <v>34199.999999996544</v>
      </c>
    </row>
    <row r="11" spans="1:25" ht="21" thickBot="1" x14ac:dyDescent="0.25">
      <c r="A11" s="9">
        <v>43778</v>
      </c>
      <c r="B11" s="1">
        <v>16878.106</v>
      </c>
      <c r="C11" s="70">
        <f t="shared" si="1"/>
        <v>9.3060000000004948</v>
      </c>
      <c r="D11" s="50">
        <f t="shared" si="2"/>
        <v>17681.400000000936</v>
      </c>
      <c r="E11" s="1">
        <v>2687.7069999999999</v>
      </c>
      <c r="F11" s="70">
        <f t="shared" si="0"/>
        <v>1.306999999999789</v>
      </c>
      <c r="G11" s="50">
        <f t="shared" si="3"/>
        <v>2483.2999999995986</v>
      </c>
      <c r="H11" s="1">
        <v>210</v>
      </c>
      <c r="I11" s="70">
        <f t="shared" si="4"/>
        <v>4</v>
      </c>
      <c r="J11" s="50">
        <f t="shared" si="5"/>
        <v>7600</v>
      </c>
      <c r="K11" s="7">
        <v>12879.56</v>
      </c>
      <c r="L11" s="70">
        <f t="shared" si="6"/>
        <v>0.55999999999949068</v>
      </c>
      <c r="M11" s="50">
        <f t="shared" si="7"/>
        <v>1063.9999999990321</v>
      </c>
      <c r="N11" s="7">
        <v>2286.7640000000001</v>
      </c>
      <c r="O11" s="70">
        <f t="shared" si="8"/>
        <v>2.1640000000002146</v>
      </c>
      <c r="P11" s="50">
        <f t="shared" si="9"/>
        <v>4111.6000000004078</v>
      </c>
      <c r="Q11" s="7">
        <v>4311.75</v>
      </c>
      <c r="R11" s="70">
        <f t="shared" si="10"/>
        <v>1.5500000000001819</v>
      </c>
      <c r="S11" s="50">
        <f t="shared" si="11"/>
        <v>2945.0000000003452</v>
      </c>
      <c r="T11" s="8">
        <f t="shared" si="12"/>
        <v>18.887000000000171</v>
      </c>
      <c r="U11" s="54">
        <f t="shared" si="13"/>
        <v>35885.300000000323</v>
      </c>
    </row>
    <row r="12" spans="1:25" ht="21" thickBot="1" x14ac:dyDescent="0.25">
      <c r="A12" s="9">
        <v>43779</v>
      </c>
      <c r="B12" s="1">
        <v>16888.244999999999</v>
      </c>
      <c r="C12" s="70">
        <f t="shared" si="1"/>
        <v>10.138999999999214</v>
      </c>
      <c r="D12" s="50">
        <f t="shared" si="2"/>
        <v>19264.099999998507</v>
      </c>
      <c r="E12" s="1">
        <v>2689.0120000000002</v>
      </c>
      <c r="F12" s="70">
        <f t="shared" si="0"/>
        <v>1.305000000000291</v>
      </c>
      <c r="G12" s="50">
        <f t="shared" si="3"/>
        <v>2479.5000000005525</v>
      </c>
      <c r="H12" s="1">
        <v>215</v>
      </c>
      <c r="I12" s="70">
        <f t="shared" si="4"/>
        <v>5</v>
      </c>
      <c r="J12" s="50">
        <f t="shared" si="5"/>
        <v>9500</v>
      </c>
      <c r="K12" s="7">
        <v>12880</v>
      </c>
      <c r="L12" s="70">
        <f t="shared" si="6"/>
        <v>0.44000000000050932</v>
      </c>
      <c r="M12" s="50">
        <f t="shared" si="7"/>
        <v>836.00000000096759</v>
      </c>
      <c r="N12" s="7">
        <v>2289.0120000000002</v>
      </c>
      <c r="O12" s="70">
        <f t="shared" si="8"/>
        <v>2.2480000000000473</v>
      </c>
      <c r="P12" s="50">
        <f t="shared" si="9"/>
        <v>4271.2000000000899</v>
      </c>
      <c r="Q12" s="7">
        <v>4312.25</v>
      </c>
      <c r="R12" s="70">
        <f t="shared" si="10"/>
        <v>0.5</v>
      </c>
      <c r="S12" s="50">
        <f t="shared" si="11"/>
        <v>950</v>
      </c>
      <c r="T12" s="8">
        <f t="shared" si="12"/>
        <v>19.632000000000062</v>
      </c>
      <c r="U12" s="54">
        <f t="shared" si="13"/>
        <v>37300.800000000119</v>
      </c>
    </row>
    <row r="13" spans="1:25" ht="21" thickBot="1" x14ac:dyDescent="0.25">
      <c r="A13" s="9">
        <v>43780</v>
      </c>
      <c r="B13" s="1">
        <v>16895.498</v>
      </c>
      <c r="C13" s="70">
        <f t="shared" si="1"/>
        <v>7.2530000000006112</v>
      </c>
      <c r="D13" s="50">
        <f t="shared" si="2"/>
        <v>13780.700000001161</v>
      </c>
      <c r="E13" s="1">
        <v>2691.114</v>
      </c>
      <c r="F13" s="70">
        <f t="shared" si="0"/>
        <v>2.1019999999998618</v>
      </c>
      <c r="G13" s="50">
        <f t="shared" si="3"/>
        <v>3993.7999999997373</v>
      </c>
      <c r="H13" s="1">
        <v>219</v>
      </c>
      <c r="I13" s="70">
        <f t="shared" si="4"/>
        <v>4</v>
      </c>
      <c r="J13" s="50">
        <f t="shared" si="5"/>
        <v>7600</v>
      </c>
      <c r="K13" s="7">
        <v>12880.6</v>
      </c>
      <c r="L13" s="70">
        <f t="shared" si="6"/>
        <v>0.6000000000003638</v>
      </c>
      <c r="M13" s="50">
        <f t="shared" si="7"/>
        <v>1140.0000000006912</v>
      </c>
      <c r="N13" s="7">
        <v>2291.1210000000001</v>
      </c>
      <c r="O13" s="70">
        <f t="shared" si="8"/>
        <v>2.1089999999999236</v>
      </c>
      <c r="P13" s="50">
        <f t="shared" si="9"/>
        <v>4007.0999999998548</v>
      </c>
      <c r="Q13" s="7">
        <v>4315.1499999999996</v>
      </c>
      <c r="R13" s="70">
        <f t="shared" si="10"/>
        <v>2.8999999999996362</v>
      </c>
      <c r="S13" s="50">
        <f t="shared" si="11"/>
        <v>5509.9999999993088</v>
      </c>
      <c r="T13" s="8">
        <f t="shared" si="12"/>
        <v>18.964000000000397</v>
      </c>
      <c r="U13" s="54">
        <f t="shared" si="13"/>
        <v>36031.600000000748</v>
      </c>
    </row>
    <row r="14" spans="1:25" ht="21" thickBot="1" x14ac:dyDescent="0.25">
      <c r="A14" s="9">
        <v>43781</v>
      </c>
      <c r="B14" s="1">
        <v>16902.764999999999</v>
      </c>
      <c r="C14" s="70">
        <f t="shared" si="1"/>
        <v>7.2669999999998254</v>
      </c>
      <c r="D14" s="50">
        <f t="shared" si="2"/>
        <v>13807.299999999668</v>
      </c>
      <c r="E14" s="1">
        <v>2692.9810000000002</v>
      </c>
      <c r="F14" s="70">
        <f t="shared" si="0"/>
        <v>1.8670000000001892</v>
      </c>
      <c r="G14" s="50">
        <f t="shared" si="3"/>
        <v>3547.300000000359</v>
      </c>
      <c r="H14" s="1">
        <v>222</v>
      </c>
      <c r="I14" s="70">
        <f t="shared" si="4"/>
        <v>3</v>
      </c>
      <c r="J14" s="50">
        <f t="shared" si="5"/>
        <v>5699.9999999999991</v>
      </c>
      <c r="K14" s="7">
        <v>12881.05</v>
      </c>
      <c r="L14" s="70">
        <f t="shared" si="6"/>
        <v>0.44999999999890861</v>
      </c>
      <c r="M14" s="50">
        <f t="shared" si="7"/>
        <v>854.99999999792635</v>
      </c>
      <c r="N14" s="7">
        <v>2292.9169999999999</v>
      </c>
      <c r="O14" s="70">
        <f t="shared" si="8"/>
        <v>1.7959999999998217</v>
      </c>
      <c r="P14" s="50">
        <f t="shared" si="9"/>
        <v>3412.3999999996608</v>
      </c>
      <c r="Q14" s="7">
        <v>4316.8900000000003</v>
      </c>
      <c r="R14" s="70">
        <f t="shared" si="10"/>
        <v>1.7400000000006912</v>
      </c>
      <c r="S14" s="50">
        <f t="shared" si="11"/>
        <v>3306.0000000013133</v>
      </c>
      <c r="T14" s="8">
        <f t="shared" si="12"/>
        <v>16.119999999999436</v>
      </c>
      <c r="U14" s="54">
        <f t="shared" si="13"/>
        <v>30627.999999998927</v>
      </c>
    </row>
    <row r="15" spans="1:25" ht="21" thickBot="1" x14ac:dyDescent="0.25">
      <c r="A15" s="9">
        <v>43782</v>
      </c>
      <c r="B15" s="1">
        <v>16911.437999999998</v>
      </c>
      <c r="C15" s="70">
        <f t="shared" si="1"/>
        <v>8.672999999998865</v>
      </c>
      <c r="D15" s="50">
        <f t="shared" si="2"/>
        <v>16478.699999997843</v>
      </c>
      <c r="E15" s="1">
        <v>2695.241</v>
      </c>
      <c r="F15" s="70">
        <f t="shared" si="0"/>
        <v>2.2599999999997635</v>
      </c>
      <c r="G15" s="50">
        <f t="shared" si="3"/>
        <v>4293.9999999995498</v>
      </c>
      <c r="H15" s="1">
        <v>227</v>
      </c>
      <c r="I15" s="70">
        <f t="shared" si="4"/>
        <v>5</v>
      </c>
      <c r="J15" s="50">
        <f t="shared" si="5"/>
        <v>9500</v>
      </c>
      <c r="K15" s="7">
        <v>12881.51</v>
      </c>
      <c r="L15" s="70">
        <f t="shared" si="6"/>
        <v>0.46000000000094587</v>
      </c>
      <c r="M15" s="50">
        <f t="shared" si="7"/>
        <v>874.00000000179716</v>
      </c>
      <c r="N15" s="7">
        <v>2295.2060000000001</v>
      </c>
      <c r="O15" s="70">
        <f t="shared" si="8"/>
        <v>2.2890000000002146</v>
      </c>
      <c r="P15" s="50">
        <f t="shared" si="9"/>
        <v>4349.1000000004078</v>
      </c>
      <c r="Q15" s="7">
        <v>4318.6099999999997</v>
      </c>
      <c r="R15" s="70">
        <f t="shared" si="10"/>
        <v>1.7199999999993452</v>
      </c>
      <c r="S15" s="50">
        <f t="shared" si="11"/>
        <v>3267.9999999987554</v>
      </c>
      <c r="T15" s="8">
        <f t="shared" si="12"/>
        <v>20.401999999999134</v>
      </c>
      <c r="U15" s="54">
        <f t="shared" si="13"/>
        <v>38763.799999998359</v>
      </c>
      <c r="W15" t="s">
        <v>13</v>
      </c>
    </row>
    <row r="16" spans="1:25" ht="21" thickBot="1" x14ac:dyDescent="0.25">
      <c r="A16" s="9">
        <v>43783</v>
      </c>
      <c r="B16" s="1">
        <v>16918.670999999998</v>
      </c>
      <c r="C16" s="70">
        <f t="shared" si="1"/>
        <v>7.2330000000001746</v>
      </c>
      <c r="D16" s="50">
        <f t="shared" si="2"/>
        <v>13742.700000000332</v>
      </c>
      <c r="E16" s="1">
        <v>2696.9670000000001</v>
      </c>
      <c r="F16" s="70">
        <f t="shared" si="0"/>
        <v>1.7260000000001128</v>
      </c>
      <c r="G16" s="50">
        <f t="shared" si="3"/>
        <v>3279.4000000002138</v>
      </c>
      <c r="H16" s="1">
        <v>230</v>
      </c>
      <c r="I16" s="70">
        <f t="shared" si="4"/>
        <v>3</v>
      </c>
      <c r="J16" s="50">
        <f t="shared" si="5"/>
        <v>5699.9999999999991</v>
      </c>
      <c r="K16" s="7">
        <v>12881.89</v>
      </c>
      <c r="L16" s="70">
        <f t="shared" si="6"/>
        <v>0.37999999999919964</v>
      </c>
      <c r="M16" s="50">
        <f t="shared" si="7"/>
        <v>721.99999999847932</v>
      </c>
      <c r="N16" s="7">
        <v>2297.1260000000002</v>
      </c>
      <c r="O16" s="70">
        <f t="shared" si="8"/>
        <v>1.9200000000000728</v>
      </c>
      <c r="P16" s="50">
        <f t="shared" si="9"/>
        <v>3648.0000000001382</v>
      </c>
      <c r="Q16" s="7">
        <v>4321</v>
      </c>
      <c r="R16" s="70">
        <f t="shared" si="10"/>
        <v>2.3900000000003274</v>
      </c>
      <c r="S16" s="50">
        <f t="shared" si="11"/>
        <v>4541.0000000006221</v>
      </c>
      <c r="T16" s="8">
        <f t="shared" si="12"/>
        <v>16.648999999999887</v>
      </c>
      <c r="U16" s="54">
        <f t="shared" si="13"/>
        <v>31633.099999999788</v>
      </c>
      <c r="Y16" t="s">
        <v>13</v>
      </c>
    </row>
    <row r="17" spans="1:24" ht="21" thickBot="1" x14ac:dyDescent="0.25">
      <c r="A17" s="9">
        <v>43784</v>
      </c>
      <c r="B17" s="1">
        <v>16928.64</v>
      </c>
      <c r="C17" s="70">
        <f t="shared" si="1"/>
        <v>9.9690000000009604</v>
      </c>
      <c r="D17" s="50">
        <f t="shared" si="2"/>
        <v>18941.100000001825</v>
      </c>
      <c r="E17" s="1">
        <v>2698.6880000000001</v>
      </c>
      <c r="F17" s="70">
        <f t="shared" si="0"/>
        <v>1.7210000000000036</v>
      </c>
      <c r="G17" s="50">
        <f t="shared" si="3"/>
        <v>3269.9000000000069</v>
      </c>
      <c r="H17" s="1">
        <v>234</v>
      </c>
      <c r="I17" s="70">
        <f t="shared" si="4"/>
        <v>4</v>
      </c>
      <c r="J17" s="50">
        <f t="shared" si="5"/>
        <v>7600</v>
      </c>
      <c r="K17" s="7">
        <v>12882.4</v>
      </c>
      <c r="L17" s="70">
        <f t="shared" si="6"/>
        <v>0.51000000000021828</v>
      </c>
      <c r="M17" s="50">
        <f t="shared" si="7"/>
        <v>969.00000000041462</v>
      </c>
      <c r="N17" s="7">
        <v>2299.8000000000002</v>
      </c>
      <c r="O17" s="70">
        <f t="shared" si="8"/>
        <v>2.6739999999999782</v>
      </c>
      <c r="P17" s="50">
        <f t="shared" si="9"/>
        <v>5080.5999999999585</v>
      </c>
      <c r="Q17" s="7">
        <v>4322.0200000000004</v>
      </c>
      <c r="R17" s="70">
        <f t="shared" si="10"/>
        <v>1.0200000000004366</v>
      </c>
      <c r="S17" s="50">
        <f t="shared" si="11"/>
        <v>1938.0000000008292</v>
      </c>
      <c r="T17" s="8">
        <f t="shared" si="12"/>
        <v>19.894000000001597</v>
      </c>
      <c r="U17" s="54">
        <f t="shared" si="13"/>
        <v>37798.600000003033</v>
      </c>
    </row>
    <row r="18" spans="1:24" ht="21" thickBot="1" x14ac:dyDescent="0.25">
      <c r="A18" s="9">
        <v>43785</v>
      </c>
      <c r="B18" s="1">
        <v>16935.509999999998</v>
      </c>
      <c r="C18" s="70">
        <f t="shared" si="1"/>
        <v>6.8699999999989814</v>
      </c>
      <c r="D18" s="50">
        <f t="shared" si="2"/>
        <v>13052.999999998065</v>
      </c>
      <c r="E18" s="1">
        <v>2699.538</v>
      </c>
      <c r="F18" s="70">
        <f t="shared" si="0"/>
        <v>0.84999999999990905</v>
      </c>
      <c r="G18" s="50">
        <f t="shared" si="3"/>
        <v>1614.999999999827</v>
      </c>
      <c r="H18" s="1">
        <v>237</v>
      </c>
      <c r="I18" s="70">
        <f t="shared" si="4"/>
        <v>3</v>
      </c>
      <c r="J18" s="50">
        <f t="shared" si="5"/>
        <v>5699.9999999999991</v>
      </c>
      <c r="K18" s="7">
        <v>12882.7</v>
      </c>
      <c r="L18" s="70">
        <f t="shared" si="6"/>
        <v>0.30000000000109139</v>
      </c>
      <c r="M18" s="50">
        <f t="shared" si="7"/>
        <v>570.00000000207365</v>
      </c>
      <c r="N18" s="7">
        <v>2301.6</v>
      </c>
      <c r="O18" s="70">
        <f t="shared" si="8"/>
        <v>1.7999999999997272</v>
      </c>
      <c r="P18" s="50">
        <f t="shared" si="9"/>
        <v>3419.9999999994811</v>
      </c>
      <c r="Q18" s="7">
        <v>4322.8</v>
      </c>
      <c r="R18" s="70">
        <f t="shared" si="10"/>
        <v>0.77999999999974534</v>
      </c>
      <c r="S18" s="50">
        <f t="shared" si="11"/>
        <v>1481.9999999995161</v>
      </c>
      <c r="T18" s="8">
        <f t="shared" si="12"/>
        <v>13.599999999999454</v>
      </c>
      <c r="U18" s="54">
        <f t="shared" si="13"/>
        <v>25839.999999998963</v>
      </c>
    </row>
    <row r="19" spans="1:24" ht="21" thickBot="1" x14ac:dyDescent="0.25">
      <c r="A19" s="9">
        <v>43786</v>
      </c>
      <c r="B19" s="1">
        <v>16942.918000000001</v>
      </c>
      <c r="C19" s="70">
        <f t="shared" si="1"/>
        <v>7.408000000003085</v>
      </c>
      <c r="D19" s="50">
        <f t="shared" si="2"/>
        <v>14075.200000005862</v>
      </c>
      <c r="E19" s="1">
        <v>2701.096</v>
      </c>
      <c r="F19" s="70">
        <f t="shared" si="0"/>
        <v>1.5579999999999927</v>
      </c>
      <c r="G19" s="50">
        <f t="shared" si="3"/>
        <v>2960.1999999999862</v>
      </c>
      <c r="H19" s="1">
        <v>240</v>
      </c>
      <c r="I19" s="70">
        <f t="shared" si="4"/>
        <v>3</v>
      </c>
      <c r="J19" s="50">
        <f t="shared" si="5"/>
        <v>5699.9999999999991</v>
      </c>
      <c r="K19" s="7">
        <v>12883.24</v>
      </c>
      <c r="L19" s="70">
        <f t="shared" si="6"/>
        <v>0.53999999999905413</v>
      </c>
      <c r="M19" s="50">
        <f t="shared" si="7"/>
        <v>1025.9999999982028</v>
      </c>
      <c r="N19" s="7">
        <v>2303.5569999999998</v>
      </c>
      <c r="O19" s="70">
        <f t="shared" si="8"/>
        <v>1.9569999999998799</v>
      </c>
      <c r="P19" s="50">
        <f t="shared" si="9"/>
        <v>3718.2999999997719</v>
      </c>
      <c r="Q19" s="7">
        <v>4323.93</v>
      </c>
      <c r="R19" s="70">
        <f t="shared" si="10"/>
        <v>1.1300000000001091</v>
      </c>
      <c r="S19" s="50">
        <f t="shared" si="11"/>
        <v>2147.0000000002074</v>
      </c>
      <c r="T19" s="8">
        <f t="shared" si="12"/>
        <v>15.593000000002121</v>
      </c>
      <c r="U19" s="54">
        <f t="shared" si="13"/>
        <v>29626.700000004028</v>
      </c>
    </row>
    <row r="20" spans="1:24" ht="21" thickBot="1" x14ac:dyDescent="0.25">
      <c r="A20" s="9">
        <v>43787</v>
      </c>
      <c r="B20" s="1">
        <v>16950.810000000001</v>
      </c>
      <c r="C20" s="70">
        <f t="shared" si="1"/>
        <v>7.8919999999998254</v>
      </c>
      <c r="D20" s="50">
        <f t="shared" si="2"/>
        <v>14994.799999999668</v>
      </c>
      <c r="E20" s="1">
        <v>2703.2829999999999</v>
      </c>
      <c r="F20" s="70">
        <f t="shared" si="0"/>
        <v>2.1869999999998981</v>
      </c>
      <c r="G20" s="50">
        <f t="shared" si="3"/>
        <v>4155.2999999998056</v>
      </c>
      <c r="H20" s="1">
        <v>244</v>
      </c>
      <c r="I20" s="70">
        <f t="shared" si="4"/>
        <v>4</v>
      </c>
      <c r="J20" s="50">
        <f t="shared" si="5"/>
        <v>7600</v>
      </c>
      <c r="K20" s="7">
        <v>12883.71</v>
      </c>
      <c r="L20" s="70">
        <f t="shared" si="6"/>
        <v>0.46999999999934516</v>
      </c>
      <c r="M20" s="50">
        <f t="shared" si="7"/>
        <v>892.99999999875581</v>
      </c>
      <c r="N20" s="7">
        <v>2305.835</v>
      </c>
      <c r="O20" s="70">
        <f t="shared" si="8"/>
        <v>2.2780000000002474</v>
      </c>
      <c r="P20" s="50">
        <f t="shared" si="9"/>
        <v>4328.20000000047</v>
      </c>
      <c r="Q20" s="7">
        <v>4325</v>
      </c>
      <c r="R20" s="70">
        <f t="shared" si="10"/>
        <v>1.069999999999709</v>
      </c>
      <c r="S20" s="50">
        <f t="shared" si="11"/>
        <v>2032.999999999447</v>
      </c>
      <c r="T20" s="8">
        <f t="shared" si="12"/>
        <v>17.896999999999025</v>
      </c>
      <c r="U20" s="54">
        <f t="shared" si="13"/>
        <v>34004.299999998148</v>
      </c>
      <c r="X20" t="s">
        <v>13</v>
      </c>
    </row>
    <row r="21" spans="1:24" ht="21" thickBot="1" x14ac:dyDescent="0.25">
      <c r="A21" s="9">
        <v>43788</v>
      </c>
      <c r="B21" s="1">
        <v>16957</v>
      </c>
      <c r="C21" s="70">
        <f t="shared" si="1"/>
        <v>6.1899999999986903</v>
      </c>
      <c r="D21" s="50">
        <f t="shared" si="2"/>
        <v>11760.99999999751</v>
      </c>
      <c r="E21" s="1">
        <v>2705</v>
      </c>
      <c r="F21" s="70">
        <f t="shared" si="0"/>
        <v>1.7170000000000982</v>
      </c>
      <c r="G21" s="50">
        <f t="shared" si="3"/>
        <v>3262.3000000001862</v>
      </c>
      <c r="H21" s="1">
        <v>247</v>
      </c>
      <c r="I21" s="70">
        <f t="shared" si="4"/>
        <v>3</v>
      </c>
      <c r="J21" s="50">
        <f t="shared" si="5"/>
        <v>5699.9999999999991</v>
      </c>
      <c r="K21" s="7">
        <v>12884</v>
      </c>
      <c r="L21" s="70">
        <f t="shared" si="6"/>
        <v>0.29000000000087311</v>
      </c>
      <c r="M21" s="50">
        <f t="shared" si="7"/>
        <v>551.00000000165892</v>
      </c>
      <c r="N21" s="7">
        <v>2308</v>
      </c>
      <c r="O21" s="70">
        <f t="shared" si="8"/>
        <v>2.1649999999999636</v>
      </c>
      <c r="P21" s="50">
        <f t="shared" si="9"/>
        <v>4113.4999999999309</v>
      </c>
      <c r="Q21" s="7">
        <v>4326</v>
      </c>
      <c r="R21" s="70">
        <f t="shared" si="10"/>
        <v>1</v>
      </c>
      <c r="S21" s="50">
        <f t="shared" si="11"/>
        <v>1900</v>
      </c>
      <c r="T21" s="8">
        <f t="shared" si="12"/>
        <v>14.361999999999625</v>
      </c>
      <c r="U21" s="54">
        <f t="shared" si="13"/>
        <v>27287.799999999286</v>
      </c>
    </row>
    <row r="22" spans="1:24" ht="21" thickBot="1" x14ac:dyDescent="0.25">
      <c r="A22" s="9">
        <v>43789</v>
      </c>
      <c r="B22" s="1">
        <v>16961.8</v>
      </c>
      <c r="C22" s="70">
        <f t="shared" si="1"/>
        <v>4.7999999999992724</v>
      </c>
      <c r="D22" s="50">
        <f t="shared" si="2"/>
        <v>9119.9999999986176</v>
      </c>
      <c r="E22" s="1">
        <v>2706.3</v>
      </c>
      <c r="F22" s="70">
        <f t="shared" si="0"/>
        <v>1.3000000000001819</v>
      </c>
      <c r="G22" s="50">
        <f t="shared" si="3"/>
        <v>2470.0000000003456</v>
      </c>
      <c r="H22" s="1">
        <v>250</v>
      </c>
      <c r="I22" s="70">
        <f t="shared" si="4"/>
        <v>3</v>
      </c>
      <c r="J22" s="50">
        <f t="shared" si="5"/>
        <v>5699.9999999999991</v>
      </c>
      <c r="K22" s="7">
        <v>12884.6</v>
      </c>
      <c r="L22" s="70">
        <f t="shared" si="6"/>
        <v>0.6000000000003638</v>
      </c>
      <c r="M22" s="50">
        <f t="shared" si="7"/>
        <v>1140.0000000006912</v>
      </c>
      <c r="N22" s="7">
        <v>2309.75</v>
      </c>
      <c r="O22" s="70">
        <f t="shared" si="8"/>
        <v>1.75</v>
      </c>
      <c r="P22" s="50">
        <f t="shared" si="9"/>
        <v>3324.9999999999995</v>
      </c>
      <c r="Q22" s="7">
        <v>4326.3999999999996</v>
      </c>
      <c r="R22" s="70">
        <f t="shared" si="10"/>
        <v>0.3999999999996362</v>
      </c>
      <c r="S22" s="50">
        <f t="shared" si="11"/>
        <v>759.99999999930878</v>
      </c>
      <c r="T22" s="8">
        <f t="shared" si="12"/>
        <v>11.849999999999454</v>
      </c>
      <c r="U22" s="54">
        <f t="shared" si="13"/>
        <v>22514.999999998963</v>
      </c>
    </row>
    <row r="23" spans="1:24" ht="21" thickBot="1" x14ac:dyDescent="0.25">
      <c r="A23" s="9">
        <v>43790</v>
      </c>
      <c r="B23" s="1">
        <v>16967.3</v>
      </c>
      <c r="C23" s="70">
        <f t="shared" si="1"/>
        <v>5.5</v>
      </c>
      <c r="D23" s="50">
        <f t="shared" si="2"/>
        <v>10450</v>
      </c>
      <c r="E23" s="1">
        <v>2707.69</v>
      </c>
      <c r="F23" s="70">
        <f t="shared" si="0"/>
        <v>1.3899999999998727</v>
      </c>
      <c r="G23" s="50">
        <f t="shared" si="3"/>
        <v>2640.9999999997581</v>
      </c>
      <c r="H23" s="1">
        <v>253</v>
      </c>
      <c r="I23" s="70">
        <f t="shared" si="4"/>
        <v>3</v>
      </c>
      <c r="J23" s="50">
        <f t="shared" si="5"/>
        <v>5699.9999999999991</v>
      </c>
      <c r="K23" s="7">
        <v>12885.4</v>
      </c>
      <c r="L23" s="70">
        <f t="shared" si="6"/>
        <v>0.7999999999992724</v>
      </c>
      <c r="M23" s="50">
        <f t="shared" si="7"/>
        <v>1519.9999999986176</v>
      </c>
      <c r="N23" s="7">
        <v>2311.6</v>
      </c>
      <c r="O23" s="70">
        <f t="shared" si="8"/>
        <v>1.8499999999999091</v>
      </c>
      <c r="P23" s="50">
        <f t="shared" si="9"/>
        <v>3514.9999999998267</v>
      </c>
      <c r="Q23" s="7">
        <v>4326.3999999999996</v>
      </c>
      <c r="R23" s="70">
        <f t="shared" si="10"/>
        <v>0</v>
      </c>
      <c r="S23" s="50">
        <f t="shared" si="11"/>
        <v>0</v>
      </c>
      <c r="T23" s="8">
        <f t="shared" si="12"/>
        <v>12.539999999999054</v>
      </c>
      <c r="U23" s="54">
        <f t="shared" si="13"/>
        <v>23825.999999998203</v>
      </c>
    </row>
    <row r="24" spans="1:24" ht="21" thickBot="1" x14ac:dyDescent="0.25">
      <c r="A24" s="9">
        <v>43791</v>
      </c>
      <c r="B24" s="1">
        <v>16972.3</v>
      </c>
      <c r="C24" s="70">
        <f t="shared" si="1"/>
        <v>5</v>
      </c>
      <c r="D24" s="50">
        <f t="shared" si="2"/>
        <v>9500</v>
      </c>
      <c r="E24" s="1">
        <v>2708.36</v>
      </c>
      <c r="F24" s="70">
        <f t="shared" si="0"/>
        <v>0.67000000000007276</v>
      </c>
      <c r="G24" s="50">
        <f t="shared" si="3"/>
        <v>1273.0000000001382</v>
      </c>
      <c r="H24" s="1">
        <v>255</v>
      </c>
      <c r="I24" s="70">
        <f t="shared" si="4"/>
        <v>2</v>
      </c>
      <c r="J24" s="50">
        <f t="shared" si="5"/>
        <v>3800</v>
      </c>
      <c r="K24" s="7">
        <v>12886</v>
      </c>
      <c r="L24" s="70">
        <f t="shared" si="6"/>
        <v>0.6000000000003638</v>
      </c>
      <c r="M24" s="50">
        <f t="shared" si="7"/>
        <v>1140.0000000006912</v>
      </c>
      <c r="N24" s="7">
        <v>2313</v>
      </c>
      <c r="O24" s="70">
        <f t="shared" si="8"/>
        <v>1.4000000000000909</v>
      </c>
      <c r="P24" s="50">
        <f t="shared" si="9"/>
        <v>2660.0000000001728</v>
      </c>
      <c r="Q24" s="7">
        <v>4326.3999999999996</v>
      </c>
      <c r="R24" s="70">
        <f t="shared" si="10"/>
        <v>0</v>
      </c>
      <c r="S24" s="50">
        <f t="shared" si="11"/>
        <v>0</v>
      </c>
      <c r="T24" s="8">
        <f t="shared" si="12"/>
        <v>9.6700000000005275</v>
      </c>
      <c r="U24" s="54">
        <f t="shared" si="13"/>
        <v>18373.000000001004</v>
      </c>
    </row>
    <row r="25" spans="1:24" ht="21" thickBot="1" x14ac:dyDescent="0.25">
      <c r="A25" s="9">
        <v>43792</v>
      </c>
      <c r="B25" s="1">
        <v>16977.95</v>
      </c>
      <c r="C25" s="70">
        <f t="shared" si="1"/>
        <v>5.6500000000014552</v>
      </c>
      <c r="D25" s="50">
        <f t="shared" si="2"/>
        <v>10735.000000002765</v>
      </c>
      <c r="E25" s="1">
        <v>2708.98</v>
      </c>
      <c r="F25" s="70">
        <f t="shared" si="0"/>
        <v>0.61999999999989086</v>
      </c>
      <c r="G25" s="50">
        <f t="shared" si="3"/>
        <v>1177.9999999997926</v>
      </c>
      <c r="H25" s="1">
        <v>258</v>
      </c>
      <c r="I25" s="70">
        <f t="shared" si="4"/>
        <v>3</v>
      </c>
      <c r="J25" s="50">
        <f t="shared" si="5"/>
        <v>5699.9999999999991</v>
      </c>
      <c r="K25" s="7">
        <v>12886.6</v>
      </c>
      <c r="L25" s="70">
        <f t="shared" si="6"/>
        <v>0.6000000000003638</v>
      </c>
      <c r="M25" s="50">
        <f t="shared" si="7"/>
        <v>1140.0000000006912</v>
      </c>
      <c r="N25" s="7">
        <v>2314</v>
      </c>
      <c r="O25" s="70">
        <f t="shared" si="8"/>
        <v>1</v>
      </c>
      <c r="P25" s="50">
        <f t="shared" si="9"/>
        <v>1900</v>
      </c>
      <c r="Q25" s="7">
        <v>4326.3900000000003</v>
      </c>
      <c r="R25" s="70" t="str">
        <f t="shared" si="10"/>
        <v>0</v>
      </c>
      <c r="S25" s="50">
        <f t="shared" si="11"/>
        <v>0</v>
      </c>
      <c r="T25" s="8">
        <f t="shared" si="12"/>
        <v>10.87000000000171</v>
      </c>
      <c r="U25" s="54">
        <f t="shared" si="13"/>
        <v>20653.000000003249</v>
      </c>
    </row>
    <row r="26" spans="1:24" ht="21" thickBot="1" x14ac:dyDescent="0.25">
      <c r="A26" s="9">
        <v>43793</v>
      </c>
      <c r="B26" s="1">
        <v>16984.77</v>
      </c>
      <c r="C26" s="70">
        <f t="shared" si="1"/>
        <v>6.819999999999709</v>
      </c>
      <c r="D26" s="50">
        <f t="shared" si="2"/>
        <v>12957.999999999445</v>
      </c>
      <c r="E26" s="1">
        <v>2710.5</v>
      </c>
      <c r="F26" s="70">
        <f t="shared" si="0"/>
        <v>1.5199999999999818</v>
      </c>
      <c r="G26" s="50">
        <f t="shared" si="3"/>
        <v>2887.9999999999654</v>
      </c>
      <c r="H26" s="1">
        <v>262</v>
      </c>
      <c r="I26" s="70">
        <f t="shared" si="4"/>
        <v>4</v>
      </c>
      <c r="J26" s="50">
        <f t="shared" si="5"/>
        <v>7600</v>
      </c>
      <c r="K26" s="7">
        <v>12887.3</v>
      </c>
      <c r="L26" s="70">
        <f t="shared" si="6"/>
        <v>0.69999999999890861</v>
      </c>
      <c r="M26" s="50">
        <f t="shared" si="7"/>
        <v>1329.9999999979264</v>
      </c>
      <c r="N26" s="7">
        <v>2316</v>
      </c>
      <c r="O26" s="70">
        <f t="shared" si="8"/>
        <v>2</v>
      </c>
      <c r="P26" s="50">
        <f t="shared" si="9"/>
        <v>3800</v>
      </c>
      <c r="Q26" s="7">
        <v>4326.3900000000003</v>
      </c>
      <c r="R26" s="70">
        <f t="shared" si="10"/>
        <v>0</v>
      </c>
      <c r="S26" s="50">
        <f t="shared" si="11"/>
        <v>0</v>
      </c>
      <c r="T26" s="8">
        <f t="shared" si="12"/>
        <v>15.039999999998599</v>
      </c>
      <c r="U26" s="54">
        <f t="shared" si="13"/>
        <v>28575.999999997337</v>
      </c>
      <c r="V26" t="s">
        <v>13</v>
      </c>
    </row>
    <row r="27" spans="1:24" ht="21" thickBot="1" x14ac:dyDescent="0.25">
      <c r="A27" s="9">
        <v>43794</v>
      </c>
      <c r="B27" s="1">
        <v>16993.234</v>
      </c>
      <c r="C27" s="70">
        <f t="shared" si="1"/>
        <v>8.4639999999999418</v>
      </c>
      <c r="D27" s="50">
        <f t="shared" si="2"/>
        <v>16081.599999999888</v>
      </c>
      <c r="E27" s="1">
        <v>2712.4650000000001</v>
      </c>
      <c r="F27" s="70">
        <f t="shared" si="0"/>
        <v>1.9650000000001455</v>
      </c>
      <c r="G27" s="50">
        <f t="shared" si="3"/>
        <v>3733.5000000002765</v>
      </c>
      <c r="H27" s="1">
        <v>266</v>
      </c>
      <c r="I27" s="70">
        <f t="shared" si="4"/>
        <v>4</v>
      </c>
      <c r="J27" s="50">
        <f t="shared" si="5"/>
        <v>7600</v>
      </c>
      <c r="K27" s="7">
        <v>12887.3</v>
      </c>
      <c r="L27" s="70">
        <f t="shared" si="6"/>
        <v>0</v>
      </c>
      <c r="M27" s="50">
        <f t="shared" si="7"/>
        <v>0</v>
      </c>
      <c r="N27" s="7">
        <v>2317.9540000000002</v>
      </c>
      <c r="O27" s="70">
        <f t="shared" si="8"/>
        <v>1.9540000000001783</v>
      </c>
      <c r="P27" s="50">
        <f t="shared" si="9"/>
        <v>3712.6000000003387</v>
      </c>
      <c r="Q27" s="7">
        <v>4326.4799999999996</v>
      </c>
      <c r="R27" s="70">
        <f t="shared" si="10"/>
        <v>8.9999999999236024E-2</v>
      </c>
      <c r="S27" s="50">
        <f t="shared" si="11"/>
        <v>170.99999999854845</v>
      </c>
      <c r="T27" s="8">
        <f t="shared" si="12"/>
        <v>16.472999999999502</v>
      </c>
      <c r="U27" s="54">
        <f t="shared" si="13"/>
        <v>31298.699999999051</v>
      </c>
      <c r="V27" t="s">
        <v>13</v>
      </c>
    </row>
    <row r="28" spans="1:24" ht="21" thickBot="1" x14ac:dyDescent="0.25">
      <c r="A28" s="9">
        <v>43795</v>
      </c>
      <c r="B28" s="1">
        <v>16998.412199999999</v>
      </c>
      <c r="C28" s="70">
        <f t="shared" si="1"/>
        <v>5.1781999999984691</v>
      </c>
      <c r="D28" s="50">
        <f t="shared" si="2"/>
        <v>9838.5799999970914</v>
      </c>
      <c r="E28" s="1">
        <v>2713.5349999999999</v>
      </c>
      <c r="F28" s="70">
        <f t="shared" si="0"/>
        <v>1.069999999999709</v>
      </c>
      <c r="G28" s="50">
        <f t="shared" si="3"/>
        <v>2032.999999999447</v>
      </c>
      <c r="H28" s="1">
        <v>270</v>
      </c>
      <c r="I28" s="70">
        <f t="shared" si="4"/>
        <v>4</v>
      </c>
      <c r="J28" s="50">
        <f t="shared" si="5"/>
        <v>7600</v>
      </c>
      <c r="K28" s="7">
        <v>12887.3</v>
      </c>
      <c r="L28" s="70">
        <f t="shared" si="6"/>
        <v>0</v>
      </c>
      <c r="M28" s="50">
        <f t="shared" si="7"/>
        <v>0</v>
      </c>
      <c r="N28" s="7">
        <v>2319.4540000000002</v>
      </c>
      <c r="O28" s="70">
        <f t="shared" si="8"/>
        <v>1.5</v>
      </c>
      <c r="P28" s="50">
        <f t="shared" si="9"/>
        <v>2849.9999999999995</v>
      </c>
      <c r="Q28" s="7">
        <v>4326.4459999999999</v>
      </c>
      <c r="R28" s="70" t="str">
        <f t="shared" si="10"/>
        <v>0</v>
      </c>
      <c r="S28" s="50">
        <f t="shared" si="11"/>
        <v>0</v>
      </c>
      <c r="T28" s="8">
        <f t="shared" si="12"/>
        <v>11.748199999998178</v>
      </c>
      <c r="U28" s="54">
        <f t="shared" si="13"/>
        <v>22321.579999996538</v>
      </c>
    </row>
    <row r="29" spans="1:24" ht="21" thickBot="1" x14ac:dyDescent="0.25">
      <c r="A29" s="9">
        <v>43796</v>
      </c>
      <c r="B29" s="1">
        <v>17004.846000000001</v>
      </c>
      <c r="C29" s="70">
        <f t="shared" si="1"/>
        <v>6.4338000000025204</v>
      </c>
      <c r="D29" s="50">
        <f t="shared" si="2"/>
        <v>12224.220000004789</v>
      </c>
      <c r="E29" s="1">
        <v>2714.9185000000002</v>
      </c>
      <c r="F29" s="70">
        <f t="shared" si="0"/>
        <v>1.3835000000003674</v>
      </c>
      <c r="G29" s="50">
        <f t="shared" si="3"/>
        <v>2628.6500000006981</v>
      </c>
      <c r="H29" s="1">
        <v>272</v>
      </c>
      <c r="I29" s="70">
        <f t="shared" si="4"/>
        <v>2</v>
      </c>
      <c r="J29" s="50">
        <f t="shared" si="5"/>
        <v>3800</v>
      </c>
      <c r="K29" s="7">
        <v>12887.3</v>
      </c>
      <c r="L29" s="70">
        <f t="shared" si="6"/>
        <v>0</v>
      </c>
      <c r="M29" s="50">
        <f t="shared" si="7"/>
        <v>0</v>
      </c>
      <c r="N29" s="7">
        <v>2321.1401999999998</v>
      </c>
      <c r="O29" s="70">
        <f t="shared" si="8"/>
        <v>1.6861999999996442</v>
      </c>
      <c r="P29" s="50">
        <f t="shared" si="9"/>
        <v>3203.7799999993235</v>
      </c>
      <c r="Q29" s="7">
        <v>4328</v>
      </c>
      <c r="R29" s="70">
        <f t="shared" si="10"/>
        <v>1.5540000000000873</v>
      </c>
      <c r="S29" s="50">
        <f t="shared" si="11"/>
        <v>2952.6000000001654</v>
      </c>
      <c r="T29" s="8">
        <f t="shared" si="12"/>
        <v>13.057500000002619</v>
      </c>
      <c r="U29" s="54">
        <f t="shared" si="13"/>
        <v>24809.250000004977</v>
      </c>
    </row>
    <row r="30" spans="1:24" ht="21" thickBot="1" x14ac:dyDescent="0.25">
      <c r="A30" s="9">
        <v>43797</v>
      </c>
      <c r="B30" s="1">
        <v>17011.2798</v>
      </c>
      <c r="C30" s="70">
        <f t="shared" si="1"/>
        <v>6.4337999999988824</v>
      </c>
      <c r="D30" s="50">
        <f t="shared" si="2"/>
        <v>12224.219999997877</v>
      </c>
      <c r="E30" s="1">
        <v>2716</v>
      </c>
      <c r="F30" s="70">
        <f t="shared" si="0"/>
        <v>1.0814999999997781</v>
      </c>
      <c r="G30" s="50">
        <f t="shared" si="3"/>
        <v>2054.8499999995784</v>
      </c>
      <c r="H30" s="1">
        <v>276</v>
      </c>
      <c r="I30" s="70">
        <f t="shared" si="4"/>
        <v>4</v>
      </c>
      <c r="J30" s="50">
        <f t="shared" si="5"/>
        <v>7600</v>
      </c>
      <c r="K30" s="7">
        <v>12887.3</v>
      </c>
      <c r="L30" s="70">
        <f t="shared" si="6"/>
        <v>0</v>
      </c>
      <c r="M30" s="50">
        <f t="shared" si="7"/>
        <v>0</v>
      </c>
      <c r="N30" s="7">
        <v>2322.8263999999999</v>
      </c>
      <c r="O30" s="70">
        <f t="shared" si="8"/>
        <v>1.686200000000099</v>
      </c>
      <c r="P30" s="50">
        <f t="shared" si="9"/>
        <v>3203.780000000188</v>
      </c>
      <c r="Q30" s="7">
        <v>4329.5</v>
      </c>
      <c r="R30" s="70">
        <f t="shared" si="10"/>
        <v>1.5</v>
      </c>
      <c r="S30" s="50">
        <f t="shared" si="11"/>
        <v>2849.9999999999995</v>
      </c>
      <c r="T30" s="8">
        <f t="shared" si="12"/>
        <v>14.701499999998759</v>
      </c>
      <c r="U30" s="54">
        <f t="shared" si="13"/>
        <v>27932.849999997641</v>
      </c>
    </row>
    <row r="31" spans="1:24" ht="21" thickBot="1" x14ac:dyDescent="0.25">
      <c r="A31" s="9">
        <v>43798</v>
      </c>
      <c r="B31" s="1">
        <v>17016</v>
      </c>
      <c r="C31" s="70">
        <f t="shared" si="1"/>
        <v>4.7201999999997497</v>
      </c>
      <c r="D31" s="50">
        <f t="shared" si="2"/>
        <v>8968.3799999995244</v>
      </c>
      <c r="E31" s="1">
        <v>2716.3</v>
      </c>
      <c r="F31" s="70">
        <f t="shared" si="0"/>
        <v>0.3000000000001819</v>
      </c>
      <c r="G31" s="50">
        <f t="shared" si="3"/>
        <v>570.00000000034561</v>
      </c>
      <c r="H31" s="1">
        <v>278</v>
      </c>
      <c r="I31" s="70">
        <f t="shared" si="4"/>
        <v>2</v>
      </c>
      <c r="J31" s="50">
        <f t="shared" si="5"/>
        <v>3800</v>
      </c>
      <c r="K31" s="7">
        <v>12887.5</v>
      </c>
      <c r="L31" s="70">
        <f t="shared" si="6"/>
        <v>0.2000000000007276</v>
      </c>
      <c r="M31" s="50">
        <f t="shared" si="7"/>
        <v>380.00000000138238</v>
      </c>
      <c r="N31" s="7">
        <v>2323.1999999999998</v>
      </c>
      <c r="O31" s="70">
        <f t="shared" si="8"/>
        <v>0.37359999999989668</v>
      </c>
      <c r="P31" s="50">
        <f t="shared" si="9"/>
        <v>709.83999999980358</v>
      </c>
      <c r="Q31" s="7">
        <v>4331.8</v>
      </c>
      <c r="R31" s="70">
        <f t="shared" si="10"/>
        <v>2.3000000000001819</v>
      </c>
      <c r="S31" s="50">
        <f t="shared" si="11"/>
        <v>4370.0000000003456</v>
      </c>
      <c r="T31" s="8">
        <f t="shared" si="12"/>
        <v>9.8938000000007378</v>
      </c>
      <c r="U31" s="54">
        <f t="shared" si="13"/>
        <v>18798.220000001402</v>
      </c>
    </row>
    <row r="32" spans="1:24" ht="21" thickBot="1" x14ac:dyDescent="0.25">
      <c r="A32" s="9">
        <v>43799</v>
      </c>
      <c r="B32" s="1">
        <v>17022</v>
      </c>
      <c r="C32" s="70">
        <f t="shared" si="1"/>
        <v>6</v>
      </c>
      <c r="D32" s="50">
        <f>C32*1.9*1000</f>
        <v>11399.999999999998</v>
      </c>
      <c r="E32" s="1">
        <v>2717.6</v>
      </c>
      <c r="F32" s="70">
        <f t="shared" si="0"/>
        <v>1.2999999999997272</v>
      </c>
      <c r="G32" s="50">
        <f>F32*1.9*1000</f>
        <v>2469.9999999994816</v>
      </c>
      <c r="H32" s="1">
        <v>282</v>
      </c>
      <c r="I32" s="70">
        <f t="shared" si="4"/>
        <v>4</v>
      </c>
      <c r="J32" s="50">
        <f>I32*1.9*1000</f>
        <v>7600</v>
      </c>
      <c r="K32" s="7">
        <v>12887.56</v>
      </c>
      <c r="L32" s="70">
        <f t="shared" si="6"/>
        <v>5.9999999999490683E-2</v>
      </c>
      <c r="M32" s="50">
        <f>L32*1.9*1000</f>
        <v>113.9999999990323</v>
      </c>
      <c r="N32" s="7">
        <v>2324.6</v>
      </c>
      <c r="O32" s="70">
        <f t="shared" si="8"/>
        <v>1.4000000000000909</v>
      </c>
      <c r="P32" s="50">
        <f>O32*1.9*1000</f>
        <v>2660.0000000001728</v>
      </c>
      <c r="Q32" s="7">
        <v>4332.5</v>
      </c>
      <c r="R32" s="70">
        <f t="shared" si="10"/>
        <v>0.6999999999998181</v>
      </c>
      <c r="S32" s="50">
        <f>R32*1.9*1000</f>
        <v>1329.9999999996544</v>
      </c>
      <c r="T32" s="8">
        <f>C32+F32+I32+L32+O32+R32</f>
        <v>13.459999999999127</v>
      </c>
      <c r="U32" s="54">
        <f>T32*1.9*1000</f>
        <v>25573.999999998337</v>
      </c>
    </row>
    <row r="33" spans="1:21" ht="21" thickBot="1" x14ac:dyDescent="0.25">
      <c r="A33" s="9"/>
      <c r="B33" s="1">
        <f>B32</f>
        <v>17022</v>
      </c>
      <c r="C33" s="70">
        <f t="shared" si="1"/>
        <v>0</v>
      </c>
      <c r="D33" s="50">
        <f>C33*1.9*1000</f>
        <v>0</v>
      </c>
      <c r="E33" s="1">
        <f>E32</f>
        <v>2717.6</v>
      </c>
      <c r="F33" s="70">
        <f t="shared" si="0"/>
        <v>0</v>
      </c>
      <c r="G33" s="50">
        <f>F33*1.9*1000</f>
        <v>0</v>
      </c>
      <c r="H33" s="1">
        <f>H32</f>
        <v>282</v>
      </c>
      <c r="I33" s="70">
        <f t="shared" si="4"/>
        <v>0</v>
      </c>
      <c r="J33" s="50">
        <f>I33*1.9*1000</f>
        <v>0</v>
      </c>
      <c r="K33" s="7">
        <f>K32</f>
        <v>12887.56</v>
      </c>
      <c r="L33" s="70">
        <f t="shared" si="6"/>
        <v>0</v>
      </c>
      <c r="M33" s="50">
        <f>L33*1.9*1000</f>
        <v>0</v>
      </c>
      <c r="N33" s="7">
        <f>N32</f>
        <v>2324.6</v>
      </c>
      <c r="O33" s="70">
        <f t="shared" si="8"/>
        <v>0</v>
      </c>
      <c r="P33" s="50">
        <f>O33*1.9*1000</f>
        <v>0</v>
      </c>
      <c r="Q33" s="7">
        <f>Q32</f>
        <v>4332.5</v>
      </c>
      <c r="R33" s="70">
        <f t="shared" si="10"/>
        <v>0</v>
      </c>
      <c r="S33" s="50">
        <f>R33*1.9*1000</f>
        <v>0</v>
      </c>
      <c r="T33" s="8">
        <f>C33+F33+I33+L33+O33+R33</f>
        <v>0</v>
      </c>
      <c r="U33" s="54">
        <f>T33*1.9*1000</f>
        <v>0</v>
      </c>
    </row>
    <row r="34" spans="1:21" ht="16.5" thickBot="1" x14ac:dyDescent="0.3">
      <c r="A34" s="10"/>
      <c r="B34" s="1"/>
      <c r="C34" s="71">
        <f>SUM(C3:C33)</f>
        <v>219.20000000000073</v>
      </c>
      <c r="D34" s="51">
        <f>SUM(D3:D33)</f>
        <v>416480.00000000128</v>
      </c>
      <c r="E34" s="1"/>
      <c r="F34" s="71">
        <f>SUM(F3:F33)</f>
        <v>46.599999999999909</v>
      </c>
      <c r="G34" s="51">
        <f>SUM(G2:G33)</f>
        <v>88539.999999999825</v>
      </c>
      <c r="H34" s="1"/>
      <c r="I34" s="71">
        <f>SUM(I3:I33)</f>
        <v>106</v>
      </c>
      <c r="J34" s="51">
        <f>SUM(J2:J33)</f>
        <v>201400</v>
      </c>
      <c r="K34" s="7"/>
      <c r="L34" s="71">
        <f>SUM(L3:L33)</f>
        <v>12.559999999999491</v>
      </c>
      <c r="M34" s="51">
        <f>SUM(M2:M33)</f>
        <v>23863.999999999032</v>
      </c>
      <c r="N34" s="7"/>
      <c r="O34" s="71">
        <f>SUM(O3:O33)</f>
        <v>58</v>
      </c>
      <c r="P34" s="51">
        <f>SUM(P2:P33)</f>
        <v>110200</v>
      </c>
      <c r="Q34" s="7"/>
      <c r="R34" s="71">
        <f>SUM(R3:R33)</f>
        <v>34.643999999999323</v>
      </c>
      <c r="S34" s="51">
        <f>SUM(S2:S33)</f>
        <v>65823.599999998711</v>
      </c>
      <c r="T34" s="12">
        <f>SUM(T2:T33)</f>
        <v>477.00399999999945</v>
      </c>
      <c r="U34" s="55">
        <f>SUM(U3:U33)</f>
        <v>906307.59999999905</v>
      </c>
    </row>
    <row r="39" spans="1:21" x14ac:dyDescent="0.2">
      <c r="R39" s="61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Q7" sqref="Q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4.5703125" bestFit="1" customWidth="1"/>
  </cols>
  <sheetData>
    <row r="1" spans="1:11" ht="24" thickBot="1" x14ac:dyDescent="0.25">
      <c r="A1" s="177" t="s">
        <v>144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30"/>
      <c r="B2" s="131" t="s">
        <v>100</v>
      </c>
      <c r="C2" s="132">
        <f>K8+K9+K14</f>
        <v>572860</v>
      </c>
      <c r="D2" s="132">
        <f>C2*1.27</f>
        <v>727532.2</v>
      </c>
      <c r="E2" s="133"/>
      <c r="F2" s="130"/>
      <c r="G2" s="130"/>
      <c r="H2" s="134" t="s">
        <v>101</v>
      </c>
      <c r="I2" s="135"/>
      <c r="J2" s="135"/>
      <c r="K2" s="135"/>
    </row>
    <row r="3" spans="1:11" ht="13.5" thickBot="1" x14ac:dyDescent="0.25">
      <c r="A3" s="130"/>
      <c r="B3" s="130"/>
      <c r="C3" s="130"/>
      <c r="D3" s="130"/>
      <c r="E3" s="130"/>
      <c r="F3" s="130"/>
      <c r="G3" s="130"/>
      <c r="H3" s="136" t="s">
        <v>102</v>
      </c>
      <c r="I3" s="137">
        <f>ELECT.!E3</f>
        <v>19737593</v>
      </c>
      <c r="J3" s="137">
        <f>ELECT.!E34</f>
        <v>20117285</v>
      </c>
      <c r="K3" s="127">
        <f>J3-I3</f>
        <v>379692</v>
      </c>
    </row>
    <row r="4" spans="1:11" ht="13.5" thickBot="1" x14ac:dyDescent="0.25">
      <c r="A4" s="130"/>
      <c r="B4" s="138" t="s">
        <v>103</v>
      </c>
      <c r="C4" s="139" t="s">
        <v>104</v>
      </c>
      <c r="D4" s="139" t="s">
        <v>105</v>
      </c>
      <c r="E4" s="139"/>
      <c r="F4" s="130"/>
      <c r="G4" s="130"/>
      <c r="H4" s="136" t="s">
        <v>106</v>
      </c>
      <c r="I4" s="137">
        <f>ELECT.!G3</f>
        <v>56370688</v>
      </c>
      <c r="J4" s="137">
        <f>ELECT.!G34</f>
        <v>58009635</v>
      </c>
      <c r="K4" s="127">
        <f>J4-I4</f>
        <v>1638947</v>
      </c>
    </row>
    <row r="5" spans="1:11" ht="13.5" thickBot="1" x14ac:dyDescent="0.25">
      <c r="A5" s="130"/>
      <c r="B5" s="136" t="s">
        <v>33</v>
      </c>
      <c r="C5" s="140">
        <f>(K10+K12)*0.842284+K26</f>
        <v>969412.98799599998</v>
      </c>
      <c r="D5" s="140">
        <f t="shared" ref="D5:D11" si="0">C5*1.27</f>
        <v>1231154.49475492</v>
      </c>
      <c r="E5" s="141"/>
      <c r="F5" s="130"/>
      <c r="G5" s="130"/>
      <c r="H5" s="136" t="s">
        <v>28</v>
      </c>
      <c r="I5" s="142"/>
      <c r="J5" s="142"/>
      <c r="K5" s="168">
        <f>K3+K4</f>
        <v>2018639</v>
      </c>
    </row>
    <row r="6" spans="1:11" ht="13.5" thickBot="1" x14ac:dyDescent="0.25">
      <c r="A6" s="130"/>
      <c r="B6" s="136" t="s">
        <v>107</v>
      </c>
      <c r="C6" s="140">
        <f>(K10+K12+K26)*0.1488</f>
        <v>170666.01119999998</v>
      </c>
      <c r="D6" s="140">
        <f t="shared" si="0"/>
        <v>216745.83422399996</v>
      </c>
      <c r="E6" s="141"/>
      <c r="F6" s="130"/>
      <c r="G6" s="130"/>
      <c r="H6" s="136" t="s">
        <v>108</v>
      </c>
      <c r="I6" s="143">
        <f>ELECT.!J3</f>
        <v>4991084</v>
      </c>
      <c r="J6" s="142">
        <f>ELECT.!J34</f>
        <v>5164818</v>
      </c>
      <c r="K6" s="127">
        <f>J6-I6</f>
        <v>173734</v>
      </c>
    </row>
    <row r="7" spans="1:11" ht="13.5" thickBot="1" x14ac:dyDescent="0.25">
      <c r="A7" s="130"/>
      <c r="B7" s="136" t="s">
        <v>109</v>
      </c>
      <c r="C7" s="140">
        <f>(K6+K7)-(C8+C9+C10+C11+K26)</f>
        <v>261465</v>
      </c>
      <c r="D7" s="140">
        <f t="shared" si="0"/>
        <v>332060.55</v>
      </c>
      <c r="E7" s="141"/>
      <c r="F7" s="130"/>
      <c r="G7" s="130"/>
      <c r="H7" s="136" t="s">
        <v>110</v>
      </c>
      <c r="I7" s="143">
        <f>ELECT.!L3</f>
        <v>5316936</v>
      </c>
      <c r="J7" s="142">
        <f>ELECT.!L34</f>
        <v>5463312</v>
      </c>
      <c r="K7" s="127">
        <f>J7-I7</f>
        <v>146376</v>
      </c>
    </row>
    <row r="8" spans="1:11" ht="13.5" thickBot="1" x14ac:dyDescent="0.25">
      <c r="A8" s="130"/>
      <c r="B8" s="136" t="s">
        <v>111</v>
      </c>
      <c r="C8" s="140">
        <f>K21+K22+K23+K24</f>
        <v>32769</v>
      </c>
      <c r="D8" s="140">
        <f t="shared" si="0"/>
        <v>41616.629999999997</v>
      </c>
      <c r="E8" s="141"/>
      <c r="F8" s="130"/>
      <c r="G8" s="130"/>
      <c r="H8" s="136" t="s">
        <v>112</v>
      </c>
      <c r="I8" s="143">
        <f>ELECT.!N3</f>
        <v>3440825</v>
      </c>
      <c r="J8" s="142">
        <f>ELECT.!N34</f>
        <v>3554928</v>
      </c>
      <c r="K8" s="127">
        <f>(J8-I8)*2</f>
        <v>228206</v>
      </c>
    </row>
    <row r="9" spans="1:11" ht="13.5" thickBot="1" x14ac:dyDescent="0.25">
      <c r="A9" s="130"/>
      <c r="B9" s="136" t="s">
        <v>113</v>
      </c>
      <c r="C9" s="140">
        <f>K25</f>
        <v>90</v>
      </c>
      <c r="D9" s="140">
        <f t="shared" si="0"/>
        <v>114.3</v>
      </c>
      <c r="E9" s="141"/>
      <c r="F9" s="130"/>
      <c r="G9" s="130"/>
      <c r="H9" s="136" t="s">
        <v>114</v>
      </c>
      <c r="I9" s="143">
        <f>ELECT.!P3</f>
        <v>8134977</v>
      </c>
      <c r="J9" s="142">
        <f>ELECT.!P34</f>
        <v>8446105</v>
      </c>
      <c r="K9" s="127">
        <f>J9-I9</f>
        <v>311128</v>
      </c>
    </row>
    <row r="10" spans="1:11" ht="13.5" thickBot="1" x14ac:dyDescent="0.25">
      <c r="A10" s="130"/>
      <c r="B10" s="136" t="s">
        <v>115</v>
      </c>
      <c r="C10" s="140">
        <f>K17+K18</f>
        <v>115</v>
      </c>
      <c r="D10" s="140">
        <f t="shared" si="0"/>
        <v>146.05000000000001</v>
      </c>
      <c r="E10" s="141"/>
      <c r="F10" s="130"/>
      <c r="G10" s="130"/>
      <c r="H10" s="136" t="s">
        <v>116</v>
      </c>
      <c r="I10" s="143">
        <f>ELECT.!R3</f>
        <v>12292323</v>
      </c>
      <c r="J10" s="142">
        <f>ELECT.!R34</f>
        <v>12629844</v>
      </c>
      <c r="K10" s="127">
        <f>J10-I10</f>
        <v>337521</v>
      </c>
    </row>
    <row r="11" spans="1:11" ht="13.5" thickBot="1" x14ac:dyDescent="0.25">
      <c r="A11" s="130"/>
      <c r="B11" s="136" t="s">
        <v>117</v>
      </c>
      <c r="C11" s="140">
        <f>K19+K20</f>
        <v>4391</v>
      </c>
      <c r="D11" s="140">
        <f t="shared" si="0"/>
        <v>5576.57</v>
      </c>
      <c r="E11" s="141"/>
      <c r="F11" s="130"/>
      <c r="G11" s="130"/>
      <c r="H11" s="136" t="s">
        <v>118</v>
      </c>
      <c r="I11" s="143">
        <v>0</v>
      </c>
      <c r="J11" s="142">
        <v>0</v>
      </c>
      <c r="K11" s="127">
        <f>J11-I11</f>
        <v>0</v>
      </c>
    </row>
    <row r="12" spans="1:11" ht="13.5" thickBot="1" x14ac:dyDescent="0.25">
      <c r="A12" s="130"/>
      <c r="B12" s="130"/>
      <c r="C12" s="144"/>
      <c r="D12" s="144"/>
      <c r="E12" s="144"/>
      <c r="F12" s="130"/>
      <c r="G12" s="130"/>
      <c r="H12" s="136" t="s">
        <v>119</v>
      </c>
      <c r="I12" s="143">
        <f>ELECT.!V3</f>
        <v>9183292</v>
      </c>
      <c r="J12" s="142">
        <f>ELECT.!V34</f>
        <v>9577366</v>
      </c>
      <c r="K12" s="127">
        <f>(J12-I12)*2</f>
        <v>788148</v>
      </c>
    </row>
    <row r="13" spans="1:11" ht="13.5" thickBot="1" x14ac:dyDescent="0.25">
      <c r="A13" s="130"/>
      <c r="B13" s="134" t="s">
        <v>120</v>
      </c>
      <c r="C13" s="141" t="s">
        <v>121</v>
      </c>
      <c r="D13" s="141" t="s">
        <v>105</v>
      </c>
      <c r="E13" s="141"/>
      <c r="F13" s="130"/>
      <c r="G13" s="130"/>
      <c r="H13" s="136" t="s">
        <v>122</v>
      </c>
      <c r="I13" s="145"/>
      <c r="J13" s="146"/>
      <c r="K13" s="147">
        <f>SUM(K6:K12)</f>
        <v>1985113</v>
      </c>
    </row>
    <row r="14" spans="1:11" ht="13.5" thickBot="1" x14ac:dyDescent="0.25">
      <c r="A14" s="130"/>
      <c r="B14" s="136" t="s">
        <v>48</v>
      </c>
      <c r="C14" s="140">
        <f>K29</f>
        <v>31900</v>
      </c>
      <c r="D14" s="148">
        <f t="shared" ref="D14:D22" si="1">C14*10.03</f>
        <v>319957</v>
      </c>
      <c r="E14" s="149"/>
      <c r="F14" s="130"/>
      <c r="G14" s="130"/>
      <c r="H14" s="136" t="s">
        <v>123</v>
      </c>
      <c r="I14" s="145"/>
      <c r="J14" s="146"/>
      <c r="K14" s="128">
        <f>K5-K13</f>
        <v>33526</v>
      </c>
    </row>
    <row r="15" spans="1:11" ht="13.5" thickBot="1" x14ac:dyDescent="0.25">
      <c r="A15" s="130"/>
      <c r="B15" s="136" t="s">
        <v>124</v>
      </c>
      <c r="C15" s="150">
        <f>K30</f>
        <v>164.45699999999999</v>
      </c>
      <c r="D15" s="148">
        <f t="shared" si="1"/>
        <v>1649.5037099999997</v>
      </c>
      <c r="E15" s="149"/>
      <c r="F15" s="130"/>
      <c r="G15" s="130"/>
      <c r="H15" s="130"/>
      <c r="I15" s="130"/>
      <c r="J15" s="130"/>
      <c r="K15" s="130"/>
    </row>
    <row r="16" spans="1:11" ht="13.5" thickBot="1" x14ac:dyDescent="0.25">
      <c r="A16" s="130"/>
      <c r="B16" s="136" t="s">
        <v>107</v>
      </c>
      <c r="C16" s="150">
        <f>(C14-C15-C17-C18-C19-C20-C21)*0.1318</f>
        <v>3415.6685674</v>
      </c>
      <c r="D16" s="148">
        <f t="shared" si="1"/>
        <v>34259.155731022001</v>
      </c>
      <c r="E16" s="149"/>
      <c r="F16" s="130"/>
      <c r="G16" s="130"/>
      <c r="H16" s="130"/>
      <c r="I16" s="130"/>
      <c r="J16" s="130"/>
      <c r="K16" s="130"/>
    </row>
    <row r="17" spans="1:11" ht="13.5" thickBot="1" x14ac:dyDescent="0.25">
      <c r="A17" s="130"/>
      <c r="B17" s="136" t="s">
        <v>111</v>
      </c>
      <c r="C17" s="150">
        <v>1420</v>
      </c>
      <c r="D17" s="148">
        <f t="shared" si="1"/>
        <v>14242.599999999999</v>
      </c>
      <c r="E17" s="149"/>
      <c r="F17" s="130"/>
      <c r="G17" s="130"/>
      <c r="H17" s="151" t="s">
        <v>20</v>
      </c>
      <c r="I17" s="152">
        <f>'Mall, Citadel, Rotana'!J3</f>
        <v>303517</v>
      </c>
      <c r="J17" s="152">
        <f>'Mall, Citadel, Rotana'!J34</f>
        <v>303517</v>
      </c>
      <c r="K17" s="129">
        <f>J17-I17</f>
        <v>0</v>
      </c>
    </row>
    <row r="18" spans="1:11" ht="13.5" thickBot="1" x14ac:dyDescent="0.25">
      <c r="A18" s="130"/>
      <c r="B18" s="136" t="s">
        <v>117</v>
      </c>
      <c r="C18" s="150">
        <v>200</v>
      </c>
      <c r="D18" s="148">
        <f t="shared" si="1"/>
        <v>2005.9999999999998</v>
      </c>
      <c r="E18" s="149"/>
      <c r="F18" s="130"/>
      <c r="G18" s="130"/>
      <c r="H18" s="151" t="s">
        <v>21</v>
      </c>
      <c r="I18" s="152">
        <f>'Mall, Citadel, Rotana'!L3</f>
        <v>22880</v>
      </c>
      <c r="J18" s="152">
        <f>'Mall, Citadel, Rotana'!L34</f>
        <v>22995</v>
      </c>
      <c r="K18" s="129">
        <f>J18-I18</f>
        <v>115</v>
      </c>
    </row>
    <row r="19" spans="1:11" ht="15.75" thickBot="1" x14ac:dyDescent="0.25">
      <c r="A19" s="130"/>
      <c r="B19" s="136" t="s">
        <v>113</v>
      </c>
      <c r="C19" s="150">
        <v>600</v>
      </c>
      <c r="D19" s="148">
        <f t="shared" si="1"/>
        <v>6018</v>
      </c>
      <c r="E19" s="178" t="s">
        <v>125</v>
      </c>
      <c r="F19" s="179"/>
      <c r="G19" s="130"/>
      <c r="H19" s="151" t="s">
        <v>126</v>
      </c>
      <c r="I19" s="152">
        <f>'Mall, Citadel, Rotana'!P3</f>
        <v>20181</v>
      </c>
      <c r="J19" s="152">
        <f>'Mall, Citadel, Rotana'!P34</f>
        <v>24572</v>
      </c>
      <c r="K19" s="129">
        <f>J19-I19</f>
        <v>4391</v>
      </c>
    </row>
    <row r="20" spans="1:11" ht="13.5" thickBot="1" x14ac:dyDescent="0.25">
      <c r="A20" s="130"/>
      <c r="B20" s="136" t="s">
        <v>115</v>
      </c>
      <c r="C20" s="150">
        <v>600</v>
      </c>
      <c r="D20" s="148">
        <f t="shared" si="1"/>
        <v>6018</v>
      </c>
      <c r="E20" s="149"/>
      <c r="F20" s="130"/>
      <c r="G20" s="130"/>
      <c r="H20" s="151" t="s">
        <v>127</v>
      </c>
      <c r="I20" s="152">
        <f>'Mall, Citadel, Rotana'!R3</f>
        <v>55047</v>
      </c>
      <c r="J20" s="152">
        <f>'Mall, Citadel, Rotana'!R34</f>
        <v>55047</v>
      </c>
      <c r="K20" s="129">
        <f>J20-I20</f>
        <v>0</v>
      </c>
    </row>
    <row r="21" spans="1:11" ht="13.5" thickBot="1" x14ac:dyDescent="0.25">
      <c r="A21" s="130"/>
      <c r="B21" s="136" t="s">
        <v>100</v>
      </c>
      <c r="C21" s="150">
        <v>3000</v>
      </c>
      <c r="D21" s="148">
        <f t="shared" si="1"/>
        <v>30089.999999999996</v>
      </c>
      <c r="E21" s="149"/>
      <c r="F21" s="130"/>
      <c r="G21" s="130"/>
      <c r="H21" s="151" t="s">
        <v>14</v>
      </c>
      <c r="I21" s="152">
        <f>'Mall, Citadel, Rotana'!B3</f>
        <v>42886</v>
      </c>
      <c r="J21" s="152">
        <f>'Mall, Citadel, Rotana'!B34</f>
        <v>43038</v>
      </c>
      <c r="K21" s="129">
        <f>(J21-I21)*120</f>
        <v>18240</v>
      </c>
    </row>
    <row r="22" spans="1:11" ht="13.5" thickBot="1" x14ac:dyDescent="0.25">
      <c r="A22" s="130"/>
      <c r="B22" s="136" t="s">
        <v>128</v>
      </c>
      <c r="C22" s="148">
        <f>C14-(C15+C16+C17+C18+C19+C20+C21)</f>
        <v>22499.874432600001</v>
      </c>
      <c r="D22" s="148">
        <f t="shared" si="1"/>
        <v>225673.740558978</v>
      </c>
      <c r="E22" s="149"/>
      <c r="F22" s="130"/>
      <c r="G22" s="130"/>
      <c r="H22" s="151" t="s">
        <v>16</v>
      </c>
      <c r="I22" s="152">
        <f>'Mall, Citadel, Rotana'!D3</f>
        <v>38051</v>
      </c>
      <c r="J22" s="152">
        <f>'Mall, Citadel, Rotana'!D34</f>
        <v>38147</v>
      </c>
      <c r="K22" s="129">
        <f>(J22-I22)*120</f>
        <v>11520</v>
      </c>
    </row>
    <row r="23" spans="1:11" x14ac:dyDescent="0.2">
      <c r="A23" s="130"/>
      <c r="B23" s="130"/>
      <c r="C23" s="144"/>
      <c r="D23" s="153"/>
      <c r="E23" s="149"/>
      <c r="F23" s="130"/>
      <c r="G23" s="130"/>
      <c r="H23" s="151" t="s">
        <v>18</v>
      </c>
      <c r="I23" s="152">
        <f>'Mall, Citadel, Rotana'!F3</f>
        <v>18412</v>
      </c>
      <c r="J23" s="152">
        <f>'Mall, Citadel, Rotana'!F34</f>
        <v>18524</v>
      </c>
      <c r="K23" s="129">
        <f>(J23-I23)*20</f>
        <v>2240</v>
      </c>
    </row>
    <row r="24" spans="1:11" x14ac:dyDescent="0.2">
      <c r="A24" s="130"/>
      <c r="B24" s="134" t="s">
        <v>129</v>
      </c>
      <c r="C24" s="144"/>
      <c r="D24" s="144"/>
      <c r="E24" s="144"/>
      <c r="F24" s="130"/>
      <c r="G24" s="130"/>
      <c r="H24" s="151" t="s">
        <v>19</v>
      </c>
      <c r="I24" s="152">
        <f>'Mall, Citadel, Rotana'!H3</f>
        <v>221603</v>
      </c>
      <c r="J24" s="152">
        <f>'Mall, Citadel, Rotana'!H34</f>
        <v>222372</v>
      </c>
      <c r="K24" s="129">
        <f>J24-I24</f>
        <v>769</v>
      </c>
    </row>
    <row r="25" spans="1:11" ht="13.5" thickBot="1" x14ac:dyDescent="0.25">
      <c r="A25" s="130"/>
      <c r="B25" s="130"/>
      <c r="C25" s="141" t="s">
        <v>121</v>
      </c>
      <c r="D25" s="141" t="s">
        <v>130</v>
      </c>
      <c r="E25" s="141"/>
      <c r="F25" s="130"/>
      <c r="G25" s="130"/>
      <c r="H25" s="151" t="s">
        <v>131</v>
      </c>
      <c r="I25" s="152">
        <f>'Mall, Citadel, Rotana'!N3</f>
        <v>168730</v>
      </c>
      <c r="J25" s="152">
        <f>'Mall, Citadel, Rotana'!N34</f>
        <v>168820</v>
      </c>
      <c r="K25" s="129">
        <f>J25-I25</f>
        <v>90</v>
      </c>
    </row>
    <row r="26" spans="1:11" ht="13.5" thickBot="1" x14ac:dyDescent="0.25">
      <c r="A26" s="130"/>
      <c r="B26" s="136" t="s">
        <v>48</v>
      </c>
      <c r="C26" s="154">
        <f>K35</f>
        <v>103646</v>
      </c>
      <c r="D26" s="140">
        <f>C26*3.65</f>
        <v>378307.89999999997</v>
      </c>
      <c r="E26" s="141"/>
      <c r="F26" s="130"/>
      <c r="G26" s="130"/>
      <c r="H26" s="151" t="s">
        <v>132</v>
      </c>
      <c r="I26" s="161">
        <f>ELECT.!C3</f>
        <v>16704</v>
      </c>
      <c r="J26" s="161">
        <f>ELECT.!C34</f>
        <v>16837</v>
      </c>
      <c r="K26" s="129">
        <f>(J26-I26)*160</f>
        <v>21280</v>
      </c>
    </row>
    <row r="27" spans="1:11" ht="13.5" thickBot="1" x14ac:dyDescent="0.25">
      <c r="A27" s="130"/>
      <c r="B27" s="131" t="s">
        <v>133</v>
      </c>
      <c r="C27" s="154">
        <f>C26</f>
        <v>103646</v>
      </c>
      <c r="D27" s="140">
        <f>C27*3.65</f>
        <v>378307.89999999997</v>
      </c>
      <c r="E27" s="141"/>
      <c r="F27" s="130"/>
      <c r="G27" s="130"/>
      <c r="H27" s="134"/>
      <c r="I27" s="155"/>
      <c r="J27" s="130"/>
      <c r="K27" s="130"/>
    </row>
    <row r="28" spans="1:11" x14ac:dyDescent="0.2">
      <c r="A28" s="130"/>
      <c r="B28" s="130"/>
      <c r="C28" s="130"/>
      <c r="D28" s="130"/>
      <c r="E28" s="130"/>
      <c r="F28" s="130"/>
      <c r="G28" s="130"/>
      <c r="H28" s="134" t="s">
        <v>120</v>
      </c>
      <c r="I28" s="155"/>
      <c r="J28" s="130"/>
      <c r="K28" s="130"/>
    </row>
    <row r="29" spans="1:11" x14ac:dyDescent="0.2">
      <c r="A29" s="130"/>
      <c r="B29" s="130"/>
      <c r="C29" s="130"/>
      <c r="D29" s="130"/>
      <c r="E29" s="130"/>
      <c r="F29" s="130"/>
      <c r="G29" s="130" t="s">
        <v>13</v>
      </c>
      <c r="H29" s="151" t="s">
        <v>30</v>
      </c>
      <c r="I29" s="152">
        <f>Water!B3</f>
        <v>371948</v>
      </c>
      <c r="J29" s="152">
        <f>Water!B34</f>
        <v>375138</v>
      </c>
      <c r="K29" s="129">
        <f>(J29-I29)*10</f>
        <v>31900</v>
      </c>
    </row>
    <row r="30" spans="1:11" x14ac:dyDescent="0.2">
      <c r="A30" s="130"/>
      <c r="B30" s="130"/>
      <c r="C30" s="130"/>
      <c r="D30" s="130"/>
      <c r="E30" s="130"/>
      <c r="F30" s="130"/>
      <c r="G30" s="130"/>
      <c r="H30" s="151" t="s">
        <v>134</v>
      </c>
      <c r="I30" s="152">
        <f>Water!H3</f>
        <v>642600</v>
      </c>
      <c r="J30" s="152">
        <f>Water!H34</f>
        <v>648691</v>
      </c>
      <c r="K30" s="129">
        <f>(J30-I30)*0.027</f>
        <v>164.45699999999999</v>
      </c>
    </row>
    <row r="31" spans="1:11" x14ac:dyDescent="0.2">
      <c r="A31" s="130"/>
      <c r="B31" s="130"/>
      <c r="C31" s="130"/>
      <c r="D31" s="130"/>
      <c r="E31" s="130"/>
      <c r="F31" s="130"/>
      <c r="G31" s="130"/>
      <c r="H31" s="151" t="s">
        <v>135</v>
      </c>
      <c r="I31" s="152">
        <f>Water!D3</f>
        <v>97635200</v>
      </c>
      <c r="J31" s="152">
        <f>Water!D34</f>
        <v>98230400</v>
      </c>
      <c r="K31" s="129">
        <f>(J31-I31)*0.027</f>
        <v>16070.4</v>
      </c>
    </row>
    <row r="32" spans="1:11" x14ac:dyDescent="0.2">
      <c r="A32" s="130"/>
      <c r="B32" s="130"/>
      <c r="C32" s="130"/>
      <c r="D32" s="130"/>
      <c r="E32" s="130"/>
      <c r="F32" s="130"/>
      <c r="G32" s="130"/>
      <c r="H32" s="151" t="s">
        <v>136</v>
      </c>
      <c r="I32" s="152">
        <f>Water!F3</f>
        <v>96955500</v>
      </c>
      <c r="J32" s="152">
        <f>Water!F34</f>
        <v>97463800</v>
      </c>
      <c r="K32" s="129">
        <f>(J32-I32)*0.027</f>
        <v>13724.1</v>
      </c>
    </row>
    <row r="33" spans="1:11" x14ac:dyDescent="0.2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</row>
    <row r="34" spans="1:11" x14ac:dyDescent="0.2">
      <c r="A34" s="156"/>
      <c r="B34" s="156"/>
      <c r="C34" s="156"/>
      <c r="D34" s="156"/>
      <c r="E34" s="156"/>
      <c r="F34" s="156"/>
      <c r="G34" s="156"/>
      <c r="H34" s="156" t="s">
        <v>129</v>
      </c>
      <c r="I34" s="156"/>
      <c r="J34" s="156"/>
      <c r="K34" s="156"/>
    </row>
    <row r="35" spans="1:11" x14ac:dyDescent="0.2">
      <c r="A35" s="156"/>
      <c r="B35" s="156"/>
      <c r="C35" s="156"/>
      <c r="D35" s="156"/>
      <c r="E35" s="156"/>
      <c r="F35" s="156"/>
      <c r="G35" s="157"/>
      <c r="H35" s="158" t="s">
        <v>48</v>
      </c>
      <c r="I35" s="159">
        <f>Gas!B3</f>
        <v>16030756</v>
      </c>
      <c r="J35" s="159">
        <f>Gas!B34</f>
        <v>16134402</v>
      </c>
      <c r="K35" s="160">
        <f>J35-I35</f>
        <v>103646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opLeftCell="A61" zoomScale="70" zoomScaleNormal="70" workbookViewId="0">
      <selection activeCell="U92" sqref="U92"/>
    </sheetView>
  </sheetViews>
  <sheetFormatPr defaultRowHeight="12.75" x14ac:dyDescent="0.2"/>
  <cols>
    <col min="3" max="4" width="10.28515625" bestFit="1" customWidth="1"/>
    <col min="5" max="5" width="12" bestFit="1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18" x14ac:dyDescent="0.2">
      <c r="B1" s="85"/>
      <c r="C1" s="180" t="s">
        <v>84</v>
      </c>
      <c r="D1" s="181"/>
      <c r="E1" s="181"/>
      <c r="F1" s="181"/>
      <c r="G1" s="181"/>
      <c r="H1" s="182"/>
      <c r="J1" s="180" t="s">
        <v>84</v>
      </c>
      <c r="K1" s="181"/>
      <c r="L1" s="181"/>
      <c r="M1" s="181"/>
      <c r="N1" s="181"/>
      <c r="O1" s="182"/>
    </row>
    <row r="2" spans="2:15" ht="60" x14ac:dyDescent="0.2">
      <c r="B2" s="85"/>
      <c r="C2" s="86" t="s">
        <v>85</v>
      </c>
      <c r="D2" s="87" t="s">
        <v>86</v>
      </c>
      <c r="E2" s="87" t="s">
        <v>137</v>
      </c>
      <c r="F2" s="87" t="s">
        <v>138</v>
      </c>
      <c r="G2" s="87" t="s">
        <v>99</v>
      </c>
      <c r="H2" s="88" t="s">
        <v>87</v>
      </c>
      <c r="J2" s="86" t="s">
        <v>85</v>
      </c>
      <c r="K2" s="87" t="s">
        <v>86</v>
      </c>
      <c r="L2" s="87" t="s">
        <v>138</v>
      </c>
      <c r="M2" s="87" t="s">
        <v>145</v>
      </c>
      <c r="N2" s="87" t="s">
        <v>99</v>
      </c>
      <c r="O2" s="88" t="s">
        <v>87</v>
      </c>
    </row>
    <row r="3" spans="2:15" ht="15" x14ac:dyDescent="0.2">
      <c r="B3" s="85"/>
      <c r="C3" s="183">
        <v>6</v>
      </c>
      <c r="D3" s="89" t="s">
        <v>88</v>
      </c>
      <c r="E3" s="90">
        <v>256068</v>
      </c>
      <c r="F3" s="90">
        <v>256890</v>
      </c>
      <c r="G3" s="91">
        <f t="shared" ref="G3:G15" si="0">F3-E3</f>
        <v>822</v>
      </c>
      <c r="H3" s="92"/>
      <c r="J3" s="183">
        <v>6</v>
      </c>
      <c r="K3" s="89" t="s">
        <v>88</v>
      </c>
      <c r="L3" s="90">
        <v>256890</v>
      </c>
      <c r="M3" s="90">
        <v>257981</v>
      </c>
      <c r="N3" s="91">
        <f>M3-L3</f>
        <v>1091</v>
      </c>
      <c r="O3" s="92"/>
    </row>
    <row r="4" spans="2:15" ht="15" x14ac:dyDescent="0.2">
      <c r="B4" s="85"/>
      <c r="C4" s="184"/>
      <c r="D4" s="89" t="s">
        <v>89</v>
      </c>
      <c r="E4" s="90">
        <v>218128</v>
      </c>
      <c r="F4" s="90">
        <v>218468</v>
      </c>
      <c r="G4" s="93">
        <f t="shared" si="0"/>
        <v>340</v>
      </c>
      <c r="H4" s="92"/>
      <c r="J4" s="184"/>
      <c r="K4" s="89" t="s">
        <v>89</v>
      </c>
      <c r="L4" s="90">
        <v>218468</v>
      </c>
      <c r="M4" s="90">
        <v>218882</v>
      </c>
      <c r="N4" s="93">
        <f t="shared" ref="N4:N44" si="1">M4-L4</f>
        <v>414</v>
      </c>
      <c r="O4" s="92"/>
    </row>
    <row r="5" spans="2:15" ht="15" x14ac:dyDescent="0.2">
      <c r="B5" s="85"/>
      <c r="C5" s="185"/>
      <c r="D5" s="89" t="s">
        <v>90</v>
      </c>
      <c r="E5" s="90">
        <v>173224</v>
      </c>
      <c r="F5" s="90">
        <v>173658</v>
      </c>
      <c r="G5" s="94">
        <f t="shared" si="0"/>
        <v>434</v>
      </c>
      <c r="H5" s="92"/>
      <c r="J5" s="185"/>
      <c r="K5" s="89" t="s">
        <v>90</v>
      </c>
      <c r="L5" s="90">
        <v>173658</v>
      </c>
      <c r="M5" s="90">
        <v>174111</v>
      </c>
      <c r="N5" s="94">
        <f t="shared" si="1"/>
        <v>453</v>
      </c>
      <c r="O5" s="92"/>
    </row>
    <row r="6" spans="2:15" ht="15" x14ac:dyDescent="0.2">
      <c r="B6" s="85"/>
      <c r="C6" s="183">
        <v>7</v>
      </c>
      <c r="D6" s="89" t="s">
        <v>88</v>
      </c>
      <c r="E6" s="90">
        <v>213444</v>
      </c>
      <c r="F6" s="90">
        <v>214791</v>
      </c>
      <c r="G6" s="91">
        <f t="shared" si="0"/>
        <v>1347</v>
      </c>
      <c r="H6" s="92"/>
      <c r="J6" s="183">
        <v>7</v>
      </c>
      <c r="K6" s="89" t="s">
        <v>88</v>
      </c>
      <c r="L6" s="90">
        <v>214791</v>
      </c>
      <c r="M6" s="90">
        <v>216269</v>
      </c>
      <c r="N6" s="91">
        <f t="shared" si="1"/>
        <v>1478</v>
      </c>
      <c r="O6" s="92"/>
    </row>
    <row r="7" spans="2:15" ht="15" x14ac:dyDescent="0.2">
      <c r="B7" s="85"/>
      <c r="C7" s="184"/>
      <c r="D7" s="89" t="s">
        <v>89</v>
      </c>
      <c r="E7" s="90">
        <v>148292</v>
      </c>
      <c r="F7" s="90">
        <v>148536</v>
      </c>
      <c r="G7" s="94">
        <f t="shared" si="0"/>
        <v>244</v>
      </c>
      <c r="H7" s="92"/>
      <c r="J7" s="184"/>
      <c r="K7" s="89" t="s">
        <v>89</v>
      </c>
      <c r="L7" s="90">
        <v>148536</v>
      </c>
      <c r="M7" s="90">
        <v>148953</v>
      </c>
      <c r="N7" s="94">
        <f t="shared" si="1"/>
        <v>417</v>
      </c>
      <c r="O7" s="92"/>
    </row>
    <row r="8" spans="2:15" ht="15" x14ac:dyDescent="0.2">
      <c r="B8" s="85"/>
      <c r="C8" s="185"/>
      <c r="D8" s="89" t="s">
        <v>90</v>
      </c>
      <c r="E8" s="90">
        <v>106817</v>
      </c>
      <c r="F8" s="90">
        <v>107652</v>
      </c>
      <c r="G8" s="95">
        <f t="shared" si="0"/>
        <v>835</v>
      </c>
      <c r="H8" s="92"/>
      <c r="J8" s="185"/>
      <c r="K8" s="89" t="s">
        <v>90</v>
      </c>
      <c r="L8" s="90">
        <v>107652</v>
      </c>
      <c r="M8" s="90">
        <v>108305</v>
      </c>
      <c r="N8" s="91">
        <f t="shared" si="1"/>
        <v>653</v>
      </c>
      <c r="O8" s="92"/>
    </row>
    <row r="9" spans="2:15" ht="15" x14ac:dyDescent="0.2">
      <c r="B9" s="85"/>
      <c r="C9" s="183">
        <v>8</v>
      </c>
      <c r="D9" s="89" t="s">
        <v>88</v>
      </c>
      <c r="E9" s="90">
        <v>69333</v>
      </c>
      <c r="F9" s="90">
        <v>69586</v>
      </c>
      <c r="G9" s="91">
        <f t="shared" si="0"/>
        <v>253</v>
      </c>
      <c r="H9" s="92"/>
      <c r="J9" s="183">
        <v>8</v>
      </c>
      <c r="K9" s="89" t="s">
        <v>88</v>
      </c>
      <c r="L9" s="90">
        <v>69586</v>
      </c>
      <c r="M9" s="90">
        <v>69816</v>
      </c>
      <c r="N9" s="93">
        <f t="shared" si="1"/>
        <v>230</v>
      </c>
      <c r="O9" s="92"/>
    </row>
    <row r="10" spans="2:15" ht="15" x14ac:dyDescent="0.2">
      <c r="B10" s="85"/>
      <c r="C10" s="184"/>
      <c r="D10" s="89" t="s">
        <v>89</v>
      </c>
      <c r="E10" s="90">
        <v>158</v>
      </c>
      <c r="F10" s="90">
        <v>158</v>
      </c>
      <c r="G10" s="91">
        <f t="shared" si="0"/>
        <v>0</v>
      </c>
      <c r="H10" s="96" t="s">
        <v>13</v>
      </c>
      <c r="J10" s="184"/>
      <c r="K10" s="89" t="s">
        <v>89</v>
      </c>
      <c r="L10" s="90">
        <v>158</v>
      </c>
      <c r="M10" s="90">
        <v>158</v>
      </c>
      <c r="N10" s="94">
        <f>M10-L10</f>
        <v>0</v>
      </c>
      <c r="O10" s="96" t="s">
        <v>13</v>
      </c>
    </row>
    <row r="11" spans="2:15" ht="15" x14ac:dyDescent="0.2">
      <c r="B11" s="85"/>
      <c r="C11" s="185"/>
      <c r="D11" s="89" t="s">
        <v>90</v>
      </c>
      <c r="E11" s="90">
        <v>82891</v>
      </c>
      <c r="F11" s="90">
        <v>82891</v>
      </c>
      <c r="G11" s="94">
        <f t="shared" si="0"/>
        <v>0</v>
      </c>
      <c r="H11" s="92"/>
      <c r="J11" s="185"/>
      <c r="K11" s="89" t="s">
        <v>90</v>
      </c>
      <c r="L11" s="90">
        <v>82891</v>
      </c>
      <c r="M11" s="90">
        <v>84585</v>
      </c>
      <c r="N11" s="91">
        <f t="shared" si="1"/>
        <v>1694</v>
      </c>
      <c r="O11" s="92"/>
    </row>
    <row r="12" spans="2:15" ht="15" x14ac:dyDescent="0.2">
      <c r="B12" s="85"/>
      <c r="C12" s="183">
        <v>9</v>
      </c>
      <c r="D12" s="89" t="s">
        <v>88</v>
      </c>
      <c r="E12" s="90">
        <v>33737</v>
      </c>
      <c r="F12" s="90">
        <v>33865</v>
      </c>
      <c r="G12" s="94">
        <f t="shared" si="0"/>
        <v>128</v>
      </c>
      <c r="H12" s="92"/>
      <c r="J12" s="183">
        <v>9</v>
      </c>
      <c r="K12" s="89" t="s">
        <v>88</v>
      </c>
      <c r="L12" s="90">
        <v>33865</v>
      </c>
      <c r="M12" s="90">
        <v>33885</v>
      </c>
      <c r="N12" s="94">
        <f t="shared" si="1"/>
        <v>20</v>
      </c>
      <c r="O12" s="92"/>
    </row>
    <row r="13" spans="2:15" ht="15" x14ac:dyDescent="0.2">
      <c r="B13" s="85"/>
      <c r="C13" s="184"/>
      <c r="D13" s="89" t="s">
        <v>89</v>
      </c>
      <c r="E13" s="90">
        <v>0</v>
      </c>
      <c r="F13" s="90">
        <v>0</v>
      </c>
      <c r="G13" s="91">
        <f t="shared" si="0"/>
        <v>0</v>
      </c>
      <c r="H13" s="96" t="s">
        <v>13</v>
      </c>
      <c r="I13" s="97"/>
      <c r="J13" s="184"/>
      <c r="K13" s="89" t="s">
        <v>89</v>
      </c>
      <c r="L13" s="90">
        <v>0</v>
      </c>
      <c r="M13" s="90">
        <v>0</v>
      </c>
      <c r="N13" s="91">
        <f t="shared" si="1"/>
        <v>0</v>
      </c>
      <c r="O13" s="96" t="s">
        <v>13</v>
      </c>
    </row>
    <row r="14" spans="2:15" ht="15" x14ac:dyDescent="0.2">
      <c r="B14" s="85"/>
      <c r="C14" s="185"/>
      <c r="D14" s="89" t="s">
        <v>90</v>
      </c>
      <c r="E14" s="90">
        <v>37062</v>
      </c>
      <c r="F14" s="90">
        <v>37129</v>
      </c>
      <c r="G14" s="94">
        <f t="shared" si="0"/>
        <v>67</v>
      </c>
      <c r="H14" s="92"/>
      <c r="I14" s="98"/>
      <c r="J14" s="185"/>
      <c r="K14" s="89" t="s">
        <v>90</v>
      </c>
      <c r="L14" s="90">
        <v>37129</v>
      </c>
      <c r="M14" s="90">
        <v>37217</v>
      </c>
      <c r="N14" s="94">
        <f t="shared" si="1"/>
        <v>88</v>
      </c>
      <c r="O14" s="92"/>
    </row>
    <row r="15" spans="2:15" ht="15" x14ac:dyDescent="0.2">
      <c r="B15" s="85"/>
      <c r="C15" s="183">
        <v>10</v>
      </c>
      <c r="D15" s="89" t="s">
        <v>88</v>
      </c>
      <c r="E15" s="90">
        <v>155173</v>
      </c>
      <c r="F15" s="90">
        <v>157023</v>
      </c>
      <c r="G15" s="94">
        <f t="shared" si="0"/>
        <v>1850</v>
      </c>
      <c r="H15" s="92"/>
      <c r="I15" s="98"/>
      <c r="J15" s="183">
        <v>10</v>
      </c>
      <c r="K15" s="89" t="s">
        <v>88</v>
      </c>
      <c r="L15" s="90">
        <v>157023</v>
      </c>
      <c r="M15" s="90">
        <v>159006</v>
      </c>
      <c r="N15" s="94">
        <f>M15-L15</f>
        <v>1983</v>
      </c>
      <c r="O15" s="92"/>
    </row>
    <row r="16" spans="2:15" ht="15" x14ac:dyDescent="0.2">
      <c r="B16" s="85"/>
      <c r="C16" s="184"/>
      <c r="D16" s="89" t="s">
        <v>89</v>
      </c>
      <c r="E16" s="90">
        <v>7703</v>
      </c>
      <c r="F16" s="90">
        <v>7703</v>
      </c>
      <c r="G16" s="94">
        <f t="shared" ref="G16:G44" si="2">F16-E16</f>
        <v>0</v>
      </c>
      <c r="H16" s="92"/>
      <c r="I16" s="98"/>
      <c r="J16" s="184"/>
      <c r="K16" s="89" t="s">
        <v>89</v>
      </c>
      <c r="L16" s="90">
        <v>7703</v>
      </c>
      <c r="M16" s="90">
        <v>7703</v>
      </c>
      <c r="N16" s="94">
        <f t="shared" si="1"/>
        <v>0</v>
      </c>
      <c r="O16" s="92"/>
    </row>
    <row r="17" spans="2:15" ht="15" x14ac:dyDescent="0.2">
      <c r="B17" s="85"/>
      <c r="C17" s="185"/>
      <c r="D17" s="89" t="s">
        <v>90</v>
      </c>
      <c r="E17" s="90">
        <v>150171</v>
      </c>
      <c r="F17" s="90">
        <v>151871</v>
      </c>
      <c r="G17" s="94">
        <f t="shared" si="2"/>
        <v>1700</v>
      </c>
      <c r="H17" s="92"/>
      <c r="I17" s="98"/>
      <c r="J17" s="185"/>
      <c r="K17" s="89" t="s">
        <v>90</v>
      </c>
      <c r="L17" s="90">
        <v>151871</v>
      </c>
      <c r="M17" s="90">
        <v>153628</v>
      </c>
      <c r="N17" s="94">
        <f t="shared" si="1"/>
        <v>1757</v>
      </c>
      <c r="O17" s="92"/>
    </row>
    <row r="18" spans="2:15" ht="15" x14ac:dyDescent="0.2">
      <c r="B18" s="85"/>
      <c r="C18" s="183">
        <v>11</v>
      </c>
      <c r="D18" s="89" t="s">
        <v>88</v>
      </c>
      <c r="E18" s="99">
        <v>61321</v>
      </c>
      <c r="F18" s="99">
        <v>61477</v>
      </c>
      <c r="G18" s="94">
        <f t="shared" si="2"/>
        <v>156</v>
      </c>
      <c r="H18" s="92"/>
      <c r="I18" s="98"/>
      <c r="J18" s="183">
        <v>11</v>
      </c>
      <c r="K18" s="89" t="s">
        <v>88</v>
      </c>
      <c r="L18" s="99">
        <v>61477</v>
      </c>
      <c r="M18" s="99">
        <v>61537</v>
      </c>
      <c r="N18" s="94">
        <f t="shared" si="1"/>
        <v>60</v>
      </c>
      <c r="O18" s="92"/>
    </row>
    <row r="19" spans="2:15" ht="15" x14ac:dyDescent="0.2">
      <c r="B19" s="85"/>
      <c r="C19" s="184"/>
      <c r="D19" s="89" t="s">
        <v>89</v>
      </c>
      <c r="E19" s="99">
        <v>186812</v>
      </c>
      <c r="F19" s="99">
        <v>187587</v>
      </c>
      <c r="G19" s="94">
        <f t="shared" si="2"/>
        <v>775</v>
      </c>
      <c r="H19" s="92"/>
      <c r="I19" s="98"/>
      <c r="J19" s="184"/>
      <c r="K19" s="89" t="s">
        <v>89</v>
      </c>
      <c r="L19" s="99">
        <v>187587</v>
      </c>
      <c r="M19" s="99">
        <v>188963</v>
      </c>
      <c r="N19" s="94">
        <f t="shared" si="1"/>
        <v>1376</v>
      </c>
      <c r="O19" s="92"/>
    </row>
    <row r="20" spans="2:15" ht="15" x14ac:dyDescent="0.2">
      <c r="B20" s="85"/>
      <c r="C20" s="185"/>
      <c r="D20" s="89" t="s">
        <v>90</v>
      </c>
      <c r="E20" s="90">
        <v>29584</v>
      </c>
      <c r="F20" s="90">
        <v>29637</v>
      </c>
      <c r="G20" s="162">
        <f t="shared" si="2"/>
        <v>53</v>
      </c>
      <c r="H20" s="92"/>
      <c r="I20" s="98"/>
      <c r="J20" s="185"/>
      <c r="K20" s="89" t="s">
        <v>90</v>
      </c>
      <c r="L20" s="90">
        <v>29637</v>
      </c>
      <c r="M20" s="90">
        <v>29693</v>
      </c>
      <c r="N20" s="162">
        <f t="shared" si="1"/>
        <v>56</v>
      </c>
      <c r="O20" s="92"/>
    </row>
    <row r="21" spans="2:15" ht="15" x14ac:dyDescent="0.2">
      <c r="B21" s="85"/>
      <c r="C21" s="183">
        <v>12</v>
      </c>
      <c r="D21" s="89" t="s">
        <v>88</v>
      </c>
      <c r="E21" s="99">
        <v>143806</v>
      </c>
      <c r="F21" s="99">
        <v>143988</v>
      </c>
      <c r="G21" s="91">
        <f t="shared" si="2"/>
        <v>182</v>
      </c>
      <c r="H21" s="92"/>
      <c r="I21" s="100" t="s">
        <v>13</v>
      </c>
      <c r="J21" s="183">
        <v>12</v>
      </c>
      <c r="K21" s="89" t="s">
        <v>88</v>
      </c>
      <c r="L21" s="99">
        <v>143988</v>
      </c>
      <c r="M21" s="99">
        <v>144232</v>
      </c>
      <c r="N21" s="91">
        <f t="shared" si="1"/>
        <v>244</v>
      </c>
      <c r="O21" s="92"/>
    </row>
    <row r="22" spans="2:15" ht="15" x14ac:dyDescent="0.2">
      <c r="B22" s="85"/>
      <c r="C22" s="184"/>
      <c r="D22" s="89" t="s">
        <v>89</v>
      </c>
      <c r="E22" s="90">
        <v>19992</v>
      </c>
      <c r="F22" s="90">
        <v>20035</v>
      </c>
      <c r="G22" s="91">
        <f t="shared" si="2"/>
        <v>43</v>
      </c>
      <c r="H22" s="92"/>
      <c r="I22" s="98"/>
      <c r="J22" s="184"/>
      <c r="K22" s="89" t="s">
        <v>89</v>
      </c>
      <c r="L22" s="90">
        <v>20035</v>
      </c>
      <c r="M22" s="90">
        <v>20084</v>
      </c>
      <c r="N22" s="91">
        <f t="shared" si="1"/>
        <v>49</v>
      </c>
      <c r="O22" s="92"/>
    </row>
    <row r="23" spans="2:15" ht="15" x14ac:dyDescent="0.2">
      <c r="B23" s="85"/>
      <c r="C23" s="185"/>
      <c r="D23" s="89" t="s">
        <v>90</v>
      </c>
      <c r="E23" s="90">
        <v>208088</v>
      </c>
      <c r="F23" s="90">
        <v>209419</v>
      </c>
      <c r="G23" s="91">
        <f t="shared" si="2"/>
        <v>1331</v>
      </c>
      <c r="H23" s="92"/>
      <c r="I23" s="98"/>
      <c r="J23" s="185"/>
      <c r="K23" s="89" t="s">
        <v>90</v>
      </c>
      <c r="L23" s="90">
        <v>209419</v>
      </c>
      <c r="M23" s="90">
        <v>211154</v>
      </c>
      <c r="N23" s="91">
        <f t="shared" si="1"/>
        <v>1735</v>
      </c>
      <c r="O23" s="92"/>
    </row>
    <row r="24" spans="2:15" ht="15" x14ac:dyDescent="0.2">
      <c r="B24" s="85"/>
      <c r="C24" s="183">
        <v>14</v>
      </c>
      <c r="D24" s="89" t="s">
        <v>88</v>
      </c>
      <c r="E24" s="90">
        <v>111309</v>
      </c>
      <c r="F24" s="90">
        <v>111735</v>
      </c>
      <c r="G24" s="94">
        <f t="shared" si="2"/>
        <v>426</v>
      </c>
      <c r="H24" s="92"/>
      <c r="I24" s="98"/>
      <c r="J24" s="183">
        <v>14</v>
      </c>
      <c r="K24" s="89" t="s">
        <v>88</v>
      </c>
      <c r="L24" s="90">
        <v>111735</v>
      </c>
      <c r="M24" s="90">
        <v>111906</v>
      </c>
      <c r="N24" s="94">
        <f t="shared" si="1"/>
        <v>171</v>
      </c>
      <c r="O24" s="92"/>
    </row>
    <row r="25" spans="2:15" ht="15" x14ac:dyDescent="0.2">
      <c r="B25" s="85"/>
      <c r="C25" s="184"/>
      <c r="D25" s="89" t="s">
        <v>89</v>
      </c>
      <c r="E25" s="101">
        <v>23136</v>
      </c>
      <c r="F25" s="101">
        <v>23136</v>
      </c>
      <c r="G25" s="94">
        <f t="shared" si="2"/>
        <v>0</v>
      </c>
      <c r="H25" s="92"/>
      <c r="I25" s="98"/>
      <c r="J25" s="184"/>
      <c r="K25" s="89" t="s">
        <v>89</v>
      </c>
      <c r="L25" s="101">
        <v>23136</v>
      </c>
      <c r="M25" s="101">
        <v>23136</v>
      </c>
      <c r="N25" s="94">
        <f t="shared" si="1"/>
        <v>0</v>
      </c>
      <c r="O25" s="92"/>
    </row>
    <row r="26" spans="2:15" ht="15" x14ac:dyDescent="0.2">
      <c r="B26" s="85"/>
      <c r="C26" s="185"/>
      <c r="D26" s="89" t="s">
        <v>90</v>
      </c>
      <c r="E26" s="90">
        <v>1098</v>
      </c>
      <c r="F26" s="90">
        <v>1177</v>
      </c>
      <c r="G26" s="94">
        <f t="shared" si="2"/>
        <v>79</v>
      </c>
      <c r="H26" s="92"/>
      <c r="I26" s="100" t="s">
        <v>13</v>
      </c>
      <c r="J26" s="185"/>
      <c r="K26" s="89" t="s">
        <v>90</v>
      </c>
      <c r="L26" s="90">
        <v>1177</v>
      </c>
      <c r="M26" s="90">
        <v>1177</v>
      </c>
      <c r="N26" s="94">
        <f t="shared" si="1"/>
        <v>0</v>
      </c>
      <c r="O26" s="92"/>
    </row>
    <row r="27" spans="2:15" ht="15" x14ac:dyDescent="0.2">
      <c r="B27" s="85"/>
      <c r="C27" s="183">
        <v>15</v>
      </c>
      <c r="D27" s="89" t="s">
        <v>88</v>
      </c>
      <c r="E27" s="99">
        <v>39008</v>
      </c>
      <c r="F27" s="99">
        <v>39016</v>
      </c>
      <c r="G27" s="94">
        <f t="shared" si="2"/>
        <v>8</v>
      </c>
      <c r="H27" s="92"/>
      <c r="I27" s="100" t="s">
        <v>13</v>
      </c>
      <c r="J27" s="183">
        <v>15</v>
      </c>
      <c r="K27" s="89" t="s">
        <v>88</v>
      </c>
      <c r="L27" s="99">
        <v>39016</v>
      </c>
      <c r="M27" s="99">
        <v>39016</v>
      </c>
      <c r="N27" s="94">
        <f t="shared" si="1"/>
        <v>0</v>
      </c>
      <c r="O27" s="92"/>
    </row>
    <row r="28" spans="2:15" ht="15" x14ac:dyDescent="0.2">
      <c r="B28" s="85"/>
      <c r="C28" s="184"/>
      <c r="D28" s="89" t="s">
        <v>89</v>
      </c>
      <c r="E28" s="90">
        <v>72273</v>
      </c>
      <c r="F28" s="90">
        <v>72645</v>
      </c>
      <c r="G28" s="91">
        <f t="shared" si="2"/>
        <v>372</v>
      </c>
      <c r="H28" s="92"/>
      <c r="I28" s="98"/>
      <c r="J28" s="184"/>
      <c r="K28" s="89" t="s">
        <v>89</v>
      </c>
      <c r="L28" s="90">
        <v>72645</v>
      </c>
      <c r="M28" s="90">
        <v>73141</v>
      </c>
      <c r="N28" s="91">
        <f t="shared" si="1"/>
        <v>496</v>
      </c>
      <c r="O28" s="92"/>
    </row>
    <row r="29" spans="2:15" ht="15" x14ac:dyDescent="0.2">
      <c r="B29" s="85"/>
      <c r="C29" s="185"/>
      <c r="D29" s="89" t="s">
        <v>90</v>
      </c>
      <c r="E29" s="90">
        <v>136221</v>
      </c>
      <c r="F29" s="90">
        <v>137025</v>
      </c>
      <c r="G29" s="91">
        <f t="shared" si="2"/>
        <v>804</v>
      </c>
      <c r="H29" s="92"/>
      <c r="I29" s="98"/>
      <c r="J29" s="185"/>
      <c r="K29" s="89" t="s">
        <v>90</v>
      </c>
      <c r="L29" s="90">
        <v>137025</v>
      </c>
      <c r="M29" s="90">
        <v>138007</v>
      </c>
      <c r="N29" s="91">
        <f t="shared" si="1"/>
        <v>982</v>
      </c>
      <c r="O29" s="92"/>
    </row>
    <row r="30" spans="2:15" ht="15" x14ac:dyDescent="0.2">
      <c r="B30" s="85"/>
      <c r="C30" s="183">
        <v>16</v>
      </c>
      <c r="D30" s="89" t="s">
        <v>88</v>
      </c>
      <c r="E30" s="99">
        <v>95569</v>
      </c>
      <c r="F30" s="99">
        <v>96012</v>
      </c>
      <c r="G30" s="94">
        <f t="shared" si="2"/>
        <v>443</v>
      </c>
      <c r="H30" s="96" t="s">
        <v>13</v>
      </c>
      <c r="I30" s="98"/>
      <c r="J30" s="183">
        <v>16</v>
      </c>
      <c r="K30" s="89" t="s">
        <v>88</v>
      </c>
      <c r="L30" s="99">
        <v>96012</v>
      </c>
      <c r="M30" s="99">
        <v>97351</v>
      </c>
      <c r="N30" s="94">
        <f t="shared" si="1"/>
        <v>1339</v>
      </c>
      <c r="O30" s="96" t="s">
        <v>13</v>
      </c>
    </row>
    <row r="31" spans="2:15" ht="15" x14ac:dyDescent="0.2">
      <c r="B31" s="85"/>
      <c r="C31" s="184"/>
      <c r="D31" s="89" t="s">
        <v>89</v>
      </c>
      <c r="E31" s="90">
        <v>53313</v>
      </c>
      <c r="F31" s="90">
        <v>54633</v>
      </c>
      <c r="G31" s="94">
        <f t="shared" si="2"/>
        <v>1320</v>
      </c>
      <c r="H31" s="92"/>
      <c r="I31" s="98"/>
      <c r="J31" s="184"/>
      <c r="K31" s="89" t="s">
        <v>89</v>
      </c>
      <c r="L31" s="90">
        <v>54633</v>
      </c>
      <c r="M31" s="90">
        <v>55273</v>
      </c>
      <c r="N31" s="94">
        <f t="shared" si="1"/>
        <v>640</v>
      </c>
      <c r="O31" s="92"/>
    </row>
    <row r="32" spans="2:15" ht="15" x14ac:dyDescent="0.2">
      <c r="B32" s="85"/>
      <c r="C32" s="185"/>
      <c r="D32" s="89" t="s">
        <v>90</v>
      </c>
      <c r="E32" s="90">
        <v>67672</v>
      </c>
      <c r="F32" s="90">
        <v>67877</v>
      </c>
      <c r="G32" s="91">
        <f t="shared" si="2"/>
        <v>205</v>
      </c>
      <c r="H32" s="102"/>
      <c r="I32" s="98"/>
      <c r="J32" s="185"/>
      <c r="K32" s="89" t="s">
        <v>90</v>
      </c>
      <c r="L32" s="90">
        <v>67877</v>
      </c>
      <c r="M32" s="90">
        <v>67978</v>
      </c>
      <c r="N32" s="91">
        <f t="shared" si="1"/>
        <v>101</v>
      </c>
      <c r="O32" s="102"/>
    </row>
    <row r="33" spans="2:15" ht="15" x14ac:dyDescent="0.2">
      <c r="B33" s="85"/>
      <c r="C33" s="183">
        <v>17</v>
      </c>
      <c r="D33" s="89" t="s">
        <v>88</v>
      </c>
      <c r="E33" s="90">
        <v>23623</v>
      </c>
      <c r="F33" s="90">
        <v>24109</v>
      </c>
      <c r="G33" s="94">
        <f t="shared" si="2"/>
        <v>486</v>
      </c>
      <c r="H33" s="92"/>
      <c r="I33" s="98"/>
      <c r="J33" s="183">
        <v>17</v>
      </c>
      <c r="K33" s="89" t="s">
        <v>88</v>
      </c>
      <c r="L33" s="90">
        <v>24109</v>
      </c>
      <c r="M33" s="90">
        <v>24784</v>
      </c>
      <c r="N33" s="94">
        <f t="shared" si="1"/>
        <v>675</v>
      </c>
      <c r="O33" s="92"/>
    </row>
    <row r="34" spans="2:15" ht="15" x14ac:dyDescent="0.2">
      <c r="B34" s="85"/>
      <c r="C34" s="184"/>
      <c r="D34" s="89" t="s">
        <v>89</v>
      </c>
      <c r="E34" s="90">
        <v>63673</v>
      </c>
      <c r="F34" s="90">
        <v>63723</v>
      </c>
      <c r="G34" s="94">
        <f t="shared" si="2"/>
        <v>50</v>
      </c>
      <c r="H34" s="92"/>
      <c r="I34" s="98"/>
      <c r="J34" s="184"/>
      <c r="K34" s="89" t="s">
        <v>89</v>
      </c>
      <c r="L34" s="90">
        <v>63723</v>
      </c>
      <c r="M34" s="90">
        <v>63978</v>
      </c>
      <c r="N34" s="94">
        <f t="shared" si="1"/>
        <v>255</v>
      </c>
      <c r="O34" s="92"/>
    </row>
    <row r="35" spans="2:15" ht="15" x14ac:dyDescent="0.2">
      <c r="B35" s="85"/>
      <c r="C35" s="185"/>
      <c r="D35" s="89" t="s">
        <v>90</v>
      </c>
      <c r="E35" s="90">
        <v>11164</v>
      </c>
      <c r="F35" s="90">
        <v>11164</v>
      </c>
      <c r="G35" s="103">
        <f t="shared" si="2"/>
        <v>0</v>
      </c>
      <c r="H35" s="102"/>
      <c r="I35" s="98"/>
      <c r="J35" s="185"/>
      <c r="K35" s="89" t="s">
        <v>90</v>
      </c>
      <c r="L35" s="90">
        <v>11164</v>
      </c>
      <c r="M35" s="90">
        <v>11168</v>
      </c>
      <c r="N35" s="103">
        <f t="shared" si="1"/>
        <v>4</v>
      </c>
      <c r="O35" s="102"/>
    </row>
    <row r="36" spans="2:15" ht="15" x14ac:dyDescent="0.2">
      <c r="B36" s="85"/>
      <c r="C36" s="183">
        <v>18</v>
      </c>
      <c r="D36" s="89" t="s">
        <v>88</v>
      </c>
      <c r="E36" s="90">
        <v>211282</v>
      </c>
      <c r="F36" s="90">
        <v>212405</v>
      </c>
      <c r="G36" s="94">
        <f t="shared" si="2"/>
        <v>1123</v>
      </c>
      <c r="H36" s="102"/>
      <c r="I36" s="98"/>
      <c r="J36" s="183">
        <v>18</v>
      </c>
      <c r="K36" s="89" t="s">
        <v>88</v>
      </c>
      <c r="L36" s="90">
        <v>212405</v>
      </c>
      <c r="M36" s="90">
        <v>213404</v>
      </c>
      <c r="N36" s="94">
        <f t="shared" si="1"/>
        <v>999</v>
      </c>
      <c r="O36" s="102"/>
    </row>
    <row r="37" spans="2:15" ht="15" x14ac:dyDescent="0.2">
      <c r="B37" s="85"/>
      <c r="C37" s="184"/>
      <c r="D37" s="89" t="s">
        <v>89</v>
      </c>
      <c r="E37" s="101">
        <v>15712</v>
      </c>
      <c r="F37" s="101">
        <v>15712</v>
      </c>
      <c r="G37" s="94">
        <f t="shared" si="2"/>
        <v>0</v>
      </c>
      <c r="H37" s="92"/>
      <c r="I37" s="98"/>
      <c r="J37" s="184"/>
      <c r="K37" s="89" t="s">
        <v>89</v>
      </c>
      <c r="L37" s="101">
        <v>15712</v>
      </c>
      <c r="M37" s="101">
        <v>15983</v>
      </c>
      <c r="N37" s="94">
        <f t="shared" si="1"/>
        <v>271</v>
      </c>
      <c r="O37" s="92"/>
    </row>
    <row r="38" spans="2:15" ht="15" x14ac:dyDescent="0.2">
      <c r="B38" s="85"/>
      <c r="C38" s="185"/>
      <c r="D38" s="89" t="s">
        <v>90</v>
      </c>
      <c r="E38" s="90">
        <v>62108</v>
      </c>
      <c r="F38" s="90">
        <v>62125</v>
      </c>
      <c r="G38" s="94">
        <f t="shared" si="2"/>
        <v>17</v>
      </c>
      <c r="H38" s="92"/>
      <c r="I38" s="98"/>
      <c r="J38" s="185"/>
      <c r="K38" s="89" t="s">
        <v>90</v>
      </c>
      <c r="L38" s="90">
        <v>62125</v>
      </c>
      <c r="M38" s="90">
        <v>62159</v>
      </c>
      <c r="N38" s="94">
        <f t="shared" si="1"/>
        <v>34</v>
      </c>
      <c r="O38" s="92"/>
    </row>
    <row r="39" spans="2:15" ht="15" x14ac:dyDescent="0.2">
      <c r="B39" s="85"/>
      <c r="C39" s="183">
        <v>19</v>
      </c>
      <c r="D39" s="89" t="s">
        <v>88</v>
      </c>
      <c r="E39" s="90">
        <v>16951</v>
      </c>
      <c r="F39" s="90">
        <v>17205</v>
      </c>
      <c r="G39" s="91">
        <f t="shared" si="2"/>
        <v>254</v>
      </c>
      <c r="H39" s="92"/>
      <c r="I39" s="98"/>
      <c r="J39" s="183">
        <v>19</v>
      </c>
      <c r="K39" s="89" t="s">
        <v>88</v>
      </c>
      <c r="L39" s="90">
        <v>17205</v>
      </c>
      <c r="M39" s="90">
        <v>17474</v>
      </c>
      <c r="N39" s="91">
        <f t="shared" si="1"/>
        <v>269</v>
      </c>
      <c r="O39" s="92"/>
    </row>
    <row r="40" spans="2:15" ht="15" x14ac:dyDescent="0.2">
      <c r="B40" s="85"/>
      <c r="C40" s="184"/>
      <c r="D40" s="89" t="s">
        <v>89</v>
      </c>
      <c r="E40" s="99">
        <v>78415</v>
      </c>
      <c r="F40" s="99">
        <v>78791</v>
      </c>
      <c r="G40" s="91">
        <f t="shared" si="2"/>
        <v>376</v>
      </c>
      <c r="H40" s="102"/>
      <c r="I40" s="98"/>
      <c r="J40" s="184"/>
      <c r="K40" s="89" t="s">
        <v>89</v>
      </c>
      <c r="L40" s="99">
        <v>78791</v>
      </c>
      <c r="M40" s="99">
        <v>79027</v>
      </c>
      <c r="N40" s="91">
        <f t="shared" si="1"/>
        <v>236</v>
      </c>
      <c r="O40" s="102"/>
    </row>
    <row r="41" spans="2:15" ht="15" x14ac:dyDescent="0.2">
      <c r="B41" s="85"/>
      <c r="C41" s="185"/>
      <c r="D41" s="89" t="s">
        <v>90</v>
      </c>
      <c r="E41" s="90">
        <v>50844</v>
      </c>
      <c r="F41" s="90">
        <v>50911</v>
      </c>
      <c r="G41" s="91">
        <f t="shared" si="2"/>
        <v>67</v>
      </c>
      <c r="H41" s="92"/>
      <c r="I41" s="98"/>
      <c r="J41" s="185"/>
      <c r="K41" s="89" t="s">
        <v>90</v>
      </c>
      <c r="L41" s="90">
        <v>50911</v>
      </c>
      <c r="M41" s="90">
        <v>50988</v>
      </c>
      <c r="N41" s="91">
        <f t="shared" si="1"/>
        <v>77</v>
      </c>
      <c r="O41" s="92"/>
    </row>
    <row r="42" spans="2:15" ht="15" x14ac:dyDescent="0.2">
      <c r="B42" s="85"/>
      <c r="C42" s="183">
        <v>20</v>
      </c>
      <c r="D42" s="89" t="s">
        <v>88</v>
      </c>
      <c r="E42" s="90">
        <v>107157</v>
      </c>
      <c r="F42" s="90">
        <v>107646</v>
      </c>
      <c r="G42" s="91">
        <f t="shared" si="2"/>
        <v>489</v>
      </c>
      <c r="H42" s="92"/>
      <c r="J42" s="183">
        <v>20</v>
      </c>
      <c r="K42" s="89" t="s">
        <v>88</v>
      </c>
      <c r="L42" s="90">
        <v>107646</v>
      </c>
      <c r="M42" s="90">
        <v>109113</v>
      </c>
      <c r="N42" s="91">
        <f t="shared" si="1"/>
        <v>1467</v>
      </c>
      <c r="O42" s="92"/>
    </row>
    <row r="43" spans="2:15" ht="15" x14ac:dyDescent="0.2">
      <c r="B43" s="85"/>
      <c r="C43" s="184"/>
      <c r="D43" s="89" t="s">
        <v>89</v>
      </c>
      <c r="E43" s="99">
        <v>65814</v>
      </c>
      <c r="F43" s="99">
        <v>65866</v>
      </c>
      <c r="G43" s="91">
        <f t="shared" si="2"/>
        <v>52</v>
      </c>
      <c r="H43" s="92"/>
      <c r="J43" s="184"/>
      <c r="K43" s="89" t="s">
        <v>89</v>
      </c>
      <c r="L43" s="99">
        <v>65866</v>
      </c>
      <c r="M43" s="99">
        <v>65922</v>
      </c>
      <c r="N43" s="91">
        <f t="shared" si="1"/>
        <v>56</v>
      </c>
      <c r="O43" s="92"/>
    </row>
    <row r="44" spans="2:15" ht="15" x14ac:dyDescent="0.2">
      <c r="B44" s="85"/>
      <c r="C44" s="185"/>
      <c r="D44" s="89" t="s">
        <v>90</v>
      </c>
      <c r="E44" s="90">
        <v>3128</v>
      </c>
      <c r="F44" s="90">
        <v>3128</v>
      </c>
      <c r="G44" s="91">
        <f t="shared" si="2"/>
        <v>0</v>
      </c>
      <c r="H44" s="92"/>
      <c r="J44" s="185"/>
      <c r="K44" s="89" t="s">
        <v>90</v>
      </c>
      <c r="L44" s="90">
        <v>3128</v>
      </c>
      <c r="M44" s="90">
        <v>3128</v>
      </c>
      <c r="N44" s="91">
        <f t="shared" si="1"/>
        <v>0</v>
      </c>
      <c r="O44" s="92"/>
    </row>
    <row r="45" spans="2:15" ht="15" x14ac:dyDescent="0.2">
      <c r="B45" s="85"/>
      <c r="C45" s="104"/>
      <c r="D45" s="105"/>
      <c r="E45" s="105"/>
      <c r="F45" s="105"/>
      <c r="G45" s="106"/>
      <c r="H45" s="107"/>
      <c r="J45" s="104"/>
      <c r="K45" s="105"/>
      <c r="L45" s="105"/>
      <c r="M45" s="105"/>
      <c r="N45" s="106"/>
      <c r="O45" s="107"/>
    </row>
    <row r="46" spans="2:15" ht="15" x14ac:dyDescent="0.2">
      <c r="B46" s="85"/>
      <c r="C46" s="183">
        <v>21</v>
      </c>
      <c r="D46" s="108" t="s">
        <v>91</v>
      </c>
      <c r="E46" s="90">
        <v>2747</v>
      </c>
      <c r="F46" s="90">
        <v>2747</v>
      </c>
      <c r="G46" s="94">
        <f t="shared" ref="G46:G51" si="3">F46-E46</f>
        <v>0</v>
      </c>
      <c r="H46" s="96" t="s">
        <v>13</v>
      </c>
      <c r="J46" s="183">
        <v>21</v>
      </c>
      <c r="K46" s="108" t="s">
        <v>91</v>
      </c>
      <c r="L46" s="90">
        <v>2747</v>
      </c>
      <c r="M46" s="90">
        <v>2750</v>
      </c>
      <c r="N46" s="94">
        <f t="shared" ref="N46:N51" si="4">M46-L46</f>
        <v>3</v>
      </c>
      <c r="O46" s="96" t="s">
        <v>13</v>
      </c>
    </row>
    <row r="47" spans="2:15" ht="15" x14ac:dyDescent="0.2">
      <c r="B47" s="85"/>
      <c r="C47" s="184"/>
      <c r="D47" s="108" t="s">
        <v>90</v>
      </c>
      <c r="E47" s="90">
        <v>38084</v>
      </c>
      <c r="F47" s="90">
        <v>38084</v>
      </c>
      <c r="G47" s="94">
        <f t="shared" si="3"/>
        <v>0</v>
      </c>
      <c r="H47" s="92"/>
      <c r="I47" t="s">
        <v>13</v>
      </c>
      <c r="J47" s="184"/>
      <c r="K47" s="108" t="s">
        <v>90</v>
      </c>
      <c r="L47" s="90">
        <v>38084</v>
      </c>
      <c r="M47" s="90">
        <v>38084</v>
      </c>
      <c r="N47" s="94">
        <f t="shared" si="4"/>
        <v>0</v>
      </c>
      <c r="O47" s="92"/>
    </row>
    <row r="48" spans="2:15" ht="15" x14ac:dyDescent="0.2">
      <c r="B48" s="85"/>
      <c r="C48" s="183">
        <v>22</v>
      </c>
      <c r="D48" s="108" t="s">
        <v>91</v>
      </c>
      <c r="E48" s="109">
        <v>13322</v>
      </c>
      <c r="F48" s="109">
        <v>13383</v>
      </c>
      <c r="G48" s="94">
        <f t="shared" si="3"/>
        <v>61</v>
      </c>
      <c r="H48" s="92"/>
      <c r="J48" s="183">
        <v>22</v>
      </c>
      <c r="K48" s="108" t="s">
        <v>91</v>
      </c>
      <c r="L48" s="109">
        <v>13383</v>
      </c>
      <c r="M48" s="109">
        <v>13505</v>
      </c>
      <c r="N48" s="94">
        <f t="shared" si="4"/>
        <v>122</v>
      </c>
      <c r="O48" s="92"/>
    </row>
    <row r="49" spans="1:15" ht="15" x14ac:dyDescent="0.2">
      <c r="B49" s="85"/>
      <c r="C49" s="184"/>
      <c r="D49" s="108" t="s">
        <v>90</v>
      </c>
      <c r="E49" s="109">
        <v>17166</v>
      </c>
      <c r="F49" s="109">
        <v>17307</v>
      </c>
      <c r="G49" s="94">
        <f t="shared" si="3"/>
        <v>141</v>
      </c>
      <c r="H49" s="92"/>
      <c r="J49" s="184"/>
      <c r="K49" s="108" t="s">
        <v>90</v>
      </c>
      <c r="L49" s="109">
        <v>17307</v>
      </c>
      <c r="M49" s="109">
        <v>17446</v>
      </c>
      <c r="N49" s="94">
        <f t="shared" si="4"/>
        <v>139</v>
      </c>
      <c r="O49" s="92"/>
    </row>
    <row r="50" spans="1:15" ht="15" x14ac:dyDescent="0.2">
      <c r="B50" s="85"/>
      <c r="C50" s="183">
        <v>23</v>
      </c>
      <c r="D50" s="89" t="s">
        <v>91</v>
      </c>
      <c r="E50" s="109"/>
      <c r="F50" s="109"/>
      <c r="G50" s="91">
        <f t="shared" si="3"/>
        <v>0</v>
      </c>
      <c r="H50" s="92"/>
      <c r="J50" s="183">
        <v>23</v>
      </c>
      <c r="K50" s="89" t="s">
        <v>91</v>
      </c>
      <c r="L50" s="109"/>
      <c r="M50" s="109"/>
      <c r="N50" s="91">
        <f t="shared" si="4"/>
        <v>0</v>
      </c>
      <c r="O50" s="92"/>
    </row>
    <row r="51" spans="1:15" ht="15" x14ac:dyDescent="0.2">
      <c r="B51" s="85"/>
      <c r="C51" s="184"/>
      <c r="D51" s="89" t="s">
        <v>90</v>
      </c>
      <c r="E51" s="109"/>
      <c r="F51" s="109"/>
      <c r="G51" s="91">
        <f t="shared" si="3"/>
        <v>0</v>
      </c>
      <c r="H51" s="92"/>
      <c r="J51" s="184"/>
      <c r="K51" s="89" t="s">
        <v>90</v>
      </c>
      <c r="L51" s="109"/>
      <c r="M51" s="109"/>
      <c r="N51" s="91">
        <f t="shared" si="4"/>
        <v>0</v>
      </c>
      <c r="O51" s="92"/>
    </row>
    <row r="52" spans="1:15" ht="15" x14ac:dyDescent="0.2">
      <c r="B52" s="85"/>
      <c r="C52" s="110"/>
      <c r="D52" s="105"/>
      <c r="E52" s="106"/>
      <c r="F52" s="106"/>
      <c r="G52" s="106"/>
      <c r="H52" s="107"/>
      <c r="J52" s="110"/>
      <c r="K52" s="105"/>
      <c r="L52" s="106"/>
      <c r="M52" s="106"/>
      <c r="N52" s="106"/>
      <c r="O52" s="107"/>
    </row>
    <row r="53" spans="1:15" ht="15" x14ac:dyDescent="0.2">
      <c r="B53" s="85"/>
      <c r="C53" s="186">
        <v>24</v>
      </c>
      <c r="D53" s="89" t="s">
        <v>92</v>
      </c>
      <c r="E53" s="99">
        <v>222678</v>
      </c>
      <c r="F53" s="99">
        <v>222848</v>
      </c>
      <c r="G53" s="94">
        <f>F53-E53</f>
        <v>170</v>
      </c>
      <c r="H53" s="111"/>
      <c r="J53" s="186">
        <v>24</v>
      </c>
      <c r="K53" s="89" t="s">
        <v>92</v>
      </c>
      <c r="L53" s="99">
        <v>222848</v>
      </c>
      <c r="M53" s="99">
        <v>223481</v>
      </c>
      <c r="N53" s="94">
        <f>M53-L53</f>
        <v>633</v>
      </c>
      <c r="O53" s="111"/>
    </row>
    <row r="54" spans="1:15" ht="15" x14ac:dyDescent="0.2">
      <c r="B54" s="85"/>
      <c r="C54" s="187"/>
      <c r="D54" s="89" t="s">
        <v>93</v>
      </c>
      <c r="E54" s="99">
        <v>524981</v>
      </c>
      <c r="F54" s="99">
        <v>525585</v>
      </c>
      <c r="G54" s="94">
        <f t="shared" ref="G54:G61" si="5">F54-E54</f>
        <v>604</v>
      </c>
      <c r="H54" s="102"/>
      <c r="J54" s="187"/>
      <c r="K54" s="89" t="s">
        <v>93</v>
      </c>
      <c r="L54" s="99">
        <v>525585</v>
      </c>
      <c r="M54" s="99">
        <v>526240</v>
      </c>
      <c r="N54" s="94">
        <f t="shared" ref="N54:N61" si="6">M54-L54</f>
        <v>655</v>
      </c>
      <c r="O54" s="102"/>
    </row>
    <row r="55" spans="1:15" ht="15" x14ac:dyDescent="0.2">
      <c r="B55" s="85"/>
      <c r="C55" s="188"/>
      <c r="D55" s="89" t="s">
        <v>92</v>
      </c>
      <c r="E55" s="99">
        <v>34567</v>
      </c>
      <c r="F55" s="99">
        <v>34567</v>
      </c>
      <c r="G55" s="94">
        <f t="shared" si="5"/>
        <v>0</v>
      </c>
      <c r="H55" s="112" t="s">
        <v>13</v>
      </c>
      <c r="J55" s="188"/>
      <c r="K55" s="89" t="s">
        <v>92</v>
      </c>
      <c r="L55" s="99">
        <v>34567</v>
      </c>
      <c r="M55" s="99">
        <v>34567</v>
      </c>
      <c r="N55" s="94">
        <f t="shared" si="6"/>
        <v>0</v>
      </c>
      <c r="O55" s="112" t="s">
        <v>13</v>
      </c>
    </row>
    <row r="56" spans="1:15" ht="15" x14ac:dyDescent="0.2">
      <c r="B56" s="85"/>
      <c r="C56" s="183">
        <v>25</v>
      </c>
      <c r="D56" s="89" t="s">
        <v>92</v>
      </c>
      <c r="E56" s="109">
        <v>318</v>
      </c>
      <c r="F56" s="109">
        <v>318</v>
      </c>
      <c r="G56" s="103">
        <f t="shared" si="5"/>
        <v>0</v>
      </c>
      <c r="H56" s="92"/>
      <c r="J56" s="183">
        <v>25</v>
      </c>
      <c r="K56" s="89" t="s">
        <v>92</v>
      </c>
      <c r="L56" s="109">
        <v>318</v>
      </c>
      <c r="M56" s="109">
        <v>318</v>
      </c>
      <c r="N56" s="103">
        <f t="shared" si="6"/>
        <v>0</v>
      </c>
      <c r="O56" s="92"/>
    </row>
    <row r="57" spans="1:15" ht="15" x14ac:dyDescent="0.2">
      <c r="B57" s="85"/>
      <c r="C57" s="185"/>
      <c r="D57" s="89" t="s">
        <v>93</v>
      </c>
      <c r="E57" s="109">
        <v>3</v>
      </c>
      <c r="F57" s="109">
        <v>3</v>
      </c>
      <c r="G57" s="113">
        <f t="shared" si="5"/>
        <v>0</v>
      </c>
      <c r="H57" s="92"/>
      <c r="J57" s="185"/>
      <c r="K57" s="89" t="s">
        <v>93</v>
      </c>
      <c r="L57" s="109">
        <v>3</v>
      </c>
      <c r="M57" s="109">
        <v>3</v>
      </c>
      <c r="N57" s="113">
        <f t="shared" si="6"/>
        <v>0</v>
      </c>
      <c r="O57" s="92"/>
    </row>
    <row r="58" spans="1:15" ht="15" x14ac:dyDescent="0.2">
      <c r="A58" s="98"/>
      <c r="B58" s="85"/>
      <c r="C58" s="183">
        <v>26</v>
      </c>
      <c r="D58" s="89" t="s">
        <v>92</v>
      </c>
      <c r="E58" s="90">
        <v>623877</v>
      </c>
      <c r="F58" s="90">
        <v>628116</v>
      </c>
      <c r="G58" s="91">
        <f t="shared" si="5"/>
        <v>4239</v>
      </c>
      <c r="H58" s="92"/>
      <c r="I58" s="98"/>
      <c r="J58" s="183">
        <v>26</v>
      </c>
      <c r="K58" s="89" t="s">
        <v>92</v>
      </c>
      <c r="L58" s="90">
        <v>628116</v>
      </c>
      <c r="M58" s="90">
        <v>632951</v>
      </c>
      <c r="N58" s="91">
        <f t="shared" si="6"/>
        <v>4835</v>
      </c>
      <c r="O58" s="92"/>
    </row>
    <row r="59" spans="1:15" ht="15" x14ac:dyDescent="0.2">
      <c r="A59" s="98"/>
      <c r="B59" s="85"/>
      <c r="C59" s="185"/>
      <c r="D59" s="89" t="s">
        <v>93</v>
      </c>
      <c r="E59" s="90">
        <v>685967</v>
      </c>
      <c r="F59" s="90">
        <v>690153</v>
      </c>
      <c r="G59" s="91">
        <f t="shared" si="5"/>
        <v>4186</v>
      </c>
      <c r="H59" s="102"/>
      <c r="I59" s="98"/>
      <c r="J59" s="185"/>
      <c r="K59" s="89" t="s">
        <v>93</v>
      </c>
      <c r="L59" s="90">
        <v>690153</v>
      </c>
      <c r="M59" s="90">
        <v>695237</v>
      </c>
      <c r="N59" s="91">
        <f t="shared" si="6"/>
        <v>5084</v>
      </c>
      <c r="O59" s="102"/>
    </row>
    <row r="60" spans="1:15" ht="15" x14ac:dyDescent="0.2">
      <c r="A60" s="98"/>
      <c r="B60" s="85"/>
      <c r="C60" s="183">
        <v>27</v>
      </c>
      <c r="D60" s="89" t="s">
        <v>92</v>
      </c>
      <c r="E60" s="90">
        <v>213301</v>
      </c>
      <c r="F60" s="90">
        <v>214604</v>
      </c>
      <c r="G60" s="91">
        <f t="shared" si="5"/>
        <v>1303</v>
      </c>
      <c r="H60" s="92"/>
      <c r="I60" s="98"/>
      <c r="J60" s="183">
        <v>27</v>
      </c>
      <c r="K60" s="89" t="s">
        <v>92</v>
      </c>
      <c r="L60" s="90">
        <v>214604</v>
      </c>
      <c r="M60" s="90">
        <v>216034</v>
      </c>
      <c r="N60" s="91">
        <f t="shared" si="6"/>
        <v>1430</v>
      </c>
      <c r="O60" s="92"/>
    </row>
    <row r="61" spans="1:15" ht="15" x14ac:dyDescent="0.2">
      <c r="A61" s="98"/>
      <c r="B61" s="85"/>
      <c r="C61" s="185"/>
      <c r="D61" s="89" t="s">
        <v>93</v>
      </c>
      <c r="E61" s="90">
        <v>74450</v>
      </c>
      <c r="F61" s="90">
        <v>75770</v>
      </c>
      <c r="G61" s="94">
        <f t="shared" si="5"/>
        <v>1320</v>
      </c>
      <c r="H61" s="92"/>
      <c r="I61" s="98"/>
      <c r="J61" s="185"/>
      <c r="K61" s="89" t="s">
        <v>93</v>
      </c>
      <c r="L61" s="90">
        <v>75770</v>
      </c>
      <c r="M61" s="90">
        <v>76381</v>
      </c>
      <c r="N61" s="94">
        <f t="shared" si="6"/>
        <v>611</v>
      </c>
      <c r="O61" s="92"/>
    </row>
    <row r="62" spans="1:15" ht="15" x14ac:dyDescent="0.2">
      <c r="A62" s="98"/>
      <c r="B62" s="85"/>
      <c r="C62" s="104"/>
      <c r="D62" s="105"/>
      <c r="E62" s="90"/>
      <c r="F62" s="90"/>
      <c r="G62" s="114"/>
      <c r="H62" s="107"/>
      <c r="I62" s="98"/>
      <c r="J62" s="104"/>
      <c r="K62" s="105"/>
      <c r="L62" s="90"/>
      <c r="M62" s="90"/>
      <c r="N62" s="114"/>
      <c r="O62" s="107"/>
    </row>
    <row r="63" spans="1:15" ht="15" x14ac:dyDescent="0.2">
      <c r="A63" s="98"/>
      <c r="B63" s="85"/>
      <c r="C63" s="183">
        <v>28</v>
      </c>
      <c r="D63" s="189" t="s">
        <v>94</v>
      </c>
      <c r="E63" s="90"/>
      <c r="F63" s="90"/>
      <c r="G63" s="91">
        <v>0</v>
      </c>
      <c r="H63" s="191" t="s">
        <v>95</v>
      </c>
      <c r="I63" s="98"/>
      <c r="J63" s="183">
        <v>28</v>
      </c>
      <c r="K63" s="189" t="s">
        <v>94</v>
      </c>
      <c r="L63" s="90"/>
      <c r="M63" s="90"/>
      <c r="N63" s="91">
        <v>0</v>
      </c>
      <c r="O63" s="191" t="s">
        <v>95</v>
      </c>
    </row>
    <row r="64" spans="1:15" ht="15" x14ac:dyDescent="0.2">
      <c r="A64" s="98"/>
      <c r="B64" s="85"/>
      <c r="C64" s="185"/>
      <c r="D64" s="190"/>
      <c r="E64" s="90"/>
      <c r="F64" s="90"/>
      <c r="G64" s="91">
        <v>0</v>
      </c>
      <c r="H64" s="192"/>
      <c r="I64" s="98"/>
      <c r="J64" s="185"/>
      <c r="K64" s="190"/>
      <c r="L64" s="90"/>
      <c r="M64" s="90"/>
      <c r="N64" s="91">
        <v>0</v>
      </c>
      <c r="O64" s="192"/>
    </row>
    <row r="65" spans="1:15" x14ac:dyDescent="0.2">
      <c r="A65" s="98"/>
      <c r="B65" s="85"/>
      <c r="C65" s="193" t="s">
        <v>96</v>
      </c>
      <c r="D65" s="193"/>
      <c r="E65" s="193"/>
      <c r="F65" s="193"/>
      <c r="G65" s="115">
        <f>SUM(G3:G64)</f>
        <v>29155</v>
      </c>
      <c r="H65" s="116"/>
      <c r="I65" s="98"/>
      <c r="J65" s="193" t="s">
        <v>96</v>
      </c>
      <c r="K65" s="193"/>
      <c r="L65" s="193"/>
      <c r="M65" s="193"/>
      <c r="N65" s="115">
        <f>SUM(N3:N64)</f>
        <v>35382</v>
      </c>
      <c r="O65" s="116"/>
    </row>
    <row r="69" spans="1:15" ht="13.5" thickBot="1" x14ac:dyDescent="0.25">
      <c r="A69" s="117"/>
      <c r="B69" s="117"/>
      <c r="C69" s="117"/>
      <c r="D69" s="118" t="s">
        <v>13</v>
      </c>
      <c r="E69" s="117"/>
      <c r="F69" s="117"/>
      <c r="G69" s="117"/>
      <c r="H69" s="117"/>
    </row>
    <row r="70" spans="1:15" ht="13.5" thickBot="1" x14ac:dyDescent="0.25">
      <c r="A70" s="119"/>
      <c r="B70" s="194" t="s">
        <v>139</v>
      </c>
      <c r="C70" s="195"/>
      <c r="D70" s="195"/>
      <c r="E70" s="196"/>
      <c r="F70" s="119"/>
      <c r="G70" s="194" t="s">
        <v>139</v>
      </c>
      <c r="H70" s="195"/>
      <c r="I70" s="195"/>
      <c r="J70" s="196"/>
      <c r="K70" s="119"/>
      <c r="L70" s="197" t="s">
        <v>31</v>
      </c>
      <c r="M70" s="198"/>
      <c r="N70" s="198"/>
      <c r="O70" s="199"/>
    </row>
    <row r="71" spans="1:15" ht="13.5" thickBot="1" x14ac:dyDescent="0.25">
      <c r="A71" s="117"/>
      <c r="B71" s="120" t="s">
        <v>85</v>
      </c>
      <c r="C71" s="120">
        <v>30</v>
      </c>
      <c r="D71" s="120" t="s">
        <v>97</v>
      </c>
      <c r="E71" s="120" t="s">
        <v>98</v>
      </c>
      <c r="F71" s="117"/>
      <c r="G71" s="120" t="s">
        <v>85</v>
      </c>
      <c r="H71" s="120">
        <v>30</v>
      </c>
      <c r="I71" s="120" t="s">
        <v>97</v>
      </c>
      <c r="J71" s="120" t="s">
        <v>98</v>
      </c>
      <c r="K71" s="117"/>
      <c r="L71" s="121" t="s">
        <v>85</v>
      </c>
      <c r="M71" s="121">
        <v>30</v>
      </c>
      <c r="N71" s="121" t="s">
        <v>97</v>
      </c>
      <c r="O71" s="121" t="s">
        <v>98</v>
      </c>
    </row>
    <row r="72" spans="1:15" ht="15.75" thickBot="1" x14ac:dyDescent="0.25">
      <c r="A72" s="117"/>
      <c r="B72" s="122">
        <v>6</v>
      </c>
      <c r="C72" s="123">
        <v>86264</v>
      </c>
      <c r="D72" s="124">
        <v>51524</v>
      </c>
      <c r="E72" s="125">
        <v>78515</v>
      </c>
      <c r="F72" s="117"/>
      <c r="G72" s="122">
        <v>6</v>
      </c>
      <c r="H72" s="123">
        <v>87107</v>
      </c>
      <c r="I72" s="124">
        <v>51819</v>
      </c>
      <c r="J72" s="125">
        <v>78515</v>
      </c>
      <c r="K72" s="117"/>
      <c r="L72" s="121">
        <v>6</v>
      </c>
      <c r="M72" s="126">
        <f>H72-C72</f>
        <v>843</v>
      </c>
      <c r="N72" s="126">
        <f>I72-D72</f>
        <v>295</v>
      </c>
      <c r="O72" s="126">
        <f>J72-E72</f>
        <v>0</v>
      </c>
    </row>
    <row r="73" spans="1:15" ht="15.75" thickBot="1" x14ac:dyDescent="0.25">
      <c r="A73" s="117"/>
      <c r="B73" s="122">
        <v>7</v>
      </c>
      <c r="C73" s="123">
        <v>90063</v>
      </c>
      <c r="D73" s="124">
        <v>100173</v>
      </c>
      <c r="E73" s="125">
        <v>57555</v>
      </c>
      <c r="F73" s="117"/>
      <c r="G73" s="122">
        <v>7</v>
      </c>
      <c r="H73" s="123">
        <v>90351</v>
      </c>
      <c r="I73" s="124">
        <v>100376</v>
      </c>
      <c r="J73" s="125">
        <v>58071</v>
      </c>
      <c r="K73" s="117"/>
      <c r="L73" s="121">
        <v>7</v>
      </c>
      <c r="M73" s="126">
        <f t="shared" ref="M73:O95" si="7">H73-C73</f>
        <v>288</v>
      </c>
      <c r="N73" s="126">
        <f t="shared" si="7"/>
        <v>203</v>
      </c>
      <c r="O73" s="126">
        <f t="shared" si="7"/>
        <v>516</v>
      </c>
    </row>
    <row r="74" spans="1:15" ht="15.75" thickBot="1" x14ac:dyDescent="0.25">
      <c r="A74" s="117"/>
      <c r="B74" s="122">
        <v>8</v>
      </c>
      <c r="C74" s="123">
        <v>100599</v>
      </c>
      <c r="D74" s="124">
        <v>229046</v>
      </c>
      <c r="E74" s="125">
        <v>101088</v>
      </c>
      <c r="F74" s="117"/>
      <c r="G74" s="122">
        <v>8</v>
      </c>
      <c r="H74" s="123">
        <v>101204</v>
      </c>
      <c r="I74" s="124">
        <v>230720</v>
      </c>
      <c r="J74" s="125">
        <v>101799</v>
      </c>
      <c r="K74" s="117"/>
      <c r="L74" s="121">
        <v>8</v>
      </c>
      <c r="M74" s="126">
        <f t="shared" si="7"/>
        <v>605</v>
      </c>
      <c r="N74" s="126">
        <f t="shared" si="7"/>
        <v>1674</v>
      </c>
      <c r="O74" s="126">
        <f t="shared" si="7"/>
        <v>711</v>
      </c>
    </row>
    <row r="75" spans="1:15" ht="15.75" thickBot="1" x14ac:dyDescent="0.25">
      <c r="A75" s="117"/>
      <c r="B75" s="122">
        <v>9</v>
      </c>
      <c r="C75" s="123">
        <v>64607</v>
      </c>
      <c r="D75" s="124">
        <v>130645</v>
      </c>
      <c r="E75" s="125">
        <v>130299</v>
      </c>
      <c r="F75" s="117"/>
      <c r="G75" s="122">
        <v>9</v>
      </c>
      <c r="H75" s="123">
        <v>64753</v>
      </c>
      <c r="I75" s="124">
        <v>131474</v>
      </c>
      <c r="J75" s="125">
        <v>131484</v>
      </c>
      <c r="K75" s="117"/>
      <c r="L75" s="121">
        <v>9</v>
      </c>
      <c r="M75" s="126">
        <f t="shared" si="7"/>
        <v>146</v>
      </c>
      <c r="N75" s="126">
        <f t="shared" si="7"/>
        <v>829</v>
      </c>
      <c r="O75" s="126">
        <f t="shared" si="7"/>
        <v>1185</v>
      </c>
    </row>
    <row r="76" spans="1:15" ht="15.75" thickBot="1" x14ac:dyDescent="0.25">
      <c r="A76" s="117"/>
      <c r="B76" s="122">
        <v>10</v>
      </c>
      <c r="C76" s="123">
        <v>57303</v>
      </c>
      <c r="D76" s="124">
        <v>94460</v>
      </c>
      <c r="E76" s="125">
        <v>128547</v>
      </c>
      <c r="F76" s="117"/>
      <c r="G76" s="122">
        <v>10</v>
      </c>
      <c r="H76" s="123">
        <v>58180</v>
      </c>
      <c r="I76" s="124">
        <v>95587</v>
      </c>
      <c r="J76" s="125">
        <v>129723</v>
      </c>
      <c r="K76" s="117"/>
      <c r="L76" s="121">
        <v>10</v>
      </c>
      <c r="M76" s="126">
        <f t="shared" si="7"/>
        <v>877</v>
      </c>
      <c r="N76" s="126">
        <f t="shared" si="7"/>
        <v>1127</v>
      </c>
      <c r="O76" s="126">
        <f t="shared" si="7"/>
        <v>1176</v>
      </c>
    </row>
    <row r="77" spans="1:15" ht="15.75" thickBot="1" x14ac:dyDescent="0.25">
      <c r="A77" s="117"/>
      <c r="B77" s="122">
        <v>11</v>
      </c>
      <c r="C77" s="123">
        <v>142639</v>
      </c>
      <c r="D77" s="124">
        <v>171927</v>
      </c>
      <c r="E77" s="125">
        <v>196466</v>
      </c>
      <c r="F77" s="117"/>
      <c r="G77" s="122">
        <v>11</v>
      </c>
      <c r="H77" s="123">
        <v>143510</v>
      </c>
      <c r="I77" s="124">
        <v>172422</v>
      </c>
      <c r="J77" s="125">
        <v>197289</v>
      </c>
      <c r="K77" s="117"/>
      <c r="L77" s="121">
        <v>11</v>
      </c>
      <c r="M77" s="126">
        <f t="shared" si="7"/>
        <v>871</v>
      </c>
      <c r="N77" s="126">
        <f t="shared" si="7"/>
        <v>495</v>
      </c>
      <c r="O77" s="126">
        <f t="shared" si="7"/>
        <v>823</v>
      </c>
    </row>
    <row r="78" spans="1:15" ht="15.75" thickBot="1" x14ac:dyDescent="0.25">
      <c r="A78" s="117"/>
      <c r="B78" s="122">
        <v>12</v>
      </c>
      <c r="C78" s="123">
        <v>131092</v>
      </c>
      <c r="D78" s="124">
        <v>90606</v>
      </c>
      <c r="E78" s="125">
        <v>96303</v>
      </c>
      <c r="F78" s="117"/>
      <c r="G78" s="122">
        <v>12</v>
      </c>
      <c r="H78" s="123">
        <v>131815</v>
      </c>
      <c r="I78" s="124">
        <v>90700</v>
      </c>
      <c r="J78" s="125">
        <v>96543</v>
      </c>
      <c r="K78" s="117"/>
      <c r="L78" s="121">
        <v>12</v>
      </c>
      <c r="M78" s="126">
        <f t="shared" si="7"/>
        <v>723</v>
      </c>
      <c r="N78" s="126">
        <f>I78-D78</f>
        <v>94</v>
      </c>
      <c r="O78" s="126">
        <f t="shared" si="7"/>
        <v>240</v>
      </c>
    </row>
    <row r="79" spans="1:15" ht="15.75" thickBot="1" x14ac:dyDescent="0.25">
      <c r="A79" s="117"/>
      <c r="B79" s="122">
        <v>14</v>
      </c>
      <c r="C79" s="123">
        <v>118083</v>
      </c>
      <c r="D79" s="124">
        <v>45487</v>
      </c>
      <c r="E79" s="125">
        <v>47722</v>
      </c>
      <c r="F79" s="117"/>
      <c r="G79" s="122">
        <v>14</v>
      </c>
      <c r="H79" s="123">
        <v>118763</v>
      </c>
      <c r="I79" s="124">
        <v>45520</v>
      </c>
      <c r="J79" s="125">
        <v>47864</v>
      </c>
      <c r="K79" s="117"/>
      <c r="L79" s="121">
        <v>14</v>
      </c>
      <c r="M79" s="126">
        <f t="shared" si="7"/>
        <v>680</v>
      </c>
      <c r="N79" s="126">
        <f t="shared" si="7"/>
        <v>33</v>
      </c>
      <c r="O79" s="126">
        <f t="shared" si="7"/>
        <v>142</v>
      </c>
    </row>
    <row r="80" spans="1:15" ht="15.75" thickBot="1" x14ac:dyDescent="0.25">
      <c r="A80" s="117"/>
      <c r="B80" s="122">
        <v>15</v>
      </c>
      <c r="C80" s="123">
        <v>152690</v>
      </c>
      <c r="D80" s="124">
        <v>127783</v>
      </c>
      <c r="E80" s="125">
        <v>147405</v>
      </c>
      <c r="F80" s="117"/>
      <c r="G80" s="122">
        <v>15</v>
      </c>
      <c r="H80" s="123">
        <v>153467</v>
      </c>
      <c r="I80" s="124">
        <v>128334</v>
      </c>
      <c r="J80" s="125">
        <v>148481</v>
      </c>
      <c r="K80" s="117"/>
      <c r="L80" s="121">
        <v>15</v>
      </c>
      <c r="M80" s="126">
        <f t="shared" si="7"/>
        <v>777</v>
      </c>
      <c r="N80" s="126">
        <f t="shared" si="7"/>
        <v>551</v>
      </c>
      <c r="O80" s="126">
        <f t="shared" si="7"/>
        <v>1076</v>
      </c>
    </row>
    <row r="81" spans="1:15" ht="15.75" thickBot="1" x14ac:dyDescent="0.25">
      <c r="A81" s="117"/>
      <c r="B81" s="122">
        <v>16</v>
      </c>
      <c r="C81" s="123">
        <v>117994</v>
      </c>
      <c r="D81" s="124">
        <v>131839</v>
      </c>
      <c r="E81" s="125">
        <v>200125</v>
      </c>
      <c r="F81" s="117"/>
      <c r="G81" s="122">
        <v>16</v>
      </c>
      <c r="H81" s="123">
        <v>118549</v>
      </c>
      <c r="I81" s="124">
        <v>132484</v>
      </c>
      <c r="J81" s="125">
        <v>201106</v>
      </c>
      <c r="K81" s="117"/>
      <c r="L81" s="121">
        <v>16</v>
      </c>
      <c r="M81" s="126">
        <f t="shared" si="7"/>
        <v>555</v>
      </c>
      <c r="N81" s="126">
        <f t="shared" si="7"/>
        <v>645</v>
      </c>
      <c r="O81" s="126">
        <f t="shared" si="7"/>
        <v>981</v>
      </c>
    </row>
    <row r="82" spans="1:15" ht="15.75" thickBot="1" x14ac:dyDescent="0.25">
      <c r="A82" s="117"/>
      <c r="B82" s="122">
        <v>17</v>
      </c>
      <c r="C82" s="123">
        <v>38476</v>
      </c>
      <c r="D82" s="124">
        <v>78924</v>
      </c>
      <c r="E82" s="125">
        <v>189821</v>
      </c>
      <c r="F82" s="117"/>
      <c r="G82" s="122">
        <v>17</v>
      </c>
      <c r="H82" s="123">
        <v>38476</v>
      </c>
      <c r="I82" s="124">
        <v>79351</v>
      </c>
      <c r="J82" s="125">
        <v>190216</v>
      </c>
      <c r="K82" s="117"/>
      <c r="L82" s="121">
        <v>17</v>
      </c>
      <c r="M82" s="126">
        <f t="shared" si="7"/>
        <v>0</v>
      </c>
      <c r="N82" s="126">
        <f t="shared" si="7"/>
        <v>427</v>
      </c>
      <c r="O82" s="126">
        <f t="shared" si="7"/>
        <v>395</v>
      </c>
    </row>
    <row r="83" spans="1:15" ht="15.75" thickBot="1" x14ac:dyDescent="0.25">
      <c r="A83" s="117"/>
      <c r="B83" s="122">
        <v>18</v>
      </c>
      <c r="C83" s="123">
        <v>130353</v>
      </c>
      <c r="D83" s="124">
        <v>66074</v>
      </c>
      <c r="E83" s="125">
        <v>156441</v>
      </c>
      <c r="F83" s="117"/>
      <c r="G83" s="122">
        <v>18</v>
      </c>
      <c r="H83" s="123">
        <v>131049</v>
      </c>
      <c r="I83" s="124">
        <v>66369</v>
      </c>
      <c r="J83" s="125">
        <v>156766</v>
      </c>
      <c r="K83" s="117"/>
      <c r="L83" s="121">
        <v>18</v>
      </c>
      <c r="M83" s="126">
        <f t="shared" si="7"/>
        <v>696</v>
      </c>
      <c r="N83" s="126">
        <f t="shared" si="7"/>
        <v>295</v>
      </c>
      <c r="O83" s="126">
        <f t="shared" si="7"/>
        <v>325</v>
      </c>
    </row>
    <row r="84" spans="1:15" ht="15.75" thickBot="1" x14ac:dyDescent="0.25">
      <c r="A84" s="117"/>
      <c r="B84" s="122">
        <v>19</v>
      </c>
      <c r="C84" s="123">
        <v>67089</v>
      </c>
      <c r="D84" s="124">
        <v>159899</v>
      </c>
      <c r="E84" s="125">
        <v>108595</v>
      </c>
      <c r="F84" s="117"/>
      <c r="G84" s="122">
        <v>19</v>
      </c>
      <c r="H84" s="123">
        <v>67611</v>
      </c>
      <c r="I84" s="124">
        <v>160379</v>
      </c>
      <c r="J84" s="125">
        <v>109188</v>
      </c>
      <c r="K84" s="117"/>
      <c r="L84" s="121">
        <v>19</v>
      </c>
      <c r="M84" s="126">
        <f t="shared" si="7"/>
        <v>522</v>
      </c>
      <c r="N84" s="126">
        <f t="shared" si="7"/>
        <v>480</v>
      </c>
      <c r="O84" s="126">
        <f t="shared" si="7"/>
        <v>593</v>
      </c>
    </row>
    <row r="85" spans="1:15" ht="15.75" thickBot="1" x14ac:dyDescent="0.25">
      <c r="A85" s="117"/>
      <c r="B85" s="122">
        <v>20</v>
      </c>
      <c r="C85" s="123">
        <v>135732</v>
      </c>
      <c r="D85" s="124">
        <v>161731</v>
      </c>
      <c r="E85" s="125">
        <v>83107</v>
      </c>
      <c r="F85" s="117"/>
      <c r="G85" s="122">
        <v>20</v>
      </c>
      <c r="H85" s="123">
        <v>136054</v>
      </c>
      <c r="I85" s="124">
        <v>162032</v>
      </c>
      <c r="J85" s="125">
        <v>83166</v>
      </c>
      <c r="K85" s="117"/>
      <c r="L85" s="121">
        <v>20</v>
      </c>
      <c r="M85" s="126">
        <f>H85-C85</f>
        <v>322</v>
      </c>
      <c r="N85" s="126">
        <f t="shared" si="7"/>
        <v>301</v>
      </c>
      <c r="O85" s="126">
        <f t="shared" si="7"/>
        <v>59</v>
      </c>
    </row>
    <row r="86" spans="1:15" ht="15.75" thickBot="1" x14ac:dyDescent="0.25">
      <c r="A86" s="117"/>
      <c r="B86" s="122">
        <v>21</v>
      </c>
      <c r="C86" s="123">
        <v>184168</v>
      </c>
      <c r="D86" s="124">
        <v>83694</v>
      </c>
      <c r="E86" s="125">
        <v>94239</v>
      </c>
      <c r="F86" s="117"/>
      <c r="G86" s="122">
        <v>21</v>
      </c>
      <c r="H86" s="123">
        <v>184371</v>
      </c>
      <c r="I86" s="124">
        <v>83965</v>
      </c>
      <c r="J86" s="125">
        <v>95234</v>
      </c>
      <c r="K86" s="117"/>
      <c r="L86" s="121">
        <v>21</v>
      </c>
      <c r="M86" s="126">
        <f t="shared" si="7"/>
        <v>203</v>
      </c>
      <c r="N86" s="126">
        <f t="shared" si="7"/>
        <v>271</v>
      </c>
      <c r="O86" s="126">
        <f t="shared" si="7"/>
        <v>995</v>
      </c>
    </row>
    <row r="87" spans="1:15" ht="15.75" thickBot="1" x14ac:dyDescent="0.25">
      <c r="A87" s="117"/>
      <c r="B87" s="122">
        <v>22</v>
      </c>
      <c r="C87" s="123">
        <v>111371</v>
      </c>
      <c r="D87" s="124">
        <v>80985</v>
      </c>
      <c r="E87" s="125">
        <v>100538</v>
      </c>
      <c r="F87" s="117"/>
      <c r="G87" s="122">
        <v>22</v>
      </c>
      <c r="H87" s="123">
        <v>112372</v>
      </c>
      <c r="I87" s="124">
        <v>81129</v>
      </c>
      <c r="J87" s="125">
        <v>101178</v>
      </c>
      <c r="K87" s="117"/>
      <c r="L87" s="121">
        <v>22</v>
      </c>
      <c r="M87" s="126">
        <f t="shared" si="7"/>
        <v>1001</v>
      </c>
      <c r="N87" s="126">
        <f t="shared" si="7"/>
        <v>144</v>
      </c>
      <c r="O87" s="126">
        <f t="shared" si="7"/>
        <v>640</v>
      </c>
    </row>
    <row r="88" spans="1:15" ht="15.75" thickBot="1" x14ac:dyDescent="0.25">
      <c r="A88" s="117"/>
      <c r="B88" s="122">
        <v>23</v>
      </c>
      <c r="C88" s="123">
        <v>119122</v>
      </c>
      <c r="D88" s="124">
        <v>141806</v>
      </c>
      <c r="E88" s="125">
        <v>276327</v>
      </c>
      <c r="F88" s="117"/>
      <c r="G88" s="122">
        <v>23</v>
      </c>
      <c r="H88" s="123">
        <v>119447</v>
      </c>
      <c r="I88" s="124">
        <v>142086</v>
      </c>
      <c r="J88" s="125">
        <v>278440</v>
      </c>
      <c r="K88" s="117"/>
      <c r="L88" s="121">
        <v>23</v>
      </c>
      <c r="M88" s="126">
        <f t="shared" si="7"/>
        <v>325</v>
      </c>
      <c r="N88" s="126">
        <f t="shared" si="7"/>
        <v>280</v>
      </c>
      <c r="O88" s="126">
        <f t="shared" si="7"/>
        <v>2113</v>
      </c>
    </row>
    <row r="89" spans="1:15" ht="15.75" thickBot="1" x14ac:dyDescent="0.25">
      <c r="A89" s="117"/>
      <c r="B89" s="122">
        <v>24</v>
      </c>
      <c r="C89" s="123">
        <v>75666</v>
      </c>
      <c r="D89" s="124">
        <v>140747</v>
      </c>
      <c r="E89" s="125">
        <v>96251</v>
      </c>
      <c r="F89" s="117"/>
      <c r="G89" s="122">
        <v>24</v>
      </c>
      <c r="H89" s="123">
        <v>75812</v>
      </c>
      <c r="I89" s="124">
        <v>141205</v>
      </c>
      <c r="J89" s="125">
        <v>96418</v>
      </c>
      <c r="K89" s="117"/>
      <c r="L89" s="121">
        <v>24</v>
      </c>
      <c r="M89" s="126">
        <f t="shared" si="7"/>
        <v>146</v>
      </c>
      <c r="N89" s="126">
        <f t="shared" si="7"/>
        <v>458</v>
      </c>
      <c r="O89" s="126">
        <f>J89-E89</f>
        <v>167</v>
      </c>
    </row>
    <row r="90" spans="1:15" ht="15.75" thickBot="1" x14ac:dyDescent="0.25">
      <c r="A90" s="117"/>
      <c r="B90" s="122">
        <v>25</v>
      </c>
      <c r="C90" s="123">
        <v>114313</v>
      </c>
      <c r="D90" s="124">
        <v>171066</v>
      </c>
      <c r="E90" s="125">
        <v>143523</v>
      </c>
      <c r="F90" s="117"/>
      <c r="G90" s="122">
        <v>25</v>
      </c>
      <c r="H90" s="123">
        <v>114736</v>
      </c>
      <c r="I90" s="124">
        <v>171494</v>
      </c>
      <c r="J90" s="125">
        <v>144566</v>
      </c>
      <c r="K90" s="117"/>
      <c r="L90" s="121">
        <v>25</v>
      </c>
      <c r="M90" s="126">
        <f t="shared" si="7"/>
        <v>423</v>
      </c>
      <c r="N90" s="126">
        <f t="shared" si="7"/>
        <v>428</v>
      </c>
      <c r="O90" s="126">
        <f>J90-E90</f>
        <v>1043</v>
      </c>
    </row>
    <row r="91" spans="1:15" ht="15.75" thickBot="1" x14ac:dyDescent="0.25">
      <c r="A91" s="117"/>
      <c r="B91" s="122">
        <v>26</v>
      </c>
      <c r="C91" s="123">
        <v>108289</v>
      </c>
      <c r="D91" s="124">
        <v>47495</v>
      </c>
      <c r="E91" s="124">
        <v>48541</v>
      </c>
      <c r="F91" s="117"/>
      <c r="G91" s="122">
        <v>26</v>
      </c>
      <c r="H91" s="123">
        <v>108515</v>
      </c>
      <c r="I91" s="124">
        <v>47624</v>
      </c>
      <c r="J91" s="124">
        <v>48774</v>
      </c>
      <c r="K91" s="117"/>
      <c r="L91" s="121">
        <v>26</v>
      </c>
      <c r="M91" s="126">
        <f t="shared" si="7"/>
        <v>226</v>
      </c>
      <c r="N91" s="126">
        <f t="shared" si="7"/>
        <v>129</v>
      </c>
      <c r="O91" s="126">
        <f t="shared" si="7"/>
        <v>233</v>
      </c>
    </row>
    <row r="92" spans="1:15" ht="15.75" thickBot="1" x14ac:dyDescent="0.25">
      <c r="A92" s="117"/>
      <c r="B92" s="122">
        <v>27</v>
      </c>
      <c r="C92" s="123">
        <v>96679</v>
      </c>
      <c r="D92" s="124">
        <v>105014</v>
      </c>
      <c r="E92" s="125">
        <v>116481</v>
      </c>
      <c r="F92" s="117"/>
      <c r="G92" s="122">
        <v>27</v>
      </c>
      <c r="H92" s="123">
        <v>96958</v>
      </c>
      <c r="I92" s="124">
        <v>105340</v>
      </c>
      <c r="J92" s="125">
        <v>116834</v>
      </c>
      <c r="K92" s="117"/>
      <c r="L92" s="121">
        <v>27</v>
      </c>
      <c r="M92" s="126">
        <f t="shared" si="7"/>
        <v>279</v>
      </c>
      <c r="N92" s="126">
        <f t="shared" si="7"/>
        <v>326</v>
      </c>
      <c r="O92" s="126">
        <f t="shared" si="7"/>
        <v>353</v>
      </c>
    </row>
    <row r="93" spans="1:15" ht="15.75" thickBot="1" x14ac:dyDescent="0.25">
      <c r="A93" s="117"/>
      <c r="B93" s="122">
        <v>28</v>
      </c>
      <c r="C93" s="123">
        <v>176785</v>
      </c>
      <c r="D93" s="124">
        <v>100309</v>
      </c>
      <c r="E93" s="125">
        <v>99914</v>
      </c>
      <c r="F93" s="117"/>
      <c r="G93" s="122">
        <v>28</v>
      </c>
      <c r="H93" s="123">
        <v>177272</v>
      </c>
      <c r="I93" s="124">
        <v>100463</v>
      </c>
      <c r="J93" s="125">
        <v>100012</v>
      </c>
      <c r="K93" s="117"/>
      <c r="L93" s="121">
        <v>28</v>
      </c>
      <c r="M93" s="126">
        <f t="shared" si="7"/>
        <v>487</v>
      </c>
      <c r="N93" s="126">
        <f t="shared" si="7"/>
        <v>154</v>
      </c>
      <c r="O93" s="126">
        <f t="shared" si="7"/>
        <v>98</v>
      </c>
    </row>
    <row r="94" spans="1:15" ht="15.75" thickBot="1" x14ac:dyDescent="0.25">
      <c r="A94" s="117"/>
      <c r="B94" s="122">
        <v>29</v>
      </c>
      <c r="C94" s="123">
        <v>74093</v>
      </c>
      <c r="D94" s="124"/>
      <c r="E94" s="125"/>
      <c r="F94" s="117"/>
      <c r="G94" s="122">
        <v>29</v>
      </c>
      <c r="H94" s="123">
        <v>74246</v>
      </c>
      <c r="I94" s="124"/>
      <c r="J94" s="125"/>
      <c r="K94" s="117"/>
      <c r="L94" s="121">
        <v>29</v>
      </c>
      <c r="M94" s="126">
        <f t="shared" si="7"/>
        <v>153</v>
      </c>
      <c r="N94" s="126">
        <f t="shared" si="7"/>
        <v>0</v>
      </c>
      <c r="O94" s="126"/>
    </row>
    <row r="95" spans="1:15" ht="15.75" thickBot="1" x14ac:dyDescent="0.25">
      <c r="A95" s="117"/>
      <c r="B95" s="122">
        <v>30</v>
      </c>
      <c r="C95" s="123">
        <v>14818</v>
      </c>
      <c r="D95" s="124"/>
      <c r="E95" s="125"/>
      <c r="F95" s="117"/>
      <c r="G95" s="122">
        <v>30</v>
      </c>
      <c r="H95" s="123">
        <v>14818</v>
      </c>
      <c r="I95" s="124"/>
      <c r="J95" s="125"/>
      <c r="K95" s="117"/>
      <c r="L95" s="121">
        <v>30</v>
      </c>
      <c r="M95" s="126">
        <f t="shared" si="7"/>
        <v>0</v>
      </c>
      <c r="N95" s="126">
        <f t="shared" si="7"/>
        <v>0</v>
      </c>
      <c r="O95" s="117"/>
    </row>
  </sheetData>
  <mergeCells count="55">
    <mergeCell ref="K63:K64"/>
    <mergeCell ref="O63:O64"/>
    <mergeCell ref="C65:F65"/>
    <mergeCell ref="J65:M65"/>
    <mergeCell ref="B70:E70"/>
    <mergeCell ref="G70:J70"/>
    <mergeCell ref="L70:O70"/>
    <mergeCell ref="C60:C61"/>
    <mergeCell ref="J60:J61"/>
    <mergeCell ref="C63:C64"/>
    <mergeCell ref="D63:D64"/>
    <mergeCell ref="H63:H64"/>
    <mergeCell ref="J63:J64"/>
    <mergeCell ref="C53:C55"/>
    <mergeCell ref="J53:J55"/>
    <mergeCell ref="C56:C57"/>
    <mergeCell ref="J56:J57"/>
    <mergeCell ref="C58:C59"/>
    <mergeCell ref="J58:J59"/>
    <mergeCell ref="C46:C47"/>
    <mergeCell ref="J46:J47"/>
    <mergeCell ref="C48:C49"/>
    <mergeCell ref="J48:J49"/>
    <mergeCell ref="C50:C51"/>
    <mergeCell ref="J50:J51"/>
    <mergeCell ref="C36:C38"/>
    <mergeCell ref="J36:J38"/>
    <mergeCell ref="C39:C41"/>
    <mergeCell ref="J39:J41"/>
    <mergeCell ref="C42:C44"/>
    <mergeCell ref="J42:J44"/>
    <mergeCell ref="C27:C29"/>
    <mergeCell ref="J27:J29"/>
    <mergeCell ref="C30:C32"/>
    <mergeCell ref="J30:J32"/>
    <mergeCell ref="C33:C35"/>
    <mergeCell ref="J33:J35"/>
    <mergeCell ref="C18:C20"/>
    <mergeCell ref="J18:J20"/>
    <mergeCell ref="C21:C23"/>
    <mergeCell ref="J21:J23"/>
    <mergeCell ref="C24:C26"/>
    <mergeCell ref="J24:J26"/>
    <mergeCell ref="C9:C11"/>
    <mergeCell ref="J9:J11"/>
    <mergeCell ref="C12:C14"/>
    <mergeCell ref="J12:J14"/>
    <mergeCell ref="C15:C17"/>
    <mergeCell ref="J15:J17"/>
    <mergeCell ref="C1:H1"/>
    <mergeCell ref="J1:O1"/>
    <mergeCell ref="C3:C5"/>
    <mergeCell ref="J3:J5"/>
    <mergeCell ref="C6:C8"/>
    <mergeCell ref="J6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2020-01-31T07:47:10Z</dcterms:modified>
</cp:coreProperties>
</file>