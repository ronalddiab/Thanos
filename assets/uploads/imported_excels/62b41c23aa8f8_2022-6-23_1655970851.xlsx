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06 - 2022" sheetId="5" r:id="rId1"/>
    <sheet name="Total Daily " sheetId="3" r:id="rId2"/>
    <sheet name="Submetering Daily " sheetId="2" r:id="rId3"/>
  </sheets>
  <definedNames>
    <definedName name="_xlnm.Print_Area" localSheetId="0">'06 - 2022'!$A$1:$J$35</definedName>
  </definedNames>
  <calcPr calcId="162913"/>
</workbook>
</file>

<file path=xl/calcChain.xml><?xml version="1.0" encoding="utf-8"?>
<calcChain xmlns="http://schemas.openxmlformats.org/spreadsheetml/2006/main">
  <c r="J24" i="2" l="1"/>
  <c r="I24" i="2"/>
  <c r="H24" i="2"/>
  <c r="F24" i="2"/>
  <c r="E24" i="2"/>
  <c r="L24" i="3"/>
  <c r="K24" i="3"/>
  <c r="I24" i="3"/>
  <c r="G24" i="3"/>
  <c r="E24" i="3"/>
  <c r="J23" i="2" l="1"/>
  <c r="I23" i="2"/>
  <c r="H23" i="2"/>
  <c r="F23" i="2"/>
  <c r="E23" i="2"/>
  <c r="L23" i="3"/>
  <c r="K23" i="3"/>
  <c r="I23" i="3"/>
  <c r="G23" i="3"/>
  <c r="E23" i="3"/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A12" i="5"/>
  <c r="A13" i="5" s="1"/>
  <c r="A11" i="5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H38" i="5"/>
  <c r="G38" i="5"/>
  <c r="F38" i="5"/>
  <c r="E38" i="5"/>
  <c r="C38" i="5"/>
  <c r="B38" i="5"/>
  <c r="A8" i="5"/>
  <c r="A9" i="5" s="1"/>
  <c r="A10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<sst xmlns="http://schemas.openxmlformats.org/spreadsheetml/2006/main" count="105" uniqueCount="38">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</sst>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A7" zoomScaleNormal="100" workbookViewId="0">
      <selection activeCell="F34" sqref="F34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  <c r="K3" s="54"/>
      <c r="L3" s="5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54"/>
      <c r="L4" s="54"/>
    </row>
    <row r="5" spans="1:17" ht="16.5" thickBot="1" x14ac:dyDescent="0.3">
      <c r="A5" s="56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>
        <v>3500</v>
      </c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>
        <v>144591</v>
      </c>
      <c r="C15" s="35">
        <v>956596</v>
      </c>
      <c r="D15" s="43">
        <v>0.45</v>
      </c>
      <c r="E15" s="40">
        <v>2075.39</v>
      </c>
      <c r="F15" s="26">
        <v>2364</v>
      </c>
      <c r="G15" s="34">
        <v>42715.040000000001</v>
      </c>
      <c r="H15" s="68">
        <v>14528</v>
      </c>
      <c r="I15" s="35">
        <v>159871</v>
      </c>
      <c r="J15" s="35">
        <v>56065336</v>
      </c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>
        <v>148386</v>
      </c>
      <c r="C16" s="35">
        <v>961989</v>
      </c>
      <c r="D16" s="43">
        <v>0.37</v>
      </c>
      <c r="E16" s="40">
        <v>2106.1799999999998</v>
      </c>
      <c r="F16" s="26">
        <v>2372.2199999999998</v>
      </c>
      <c r="G16" s="34">
        <v>42747.05</v>
      </c>
      <c r="H16" s="68">
        <v>14528</v>
      </c>
      <c r="I16" s="35">
        <v>159980</v>
      </c>
      <c r="J16" s="35">
        <v>56091975</v>
      </c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>
        <v>152349</v>
      </c>
      <c r="C17" s="34">
        <v>967689</v>
      </c>
      <c r="D17" s="43">
        <v>0.3</v>
      </c>
      <c r="E17" s="40">
        <v>2125.54</v>
      </c>
      <c r="F17" s="26">
        <v>2381.64</v>
      </c>
      <c r="G17" s="34">
        <v>42784.3</v>
      </c>
      <c r="H17" s="68">
        <v>14528</v>
      </c>
      <c r="I17" s="34">
        <v>160104</v>
      </c>
      <c r="J17" s="34">
        <v>56117999</v>
      </c>
      <c r="K17" s="71">
        <v>3850</v>
      </c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>
        <v>156328</v>
      </c>
      <c r="C18" s="35">
        <v>973572</v>
      </c>
      <c r="D18" s="43">
        <v>0.8</v>
      </c>
      <c r="E18" s="40">
        <v>2153.88</v>
      </c>
      <c r="F18" s="26">
        <v>2391.0500000000002</v>
      </c>
      <c r="G18" s="34">
        <v>42817.22</v>
      </c>
      <c r="H18" s="68">
        <v>14528</v>
      </c>
      <c r="I18" s="35">
        <v>160231</v>
      </c>
      <c r="J18" s="35">
        <v>56150544</v>
      </c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>
        <v>160169</v>
      </c>
      <c r="C19" s="37">
        <v>979186</v>
      </c>
      <c r="D19" s="43">
        <v>0.72</v>
      </c>
      <c r="E19" s="40">
        <v>2180.1</v>
      </c>
      <c r="F19" s="26">
        <v>2400.34</v>
      </c>
      <c r="G19" s="38">
        <v>42850.96</v>
      </c>
      <c r="H19" s="68">
        <v>14528</v>
      </c>
      <c r="I19" s="37">
        <v>160345</v>
      </c>
      <c r="J19" s="37">
        <v>56180641</v>
      </c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>
        <v>163939</v>
      </c>
      <c r="C20" s="37">
        <v>984800</v>
      </c>
      <c r="D20" s="43">
        <v>0.64</v>
      </c>
      <c r="E20" s="40">
        <v>2206.46</v>
      </c>
      <c r="F20" s="26">
        <v>2409.25</v>
      </c>
      <c r="G20" s="38">
        <v>42882.99</v>
      </c>
      <c r="H20" s="68">
        <v>14528</v>
      </c>
      <c r="I20" s="37">
        <v>160453</v>
      </c>
      <c r="J20" s="37">
        <v>56211570</v>
      </c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>
        <v>168108</v>
      </c>
      <c r="C21" s="37">
        <v>990401</v>
      </c>
      <c r="D21" s="43">
        <v>0.56999999999999995</v>
      </c>
      <c r="E21" s="45">
        <v>2231.58</v>
      </c>
      <c r="F21" s="83">
        <v>2416.9699999999998</v>
      </c>
      <c r="G21" s="38">
        <v>42915.31</v>
      </c>
      <c r="H21" s="68">
        <v>14528</v>
      </c>
      <c r="I21" s="37">
        <v>160571</v>
      </c>
      <c r="J21" s="37">
        <v>56244345</v>
      </c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>
        <v>172372</v>
      </c>
      <c r="C22" s="74">
        <v>996264</v>
      </c>
      <c r="D22" s="43">
        <v>0.5</v>
      </c>
      <c r="E22" s="40">
        <v>2254.89</v>
      </c>
      <c r="F22" s="26">
        <v>2425.48</v>
      </c>
      <c r="G22" s="38">
        <v>42947.82</v>
      </c>
      <c r="H22" s="68">
        <v>14528</v>
      </c>
      <c r="I22" s="38">
        <v>160684</v>
      </c>
      <c r="J22" s="37">
        <v>56277484</v>
      </c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>
        <v>176158</v>
      </c>
      <c r="C23" s="37">
        <v>1001844.71</v>
      </c>
      <c r="D23" s="43">
        <v>0.43</v>
      </c>
      <c r="E23" s="45">
        <v>2279.37</v>
      </c>
      <c r="F23" s="26">
        <v>2433.3200000000002</v>
      </c>
      <c r="G23" s="38">
        <v>42976.83</v>
      </c>
      <c r="H23" s="68">
        <v>14528</v>
      </c>
      <c r="I23" s="37">
        <v>160801</v>
      </c>
      <c r="J23" s="37">
        <v>56308968</v>
      </c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>
        <v>180197</v>
      </c>
      <c r="C24" s="37">
        <v>1007627.28</v>
      </c>
      <c r="D24" s="43">
        <v>0.32</v>
      </c>
      <c r="E24" s="40">
        <v>2306.94</v>
      </c>
      <c r="F24" s="26">
        <v>2441.21</v>
      </c>
      <c r="G24" s="38">
        <v>43007.87</v>
      </c>
      <c r="H24" s="68">
        <v>14528</v>
      </c>
      <c r="I24" s="37">
        <v>160930</v>
      </c>
      <c r="J24" s="37">
        <v>56339060</v>
      </c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>
        <v>184120</v>
      </c>
      <c r="C25" s="38">
        <v>1013504.7</v>
      </c>
      <c r="D25" s="43">
        <v>0.26</v>
      </c>
      <c r="E25" s="40">
        <v>2330.59</v>
      </c>
      <c r="F25" s="26">
        <v>2449.35</v>
      </c>
      <c r="G25" s="38">
        <v>43045.85</v>
      </c>
      <c r="H25" s="68">
        <v>14528</v>
      </c>
      <c r="I25" s="37">
        <v>161062</v>
      </c>
      <c r="J25" s="37">
        <v>56377015</v>
      </c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>
        <v>188007</v>
      </c>
      <c r="C26" s="38">
        <v>1019451.6</v>
      </c>
      <c r="D26" s="43">
        <v>0.78</v>
      </c>
      <c r="E26" s="40">
        <v>2358.0500000000002</v>
      </c>
      <c r="F26" s="26">
        <v>2457.83</v>
      </c>
      <c r="G26" s="38">
        <v>43082.7</v>
      </c>
      <c r="H26" s="68">
        <v>14528</v>
      </c>
      <c r="I26" s="37">
        <v>161185</v>
      </c>
      <c r="J26" s="37">
        <v>56416250</v>
      </c>
      <c r="K26" s="71">
        <v>4100</v>
      </c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>
        <v>191955</v>
      </c>
      <c r="C27" s="37">
        <v>1025299.7</v>
      </c>
      <c r="D27" s="43">
        <v>0.71</v>
      </c>
      <c r="E27" s="45">
        <v>2385.14</v>
      </c>
      <c r="F27" s="26">
        <v>2466.02</v>
      </c>
      <c r="G27" s="38">
        <v>43117.17</v>
      </c>
      <c r="H27" s="68">
        <v>14528</v>
      </c>
      <c r="I27" s="37">
        <v>161284</v>
      </c>
      <c r="J27" s="37">
        <v>56451259</v>
      </c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>
        <v>196050</v>
      </c>
      <c r="C28" s="37">
        <v>1031101.7</v>
      </c>
      <c r="D28" s="43">
        <v>0.64</v>
      </c>
      <c r="E28" s="45">
        <v>2409.4499999999998</v>
      </c>
      <c r="F28" s="26">
        <v>2473.5</v>
      </c>
      <c r="G28" s="38">
        <v>43151.18</v>
      </c>
      <c r="H28" s="68">
        <v>14528</v>
      </c>
      <c r="I28" s="37">
        <v>161397</v>
      </c>
      <c r="J28" s="37">
        <v>56486348</v>
      </c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>
        <v>200217</v>
      </c>
      <c r="C29" s="37">
        <v>1037064.3</v>
      </c>
      <c r="D29" s="43">
        <v>0.57999999999999996</v>
      </c>
      <c r="E29" s="45">
        <v>2436.5500000000002</v>
      </c>
      <c r="F29" s="26">
        <v>2482.2600000000002</v>
      </c>
      <c r="G29" s="38">
        <v>43184.14</v>
      </c>
      <c r="H29" s="68">
        <v>14528</v>
      </c>
      <c r="I29" s="37">
        <v>161499</v>
      </c>
      <c r="J29" s="37">
        <v>56518208</v>
      </c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>
        <v>203986</v>
      </c>
      <c r="C30" s="37">
        <v>1042738.6</v>
      </c>
      <c r="D30" s="43">
        <v>0.49</v>
      </c>
      <c r="E30" s="45">
        <v>2463.13</v>
      </c>
      <c r="F30" s="26">
        <v>2489.73</v>
      </c>
      <c r="G30" s="38">
        <v>43215.51</v>
      </c>
      <c r="H30" s="68">
        <v>14528</v>
      </c>
      <c r="I30" s="37">
        <v>161616</v>
      </c>
      <c r="J30" s="37">
        <v>56546070</v>
      </c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/>
      <c r="C31" s="37"/>
      <c r="D31" s="43"/>
      <c r="E31" s="45"/>
      <c r="F31" s="26"/>
      <c r="G31" s="38"/>
      <c r="H31" s="35"/>
      <c r="I31" s="37"/>
      <c r="J31" s="37"/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/>
      <c r="C32" s="37"/>
      <c r="D32" s="43"/>
      <c r="E32" s="40"/>
      <c r="F32" s="26"/>
      <c r="G32" s="38"/>
      <c r="H32" s="35"/>
      <c r="I32" s="37"/>
      <c r="J32" s="37"/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/>
      <c r="C33" s="37"/>
      <c r="D33" s="43"/>
      <c r="E33" s="40"/>
      <c r="F33" s="26"/>
      <c r="G33" s="38"/>
      <c r="H33" s="35"/>
      <c r="I33" s="37"/>
      <c r="J33" s="37"/>
      <c r="K33" s="71"/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/>
      <c r="C34" s="39"/>
      <c r="D34" s="43"/>
      <c r="E34" s="45"/>
      <c r="F34" s="26"/>
      <c r="G34" s="38"/>
      <c r="H34" s="35"/>
      <c r="I34" s="38"/>
      <c r="J34" s="38"/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/>
      <c r="C35" s="41"/>
      <c r="D35" s="43"/>
      <c r="E35" s="40"/>
      <c r="F35" s="34"/>
      <c r="G35" s="34"/>
      <c r="H35" s="35"/>
      <c r="I35" s="35"/>
      <c r="J35" s="35"/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11450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4" workbookViewId="0">
      <selection activeCell="M25" sqref="M2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9541</v>
      </c>
      <c r="F9" s="14">
        <v>0.11799999999999999</v>
      </c>
      <c r="G9" s="16">
        <f>'06 - 2022'!D15-'06 - 2022'!D14+'06 - 2022'!E15-'06 - 2022'!E14</f>
        <v>26.420000000000073</v>
      </c>
      <c r="H9" s="14">
        <v>0.99</v>
      </c>
      <c r="I9" s="16">
        <f>'06 - 2022'!J15-'06 - 2022'!J14</f>
        <v>27622</v>
      </c>
      <c r="J9" s="14">
        <v>8.1000000000000003E-2</v>
      </c>
      <c r="K9" s="23">
        <f>'06 - 2022'!H15-'06 - 2022'!H14</f>
        <v>0</v>
      </c>
      <c r="L9" s="16">
        <f>'06 - 2022'!I15-'06 - 2022'!I14</f>
        <v>113</v>
      </c>
      <c r="M9" s="15">
        <v>4.393629424766913</v>
      </c>
      <c r="N9" s="18">
        <v>76</v>
      </c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9188</v>
      </c>
      <c r="F10" s="14">
        <v>0.11799999999999999</v>
      </c>
      <c r="G10" s="16">
        <f>'06 - 2022'!D16-'06 - 2022'!D15+'06 - 2022'!E16-'06 - 2022'!E15</f>
        <v>30.710000000000036</v>
      </c>
      <c r="H10" s="14">
        <v>0.99</v>
      </c>
      <c r="I10" s="16">
        <f>'06 - 2022'!J16-'06 - 2022'!J15</f>
        <v>26639</v>
      </c>
      <c r="J10" s="14">
        <v>8.1000000000000003E-2</v>
      </c>
      <c r="K10" s="23">
        <f>'06 - 2022'!H16-'06 - 2022'!H15</f>
        <v>0</v>
      </c>
      <c r="L10" s="16">
        <f>'06 - 2022'!I16-'06 - 2022'!I15</f>
        <v>109</v>
      </c>
      <c r="M10" s="15">
        <v>4.393629424766913</v>
      </c>
      <c r="N10" s="18">
        <v>80</v>
      </c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9663</v>
      </c>
      <c r="F11" s="14">
        <v>0.11799999999999999</v>
      </c>
      <c r="G11" s="16">
        <f>'06 - 2022'!D17-'06 - 2022'!D16+'06 - 2022'!E17-'06 - 2022'!E16</f>
        <v>19.289999999999964</v>
      </c>
      <c r="H11" s="14">
        <v>0.99</v>
      </c>
      <c r="I11" s="16">
        <f>'06 - 2022'!J17-'06 - 2022'!J16</f>
        <v>26024</v>
      </c>
      <c r="J11" s="14">
        <v>8.1000000000000003E-2</v>
      </c>
      <c r="K11" s="23">
        <f>'06 - 2022'!H17-'06 - 2022'!H16</f>
        <v>0</v>
      </c>
      <c r="L11" s="16">
        <f>'06 - 2022'!I17-'06 - 2022'!I16</f>
        <v>124</v>
      </c>
      <c r="M11" s="15">
        <v>4.393629424766913</v>
      </c>
      <c r="N11" s="18">
        <v>81</v>
      </c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9862</v>
      </c>
      <c r="F12" s="14">
        <v>0.11799999999999999</v>
      </c>
      <c r="G12" s="16">
        <f>'06 - 2022'!D18-'06 - 2022'!D17+'06 - 2022'!E18-'06 - 2022'!E17</f>
        <v>28.840000000000146</v>
      </c>
      <c r="H12" s="14">
        <v>0.99</v>
      </c>
      <c r="I12" s="16">
        <f>'06 - 2022'!J18-'06 - 2022'!J17</f>
        <v>32545</v>
      </c>
      <c r="J12" s="14">
        <v>8.1000000000000003E-2</v>
      </c>
      <c r="K12" s="23">
        <f>'06 - 2022'!H18-'06 - 2022'!H17</f>
        <v>0</v>
      </c>
      <c r="L12" s="16">
        <f>'06 - 2022'!I18-'06 - 2022'!I17</f>
        <v>127</v>
      </c>
      <c r="M12" s="15">
        <v>4.393629424766913</v>
      </c>
      <c r="N12" s="16">
        <v>51</v>
      </c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9455</v>
      </c>
      <c r="F13" s="14">
        <v>0.11799999999999999</v>
      </c>
      <c r="G13" s="16">
        <f>'06 - 2022'!D19-'06 - 2022'!D18+'06 - 2022'!E19-'06 - 2022'!E18</f>
        <v>26.139999999999873</v>
      </c>
      <c r="H13" s="14">
        <v>0.99</v>
      </c>
      <c r="I13" s="16">
        <f>'06 - 2022'!J19-'06 - 2022'!J18</f>
        <v>30097</v>
      </c>
      <c r="J13" s="14">
        <v>8.1000000000000003E-2</v>
      </c>
      <c r="K13" s="23">
        <f>'06 - 2022'!H19-'06 - 2022'!H18</f>
        <v>0</v>
      </c>
      <c r="L13" s="16">
        <f>'06 - 2022'!I19-'06 - 2022'!I18</f>
        <v>114</v>
      </c>
      <c r="M13" s="15">
        <v>4.393629424766913</v>
      </c>
      <c r="N13" s="16">
        <v>44</v>
      </c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9384</v>
      </c>
      <c r="F14" s="14">
        <v>0.11799999999999999</v>
      </c>
      <c r="G14" s="16">
        <f>'06 - 2022'!D20-'06 - 2022'!D19+'06 - 2022'!E20-'06 - 2022'!E19</f>
        <v>26.2800000000002</v>
      </c>
      <c r="H14" s="14">
        <v>0.99</v>
      </c>
      <c r="I14" s="16">
        <f>'06 - 2022'!J20-'06 - 2022'!J19</f>
        <v>30929</v>
      </c>
      <c r="J14" s="14">
        <v>8.1000000000000003E-2</v>
      </c>
      <c r="K14" s="23">
        <f>'06 - 2022'!H20-'06 - 2022'!H19</f>
        <v>0</v>
      </c>
      <c r="L14" s="16">
        <f>'06 - 2022'!I20-'06 - 2022'!I19</f>
        <v>108</v>
      </c>
      <c r="M14" s="15">
        <v>4.393629424766913</v>
      </c>
      <c r="N14" s="16">
        <v>48</v>
      </c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9770</v>
      </c>
      <c r="F15" s="14">
        <v>0.11799999999999999</v>
      </c>
      <c r="G15" s="16">
        <f>'06 - 2022'!D21-'06 - 2022'!D20+'06 - 2022'!E21-'06 - 2022'!E20</f>
        <v>25.049999999999727</v>
      </c>
      <c r="H15" s="14">
        <v>0.99</v>
      </c>
      <c r="I15" s="16">
        <f>'06 - 2022'!J21-'06 - 2022'!J20</f>
        <v>32775</v>
      </c>
      <c r="J15" s="14">
        <v>8.1000000000000003E-2</v>
      </c>
      <c r="K15" s="23">
        <f>'06 - 2022'!H21-'06 - 2022'!H20</f>
        <v>0</v>
      </c>
      <c r="L15" s="16">
        <f>'06 - 2022'!I21-'06 - 2022'!I20</f>
        <v>118</v>
      </c>
      <c r="M15" s="15">
        <v>4.393629424766913</v>
      </c>
      <c r="N15" s="16">
        <v>60</v>
      </c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10127</v>
      </c>
      <c r="F16" s="14">
        <v>0.11799999999999999</v>
      </c>
      <c r="G16" s="16">
        <f>'06 - 2022'!D22-'06 - 2022'!D21+'06 - 2022'!E22-'06 - 2022'!E21</f>
        <v>23.239999999999782</v>
      </c>
      <c r="H16" s="14">
        <v>0.99</v>
      </c>
      <c r="I16" s="16">
        <f>'06 - 2022'!J22-'06 - 2022'!J21</f>
        <v>33139</v>
      </c>
      <c r="J16" s="14">
        <v>8.1000000000000003E-2</v>
      </c>
      <c r="K16" s="23">
        <f>'06 - 2022'!H22-'06 - 2022'!H21</f>
        <v>0</v>
      </c>
      <c r="L16" s="16">
        <f>'06 - 2022'!I22-'06 - 2022'!I21</f>
        <v>113</v>
      </c>
      <c r="M16" s="15">
        <v>4.393629424766913</v>
      </c>
      <c r="N16" s="16">
        <v>73</v>
      </c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9366.7099999999627</v>
      </c>
      <c r="F17" s="14">
        <v>0.11799999999999999</v>
      </c>
      <c r="G17" s="16">
        <f>'06 - 2022'!D23-'06 - 2022'!D22+'06 - 2022'!E23-'06 - 2022'!E22</f>
        <v>24.409999999999854</v>
      </c>
      <c r="H17" s="14">
        <v>0.99</v>
      </c>
      <c r="I17" s="16">
        <f>'06 - 2022'!J23-'06 - 2022'!J22</f>
        <v>31484</v>
      </c>
      <c r="J17" s="14">
        <v>8.1000000000000003E-2</v>
      </c>
      <c r="K17" s="23">
        <f>'06 - 2022'!H23-'06 - 2022'!H22</f>
        <v>0</v>
      </c>
      <c r="L17" s="16">
        <f>'06 - 2022'!I23-'06 - 2022'!I22</f>
        <v>117</v>
      </c>
      <c r="M17" s="15">
        <v>4.393629424766913</v>
      </c>
      <c r="N17" s="16">
        <v>76</v>
      </c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9821.5700000000652</v>
      </c>
      <c r="F18" s="14">
        <v>0.11799999999999999</v>
      </c>
      <c r="G18" s="16">
        <f>'06 - 2022'!D24-'06 - 2022'!D23+'06 - 2022'!E24-'06 - 2022'!E23</f>
        <v>27.460000000000036</v>
      </c>
      <c r="H18" s="14">
        <v>0.99</v>
      </c>
      <c r="I18" s="16">
        <f>'06 - 2022'!J24-'06 - 2022'!J23</f>
        <v>30092</v>
      </c>
      <c r="J18" s="14">
        <v>8.1000000000000003E-2</v>
      </c>
      <c r="K18" s="23">
        <f>'06 - 2022'!H24-'06 - 2022'!H23</f>
        <v>0</v>
      </c>
      <c r="L18" s="16">
        <f>'06 - 2022'!I24-'06 - 2022'!I23</f>
        <v>129</v>
      </c>
      <c r="M18" s="15">
        <v>4.393629424766913</v>
      </c>
      <c r="N18" s="16">
        <v>77</v>
      </c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9800.4199999999255</v>
      </c>
      <c r="F19" s="14">
        <v>0.11799999999999999</v>
      </c>
      <c r="G19" s="16">
        <f>'06 - 2022'!D25-'06 - 2022'!D24+'06 - 2022'!E25-'06 - 2022'!E24</f>
        <v>23.590000000000146</v>
      </c>
      <c r="H19" s="14">
        <v>0.99</v>
      </c>
      <c r="I19" s="16">
        <f>'06 - 2022'!J25-'06 - 2022'!J24</f>
        <v>37955</v>
      </c>
      <c r="J19" s="14">
        <v>8.1000000000000003E-2</v>
      </c>
      <c r="K19" s="23">
        <f>'06 - 2022'!H25-'06 - 2022'!H24</f>
        <v>0</v>
      </c>
      <c r="L19" s="16">
        <f>'06 - 2022'!I25-'06 - 2022'!I24</f>
        <v>132</v>
      </c>
      <c r="M19" s="15">
        <v>4.393629424766913</v>
      </c>
      <c r="N19" s="16">
        <v>73</v>
      </c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9833.9000000000233</v>
      </c>
      <c r="F20" s="14">
        <v>0.11799999999999999</v>
      </c>
      <c r="G20" s="16">
        <f>'06 - 2022'!D26-'06 - 2022'!D25+'06 - 2022'!E26-'06 - 2022'!E25</f>
        <v>27.980000000000018</v>
      </c>
      <c r="H20" s="14">
        <v>0.99</v>
      </c>
      <c r="I20" s="16">
        <f>'06 - 2022'!J26-'06 - 2022'!J25</f>
        <v>39235</v>
      </c>
      <c r="J20" s="14">
        <v>8.1000000000000003E-2</v>
      </c>
      <c r="K20" s="23">
        <f>'06 - 2022'!H26-'06 - 2022'!H25</f>
        <v>0</v>
      </c>
      <c r="L20" s="16">
        <f>'06 - 2022'!I26-'06 - 2022'!I25</f>
        <v>123</v>
      </c>
      <c r="M20" s="15">
        <v>4.393629424766913</v>
      </c>
      <c r="N20" s="16">
        <v>56</v>
      </c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9796.0999999999767</v>
      </c>
      <c r="F21" s="14">
        <v>0.11799999999999999</v>
      </c>
      <c r="G21" s="16">
        <f>'06 - 2022'!D27-'06 - 2022'!D26+'06 - 2022'!E27-'06 - 2022'!E26</f>
        <v>27.019999999999527</v>
      </c>
      <c r="H21" s="14">
        <v>0.99</v>
      </c>
      <c r="I21" s="16">
        <f>'06 - 2022'!J27-'06 - 2022'!J26</f>
        <v>35009</v>
      </c>
      <c r="J21" s="14">
        <v>8.1000000000000003E-2</v>
      </c>
      <c r="K21" s="23">
        <f>'06 - 2022'!H27-'06 - 2022'!H26</f>
        <v>0</v>
      </c>
      <c r="L21" s="16">
        <f>'06 - 2022'!I27-'06 - 2022'!I26</f>
        <v>99</v>
      </c>
      <c r="M21" s="15">
        <v>4.393629424766913</v>
      </c>
      <c r="N21" s="16">
        <v>46</v>
      </c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9897</v>
      </c>
      <c r="F22" s="14">
        <v>0.11799999999999999</v>
      </c>
      <c r="G22" s="16">
        <f>'06 - 2022'!D28-'06 - 2022'!D27+'06 - 2022'!E28-'06 - 2022'!E27</f>
        <v>24.239999999999782</v>
      </c>
      <c r="H22" s="14">
        <v>0.99</v>
      </c>
      <c r="I22" s="16">
        <f>'06 - 2022'!J28-'06 - 2022'!J27</f>
        <v>35089</v>
      </c>
      <c r="J22" s="14">
        <v>8.1000000000000003E-2</v>
      </c>
      <c r="K22" s="23">
        <f>'06 - 2022'!H28-'06 - 2022'!H27</f>
        <v>0</v>
      </c>
      <c r="L22" s="16">
        <f>'06 - 2022'!I28-'06 - 2022'!I27</f>
        <v>113</v>
      </c>
      <c r="M22" s="15">
        <v>4.393629424766913</v>
      </c>
      <c r="N22" s="16">
        <v>58</v>
      </c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10129.600000000093</v>
      </c>
      <c r="F23" s="14">
        <v>0.11799999999999999</v>
      </c>
      <c r="G23" s="16">
        <f>'06 - 2022'!D29-'06 - 2022'!D28+'06 - 2022'!E29-'06 - 2022'!E28</f>
        <v>27.040000000000418</v>
      </c>
      <c r="H23" s="14">
        <v>0.99</v>
      </c>
      <c r="I23" s="16">
        <f>'06 - 2022'!J29-'06 - 2022'!J28</f>
        <v>31860</v>
      </c>
      <c r="J23" s="14">
        <v>8.1000000000000003E-2</v>
      </c>
      <c r="K23" s="23">
        <f>'06 - 2022'!H29-'06 - 2022'!H28</f>
        <v>0</v>
      </c>
      <c r="L23" s="16">
        <f>'06 - 2022'!I29-'06 - 2022'!I28</f>
        <v>102</v>
      </c>
      <c r="M23" s="15">
        <v>4.393629424766913</v>
      </c>
      <c r="N23" s="16">
        <v>67</v>
      </c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9443.2999999999302</v>
      </c>
      <c r="F24" s="14">
        <v>0.11799999999999999</v>
      </c>
      <c r="G24" s="16">
        <f>'06 - 2022'!D30-'06 - 2022'!D29+'06 - 2022'!E30-'06 - 2022'!E29</f>
        <v>26.489999999999782</v>
      </c>
      <c r="H24" s="14">
        <v>0.99</v>
      </c>
      <c r="I24" s="16">
        <f>'06 - 2022'!J30-'06 - 2022'!J29</f>
        <v>27862</v>
      </c>
      <c r="J24" s="14">
        <v>8.1000000000000003E-2</v>
      </c>
      <c r="K24" s="23">
        <f>'06 - 2022'!H30-'06 - 2022'!H29</f>
        <v>0</v>
      </c>
      <c r="L24" s="16">
        <f>'06 - 2022'!I30-'06 - 2022'!I29</f>
        <v>117</v>
      </c>
      <c r="M24" s="15">
        <v>4.393629424766913</v>
      </c>
      <c r="N24" s="16">
        <v>79</v>
      </c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v>0</v>
      </c>
      <c r="F25" s="14">
        <v>0.11799999999999999</v>
      </c>
      <c r="G25" s="16">
        <v>0</v>
      </c>
      <c r="H25" s="14">
        <v>0.99</v>
      </c>
      <c r="I25" s="16">
        <v>0</v>
      </c>
      <c r="J25" s="14">
        <v>8.1000000000000003E-2</v>
      </c>
      <c r="K25" s="23">
        <v>0</v>
      </c>
      <c r="L25" s="16"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0</v>
      </c>
      <c r="F26" s="14">
        <v>0.11799999999999999</v>
      </c>
      <c r="G26" s="16">
        <f>'06 - 2022'!D32-'06 - 2022'!D31+'06 - 2022'!E32-'06 - 2022'!E31</f>
        <v>0</v>
      </c>
      <c r="H26" s="14">
        <v>0.99</v>
      </c>
      <c r="I26" s="16">
        <f>'06 - 2022'!J32-'06 - 2022'!J31</f>
        <v>0</v>
      </c>
      <c r="J26" s="14">
        <v>8.1000000000000003E-2</v>
      </c>
      <c r="K26" s="23">
        <f>'06 - 2022'!H32-'06 - 2022'!H31</f>
        <v>0</v>
      </c>
      <c r="L26" s="16">
        <f>'06 - 2022'!I32-'06 - 2022'!I31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0</v>
      </c>
      <c r="F27" s="14">
        <v>0.11799999999999999</v>
      </c>
      <c r="G27" s="16">
        <f>'06 - 2022'!D33-'06 - 2022'!D32+'06 - 2022'!E33-'06 - 2022'!E32</f>
        <v>0</v>
      </c>
      <c r="H27" s="14">
        <v>0.99</v>
      </c>
      <c r="I27" s="16">
        <f>'06 - 2022'!J33-'06 - 2022'!J32</f>
        <v>0</v>
      </c>
      <c r="J27" s="14">
        <v>8.1000000000000003E-2</v>
      </c>
      <c r="K27" s="23">
        <f>'06 - 2022'!H33-'06 - 2022'!H32</f>
        <v>0</v>
      </c>
      <c r="L27" s="16">
        <f>'06 - 2022'!I33-'06 - 2022'!I32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0</v>
      </c>
      <c r="F28" s="14">
        <v>0.11799999999999999</v>
      </c>
      <c r="G28" s="16">
        <f>'06 - 2022'!D34-'06 - 2022'!D33+'06 - 2022'!E34-'06 - 2022'!E33</f>
        <v>0</v>
      </c>
      <c r="H28" s="14">
        <v>0.99</v>
      </c>
      <c r="I28" s="16">
        <f>'06 - 2022'!J34-'06 - 2022'!J33</f>
        <v>0</v>
      </c>
      <c r="J28" s="14">
        <v>8.1000000000000003E-2</v>
      </c>
      <c r="K28" s="23">
        <f>'06 - 2022'!H34-'06 - 2022'!H33</f>
        <v>0</v>
      </c>
      <c r="L28" s="16">
        <f>'06 - 2022'!I34-'06 - 2022'!I33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0</v>
      </c>
      <c r="F29" s="14">
        <v>0.11799999999999999</v>
      </c>
      <c r="G29" s="16">
        <f>'06 - 2022'!D35-'06 - 2022'!D34+'06 - 2022'!E35-'06 - 2022'!E34</f>
        <v>0</v>
      </c>
      <c r="H29" s="14">
        <v>0.99</v>
      </c>
      <c r="I29" s="16">
        <f>'06 - 2022'!J35-'06 - 2022'!J34</f>
        <v>0</v>
      </c>
      <c r="J29" s="14">
        <v>8.1000000000000003E-2</v>
      </c>
      <c r="K29" s="23">
        <f>'06 - 2022'!H35-'06 - 2022'!H34</f>
        <v>0</v>
      </c>
      <c r="L29" s="16">
        <f>'06 - 2022'!I35-'06 - 2022'!I34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0</v>
      </c>
      <c r="F30" s="14">
        <v>0.11799999999999999</v>
      </c>
      <c r="G30" s="16">
        <f>'06 - 2022'!D36-'06 - 2022'!D35+'06 - 2022'!E36-'06 - 2022'!E35</f>
        <v>0</v>
      </c>
      <c r="H30" s="14">
        <v>0.99</v>
      </c>
      <c r="I30" s="16">
        <f>'06 - 2022'!J36-'06 - 2022'!J35</f>
        <v>0</v>
      </c>
      <c r="J30" s="14">
        <v>8.1000000000000003E-2</v>
      </c>
      <c r="K30" s="23">
        <f>'06 - 2022'!H36-'06 - 2022'!H35</f>
        <v>0</v>
      </c>
      <c r="L30" s="16">
        <f>'06 - 2022'!I36-'06 - 2022'!I35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T27" sqref="T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3945</v>
      </c>
      <c r="F9" s="16">
        <f>'06 - 2022'!C15-'06 - 2022'!C14</f>
        <v>5596</v>
      </c>
      <c r="G9" s="14">
        <v>0.11799999999999999</v>
      </c>
      <c r="H9" s="16">
        <f>'06 - 2022'!E15-'06 - 2022'!E14</f>
        <v>26.5</v>
      </c>
      <c r="I9" s="16">
        <f>'06 - 2022'!F15-'06 - 2022'!F14</f>
        <v>9.2399999999997817</v>
      </c>
      <c r="J9" s="16">
        <f>'06 - 2022'!G15-'06 - 2022'!G14</f>
        <v>33.940000000002328</v>
      </c>
      <c r="K9" s="14">
        <v>0.74</v>
      </c>
      <c r="L9" s="18">
        <v>76</v>
      </c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3795</v>
      </c>
      <c r="F10" s="16">
        <f>'06 - 2022'!C16-'06 - 2022'!C15</f>
        <v>5393</v>
      </c>
      <c r="G10" s="14">
        <v>0.11799999999999999</v>
      </c>
      <c r="H10" s="16">
        <f>'06 - 2022'!E16-'06 - 2022'!E15</f>
        <v>30.789999999999964</v>
      </c>
      <c r="I10" s="16">
        <f>'06 - 2022'!F16-'06 - 2022'!F15</f>
        <v>8.2199999999997999</v>
      </c>
      <c r="J10" s="16">
        <f>'06 - 2022'!G16-'06 - 2022'!G15</f>
        <v>32.010000000002037</v>
      </c>
      <c r="K10" s="14">
        <v>0.74</v>
      </c>
      <c r="L10" s="18">
        <v>80</v>
      </c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3963</v>
      </c>
      <c r="F11" s="16">
        <f>'06 - 2022'!C17-'06 - 2022'!C16</f>
        <v>5700</v>
      </c>
      <c r="G11" s="14">
        <v>0.11799999999999999</v>
      </c>
      <c r="H11" s="16">
        <f>'06 - 2022'!E17-'06 - 2022'!E16</f>
        <v>19.360000000000127</v>
      </c>
      <c r="I11" s="16">
        <f>'06 - 2022'!F17-'06 - 2022'!F16</f>
        <v>9.4200000000000728</v>
      </c>
      <c r="J11" s="16">
        <f>'06 - 2022'!G17-'06 - 2022'!G16</f>
        <v>37.25</v>
      </c>
      <c r="K11" s="14">
        <v>0.74</v>
      </c>
      <c r="L11" s="18">
        <v>81</v>
      </c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3979</v>
      </c>
      <c r="F12" s="16">
        <f>'06 - 2022'!C18-'06 - 2022'!C17</f>
        <v>5883</v>
      </c>
      <c r="G12" s="14">
        <v>0.11799999999999999</v>
      </c>
      <c r="H12" s="16">
        <f>'06 - 2022'!E18-'06 - 2022'!E17</f>
        <v>28.340000000000146</v>
      </c>
      <c r="I12" s="16">
        <f>'06 - 2022'!F18-'06 - 2022'!F17</f>
        <v>9.4100000000003092</v>
      </c>
      <c r="J12" s="16">
        <f>'06 - 2022'!G18-'06 - 2022'!G17</f>
        <v>32.919999999998254</v>
      </c>
      <c r="K12" s="14">
        <v>0.74</v>
      </c>
      <c r="L12" s="16">
        <v>51</v>
      </c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3841</v>
      </c>
      <c r="F13" s="16">
        <f>'06 - 2022'!C19-'06 - 2022'!C18</f>
        <v>5614</v>
      </c>
      <c r="G13" s="14">
        <v>0.11799999999999999</v>
      </c>
      <c r="H13" s="16">
        <f>'06 - 2022'!E19-'06 - 2022'!E18</f>
        <v>26.2199999999998</v>
      </c>
      <c r="I13" s="16">
        <f>'06 - 2022'!F19-'06 - 2022'!F18</f>
        <v>9.2899999999999636</v>
      </c>
      <c r="J13" s="16">
        <f>'06 - 2022'!G19-'06 - 2022'!G18</f>
        <v>33.739999999997963</v>
      </c>
      <c r="K13" s="14">
        <v>0.74</v>
      </c>
      <c r="L13" s="16">
        <v>44</v>
      </c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3770</v>
      </c>
      <c r="F14" s="16">
        <f>'06 - 2022'!C20-'06 - 2022'!C19</f>
        <v>5614</v>
      </c>
      <c r="G14" s="14">
        <v>0.11799999999999999</v>
      </c>
      <c r="H14" s="16">
        <f>'06 - 2022'!E20-'06 - 2022'!E19</f>
        <v>26.360000000000127</v>
      </c>
      <c r="I14" s="16">
        <f>'06 - 2022'!F20-'06 - 2022'!F19</f>
        <v>8.9099999999998545</v>
      </c>
      <c r="J14" s="16">
        <f>'06 - 2022'!G20-'06 - 2022'!G19</f>
        <v>32.029999999998836</v>
      </c>
      <c r="K14" s="14">
        <v>0.74</v>
      </c>
      <c r="L14" s="16">
        <v>48</v>
      </c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4169</v>
      </c>
      <c r="F15" s="16">
        <f>'06 - 2022'!C21-'06 - 2022'!C20</f>
        <v>5601</v>
      </c>
      <c r="G15" s="14">
        <v>0.11799999999999999</v>
      </c>
      <c r="H15" s="16">
        <f>'06 - 2022'!E21-'06 - 2022'!E20</f>
        <v>25.119999999999891</v>
      </c>
      <c r="I15" s="16">
        <f>'06 - 2022'!F21-'06 - 2022'!F20</f>
        <v>7.7199999999997999</v>
      </c>
      <c r="J15" s="16">
        <f>'06 - 2022'!G21-'06 - 2022'!G20</f>
        <v>32.319999999999709</v>
      </c>
      <c r="K15" s="14">
        <v>0.74</v>
      </c>
      <c r="L15" s="16">
        <v>60</v>
      </c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4264</v>
      </c>
      <c r="F16" s="16">
        <f>'06 - 2022'!C22-'06 - 2022'!C21</f>
        <v>5863</v>
      </c>
      <c r="G16" s="14">
        <v>0.11799999999999999</v>
      </c>
      <c r="H16" s="16">
        <f>'06 - 2022'!E22-'06 - 2022'!E21</f>
        <v>23.309999999999945</v>
      </c>
      <c r="I16" s="16">
        <f>'06 - 2022'!F22-'06 - 2022'!F21</f>
        <v>8.5100000000002183</v>
      </c>
      <c r="J16" s="16">
        <f>'06 - 2022'!G22-'06 - 2022'!G21</f>
        <v>32.510000000002037</v>
      </c>
      <c r="K16" s="14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3786</v>
      </c>
      <c r="F17" s="16">
        <f>'06 - 2022'!C23-'06 - 2022'!C22</f>
        <v>5580.7099999999627</v>
      </c>
      <c r="G17" s="14">
        <v>0.11799999999999999</v>
      </c>
      <c r="H17" s="16">
        <f>'06 - 2022'!E23-'06 - 2022'!E22</f>
        <v>24.480000000000018</v>
      </c>
      <c r="I17" s="16">
        <f>'06 - 2022'!F23-'06 - 2022'!F22</f>
        <v>7.8400000000001455</v>
      </c>
      <c r="J17" s="16">
        <f>'06 - 2022'!G23-'06 - 2022'!G22</f>
        <v>29.010000000002037</v>
      </c>
      <c r="K17" s="14">
        <v>0.74</v>
      </c>
      <c r="L17" s="16">
        <v>76</v>
      </c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4039</v>
      </c>
      <c r="F18" s="16">
        <f>'06 - 2022'!C24-'06 - 2022'!C23</f>
        <v>5782.5700000000652</v>
      </c>
      <c r="G18" s="14">
        <v>0.11799999999999999</v>
      </c>
      <c r="H18" s="16">
        <f>'06 - 2022'!E24-'06 - 2022'!E23</f>
        <v>27.570000000000164</v>
      </c>
      <c r="I18" s="16">
        <f>'06 - 2022'!F24-'06 - 2022'!F23</f>
        <v>7.8899999999998727</v>
      </c>
      <c r="J18" s="16">
        <f>'06 - 2022'!G24-'06 - 2022'!G23</f>
        <v>31.040000000000873</v>
      </c>
      <c r="K18" s="14">
        <v>0.74</v>
      </c>
      <c r="L18" s="16">
        <v>77</v>
      </c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3923</v>
      </c>
      <c r="F19" s="16">
        <f>'06 - 2022'!C25-'06 - 2022'!C24</f>
        <v>5877.4199999999255</v>
      </c>
      <c r="G19" s="14">
        <v>0.11799999999999999</v>
      </c>
      <c r="H19" s="16">
        <f>'06 - 2022'!E25-'06 - 2022'!E24</f>
        <v>23.650000000000091</v>
      </c>
      <c r="I19" s="16">
        <f>'06 - 2022'!F25-'06 - 2022'!F24</f>
        <v>8.1399999999998727</v>
      </c>
      <c r="J19" s="16">
        <f>'06 - 2022'!G25-'06 - 2022'!G24</f>
        <v>37.979999999995925</v>
      </c>
      <c r="K19" s="14">
        <v>0.74</v>
      </c>
      <c r="L19" s="16">
        <v>73</v>
      </c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3887</v>
      </c>
      <c r="F20" s="16">
        <f>'06 - 2022'!C26-'06 - 2022'!C25</f>
        <v>5946.9000000000233</v>
      </c>
      <c r="G20" s="14">
        <v>0.11799999999999999</v>
      </c>
      <c r="H20" s="16">
        <f>'06 - 2022'!E26-'06 - 2022'!E25</f>
        <v>27.460000000000036</v>
      </c>
      <c r="I20" s="16">
        <f>'06 - 2022'!F26-'06 - 2022'!F25</f>
        <v>8.4800000000000182</v>
      </c>
      <c r="J20" s="16">
        <f>'06 - 2022'!G26-'06 - 2022'!G25</f>
        <v>36.849999999998545</v>
      </c>
      <c r="K20" s="14">
        <v>0.74</v>
      </c>
      <c r="L20" s="4">
        <v>56</v>
      </c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3948</v>
      </c>
      <c r="F21" s="16">
        <f>'06 - 2022'!C27-'06 - 2022'!C26</f>
        <v>5848.0999999999767</v>
      </c>
      <c r="G21" s="14">
        <v>0.11799999999999999</v>
      </c>
      <c r="H21" s="16">
        <f>'06 - 2022'!E27-'06 - 2022'!E26</f>
        <v>27.089999999999691</v>
      </c>
      <c r="I21" s="16">
        <f>'06 - 2022'!F27-'06 - 2022'!F26</f>
        <v>8.1900000000000546</v>
      </c>
      <c r="J21" s="16">
        <f>'06 - 2022'!G27-'06 - 2022'!G26</f>
        <v>34.470000000001164</v>
      </c>
      <c r="K21" s="14">
        <v>0.74</v>
      </c>
      <c r="L21" s="4">
        <v>46</v>
      </c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4095</v>
      </c>
      <c r="F22" s="16">
        <f>'06 - 2022'!C28-'06 - 2022'!C27</f>
        <v>5802</v>
      </c>
      <c r="G22" s="14">
        <v>0.11799999999999999</v>
      </c>
      <c r="H22" s="16">
        <f>'06 - 2022'!E28-'06 - 2022'!E27</f>
        <v>24.309999999999945</v>
      </c>
      <c r="I22" s="16">
        <f>'06 - 2022'!F28-'06 - 2022'!F27</f>
        <v>7.4800000000000182</v>
      </c>
      <c r="J22" s="16">
        <f>'06 - 2022'!G28-'06 - 2022'!G27</f>
        <v>34.010000000002037</v>
      </c>
      <c r="K22" s="14">
        <v>0.74</v>
      </c>
      <c r="L22" s="16">
        <v>58</v>
      </c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4167</v>
      </c>
      <c r="F23" s="16">
        <f>'06 - 2022'!C29-'06 - 2022'!C28</f>
        <v>5962.6000000000931</v>
      </c>
      <c r="G23" s="14">
        <v>0.11799999999999999</v>
      </c>
      <c r="H23" s="16">
        <f>'06 - 2022'!E29-'06 - 2022'!E28</f>
        <v>27.100000000000364</v>
      </c>
      <c r="I23" s="16">
        <f>'06 - 2022'!F29-'06 - 2022'!F28</f>
        <v>8.7600000000002183</v>
      </c>
      <c r="J23" s="16">
        <f>'06 - 2022'!G29-'06 - 2022'!G28</f>
        <v>32.959999999999127</v>
      </c>
      <c r="K23" s="14">
        <v>0.74</v>
      </c>
      <c r="L23" s="16">
        <v>67</v>
      </c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3769</v>
      </c>
      <c r="F24" s="16">
        <f>'06 - 2022'!C30-'06 - 2022'!C29</f>
        <v>5674.2999999999302</v>
      </c>
      <c r="G24" s="14">
        <v>0.11799999999999999</v>
      </c>
      <c r="H24" s="16">
        <f>'06 - 2022'!E30-'06 - 2022'!E29</f>
        <v>26.579999999999927</v>
      </c>
      <c r="I24" s="16">
        <f>'06 - 2022'!F30-'06 - 2022'!F29</f>
        <v>7.4699999999997999</v>
      </c>
      <c r="J24" s="16">
        <f>'06 - 2022'!G30-'06 - 2022'!G29</f>
        <v>31.370000000002619</v>
      </c>
      <c r="K24" s="14">
        <v>0.74</v>
      </c>
      <c r="L24" s="16">
        <v>79</v>
      </c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v>0</v>
      </c>
      <c r="F25" s="16">
        <v>0</v>
      </c>
      <c r="G25" s="14">
        <v>0.11799999999999999</v>
      </c>
      <c r="H25" s="16">
        <v>0</v>
      </c>
      <c r="I25" s="16">
        <v>0</v>
      </c>
      <c r="J25" s="16"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0</v>
      </c>
      <c r="F26" s="16">
        <f>'06 - 2022'!C32-'06 - 2022'!C31</f>
        <v>0</v>
      </c>
      <c r="G26" s="14">
        <v>0.11799999999999999</v>
      </c>
      <c r="H26" s="16">
        <f>'06 - 2022'!E32-'06 - 2022'!E31</f>
        <v>0</v>
      </c>
      <c r="I26" s="16">
        <f>'06 - 2022'!F32-'06 - 2022'!F31</f>
        <v>0</v>
      </c>
      <c r="J26" s="16">
        <f>'06 - 2022'!G32-'06 - 2022'!G31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0</v>
      </c>
      <c r="F27" s="16">
        <f>'06 - 2022'!C33-'06 - 2022'!C32</f>
        <v>0</v>
      </c>
      <c r="G27" s="14">
        <v>0.11799999999999999</v>
      </c>
      <c r="H27" s="16">
        <f>'06 - 2022'!E33-'06 - 2022'!E32</f>
        <v>0</v>
      </c>
      <c r="I27" s="16">
        <f>'06 - 2022'!F33-'06 - 2022'!F32</f>
        <v>0</v>
      </c>
      <c r="J27" s="16">
        <f>'06 - 2022'!G33-'06 - 2022'!G32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0</v>
      </c>
      <c r="F28" s="16">
        <f>'06 - 2022'!C34-'06 - 2022'!C33</f>
        <v>0</v>
      </c>
      <c r="G28" s="14">
        <v>0.11799999999999999</v>
      </c>
      <c r="H28" s="16">
        <f>'06 - 2022'!E34-'06 - 2022'!E33</f>
        <v>0</v>
      </c>
      <c r="I28" s="16">
        <f>'06 - 2022'!F34-'06 - 2022'!F33</f>
        <v>0</v>
      </c>
      <c r="J28" s="16">
        <f>'06 - 2022'!G34-'06 - 2022'!G33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0</v>
      </c>
      <c r="F29" s="16">
        <f>'06 - 2022'!C35-'06 - 2022'!C34</f>
        <v>0</v>
      </c>
      <c r="G29" s="14">
        <v>0.11799999999999999</v>
      </c>
      <c r="H29" s="16">
        <f>'06 - 2022'!E35-'06 - 2022'!E34</f>
        <v>0</v>
      </c>
      <c r="I29" s="16">
        <f>'06 - 2022'!F35-'06 - 2022'!F34</f>
        <v>0</v>
      </c>
      <c r="J29" s="16">
        <f>'06 - 2022'!G35-'06 - 2022'!G34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0</v>
      </c>
      <c r="F30" s="16">
        <f>'06 - 2022'!C36-'06 - 2022'!C35</f>
        <v>0</v>
      </c>
      <c r="G30" s="14">
        <v>0.11799999999999999</v>
      </c>
      <c r="H30" s="16">
        <f>'06 - 2022'!E36-'06 - 2022'!E35</f>
        <v>0</v>
      </c>
      <c r="I30" s="16">
        <f>'06 - 2022'!F36-'06 - 2022'!F35</f>
        <v>0</v>
      </c>
      <c r="J30" s="16">
        <f>'06 - 2022'!G36-'06 - 2022'!G35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06 - 2022</vt:lpstr>
      <vt:lpstr>Total Daily </vt:lpstr>
      <vt:lpstr>Submetering Daily 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2022-06-23T07:52:01Z</dcterms:modified>
</cp:coreProperties>
</file>