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F24" i="3"/>
  <c r="E23" i="3"/>
  <c r="F23" i="3" l="1"/>
  <c r="E22" i="3"/>
  <c r="F22" i="3" l="1"/>
  <c r="F21" i="3"/>
  <c r="E21" i="3"/>
  <c r="E20" i="3"/>
  <c r="F20" i="3" l="1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Z22" i="3" s="1"/>
  <c r="CJ30" i="4"/>
  <c r="CI30" i="4"/>
  <c r="CH30" i="4"/>
  <c r="CG30" i="4"/>
  <c r="AH22" i="3" s="1"/>
  <c r="CF30" i="4"/>
  <c r="CE30" i="4"/>
  <c r="CD30" i="4"/>
  <c r="CC30" i="4"/>
  <c r="AF22" i="3" s="1"/>
  <c r="CB30" i="4"/>
  <c r="CA30" i="4"/>
  <c r="BZ30" i="4"/>
  <c r="BY30" i="4"/>
  <c r="AD22" i="3" s="1"/>
  <c r="BX30" i="4"/>
  <c r="BW30" i="4"/>
  <c r="BV30" i="4"/>
  <c r="BT30" i="4"/>
  <c r="BS30" i="4"/>
  <c r="BH30" i="4"/>
  <c r="BG30" i="4"/>
  <c r="BF30" i="4"/>
  <c r="Y22" i="3" s="1"/>
  <c r="BE30" i="4"/>
  <c r="BD30" i="4"/>
  <c r="BC30" i="4"/>
  <c r="BB30" i="4"/>
  <c r="BA30" i="4"/>
  <c r="AZ30" i="4"/>
  <c r="AX30" i="4"/>
  <c r="AW30" i="4"/>
  <c r="AV30" i="4"/>
  <c r="AU30" i="4"/>
  <c r="AT30" i="4"/>
  <c r="AS30" i="4"/>
  <c r="U22" i="3" s="1"/>
  <c r="AR30" i="4"/>
  <c r="AQ30" i="4"/>
  <c r="AP30" i="4"/>
  <c r="AO30" i="4"/>
  <c r="AN30" i="4"/>
  <c r="AM30" i="4"/>
  <c r="AL30" i="4"/>
  <c r="AK30" i="4"/>
  <c r="AJ30" i="4"/>
  <c r="AI30" i="4"/>
  <c r="AH30" i="4"/>
  <c r="AG30" i="4"/>
  <c r="Q22" i="3" s="1"/>
  <c r="AF30" i="4"/>
  <c r="AE30" i="4"/>
  <c r="AD30" i="4"/>
  <c r="AC30" i="4"/>
  <c r="AB30" i="4"/>
  <c r="AA30" i="4"/>
  <c r="Z30" i="4"/>
  <c r="Y30" i="4"/>
  <c r="X30" i="4"/>
  <c r="W30" i="4"/>
  <c r="V30" i="4"/>
  <c r="U30" i="4"/>
  <c r="M22" i="3" s="1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BK21" i="3" s="1"/>
  <c r="FA29" i="4"/>
  <c r="EZ29" i="4"/>
  <c r="EY29" i="4"/>
  <c r="EX29" i="4"/>
  <c r="BJ21" i="3" s="1"/>
  <c r="EW29" i="4"/>
  <c r="EV29" i="4"/>
  <c r="EU29" i="4"/>
  <c r="ET29" i="4"/>
  <c r="BG21" i="3" s="1"/>
  <c r="ER29" i="4"/>
  <c r="EQ29" i="4"/>
  <c r="EP29" i="4"/>
  <c r="EO29" i="4"/>
  <c r="BF21" i="3" s="1"/>
  <c r="EN29" i="4"/>
  <c r="EM29" i="4"/>
  <c r="EL29" i="4"/>
  <c r="EK29" i="4"/>
  <c r="BD21" i="3" s="1"/>
  <c r="EJ29" i="4"/>
  <c r="EI29" i="4"/>
  <c r="EH29" i="4"/>
  <c r="EG29" i="4"/>
  <c r="BA21" i="3" s="1"/>
  <c r="EE29" i="4"/>
  <c r="ED29" i="4"/>
  <c r="EC29" i="4"/>
  <c r="EB29" i="4"/>
  <c r="AY21" i="3" s="1"/>
  <c r="EA29" i="4"/>
  <c r="DZ29" i="4"/>
  <c r="DY29" i="4"/>
  <c r="DX29" i="4"/>
  <c r="AW21" i="3" s="1"/>
  <c r="DW29" i="4"/>
  <c r="DV29" i="4"/>
  <c r="DU29" i="4"/>
  <c r="DT29" i="4"/>
  <c r="AU21" i="3" s="1"/>
  <c r="DR29" i="4"/>
  <c r="DQ29" i="4"/>
  <c r="DP29" i="4"/>
  <c r="DO29" i="4"/>
  <c r="AR21" i="3" s="1"/>
  <c r="DN29" i="4"/>
  <c r="DM29" i="4"/>
  <c r="DL29" i="4"/>
  <c r="DK29" i="4"/>
  <c r="AP21" i="3" s="1"/>
  <c r="DJ29" i="4"/>
  <c r="DI29" i="4"/>
  <c r="DH29" i="4"/>
  <c r="DG29" i="4"/>
  <c r="AN21" i="3" s="1"/>
  <c r="DF29" i="4"/>
  <c r="DE29" i="4"/>
  <c r="DD29" i="4"/>
  <c r="DC29" i="4"/>
  <c r="AL21" i="3" s="1"/>
  <c r="DB29" i="4"/>
  <c r="DA29" i="4"/>
  <c r="CZ29" i="4"/>
  <c r="CY29" i="4"/>
  <c r="AJ21" i="3" s="1"/>
  <c r="CX29" i="4"/>
  <c r="CW29" i="4"/>
  <c r="CU29" i="4"/>
  <c r="CT29" i="4"/>
  <c r="AC21" i="3" s="1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X21" i="3" s="1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P21" i="3" s="1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AB20" i="3" s="1"/>
  <c r="CP28" i="4"/>
  <c r="CO28" i="4"/>
  <c r="CN28" i="4"/>
  <c r="CM28" i="4"/>
  <c r="CL28" i="4"/>
  <c r="CK28" i="4"/>
  <c r="CJ28" i="4"/>
  <c r="CI28" i="4"/>
  <c r="AI20" i="3" s="1"/>
  <c r="CH28" i="4"/>
  <c r="CG28" i="4"/>
  <c r="CF28" i="4"/>
  <c r="CE28" i="4"/>
  <c r="AG20" i="3" s="1"/>
  <c r="CD28" i="4"/>
  <c r="CC28" i="4"/>
  <c r="CB28" i="4"/>
  <c r="CA28" i="4"/>
  <c r="AE20" i="3" s="1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W20" i="3" s="1"/>
  <c r="AX28" i="4"/>
  <c r="AW28" i="4"/>
  <c r="AV28" i="4"/>
  <c r="AU28" i="4"/>
  <c r="AT28" i="4"/>
  <c r="AS28" i="4"/>
  <c r="AR28" i="4"/>
  <c r="AQ28" i="4"/>
  <c r="AP28" i="4"/>
  <c r="AO28" i="4"/>
  <c r="AN28" i="4"/>
  <c r="AM28" i="4"/>
  <c r="S20" i="3" s="1"/>
  <c r="AL28" i="4"/>
  <c r="AK28" i="4"/>
  <c r="AJ28" i="4"/>
  <c r="AI28" i="4"/>
  <c r="AH28" i="4"/>
  <c r="AG28" i="4"/>
  <c r="AF28" i="4"/>
  <c r="AE28" i="4"/>
  <c r="AD28" i="4"/>
  <c r="AC28" i="4"/>
  <c r="AB28" i="4"/>
  <c r="AA28" i="4"/>
  <c r="O20" i="3" s="1"/>
  <c r="Z28" i="4"/>
  <c r="Y28" i="4"/>
  <c r="X28" i="4"/>
  <c r="W28" i="4"/>
  <c r="V28" i="4"/>
  <c r="U28" i="4"/>
  <c r="S28" i="4"/>
  <c r="R28" i="4"/>
  <c r="L20" i="3" s="1"/>
  <c r="Q28" i="4"/>
  <c r="P28" i="4"/>
  <c r="O28" i="4"/>
  <c r="N28" i="4"/>
  <c r="M28" i="4"/>
  <c r="L28" i="4"/>
  <c r="K28" i="4"/>
  <c r="J28" i="4"/>
  <c r="I28" i="4"/>
  <c r="H28" i="4"/>
  <c r="G28" i="4"/>
  <c r="F28" i="4"/>
  <c r="H20" i="3" s="1"/>
  <c r="E28" i="4"/>
  <c r="D28" i="4"/>
  <c r="C28" i="4"/>
  <c r="B28" i="4"/>
  <c r="FC27" i="4"/>
  <c r="FB27" i="4"/>
  <c r="FA27" i="4"/>
  <c r="EZ27" i="4"/>
  <c r="BI19" i="3" s="1"/>
  <c r="EY27" i="4"/>
  <c r="EX27" i="4"/>
  <c r="EW27" i="4"/>
  <c r="EV27" i="4"/>
  <c r="EU27" i="4"/>
  <c r="ET27" i="4"/>
  <c r="ER27" i="4"/>
  <c r="EQ27" i="4"/>
  <c r="EP27" i="4"/>
  <c r="EO27" i="4"/>
  <c r="EN27" i="4"/>
  <c r="EM27" i="4"/>
  <c r="BE19" i="3" s="1"/>
  <c r="EL27" i="4"/>
  <c r="EK27" i="4"/>
  <c r="EJ27" i="4"/>
  <c r="EI27" i="4"/>
  <c r="EH27" i="4"/>
  <c r="EG27" i="4"/>
  <c r="EE27" i="4"/>
  <c r="ED27" i="4"/>
  <c r="EC27" i="4"/>
  <c r="EB27" i="4"/>
  <c r="EA27" i="4"/>
  <c r="DZ27" i="4"/>
  <c r="AX19" i="3" s="1"/>
  <c r="DY27" i="4"/>
  <c r="DX27" i="4"/>
  <c r="DW27" i="4"/>
  <c r="DV27" i="4"/>
  <c r="DU27" i="4"/>
  <c r="DT27" i="4"/>
  <c r="DR27" i="4"/>
  <c r="DQ27" i="4"/>
  <c r="DP27" i="4"/>
  <c r="DO27" i="4"/>
  <c r="DN27" i="4"/>
  <c r="DM27" i="4"/>
  <c r="AS19" i="3" s="1"/>
  <c r="DL27" i="4"/>
  <c r="DK27" i="4"/>
  <c r="DJ27" i="4"/>
  <c r="DI27" i="4"/>
  <c r="DH27" i="4"/>
  <c r="DG27" i="4"/>
  <c r="DF27" i="4"/>
  <c r="DE27" i="4"/>
  <c r="DD27" i="4"/>
  <c r="DC27" i="4"/>
  <c r="DB27" i="4"/>
  <c r="DA27" i="4"/>
  <c r="AM19" i="3" s="1"/>
  <c r="CZ27" i="4"/>
  <c r="CY27" i="4"/>
  <c r="CX27" i="4"/>
  <c r="CW27" i="4"/>
  <c r="CU27" i="4"/>
  <c r="CT27" i="4"/>
  <c r="CS27" i="4"/>
  <c r="CR27" i="4"/>
  <c r="CQ27" i="4"/>
  <c r="CP27" i="4"/>
  <c r="CO27" i="4"/>
  <c r="CN27" i="4"/>
  <c r="AA19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N19" i="3" s="1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P22" i="3" l="1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H22" i="3"/>
  <c r="L22" i="3"/>
  <c r="O22" i="3"/>
  <c r="S22" i="3"/>
  <c r="W22" i="3"/>
  <c r="AE22" i="3"/>
  <c r="AG22" i="3"/>
  <c r="AI22" i="3"/>
  <c r="AB2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AH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C19" i="3"/>
  <c r="AN19" i="3"/>
  <c r="AU19" i="3"/>
  <c r="BA19" i="3"/>
  <c r="BG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19" i="3"/>
  <c r="L19" i="3"/>
  <c r="AE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9" i="3"/>
  <c r="AG19" i="3"/>
  <c r="Z19" i="3"/>
  <c r="AB19" i="3"/>
  <c r="I19" i="3"/>
  <c r="J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19" i="3"/>
  <c r="O19" i="3"/>
  <c r="Q19" i="3"/>
  <c r="S19" i="3"/>
  <c r="U19" i="3"/>
  <c r="W19" i="3"/>
  <c r="Y19" i="3"/>
  <c r="AF19" i="3"/>
  <c r="AI19" i="3"/>
  <c r="Y15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P21" i="4"/>
  <c r="R48" i="4" l="1"/>
  <c r="R49" i="4" s="1"/>
  <c r="BH23" i="4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<sst xmlns="http://schemas.openxmlformats.org/spreadsheetml/2006/main" count="412" uniqueCount="203">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</sst>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B28">
            <v>0.9</v>
          </cell>
          <cell r="E28">
            <v>885723</v>
          </cell>
          <cell r="F28">
            <v>689</v>
          </cell>
          <cell r="G28">
            <v>423</v>
          </cell>
          <cell r="H28">
            <v>67932</v>
          </cell>
          <cell r="I28">
            <v>370</v>
          </cell>
          <cell r="J28">
            <v>299</v>
          </cell>
          <cell r="K28">
            <v>164625</v>
          </cell>
          <cell r="L28">
            <v>0</v>
          </cell>
          <cell r="N28">
            <v>807485</v>
          </cell>
          <cell r="O28">
            <v>333</v>
          </cell>
          <cell r="Q28">
            <v>185506</v>
          </cell>
          <cell r="R28">
            <v>49</v>
          </cell>
          <cell r="S28">
            <v>46038.17</v>
          </cell>
          <cell r="T28">
            <v>207.06999999999971</v>
          </cell>
          <cell r="U28">
            <v>74</v>
          </cell>
          <cell r="V28">
            <v>2860</v>
          </cell>
          <cell r="W28">
            <v>24</v>
          </cell>
          <cell r="AC28">
            <v>7033706.3999999994</v>
          </cell>
          <cell r="AD28">
            <v>4189.9199999999255</v>
          </cell>
          <cell r="AF28">
            <v>13511663.76</v>
          </cell>
          <cell r="AG28">
            <v>4969.4400000013411</v>
          </cell>
          <cell r="AI28">
            <v>13448376.48</v>
          </cell>
          <cell r="AJ28">
            <v>11936.400000000373</v>
          </cell>
          <cell r="AL28">
            <v>16455374.880000001</v>
          </cell>
          <cell r="AM28">
            <v>341.04000000283122</v>
          </cell>
          <cell r="AO28">
            <v>16833880.560000002</v>
          </cell>
          <cell r="AP28">
            <v>6918.2400000020862</v>
          </cell>
          <cell r="AR28">
            <v>15186559.919999998</v>
          </cell>
          <cell r="AS28">
            <v>6041.2799999974668</v>
          </cell>
          <cell r="AU28">
            <v>12937693.439999999</v>
          </cell>
          <cell r="AV28">
            <v>4920.7200000006706</v>
          </cell>
          <cell r="AX28">
            <v>12448593.359999999</v>
          </cell>
          <cell r="AY28">
            <v>4482.2400000002235</v>
          </cell>
          <cell r="BA28">
            <v>9925871.7599999998</v>
          </cell>
          <cell r="BB28">
            <v>3264.2400000002235</v>
          </cell>
          <cell r="BD28">
            <v>15361708.319999998</v>
          </cell>
          <cell r="BE28">
            <v>6236.1599999982864</v>
          </cell>
          <cell r="BK28">
            <v>66721000</v>
          </cell>
          <cell r="BL28">
            <v>57900</v>
          </cell>
          <cell r="BN28">
            <v>69280400</v>
          </cell>
          <cell r="BO28">
            <v>0</v>
          </cell>
          <cell r="BQ28">
            <v>63841100</v>
          </cell>
          <cell r="BR28">
            <v>37300</v>
          </cell>
          <cell r="BT28">
            <v>7348360</v>
          </cell>
          <cell r="BU28">
            <v>8780</v>
          </cell>
          <cell r="BW28">
            <v>0.75</v>
          </cell>
          <cell r="BX28">
            <v>6.0000000000000053E-2</v>
          </cell>
          <cell r="BZ28">
            <v>56056</v>
          </cell>
          <cell r="CA28">
            <v>16</v>
          </cell>
          <cell r="CB28">
            <v>47593</v>
          </cell>
          <cell r="CC28">
            <v>18</v>
          </cell>
          <cell r="CD28">
            <v>16446</v>
          </cell>
          <cell r="CE28">
            <v>5</v>
          </cell>
          <cell r="CF28">
            <v>21526</v>
          </cell>
          <cell r="CG28">
            <v>10</v>
          </cell>
          <cell r="CH28">
            <v>23344</v>
          </cell>
          <cell r="CI28">
            <v>11</v>
          </cell>
          <cell r="CJ28">
            <v>52064</v>
          </cell>
          <cell r="CK28">
            <v>27</v>
          </cell>
          <cell r="CL28">
            <v>229114</v>
          </cell>
          <cell r="CM28">
            <v>101</v>
          </cell>
          <cell r="CO28">
            <v>174816</v>
          </cell>
          <cell r="CP28">
            <v>94</v>
          </cell>
          <cell r="CR28">
            <v>308209</v>
          </cell>
          <cell r="CS28">
            <v>6</v>
          </cell>
          <cell r="CU28">
            <v>608392</v>
          </cell>
          <cell r="CV28">
            <v>216</v>
          </cell>
          <cell r="CX28">
            <v>5940</v>
          </cell>
          <cell r="CY28">
            <v>7</v>
          </cell>
          <cell r="CZ28">
            <v>3485</v>
          </cell>
          <cell r="DA28">
            <v>7</v>
          </cell>
          <cell r="DB28">
            <v>25923</v>
          </cell>
          <cell r="DC28">
            <v>15</v>
          </cell>
          <cell r="DD28">
            <v>26682</v>
          </cell>
          <cell r="DE28">
            <v>16</v>
          </cell>
          <cell r="DF28">
            <v>18209</v>
          </cell>
          <cell r="DG28">
            <v>8</v>
          </cell>
          <cell r="DH28">
            <v>21316</v>
          </cell>
          <cell r="DI28">
            <v>8</v>
          </cell>
          <cell r="DJ28">
            <v>2799</v>
          </cell>
          <cell r="DK28">
            <v>9</v>
          </cell>
          <cell r="DL28">
            <v>6063</v>
          </cell>
          <cell r="DM28">
            <v>6</v>
          </cell>
          <cell r="DN28">
            <v>1575</v>
          </cell>
          <cell r="DO28">
            <v>6</v>
          </cell>
          <cell r="DP28">
            <v>3174</v>
          </cell>
          <cell r="DQ28">
            <v>2</v>
          </cell>
          <cell r="DR28">
            <v>26053</v>
          </cell>
          <cell r="DS28">
            <v>10</v>
          </cell>
          <cell r="DU28">
            <v>2651.4</v>
          </cell>
          <cell r="DV28">
            <v>10.099999999999909</v>
          </cell>
          <cell r="DW28">
            <v>7834.4</v>
          </cell>
          <cell r="DX28">
            <v>8.5</v>
          </cell>
          <cell r="DY28">
            <v>1992.2</v>
          </cell>
          <cell r="DZ28">
            <v>7.4000000000000909</v>
          </cell>
          <cell r="EA28">
            <v>2009</v>
          </cell>
          <cell r="EB28">
            <v>10</v>
          </cell>
          <cell r="EC28">
            <v>839984</v>
          </cell>
          <cell r="ED28">
            <v>663</v>
          </cell>
          <cell r="EG28">
            <v>168581.6</v>
          </cell>
          <cell r="EH28">
            <v>157.39999999999418</v>
          </cell>
          <cell r="EJ28">
            <v>10202800</v>
          </cell>
          <cell r="EK28">
            <v>7000</v>
          </cell>
          <cell r="EL28">
            <v>810270</v>
          </cell>
          <cell r="EM28">
            <v>400</v>
          </cell>
          <cell r="EN28">
            <v>6298900</v>
          </cell>
          <cell r="EO28">
            <v>3000</v>
          </cell>
          <cell r="EP28">
            <v>2222450</v>
          </cell>
          <cell r="EQ28">
            <v>850</v>
          </cell>
          <cell r="ER28">
            <v>957830</v>
          </cell>
          <cell r="ES28">
            <v>750</v>
          </cell>
          <cell r="ET28">
            <v>14069700</v>
          </cell>
          <cell r="EU28">
            <v>8200</v>
          </cell>
          <cell r="EW28">
            <v>36751</v>
          </cell>
          <cell r="EX28">
            <v>14</v>
          </cell>
          <cell r="EY28">
            <v>31755</v>
          </cell>
          <cell r="EZ28">
            <v>15</v>
          </cell>
          <cell r="FA28">
            <v>2892</v>
          </cell>
          <cell r="FB28">
            <v>13</v>
          </cell>
          <cell r="FC28">
            <v>53202</v>
          </cell>
          <cell r="FD28">
            <v>16</v>
          </cell>
          <cell r="FE28">
            <v>36121</v>
          </cell>
          <cell r="FF28">
            <v>32</v>
          </cell>
        </row>
        <row r="29">
          <cell r="B29">
            <v>0.66</v>
          </cell>
          <cell r="E29">
            <v>886352</v>
          </cell>
          <cell r="F29">
            <v>629</v>
          </cell>
          <cell r="G29">
            <v>446</v>
          </cell>
          <cell r="H29">
            <v>68330</v>
          </cell>
          <cell r="I29">
            <v>398</v>
          </cell>
          <cell r="J29">
            <v>302</v>
          </cell>
          <cell r="K29">
            <v>164625</v>
          </cell>
          <cell r="L29">
            <v>0</v>
          </cell>
          <cell r="N29">
            <v>807774</v>
          </cell>
          <cell r="O29">
            <v>289</v>
          </cell>
          <cell r="Q29">
            <v>185508</v>
          </cell>
          <cell r="R29">
            <v>2</v>
          </cell>
          <cell r="S29">
            <v>46233.919999999998</v>
          </cell>
          <cell r="T29">
            <v>195.75</v>
          </cell>
          <cell r="U29">
            <v>78</v>
          </cell>
          <cell r="V29">
            <v>2887</v>
          </cell>
          <cell r="W29">
            <v>27</v>
          </cell>
          <cell r="AC29">
            <v>7038529.6799999997</v>
          </cell>
          <cell r="AD29">
            <v>4823.2800000002608</v>
          </cell>
          <cell r="AF29">
            <v>13516292.16</v>
          </cell>
          <cell r="AG29">
            <v>4628.4000000003725</v>
          </cell>
          <cell r="AI29">
            <v>13460702.640000001</v>
          </cell>
          <cell r="AJ29">
            <v>12326.160000000149</v>
          </cell>
          <cell r="AL29">
            <v>16455423.6</v>
          </cell>
          <cell r="AM29">
            <v>48.719999998807907</v>
          </cell>
          <cell r="AO29">
            <v>16840896.239999998</v>
          </cell>
          <cell r="AP29">
            <v>7015.6799999959767</v>
          </cell>
          <cell r="AR29">
            <v>15192503.76</v>
          </cell>
          <cell r="AS29">
            <v>5943.8400000017136</v>
          </cell>
          <cell r="AU29">
            <v>12942370.559999999</v>
          </cell>
          <cell r="AV29">
            <v>4677.1199999991804</v>
          </cell>
          <cell r="AX29">
            <v>12452832</v>
          </cell>
          <cell r="AY29">
            <v>4238.640000000596</v>
          </cell>
          <cell r="BA29">
            <v>9928989.8399999999</v>
          </cell>
          <cell r="BB29">
            <v>3118.0800000000745</v>
          </cell>
          <cell r="BD29">
            <v>15367993.199999999</v>
          </cell>
          <cell r="BE29">
            <v>6284.8800000008196</v>
          </cell>
          <cell r="BK29">
            <v>66782500</v>
          </cell>
          <cell r="BL29">
            <v>61500</v>
          </cell>
          <cell r="BN29">
            <v>69280400</v>
          </cell>
          <cell r="BO29">
            <v>0</v>
          </cell>
          <cell r="BQ29">
            <v>63877900</v>
          </cell>
          <cell r="BR29">
            <v>36800</v>
          </cell>
          <cell r="BT29">
            <v>7353470</v>
          </cell>
          <cell r="BU29">
            <v>5110</v>
          </cell>
          <cell r="BW29">
            <v>0.72</v>
          </cell>
          <cell r="BX29">
            <v>3.0000000000000027E-2</v>
          </cell>
          <cell r="BZ29">
            <v>56076</v>
          </cell>
          <cell r="CA29">
            <v>20</v>
          </cell>
          <cell r="CB29">
            <v>47613</v>
          </cell>
          <cell r="CC29">
            <v>20</v>
          </cell>
          <cell r="CD29">
            <v>16450</v>
          </cell>
          <cell r="CE29">
            <v>4</v>
          </cell>
          <cell r="CF29">
            <v>21536</v>
          </cell>
          <cell r="CG29">
            <v>10</v>
          </cell>
          <cell r="CH29">
            <v>23358</v>
          </cell>
          <cell r="CI29">
            <v>14</v>
          </cell>
          <cell r="CJ29">
            <v>52090</v>
          </cell>
          <cell r="CK29">
            <v>26</v>
          </cell>
          <cell r="CL29">
            <v>229207</v>
          </cell>
          <cell r="CM29">
            <v>93</v>
          </cell>
          <cell r="CO29">
            <v>174909</v>
          </cell>
          <cell r="CP29">
            <v>93</v>
          </cell>
          <cell r="CR29">
            <v>308216</v>
          </cell>
          <cell r="CS29">
            <v>7</v>
          </cell>
          <cell r="CU29">
            <v>608602</v>
          </cell>
          <cell r="CV29">
            <v>210</v>
          </cell>
          <cell r="CX29">
            <v>5949</v>
          </cell>
          <cell r="CY29">
            <v>9</v>
          </cell>
          <cell r="CZ29">
            <v>3492</v>
          </cell>
          <cell r="DA29">
            <v>7</v>
          </cell>
          <cell r="DB29">
            <v>25940</v>
          </cell>
          <cell r="DC29">
            <v>17</v>
          </cell>
          <cell r="DD29">
            <v>26698</v>
          </cell>
          <cell r="DE29">
            <v>16</v>
          </cell>
          <cell r="DF29">
            <v>18217</v>
          </cell>
          <cell r="DG29">
            <v>8</v>
          </cell>
          <cell r="DH29">
            <v>21323</v>
          </cell>
          <cell r="DI29">
            <v>7</v>
          </cell>
          <cell r="DJ29">
            <v>2809</v>
          </cell>
          <cell r="DK29">
            <v>10</v>
          </cell>
          <cell r="DL29">
            <v>6075</v>
          </cell>
          <cell r="DM29">
            <v>12</v>
          </cell>
          <cell r="DN29">
            <v>1579</v>
          </cell>
          <cell r="DO29">
            <v>4</v>
          </cell>
          <cell r="DP29">
            <v>3186</v>
          </cell>
          <cell r="DQ29">
            <v>12</v>
          </cell>
          <cell r="DR29">
            <v>26067</v>
          </cell>
          <cell r="DS29">
            <v>14</v>
          </cell>
          <cell r="DU29">
            <v>2662.1</v>
          </cell>
          <cell r="DV29">
            <v>10.699999999999818</v>
          </cell>
          <cell r="DW29">
            <v>7842.9</v>
          </cell>
          <cell r="DX29">
            <v>8.5</v>
          </cell>
          <cell r="DY29">
            <v>1999.6</v>
          </cell>
          <cell r="DZ29">
            <v>7.3999999999998636</v>
          </cell>
          <cell r="EA29">
            <v>2019.1</v>
          </cell>
          <cell r="EB29">
            <v>10.099999999999909</v>
          </cell>
          <cell r="EC29">
            <v>840645</v>
          </cell>
          <cell r="ED29">
            <v>661</v>
          </cell>
          <cell r="EG29">
            <v>168737.9</v>
          </cell>
          <cell r="EH29">
            <v>156.29999999998836</v>
          </cell>
          <cell r="EJ29">
            <v>10210200</v>
          </cell>
          <cell r="EK29">
            <v>7400</v>
          </cell>
          <cell r="EL29">
            <v>810660</v>
          </cell>
          <cell r="EM29">
            <v>390</v>
          </cell>
          <cell r="EN29">
            <v>6302100</v>
          </cell>
          <cell r="EO29">
            <v>3200</v>
          </cell>
          <cell r="EP29">
            <v>2223400</v>
          </cell>
          <cell r="EQ29">
            <v>950</v>
          </cell>
          <cell r="ER29">
            <v>958700</v>
          </cell>
          <cell r="ES29">
            <v>870</v>
          </cell>
          <cell r="ET29">
            <v>14077800</v>
          </cell>
          <cell r="EU29">
            <v>8100</v>
          </cell>
          <cell r="EW29">
            <v>36765</v>
          </cell>
          <cell r="EX29">
            <v>14</v>
          </cell>
          <cell r="EY29">
            <v>31768</v>
          </cell>
          <cell r="EZ29">
            <v>13</v>
          </cell>
          <cell r="FA29">
            <v>2905</v>
          </cell>
          <cell r="FB29">
            <v>13</v>
          </cell>
          <cell r="FC29">
            <v>53220</v>
          </cell>
          <cell r="FD29">
            <v>18</v>
          </cell>
          <cell r="FE29">
            <v>36152</v>
          </cell>
          <cell r="FF29">
            <v>31</v>
          </cell>
        </row>
        <row r="30">
          <cell r="B30">
            <v>0.77</v>
          </cell>
          <cell r="E30">
            <v>887016</v>
          </cell>
          <cell r="F30">
            <v>664</v>
          </cell>
          <cell r="G30">
            <v>455</v>
          </cell>
          <cell r="H30">
            <v>68758</v>
          </cell>
          <cell r="I30">
            <v>428</v>
          </cell>
          <cell r="J30">
            <v>324</v>
          </cell>
          <cell r="K30">
            <v>164625</v>
          </cell>
          <cell r="L30">
            <v>0</v>
          </cell>
          <cell r="N30">
            <v>808013</v>
          </cell>
          <cell r="O30">
            <v>239</v>
          </cell>
          <cell r="Q30">
            <v>185508</v>
          </cell>
          <cell r="R30">
            <v>0</v>
          </cell>
          <cell r="S30">
            <v>46435.86</v>
          </cell>
          <cell r="T30">
            <v>201.94000000000233</v>
          </cell>
          <cell r="U30">
            <v>71</v>
          </cell>
          <cell r="V30">
            <v>2922</v>
          </cell>
          <cell r="W30">
            <v>35</v>
          </cell>
          <cell r="AC30">
            <v>7042476</v>
          </cell>
          <cell r="AD30">
            <v>3946.320000000298</v>
          </cell>
          <cell r="AF30">
            <v>13521018</v>
          </cell>
          <cell r="AG30">
            <v>4725.839999999851</v>
          </cell>
          <cell r="AI30">
            <v>13472590.319999998</v>
          </cell>
          <cell r="AJ30">
            <v>11887.679999997839</v>
          </cell>
          <cell r="AL30">
            <v>16455910.799999999</v>
          </cell>
          <cell r="AM30">
            <v>487.19999999925494</v>
          </cell>
          <cell r="AO30">
            <v>16847278.560000002</v>
          </cell>
          <cell r="AP30">
            <v>6382.3200000040233</v>
          </cell>
          <cell r="AR30">
            <v>15198545.039999999</v>
          </cell>
          <cell r="AS30">
            <v>6041.2799999993294</v>
          </cell>
          <cell r="AU30">
            <v>12947096.4</v>
          </cell>
          <cell r="AV30">
            <v>4725.8400000017136</v>
          </cell>
          <cell r="AX30">
            <v>12457119.359999999</v>
          </cell>
          <cell r="AY30">
            <v>4287.359999999404</v>
          </cell>
          <cell r="BA30">
            <v>9932156.6400000006</v>
          </cell>
          <cell r="BB30">
            <v>3166.8000000007451</v>
          </cell>
          <cell r="BD30">
            <v>15374131.919999998</v>
          </cell>
          <cell r="BE30">
            <v>6138.7199999988079</v>
          </cell>
          <cell r="BK30">
            <v>66842600</v>
          </cell>
          <cell r="BL30">
            <v>60100</v>
          </cell>
          <cell r="BN30">
            <v>69280400</v>
          </cell>
          <cell r="BO30">
            <v>0</v>
          </cell>
          <cell r="BQ30">
            <v>63913600</v>
          </cell>
          <cell r="BR30">
            <v>35700</v>
          </cell>
          <cell r="BT30">
            <v>7361190</v>
          </cell>
          <cell r="BU30">
            <v>7720</v>
          </cell>
          <cell r="BW30">
            <v>0.69</v>
          </cell>
          <cell r="BX30">
            <v>3.0000000000000027E-2</v>
          </cell>
          <cell r="BZ30">
            <v>56094</v>
          </cell>
          <cell r="CA30">
            <v>18</v>
          </cell>
          <cell r="CB30">
            <v>47631</v>
          </cell>
          <cell r="CC30">
            <v>18</v>
          </cell>
          <cell r="CD30">
            <v>16457</v>
          </cell>
          <cell r="CE30">
            <v>7</v>
          </cell>
          <cell r="CF30">
            <v>21547</v>
          </cell>
          <cell r="CG30">
            <v>11</v>
          </cell>
          <cell r="CH30">
            <v>23372</v>
          </cell>
          <cell r="CI30">
            <v>14</v>
          </cell>
          <cell r="CJ30">
            <v>52119</v>
          </cell>
          <cell r="CK30">
            <v>29</v>
          </cell>
          <cell r="CL30">
            <v>229302</v>
          </cell>
          <cell r="CM30">
            <v>95</v>
          </cell>
          <cell r="CO30">
            <v>175003</v>
          </cell>
          <cell r="CP30">
            <v>94</v>
          </cell>
          <cell r="CR30">
            <v>308216</v>
          </cell>
          <cell r="CS30">
            <v>0</v>
          </cell>
          <cell r="CU30">
            <v>608805</v>
          </cell>
          <cell r="CV30">
            <v>203</v>
          </cell>
          <cell r="CX30">
            <v>5959</v>
          </cell>
          <cell r="CY30">
            <v>10</v>
          </cell>
          <cell r="CZ30">
            <v>3502</v>
          </cell>
          <cell r="DA30">
            <v>10</v>
          </cell>
          <cell r="DB30">
            <v>25957</v>
          </cell>
          <cell r="DC30">
            <v>17</v>
          </cell>
          <cell r="DD30">
            <v>26717</v>
          </cell>
          <cell r="DE30">
            <v>19</v>
          </cell>
          <cell r="DF30">
            <v>18226</v>
          </cell>
          <cell r="DG30">
            <v>9</v>
          </cell>
          <cell r="DH30">
            <v>21331</v>
          </cell>
          <cell r="DI30">
            <v>8</v>
          </cell>
          <cell r="DJ30">
            <v>2821</v>
          </cell>
          <cell r="DK30">
            <v>12</v>
          </cell>
          <cell r="DL30">
            <v>6088</v>
          </cell>
          <cell r="DM30">
            <v>13</v>
          </cell>
          <cell r="DN30">
            <v>1584</v>
          </cell>
          <cell r="DO30">
            <v>5</v>
          </cell>
          <cell r="DP30">
            <v>3196</v>
          </cell>
          <cell r="DQ30">
            <v>10</v>
          </cell>
          <cell r="DR30">
            <v>26067</v>
          </cell>
          <cell r="DS30">
            <v>0</v>
          </cell>
          <cell r="DU30">
            <v>2672.1</v>
          </cell>
          <cell r="DV30">
            <v>10</v>
          </cell>
          <cell r="DW30">
            <v>7851.6</v>
          </cell>
          <cell r="DX30">
            <v>8.7000000000007276</v>
          </cell>
          <cell r="DY30">
            <v>2006.9</v>
          </cell>
          <cell r="DZ30">
            <v>7.3000000000001819</v>
          </cell>
          <cell r="EA30">
            <v>2029.6</v>
          </cell>
          <cell r="EB30">
            <v>10.5</v>
          </cell>
          <cell r="EC30">
            <v>841623</v>
          </cell>
          <cell r="ED30">
            <v>978</v>
          </cell>
          <cell r="EG30">
            <v>168891.3</v>
          </cell>
          <cell r="EH30">
            <v>153.39999999999418</v>
          </cell>
          <cell r="EJ30">
            <v>10217000</v>
          </cell>
          <cell r="EK30">
            <v>6800</v>
          </cell>
          <cell r="EL30">
            <v>811030</v>
          </cell>
          <cell r="EM30">
            <v>370</v>
          </cell>
          <cell r="EN30">
            <v>6304900</v>
          </cell>
          <cell r="EO30">
            <v>2800</v>
          </cell>
          <cell r="EP30">
            <v>2224200</v>
          </cell>
          <cell r="EQ30">
            <v>800</v>
          </cell>
          <cell r="ER30">
            <v>959460</v>
          </cell>
          <cell r="ES30">
            <v>760</v>
          </cell>
          <cell r="ET30">
            <v>14085700</v>
          </cell>
          <cell r="EU30">
            <v>7900</v>
          </cell>
          <cell r="EW30">
            <v>36779</v>
          </cell>
          <cell r="EX30">
            <v>14</v>
          </cell>
          <cell r="EY30">
            <v>31783</v>
          </cell>
          <cell r="EZ30">
            <v>15</v>
          </cell>
          <cell r="FA30">
            <v>2922</v>
          </cell>
          <cell r="FB30">
            <v>17</v>
          </cell>
          <cell r="FC30">
            <v>53239</v>
          </cell>
          <cell r="FD30">
            <v>19</v>
          </cell>
          <cell r="FE30">
            <v>36185</v>
          </cell>
          <cell r="FF30">
            <v>33</v>
          </cell>
        </row>
        <row r="31">
          <cell r="B31">
            <v>0.88</v>
          </cell>
          <cell r="E31">
            <v>887695</v>
          </cell>
          <cell r="F31">
            <v>679</v>
          </cell>
          <cell r="G31">
            <v>515</v>
          </cell>
          <cell r="H31">
            <v>69202</v>
          </cell>
          <cell r="I31">
            <v>444</v>
          </cell>
          <cell r="J31">
            <v>364</v>
          </cell>
          <cell r="K31">
            <v>164625</v>
          </cell>
          <cell r="L31">
            <v>0</v>
          </cell>
          <cell r="N31">
            <v>808281</v>
          </cell>
          <cell r="O31">
            <v>268</v>
          </cell>
          <cell r="Q31">
            <v>185508</v>
          </cell>
          <cell r="R31">
            <v>0</v>
          </cell>
          <cell r="S31">
            <v>46635.05</v>
          </cell>
          <cell r="T31">
            <v>199.19000000000233</v>
          </cell>
          <cell r="U31">
            <v>73</v>
          </cell>
          <cell r="V31">
            <v>2952</v>
          </cell>
          <cell r="W31">
            <v>30</v>
          </cell>
          <cell r="AC31">
            <v>7046714.6400000006</v>
          </cell>
          <cell r="AD31">
            <v>4238.640000000596</v>
          </cell>
          <cell r="AF31">
            <v>13525743.84</v>
          </cell>
          <cell r="AG31">
            <v>4725.839999999851</v>
          </cell>
          <cell r="AI31">
            <v>13484819.040000001</v>
          </cell>
          <cell r="AJ31">
            <v>12228.720000002533</v>
          </cell>
          <cell r="AL31">
            <v>16456398</v>
          </cell>
          <cell r="AM31">
            <v>487.20000000111759</v>
          </cell>
          <cell r="AO31">
            <v>16853319.84</v>
          </cell>
          <cell r="AP31">
            <v>6041.2799999974668</v>
          </cell>
          <cell r="AR31">
            <v>15204635.039999999</v>
          </cell>
          <cell r="AS31">
            <v>6090</v>
          </cell>
          <cell r="AU31">
            <v>12951919.68</v>
          </cell>
          <cell r="AV31">
            <v>4823.2799999993294</v>
          </cell>
          <cell r="AX31">
            <v>12461455.439999999</v>
          </cell>
          <cell r="AY31">
            <v>4336.0800000000745</v>
          </cell>
          <cell r="BA31">
            <v>9935177.2800000012</v>
          </cell>
          <cell r="BB31">
            <v>3020.640000000596</v>
          </cell>
          <cell r="BD31">
            <v>15380611.68</v>
          </cell>
          <cell r="BE31">
            <v>6479.7600000016391</v>
          </cell>
          <cell r="BK31">
            <v>66903600</v>
          </cell>
          <cell r="BL31">
            <v>61000</v>
          </cell>
          <cell r="BN31">
            <v>69280400</v>
          </cell>
          <cell r="BO31">
            <v>0</v>
          </cell>
          <cell r="BQ31">
            <v>63948400</v>
          </cell>
          <cell r="BR31">
            <v>34800</v>
          </cell>
          <cell r="BT31">
            <v>7368750</v>
          </cell>
          <cell r="BU31">
            <v>7560</v>
          </cell>
          <cell r="BW31">
            <v>0.64</v>
          </cell>
          <cell r="BX31">
            <v>4.9999999999999933E-2</v>
          </cell>
          <cell r="BZ31">
            <v>56114</v>
          </cell>
          <cell r="CA31">
            <v>20</v>
          </cell>
          <cell r="CB31">
            <v>47651</v>
          </cell>
          <cell r="CC31">
            <v>20</v>
          </cell>
          <cell r="CD31">
            <v>16461</v>
          </cell>
          <cell r="CE31">
            <v>4</v>
          </cell>
          <cell r="CF31">
            <v>21557</v>
          </cell>
          <cell r="CG31">
            <v>10</v>
          </cell>
          <cell r="CH31">
            <v>23381</v>
          </cell>
          <cell r="CI31">
            <v>9</v>
          </cell>
          <cell r="CJ31">
            <v>52146</v>
          </cell>
          <cell r="CK31">
            <v>27</v>
          </cell>
          <cell r="CL31">
            <v>229397</v>
          </cell>
          <cell r="CM31">
            <v>95</v>
          </cell>
          <cell r="CO31">
            <v>175099</v>
          </cell>
          <cell r="CP31">
            <v>96</v>
          </cell>
          <cell r="CR31">
            <v>308216</v>
          </cell>
          <cell r="CS31">
            <v>0</v>
          </cell>
          <cell r="CU31">
            <v>609014</v>
          </cell>
          <cell r="CV31">
            <v>209</v>
          </cell>
          <cell r="CX31">
            <v>5970</v>
          </cell>
          <cell r="CY31">
            <v>11</v>
          </cell>
          <cell r="CZ31">
            <v>3512</v>
          </cell>
          <cell r="DA31">
            <v>10</v>
          </cell>
          <cell r="DB31">
            <v>25970</v>
          </cell>
          <cell r="DC31">
            <v>13</v>
          </cell>
          <cell r="DD31">
            <v>26739</v>
          </cell>
          <cell r="DE31">
            <v>22</v>
          </cell>
          <cell r="DF31">
            <v>18235</v>
          </cell>
          <cell r="DG31">
            <v>9</v>
          </cell>
          <cell r="DH31">
            <v>21339</v>
          </cell>
          <cell r="DI31">
            <v>8</v>
          </cell>
          <cell r="DJ31">
            <v>2832</v>
          </cell>
          <cell r="DK31">
            <v>11</v>
          </cell>
          <cell r="DL31">
            <v>6100</v>
          </cell>
          <cell r="DM31">
            <v>12</v>
          </cell>
          <cell r="DN31">
            <v>1590</v>
          </cell>
          <cell r="DO31">
            <v>6</v>
          </cell>
          <cell r="DP31">
            <v>3205</v>
          </cell>
          <cell r="DQ31">
            <v>9</v>
          </cell>
          <cell r="DR31">
            <v>26067</v>
          </cell>
          <cell r="DS31">
            <v>0</v>
          </cell>
          <cell r="DU31">
            <v>2682.8</v>
          </cell>
          <cell r="DV31">
            <v>10.700000000000273</v>
          </cell>
          <cell r="DW31">
            <v>7860.4</v>
          </cell>
          <cell r="DX31">
            <v>8.7999999999992724</v>
          </cell>
          <cell r="DY31">
            <v>2014.5</v>
          </cell>
          <cell r="DZ31">
            <v>7.5999999999999091</v>
          </cell>
          <cell r="EA31">
            <v>2040.4</v>
          </cell>
          <cell r="EB31">
            <v>10.800000000000182</v>
          </cell>
          <cell r="EC31">
            <v>842034</v>
          </cell>
          <cell r="ED31">
            <v>411</v>
          </cell>
          <cell r="EG31">
            <v>169046.2</v>
          </cell>
          <cell r="EH31">
            <v>154.90000000002328</v>
          </cell>
          <cell r="EJ31">
            <v>10223900</v>
          </cell>
          <cell r="EK31">
            <v>6900</v>
          </cell>
          <cell r="EL31">
            <v>811410</v>
          </cell>
          <cell r="EM31">
            <v>380</v>
          </cell>
          <cell r="EN31">
            <v>6307900</v>
          </cell>
          <cell r="EO31">
            <v>3000</v>
          </cell>
          <cell r="EP31">
            <v>2225000</v>
          </cell>
          <cell r="EQ31">
            <v>800</v>
          </cell>
          <cell r="ER31">
            <v>960250</v>
          </cell>
          <cell r="ES31">
            <v>790</v>
          </cell>
          <cell r="ET31">
            <v>14093900</v>
          </cell>
          <cell r="EU31">
            <v>8200</v>
          </cell>
          <cell r="EW31">
            <v>36793</v>
          </cell>
          <cell r="EX31">
            <v>14</v>
          </cell>
          <cell r="EY31">
            <v>31798</v>
          </cell>
          <cell r="EZ31">
            <v>15</v>
          </cell>
          <cell r="FA31">
            <v>2939</v>
          </cell>
          <cell r="FB31">
            <v>17</v>
          </cell>
          <cell r="FC31">
            <v>53259</v>
          </cell>
          <cell r="FD31">
            <v>20</v>
          </cell>
          <cell r="FE31">
            <v>36217</v>
          </cell>
          <cell r="FF31">
            <v>32</v>
          </cell>
        </row>
        <row r="32">
          <cell r="F32">
            <v>-887695</v>
          </cell>
          <cell r="G32">
            <v>517</v>
          </cell>
          <cell r="I32">
            <v>-69202</v>
          </cell>
          <cell r="J32">
            <v>376</v>
          </cell>
          <cell r="L32">
            <v>-164625</v>
          </cell>
          <cell r="O32">
            <v>-808281</v>
          </cell>
          <cell r="R32">
            <v>-185508</v>
          </cell>
          <cell r="T32">
            <v>-46635.05</v>
          </cell>
          <cell r="U32">
            <v>71</v>
          </cell>
          <cell r="W32">
            <v>-2952</v>
          </cell>
          <cell r="AD32">
            <v>-7046714.6400000006</v>
          </cell>
          <cell r="AG32">
            <v>-13525743.84</v>
          </cell>
          <cell r="AJ32">
            <v>-13484819.040000001</v>
          </cell>
          <cell r="AM32">
            <v>-16456398</v>
          </cell>
          <cell r="AP32">
            <v>-16853319.84</v>
          </cell>
          <cell r="AS32">
            <v>-15204635.039999999</v>
          </cell>
          <cell r="AV32">
            <v>-12951919.68</v>
          </cell>
          <cell r="AY32">
            <v>-12461455.439999999</v>
          </cell>
          <cell r="BB32">
            <v>-9935177.2800000012</v>
          </cell>
          <cell r="BE32">
            <v>-15380611.68</v>
          </cell>
          <cell r="BL32">
            <v>-66903600</v>
          </cell>
          <cell r="BO32">
            <v>-69280400</v>
          </cell>
          <cell r="BR32">
            <v>-63948400</v>
          </cell>
          <cell r="BU32">
            <v>-7368750</v>
          </cell>
          <cell r="BX32">
            <v>0.64</v>
          </cell>
          <cell r="CA32">
            <v>-56114</v>
          </cell>
          <cell r="CC32">
            <v>-47651</v>
          </cell>
          <cell r="CE32">
            <v>-16461</v>
          </cell>
          <cell r="CG32">
            <v>-21557</v>
          </cell>
          <cell r="CI32">
            <v>-23381</v>
          </cell>
          <cell r="CK32">
            <v>-52146</v>
          </cell>
          <cell r="CM32">
            <v>-229397</v>
          </cell>
          <cell r="CP32">
            <v>-175099</v>
          </cell>
          <cell r="CS32">
            <v>-308216</v>
          </cell>
          <cell r="CV32">
            <v>-609014</v>
          </cell>
          <cell r="CY32">
            <v>-5970</v>
          </cell>
          <cell r="DA32">
            <v>-3512</v>
          </cell>
          <cell r="DC32">
            <v>-25970</v>
          </cell>
          <cell r="DE32">
            <v>-26739</v>
          </cell>
          <cell r="DG32">
            <v>-18235</v>
          </cell>
          <cell r="DI32">
            <v>-21339</v>
          </cell>
          <cell r="DK32">
            <v>-2832</v>
          </cell>
          <cell r="DM32">
            <v>-6100</v>
          </cell>
          <cell r="DO32">
            <v>-1590</v>
          </cell>
          <cell r="DQ32">
            <v>-3205</v>
          </cell>
          <cell r="DS32">
            <v>-26067</v>
          </cell>
          <cell r="DV32">
            <v>-2682.8</v>
          </cell>
          <cell r="DX32">
            <v>-7860.4</v>
          </cell>
          <cell r="DZ32">
            <v>-2014.5</v>
          </cell>
          <cell r="EB32">
            <v>-2040.4</v>
          </cell>
          <cell r="ED32">
            <v>-842034</v>
          </cell>
          <cell r="EH32">
            <v>-169046.2</v>
          </cell>
          <cell r="EK32">
            <v>-10223900</v>
          </cell>
          <cell r="EM32">
            <v>-811410</v>
          </cell>
          <cell r="EO32">
            <v>-6307900</v>
          </cell>
          <cell r="EQ32">
            <v>-2225000</v>
          </cell>
          <cell r="ES32">
            <v>-960250</v>
          </cell>
          <cell r="EU32">
            <v>-14093900</v>
          </cell>
          <cell r="EX32">
            <v>-36793</v>
          </cell>
          <cell r="EZ32">
            <v>-31798</v>
          </cell>
          <cell r="FA32">
            <v>0</v>
          </cell>
          <cell r="FB32">
            <v>-2939</v>
          </cell>
          <cell r="FD32">
            <v>-53259</v>
          </cell>
          <cell r="FF32">
            <v>-36217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12" sqref="L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53299.680000003427</v>
      </c>
      <c r="F20">
        <v>0.44447999999999999</v>
      </c>
      <c r="G20" s="3">
        <f>Submetering!Z20+Submetering!AA20+Submetering!AB20</f>
        <v>379.88999999999993</v>
      </c>
      <c r="H20" s="238">
        <f t="shared" si="0"/>
        <v>3.25</v>
      </c>
      <c r="I20" s="3">
        <f>Submetering!G20</f>
        <v>689</v>
      </c>
      <c r="J20">
        <v>13.83</v>
      </c>
      <c r="K20" s="3">
        <f>Submetering!I20</f>
        <v>333</v>
      </c>
      <c r="L20">
        <v>1.2</v>
      </c>
      <c r="M20" s="238">
        <f>Submetering!E20</f>
        <v>213.3</v>
      </c>
      <c r="N20">
        <f>Submetering!F20</f>
        <v>440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53104.799999997951</v>
      </c>
      <c r="F21">
        <v>0.44447999999999999</v>
      </c>
      <c r="G21" s="3">
        <f>Submetering!Z21+Submetering!AA21+Submetering!AB21</f>
        <v>364.77</v>
      </c>
      <c r="H21" s="238">
        <f t="shared" si="0"/>
        <v>3.25</v>
      </c>
      <c r="I21" s="3">
        <f>Submetering!G21</f>
        <v>629</v>
      </c>
      <c r="J21">
        <v>13.83</v>
      </c>
      <c r="K21" s="3">
        <f>Submetering!I21</f>
        <v>289</v>
      </c>
      <c r="L21">
        <v>1.2</v>
      </c>
      <c r="M21" s="238">
        <f>Submetering!E21</f>
        <v>156.42000000000002</v>
      </c>
      <c r="N21">
        <f>Submetering!F21</f>
        <v>362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51789.360000001267</v>
      </c>
      <c r="F22">
        <v>0.44447999999999999</v>
      </c>
      <c r="G22" s="3">
        <f>Submetering!Z22+Submetering!AA22+Submetering!AB22</f>
        <v>357.21</v>
      </c>
      <c r="H22" s="238">
        <f t="shared" si="0"/>
        <v>3.25</v>
      </c>
      <c r="I22" s="3">
        <f>Submetering!G22</f>
        <v>664</v>
      </c>
      <c r="J22">
        <v>13.83</v>
      </c>
      <c r="K22" s="3">
        <f>Submetering!I22</f>
        <v>239</v>
      </c>
      <c r="L22">
        <v>1.2</v>
      </c>
      <c r="M22" s="238">
        <f>Submetering!E22</f>
        <v>182.49</v>
      </c>
      <c r="N22">
        <f>Submetering!F22</f>
        <v>411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52471.440000003204</v>
      </c>
      <c r="F23">
        <v>0.44447999999999999</v>
      </c>
      <c r="G23" s="3">
        <f>Submetering!Z23+Submetering!AA23+Submetering!AB23</f>
        <v>360.99</v>
      </c>
      <c r="H23" s="238">
        <f t="shared" si="0"/>
        <v>3.25</v>
      </c>
      <c r="I23" s="3">
        <f>Submetering!G23</f>
        <v>679</v>
      </c>
      <c r="J23">
        <v>13.83</v>
      </c>
      <c r="K23" s="3">
        <f>Submetering!I23</f>
        <v>268</v>
      </c>
      <c r="L23">
        <v>1.2</v>
      </c>
      <c r="M23" s="238">
        <f>Submetering!E23</f>
        <v>208.56</v>
      </c>
      <c r="N23">
        <f>Submetering!F23</f>
        <v>433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426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5" sqref="BK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2021</v>
      </c>
      <c r="E20" s="78">
        <f>237*0.9</f>
        <v>213.3</v>
      </c>
      <c r="F20" s="79">
        <f>339+101</f>
        <v>440</v>
      </c>
      <c r="G20" s="3">
        <f>'DJB Daily Readings'!C28-'DJB Daily Readings'!C27</f>
        <v>689</v>
      </c>
      <c r="H20" s="3">
        <f>'DJB Daily Readings'!F28-'DJB Daily Readings'!F27</f>
        <v>370</v>
      </c>
      <c r="I20" s="3">
        <f>'DJB Daily Readings'!K28-'DJB Daily Readings'!K27</f>
        <v>333</v>
      </c>
      <c r="J20" s="3">
        <f>'DJB Daily Readings'!K28-'DJB Daily Readings'!K27</f>
        <v>333</v>
      </c>
      <c r="K20" s="3">
        <f>'DJB Daily Readings'!O28-'DJB Daily Readings'!O27</f>
        <v>207.06999999999971</v>
      </c>
      <c r="L20" s="3">
        <f>'DJB Daily Readings'!R28-'DJB Daily Readings'!R27</f>
        <v>24</v>
      </c>
      <c r="M20" s="3">
        <f>'DJB Daily Readings'!U28-'DJB Daily Readings'!U27</f>
        <v>4189.9199999999255</v>
      </c>
      <c r="N20" s="3">
        <f>'DJB Daily Readings'!X28-'DJB Daily Readings'!X27</f>
        <v>4969.4400000013411</v>
      </c>
      <c r="O20" s="3">
        <f>'DJB Daily Readings'!AA28-'DJB Daily Readings'!AA27</f>
        <v>11936.400000000373</v>
      </c>
      <c r="P20" s="3">
        <f>'DJB Daily Readings'!AD28-'DJB Daily Readings'!AD27</f>
        <v>341.04000000283122</v>
      </c>
      <c r="Q20" s="3">
        <f>'DJB Daily Readings'!AG28-'DJB Daily Readings'!AG27</f>
        <v>6918.2400000020862</v>
      </c>
      <c r="R20" s="3">
        <f>'DJB Daily Readings'!AJ28-'DJB Daily Readings'!AJ27</f>
        <v>6041.2799999974668</v>
      </c>
      <c r="S20" s="3">
        <f>'DJB Daily Readings'!AM28-'DJB Daily Readings'!AM27</f>
        <v>4920.7200000006706</v>
      </c>
      <c r="T20" s="3">
        <f>'DJB Daily Readings'!AP28-'DJB Daily Readings'!AP27</f>
        <v>4482.2400000002235</v>
      </c>
      <c r="U20" s="3">
        <f>'DJB Daily Readings'!AS28-'DJB Daily Readings'!AS27</f>
        <v>3264.2400000002235</v>
      </c>
      <c r="V20" s="3">
        <f>'DJB Daily Readings'!AV28-'DJB Daily Readings'!AV27</f>
        <v>6236.1599999982864</v>
      </c>
      <c r="W20" s="3">
        <f>'DJB Daily Readings'!AZ28-'DJB Daily Readings'!AZ27</f>
        <v>57900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190.89</v>
      </c>
      <c r="AA20" s="3">
        <f>('DJB Daily Readings'!CN28-'DJB Daily Readings'!CN27)*1.89</f>
        <v>177.66</v>
      </c>
      <c r="AB20" s="3">
        <f>('DJB Daily Readings'!CQ28-'DJB Daily Readings'!CQ27)*1.89</f>
        <v>11.34</v>
      </c>
      <c r="AC20" s="3">
        <f>'DJB Daily Readings'!CT28-'DJB Daily Readings'!CT27</f>
        <v>216</v>
      </c>
      <c r="AD20" s="84">
        <f>('DJB Daily Readings'!BY28-'DJB Daily Readings'!BY27)*1.89</f>
        <v>30.24</v>
      </c>
      <c r="AE20" s="84">
        <f>('DJB Daily Readings'!CA28-'DJB Daily Readings'!CA27)*1.89</f>
        <v>34.019999999999996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7</v>
      </c>
      <c r="AK20" s="81">
        <f>'DJB Daily Readings'!CW28-'DJB Daily Readings'!CW27</f>
        <v>7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8</v>
      </c>
      <c r="AO20" s="82">
        <f>'DJB Daily Readings'!DE28-'DJB Daily Readings'!DE27</f>
        <v>8</v>
      </c>
      <c r="AP20" s="82">
        <f>'DJB Daily Readings'!DK28-'DJB Daily Readings'!DK27</f>
        <v>6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10</v>
      </c>
      <c r="AU20" s="82">
        <f>'DJB Daily Readings'!DT28-'DJB Daily Readings'!DT27</f>
        <v>10.099999999999909</v>
      </c>
      <c r="AW20" s="82">
        <f>'DJB Daily Readings'!DX28-'DJB Daily Readings'!DX27</f>
        <v>7.4000000000000909</v>
      </c>
      <c r="AX20" s="82">
        <f>'DJB Daily Readings'!DZ28-'DJB Daily Readings'!DZ27</f>
        <v>10</v>
      </c>
      <c r="AY20" s="82">
        <f>'DJB Daily Readings'!EB28-'DJB Daily Readings'!EB27</f>
        <v>663</v>
      </c>
      <c r="AZ20" s="82">
        <f>'DJB Daily Readings'!ED28-'DJB Daily Readings'!ED27</f>
        <v>157.39999999999418</v>
      </c>
      <c r="BA20" s="82">
        <f>'DJB Daily Readings'!EG28-'DJB Daily Readings'!EG27</f>
        <v>7000</v>
      </c>
      <c r="BB20" s="82">
        <f>'DJB Daily Readings'!EI28-'DJB Daily Readings'!EI27</f>
        <v>400</v>
      </c>
      <c r="BC20" s="82">
        <f>'DJB Daily Readings'!EQ28-'DJB Daily Readings'!EQ27</f>
        <v>8200</v>
      </c>
      <c r="BD20" s="82">
        <f>'DJB Daily Readings'!EK28-'DJB Daily Readings'!EK27</f>
        <v>3000</v>
      </c>
      <c r="BE20" s="82">
        <f>'DJB Daily Readings'!EM28-'DJB Daily Readings'!EM27</f>
        <v>850</v>
      </c>
      <c r="BF20" s="82">
        <f>'DJB Daily Readings'!EO28-'DJB Daily Readings'!EO27</f>
        <v>750</v>
      </c>
      <c r="BG20" s="82">
        <f>('DJB Daily Readings'!ET28-'DJB Daily Readings'!ET27)*1.89</f>
        <v>26.459999999999997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24.57</v>
      </c>
      <c r="BK20" s="82">
        <f>('DJB Daily Readings'!FB28-'DJB Daily Readings'!FB27)*1.89</f>
        <v>60.48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2021</v>
      </c>
      <c r="E21" s="78">
        <f>237*0.66</f>
        <v>156.42000000000002</v>
      </c>
      <c r="F21" s="79">
        <f>257+105</f>
        <v>362</v>
      </c>
      <c r="G21" s="3">
        <f>'DJB Daily Readings'!C29-'DJB Daily Readings'!C28</f>
        <v>629</v>
      </c>
      <c r="H21" s="3">
        <f>'DJB Daily Readings'!F29-'DJB Daily Readings'!F28</f>
        <v>398</v>
      </c>
      <c r="I21" s="3">
        <f>'DJB Daily Readings'!K29-'DJB Daily Readings'!K28</f>
        <v>289</v>
      </c>
      <c r="J21" s="3">
        <f>'DJB Daily Readings'!K29-'DJB Daily Readings'!K28</f>
        <v>289</v>
      </c>
      <c r="K21" s="3">
        <f>'DJB Daily Readings'!O29-'DJB Daily Readings'!O28</f>
        <v>195.75</v>
      </c>
      <c r="L21" s="3">
        <f>'DJB Daily Readings'!R29-'DJB Daily Readings'!R28</f>
        <v>27</v>
      </c>
      <c r="M21" s="3">
        <f>'DJB Daily Readings'!U29-'DJB Daily Readings'!U28</f>
        <v>4823.2800000002608</v>
      </c>
      <c r="N21" s="3">
        <f>'DJB Daily Readings'!X29-'DJB Daily Readings'!X28</f>
        <v>4628.4000000003725</v>
      </c>
      <c r="O21" s="3">
        <f>'DJB Daily Readings'!AA29-'DJB Daily Readings'!AA28</f>
        <v>12326.160000000149</v>
      </c>
      <c r="P21" s="3">
        <f>'DJB Daily Readings'!AD29-'DJB Daily Readings'!AD28</f>
        <v>48.719999998807907</v>
      </c>
      <c r="Q21" s="3">
        <f>'DJB Daily Readings'!AG29-'DJB Daily Readings'!AG28</f>
        <v>7015.6799999959767</v>
      </c>
      <c r="R21" s="3">
        <f>'DJB Daily Readings'!AJ29-'DJB Daily Readings'!AJ28</f>
        <v>5943.8400000017136</v>
      </c>
      <c r="S21" s="3">
        <f>'DJB Daily Readings'!AM29-'DJB Daily Readings'!AM28</f>
        <v>4677.1199999991804</v>
      </c>
      <c r="T21" s="3">
        <f>'DJB Daily Readings'!AP29-'DJB Daily Readings'!AP28</f>
        <v>4238.640000000596</v>
      </c>
      <c r="U21" s="3">
        <f>'DJB Daily Readings'!AS29-'DJB Daily Readings'!AS28</f>
        <v>3118.0800000000745</v>
      </c>
      <c r="V21" s="3">
        <f>'DJB Daily Readings'!AV29-'DJB Daily Readings'!AV28</f>
        <v>6284.8800000008196</v>
      </c>
      <c r="W21" s="3">
        <f>'DJB Daily Readings'!AZ29-'DJB Daily Readings'!AZ28</f>
        <v>61500</v>
      </c>
      <c r="X21" s="3">
        <f>'DJB Daily Readings'!BC29-'DJB Daily Readings'!BC28</f>
        <v>0</v>
      </c>
      <c r="Y21" s="3">
        <f>'DJB Daily Readings'!BF29-'DJB Daily Readings'!BF28</f>
        <v>36800</v>
      </c>
      <c r="Z21" s="3">
        <f>('DJB Daily Readings'!CK29-'DJB Daily Readings'!CK28)*1.89</f>
        <v>175.76999999999998</v>
      </c>
      <c r="AA21" s="3">
        <f>('DJB Daily Readings'!CN29-'DJB Daily Readings'!CN28)*1.89</f>
        <v>175.76999999999998</v>
      </c>
      <c r="AB21" s="3">
        <f>('DJB Daily Readings'!CQ29-'DJB Daily Readings'!CQ28)*1.89</f>
        <v>13.229999999999999</v>
      </c>
      <c r="AC21" s="3">
        <f>'DJB Daily Readings'!CT29-'DJB Daily Readings'!CT28</f>
        <v>210</v>
      </c>
      <c r="AD21" s="84">
        <f>('DJB Daily Readings'!BY29-'DJB Daily Readings'!BY28)*1.89</f>
        <v>37.799999999999997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26.459999999999997</v>
      </c>
      <c r="AI21" s="84">
        <f>('DJB Daily Readings'!CI29-'DJB Daily Readings'!CI28)*1.89</f>
        <v>49.14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7</v>
      </c>
      <c r="AO21" s="82">
        <f>'DJB Daily Readings'!DE29-'DJB Daily Readings'!DE28</f>
        <v>8</v>
      </c>
      <c r="AP21" s="82">
        <f>'DJB Daily Readings'!DK29-'DJB Daily Readings'!DK28</f>
        <v>12</v>
      </c>
      <c r="AQ21" s="82">
        <f>'DJB Daily Readings'!DI29-'DJB Daily Readings'!DI28</f>
        <v>10</v>
      </c>
      <c r="AR21" s="82">
        <f>'DJB Daily Readings'!DO29-'DJB Daily Readings'!DO28</f>
        <v>12</v>
      </c>
      <c r="AS21" s="82">
        <f>'DJB Daily Readings'!DM29-'DJB Daily Readings'!DM28</f>
        <v>4</v>
      </c>
      <c r="AT21" s="82">
        <f>'DJB Daily Readings'!DQ29-'DJB Daily Readings'!DQ28</f>
        <v>14</v>
      </c>
      <c r="AU21" s="82">
        <f>'DJB Daily Readings'!DT29-'DJB Daily Readings'!DT28</f>
        <v>10.699999999999818</v>
      </c>
      <c r="AW21" s="82">
        <f>'DJB Daily Readings'!DX29-'DJB Daily Readings'!DX28</f>
        <v>7.3999999999998636</v>
      </c>
      <c r="AX21" s="82">
        <f>'DJB Daily Readings'!DZ29-'DJB Daily Readings'!DZ28</f>
        <v>10.099999999999909</v>
      </c>
      <c r="AY21" s="82">
        <f>'DJB Daily Readings'!EB29-'DJB Daily Readings'!EB28</f>
        <v>661</v>
      </c>
      <c r="AZ21" s="82">
        <f>'DJB Daily Readings'!ED29-'DJB Daily Readings'!ED28</f>
        <v>156.29999999998836</v>
      </c>
      <c r="BA21" s="82">
        <f>'DJB Daily Readings'!EG29-'DJB Daily Readings'!EG28</f>
        <v>7400</v>
      </c>
      <c r="BB21" s="82">
        <f>'DJB Daily Readings'!EI29-'DJB Daily Readings'!EI28</f>
        <v>390</v>
      </c>
      <c r="BC21" s="82">
        <f>'DJB Daily Readings'!EQ29-'DJB Daily Readings'!EQ28</f>
        <v>8100</v>
      </c>
      <c r="BD21" s="82">
        <f>'DJB Daily Readings'!EK29-'DJB Daily Readings'!EK28</f>
        <v>3200</v>
      </c>
      <c r="BE21" s="82">
        <f>'DJB Daily Readings'!EM29-'DJB Daily Readings'!EM28</f>
        <v>950</v>
      </c>
      <c r="BF21" s="82">
        <f>'DJB Daily Readings'!EO29-'DJB Daily Readings'!EO28</f>
        <v>870</v>
      </c>
      <c r="BG21" s="82">
        <f>('DJB Daily Readings'!ET29-'DJB Daily Readings'!ET28)*1.89</f>
        <v>26.459999999999997</v>
      </c>
      <c r="BH21" s="82">
        <f>('DJB Daily Readings'!EV29-'DJB Daily Readings'!EV28)*1.89</f>
        <v>24.57</v>
      </c>
      <c r="BI21" s="82">
        <f>('DJB Daily Readings'!EZ29-'DJB Daily Readings'!EZ28)*1.89</f>
        <v>34.019999999999996</v>
      </c>
      <c r="BJ21" s="82">
        <f>('DJB Daily Readings'!EX29-'DJB Daily Readings'!EX28)*1.89</f>
        <v>24.57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2021</v>
      </c>
      <c r="E22" s="78">
        <f>237*0.77</f>
        <v>182.49</v>
      </c>
      <c r="F22" s="79">
        <f>302+109</f>
        <v>411</v>
      </c>
      <c r="G22" s="3">
        <f>'DJB Daily Readings'!C30-'DJB Daily Readings'!C29</f>
        <v>664</v>
      </c>
      <c r="H22" s="3">
        <f>'DJB Daily Readings'!F30-'DJB Daily Readings'!F29</f>
        <v>428</v>
      </c>
      <c r="I22" s="3">
        <f>'DJB Daily Readings'!K30-'DJB Daily Readings'!K29</f>
        <v>239</v>
      </c>
      <c r="J22" s="3">
        <f>'DJB Daily Readings'!K30-'DJB Daily Readings'!K29</f>
        <v>239</v>
      </c>
      <c r="K22" s="3">
        <f>'DJB Daily Readings'!O30-'DJB Daily Readings'!O29</f>
        <v>201.94000000000233</v>
      </c>
      <c r="L22" s="3">
        <f>'DJB Daily Readings'!R30-'DJB Daily Readings'!R29</f>
        <v>35</v>
      </c>
      <c r="M22" s="3">
        <f>'DJB Daily Readings'!U30-'DJB Daily Readings'!U29</f>
        <v>3946.320000000298</v>
      </c>
      <c r="N22" s="3">
        <f>'DJB Daily Readings'!X30-'DJB Daily Readings'!X29</f>
        <v>4725.839999999851</v>
      </c>
      <c r="O22" s="3">
        <f>'DJB Daily Readings'!AA30-'DJB Daily Readings'!AA29</f>
        <v>11887.679999997839</v>
      </c>
      <c r="P22" s="3">
        <f>'DJB Daily Readings'!AD30-'DJB Daily Readings'!AD29</f>
        <v>487.19999999925494</v>
      </c>
      <c r="Q22" s="3">
        <f>'DJB Daily Readings'!AG30-'DJB Daily Readings'!AG29</f>
        <v>6382.3200000040233</v>
      </c>
      <c r="R22" s="3">
        <f>'DJB Daily Readings'!AJ30-'DJB Daily Readings'!AJ29</f>
        <v>6041.2799999993294</v>
      </c>
      <c r="S22" s="3">
        <f>'DJB Daily Readings'!AM30-'DJB Daily Readings'!AM29</f>
        <v>4725.8400000017136</v>
      </c>
      <c r="T22" s="3">
        <f>'DJB Daily Readings'!AP30-'DJB Daily Readings'!AP29</f>
        <v>4287.359999999404</v>
      </c>
      <c r="U22" s="3">
        <f>'DJB Daily Readings'!AS30-'DJB Daily Readings'!AS29</f>
        <v>3166.8000000007451</v>
      </c>
      <c r="V22" s="3">
        <f>'DJB Daily Readings'!AV30-'DJB Daily Readings'!AV29</f>
        <v>6138.7199999988079</v>
      </c>
      <c r="W22" s="3">
        <f>'DJB Daily Readings'!AZ30-'DJB Daily Readings'!AZ29</f>
        <v>60100</v>
      </c>
      <c r="X22" s="3">
        <f>'DJB Daily Readings'!BC30-'DJB Daily Readings'!BC29</f>
        <v>0</v>
      </c>
      <c r="Y22" s="3">
        <f>'DJB Daily Readings'!BF30-'DJB Daily Readings'!BF29</f>
        <v>35700</v>
      </c>
      <c r="Z22" s="3">
        <f>('DJB Daily Readings'!CK30-'DJB Daily Readings'!CK29)*1.89</f>
        <v>179.54999999999998</v>
      </c>
      <c r="AA22" s="3">
        <f>('DJB Daily Readings'!CN30-'DJB Daily Readings'!CN29)*1.89</f>
        <v>177.66</v>
      </c>
      <c r="AB22" s="3">
        <f>('DJB Daily Readings'!CQ30-'DJB Daily Readings'!CQ29)*1.89</f>
        <v>0</v>
      </c>
      <c r="AC22" s="3">
        <f>'DJB Daily Readings'!CT30-'DJB Daily Readings'!CT29</f>
        <v>203</v>
      </c>
      <c r="AD22" s="84">
        <f>('DJB Daily Readings'!BY30-'DJB Daily Readings'!BY29)*1.89</f>
        <v>34.019999999999996</v>
      </c>
      <c r="AE22" s="84">
        <f>('DJB Daily Readings'!CA30-'DJB Daily Readings'!CA29)*1.89</f>
        <v>34.019999999999996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54.809999999999995</v>
      </c>
      <c r="AJ22" s="81">
        <f>'DJB Daily Readings'!CY30-'DJB Daily Readings'!CY29</f>
        <v>10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9</v>
      </c>
      <c r="AP22" s="82">
        <f>'DJB Daily Readings'!DK30-'DJB Daily Readings'!DK29</f>
        <v>13</v>
      </c>
      <c r="AQ22" s="82">
        <f>'DJB Daily Readings'!DI30-'DJB Daily Readings'!DI29</f>
        <v>12</v>
      </c>
      <c r="AR22" s="82">
        <f>'DJB Daily Readings'!DO30-'DJB Daily Readings'!DO29</f>
        <v>10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10</v>
      </c>
      <c r="AW22" s="82">
        <f>'DJB Daily Readings'!DX30-'DJB Daily Readings'!DX29</f>
        <v>7.3000000000001819</v>
      </c>
      <c r="AX22" s="82">
        <f>'DJB Daily Readings'!DZ30-'DJB Daily Readings'!DZ29</f>
        <v>10.5</v>
      </c>
      <c r="AY22" s="82">
        <f>'DJB Daily Readings'!EB30-'DJB Daily Readings'!EB29</f>
        <v>978</v>
      </c>
      <c r="AZ22" s="82">
        <f>'DJB Daily Readings'!ED30-'DJB Daily Readings'!ED29</f>
        <v>153.39999999999418</v>
      </c>
      <c r="BA22" s="82">
        <f>'DJB Daily Readings'!EG30-'DJB Daily Readings'!EG29</f>
        <v>6800</v>
      </c>
      <c r="BB22" s="82">
        <f>'DJB Daily Readings'!EI30-'DJB Daily Readings'!EI29</f>
        <v>370</v>
      </c>
      <c r="BC22" s="82">
        <f>'DJB Daily Readings'!EQ30-'DJB Daily Readings'!EQ29</f>
        <v>7900</v>
      </c>
      <c r="BD22" s="82">
        <f>'DJB Daily Readings'!EK30-'DJB Daily Readings'!EK29</f>
        <v>2800</v>
      </c>
      <c r="BE22" s="82">
        <f>'DJB Daily Readings'!EM30-'DJB Daily Readings'!EM29</f>
        <v>800</v>
      </c>
      <c r="BF22" s="82">
        <f>'DJB Daily Readings'!EO30-'DJB Daily Readings'!EO29</f>
        <v>760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35.909999999999997</v>
      </c>
      <c r="BJ22" s="82">
        <f>('DJB Daily Readings'!EX30-'DJB Daily Readings'!EX29)*1.89</f>
        <v>32.129999999999995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2021</v>
      </c>
      <c r="E23" s="78">
        <f>237*0.88</f>
        <v>208.56</v>
      </c>
      <c r="F23" s="79">
        <f>324+109</f>
        <v>433</v>
      </c>
      <c r="G23" s="3">
        <f>'DJB Daily Readings'!C31-'DJB Daily Readings'!C30</f>
        <v>679</v>
      </c>
      <c r="H23" s="3">
        <f>'DJB Daily Readings'!F31-'DJB Daily Readings'!F30</f>
        <v>444</v>
      </c>
      <c r="I23" s="3">
        <f>'DJB Daily Readings'!K31-'DJB Daily Readings'!K30</f>
        <v>268</v>
      </c>
      <c r="J23" s="3">
        <f>'DJB Daily Readings'!K31-'DJB Daily Readings'!K30</f>
        <v>268</v>
      </c>
      <c r="K23" s="3">
        <f>'DJB Daily Readings'!O31-'DJB Daily Readings'!O30</f>
        <v>199.19000000000233</v>
      </c>
      <c r="L23" s="3">
        <f>'DJB Daily Readings'!R31-'DJB Daily Readings'!R30</f>
        <v>30</v>
      </c>
      <c r="M23" s="3">
        <f>'DJB Daily Readings'!U31-'DJB Daily Readings'!U30</f>
        <v>4238.640000000596</v>
      </c>
      <c r="N23" s="3">
        <f>'DJB Daily Readings'!X31-'DJB Daily Readings'!X30</f>
        <v>4725.839999999851</v>
      </c>
      <c r="O23" s="3">
        <f>'DJB Daily Readings'!AA31-'DJB Daily Readings'!AA30</f>
        <v>12228.720000002533</v>
      </c>
      <c r="P23" s="3">
        <f>'DJB Daily Readings'!AD31-'DJB Daily Readings'!AD30</f>
        <v>487.20000000111759</v>
      </c>
      <c r="Q23" s="3">
        <f>'DJB Daily Readings'!AG31-'DJB Daily Readings'!AG30</f>
        <v>6041.2799999974668</v>
      </c>
      <c r="R23" s="3">
        <f>'DJB Daily Readings'!AJ31-'DJB Daily Readings'!AJ30</f>
        <v>6090</v>
      </c>
      <c r="S23" s="3">
        <f>'DJB Daily Readings'!AM31-'DJB Daily Readings'!AM30</f>
        <v>4823.2799999993294</v>
      </c>
      <c r="T23" s="3">
        <f>'DJB Daily Readings'!AP31-'DJB Daily Readings'!AP30</f>
        <v>4336.0800000000745</v>
      </c>
      <c r="U23" s="3">
        <f>'DJB Daily Readings'!AS31-'DJB Daily Readings'!AS30</f>
        <v>3020.640000000596</v>
      </c>
      <c r="V23" s="3">
        <f>'DJB Daily Readings'!AV31-'DJB Daily Readings'!AV30</f>
        <v>6479.7600000016391</v>
      </c>
      <c r="W23" s="3">
        <f>'DJB Daily Readings'!AZ31-'DJB Daily Readings'!AZ30</f>
        <v>61000</v>
      </c>
      <c r="X23" s="3">
        <f>'DJB Daily Readings'!BC31-'DJB Daily Readings'!BC30</f>
        <v>0</v>
      </c>
      <c r="Y23" s="3">
        <f>'DJB Daily Readings'!BF31-'DJB Daily Readings'!BF30</f>
        <v>34800</v>
      </c>
      <c r="Z23" s="3">
        <f>('DJB Daily Readings'!CK31-'DJB Daily Readings'!CK30)*1.89</f>
        <v>179.54999999999998</v>
      </c>
      <c r="AA23" s="3">
        <f>('DJB Daily Readings'!CN31-'DJB Daily Readings'!CN30)*1.89</f>
        <v>181.44</v>
      </c>
      <c r="AB23" s="3">
        <f>('DJB Daily Readings'!CQ31-'DJB Daily Readings'!CQ30)*1.89</f>
        <v>0</v>
      </c>
      <c r="AC23" s="3">
        <f>'DJB Daily Readings'!CT31-'DJB Daily Readings'!CT30</f>
        <v>209</v>
      </c>
      <c r="AD23" s="84">
        <f>('DJB Daily Readings'!BY31-'DJB Daily Readings'!BY30)*1.89</f>
        <v>37.799999999999997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17.009999999999998</v>
      </c>
      <c r="AI23" s="84">
        <f>('DJB Daily Readings'!CI31-'DJB Daily Readings'!CI30)*1.89</f>
        <v>51.029999999999994</v>
      </c>
      <c r="AJ23" s="81">
        <f>'DJB Daily Readings'!CY31-'DJB Daily Readings'!CY30</f>
        <v>10</v>
      </c>
      <c r="AK23" s="81">
        <f>'DJB Daily Readings'!CW31-'DJB Daily Readings'!CW30</f>
        <v>11</v>
      </c>
      <c r="AL23" s="82">
        <f>'DJB Daily Readings'!DC31-'DJB Daily Readings'!DC30</f>
        <v>22</v>
      </c>
      <c r="AM23" s="82">
        <f>'DJB Daily Readings'!DA31-'DJB Daily Readings'!DA30</f>
        <v>13</v>
      </c>
      <c r="AN23" s="82">
        <f>'DJB Daily Readings'!DG31-'DJB Daily Readings'!DG30</f>
        <v>8</v>
      </c>
      <c r="AO23" s="82">
        <f>'DJB Daily Readings'!DE31-'DJB Daily Readings'!DE30</f>
        <v>9</v>
      </c>
      <c r="AP23" s="82">
        <f>'DJB Daily Readings'!DK31-'DJB Daily Readings'!DK30</f>
        <v>12</v>
      </c>
      <c r="AQ23" s="82">
        <f>'DJB Daily Readings'!DI31-'DJB Daily Readings'!DI30</f>
        <v>11</v>
      </c>
      <c r="AR23" s="82">
        <f>'DJB Daily Readings'!DO31-'DJB Daily Readings'!DO30</f>
        <v>9</v>
      </c>
      <c r="AS23" s="82">
        <f>'DJB Daily Readings'!DM31-'DJB Daily Readings'!DM30</f>
        <v>6</v>
      </c>
      <c r="AT23" s="82">
        <f>'DJB Daily Readings'!DQ31-'DJB Daily Readings'!DQ30</f>
        <v>0</v>
      </c>
      <c r="AU23" s="82">
        <f>'DJB Daily Readings'!DT31-'DJB Daily Readings'!DT30</f>
        <v>10.700000000000273</v>
      </c>
      <c r="AW23" s="82">
        <f>'DJB Daily Readings'!DX31-'DJB Daily Readings'!DX30</f>
        <v>7.5999999999999091</v>
      </c>
      <c r="AX23" s="82">
        <f>'DJB Daily Readings'!DZ31-'DJB Daily Readings'!DZ30</f>
        <v>10.800000000000182</v>
      </c>
      <c r="AY23" s="82">
        <f>'DJB Daily Readings'!EB31-'DJB Daily Readings'!EB30</f>
        <v>411</v>
      </c>
      <c r="AZ23" s="82">
        <f>'DJB Daily Readings'!ED31-'DJB Daily Readings'!ED30</f>
        <v>154.90000000002328</v>
      </c>
      <c r="BA23" s="82">
        <f>'DJB Daily Readings'!EG31-'DJB Daily Readings'!EG30</f>
        <v>6900</v>
      </c>
      <c r="BB23" s="82">
        <f>'DJB Daily Readings'!EI31-'DJB Daily Readings'!EI30</f>
        <v>380</v>
      </c>
      <c r="BC23" s="82">
        <f>'DJB Daily Readings'!EQ31-'DJB Daily Readings'!EQ30</f>
        <v>8200</v>
      </c>
      <c r="BD23" s="82">
        <f>'DJB Daily Readings'!EK31-'DJB Daily Readings'!EK30</f>
        <v>3000</v>
      </c>
      <c r="BE23" s="82">
        <f>'DJB Daily Readings'!EM31-'DJB Daily Readings'!EM30</f>
        <v>800</v>
      </c>
      <c r="BF23" s="82">
        <f>'DJB Daily Readings'!EO31-'DJB Daily Readings'!EO30</f>
        <v>790</v>
      </c>
      <c r="BG23" s="82">
        <f>('DJB Daily Readings'!ET31-'DJB Daily Readings'!ET30)*1.89</f>
        <v>26.459999999999997</v>
      </c>
      <c r="BH23" s="82">
        <f>('DJB Daily Readings'!EV31-'DJB Daily Readings'!EV30)*1.89</f>
        <v>28.349999999999998</v>
      </c>
      <c r="BI23" s="82">
        <f>('DJB Daily Readings'!EZ31-'DJB Daily Readings'!EZ30)*1.89</f>
        <v>37.799999999999997</v>
      </c>
      <c r="BJ23" s="82">
        <f>('DJB Daily Readings'!EX31-'DJB Daily Readings'!EX30)*1.89</f>
        <v>32.129999999999995</v>
      </c>
      <c r="BK23" s="82">
        <f>('DJB Daily Readings'!FB31-'DJB Daily Readings'!FB30)*1.89</f>
        <v>60.48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2021</v>
      </c>
      <c r="E24" s="78"/>
      <c r="F24" s="79">
        <f>313+113</f>
        <v>426</v>
      </c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567">
        <f>C10-C9</f>
        <v>765</v>
      </c>
      <c r="E9" s="481">
        <f>'[1]October - 2021'!G9</f>
        <v>582</v>
      </c>
      <c r="F9" s="168">
        <f>'[1]October - 2021'!H9</f>
        <v>61118</v>
      </c>
      <c r="G9" s="479">
        <f>F10-F9</f>
        <v>417</v>
      </c>
      <c r="H9" s="481">
        <f>'[1]October - 2021'!J9</f>
        <v>313</v>
      </c>
      <c r="I9" s="264">
        <f>'[1]October - 2021'!K9</f>
        <v>164625</v>
      </c>
      <c r="J9" s="479">
        <f>I10-I9</f>
        <v>0</v>
      </c>
      <c r="K9" s="264">
        <f>'[1]October - 2021'!N9</f>
        <v>800710</v>
      </c>
      <c r="L9" s="478">
        <f>K10-K9</f>
        <v>331</v>
      </c>
      <c r="M9" s="264">
        <f>'[1]October - 2021'!Q9</f>
        <v>183610</v>
      </c>
      <c r="N9" s="478">
        <f>M10-M9</f>
        <v>46</v>
      </c>
      <c r="O9" s="264">
        <f>'[1]October - 2021'!S9</f>
        <v>41866.07</v>
      </c>
      <c r="P9" s="479">
        <f>O10-O9</f>
        <v>271.20999999999913</v>
      </c>
      <c r="Q9" s="481">
        <f>'[1]October - 2021'!U9</f>
        <v>109</v>
      </c>
      <c r="R9" s="264">
        <f>'[1]October - 2021'!V9</f>
        <v>2200</v>
      </c>
      <c r="S9" s="569">
        <f>R10-R9</f>
        <v>42</v>
      </c>
      <c r="T9" s="477"/>
      <c r="U9" s="269">
        <f>'[1]October - 2021'!AC9</f>
        <v>6972903.8399999999</v>
      </c>
      <c r="V9" s="571">
        <f>U10-U9</f>
        <v>4141.2000000001863</v>
      </c>
      <c r="W9" s="497">
        <f>'[1]October - 2021'!AD9</f>
        <v>4141.2000000001863</v>
      </c>
      <c r="X9" s="255">
        <f>'[1]October - 2021'!AF9</f>
        <v>13421142</v>
      </c>
      <c r="Y9" s="479">
        <f>X10-X9</f>
        <v>4725.839999999851</v>
      </c>
      <c r="Z9" s="497">
        <f>'[1]October - 2021'!AG9</f>
        <v>4725.839999999851</v>
      </c>
      <c r="AA9" s="255">
        <f>'[1]October - 2021'!AI9</f>
        <v>13317270.959999999</v>
      </c>
      <c r="AB9" s="479">
        <f>AA10-AA9</f>
        <v>14274.959999999031</v>
      </c>
      <c r="AC9" s="497">
        <f>'[1]October - 2021'!AJ9</f>
        <v>14274.959999999031</v>
      </c>
      <c r="AD9" s="255">
        <f>'[1]October - 2021'!AL9</f>
        <v>16300347.839999998</v>
      </c>
      <c r="AE9" s="479">
        <f>AD10-AD9</f>
        <v>12374.88000000082</v>
      </c>
      <c r="AF9" s="497">
        <f>'[1]October - 2021'!AM9</f>
        <v>12374.88000000082</v>
      </c>
      <c r="AG9" s="255">
        <f>'[1]October - 2021'!AO9</f>
        <v>16710570.239999998</v>
      </c>
      <c r="AH9" s="479">
        <f>AG10-AG9</f>
        <v>779.52000000327826</v>
      </c>
      <c r="AI9" s="497">
        <f>'[1]October - 2021'!AP9</f>
        <v>779.52000000327826</v>
      </c>
      <c r="AJ9" s="255">
        <f>'[1]October - 2021'!AR9</f>
        <v>15072750</v>
      </c>
      <c r="AK9" s="479">
        <f>AJ10-AJ9</f>
        <v>6333.5999999996275</v>
      </c>
      <c r="AL9" s="497">
        <f>'[1]October - 2021'!AS9</f>
        <v>6333.5999999996275</v>
      </c>
      <c r="AM9" s="255">
        <f>'[1]October - 2021'!AU9</f>
        <v>12847999.919999998</v>
      </c>
      <c r="AN9" s="479">
        <f>AM10-AM9</f>
        <v>4969.4400000013411</v>
      </c>
      <c r="AO9" s="497">
        <f>'[1]October - 2021'!AV9</f>
        <v>4969.4400000013411</v>
      </c>
      <c r="AP9" s="255">
        <f>'[1]October - 2021'!AX9</f>
        <v>12368302.799999999</v>
      </c>
      <c r="AQ9" s="479">
        <f>AP10-AP9</f>
        <v>4287.3600000012666</v>
      </c>
      <c r="AR9" s="497">
        <f>'[1]October - 2021'!AY9</f>
        <v>4287.3600000012666</v>
      </c>
      <c r="AS9" s="255">
        <f>'[1]October - 2021'!BA9</f>
        <v>9865361.5199999996</v>
      </c>
      <c r="AT9" s="479">
        <f>AS10-AS9</f>
        <v>3556.5600000005215</v>
      </c>
      <c r="AU9" s="497">
        <f>'[1]October - 2021'!BB9</f>
        <v>3556.5600000005215</v>
      </c>
      <c r="AV9" s="255">
        <f>'[1]October - 2021'!BD9</f>
        <v>15242782.799999999</v>
      </c>
      <c r="AW9" s="479">
        <f>AV10-AV9</f>
        <v>5700.2400000002235</v>
      </c>
      <c r="AX9" s="499">
        <f>'[1]October - 2021'!BE9</f>
        <v>5700.2400000002235</v>
      </c>
      <c r="AY9" s="494"/>
      <c r="AZ9" s="272">
        <f>'[1]October - 2021'!BK9</f>
        <v>66088200</v>
      </c>
      <c r="BA9" s="501">
        <f>AZ10-AZ9</f>
        <v>68600</v>
      </c>
      <c r="BB9" s="495">
        <f>'[1]October - 2021'!BL9</f>
        <v>68600</v>
      </c>
      <c r="BC9" s="272">
        <f>'[1]October - 2021'!BN9</f>
        <v>68499700</v>
      </c>
      <c r="BD9" s="501">
        <f>BC10-BC9</f>
        <v>65400</v>
      </c>
      <c r="BE9" s="495">
        <f>'[1]October - 2021'!BO9</f>
        <v>65400</v>
      </c>
      <c r="BF9" s="272">
        <f>'[1]October - 2021'!BQ9</f>
        <v>63297900</v>
      </c>
      <c r="BG9" s="501">
        <f>BF10-BF9</f>
        <v>0</v>
      </c>
      <c r="BH9" s="495">
        <f>'[1]October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574">
        <f>BS10-BS9</f>
        <v>7620</v>
      </c>
      <c r="BU9" s="590"/>
      <c r="BV9" s="88">
        <f>'[1]October - 2021'!BW9</f>
        <v>0.79</v>
      </c>
      <c r="BW9" s="585">
        <f>BV10-BV9</f>
        <v>-4.0000000000000036E-2</v>
      </c>
      <c r="BX9" s="587">
        <f>'[1]October - 2021'!$BX$9:$BX$10</f>
        <v>4.0000000000000036E-2</v>
      </c>
      <c r="BY9" s="89">
        <f>'[1]October - 2021'!BZ9</f>
        <v>55717</v>
      </c>
      <c r="BZ9" s="573">
        <f>BY10-BY9</f>
        <v>18</v>
      </c>
      <c r="CA9" s="89">
        <f>'[1]October - 2021'!CB9</f>
        <v>47253</v>
      </c>
      <c r="CB9" s="573">
        <f>CA10-CA9</f>
        <v>20</v>
      </c>
      <c r="CC9" s="89">
        <f>'[1]October - 2021'!CD9</f>
        <v>16334</v>
      </c>
      <c r="CD9" s="573">
        <f>CC10-CC9</f>
        <v>7</v>
      </c>
      <c r="CE9" s="89">
        <f>'[1]October - 2021'!CF9</f>
        <v>21339</v>
      </c>
      <c r="CF9" s="573">
        <f>CE10-CE9</f>
        <v>10</v>
      </c>
      <c r="CG9" s="89">
        <f>'[1]October - 2021'!CH9</f>
        <v>23108</v>
      </c>
      <c r="CH9" s="573">
        <f>CG10-CG9</f>
        <v>17</v>
      </c>
      <c r="CI9" s="89">
        <f>'[1]October - 2021'!CJ9</f>
        <v>51575</v>
      </c>
      <c r="CJ9" s="573">
        <f>CI10-CI9</f>
        <v>30</v>
      </c>
      <c r="CK9" s="89">
        <f>'[1]October - 2021'!CL9</f>
        <v>227310</v>
      </c>
      <c r="CL9" s="573">
        <f>CK10-CK9</f>
        <v>94</v>
      </c>
      <c r="CM9" s="525">
        <f>'[1]October - 2021'!CM9</f>
        <v>94</v>
      </c>
      <c r="CN9" s="89">
        <f>'[1]October - 2021'!CO9</f>
        <v>173158</v>
      </c>
      <c r="CO9" s="573">
        <f>CN10-CN9</f>
        <v>81</v>
      </c>
      <c r="CP9" s="525">
        <f>'[1]October - 2021'!CP9</f>
        <v>81</v>
      </c>
      <c r="CQ9" s="89">
        <f>'[1]October - 2021'!CR9</f>
        <v>308195</v>
      </c>
      <c r="CR9" s="573">
        <f>CQ10-CQ9</f>
        <v>0</v>
      </c>
      <c r="CS9" s="525">
        <f>'[1]October - 2021'!CS9</f>
        <v>0</v>
      </c>
      <c r="CT9" s="89">
        <f>'[1]October - 2021'!CU9</f>
        <v>604639</v>
      </c>
      <c r="CU9" s="527">
        <f>CT10-CT9</f>
        <v>195</v>
      </c>
      <c r="CV9" s="518"/>
      <c r="CW9" s="256">
        <f>'[1]October - 2021'!CX9</f>
        <v>5797</v>
      </c>
      <c r="CX9" s="529">
        <f>CW10-CW9</f>
        <v>9</v>
      </c>
      <c r="CY9" s="257">
        <f>'[1]October - 2021'!CZ9</f>
        <v>3342</v>
      </c>
      <c r="CZ9" s="529">
        <f>CY10-CY9</f>
        <v>9</v>
      </c>
      <c r="DA9" s="257">
        <f>'[1]October - 2021'!DB9</f>
        <v>25655</v>
      </c>
      <c r="DB9" s="529">
        <f>DA10-DA9</f>
        <v>18</v>
      </c>
      <c r="DC9" s="257">
        <f>'[1]October - 2021'!DD9</f>
        <v>26370</v>
      </c>
      <c r="DD9" s="529">
        <f>DC10-DC9</f>
        <v>19</v>
      </c>
      <c r="DE9" s="257">
        <f>'[1]October - 2021'!DF9</f>
        <v>18067</v>
      </c>
      <c r="DF9" s="529">
        <f>DE10-DE9</f>
        <v>7</v>
      </c>
      <c r="DG9" s="257">
        <f>'[1]October - 2021'!DH9</f>
        <v>21176</v>
      </c>
      <c r="DH9" s="529">
        <f>DG10-DG9</f>
        <v>11</v>
      </c>
      <c r="DI9" s="257">
        <f>'[1]October - 2021'!DJ9</f>
        <v>2635</v>
      </c>
      <c r="DJ9" s="529">
        <f>DI10-DI9</f>
        <v>8</v>
      </c>
      <c r="DK9" s="257">
        <f>'[1]October - 2021'!DL9</f>
        <v>5917</v>
      </c>
      <c r="DL9" s="529">
        <f>DK10-DK9</f>
        <v>15</v>
      </c>
      <c r="DM9" s="257">
        <f>'[1]October - 2021'!DN9</f>
        <v>1480</v>
      </c>
      <c r="DN9" s="529">
        <f>DM10-DM9</f>
        <v>10</v>
      </c>
      <c r="DO9" s="257">
        <f>'[1]October - 2021'!DP9</f>
        <v>3034</v>
      </c>
      <c r="DP9" s="529">
        <f>DO10-DO9</f>
        <v>6</v>
      </c>
      <c r="DQ9" s="257">
        <f>'[1]October - 2021'!DR9</f>
        <v>25998</v>
      </c>
      <c r="DR9" s="583">
        <f>DQ10-DQ9</f>
        <v>0</v>
      </c>
      <c r="DS9" s="534"/>
      <c r="DT9" s="210">
        <f>'[1]October - 2021'!DU9</f>
        <v>2460.5</v>
      </c>
      <c r="DU9" s="547">
        <f>DT10-DT9</f>
        <v>11</v>
      </c>
      <c r="DV9" s="91">
        <f>'[1]October - 2021'!DW9</f>
        <v>7671.3</v>
      </c>
      <c r="DW9" s="545">
        <f>DV10-DV9</f>
        <v>9.0999999999994543</v>
      </c>
      <c r="DX9" s="91">
        <f>'[1]October - 2021'!DY9</f>
        <v>1853.5</v>
      </c>
      <c r="DY9" s="547">
        <f>DX10-DX9</f>
        <v>7.7000000000000455</v>
      </c>
      <c r="DZ9" s="91">
        <f>'[1]October - 2021'!EA9</f>
        <v>1807.6</v>
      </c>
      <c r="EA9" s="547">
        <f>DZ10-DZ9</f>
        <v>5.9000000000000909</v>
      </c>
      <c r="EB9" s="91">
        <f>'[1]October - 2021'!EC9</f>
        <v>826585</v>
      </c>
      <c r="EC9" s="547">
        <f>EB10-EB9</f>
        <v>886</v>
      </c>
      <c r="ED9" s="91">
        <f>'[1]October - 2021'!EG9</f>
        <v>165661.4</v>
      </c>
      <c r="EE9" s="549">
        <f>ED10-ED9</f>
        <v>155.89999999999418</v>
      </c>
      <c r="EF9" s="581"/>
      <c r="EG9" s="235">
        <f>'[1]October - 2021'!EJ9</f>
        <v>10069900</v>
      </c>
      <c r="EH9" s="558">
        <f>EG10-EG9</f>
        <v>11100</v>
      </c>
      <c r="EI9" s="90">
        <f>'[1]October - 2021'!EL9</f>
        <v>802400</v>
      </c>
      <c r="EJ9" s="558">
        <f>EI10-EI9</f>
        <v>530</v>
      </c>
      <c r="EK9" s="90">
        <f>'[1]October - 2021'!EN9</f>
        <v>6240100</v>
      </c>
      <c r="EL9" s="558">
        <f>EK10-EK9</f>
        <v>4500</v>
      </c>
      <c r="EM9" s="90">
        <f>'[1]October - 2021'!EP9</f>
        <v>2205300</v>
      </c>
      <c r="EN9" s="558">
        <f>EM10-EM9</f>
        <v>2200</v>
      </c>
      <c r="EO9" s="90">
        <f>'[1]October - 2021'!ER9</f>
        <v>942170</v>
      </c>
      <c r="EP9" s="558">
        <f>EO10-EO9</f>
        <v>1220</v>
      </c>
      <c r="EQ9" s="90">
        <f>'[1]October - 2021'!ET9</f>
        <v>13908000</v>
      </c>
      <c r="ER9" s="565">
        <f>EQ10-EQ9</f>
        <v>11800</v>
      </c>
      <c r="ES9" s="556"/>
      <c r="ET9" s="284">
        <f>'[1]October - 2021'!EW9</f>
        <v>36453</v>
      </c>
      <c r="EU9" s="530">
        <f>ET10-ET9</f>
        <v>16</v>
      </c>
      <c r="EV9" s="285">
        <f>'[1]October - 2021'!EY9</f>
        <v>31514</v>
      </c>
      <c r="EW9" s="530">
        <f>EV10-EV9</f>
        <v>13</v>
      </c>
      <c r="EX9" s="285">
        <f>'[1]October - 2021'!FA9</f>
        <v>2629</v>
      </c>
      <c r="EY9" s="530">
        <v>0</v>
      </c>
      <c r="EZ9" s="285">
        <f>'[1]October - 2021'!FC9</f>
        <v>52872</v>
      </c>
      <c r="FA9" s="530">
        <f>EZ10-EZ9</f>
        <v>18</v>
      </c>
      <c r="FB9" s="285">
        <f>'[1]October - 2021'!FE9</f>
        <v>35506</v>
      </c>
      <c r="FC9" s="561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568"/>
      <c r="E10" s="482"/>
      <c r="F10" s="168">
        <f>'[1]October - 2021'!H10</f>
        <v>61535</v>
      </c>
      <c r="G10" s="480"/>
      <c r="H10" s="482"/>
      <c r="I10" s="168">
        <f>'[1]October - 2021'!K10</f>
        <v>164625</v>
      </c>
      <c r="J10" s="480"/>
      <c r="K10" s="168">
        <f>'[1]October - 2021'!N10</f>
        <v>801041</v>
      </c>
      <c r="L10" s="479"/>
      <c r="M10" s="168">
        <f>'[1]October - 2021'!Q10</f>
        <v>183656</v>
      </c>
      <c r="N10" s="479"/>
      <c r="O10" s="168">
        <f>'[1]October - 2021'!S10</f>
        <v>42137.279999999999</v>
      </c>
      <c r="P10" s="480"/>
      <c r="Q10" s="482"/>
      <c r="R10" s="168">
        <f>'[1]October - 2021'!V10</f>
        <v>2242</v>
      </c>
      <c r="S10" s="570"/>
      <c r="T10" s="477"/>
      <c r="U10" s="269">
        <f>'[1]October - 2021'!AC10</f>
        <v>6977045.04</v>
      </c>
      <c r="V10" s="572"/>
      <c r="W10" s="498"/>
      <c r="X10" s="290">
        <f>'[1]October - 2021'!AF10</f>
        <v>13425867.84</v>
      </c>
      <c r="Y10" s="480"/>
      <c r="Z10" s="498"/>
      <c r="AA10" s="290">
        <f>'[1]October - 2021'!AI10</f>
        <v>13331545.919999998</v>
      </c>
      <c r="AB10" s="480"/>
      <c r="AC10" s="498"/>
      <c r="AD10" s="290">
        <f>'[1]October - 2021'!AL10</f>
        <v>16312722.719999999</v>
      </c>
      <c r="AE10" s="480"/>
      <c r="AF10" s="498"/>
      <c r="AG10" s="290">
        <f>'[1]October - 2021'!AO10</f>
        <v>16711349.760000002</v>
      </c>
      <c r="AH10" s="480"/>
      <c r="AI10" s="498"/>
      <c r="AJ10" s="290">
        <f>'[1]October - 2021'!AR10</f>
        <v>15079083.6</v>
      </c>
      <c r="AK10" s="480"/>
      <c r="AL10" s="498"/>
      <c r="AM10" s="290">
        <f>'[1]October - 2021'!AU10</f>
        <v>12852969.359999999</v>
      </c>
      <c r="AN10" s="480"/>
      <c r="AO10" s="498"/>
      <c r="AP10" s="290">
        <f>'[1]October - 2021'!AX10</f>
        <v>12372590.16</v>
      </c>
      <c r="AQ10" s="480"/>
      <c r="AR10" s="498"/>
      <c r="AS10" s="290">
        <f>'[1]October - 2021'!BA10</f>
        <v>9868918.0800000001</v>
      </c>
      <c r="AT10" s="480"/>
      <c r="AU10" s="498"/>
      <c r="AV10" s="290">
        <f>'[1]October - 2021'!BD10</f>
        <v>15248483.039999999</v>
      </c>
      <c r="AW10" s="480"/>
      <c r="AX10" s="500"/>
      <c r="AY10" s="494"/>
      <c r="AZ10" s="272">
        <f>'[1]October - 2021'!BK10</f>
        <v>66156800</v>
      </c>
      <c r="BA10" s="502"/>
      <c r="BB10" s="496"/>
      <c r="BC10" s="272">
        <f>'[1]October - 2021'!BN10</f>
        <v>68565100</v>
      </c>
      <c r="BD10" s="502"/>
      <c r="BE10" s="496"/>
      <c r="BF10" s="272">
        <f>'[1]October - 2021'!BQ10</f>
        <v>63297900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584"/>
      <c r="BU10" s="590"/>
      <c r="BV10" s="88">
        <f>'[1]October - 2021'!BW10</f>
        <v>0.75</v>
      </c>
      <c r="BW10" s="586"/>
      <c r="BX10" s="588"/>
      <c r="BY10" s="89">
        <f>'[1]October - 2021'!BZ10</f>
        <v>55735</v>
      </c>
      <c r="BZ10" s="574"/>
      <c r="CA10" s="89">
        <f>'[1]October - 2021'!CB10</f>
        <v>47273</v>
      </c>
      <c r="CB10" s="574"/>
      <c r="CC10" s="89">
        <f>'[1]October - 2021'!CD10</f>
        <v>16341</v>
      </c>
      <c r="CD10" s="574"/>
      <c r="CE10" s="89">
        <f>'[1]October - 2021'!CF10</f>
        <v>21349</v>
      </c>
      <c r="CF10" s="574"/>
      <c r="CG10" s="89">
        <f>'[1]October - 2021'!CH10</f>
        <v>23125</v>
      </c>
      <c r="CH10" s="574"/>
      <c r="CI10" s="89">
        <f>'[1]October - 2021'!CJ10</f>
        <v>51605</v>
      </c>
      <c r="CJ10" s="574"/>
      <c r="CK10" s="89">
        <f>'[1]October - 2021'!CL10</f>
        <v>227404</v>
      </c>
      <c r="CL10" s="574"/>
      <c r="CM10" s="526"/>
      <c r="CN10" s="89">
        <f>'[1]October - 2021'!CO10</f>
        <v>173239</v>
      </c>
      <c r="CO10" s="574"/>
      <c r="CP10" s="526"/>
      <c r="CQ10" s="89">
        <f>'[1]October - 2021'!CR10</f>
        <v>308195</v>
      </c>
      <c r="CR10" s="574"/>
      <c r="CS10" s="526"/>
      <c r="CT10" s="89">
        <f>'[1]October - 2021'!CU10</f>
        <v>604834</v>
      </c>
      <c r="CU10" s="528"/>
      <c r="CV10" s="518"/>
      <c r="CW10" s="256">
        <f>'[1]October - 2021'!CX10</f>
        <v>5806</v>
      </c>
      <c r="CX10" s="530"/>
      <c r="CY10" s="257">
        <f>'[1]October - 2021'!CZ10</f>
        <v>3351</v>
      </c>
      <c r="CZ10" s="530"/>
      <c r="DA10" s="257">
        <f>'[1]October - 2021'!DB10</f>
        <v>25673</v>
      </c>
      <c r="DB10" s="530"/>
      <c r="DC10" s="257">
        <f>'[1]October - 2021'!DD10</f>
        <v>26389</v>
      </c>
      <c r="DD10" s="530"/>
      <c r="DE10" s="257">
        <f>'[1]October - 2021'!DF10</f>
        <v>18074</v>
      </c>
      <c r="DF10" s="530"/>
      <c r="DG10" s="257">
        <f>'[1]October - 2021'!DH10</f>
        <v>21187</v>
      </c>
      <c r="DH10" s="530"/>
      <c r="DI10" s="257">
        <f>'[1]October - 2021'!DJ10</f>
        <v>2643</v>
      </c>
      <c r="DJ10" s="530"/>
      <c r="DK10" s="257">
        <f>'[1]October - 2021'!DL10</f>
        <v>5932</v>
      </c>
      <c r="DL10" s="530"/>
      <c r="DM10" s="257">
        <f>'[1]October - 2021'!DN10</f>
        <v>1490</v>
      </c>
      <c r="DN10" s="530"/>
      <c r="DO10" s="257">
        <f>'[1]October - 2021'!DP10</f>
        <v>3040</v>
      </c>
      <c r="DP10" s="530"/>
      <c r="DQ10" s="257">
        <f>'[1]October - 2021'!DR10</f>
        <v>25998</v>
      </c>
      <c r="DR10" s="561"/>
      <c r="DS10" s="534"/>
      <c r="DT10" s="210">
        <f>'[1]October - 2021'!DU10</f>
        <v>2471.5</v>
      </c>
      <c r="DU10" s="548"/>
      <c r="DV10" s="91">
        <f>'[1]October - 2021'!DW10</f>
        <v>7680.4</v>
      </c>
      <c r="DW10" s="546"/>
      <c r="DX10" s="91">
        <f>'[1]October - 2021'!DY10</f>
        <v>1861.2</v>
      </c>
      <c r="DY10" s="548"/>
      <c r="DZ10" s="91">
        <f>'[1]October - 2021'!EA10</f>
        <v>1813.5</v>
      </c>
      <c r="EA10" s="548"/>
      <c r="EB10" s="91">
        <f>'[1]October - 2021'!EC10</f>
        <v>827471</v>
      </c>
      <c r="EC10" s="548"/>
      <c r="ED10" s="91">
        <f>'[1]October - 2021'!EG10</f>
        <v>165817.29999999999</v>
      </c>
      <c r="EE10" s="550"/>
      <c r="EF10" s="581"/>
      <c r="EG10" s="235">
        <f>'[1]October - 2021'!EJ10</f>
        <v>10081000</v>
      </c>
      <c r="EH10" s="559"/>
      <c r="EI10" s="90">
        <f>'[1]October - 2021'!EL10</f>
        <v>802930</v>
      </c>
      <c r="EJ10" s="559"/>
      <c r="EK10" s="90">
        <f>'[1]October - 2021'!EN10</f>
        <v>6244600</v>
      </c>
      <c r="EL10" s="559"/>
      <c r="EM10" s="90">
        <f>'[1]October - 2021'!EP10</f>
        <v>2207500</v>
      </c>
      <c r="EN10" s="559"/>
      <c r="EO10" s="90">
        <f>'[1]October - 2021'!ER10</f>
        <v>943390</v>
      </c>
      <c r="EP10" s="559"/>
      <c r="EQ10" s="90">
        <f>'[1]October - 2021'!ET10</f>
        <v>13919800</v>
      </c>
      <c r="ER10" s="566"/>
      <c r="ES10" s="556"/>
      <c r="ET10" s="284">
        <f>'[1]October - 2021'!EW10</f>
        <v>36469</v>
      </c>
      <c r="EU10" s="560"/>
      <c r="EV10" s="285">
        <f>'[1]October - 2021'!EY10</f>
        <v>31527</v>
      </c>
      <c r="EW10" s="560"/>
      <c r="EX10" s="285">
        <f>'[1]October - 2021'!FA10</f>
        <v>2645</v>
      </c>
      <c r="EY10" s="560"/>
      <c r="EZ10" s="285">
        <f>'[1]October - 2021'!FC10</f>
        <v>52890</v>
      </c>
      <c r="FA10" s="560"/>
      <c r="FB10" s="285">
        <f>'[1]October - 2021'!FE10</f>
        <v>35541</v>
      </c>
      <c r="FC10" s="562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477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94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590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518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534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581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55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477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94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590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518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534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581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55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477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94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590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518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534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581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55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 x14ac:dyDescent="0.25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477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94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590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518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534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581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55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 x14ac:dyDescent="0.25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477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94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590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518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534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581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55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 x14ac:dyDescent="0.25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477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94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590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518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534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581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55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 x14ac:dyDescent="0.25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477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94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590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518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534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581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55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 x14ac:dyDescent="0.25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477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94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590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518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534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581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55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 x14ac:dyDescent="0.25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477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94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590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518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534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581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55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 x14ac:dyDescent="0.25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477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94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590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518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534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581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55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 x14ac:dyDescent="0.25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477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94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590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518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534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581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55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 x14ac:dyDescent="0.25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477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94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590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518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534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581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55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 x14ac:dyDescent="0.25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477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94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590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518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534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581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55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 x14ac:dyDescent="0.25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477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94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590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518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534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581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55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 x14ac:dyDescent="0.25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477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94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590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518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534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581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55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 x14ac:dyDescent="0.25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477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94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590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518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534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581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55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 x14ac:dyDescent="0.25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477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94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590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518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534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581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55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 x14ac:dyDescent="0.25">
      <c r="A28" s="207">
        <v>43849</v>
      </c>
      <c r="B28" s="209">
        <f>'[1]October - 2021'!B28</f>
        <v>0.9</v>
      </c>
      <c r="C28" s="250">
        <f>'[1]October - 2021'!E28</f>
        <v>885723</v>
      </c>
      <c r="D28" s="170">
        <f>'[1]October - 2021'!F28</f>
        <v>689</v>
      </c>
      <c r="E28" s="168">
        <f>'[1]October - 2021'!G28</f>
        <v>423</v>
      </c>
      <c r="F28" s="168">
        <f>'[1]October - 2021'!H28</f>
        <v>67932</v>
      </c>
      <c r="G28" s="170">
        <f>'[1]October - 2021'!I28</f>
        <v>370</v>
      </c>
      <c r="H28" s="168">
        <f>'[1]October - 2021'!J28</f>
        <v>299</v>
      </c>
      <c r="I28" s="168">
        <f>'[1]October - 2021'!K28</f>
        <v>164625</v>
      </c>
      <c r="J28" s="170">
        <f>'[1]October - 2021'!L28</f>
        <v>0</v>
      </c>
      <c r="K28" s="168">
        <f>'[1]October - 2021'!N28</f>
        <v>807485</v>
      </c>
      <c r="L28" s="170">
        <f>'[1]October - 2021'!O28</f>
        <v>333</v>
      </c>
      <c r="M28" s="168">
        <f>'[1]October - 2021'!Q28</f>
        <v>185506</v>
      </c>
      <c r="N28" s="170">
        <f>'[1]October - 2021'!R28</f>
        <v>49</v>
      </c>
      <c r="O28" s="168">
        <f>'[1]October - 2021'!S28</f>
        <v>46038.17</v>
      </c>
      <c r="P28" s="170">
        <f>'[1]October - 2021'!T28</f>
        <v>207.06999999999971</v>
      </c>
      <c r="Q28" s="168">
        <f>'[1]October - 2021'!U28</f>
        <v>74</v>
      </c>
      <c r="R28" s="168">
        <f>'[1]October - 2021'!V28</f>
        <v>2860</v>
      </c>
      <c r="S28" s="208">
        <f>'[1]October - 2021'!W28</f>
        <v>24</v>
      </c>
      <c r="T28" s="477"/>
      <c r="U28" s="169">
        <f>'[1]October - 2021'!AC28</f>
        <v>7033706.3999999994</v>
      </c>
      <c r="V28" s="291">
        <f>'[1]October - 2021'!AD28</f>
        <v>4189.9199999999255</v>
      </c>
      <c r="W28" s="92">
        <f>'[1]October - 2021'!AD28</f>
        <v>4189.9199999999255</v>
      </c>
      <c r="X28" s="290">
        <f>'[1]October - 2021'!AF28</f>
        <v>13511663.76</v>
      </c>
      <c r="Y28" s="291">
        <f>'[1]October - 2021'!AG28</f>
        <v>4969.4400000013411</v>
      </c>
      <c r="Z28" s="92">
        <f>'[1]October - 2021'!AG28</f>
        <v>4969.4400000013411</v>
      </c>
      <c r="AA28" s="290">
        <f>'[1]October - 2021'!AI28</f>
        <v>13448376.48</v>
      </c>
      <c r="AB28" s="291">
        <f>'[1]October - 2021'!AJ28</f>
        <v>11936.400000000373</v>
      </c>
      <c r="AC28" s="92">
        <f>'[1]October - 2021'!AJ28</f>
        <v>11936.400000000373</v>
      </c>
      <c r="AD28" s="290">
        <f>'[1]October - 2021'!AL28</f>
        <v>16455374.880000001</v>
      </c>
      <c r="AE28" s="291">
        <f>'[1]October - 2021'!AM28</f>
        <v>341.04000000283122</v>
      </c>
      <c r="AF28" s="92">
        <f>'[1]October - 2021'!AM28</f>
        <v>341.04000000283122</v>
      </c>
      <c r="AG28" s="290">
        <f>'[1]October - 2021'!AO28</f>
        <v>16833880.560000002</v>
      </c>
      <c r="AH28" s="291">
        <f>'[1]October - 2021'!AP28</f>
        <v>6918.2400000020862</v>
      </c>
      <c r="AI28" s="92">
        <f>'[1]October - 2021'!AP28</f>
        <v>6918.2400000020862</v>
      </c>
      <c r="AJ28" s="290">
        <f>'[1]October - 2021'!AR28</f>
        <v>15186559.919999998</v>
      </c>
      <c r="AK28" s="291">
        <f>'[1]October - 2021'!AS28</f>
        <v>6041.2799999974668</v>
      </c>
      <c r="AL28" s="92">
        <f>'[1]October - 2021'!AS28</f>
        <v>6041.2799999974668</v>
      </c>
      <c r="AM28" s="290">
        <f>'[1]October - 2021'!AU28</f>
        <v>12937693.439999999</v>
      </c>
      <c r="AN28" s="291">
        <f>'[1]October - 2021'!AV28</f>
        <v>4920.7200000006706</v>
      </c>
      <c r="AO28" s="92">
        <f>'[1]October - 2021'!AV28</f>
        <v>4920.7200000006706</v>
      </c>
      <c r="AP28" s="298">
        <f>'[1]October - 2021'!AX28</f>
        <v>12448593.359999999</v>
      </c>
      <c r="AQ28" s="291">
        <f>'[1]October - 2021'!AY28</f>
        <v>4482.2400000002235</v>
      </c>
      <c r="AR28" s="92">
        <f>'[1]October - 2021'!AY28</f>
        <v>4482.2400000002235</v>
      </c>
      <c r="AS28" s="290">
        <f>'[1]October - 2021'!BA28</f>
        <v>9925871.7599999998</v>
      </c>
      <c r="AT28" s="291">
        <f>'[1]October - 2021'!BB28</f>
        <v>3264.2400000002235</v>
      </c>
      <c r="AU28" s="92">
        <f>'[1]October - 2021'!BB28</f>
        <v>3264.2400000002235</v>
      </c>
      <c r="AV28" s="290">
        <f>'[1]October - 2021'!BD28</f>
        <v>15361708.319999998</v>
      </c>
      <c r="AW28" s="252">
        <f>'[1]October - 2021'!BE28</f>
        <v>6236.1599999982864</v>
      </c>
      <c r="AX28" s="253">
        <f>'[1]October - 2021'!BE28</f>
        <v>6236.1599999982864</v>
      </c>
      <c r="AY28" s="494"/>
      <c r="AZ28" s="272">
        <f>'[1]October - 2021'!BK28</f>
        <v>66721000</v>
      </c>
      <c r="BA28" s="179">
        <f>'[1]October - 2021'!BL28</f>
        <v>57900</v>
      </c>
      <c r="BB28" s="93">
        <f>'[1]October - 2021'!BL28</f>
        <v>57900</v>
      </c>
      <c r="BC28" s="272">
        <f>'[1]October - 2021'!BN28</f>
        <v>69280400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63841100</v>
      </c>
      <c r="BG28" s="245">
        <f>'[1]October - 2021'!BR28</f>
        <v>37300</v>
      </c>
      <c r="BH28" s="93">
        <f>'[1]October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7348360</v>
      </c>
      <c r="BT28" s="185">
        <f>'[1]October - 2021'!BU28</f>
        <v>8780</v>
      </c>
      <c r="BU28" s="590"/>
      <c r="BV28" s="88">
        <f>'[1]October - 2021'!BW28</f>
        <v>0.75</v>
      </c>
      <c r="BW28" s="241">
        <f>'[1]October - 2021'!BX28</f>
        <v>6.0000000000000053E-2</v>
      </c>
      <c r="BX28" s="88">
        <f>'[1]October - 2021'!BX28</f>
        <v>6.0000000000000053E-2</v>
      </c>
      <c r="BY28" s="89">
        <f>'[1]October - 2021'!BZ28</f>
        <v>56056</v>
      </c>
      <c r="BZ28" s="191">
        <f>'[1]October - 2021'!CA28</f>
        <v>16</v>
      </c>
      <c r="CA28" s="89">
        <f>'[1]October - 2021'!CB28</f>
        <v>47593</v>
      </c>
      <c r="CB28" s="191">
        <f>'[1]October - 2021'!CC28</f>
        <v>18</v>
      </c>
      <c r="CC28" s="89">
        <f>'[1]October - 2021'!CD28</f>
        <v>16446</v>
      </c>
      <c r="CD28" s="191">
        <f>'[1]October - 2021'!CE28</f>
        <v>5</v>
      </c>
      <c r="CE28" s="89">
        <f>'[1]October - 2021'!CF28</f>
        <v>21526</v>
      </c>
      <c r="CF28" s="191">
        <f>'[1]October - 2021'!CG28</f>
        <v>10</v>
      </c>
      <c r="CG28" s="89">
        <f>'[1]October - 2021'!CH28</f>
        <v>23344</v>
      </c>
      <c r="CH28" s="191">
        <f>'[1]October - 2021'!CI28</f>
        <v>11</v>
      </c>
      <c r="CI28" s="89">
        <f>'[1]October - 2021'!CJ28</f>
        <v>52064</v>
      </c>
      <c r="CJ28" s="191">
        <f>'[1]October - 2021'!CK28</f>
        <v>27</v>
      </c>
      <c r="CK28" s="89">
        <f>'[1]October - 2021'!CL28</f>
        <v>229114</v>
      </c>
      <c r="CL28" s="246">
        <f>'[1]October - 2021'!CM28</f>
        <v>101</v>
      </c>
      <c r="CM28" s="89">
        <f>'[1]October - 2021'!CM28</f>
        <v>101</v>
      </c>
      <c r="CN28" s="89">
        <f>'[1]October - 2021'!CO28</f>
        <v>174816</v>
      </c>
      <c r="CO28" s="246">
        <f>'[1]October - 2021'!CP28</f>
        <v>94</v>
      </c>
      <c r="CP28" s="89">
        <f>'[1]October - 2021'!CP28</f>
        <v>94</v>
      </c>
      <c r="CQ28" s="89">
        <f>'[1]October - 2021'!CR28</f>
        <v>308209</v>
      </c>
      <c r="CR28" s="246">
        <f>'[1]October - 2021'!CS28</f>
        <v>6</v>
      </c>
      <c r="CS28" s="89">
        <f>'[1]October - 2021'!CS28</f>
        <v>6</v>
      </c>
      <c r="CT28" s="89">
        <f>'[1]October - 2021'!CU28</f>
        <v>608392</v>
      </c>
      <c r="CU28" s="191">
        <f>'[1]October - 2021'!CV28</f>
        <v>216</v>
      </c>
      <c r="CV28" s="518"/>
      <c r="CW28" s="256">
        <f>'[1]October - 2021'!CX28</f>
        <v>5940</v>
      </c>
      <c r="CX28" s="198">
        <f>'[1]October - 2021'!CY28</f>
        <v>7</v>
      </c>
      <c r="CY28" s="257">
        <f>'[1]October - 2021'!CZ28</f>
        <v>3485</v>
      </c>
      <c r="CZ28" s="198">
        <f>'[1]October - 2021'!DA28</f>
        <v>7</v>
      </c>
      <c r="DA28" s="257">
        <f>'[1]October - 2021'!DB28</f>
        <v>25923</v>
      </c>
      <c r="DB28" s="198">
        <f>'[1]October - 2021'!DC28</f>
        <v>15</v>
      </c>
      <c r="DC28" s="257">
        <f>'[1]October - 2021'!DD28</f>
        <v>26682</v>
      </c>
      <c r="DD28" s="198">
        <f>'[1]October - 2021'!DE28</f>
        <v>16</v>
      </c>
      <c r="DE28" s="257">
        <f>'[1]October - 2021'!DF28</f>
        <v>18209</v>
      </c>
      <c r="DF28" s="198">
        <f>'[1]October - 2021'!DG28</f>
        <v>8</v>
      </c>
      <c r="DG28" s="257">
        <f>'[1]October - 2021'!DH28</f>
        <v>21316</v>
      </c>
      <c r="DH28" s="198">
        <f>'[1]October - 2021'!DI28</f>
        <v>8</v>
      </c>
      <c r="DI28" s="257">
        <f>'[1]October - 2021'!DJ28</f>
        <v>2799</v>
      </c>
      <c r="DJ28" s="198">
        <f>'[1]October - 2021'!DK28</f>
        <v>9</v>
      </c>
      <c r="DK28" s="257">
        <f>'[1]October - 2021'!DL28</f>
        <v>6063</v>
      </c>
      <c r="DL28" s="198">
        <f>'[1]October - 2021'!DM28</f>
        <v>6</v>
      </c>
      <c r="DM28" s="257">
        <f>'[1]October - 2021'!DN28</f>
        <v>1575</v>
      </c>
      <c r="DN28" s="198">
        <f>'[1]October - 2021'!DO28</f>
        <v>6</v>
      </c>
      <c r="DO28" s="257">
        <f>'[1]October - 2021'!DP28</f>
        <v>3174</v>
      </c>
      <c r="DP28" s="198">
        <f>'[1]October - 2021'!DQ28</f>
        <v>2</v>
      </c>
      <c r="DQ28" s="257">
        <f>'[1]October - 2021'!DR28</f>
        <v>26053</v>
      </c>
      <c r="DR28" s="206">
        <f>'[1]October - 2021'!DS28</f>
        <v>10</v>
      </c>
      <c r="DS28" s="534"/>
      <c r="DT28" s="210">
        <f>'[1]October - 2021'!DU28</f>
        <v>2651.4</v>
      </c>
      <c r="DU28" s="221">
        <f>'[1]October - 2021'!DV28</f>
        <v>10.099999999999909</v>
      </c>
      <c r="DV28" s="91">
        <f>'[1]October - 2021'!DW28</f>
        <v>7834.4</v>
      </c>
      <c r="DW28" s="215">
        <f>'[1]October - 2021'!DX28</f>
        <v>8.5</v>
      </c>
      <c r="DX28" s="91">
        <f>'[1]October - 2021'!DY28</f>
        <v>1992.2</v>
      </c>
      <c r="DY28" s="215">
        <f>'[1]October - 2021'!DZ28</f>
        <v>7.4000000000000909</v>
      </c>
      <c r="DZ28" s="91">
        <f>'[1]October - 2021'!EA28</f>
        <v>2009</v>
      </c>
      <c r="EA28" s="215">
        <f>'[1]October - 2021'!EB28</f>
        <v>10</v>
      </c>
      <c r="EB28" s="91">
        <f>'[1]October - 2021'!EC28</f>
        <v>839984</v>
      </c>
      <c r="EC28" s="215">
        <f>'[1]October - 2021'!ED28</f>
        <v>663</v>
      </c>
      <c r="ED28" s="91">
        <f>'[1]October - 2021'!EG28</f>
        <v>168581.6</v>
      </c>
      <c r="EE28" s="229">
        <f>'[1]October - 2021'!EH28</f>
        <v>157.39999999999418</v>
      </c>
      <c r="EF28" s="581"/>
      <c r="EG28" s="235">
        <f>'[1]October - 2021'!EJ28</f>
        <v>10202800</v>
      </c>
      <c r="EH28" s="230">
        <f>'[1]October - 2021'!EK28</f>
        <v>7000</v>
      </c>
      <c r="EI28" s="90">
        <f>'[1]October - 2021'!EL28</f>
        <v>810270</v>
      </c>
      <c r="EJ28" s="230">
        <f>'[1]October - 2021'!EM28</f>
        <v>400</v>
      </c>
      <c r="EK28" s="90">
        <f>'[1]October - 2021'!EN28</f>
        <v>6298900</v>
      </c>
      <c r="EL28" s="230">
        <f>'[1]October - 2021'!EO28</f>
        <v>3000</v>
      </c>
      <c r="EM28" s="90">
        <f>'[1]October - 2021'!EP28</f>
        <v>2222450</v>
      </c>
      <c r="EN28" s="230">
        <f>'[1]October - 2021'!EQ28</f>
        <v>850</v>
      </c>
      <c r="EO28" s="90">
        <f>'[1]October - 2021'!ER28</f>
        <v>957830</v>
      </c>
      <c r="EP28" s="230">
        <f>'[1]October - 2021'!ES28</f>
        <v>750</v>
      </c>
      <c r="EQ28" s="90">
        <f>'[1]October - 2021'!ET28</f>
        <v>14069700</v>
      </c>
      <c r="ER28" s="230">
        <f>'[1]October - 2021'!EU28</f>
        <v>8200</v>
      </c>
      <c r="ES28" s="556"/>
      <c r="ET28" s="284">
        <f>'[1]October - 2021'!EW28</f>
        <v>36751</v>
      </c>
      <c r="EU28" s="278">
        <f>'[1]October - 2021'!EX28</f>
        <v>14</v>
      </c>
      <c r="EV28" s="285">
        <f>'[1]October - 2021'!EY28</f>
        <v>31755</v>
      </c>
      <c r="EW28" s="278">
        <f>'[1]October - 2021'!EZ28</f>
        <v>15</v>
      </c>
      <c r="EX28" s="285">
        <f>'[1]October - 2021'!FA28</f>
        <v>2892</v>
      </c>
      <c r="EY28" s="278">
        <f>'[1]October - 2021'!FB28</f>
        <v>13</v>
      </c>
      <c r="EZ28" s="285">
        <f>'[1]October - 2021'!FC28</f>
        <v>53202</v>
      </c>
      <c r="FA28" s="278">
        <f>'[1]October - 2021'!FD28</f>
        <v>16</v>
      </c>
      <c r="FB28" s="285">
        <f>'[1]October - 2021'!FE28</f>
        <v>36121</v>
      </c>
      <c r="FC28" s="279">
        <f>'[1]October - 2021'!FF28</f>
        <v>32</v>
      </c>
    </row>
    <row r="29" spans="1:159" ht="30" customHeight="1" x14ac:dyDescent="0.25">
      <c r="A29" s="207">
        <v>43850</v>
      </c>
      <c r="B29" s="209">
        <f>'[1]October - 2021'!B29</f>
        <v>0.66</v>
      </c>
      <c r="C29" s="250">
        <f>'[1]October - 2021'!E29</f>
        <v>886352</v>
      </c>
      <c r="D29" s="170">
        <f>'[1]October - 2021'!F29</f>
        <v>629</v>
      </c>
      <c r="E29" s="168">
        <f>'[1]October - 2021'!G29</f>
        <v>446</v>
      </c>
      <c r="F29" s="168">
        <f>'[1]October - 2021'!H29</f>
        <v>68330</v>
      </c>
      <c r="G29" s="170">
        <f>'[1]October - 2021'!I29</f>
        <v>398</v>
      </c>
      <c r="H29" s="168">
        <f>'[1]October - 2021'!J29</f>
        <v>302</v>
      </c>
      <c r="I29" s="168">
        <f>'[1]October - 2021'!K29</f>
        <v>164625</v>
      </c>
      <c r="J29" s="170">
        <f>'[1]October - 2021'!L29</f>
        <v>0</v>
      </c>
      <c r="K29" s="168">
        <f>'[1]October - 2021'!N29</f>
        <v>807774</v>
      </c>
      <c r="L29" s="170">
        <f>'[1]October - 2021'!O29</f>
        <v>289</v>
      </c>
      <c r="M29" s="168">
        <f>'[1]October - 2021'!Q29</f>
        <v>185508</v>
      </c>
      <c r="N29" s="170">
        <f>'[1]October - 2021'!R29</f>
        <v>2</v>
      </c>
      <c r="O29" s="168">
        <f>'[1]October - 2021'!S29</f>
        <v>46233.919999999998</v>
      </c>
      <c r="P29" s="170">
        <f>'[1]October - 2021'!T29</f>
        <v>195.75</v>
      </c>
      <c r="Q29" s="168">
        <f>'[1]October - 2021'!U29</f>
        <v>78</v>
      </c>
      <c r="R29" s="168">
        <f>'[1]October - 2021'!V29</f>
        <v>2887</v>
      </c>
      <c r="S29" s="208">
        <f>'[1]October - 2021'!W29</f>
        <v>27</v>
      </c>
      <c r="T29" s="477"/>
      <c r="U29" s="169">
        <f>'[1]October - 2021'!AC29</f>
        <v>7038529.6799999997</v>
      </c>
      <c r="V29" s="291">
        <f>'[1]October - 2021'!AD29</f>
        <v>4823.2800000002608</v>
      </c>
      <c r="W29" s="92">
        <f>'[1]October - 2021'!AD29</f>
        <v>4823.2800000002608</v>
      </c>
      <c r="X29" s="290">
        <f>'[1]October - 2021'!AF29</f>
        <v>13516292.16</v>
      </c>
      <c r="Y29" s="291">
        <f>'[1]October - 2021'!AG29</f>
        <v>4628.4000000003725</v>
      </c>
      <c r="Z29" s="92">
        <f>'[1]October - 2021'!AG29</f>
        <v>4628.4000000003725</v>
      </c>
      <c r="AA29" s="290">
        <f>'[1]October - 2021'!AI29</f>
        <v>13460702.640000001</v>
      </c>
      <c r="AB29" s="291">
        <f>'[1]October - 2021'!AJ29</f>
        <v>12326.160000000149</v>
      </c>
      <c r="AC29" s="92">
        <f>'[1]October - 2021'!AJ29</f>
        <v>12326.160000000149</v>
      </c>
      <c r="AD29" s="290">
        <f>'[1]October - 2021'!AL29</f>
        <v>16455423.6</v>
      </c>
      <c r="AE29" s="291">
        <f>'[1]October - 2021'!AM29</f>
        <v>48.719999998807907</v>
      </c>
      <c r="AF29" s="92">
        <f>'[1]October - 2021'!AM29</f>
        <v>48.719999998807907</v>
      </c>
      <c r="AG29" s="290">
        <f>'[1]October - 2021'!AO29</f>
        <v>16840896.239999998</v>
      </c>
      <c r="AH29" s="291">
        <f>'[1]October - 2021'!AP29</f>
        <v>7015.6799999959767</v>
      </c>
      <c r="AI29" s="92">
        <f>'[1]October - 2021'!AP29</f>
        <v>7015.6799999959767</v>
      </c>
      <c r="AJ29" s="290">
        <f>'[1]October - 2021'!AR29</f>
        <v>15192503.76</v>
      </c>
      <c r="AK29" s="291">
        <f>'[1]October - 2021'!AS29</f>
        <v>5943.8400000017136</v>
      </c>
      <c r="AL29" s="92">
        <f>'[1]October - 2021'!AS29</f>
        <v>5943.8400000017136</v>
      </c>
      <c r="AM29" s="290">
        <f>'[1]October - 2021'!AU29</f>
        <v>12942370.559999999</v>
      </c>
      <c r="AN29" s="291">
        <f>'[1]October - 2021'!AV29</f>
        <v>4677.1199999991804</v>
      </c>
      <c r="AO29" s="92">
        <f>'[1]October - 2021'!AV29</f>
        <v>4677.1199999991804</v>
      </c>
      <c r="AP29" s="290">
        <f>'[1]October - 2021'!AX29</f>
        <v>12452832</v>
      </c>
      <c r="AQ29" s="291">
        <f>'[1]October - 2021'!AY29</f>
        <v>4238.640000000596</v>
      </c>
      <c r="AR29" s="92">
        <f>'[1]October - 2021'!AY29</f>
        <v>4238.640000000596</v>
      </c>
      <c r="AS29" s="290">
        <f>'[1]October - 2021'!BA29</f>
        <v>9928989.8399999999</v>
      </c>
      <c r="AT29" s="291">
        <f>'[1]October - 2021'!BB29</f>
        <v>3118.0800000000745</v>
      </c>
      <c r="AU29" s="92">
        <f>'[1]October - 2021'!BB29</f>
        <v>3118.0800000000745</v>
      </c>
      <c r="AV29" s="290">
        <f>'[1]October - 2021'!BD29</f>
        <v>15367993.199999999</v>
      </c>
      <c r="AW29" s="252">
        <f>'[1]October - 2021'!BE29</f>
        <v>6284.8800000008196</v>
      </c>
      <c r="AX29" s="253">
        <f>'[1]October - 2021'!BE29</f>
        <v>6284.8800000008196</v>
      </c>
      <c r="AY29" s="494"/>
      <c r="AZ29" s="272">
        <f>'[1]October - 2021'!BK29</f>
        <v>66782500</v>
      </c>
      <c r="BA29" s="179">
        <f>'[1]October - 2021'!BL29</f>
        <v>61500</v>
      </c>
      <c r="BB29" s="93">
        <f>'[1]October - 2021'!BL29</f>
        <v>61500</v>
      </c>
      <c r="BC29" s="272">
        <f>'[1]October - 2021'!BN29</f>
        <v>69280400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63877900</v>
      </c>
      <c r="BG29" s="245">
        <f>'[1]October - 2021'!BR29</f>
        <v>36800</v>
      </c>
      <c r="BH29" s="93">
        <f>'[1]October - 2021'!BR29</f>
        <v>36800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7353470</v>
      </c>
      <c r="BT29" s="185">
        <f>'[1]October - 2021'!BU29</f>
        <v>5110</v>
      </c>
      <c r="BU29" s="590"/>
      <c r="BV29" s="88">
        <f>'[1]October - 2021'!BW29</f>
        <v>0.72</v>
      </c>
      <c r="BW29" s="241">
        <f>'[1]October - 2021'!BX29</f>
        <v>3.0000000000000027E-2</v>
      </c>
      <c r="BX29" s="88">
        <f>'[1]October - 2021'!BX29</f>
        <v>3.0000000000000027E-2</v>
      </c>
      <c r="BY29" s="89">
        <f>'[1]October - 2021'!BZ29</f>
        <v>56076</v>
      </c>
      <c r="BZ29" s="191">
        <f>'[1]October - 2021'!CA29</f>
        <v>20</v>
      </c>
      <c r="CA29" s="89">
        <f>'[1]October - 2021'!CB29</f>
        <v>47613</v>
      </c>
      <c r="CB29" s="191">
        <f>'[1]October - 2021'!CC29</f>
        <v>20</v>
      </c>
      <c r="CC29" s="89">
        <f>'[1]October - 2021'!CD29</f>
        <v>16450</v>
      </c>
      <c r="CD29" s="191">
        <f>'[1]October - 2021'!CE29</f>
        <v>4</v>
      </c>
      <c r="CE29" s="89">
        <f>'[1]October - 2021'!CF29</f>
        <v>21536</v>
      </c>
      <c r="CF29" s="191">
        <f>'[1]October - 2021'!CG29</f>
        <v>10</v>
      </c>
      <c r="CG29" s="89">
        <f>'[1]October - 2021'!CH29</f>
        <v>23358</v>
      </c>
      <c r="CH29" s="191">
        <f>'[1]October - 2021'!CI29</f>
        <v>14</v>
      </c>
      <c r="CI29" s="89">
        <f>'[1]October - 2021'!CJ29</f>
        <v>52090</v>
      </c>
      <c r="CJ29" s="191">
        <f>'[1]October - 2021'!CK29</f>
        <v>26</v>
      </c>
      <c r="CK29" s="89">
        <f>'[1]October - 2021'!CL29</f>
        <v>229207</v>
      </c>
      <c r="CL29" s="246">
        <f>'[1]October - 2021'!CM29</f>
        <v>93</v>
      </c>
      <c r="CM29" s="89">
        <f>'[1]October - 2021'!CM29</f>
        <v>93</v>
      </c>
      <c r="CN29" s="89">
        <f>'[1]October - 2021'!CO29</f>
        <v>174909</v>
      </c>
      <c r="CO29" s="246">
        <f>'[1]October - 2021'!CP29</f>
        <v>93</v>
      </c>
      <c r="CP29" s="89">
        <f>'[1]October - 2021'!CP29</f>
        <v>93</v>
      </c>
      <c r="CQ29" s="89">
        <f>'[1]October - 2021'!CR29</f>
        <v>308216</v>
      </c>
      <c r="CR29" s="246">
        <f>'[1]October - 2021'!CS29</f>
        <v>7</v>
      </c>
      <c r="CS29" s="89">
        <f>'[1]October - 2021'!CS29</f>
        <v>7</v>
      </c>
      <c r="CT29" s="89">
        <f>'[1]October - 2021'!CU29</f>
        <v>608602</v>
      </c>
      <c r="CU29" s="191">
        <f>'[1]October - 2021'!CV29</f>
        <v>210</v>
      </c>
      <c r="CV29" s="518"/>
      <c r="CW29" s="256">
        <f>'[1]October - 2021'!CX29</f>
        <v>5949</v>
      </c>
      <c r="CX29" s="198">
        <f>'[1]October - 2021'!CY29</f>
        <v>9</v>
      </c>
      <c r="CY29" s="257">
        <f>'[1]October - 2021'!CZ29</f>
        <v>3492</v>
      </c>
      <c r="CZ29" s="198">
        <f>'[1]October - 2021'!DA29</f>
        <v>7</v>
      </c>
      <c r="DA29" s="257">
        <f>'[1]October - 2021'!DB29</f>
        <v>25940</v>
      </c>
      <c r="DB29" s="198">
        <f>'[1]October - 2021'!DC29</f>
        <v>17</v>
      </c>
      <c r="DC29" s="257">
        <f>'[1]October - 2021'!DD29</f>
        <v>26698</v>
      </c>
      <c r="DD29" s="198">
        <f>'[1]October - 2021'!DE29</f>
        <v>16</v>
      </c>
      <c r="DE29" s="257">
        <f>'[1]October - 2021'!DF29</f>
        <v>18217</v>
      </c>
      <c r="DF29" s="198">
        <f>'[1]October - 2021'!DG29</f>
        <v>8</v>
      </c>
      <c r="DG29" s="257">
        <f>'[1]October - 2021'!DH29</f>
        <v>21323</v>
      </c>
      <c r="DH29" s="198">
        <f>'[1]October - 2021'!DI29</f>
        <v>7</v>
      </c>
      <c r="DI29" s="257">
        <f>'[1]October - 2021'!DJ29</f>
        <v>2809</v>
      </c>
      <c r="DJ29" s="198">
        <f>'[1]October - 2021'!DK29</f>
        <v>10</v>
      </c>
      <c r="DK29" s="257">
        <f>'[1]October - 2021'!DL29</f>
        <v>6075</v>
      </c>
      <c r="DL29" s="198">
        <f>'[1]October - 2021'!DM29</f>
        <v>12</v>
      </c>
      <c r="DM29" s="257">
        <f>'[1]October - 2021'!DN29</f>
        <v>1579</v>
      </c>
      <c r="DN29" s="198">
        <f>'[1]October - 2021'!DO29</f>
        <v>4</v>
      </c>
      <c r="DO29" s="257">
        <f>'[1]October - 2021'!DP29</f>
        <v>3186</v>
      </c>
      <c r="DP29" s="198">
        <f>'[1]October - 2021'!DQ29</f>
        <v>12</v>
      </c>
      <c r="DQ29" s="257">
        <f>'[1]October - 2021'!DR29</f>
        <v>26067</v>
      </c>
      <c r="DR29" s="206">
        <f>'[1]October - 2021'!DS29</f>
        <v>14</v>
      </c>
      <c r="DS29" s="534"/>
      <c r="DT29" s="210">
        <f>'[1]October - 2021'!DU29</f>
        <v>2662.1</v>
      </c>
      <c r="DU29" s="221">
        <f>'[1]October - 2021'!DV29</f>
        <v>10.699999999999818</v>
      </c>
      <c r="DV29" s="91">
        <f>'[1]October - 2021'!DW29</f>
        <v>7842.9</v>
      </c>
      <c r="DW29" s="215">
        <f>'[1]October - 2021'!DX29</f>
        <v>8.5</v>
      </c>
      <c r="DX29" s="91">
        <f>'[1]October - 2021'!DY29</f>
        <v>1999.6</v>
      </c>
      <c r="DY29" s="215">
        <f>'[1]October - 2021'!DZ29</f>
        <v>7.3999999999998636</v>
      </c>
      <c r="DZ29" s="91">
        <f>'[1]October - 2021'!EA29</f>
        <v>2019.1</v>
      </c>
      <c r="EA29" s="215">
        <f>'[1]October - 2021'!EB29</f>
        <v>10.099999999999909</v>
      </c>
      <c r="EB29" s="91">
        <f>'[1]October - 2021'!EC29</f>
        <v>840645</v>
      </c>
      <c r="EC29" s="215">
        <f>'[1]October - 2021'!ED29</f>
        <v>661</v>
      </c>
      <c r="ED29" s="91">
        <f>'[1]October - 2021'!EG29</f>
        <v>168737.9</v>
      </c>
      <c r="EE29" s="229">
        <f>'[1]October - 2021'!EH29</f>
        <v>156.29999999998836</v>
      </c>
      <c r="EF29" s="581"/>
      <c r="EG29" s="235">
        <f>'[1]October - 2021'!EJ29</f>
        <v>10210200</v>
      </c>
      <c r="EH29" s="230">
        <f>'[1]October - 2021'!EK29</f>
        <v>7400</v>
      </c>
      <c r="EI29" s="90">
        <f>'[1]October - 2021'!EL29</f>
        <v>810660</v>
      </c>
      <c r="EJ29" s="230">
        <f>'[1]October - 2021'!EM29</f>
        <v>390</v>
      </c>
      <c r="EK29" s="90">
        <f>'[1]October - 2021'!EN29</f>
        <v>6302100</v>
      </c>
      <c r="EL29" s="230">
        <f>'[1]October - 2021'!EO29</f>
        <v>3200</v>
      </c>
      <c r="EM29" s="90">
        <f>'[1]October - 2021'!EP29</f>
        <v>2223400</v>
      </c>
      <c r="EN29" s="230">
        <f>'[1]October - 2021'!EQ29</f>
        <v>950</v>
      </c>
      <c r="EO29" s="90">
        <f>'[1]October - 2021'!ER29</f>
        <v>958700</v>
      </c>
      <c r="EP29" s="230">
        <f>'[1]October - 2021'!ES29</f>
        <v>870</v>
      </c>
      <c r="EQ29" s="90">
        <f>'[1]October - 2021'!ET29</f>
        <v>14077800</v>
      </c>
      <c r="ER29" s="230">
        <f>'[1]October - 2021'!EU29</f>
        <v>8100</v>
      </c>
      <c r="ES29" s="556"/>
      <c r="ET29" s="284">
        <f>'[1]October - 2021'!EW29</f>
        <v>36765</v>
      </c>
      <c r="EU29" s="278">
        <f>'[1]October - 2021'!EX29</f>
        <v>14</v>
      </c>
      <c r="EV29" s="285">
        <f>'[1]October - 2021'!EY29</f>
        <v>31768</v>
      </c>
      <c r="EW29" s="278">
        <f>'[1]October - 2021'!EZ29</f>
        <v>13</v>
      </c>
      <c r="EX29" s="285">
        <f>'[1]October - 2021'!FA29</f>
        <v>2905</v>
      </c>
      <c r="EY29" s="278">
        <f>'[1]October - 2021'!FB29</f>
        <v>13</v>
      </c>
      <c r="EZ29" s="285">
        <f>'[1]October - 2021'!FC29</f>
        <v>53220</v>
      </c>
      <c r="FA29" s="278">
        <f>'[1]October - 2021'!FD29</f>
        <v>18</v>
      </c>
      <c r="FB29" s="285">
        <f>'[1]October - 2021'!FE29</f>
        <v>36152</v>
      </c>
      <c r="FC29" s="279">
        <f>'[1]October - 2021'!FF29</f>
        <v>31</v>
      </c>
    </row>
    <row r="30" spans="1:159" ht="30" customHeight="1" x14ac:dyDescent="0.25">
      <c r="A30" s="207">
        <v>43851</v>
      </c>
      <c r="B30" s="209">
        <f>'[1]October - 2021'!B30</f>
        <v>0.77</v>
      </c>
      <c r="C30" s="250">
        <f>'[1]October - 2021'!E30</f>
        <v>887016</v>
      </c>
      <c r="D30" s="170">
        <f>'[1]October - 2021'!F30</f>
        <v>664</v>
      </c>
      <c r="E30" s="168">
        <f>'[1]October - 2021'!G30</f>
        <v>455</v>
      </c>
      <c r="F30" s="168">
        <f>'[1]October - 2021'!H30</f>
        <v>68758</v>
      </c>
      <c r="G30" s="170">
        <f>'[1]October - 2021'!I30</f>
        <v>428</v>
      </c>
      <c r="H30" s="168">
        <f>'[1]October - 2021'!J30</f>
        <v>324</v>
      </c>
      <c r="I30" s="168">
        <f>'[1]October - 2021'!K30</f>
        <v>164625</v>
      </c>
      <c r="J30" s="170">
        <f>'[1]October - 2021'!L30</f>
        <v>0</v>
      </c>
      <c r="K30" s="168">
        <f>'[1]October - 2021'!N30</f>
        <v>808013</v>
      </c>
      <c r="L30" s="170">
        <f>'[1]October - 2021'!O30</f>
        <v>239</v>
      </c>
      <c r="M30" s="168">
        <f>'[1]October - 2021'!Q30</f>
        <v>185508</v>
      </c>
      <c r="N30" s="170">
        <f>'[1]October - 2021'!R30</f>
        <v>0</v>
      </c>
      <c r="O30" s="168">
        <f>'[1]October - 2021'!S30</f>
        <v>46435.86</v>
      </c>
      <c r="P30" s="170">
        <f>'[1]October - 2021'!T30</f>
        <v>201.94000000000233</v>
      </c>
      <c r="Q30" s="168">
        <f>'[1]October - 2021'!U30</f>
        <v>71</v>
      </c>
      <c r="R30" s="168">
        <f>'[1]October - 2021'!V30</f>
        <v>2922</v>
      </c>
      <c r="S30" s="208">
        <f>'[1]October - 2021'!W30</f>
        <v>35</v>
      </c>
      <c r="T30" s="477"/>
      <c r="U30" s="169">
        <f>'[1]October - 2021'!AC30</f>
        <v>7042476</v>
      </c>
      <c r="V30" s="291">
        <f>'[1]October - 2021'!AD30</f>
        <v>3946.320000000298</v>
      </c>
      <c r="W30" s="92">
        <f>'[1]October - 2021'!AD30</f>
        <v>3946.320000000298</v>
      </c>
      <c r="X30" s="290">
        <f>'[1]October - 2021'!AF30</f>
        <v>13521018</v>
      </c>
      <c r="Y30" s="291">
        <f>'[1]October - 2021'!AG30</f>
        <v>4725.839999999851</v>
      </c>
      <c r="Z30" s="92">
        <f>'[1]October - 2021'!AG30</f>
        <v>4725.839999999851</v>
      </c>
      <c r="AA30" s="290">
        <f>'[1]October - 2021'!AI30</f>
        <v>13472590.319999998</v>
      </c>
      <c r="AB30" s="291">
        <f>'[1]October - 2021'!AJ30</f>
        <v>11887.679999997839</v>
      </c>
      <c r="AC30" s="92">
        <f>'[1]October - 2021'!AJ30</f>
        <v>11887.679999997839</v>
      </c>
      <c r="AD30" s="290">
        <f>'[1]October - 2021'!AL30</f>
        <v>16455910.799999999</v>
      </c>
      <c r="AE30" s="291">
        <f>'[1]October - 2021'!AM30</f>
        <v>487.19999999925494</v>
      </c>
      <c r="AF30" s="92">
        <f>'[1]October - 2021'!AM30</f>
        <v>487.19999999925494</v>
      </c>
      <c r="AG30" s="290">
        <f>'[1]October - 2021'!AO30</f>
        <v>16847278.560000002</v>
      </c>
      <c r="AH30" s="291">
        <f>'[1]October - 2021'!AP30</f>
        <v>6382.3200000040233</v>
      </c>
      <c r="AI30" s="92">
        <f>'[1]October - 2021'!AP30</f>
        <v>6382.3200000040233</v>
      </c>
      <c r="AJ30" s="290">
        <f>'[1]October - 2021'!AR30</f>
        <v>15198545.039999999</v>
      </c>
      <c r="AK30" s="291">
        <f>'[1]October - 2021'!AS30</f>
        <v>6041.2799999993294</v>
      </c>
      <c r="AL30" s="92">
        <f>'[1]October - 2021'!AS30</f>
        <v>6041.2799999993294</v>
      </c>
      <c r="AM30" s="290">
        <f>'[1]October - 2021'!AU30</f>
        <v>12947096.4</v>
      </c>
      <c r="AN30" s="291">
        <f>'[1]October - 2021'!AV30</f>
        <v>4725.8400000017136</v>
      </c>
      <c r="AO30" s="92">
        <f>'[1]October - 2021'!AV30</f>
        <v>4725.8400000017136</v>
      </c>
      <c r="AP30" s="290">
        <f>'[1]October - 2021'!AX30</f>
        <v>12457119.359999999</v>
      </c>
      <c r="AQ30" s="291">
        <f>'[1]October - 2021'!AY30</f>
        <v>4287.359999999404</v>
      </c>
      <c r="AR30" s="92">
        <f>'[1]October - 2021'!AY30</f>
        <v>4287.359999999404</v>
      </c>
      <c r="AS30" s="290">
        <f>'[1]October - 2021'!BA30</f>
        <v>9932156.6400000006</v>
      </c>
      <c r="AT30" s="291">
        <f>'[1]October - 2021'!BB30</f>
        <v>3166.8000000007451</v>
      </c>
      <c r="AU30" s="92">
        <f>'[1]October - 2021'!BB30</f>
        <v>3166.8000000007451</v>
      </c>
      <c r="AV30" s="290">
        <f>'[1]October - 2021'!BD30</f>
        <v>15374131.919999998</v>
      </c>
      <c r="AW30" s="252">
        <f>'[1]October - 2021'!BE30</f>
        <v>6138.7199999988079</v>
      </c>
      <c r="AX30" s="253">
        <f>'[1]October - 2021'!BE30</f>
        <v>6138.7199999988079</v>
      </c>
      <c r="AY30" s="494"/>
      <c r="AZ30" s="272">
        <f>'[1]October - 2021'!BK30</f>
        <v>66842600</v>
      </c>
      <c r="BA30" s="179">
        <f>'[1]October - 2021'!BL30</f>
        <v>60100</v>
      </c>
      <c r="BB30" s="93">
        <f>'[1]October - 2021'!BL30</f>
        <v>60100</v>
      </c>
      <c r="BC30" s="272">
        <f>'[1]October - 2021'!BN30</f>
        <v>69280400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63913600</v>
      </c>
      <c r="BG30" s="245">
        <f>'[1]October - 2021'!BR30</f>
        <v>35700</v>
      </c>
      <c r="BH30" s="93">
        <f>'[1]October - 2021'!BR30</f>
        <v>35700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7361190</v>
      </c>
      <c r="BT30" s="185">
        <f>'[1]October - 2021'!BU30</f>
        <v>7720</v>
      </c>
      <c r="BU30" s="590"/>
      <c r="BV30" s="88">
        <f>'[1]October - 2021'!BW30</f>
        <v>0.69</v>
      </c>
      <c r="BW30" s="241">
        <f>'[1]October - 2021'!BX30</f>
        <v>3.0000000000000027E-2</v>
      </c>
      <c r="BX30" s="88">
        <f>'[1]October - 2021'!BX30</f>
        <v>3.0000000000000027E-2</v>
      </c>
      <c r="BY30" s="89">
        <f>'[1]October - 2021'!BZ30</f>
        <v>56094</v>
      </c>
      <c r="BZ30" s="191">
        <f>'[1]October - 2021'!CA30</f>
        <v>18</v>
      </c>
      <c r="CA30" s="89">
        <f>'[1]October - 2021'!CB30</f>
        <v>47631</v>
      </c>
      <c r="CB30" s="191">
        <f>'[1]October - 2021'!CC30</f>
        <v>18</v>
      </c>
      <c r="CC30" s="89">
        <f>'[1]October - 2021'!CD30</f>
        <v>16457</v>
      </c>
      <c r="CD30" s="191">
        <f>'[1]October - 2021'!CE30</f>
        <v>7</v>
      </c>
      <c r="CE30" s="89">
        <f>'[1]October - 2021'!CF30</f>
        <v>21547</v>
      </c>
      <c r="CF30" s="191">
        <f>'[1]October - 2021'!CG30</f>
        <v>11</v>
      </c>
      <c r="CG30" s="89">
        <f>'[1]October - 2021'!CH30</f>
        <v>23372</v>
      </c>
      <c r="CH30" s="191">
        <f>'[1]October - 2021'!CI30</f>
        <v>14</v>
      </c>
      <c r="CI30" s="89">
        <f>'[1]October - 2021'!CJ30</f>
        <v>52119</v>
      </c>
      <c r="CJ30" s="191">
        <f>'[1]October - 2021'!CK30</f>
        <v>29</v>
      </c>
      <c r="CK30" s="89">
        <f>'[1]October - 2021'!CL30</f>
        <v>229302</v>
      </c>
      <c r="CL30" s="246">
        <f>'[1]October - 2021'!CM30</f>
        <v>95</v>
      </c>
      <c r="CM30" s="89">
        <f>'[1]October - 2021'!CM30</f>
        <v>95</v>
      </c>
      <c r="CN30" s="89">
        <f>'[1]October - 2021'!CO30</f>
        <v>175003</v>
      </c>
      <c r="CO30" s="246">
        <f>'[1]October - 2021'!CP30</f>
        <v>94</v>
      </c>
      <c r="CP30" s="89">
        <f>'[1]October - 2021'!CP30</f>
        <v>94</v>
      </c>
      <c r="CQ30" s="89">
        <f>'[1]October - 2021'!CR30</f>
        <v>308216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608805</v>
      </c>
      <c r="CU30" s="191">
        <f>'[1]October - 2021'!CV30</f>
        <v>203</v>
      </c>
      <c r="CV30" s="518"/>
      <c r="CW30" s="256">
        <f>'[1]October - 2021'!CX30</f>
        <v>5959</v>
      </c>
      <c r="CX30" s="198">
        <f>'[1]October - 2021'!CY30</f>
        <v>10</v>
      </c>
      <c r="CY30" s="257">
        <f>'[1]October - 2021'!CZ30</f>
        <v>3502</v>
      </c>
      <c r="CZ30" s="198">
        <f>'[1]October - 2021'!DA30</f>
        <v>10</v>
      </c>
      <c r="DA30" s="257">
        <f>'[1]October - 2021'!DB30</f>
        <v>25957</v>
      </c>
      <c r="DB30" s="198">
        <f>'[1]October - 2021'!DC30</f>
        <v>17</v>
      </c>
      <c r="DC30" s="257">
        <f>'[1]October - 2021'!DD30</f>
        <v>26717</v>
      </c>
      <c r="DD30" s="198">
        <f>'[1]October - 2021'!DE30</f>
        <v>19</v>
      </c>
      <c r="DE30" s="257">
        <f>'[1]October - 2021'!DF30</f>
        <v>18226</v>
      </c>
      <c r="DF30" s="198">
        <f>'[1]October - 2021'!DG30</f>
        <v>9</v>
      </c>
      <c r="DG30" s="257">
        <f>'[1]October - 2021'!DH30</f>
        <v>21331</v>
      </c>
      <c r="DH30" s="198">
        <f>'[1]October - 2021'!DI30</f>
        <v>8</v>
      </c>
      <c r="DI30" s="257">
        <f>'[1]October - 2021'!DJ30</f>
        <v>2821</v>
      </c>
      <c r="DJ30" s="198">
        <f>'[1]October - 2021'!DK30</f>
        <v>12</v>
      </c>
      <c r="DK30" s="257">
        <f>'[1]October - 2021'!DL30</f>
        <v>6088</v>
      </c>
      <c r="DL30" s="198">
        <f>'[1]October - 2021'!DM30</f>
        <v>13</v>
      </c>
      <c r="DM30" s="257">
        <f>'[1]October - 2021'!DN30</f>
        <v>1584</v>
      </c>
      <c r="DN30" s="198">
        <f>'[1]October - 2021'!DO30</f>
        <v>5</v>
      </c>
      <c r="DO30" s="257">
        <f>'[1]October - 2021'!DP30</f>
        <v>3196</v>
      </c>
      <c r="DP30" s="198">
        <f>'[1]October - 2021'!DQ30</f>
        <v>10</v>
      </c>
      <c r="DQ30" s="257">
        <f>'[1]October - 2021'!DR30</f>
        <v>26067</v>
      </c>
      <c r="DR30" s="206">
        <f>'[1]October - 2021'!DS30</f>
        <v>0</v>
      </c>
      <c r="DS30" s="534"/>
      <c r="DT30" s="210">
        <f>'[1]October - 2021'!DU30</f>
        <v>2672.1</v>
      </c>
      <c r="DU30" s="221">
        <f>'[1]October - 2021'!DV30</f>
        <v>10</v>
      </c>
      <c r="DV30" s="91">
        <f>'[1]October - 2021'!DW30</f>
        <v>7851.6</v>
      </c>
      <c r="DW30" s="215">
        <f>'[1]October - 2021'!DX30</f>
        <v>8.7000000000007276</v>
      </c>
      <c r="DX30" s="91">
        <f>'[1]October - 2021'!DY30</f>
        <v>2006.9</v>
      </c>
      <c r="DY30" s="215">
        <f>'[1]October - 2021'!DZ30</f>
        <v>7.3000000000001819</v>
      </c>
      <c r="DZ30" s="91">
        <f>'[1]October - 2021'!EA30</f>
        <v>2029.6</v>
      </c>
      <c r="EA30" s="215">
        <f>'[1]October - 2021'!EB30</f>
        <v>10.5</v>
      </c>
      <c r="EB30" s="91">
        <f>'[1]October - 2021'!EC30</f>
        <v>841623</v>
      </c>
      <c r="EC30" s="215">
        <f>'[1]October - 2021'!ED30</f>
        <v>978</v>
      </c>
      <c r="ED30" s="91">
        <f>'[1]October - 2021'!EG30</f>
        <v>168891.3</v>
      </c>
      <c r="EE30" s="229">
        <f>'[1]October - 2021'!EH30</f>
        <v>153.39999999999418</v>
      </c>
      <c r="EF30" s="581"/>
      <c r="EG30" s="235">
        <f>'[1]October - 2021'!EJ30</f>
        <v>10217000</v>
      </c>
      <c r="EH30" s="230">
        <f>'[1]October - 2021'!EK30</f>
        <v>6800</v>
      </c>
      <c r="EI30" s="90">
        <f>'[1]October - 2021'!EL30</f>
        <v>811030</v>
      </c>
      <c r="EJ30" s="230">
        <f>'[1]October - 2021'!EM30</f>
        <v>370</v>
      </c>
      <c r="EK30" s="90">
        <f>'[1]October - 2021'!EN30</f>
        <v>6304900</v>
      </c>
      <c r="EL30" s="230">
        <f>'[1]October - 2021'!EO30</f>
        <v>2800</v>
      </c>
      <c r="EM30" s="90">
        <f>'[1]October - 2021'!EP30</f>
        <v>2224200</v>
      </c>
      <c r="EN30" s="230">
        <f>'[1]October - 2021'!EQ30</f>
        <v>800</v>
      </c>
      <c r="EO30" s="90">
        <f>'[1]October - 2021'!ER30</f>
        <v>959460</v>
      </c>
      <c r="EP30" s="230">
        <f>'[1]October - 2021'!ES30</f>
        <v>760</v>
      </c>
      <c r="EQ30" s="90">
        <f>'[1]October - 2021'!ET30</f>
        <v>14085700</v>
      </c>
      <c r="ER30" s="230">
        <f>'[1]October - 2021'!EU30</f>
        <v>7900</v>
      </c>
      <c r="ES30" s="556"/>
      <c r="ET30" s="284">
        <f>'[1]October - 2021'!EW30</f>
        <v>36779</v>
      </c>
      <c r="EU30" s="278">
        <f>'[1]October - 2021'!EX30</f>
        <v>14</v>
      </c>
      <c r="EV30" s="285">
        <f>'[1]October - 2021'!EY30</f>
        <v>31783</v>
      </c>
      <c r="EW30" s="278">
        <f>'[1]October - 2021'!EZ30</f>
        <v>15</v>
      </c>
      <c r="EX30" s="285">
        <f>'[1]October - 2021'!FA30</f>
        <v>2922</v>
      </c>
      <c r="EY30" s="278">
        <f>'[1]October - 2021'!FB30</f>
        <v>17</v>
      </c>
      <c r="EZ30" s="285">
        <f>'[1]October - 2021'!FC30</f>
        <v>53239</v>
      </c>
      <c r="FA30" s="278">
        <f>'[1]October - 2021'!FD30</f>
        <v>19</v>
      </c>
      <c r="FB30" s="285">
        <f>'[1]October - 2021'!FE30</f>
        <v>36185</v>
      </c>
      <c r="FC30" s="279">
        <f>'[1]October - 2021'!FF30</f>
        <v>33</v>
      </c>
    </row>
    <row r="31" spans="1:159" ht="30" customHeight="1" x14ac:dyDescent="0.25">
      <c r="A31" s="207">
        <v>43852</v>
      </c>
      <c r="B31" s="209">
        <f>'[1]October - 2021'!B31</f>
        <v>0.88</v>
      </c>
      <c r="C31" s="250">
        <f>'[1]October - 2021'!E31</f>
        <v>887695</v>
      </c>
      <c r="D31" s="170">
        <f>'[1]October - 2021'!F31</f>
        <v>679</v>
      </c>
      <c r="E31" s="168">
        <f>'[1]October - 2021'!G31</f>
        <v>515</v>
      </c>
      <c r="F31" s="168">
        <f>'[1]October - 2021'!H31</f>
        <v>69202</v>
      </c>
      <c r="G31" s="170">
        <f>'[1]October - 2021'!I31</f>
        <v>444</v>
      </c>
      <c r="H31" s="168">
        <f>'[1]October - 2021'!J31</f>
        <v>364</v>
      </c>
      <c r="I31" s="168">
        <f>'[1]October - 2021'!K31</f>
        <v>164625</v>
      </c>
      <c r="J31" s="170">
        <f>'[1]October - 2021'!L31</f>
        <v>0</v>
      </c>
      <c r="K31" s="168">
        <f>'[1]October - 2021'!N31</f>
        <v>808281</v>
      </c>
      <c r="L31" s="170">
        <f>'[1]October - 2021'!O31</f>
        <v>268</v>
      </c>
      <c r="M31" s="168">
        <f>'[1]October - 2021'!Q31</f>
        <v>185508</v>
      </c>
      <c r="N31" s="170">
        <f>'[1]October - 2021'!R31</f>
        <v>0</v>
      </c>
      <c r="O31" s="168">
        <f>'[1]October - 2021'!S31</f>
        <v>46635.05</v>
      </c>
      <c r="P31" s="170">
        <f>'[1]October - 2021'!T31</f>
        <v>199.19000000000233</v>
      </c>
      <c r="Q31" s="168">
        <f>'[1]October - 2021'!U31</f>
        <v>73</v>
      </c>
      <c r="R31" s="168">
        <f>'[1]October - 2021'!V31</f>
        <v>2952</v>
      </c>
      <c r="S31" s="208">
        <f>'[1]October - 2021'!W31</f>
        <v>30</v>
      </c>
      <c r="T31" s="477"/>
      <c r="U31" s="169">
        <f>'[1]October - 2021'!AC31</f>
        <v>7046714.6400000006</v>
      </c>
      <c r="V31" s="291">
        <f>'[1]October - 2021'!AD31</f>
        <v>4238.640000000596</v>
      </c>
      <c r="W31" s="92">
        <f>'[1]October - 2021'!AD31</f>
        <v>4238.640000000596</v>
      </c>
      <c r="X31" s="290">
        <f>'[1]October - 2021'!AF31</f>
        <v>13525743.84</v>
      </c>
      <c r="Y31" s="291">
        <f>'[1]October - 2021'!AG31</f>
        <v>4725.839999999851</v>
      </c>
      <c r="Z31" s="92">
        <f>'[1]October - 2021'!AG31</f>
        <v>4725.839999999851</v>
      </c>
      <c r="AA31" s="290">
        <f>'[1]October - 2021'!AI31</f>
        <v>13484819.040000001</v>
      </c>
      <c r="AB31" s="291">
        <f>'[1]October - 2021'!AJ31</f>
        <v>12228.720000002533</v>
      </c>
      <c r="AC31" s="92">
        <f>'[1]October - 2021'!AJ31</f>
        <v>12228.720000002533</v>
      </c>
      <c r="AD31" s="290">
        <f>'[1]October - 2021'!AL31</f>
        <v>16456398</v>
      </c>
      <c r="AE31" s="291">
        <f>'[1]October - 2021'!AM31</f>
        <v>487.20000000111759</v>
      </c>
      <c r="AF31" s="92">
        <f>'[1]October - 2021'!AM31</f>
        <v>487.20000000111759</v>
      </c>
      <c r="AG31" s="290">
        <f>'[1]October - 2021'!AO31</f>
        <v>16853319.84</v>
      </c>
      <c r="AH31" s="291">
        <f>'[1]October - 2021'!AP31</f>
        <v>6041.2799999974668</v>
      </c>
      <c r="AI31" s="92">
        <f>'[1]October - 2021'!AP31</f>
        <v>6041.2799999974668</v>
      </c>
      <c r="AJ31" s="290">
        <f>'[1]October - 2021'!AR31</f>
        <v>15204635.039999999</v>
      </c>
      <c r="AK31" s="291">
        <f>'[1]October - 2021'!AS31</f>
        <v>6090</v>
      </c>
      <c r="AL31" s="92">
        <f>'[1]October - 2021'!AS31</f>
        <v>6090</v>
      </c>
      <c r="AM31" s="290">
        <f>'[1]October - 2021'!AU31</f>
        <v>12951919.68</v>
      </c>
      <c r="AN31" s="291">
        <f>'[1]October - 2021'!AV31</f>
        <v>4823.2799999993294</v>
      </c>
      <c r="AO31" s="92">
        <f>'[1]October - 2021'!AV31</f>
        <v>4823.2799999993294</v>
      </c>
      <c r="AP31" s="290">
        <f>'[1]October - 2021'!AX31</f>
        <v>12461455.439999999</v>
      </c>
      <c r="AQ31" s="291">
        <f>'[1]October - 2021'!AY31</f>
        <v>4336.0800000000745</v>
      </c>
      <c r="AR31" s="92">
        <f>'[1]October - 2021'!AY31</f>
        <v>4336.0800000000745</v>
      </c>
      <c r="AS31" s="290">
        <f>'[1]October - 2021'!BA31</f>
        <v>9935177.2800000012</v>
      </c>
      <c r="AT31" s="291">
        <f>'[1]October - 2021'!BB31</f>
        <v>3020.640000000596</v>
      </c>
      <c r="AU31" s="92">
        <f>'[1]October - 2021'!BB31</f>
        <v>3020.640000000596</v>
      </c>
      <c r="AV31" s="290">
        <f>'[1]October - 2021'!BD31</f>
        <v>15380611.68</v>
      </c>
      <c r="AW31" s="252">
        <f>'[1]October - 2021'!BE31</f>
        <v>6479.7600000016391</v>
      </c>
      <c r="AX31" s="253">
        <f>'[1]October - 2021'!BE31</f>
        <v>6479.7600000016391</v>
      </c>
      <c r="AY31" s="494"/>
      <c r="AZ31" s="272">
        <f>'[1]October - 2021'!BK31</f>
        <v>66903600</v>
      </c>
      <c r="BA31" s="179">
        <f>'[1]October - 2021'!BL31</f>
        <v>61000</v>
      </c>
      <c r="BB31" s="93">
        <f>'[1]October - 2021'!BL31</f>
        <v>61000</v>
      </c>
      <c r="BC31" s="272">
        <f>'[1]October - 2021'!BN31</f>
        <v>69280400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63948400</v>
      </c>
      <c r="BG31" s="245">
        <f>'[1]October - 2021'!BR31</f>
        <v>34800</v>
      </c>
      <c r="BH31" s="93">
        <f>'[1]October - 2021'!BR31</f>
        <v>34800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7368750</v>
      </c>
      <c r="BT31" s="185">
        <f>'[1]October - 2021'!BU31</f>
        <v>7560</v>
      </c>
      <c r="BU31" s="590"/>
      <c r="BV31" s="88">
        <f>'[1]October - 2021'!BW31</f>
        <v>0.64</v>
      </c>
      <c r="BW31" s="241">
        <f>'[1]October - 2021'!BX31</f>
        <v>4.9999999999999933E-2</v>
      </c>
      <c r="BX31" s="88">
        <f>'[1]October - 2021'!BX31</f>
        <v>4.9999999999999933E-2</v>
      </c>
      <c r="BY31" s="89">
        <f>'[1]October - 2021'!BZ31</f>
        <v>56114</v>
      </c>
      <c r="BZ31" s="191">
        <f>'[1]October - 2021'!CA31</f>
        <v>20</v>
      </c>
      <c r="CA31" s="89">
        <f>'[1]October - 2021'!CB31</f>
        <v>47651</v>
      </c>
      <c r="CB31" s="191">
        <f>'[1]October - 2021'!CC31</f>
        <v>20</v>
      </c>
      <c r="CC31" s="89">
        <f>'[1]October - 2021'!CD31</f>
        <v>16461</v>
      </c>
      <c r="CD31" s="191">
        <f>'[1]October - 2021'!CE31</f>
        <v>4</v>
      </c>
      <c r="CE31" s="89">
        <f>'[1]October - 2021'!CF31</f>
        <v>21557</v>
      </c>
      <c r="CF31" s="191">
        <f>'[1]October - 2021'!CG31</f>
        <v>10</v>
      </c>
      <c r="CG31" s="89">
        <f>'[1]October - 2021'!CH31</f>
        <v>23381</v>
      </c>
      <c r="CH31" s="191">
        <f>'[1]October - 2021'!CI31</f>
        <v>9</v>
      </c>
      <c r="CI31" s="89">
        <f>'[1]October - 2021'!CJ31</f>
        <v>52146</v>
      </c>
      <c r="CJ31" s="191">
        <f>'[1]October - 2021'!CK31</f>
        <v>27</v>
      </c>
      <c r="CK31" s="89">
        <f>'[1]October - 2021'!CL31</f>
        <v>229397</v>
      </c>
      <c r="CL31" s="246">
        <f>'[1]October - 2021'!CM31</f>
        <v>95</v>
      </c>
      <c r="CM31" s="89">
        <f>'[1]October - 2021'!CM31</f>
        <v>95</v>
      </c>
      <c r="CN31" s="89">
        <f>'[1]October - 2021'!CO31</f>
        <v>175099</v>
      </c>
      <c r="CO31" s="246">
        <f>'[1]October - 2021'!CP31</f>
        <v>96</v>
      </c>
      <c r="CP31" s="89">
        <f>'[1]October - 2021'!CP31</f>
        <v>96</v>
      </c>
      <c r="CQ31" s="89">
        <f>'[1]October - 2021'!CR31</f>
        <v>308216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609014</v>
      </c>
      <c r="CU31" s="191">
        <f>'[1]October - 2021'!CV31</f>
        <v>209</v>
      </c>
      <c r="CV31" s="518"/>
      <c r="CW31" s="256">
        <f>'[1]October - 2021'!CX31</f>
        <v>5970</v>
      </c>
      <c r="CX31" s="198">
        <f>'[1]October - 2021'!CY31</f>
        <v>11</v>
      </c>
      <c r="CY31" s="257">
        <f>'[1]October - 2021'!CZ31</f>
        <v>3512</v>
      </c>
      <c r="CZ31" s="198">
        <f>'[1]October - 2021'!DA31</f>
        <v>10</v>
      </c>
      <c r="DA31" s="257">
        <f>'[1]October - 2021'!DB31</f>
        <v>25970</v>
      </c>
      <c r="DB31" s="198">
        <f>'[1]October - 2021'!DC31</f>
        <v>13</v>
      </c>
      <c r="DC31" s="257">
        <f>'[1]October - 2021'!DD31</f>
        <v>26739</v>
      </c>
      <c r="DD31" s="198">
        <f>'[1]October - 2021'!DE31</f>
        <v>22</v>
      </c>
      <c r="DE31" s="257">
        <f>'[1]October - 2021'!DF31</f>
        <v>18235</v>
      </c>
      <c r="DF31" s="198">
        <f>'[1]October - 2021'!DG31</f>
        <v>9</v>
      </c>
      <c r="DG31" s="257">
        <f>'[1]October - 2021'!DH31</f>
        <v>21339</v>
      </c>
      <c r="DH31" s="198">
        <f>'[1]October - 2021'!DI31</f>
        <v>8</v>
      </c>
      <c r="DI31" s="257">
        <f>'[1]October - 2021'!DJ31</f>
        <v>2832</v>
      </c>
      <c r="DJ31" s="198">
        <f>'[1]October - 2021'!DK31</f>
        <v>11</v>
      </c>
      <c r="DK31" s="257">
        <f>'[1]October - 2021'!DL31</f>
        <v>6100</v>
      </c>
      <c r="DL31" s="198">
        <f>'[1]October - 2021'!DM31</f>
        <v>12</v>
      </c>
      <c r="DM31" s="257">
        <f>'[1]October - 2021'!DN31</f>
        <v>1590</v>
      </c>
      <c r="DN31" s="198">
        <f>'[1]October - 2021'!DO31</f>
        <v>6</v>
      </c>
      <c r="DO31" s="257">
        <f>'[1]October - 2021'!DP31</f>
        <v>3205</v>
      </c>
      <c r="DP31" s="198">
        <f>'[1]October - 2021'!DQ31</f>
        <v>9</v>
      </c>
      <c r="DQ31" s="257">
        <f>'[1]October - 2021'!DR31</f>
        <v>26067</v>
      </c>
      <c r="DR31" s="206">
        <f>'[1]October - 2021'!DS31</f>
        <v>0</v>
      </c>
      <c r="DS31" s="534"/>
      <c r="DT31" s="210">
        <f>'[1]October - 2021'!DU31</f>
        <v>2682.8</v>
      </c>
      <c r="DU31" s="221">
        <f>'[1]October - 2021'!DV31</f>
        <v>10.700000000000273</v>
      </c>
      <c r="DV31" s="91">
        <f>'[1]October - 2021'!DW31</f>
        <v>7860.4</v>
      </c>
      <c r="DW31" s="215">
        <f>'[1]October - 2021'!DX31</f>
        <v>8.7999999999992724</v>
      </c>
      <c r="DX31" s="91">
        <f>'[1]October - 2021'!DY31</f>
        <v>2014.5</v>
      </c>
      <c r="DY31" s="215">
        <f>'[1]October - 2021'!DZ31</f>
        <v>7.5999999999999091</v>
      </c>
      <c r="DZ31" s="91">
        <f>'[1]October - 2021'!EA31</f>
        <v>2040.4</v>
      </c>
      <c r="EA31" s="215">
        <f>'[1]October - 2021'!EB31</f>
        <v>10.800000000000182</v>
      </c>
      <c r="EB31" s="91">
        <f>'[1]October - 2021'!EC31</f>
        <v>842034</v>
      </c>
      <c r="EC31" s="215">
        <f>'[1]October - 2021'!ED31</f>
        <v>411</v>
      </c>
      <c r="ED31" s="91">
        <f>'[1]October - 2021'!EG31</f>
        <v>169046.2</v>
      </c>
      <c r="EE31" s="229">
        <f>'[1]October - 2021'!EH31</f>
        <v>154.90000000002328</v>
      </c>
      <c r="EF31" s="581"/>
      <c r="EG31" s="235">
        <f>'[1]October - 2021'!EJ31</f>
        <v>10223900</v>
      </c>
      <c r="EH31" s="230">
        <f>'[1]October - 2021'!EK31</f>
        <v>6900</v>
      </c>
      <c r="EI31" s="90">
        <f>'[1]October - 2021'!EL31</f>
        <v>811410</v>
      </c>
      <c r="EJ31" s="230">
        <f>'[1]October - 2021'!EM31</f>
        <v>380</v>
      </c>
      <c r="EK31" s="90">
        <f>'[1]October - 2021'!EN31</f>
        <v>6307900</v>
      </c>
      <c r="EL31" s="230">
        <f>'[1]October - 2021'!EO31</f>
        <v>3000</v>
      </c>
      <c r="EM31" s="90">
        <f>'[1]October - 2021'!EP31</f>
        <v>2225000</v>
      </c>
      <c r="EN31" s="230">
        <f>'[1]October - 2021'!EQ31</f>
        <v>800</v>
      </c>
      <c r="EO31" s="90">
        <f>'[1]October - 2021'!ER31</f>
        <v>960250</v>
      </c>
      <c r="EP31" s="230">
        <f>'[1]October - 2021'!ES31</f>
        <v>790</v>
      </c>
      <c r="EQ31" s="90">
        <f>'[1]October - 2021'!ET31</f>
        <v>14093900</v>
      </c>
      <c r="ER31" s="230">
        <f>'[1]October - 2021'!EU31</f>
        <v>8200</v>
      </c>
      <c r="ES31" s="556"/>
      <c r="ET31" s="284">
        <f>'[1]October - 2021'!EW31</f>
        <v>36793</v>
      </c>
      <c r="EU31" s="278">
        <f>'[1]October - 2021'!EX31</f>
        <v>14</v>
      </c>
      <c r="EV31" s="285">
        <f>'[1]October - 2021'!EY31</f>
        <v>31798</v>
      </c>
      <c r="EW31" s="278">
        <f>'[1]October - 2021'!EZ31</f>
        <v>15</v>
      </c>
      <c r="EX31" s="285">
        <f>'[1]October - 2021'!FA31</f>
        <v>2939</v>
      </c>
      <c r="EY31" s="278">
        <f>'[1]October - 2021'!FB31</f>
        <v>17</v>
      </c>
      <c r="EZ31" s="285">
        <f>'[1]October - 2021'!FC31</f>
        <v>53259</v>
      </c>
      <c r="FA31" s="278">
        <f>'[1]October - 2021'!FD31</f>
        <v>20</v>
      </c>
      <c r="FB31" s="285">
        <f>'[1]October - 2021'!FE31</f>
        <v>36217</v>
      </c>
      <c r="FC31" s="279">
        <f>'[1]October - 2021'!FF31</f>
        <v>32</v>
      </c>
    </row>
    <row r="32" spans="1:159" ht="30" customHeight="1" x14ac:dyDescent="0.25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-887695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-69202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-164625</v>
      </c>
      <c r="K32" s="168">
        <f>'[1]October - 2021'!N32</f>
        <v>0</v>
      </c>
      <c r="L32" s="170">
        <f>'[1]October - 2021'!O32</f>
        <v>-808281</v>
      </c>
      <c r="M32" s="168">
        <f>'[1]October - 2021'!Q32</f>
        <v>0</v>
      </c>
      <c r="N32" s="170">
        <f>'[1]October - 2021'!R32</f>
        <v>-185508</v>
      </c>
      <c r="O32" s="168">
        <f>'[1]October - 2021'!S32</f>
        <v>0</v>
      </c>
      <c r="P32" s="170">
        <f>'[1]October - 2021'!T32</f>
        <v>-46635.05</v>
      </c>
      <c r="Q32" s="168">
        <f>'[1]October - 2021'!U32</f>
        <v>71</v>
      </c>
      <c r="R32" s="168">
        <f>'[1]October - 2021'!V32</f>
        <v>0</v>
      </c>
      <c r="S32" s="208">
        <f>'[1]October - 2021'!W32</f>
        <v>-2952</v>
      </c>
      <c r="T32" s="477"/>
      <c r="U32" s="169">
        <f>'[1]October - 2021'!AC32</f>
        <v>0</v>
      </c>
      <c r="V32" s="291">
        <f>'[1]October - 2021'!AD32</f>
        <v>-7046714.6400000006</v>
      </c>
      <c r="W32" s="92">
        <f>'[1]October - 2021'!AD32</f>
        <v>-7046714.6400000006</v>
      </c>
      <c r="X32" s="290">
        <f>'[1]October - 2021'!AF32</f>
        <v>0</v>
      </c>
      <c r="Y32" s="291">
        <f>'[1]October - 2021'!AG32</f>
        <v>-13525743.84</v>
      </c>
      <c r="Z32" s="92">
        <f>'[1]October - 2021'!AG32</f>
        <v>-13525743.84</v>
      </c>
      <c r="AA32" s="290">
        <f>'[1]October - 2021'!AI32</f>
        <v>0</v>
      </c>
      <c r="AB32" s="291">
        <f>'[1]October - 2021'!AJ32</f>
        <v>-13484819.040000001</v>
      </c>
      <c r="AC32" s="92">
        <f>'[1]October - 2021'!AJ32</f>
        <v>-13484819.040000001</v>
      </c>
      <c r="AD32" s="290">
        <f>'[1]October - 2021'!AL32</f>
        <v>0</v>
      </c>
      <c r="AE32" s="291">
        <f>'[1]October - 2021'!AM32</f>
        <v>-16456398</v>
      </c>
      <c r="AF32" s="92">
        <f>'[1]October - 2021'!AM32</f>
        <v>-16456398</v>
      </c>
      <c r="AG32" s="290">
        <f>'[1]October - 2021'!AO32</f>
        <v>0</v>
      </c>
      <c r="AH32" s="291">
        <f>'[1]October - 2021'!AP32</f>
        <v>-16853319.84</v>
      </c>
      <c r="AI32" s="92">
        <f>'[1]October - 2021'!AP32</f>
        <v>-16853319.84</v>
      </c>
      <c r="AJ32" s="290">
        <f>'[1]October - 2021'!AR32</f>
        <v>0</v>
      </c>
      <c r="AK32" s="291">
        <f>'[1]October - 2021'!AS32</f>
        <v>-15204635.039999999</v>
      </c>
      <c r="AL32" s="92">
        <f>'[1]October - 2021'!AS32</f>
        <v>-15204635.039999999</v>
      </c>
      <c r="AM32" s="290">
        <f>'[1]October - 2021'!AU32</f>
        <v>0</v>
      </c>
      <c r="AN32" s="291">
        <f>'[1]October - 2021'!AV32</f>
        <v>-12951919.68</v>
      </c>
      <c r="AO32" s="92">
        <f>'[1]October - 2021'!AV32</f>
        <v>-12951919.68</v>
      </c>
      <c r="AP32" s="290">
        <f>'[1]October - 2021'!AX32</f>
        <v>0</v>
      </c>
      <c r="AQ32" s="291">
        <f>'[1]October - 2021'!AY32</f>
        <v>-12461455.439999999</v>
      </c>
      <c r="AR32" s="92">
        <f>'[1]October - 2021'!AY32</f>
        <v>-12461455.439999999</v>
      </c>
      <c r="AS32" s="290">
        <f>'[1]October - 2021'!BA32</f>
        <v>0</v>
      </c>
      <c r="AT32" s="291">
        <f>'[1]October - 2021'!BB32</f>
        <v>-9935177.2800000012</v>
      </c>
      <c r="AU32" s="92">
        <f>'[1]October - 2021'!BB32</f>
        <v>-9935177.2800000012</v>
      </c>
      <c r="AV32" s="290">
        <f>'[1]October - 2021'!BD32</f>
        <v>0</v>
      </c>
      <c r="AW32" s="252">
        <f>'[1]October - 2021'!BE32</f>
        <v>-15380611.68</v>
      </c>
      <c r="AX32" s="253">
        <f>'[1]October - 2021'!BE32</f>
        <v>-15380611.68</v>
      </c>
      <c r="AY32" s="494"/>
      <c r="AZ32" s="272">
        <f>'[1]October - 2021'!BK32</f>
        <v>0</v>
      </c>
      <c r="BA32" s="179">
        <f>'[1]October - 2021'!BL32</f>
        <v>-66903600</v>
      </c>
      <c r="BB32" s="93">
        <f>'[1]October - 2021'!BL32</f>
        <v>-66903600</v>
      </c>
      <c r="BC32" s="272">
        <f>'[1]October - 2021'!BN32</f>
        <v>0</v>
      </c>
      <c r="BD32" s="245">
        <f>'[1]October - 2021'!BO32</f>
        <v>-69280400</v>
      </c>
      <c r="BE32" s="93">
        <f>'[1]October - 2021'!BO32</f>
        <v>-69280400</v>
      </c>
      <c r="BF32" s="272">
        <f>'[1]October - 2021'!BQ32</f>
        <v>0</v>
      </c>
      <c r="BG32" s="245">
        <f>'[1]October - 2021'!BR32</f>
        <v>-63948400</v>
      </c>
      <c r="BH32" s="93">
        <f>'[1]October - 2021'!BR32</f>
        <v>-63948400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-7368750</v>
      </c>
      <c r="BU32" s="590"/>
      <c r="BV32" s="88">
        <f>'[1]October - 2021'!BW32</f>
        <v>0</v>
      </c>
      <c r="BW32" s="241">
        <f>'[1]October - 2021'!BX32</f>
        <v>0.64</v>
      </c>
      <c r="BX32" s="88">
        <f>'[1]October - 2021'!BX32</f>
        <v>0.64</v>
      </c>
      <c r="BY32" s="89">
        <f>'[1]October - 2021'!BZ32</f>
        <v>0</v>
      </c>
      <c r="BZ32" s="191">
        <f>'[1]October - 2021'!CA32</f>
        <v>-56114</v>
      </c>
      <c r="CA32" s="89">
        <f>'[1]October - 2021'!CB32</f>
        <v>0</v>
      </c>
      <c r="CB32" s="191">
        <f>'[1]October - 2021'!CC32</f>
        <v>-47651</v>
      </c>
      <c r="CC32" s="89">
        <f>'[1]October - 2021'!CD32</f>
        <v>0</v>
      </c>
      <c r="CD32" s="191">
        <f>'[1]October - 2021'!CE32</f>
        <v>-16461</v>
      </c>
      <c r="CE32" s="89">
        <f>'[1]October - 2021'!CF32</f>
        <v>0</v>
      </c>
      <c r="CF32" s="191">
        <f>'[1]October - 2021'!CG32</f>
        <v>-21557</v>
      </c>
      <c r="CG32" s="89">
        <f>'[1]October - 2021'!CH32</f>
        <v>0</v>
      </c>
      <c r="CH32" s="191">
        <f>'[1]October - 2021'!CI32</f>
        <v>-23381</v>
      </c>
      <c r="CI32" s="89">
        <f>'[1]October - 2021'!CJ32</f>
        <v>0</v>
      </c>
      <c r="CJ32" s="191">
        <f>'[1]October - 2021'!CK32</f>
        <v>-52146</v>
      </c>
      <c r="CK32" s="89">
        <f>'[1]October - 2021'!CL32</f>
        <v>0</v>
      </c>
      <c r="CL32" s="246">
        <f>'[1]October - 2021'!CM32</f>
        <v>-229397</v>
      </c>
      <c r="CM32" s="89">
        <f>'[1]October - 2021'!CM32</f>
        <v>-229397</v>
      </c>
      <c r="CN32" s="89">
        <f>'[1]October - 2021'!CO32</f>
        <v>0</v>
      </c>
      <c r="CO32" s="246">
        <f>'[1]October - 2021'!CP32</f>
        <v>-175099</v>
      </c>
      <c r="CP32" s="89">
        <f>'[1]October - 2021'!CP32</f>
        <v>-175099</v>
      </c>
      <c r="CQ32" s="89">
        <f>'[1]October - 2021'!CR32</f>
        <v>0</v>
      </c>
      <c r="CR32" s="246">
        <f>'[1]October - 2021'!CS32</f>
        <v>-308216</v>
      </c>
      <c r="CS32" s="89">
        <f>'[1]October - 2021'!CS32</f>
        <v>-308216</v>
      </c>
      <c r="CT32" s="89">
        <f>'[1]October - 2021'!CU32</f>
        <v>0</v>
      </c>
      <c r="CU32" s="191">
        <f>'[1]October - 2021'!CV32</f>
        <v>-609014</v>
      </c>
      <c r="CV32" s="518"/>
      <c r="CW32" s="256">
        <f>'[1]October - 2021'!CX32</f>
        <v>0</v>
      </c>
      <c r="CX32" s="198">
        <f>'[1]October - 2021'!CY32</f>
        <v>-5970</v>
      </c>
      <c r="CY32" s="257">
        <f>'[1]October - 2021'!CZ32</f>
        <v>0</v>
      </c>
      <c r="CZ32" s="198">
        <f>'[1]October - 2021'!DA32</f>
        <v>-3512</v>
      </c>
      <c r="DA32" s="257">
        <f>'[1]October - 2021'!DB32</f>
        <v>0</v>
      </c>
      <c r="DB32" s="198">
        <f>'[1]October - 2021'!DC32</f>
        <v>-25970</v>
      </c>
      <c r="DC32" s="257">
        <f>'[1]October - 2021'!DD32</f>
        <v>0</v>
      </c>
      <c r="DD32" s="198">
        <f>'[1]October - 2021'!DE32</f>
        <v>-26739</v>
      </c>
      <c r="DE32" s="257">
        <f>'[1]October - 2021'!DF32</f>
        <v>0</v>
      </c>
      <c r="DF32" s="198">
        <f>'[1]October - 2021'!DG32</f>
        <v>-18235</v>
      </c>
      <c r="DG32" s="257">
        <f>'[1]October - 2021'!DH32</f>
        <v>0</v>
      </c>
      <c r="DH32" s="198">
        <f>'[1]October - 2021'!DI32</f>
        <v>-21339</v>
      </c>
      <c r="DI32" s="257">
        <f>'[1]October - 2021'!DJ32</f>
        <v>0</v>
      </c>
      <c r="DJ32" s="198">
        <f>'[1]October - 2021'!DK32</f>
        <v>-2832</v>
      </c>
      <c r="DK32" s="257">
        <f>'[1]October - 2021'!DL32</f>
        <v>0</v>
      </c>
      <c r="DL32" s="198">
        <f>'[1]October - 2021'!DM32</f>
        <v>-6100</v>
      </c>
      <c r="DM32" s="257">
        <f>'[1]October - 2021'!DN32</f>
        <v>0</v>
      </c>
      <c r="DN32" s="198">
        <f>'[1]October - 2021'!DO32</f>
        <v>-1590</v>
      </c>
      <c r="DO32" s="257">
        <f>'[1]October - 2021'!DP32</f>
        <v>0</v>
      </c>
      <c r="DP32" s="198">
        <f>'[1]October - 2021'!DQ32</f>
        <v>-3205</v>
      </c>
      <c r="DQ32" s="257">
        <f>'[1]October - 2021'!DR32</f>
        <v>0</v>
      </c>
      <c r="DR32" s="206">
        <f>'[1]October - 2021'!DS32</f>
        <v>-26067</v>
      </c>
      <c r="DS32" s="534"/>
      <c r="DT32" s="210">
        <f>'[1]October - 2021'!DU32</f>
        <v>0</v>
      </c>
      <c r="DU32" s="221">
        <f>'[1]October - 2021'!DV32</f>
        <v>-2682.8</v>
      </c>
      <c r="DV32" s="91">
        <f>'[1]October - 2021'!DW32</f>
        <v>0</v>
      </c>
      <c r="DW32" s="215">
        <f>'[1]October - 2021'!DX32</f>
        <v>-7860.4</v>
      </c>
      <c r="DX32" s="91">
        <f>'[1]October - 2021'!DY32</f>
        <v>0</v>
      </c>
      <c r="DY32" s="215">
        <f>'[1]October - 2021'!DZ32</f>
        <v>-2014.5</v>
      </c>
      <c r="DZ32" s="91">
        <f>'[1]October - 2021'!EA32</f>
        <v>0</v>
      </c>
      <c r="EA32" s="215">
        <f>'[1]October - 2021'!EB32</f>
        <v>-2040.4</v>
      </c>
      <c r="EB32" s="91">
        <f>'[1]October - 2021'!EC32</f>
        <v>0</v>
      </c>
      <c r="EC32" s="215">
        <f>'[1]October - 2021'!ED32</f>
        <v>-842034</v>
      </c>
      <c r="ED32" s="91">
        <f>'[1]October - 2021'!EG32</f>
        <v>0</v>
      </c>
      <c r="EE32" s="229">
        <f>'[1]October - 2021'!EH32</f>
        <v>-169046.2</v>
      </c>
      <c r="EF32" s="581"/>
      <c r="EG32" s="235">
        <f>'[1]October - 2021'!EJ32</f>
        <v>0</v>
      </c>
      <c r="EH32" s="230">
        <f>'[1]October - 2021'!EK32</f>
        <v>-10223900</v>
      </c>
      <c r="EI32" s="90">
        <f>'[1]October - 2021'!EL32</f>
        <v>0</v>
      </c>
      <c r="EJ32" s="230">
        <f>'[1]October - 2021'!EM32</f>
        <v>-811410</v>
      </c>
      <c r="EK32" s="90">
        <f>'[1]October - 2021'!EN32</f>
        <v>0</v>
      </c>
      <c r="EL32" s="230">
        <f>'[1]October - 2021'!EO32</f>
        <v>-6307900</v>
      </c>
      <c r="EM32" s="90">
        <f>'[1]October - 2021'!EP32</f>
        <v>0</v>
      </c>
      <c r="EN32" s="230">
        <f>'[1]October - 2021'!EQ32</f>
        <v>-2225000</v>
      </c>
      <c r="EO32" s="90">
        <f>'[1]October - 2021'!ER32</f>
        <v>0</v>
      </c>
      <c r="EP32" s="230">
        <f>'[1]October - 2021'!ES32</f>
        <v>-960250</v>
      </c>
      <c r="EQ32" s="90">
        <f>'[1]October - 2021'!ET32</f>
        <v>0</v>
      </c>
      <c r="ER32" s="230">
        <f>'[1]October - 2021'!EU32</f>
        <v>-14093900</v>
      </c>
      <c r="ES32" s="556"/>
      <c r="ET32" s="284">
        <f>'[1]October - 2021'!EW32</f>
        <v>0</v>
      </c>
      <c r="EU32" s="278">
        <f>'[1]October - 2021'!EX32</f>
        <v>-36793</v>
      </c>
      <c r="EV32" s="285">
        <f>'[1]October - 2021'!EY32</f>
        <v>0</v>
      </c>
      <c r="EW32" s="278">
        <f>'[1]October - 2021'!EZ32</f>
        <v>-31798</v>
      </c>
      <c r="EX32" s="285">
        <f>'[1]October - 2021'!FA32</f>
        <v>0</v>
      </c>
      <c r="EY32" s="278">
        <f>'[1]October - 2021'!FB32</f>
        <v>-2939</v>
      </c>
      <c r="EZ32" s="285">
        <f>'[1]October - 2021'!FC32</f>
        <v>0</v>
      </c>
      <c r="FA32" s="278">
        <f>'[1]October - 2021'!FD32</f>
        <v>-53259</v>
      </c>
      <c r="FB32" s="285">
        <f>'[1]October - 2021'!FE32</f>
        <v>0</v>
      </c>
      <c r="FC32" s="279">
        <f>'[1]October - 2021'!FF32</f>
        <v>-36217</v>
      </c>
    </row>
    <row r="33" spans="1:160" ht="30" customHeight="1" x14ac:dyDescent="0.25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477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94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590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518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534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581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55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 x14ac:dyDescent="0.25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477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94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590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518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534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581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55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 x14ac:dyDescent="0.25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477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94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590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518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534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581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55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 x14ac:dyDescent="0.25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477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94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590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518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534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581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55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 x14ac:dyDescent="0.25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477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94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590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518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534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581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55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 x14ac:dyDescent="0.25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477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94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590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518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534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581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55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477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94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591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518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534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581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55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518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534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581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557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7790</v>
      </c>
      <c r="D44" s="435"/>
      <c r="E44" s="436"/>
      <c r="F44" s="437">
        <f>SUM(H9:H24)</f>
        <v>4628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1812</v>
      </c>
      <c r="P44" s="438"/>
      <c r="Q44" s="439"/>
      <c r="R44" s="443"/>
      <c r="S44" s="444"/>
      <c r="T44" s="412"/>
      <c r="U44" s="381">
        <f>SUM(W9:W24)</f>
        <v>45553.200000000186</v>
      </c>
      <c r="V44" s="382"/>
      <c r="W44" s="383"/>
      <c r="X44" s="381">
        <f>SUM(Z9:Z24)</f>
        <v>71277.359999999404</v>
      </c>
      <c r="Y44" s="382"/>
      <c r="Z44" s="383"/>
      <c r="AA44" s="381">
        <f>SUM(AC9:AC24)</f>
        <v>81703.440000001341</v>
      </c>
      <c r="AB44" s="382"/>
      <c r="AC44" s="383"/>
      <c r="AD44" s="381">
        <f>SUM(AF9:AF24)</f>
        <v>151762.80000000075</v>
      </c>
      <c r="AE44" s="382"/>
      <c r="AF44" s="383"/>
      <c r="AG44" s="381">
        <f>SUM(AI9:AI24)</f>
        <v>98219.520000003278</v>
      </c>
      <c r="AH44" s="382"/>
      <c r="AI44" s="383"/>
      <c r="AJ44" s="381">
        <f>SUM(AL9:AL24)</f>
        <v>90034.559999998659</v>
      </c>
      <c r="AK44" s="382"/>
      <c r="AL44" s="383"/>
      <c r="AM44" s="381">
        <f>SUM(AO9:AO24)</f>
        <v>70790.160000002012</v>
      </c>
      <c r="AN44" s="382"/>
      <c r="AO44" s="383"/>
      <c r="AP44" s="381">
        <f>SUM(AR9:AR24)</f>
        <v>62994.960000000894</v>
      </c>
      <c r="AQ44" s="382"/>
      <c r="AR44" s="383"/>
      <c r="AS44" s="381">
        <f>SUM(AU9:AU24)</f>
        <v>48086.640000000596</v>
      </c>
      <c r="AT44" s="382"/>
      <c r="AU44" s="383"/>
      <c r="AV44" s="381">
        <f>SUM(AX9:AX24)</f>
        <v>93980.88000000082</v>
      </c>
      <c r="AW44" s="382"/>
      <c r="AX44" s="382"/>
      <c r="AY44" s="387"/>
      <c r="AZ44" s="382">
        <f>SUM(BB9:BB24)</f>
        <v>390100</v>
      </c>
      <c r="BA44" s="382"/>
      <c r="BB44" s="382"/>
      <c r="BC44" s="381">
        <f>SUM(BE9:BE24)</f>
        <v>776400</v>
      </c>
      <c r="BD44" s="382"/>
      <c r="BE44" s="382"/>
      <c r="BF44" s="377">
        <f>SUM(BH9:BH24)</f>
        <v>411900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1418</v>
      </c>
      <c r="CL44" s="377"/>
      <c r="CM44" s="377"/>
      <c r="CN44" s="377">
        <f>SUM(CP9:CP24)</f>
        <v>1283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10909</v>
      </c>
      <c r="D45" s="595"/>
      <c r="E45" s="596"/>
      <c r="F45" s="595">
        <f>SUM(G9:G24)</f>
        <v>5301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3367.5500000000029</v>
      </c>
      <c r="P45" s="595"/>
      <c r="Q45" s="596"/>
      <c r="R45" s="598"/>
      <c r="S45" s="599"/>
      <c r="T45" s="413"/>
      <c r="U45" s="366">
        <f>SUM(V9:V24)</f>
        <v>45553.200000000186</v>
      </c>
      <c r="V45" s="366"/>
      <c r="W45" s="367"/>
      <c r="X45" s="366">
        <f>SUM(Y9:Y24)</f>
        <v>71277.359999999404</v>
      </c>
      <c r="Y45" s="366"/>
      <c r="Z45" s="367"/>
      <c r="AA45" s="366">
        <f>SUM(AB9:AB24)</f>
        <v>81703.440000001341</v>
      </c>
      <c r="AB45" s="366"/>
      <c r="AC45" s="367"/>
      <c r="AD45" s="366">
        <f>SUM(AE9:AE24)</f>
        <v>151762.80000000075</v>
      </c>
      <c r="AE45" s="366"/>
      <c r="AF45" s="367"/>
      <c r="AG45" s="366">
        <f>SUM(AH9:AH24)</f>
        <v>98219.520000003278</v>
      </c>
      <c r="AH45" s="366"/>
      <c r="AI45" s="367"/>
      <c r="AJ45" s="366">
        <f>SUM(AK9:AK24)</f>
        <v>90034.559999998659</v>
      </c>
      <c r="AK45" s="366"/>
      <c r="AL45" s="367"/>
      <c r="AM45" s="366">
        <f>SUM(AN9:AN24)</f>
        <v>70790.160000002012</v>
      </c>
      <c r="AN45" s="366"/>
      <c r="AO45" s="367"/>
      <c r="AP45" s="366">
        <f>SUM(AQ9:AQ24)</f>
        <v>62994.960000000894</v>
      </c>
      <c r="AQ45" s="366"/>
      <c r="AR45" s="367"/>
      <c r="AS45" s="366">
        <f>SUM(AT9:AT24)</f>
        <v>48086.640000000596</v>
      </c>
      <c r="AT45" s="366"/>
      <c r="AU45" s="367"/>
      <c r="AV45" s="366">
        <f>SUM(AW9:AW24)</f>
        <v>93980.88000000082</v>
      </c>
      <c r="AW45" s="366"/>
      <c r="AX45" s="366"/>
      <c r="AY45" s="387"/>
      <c r="AZ45" s="367">
        <f>SUM(BA9:BA24)</f>
        <v>390100</v>
      </c>
      <c r="BA45" s="377"/>
      <c r="BB45" s="377"/>
      <c r="BC45" s="377">
        <f>SUM(BD9:BD24)</f>
        <v>776400</v>
      </c>
      <c r="BD45" s="377"/>
      <c r="BE45" s="377"/>
      <c r="BF45" s="377">
        <f>SUM(BG9:BG24)</f>
        <v>411900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1418</v>
      </c>
      <c r="CL45" s="377"/>
      <c r="CM45" s="377"/>
      <c r="CN45" s="377">
        <f>SUM(CO9:CO24)</f>
        <v>1283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15263</v>
      </c>
      <c r="D47" s="363"/>
      <c r="E47" s="364"/>
      <c r="F47" s="362">
        <f>SUM(H9:H39)</f>
        <v>10007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2933</v>
      </c>
      <c r="P47" s="368"/>
      <c r="Q47" s="368"/>
      <c r="R47" s="362">
        <v>476</v>
      </c>
      <c r="S47" s="363"/>
      <c r="T47" s="369"/>
      <c r="U47" s="365">
        <f>SUM(W9:W39)</f>
        <v>-6972903.8399999999</v>
      </c>
      <c r="V47" s="366"/>
      <c r="W47" s="367"/>
      <c r="X47" s="365">
        <f>SUM(Z9:Z39)</f>
        <v>-13421142</v>
      </c>
      <c r="Y47" s="366"/>
      <c r="Z47" s="367"/>
      <c r="AA47" s="365">
        <f>SUM(AC9:AC39)</f>
        <v>-13317270.959999999</v>
      </c>
      <c r="AB47" s="366"/>
      <c r="AC47" s="367"/>
      <c r="AD47" s="365">
        <f>SUM(AF9:AF39)</f>
        <v>-16300347.839999998</v>
      </c>
      <c r="AE47" s="366"/>
      <c r="AF47" s="367"/>
      <c r="AG47" s="365">
        <f>SUM(AI9:AI39)</f>
        <v>-16710570.239999998</v>
      </c>
      <c r="AH47" s="366"/>
      <c r="AI47" s="367"/>
      <c r="AJ47" s="365">
        <f>SUM(AL9:AL39)</f>
        <v>-15072750</v>
      </c>
      <c r="AK47" s="366"/>
      <c r="AL47" s="367"/>
      <c r="AM47" s="365">
        <f>SUM(AO9:AO39)</f>
        <v>-12847999.919999998</v>
      </c>
      <c r="AN47" s="366"/>
      <c r="AO47" s="367"/>
      <c r="AP47" s="365">
        <f>SUM(AR9:AR39)</f>
        <v>-12368302.799999999</v>
      </c>
      <c r="AQ47" s="366"/>
      <c r="AR47" s="367"/>
      <c r="AS47" s="365">
        <f>SUM(AU9:AU39)</f>
        <v>-9865361.5199999996</v>
      </c>
      <c r="AT47" s="366"/>
      <c r="AU47" s="367"/>
      <c r="AV47" s="365">
        <f>SUM(AX9:AX39)</f>
        <v>-15242782.799999999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-227310</v>
      </c>
      <c r="CL47" s="366"/>
      <c r="CM47" s="367"/>
      <c r="CN47" s="365">
        <f>SUM(CP9:CP39)</f>
        <v>-173158</v>
      </c>
      <c r="CO47" s="366"/>
      <c r="CP47" s="367"/>
      <c r="CQ47" s="365">
        <f>SUM(CS9:CS39)</f>
        <v>-308195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-873021</v>
      </c>
      <c r="D48" s="363"/>
      <c r="E48" s="364"/>
      <c r="F48" s="362">
        <f>SUM(G9:G39)</f>
        <v>-61118</v>
      </c>
      <c r="G48" s="363"/>
      <c r="H48" s="364"/>
      <c r="I48" s="362">
        <f>SUM(J10:J39)</f>
        <v>-164625</v>
      </c>
      <c r="J48" s="364"/>
      <c r="K48" s="362">
        <f>SUM(L9:L39)</f>
        <v>-800710</v>
      </c>
      <c r="L48" s="364"/>
      <c r="M48" s="362"/>
      <c r="N48" s="364"/>
      <c r="O48" s="362">
        <f>SUM(P9:P39)</f>
        <v>-41866.07</v>
      </c>
      <c r="P48" s="363"/>
      <c r="Q48" s="364"/>
      <c r="R48" s="362">
        <f>SUM(S9:S39)</f>
        <v>-2200</v>
      </c>
      <c r="S48" s="363"/>
      <c r="T48" s="369"/>
      <c r="U48" s="370">
        <f>SUM(V9:V39)</f>
        <v>-6972903.8399999999</v>
      </c>
      <c r="V48" s="371"/>
      <c r="W48" s="372"/>
      <c r="X48" s="370">
        <f>SUM(Y9:Y39)</f>
        <v>-13421142</v>
      </c>
      <c r="Y48" s="371"/>
      <c r="Z48" s="372"/>
      <c r="AA48" s="359">
        <f>SUM(AB9:AB39)</f>
        <v>-13317270.959999999</v>
      </c>
      <c r="AB48" s="360"/>
      <c r="AC48" s="361"/>
      <c r="AD48" s="359">
        <f>SUM(AE9:AE39)</f>
        <v>-16300347.839999998</v>
      </c>
      <c r="AE48" s="360"/>
      <c r="AF48" s="361"/>
      <c r="AG48" s="359">
        <f>SUM(AH9:AH39)</f>
        <v>-16710570.239999998</v>
      </c>
      <c r="AH48" s="360"/>
      <c r="AI48" s="361"/>
      <c r="AJ48" s="359">
        <f>SUM(AK9:AK39)</f>
        <v>-15072750</v>
      </c>
      <c r="AK48" s="360"/>
      <c r="AL48" s="361"/>
      <c r="AM48" s="359">
        <f>SUM(AN9:AN39)</f>
        <v>-12847999.919999998</v>
      </c>
      <c r="AN48" s="360"/>
      <c r="AO48" s="361"/>
      <c r="AP48" s="359">
        <f>SUM(AQ9:AQ39)</f>
        <v>-12368302.799999999</v>
      </c>
      <c r="AQ48" s="360"/>
      <c r="AR48" s="361"/>
      <c r="AS48" s="359">
        <f>SUM(AT9:AT39)</f>
        <v>-9865361.5199999996</v>
      </c>
      <c r="AT48" s="360"/>
      <c r="AU48" s="361"/>
      <c r="AV48" s="359">
        <f>SUM(AW9:AW39)</f>
        <v>-15242782.799999999</v>
      </c>
      <c r="AW48" s="360"/>
      <c r="AX48" s="360"/>
      <c r="AY48" s="387"/>
      <c r="AZ48" s="350">
        <f>SUM(BA9:BA40)</f>
        <v>-66088200</v>
      </c>
      <c r="BA48" s="350"/>
      <c r="BB48" s="351"/>
      <c r="BC48" s="350">
        <f t="shared" ref="BC48" si="0">SUM(BD9:BD40)</f>
        <v>-68499700</v>
      </c>
      <c r="BD48" s="350"/>
      <c r="BE48" s="351"/>
      <c r="BF48" s="350">
        <f t="shared" ref="BF48" si="1">SUM(BG9:BG40)</f>
        <v>-63297900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-7219090</v>
      </c>
      <c r="BT48" s="602"/>
      <c r="BU48" s="394"/>
      <c r="BV48" s="606"/>
      <c r="BW48" s="607"/>
      <c r="BX48" s="117"/>
      <c r="BY48" s="347">
        <f>SUM(BZ9:BZ39)</f>
        <v>-55717</v>
      </c>
      <c r="BZ48" s="348"/>
      <c r="CA48" s="347">
        <f>SUM(CB9:CB39)</f>
        <v>-47253</v>
      </c>
      <c r="CB48" s="348"/>
      <c r="CC48" s="347">
        <f>SUM(CD9:CD39)</f>
        <v>-16334</v>
      </c>
      <c r="CD48" s="348"/>
      <c r="CE48" s="347">
        <f>SUM(CF9:CF39)</f>
        <v>-21339</v>
      </c>
      <c r="CF48" s="348"/>
      <c r="CG48" s="347">
        <f>SUM(CH9:CH39)</f>
        <v>-23108</v>
      </c>
      <c r="CH48" s="348"/>
      <c r="CI48" s="347">
        <f>SUM(CJ9:CJ39)</f>
        <v>-51575</v>
      </c>
      <c r="CJ48" s="348"/>
      <c r="CK48" s="347">
        <f>SUM(CL9:CL39)</f>
        <v>-227310</v>
      </c>
      <c r="CL48" s="349"/>
      <c r="CM48" s="348"/>
      <c r="CN48" s="347">
        <f>SUM(CO9:CO39)</f>
        <v>-173158</v>
      </c>
      <c r="CO48" s="349"/>
      <c r="CP48" s="348"/>
      <c r="CQ48" s="347">
        <f>SUM(CR9:CR39)</f>
        <v>-308195</v>
      </c>
      <c r="CR48" s="349"/>
      <c r="CS48" s="348"/>
      <c r="CT48" s="347">
        <f>SUM(CU9:CU39)</f>
        <v>-604639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888284</v>
      </c>
      <c r="D49" s="343"/>
      <c r="E49" s="358"/>
      <c r="F49" s="342">
        <f>F47-F48</f>
        <v>71125</v>
      </c>
      <c r="G49" s="343"/>
      <c r="H49" s="358"/>
      <c r="I49" s="342">
        <f>I47-I48</f>
        <v>171673.9</v>
      </c>
      <c r="J49" s="358"/>
      <c r="K49" s="342">
        <f>K47-K48</f>
        <v>808412.2</v>
      </c>
      <c r="L49" s="358"/>
      <c r="M49" s="342"/>
      <c r="N49" s="358"/>
      <c r="O49" s="373">
        <f>O47-O48</f>
        <v>44799.07</v>
      </c>
      <c r="P49" s="373"/>
      <c r="Q49" s="373"/>
      <c r="R49" s="342">
        <f>R47-R48</f>
        <v>2676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-66435500</v>
      </c>
      <c r="BA49" s="350"/>
      <c r="BB49" s="351"/>
      <c r="BC49" s="350">
        <f t="shared" ref="BC49" si="2">BC48-BC47</f>
        <v>-68860800</v>
      </c>
      <c r="BD49" s="350"/>
      <c r="BE49" s="351"/>
      <c r="BF49" s="350">
        <f t="shared" ref="BF49" si="3">BF48-BF47</f>
        <v>-63856742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608533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-132119431.91999999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-132119431.91999999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814403.52000000793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814403.52000000793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-197885800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2021-10-23T05:55:49Z</dcterms:modified>
</cp:coreProperties>
</file>