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xr:revisionPtr revIDLastSave="0" documentId="13_ncr:1_{9C601D82-448C-4BF0-8327-48E8445B791E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/>
  <c r="J14" i="119"/>
  <c r="K11" i="117" s="1"/>
  <c r="F14" i="119"/>
  <c r="G11" i="117" s="1"/>
  <c r="D14" i="119"/>
  <c r="E11" i="117"/>
  <c r="J13" i="119"/>
  <c r="K10" i="117" s="1"/>
  <c r="F13" i="119"/>
  <c r="G10" i="117" s="1"/>
  <c r="D13" i="119"/>
  <c r="E10" i="117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<sst xmlns="http://schemas.openxmlformats.org/spreadsheetml/2006/main" count="60" uniqueCount="29">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</sst>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5" zoomScaleNormal="85" workbookViewId="0">
      <selection activeCell="H21" sqref="H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2021</v>
      </c>
      <c r="E2" s="9">
        <f>'Macao Daily'!D5</f>
        <v>34526</v>
      </c>
      <c r="F2" s="32">
        <v>1.1423000000000001</v>
      </c>
      <c r="G2" s="9">
        <f>'Macao Daily'!F5</f>
        <v>81</v>
      </c>
      <c r="H2" s="32">
        <v>7.78</v>
      </c>
      <c r="I2" s="9">
        <f>'Macao Daily'!H5</f>
        <v>50679</v>
      </c>
      <c r="J2" s="32">
        <v>0.19</v>
      </c>
      <c r="K2" s="9">
        <f>'Macao Daily'!J5</f>
        <v>0</v>
      </c>
      <c r="L2" s="32">
        <v>7.7615999999999996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2021</v>
      </c>
      <c r="E3" s="9">
        <f>'Macao Daily'!D6</f>
        <v>34911</v>
      </c>
      <c r="F3" s="32">
        <v>1.1423000000000001</v>
      </c>
      <c r="G3" s="9">
        <f>'Macao Daily'!F6</f>
        <v>100</v>
      </c>
      <c r="H3" s="32">
        <v>7.78</v>
      </c>
      <c r="I3" s="9">
        <f>'Macao Daily'!H6</f>
        <v>54774</v>
      </c>
      <c r="J3" s="32">
        <v>0.19</v>
      </c>
      <c r="K3" s="9">
        <f>'Macao Daily'!J6</f>
        <v>0</v>
      </c>
      <c r="L3" s="32">
        <v>7.7615999999999996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37147</v>
      </c>
      <c r="F4" s="32">
        <v>1.1423000000000001</v>
      </c>
      <c r="G4" s="9">
        <f>'Macao Daily'!F7</f>
        <v>96</v>
      </c>
      <c r="H4" s="32">
        <v>7.78</v>
      </c>
      <c r="I4" s="9">
        <f>'Macao Daily'!H7</f>
        <v>54976</v>
      </c>
      <c r="J4" s="32">
        <v>0.19</v>
      </c>
      <c r="K4" s="9">
        <f>'Macao Daily'!J7</f>
        <v>0</v>
      </c>
      <c r="L4" s="32">
        <v>7.7615999999999996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2021</v>
      </c>
      <c r="E5" s="9">
        <f>'Macao Daily'!D8</f>
        <v>34572</v>
      </c>
      <c r="F5" s="32">
        <v>1.1423000000000001</v>
      </c>
      <c r="G5" s="9">
        <f>'Macao Daily'!F8</f>
        <v>109</v>
      </c>
      <c r="H5" s="32">
        <v>7.78</v>
      </c>
      <c r="I5" s="9">
        <f>'Macao Daily'!H8</f>
        <v>46399</v>
      </c>
      <c r="J5" s="32">
        <v>0.19</v>
      </c>
      <c r="K5" s="9">
        <f>'Macao Daily'!J8</f>
        <v>0</v>
      </c>
      <c r="L5" s="32">
        <v>7.7615999999999996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2021</v>
      </c>
      <c r="E6" s="9">
        <f>'Macao Daily'!D9</f>
        <v>35123</v>
      </c>
      <c r="F6" s="32">
        <v>1.1423000000000001</v>
      </c>
      <c r="G6" s="9">
        <f>'Macao Daily'!F9</f>
        <v>95</v>
      </c>
      <c r="H6" s="32">
        <v>7.78</v>
      </c>
      <c r="I6" s="9">
        <f>'Macao Daily'!H9</f>
        <v>39586</v>
      </c>
      <c r="J6" s="32">
        <v>0.19</v>
      </c>
      <c r="K6" s="9">
        <f>'Macao Daily'!J9</f>
        <v>0</v>
      </c>
      <c r="L6" s="32">
        <v>7.7615999999999996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2021</v>
      </c>
      <c r="E7" s="9">
        <f>'Macao Daily'!D10</f>
        <v>31832</v>
      </c>
      <c r="F7" s="32">
        <v>1.1423000000000001</v>
      </c>
      <c r="G7" s="9">
        <f>'Macao Daily'!F10</f>
        <v>67</v>
      </c>
      <c r="H7" s="32">
        <v>7.78</v>
      </c>
      <c r="I7" s="9">
        <f>'Macao Daily'!H10</f>
        <v>38406</v>
      </c>
      <c r="J7" s="32">
        <v>0.19</v>
      </c>
      <c r="K7" s="9">
        <f>'Macao Daily'!J10</f>
        <v>0</v>
      </c>
      <c r="L7" s="32">
        <v>7.7615999999999996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2021</v>
      </c>
      <c r="E8" s="9">
        <f>'Macao Daily'!D11</f>
        <v>32005</v>
      </c>
      <c r="F8" s="32">
        <v>1.1423000000000001</v>
      </c>
      <c r="G8" s="9">
        <f>'Macao Daily'!F11</f>
        <v>62</v>
      </c>
      <c r="H8" s="32">
        <v>7.78</v>
      </c>
      <c r="I8" s="9">
        <f>'Macao Daily'!H11</f>
        <v>36703</v>
      </c>
      <c r="J8" s="32">
        <v>0.19</v>
      </c>
      <c r="K8" s="9">
        <f>'Macao Daily'!J11</f>
        <v>0</v>
      </c>
      <c r="L8" s="32">
        <v>7.7615999999999996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2021</v>
      </c>
      <c r="E9" s="9">
        <f>'Macao Daily'!D12</f>
        <v>33271</v>
      </c>
      <c r="F9" s="32">
        <v>1.1423000000000001</v>
      </c>
      <c r="G9" s="9">
        <f>'Macao Daily'!F12</f>
        <v>75</v>
      </c>
      <c r="H9" s="32">
        <v>7.78</v>
      </c>
      <c r="I9" s="9">
        <f>'Macao Daily'!H12</f>
        <v>35570</v>
      </c>
      <c r="J9" s="32">
        <v>0.19</v>
      </c>
      <c r="K9" s="9">
        <f>'Macao Daily'!J12</f>
        <v>0</v>
      </c>
      <c r="L9" s="32">
        <v>7.7615999999999996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2021</v>
      </c>
      <c r="E10" s="9">
        <f>'Macao Daily'!D13</f>
        <v>34170</v>
      </c>
      <c r="F10" s="32">
        <v>1.1423000000000001</v>
      </c>
      <c r="G10" s="9">
        <f>'Macao Daily'!F13</f>
        <v>92</v>
      </c>
      <c r="H10" s="32">
        <v>7.78</v>
      </c>
      <c r="I10" s="9">
        <f>'Macao Daily'!H13</f>
        <v>31196</v>
      </c>
      <c r="J10" s="32">
        <v>0.19</v>
      </c>
      <c r="K10" s="9">
        <f>'Macao Daily'!J13</f>
        <v>0</v>
      </c>
      <c r="L10" s="32">
        <v>7.7615999999999996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2021</v>
      </c>
      <c r="E11" s="9">
        <f>'Macao Daily'!D14</f>
        <v>35681</v>
      </c>
      <c r="F11" s="32">
        <v>1.1423000000000001</v>
      </c>
      <c r="G11" s="9">
        <f>'Macao Daily'!F14</f>
        <v>92</v>
      </c>
      <c r="H11" s="32">
        <v>7.78</v>
      </c>
      <c r="I11" s="9">
        <f>'Macao Daily'!H14</f>
        <v>32484</v>
      </c>
      <c r="J11" s="32">
        <v>0.19</v>
      </c>
      <c r="K11" s="9">
        <f>'Macao Daily'!J14</f>
        <v>0</v>
      </c>
      <c r="L11" s="32">
        <v>7.7615999999999996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2021</v>
      </c>
      <c r="E12" s="9">
        <f>'Macao Daily'!D15</f>
        <v>34719</v>
      </c>
      <c r="F12" s="32">
        <v>1.1423000000000001</v>
      </c>
      <c r="G12" s="9">
        <f>'Macao Daily'!F15</f>
        <v>90</v>
      </c>
      <c r="H12" s="32">
        <v>7.78</v>
      </c>
      <c r="I12" s="9">
        <f>'Macao Daily'!H15</f>
        <v>39477</v>
      </c>
      <c r="J12" s="32">
        <v>0.19</v>
      </c>
      <c r="K12" s="9">
        <f>'Macao Daily'!J15</f>
        <v>0</v>
      </c>
      <c r="L12" s="32">
        <v>7.7615999999999996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2021</v>
      </c>
      <c r="E13" s="9">
        <f>'Macao Daily'!D16</f>
        <v>33950</v>
      </c>
      <c r="F13" s="32">
        <v>1.1423000000000001</v>
      </c>
      <c r="G13" s="9">
        <f>'Macao Daily'!F16</f>
        <v>77</v>
      </c>
      <c r="H13" s="32">
        <v>7.78</v>
      </c>
      <c r="I13" s="9">
        <f>'Macao Daily'!H16</f>
        <v>43937</v>
      </c>
      <c r="J13" s="32">
        <v>0.19</v>
      </c>
      <c r="K13" s="9">
        <f>'Macao Daily'!J16</f>
        <v>0</v>
      </c>
      <c r="L13" s="32">
        <v>7.7615999999999996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2021</v>
      </c>
      <c r="E14" s="9">
        <f>'Macao Daily'!D17</f>
        <v>33253</v>
      </c>
      <c r="F14" s="32">
        <v>1.1423000000000001</v>
      </c>
      <c r="G14" s="9">
        <f>'Macao Daily'!F17</f>
        <v>58</v>
      </c>
      <c r="H14" s="32">
        <v>7.78</v>
      </c>
      <c r="I14" s="9">
        <f>'Macao Daily'!H17</f>
        <v>45016</v>
      </c>
      <c r="J14" s="32">
        <v>0.19</v>
      </c>
      <c r="K14" s="9">
        <f>'Macao Daily'!J17</f>
        <v>0</v>
      </c>
      <c r="L14" s="32">
        <v>7.7615999999999996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2021</v>
      </c>
      <c r="E15" s="9">
        <f>'Macao Daily'!D18</f>
        <v>33839</v>
      </c>
      <c r="F15" s="32">
        <v>1.1423000000000001</v>
      </c>
      <c r="G15" s="9">
        <f>'Macao Daily'!F18</f>
        <v>60</v>
      </c>
      <c r="H15" s="32">
        <v>7.78</v>
      </c>
      <c r="I15" s="9">
        <f>'Macao Daily'!H18</f>
        <v>44937</v>
      </c>
      <c r="J15" s="32">
        <v>0.19</v>
      </c>
      <c r="K15" s="9">
        <f>'Macao Daily'!J18</f>
        <v>0</v>
      </c>
      <c r="L15" s="32">
        <v>7.7615999999999996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2021</v>
      </c>
      <c r="E16" s="9">
        <f>'Macao Daily'!D19</f>
        <v>33685</v>
      </c>
      <c r="F16" s="32">
        <v>1.1423000000000001</v>
      </c>
      <c r="G16" s="9">
        <f>'Macao Daily'!F19</f>
        <v>67</v>
      </c>
      <c r="H16" s="32">
        <v>7.78</v>
      </c>
      <c r="I16" s="9">
        <f>'Macao Daily'!H19</f>
        <v>40844</v>
      </c>
      <c r="J16" s="32">
        <v>0.19</v>
      </c>
      <c r="K16" s="9">
        <f>'Macao Daily'!J19</f>
        <v>0</v>
      </c>
      <c r="L16" s="32">
        <v>7.7615999999999996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2021</v>
      </c>
      <c r="E17" s="9">
        <f>'Macao Daily'!D20</f>
        <v>34322</v>
      </c>
      <c r="F17" s="32">
        <v>1.1423000000000001</v>
      </c>
      <c r="G17" s="9">
        <f>'Macao Daily'!F20</f>
        <v>83</v>
      </c>
      <c r="H17" s="32">
        <v>7.78</v>
      </c>
      <c r="I17" s="9">
        <f>'Macao Daily'!H20</f>
        <v>43156</v>
      </c>
      <c r="J17" s="32">
        <v>0.19</v>
      </c>
      <c r="K17" s="9">
        <f>'Macao Daily'!J20</f>
        <v>0</v>
      </c>
      <c r="L17" s="32">
        <v>7.7615999999999996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2021</v>
      </c>
      <c r="E18" s="9">
        <f>'Macao Daily'!D21</f>
        <v>36634</v>
      </c>
      <c r="F18" s="32">
        <v>1.1423000000000001</v>
      </c>
      <c r="G18" s="9">
        <f>'Macao Daily'!F21</f>
        <v>101</v>
      </c>
      <c r="H18" s="32">
        <v>7.78</v>
      </c>
      <c r="I18" s="9">
        <f>'Macao Daily'!H21</f>
        <v>43539</v>
      </c>
      <c r="J18" s="32">
        <v>0.19</v>
      </c>
      <c r="K18" s="9">
        <f>'Macao Daily'!J21</f>
        <v>0</v>
      </c>
      <c r="L18" s="32">
        <v>7.7615999999999996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2021</v>
      </c>
      <c r="E19" s="9">
        <f>'Macao Daily'!D22</f>
        <v>32164</v>
      </c>
      <c r="F19" s="32">
        <v>1.1423000000000001</v>
      </c>
      <c r="G19" s="9">
        <f>'Macao Daily'!F22</f>
        <v>86</v>
      </c>
      <c r="H19" s="32">
        <v>7.78</v>
      </c>
      <c r="I19" s="9">
        <f>'Macao Daily'!H22</f>
        <v>34656</v>
      </c>
      <c r="J19" s="32">
        <v>0.19</v>
      </c>
      <c r="K19" s="9">
        <f>'Macao Daily'!J22</f>
        <v>0</v>
      </c>
      <c r="L19" s="32">
        <v>7.7615999999999996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2021</v>
      </c>
      <c r="E20" s="9">
        <f>'Macao Daily'!D23</f>
        <v>35435</v>
      </c>
      <c r="F20" s="32">
        <v>1.1423000000000001</v>
      </c>
      <c r="G20" s="9">
        <f>'Macao Daily'!F23</f>
        <v>81</v>
      </c>
      <c r="H20" s="32">
        <v>7.78</v>
      </c>
      <c r="I20" s="9">
        <f>'Macao Daily'!H23</f>
        <v>36290</v>
      </c>
      <c r="J20" s="32">
        <v>0.19</v>
      </c>
      <c r="K20" s="9">
        <f>'Macao Daily'!J23</f>
        <v>0</v>
      </c>
      <c r="L20" s="32">
        <v>7.7615999999999996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2021</v>
      </c>
      <c r="E21" s="9">
        <f>'Macao Daily'!D24</f>
        <v>33199</v>
      </c>
      <c r="F21" s="32">
        <v>1.1423000000000001</v>
      </c>
      <c r="G21" s="9">
        <f>'Macao Daily'!F24</f>
        <v>73</v>
      </c>
      <c r="H21" s="32">
        <v>7.78</v>
      </c>
      <c r="I21" s="9">
        <f>'Macao Daily'!H24</f>
        <v>37148</v>
      </c>
      <c r="J21" s="32">
        <v>0.19</v>
      </c>
      <c r="K21" s="9">
        <f>'Macao Daily'!J24</f>
        <v>0</v>
      </c>
      <c r="L21" s="32">
        <v>7.7615999999999996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2021</v>
      </c>
      <c r="E22" s="9">
        <f>'Macao Daily'!D25</f>
        <v>33431</v>
      </c>
      <c r="F22" s="32">
        <v>1.1423000000000001</v>
      </c>
      <c r="G22" s="9">
        <f>'Macao Daily'!F25</f>
        <v>57</v>
      </c>
      <c r="H22" s="32">
        <v>7.78</v>
      </c>
      <c r="I22" s="9">
        <f>'Macao Daily'!H25</f>
        <v>41411</v>
      </c>
      <c r="J22" s="32">
        <v>0.19</v>
      </c>
      <c r="K22" s="9">
        <f>'Macao Daily'!J25</f>
        <v>0</v>
      </c>
      <c r="L22" s="32">
        <v>7.7615999999999996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2021</v>
      </c>
      <c r="E23" s="9">
        <f>'Macao Daily'!D26</f>
        <v>34781</v>
      </c>
      <c r="F23" s="32">
        <v>1.1423000000000001</v>
      </c>
      <c r="G23" s="9">
        <f>'Macao Daily'!F26</f>
        <v>64</v>
      </c>
      <c r="H23" s="32">
        <v>7.78</v>
      </c>
      <c r="I23" s="9">
        <f>'Macao Daily'!H26</f>
        <v>44068</v>
      </c>
      <c r="J23" s="32">
        <v>0.19</v>
      </c>
      <c r="K23" s="9">
        <f>'Macao Daily'!J26</f>
        <v>0</v>
      </c>
      <c r="L23" s="32">
        <v>7.7615999999999996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2021</v>
      </c>
      <c r="E24" s="9">
        <f>'Macao Daily'!D27</f>
        <v>35637</v>
      </c>
      <c r="F24" s="32">
        <v>1.1423000000000001</v>
      </c>
      <c r="G24" s="9">
        <f>'Macao Daily'!F27</f>
        <v>83</v>
      </c>
      <c r="H24" s="32">
        <v>7.78</v>
      </c>
      <c r="I24" s="9">
        <f>'Macao Daily'!H27</f>
        <v>53568</v>
      </c>
      <c r="J24" s="32">
        <v>0.19</v>
      </c>
      <c r="K24" s="9">
        <f>'Macao Daily'!J27</f>
        <v>0</v>
      </c>
      <c r="L24" s="32">
        <v>7.7615999999999996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2021</v>
      </c>
      <c r="E25" s="9">
        <f>'Macao Daily'!D28</f>
        <v>34908</v>
      </c>
      <c r="F25" s="32">
        <v>1.1423000000000001</v>
      </c>
      <c r="G25" s="9">
        <f>'Macao Daily'!F28</f>
        <v>91</v>
      </c>
      <c r="H25" s="32">
        <v>7.78</v>
      </c>
      <c r="I25" s="9">
        <f>'Macao Daily'!H28</f>
        <v>51609</v>
      </c>
      <c r="J25" s="32">
        <v>0.19</v>
      </c>
      <c r="K25" s="9">
        <f>'Macao Daily'!J28</f>
        <v>0</v>
      </c>
      <c r="L25" s="32">
        <v>7.7615999999999996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2021</v>
      </c>
      <c r="E26" s="9">
        <f>'Macao Daily'!D29</f>
        <v>37446</v>
      </c>
      <c r="F26" s="32">
        <v>1.1423000000000001</v>
      </c>
      <c r="G26" s="9">
        <f>'Macao Daily'!F29</f>
        <v>95</v>
      </c>
      <c r="H26" s="32">
        <v>7.78</v>
      </c>
      <c r="I26" s="9">
        <f>'Macao Daily'!H29</f>
        <v>55774</v>
      </c>
      <c r="J26" s="32">
        <v>0.19</v>
      </c>
      <c r="K26" s="9">
        <f>'Macao Daily'!J29</f>
        <v>0</v>
      </c>
      <c r="L26" s="32">
        <v>7.7615999999999996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2021</v>
      </c>
      <c r="E27" s="9">
        <f>'Macao Daily'!D30</f>
        <v>32796</v>
      </c>
      <c r="F27" s="32">
        <v>1.1423000000000001</v>
      </c>
      <c r="G27" s="9">
        <f>'Macao Daily'!F30</f>
        <v>79</v>
      </c>
      <c r="H27" s="32">
        <v>7.78</v>
      </c>
      <c r="I27" s="9">
        <f>'Macao Daily'!H30</f>
        <v>40125</v>
      </c>
      <c r="J27" s="32">
        <v>0.19</v>
      </c>
      <c r="K27" s="9">
        <f>'Macao Daily'!J30</f>
        <v>0</v>
      </c>
      <c r="L27" s="32">
        <v>7.7615999999999996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2021</v>
      </c>
      <c r="E28" s="9">
        <f>'Macao Daily'!D31</f>
        <v>39511</v>
      </c>
      <c r="F28" s="32">
        <v>1.1423000000000001</v>
      </c>
      <c r="G28" s="9">
        <f>'Macao Daily'!F31</f>
        <v>58</v>
      </c>
      <c r="H28" s="32">
        <v>7.78</v>
      </c>
      <c r="I28" s="9">
        <f>'Macao Daily'!H31</f>
        <v>55000</v>
      </c>
      <c r="J28" s="32">
        <v>0.19</v>
      </c>
      <c r="K28" s="9">
        <f>'Macao Daily'!J31</f>
        <v>0</v>
      </c>
      <c r="L28" s="32">
        <v>7.7615999999999996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2021</v>
      </c>
      <c r="E29" s="9">
        <f>'Macao Daily'!D32</f>
        <v>32314</v>
      </c>
      <c r="F29" s="32">
        <v>1.1423000000000001</v>
      </c>
      <c r="G29" s="9">
        <f>'Macao Daily'!F32</f>
        <v>58</v>
      </c>
      <c r="H29" s="32">
        <v>7.78</v>
      </c>
      <c r="I29" s="9">
        <f>'Macao Daily'!H32</f>
        <v>42492</v>
      </c>
      <c r="J29" s="32">
        <v>0.19</v>
      </c>
      <c r="K29" s="9">
        <f>'Macao Daily'!J32</f>
        <v>0</v>
      </c>
      <c r="L29" s="32">
        <v>7.7615999999999996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2021</v>
      </c>
      <c r="E30" s="9">
        <f>'Macao Daily'!D33</f>
        <v>32741</v>
      </c>
      <c r="F30" s="32">
        <v>1.1423000000000001</v>
      </c>
      <c r="G30" s="9">
        <f>'Macao Daily'!F33</f>
        <v>76</v>
      </c>
      <c r="H30" s="32">
        <v>7.78</v>
      </c>
      <c r="I30" s="9">
        <f>'Macao Daily'!H33</f>
        <v>42937</v>
      </c>
      <c r="J30" s="32">
        <v>0.19</v>
      </c>
      <c r="K30" s="9">
        <f>'Macao Daily'!J33</f>
        <v>0</v>
      </c>
      <c r="L30" s="32">
        <v>7.7615999999999996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2021</v>
      </c>
      <c r="E31" s="9">
        <f>'Macao Daily'!D34</f>
        <v>35671</v>
      </c>
      <c r="F31" s="32">
        <v>1.1423000000000001</v>
      </c>
      <c r="G31" s="9">
        <f>'Macao Daily'!F34</f>
        <v>96</v>
      </c>
      <c r="H31" s="32">
        <v>7.78</v>
      </c>
      <c r="I31" s="9">
        <f>'Macao Daily'!H34</f>
        <v>45422</v>
      </c>
      <c r="J31" s="32">
        <v>0.19</v>
      </c>
      <c r="K31" s="9">
        <f>'Macao Daily'!J34</f>
        <v>0</v>
      </c>
      <c r="L31" s="32">
        <v>7.7615999999999996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6"/>
  <sheetViews>
    <sheetView zoomScale="85" zoomScaleNormal="85" workbookViewId="0">
      <pane xSplit="1" topLeftCell="B1" activePane="topRight" state="frozen"/>
      <selection pane="topRight" activeCell="M9" sqref="M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2" ht="35.25" customHeight="1" thickBot="1" x14ac:dyDescent="0.3">
      <c r="A2" s="14" t="s">
        <v>14</v>
      </c>
      <c r="B2" s="35"/>
      <c r="C2" s="37" t="s">
        <v>15</v>
      </c>
      <c r="D2" s="38"/>
      <c r="E2" s="39" t="s">
        <v>16</v>
      </c>
      <c r="F2" s="39"/>
      <c r="G2" s="42" t="s">
        <v>17</v>
      </c>
      <c r="H2" s="43"/>
      <c r="I2" s="40" t="s">
        <v>18</v>
      </c>
      <c r="J2" s="41"/>
      <c r="K2" s="15"/>
      <c r="L2" s="15"/>
    </row>
    <row r="3" spans="1:12" ht="44.25" customHeight="1" x14ac:dyDescent="0.25">
      <c r="A3" s="16" t="s">
        <v>19</v>
      </c>
      <c r="B3" s="35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44286</v>
      </c>
      <c r="B4" s="35"/>
      <c r="C4" s="25">
        <v>159758938</v>
      </c>
      <c r="D4" s="26"/>
      <c r="E4" s="25">
        <v>523900</v>
      </c>
      <c r="F4" s="26"/>
      <c r="G4" s="25">
        <v>96307199</v>
      </c>
      <c r="H4" s="26"/>
      <c r="I4" s="25">
        <v>0</v>
      </c>
      <c r="J4" s="26"/>
      <c r="K4" s="33">
        <v>172</v>
      </c>
      <c r="L4" s="33">
        <v>248</v>
      </c>
    </row>
    <row r="5" spans="1:12" ht="33" customHeight="1" x14ac:dyDescent="0.25">
      <c r="A5" s="24">
        <v>44287</v>
      </c>
      <c r="B5" s="35"/>
      <c r="C5" s="25">
        <v>159793464</v>
      </c>
      <c r="D5" s="26">
        <f t="shared" ref="D5:D19" si="0">IF((C5-C4&lt;0), "0",C5-C4)</f>
        <v>34526</v>
      </c>
      <c r="E5" s="25">
        <v>523981</v>
      </c>
      <c r="F5" s="26">
        <f>IF((E5-E4&lt;0), "0",E5-E4)</f>
        <v>81</v>
      </c>
      <c r="G5" s="25">
        <v>96357878</v>
      </c>
      <c r="H5" s="26">
        <f>IF((G5-G4&lt;0), "0",G5-G4)</f>
        <v>50679</v>
      </c>
      <c r="I5" s="25">
        <v>0</v>
      </c>
      <c r="J5" s="26">
        <f>IF((I5-I4&lt;0), "0",I5-I4)</f>
        <v>0</v>
      </c>
      <c r="K5" s="33">
        <v>132</v>
      </c>
      <c r="L5" s="33">
        <v>303</v>
      </c>
    </row>
    <row r="6" spans="1:12" ht="45" customHeight="1" x14ac:dyDescent="0.25">
      <c r="A6" s="24">
        <v>44288</v>
      </c>
      <c r="B6" s="35"/>
      <c r="C6" s="25">
        <v>159828375</v>
      </c>
      <c r="D6" s="26">
        <f t="shared" si="0"/>
        <v>34911</v>
      </c>
      <c r="E6" s="25">
        <v>524081</v>
      </c>
      <c r="F6" s="26">
        <f t="shared" ref="F6:F19" si="1">IF((E6-E5&lt;0), "0",E6-E5)</f>
        <v>100</v>
      </c>
      <c r="G6" s="25">
        <v>96412652</v>
      </c>
      <c r="H6" s="26">
        <f t="shared" ref="H6:H32" si="2">IF((G6-G5&lt;0), "0",G6-G5)</f>
        <v>54774</v>
      </c>
      <c r="I6" s="25">
        <v>0</v>
      </c>
      <c r="J6" s="26">
        <f t="shared" ref="J6:J32" si="3">IF((I6-I5&lt;0), "0",I6-I5)</f>
        <v>0</v>
      </c>
      <c r="K6" s="33">
        <v>178</v>
      </c>
      <c r="L6" s="33">
        <v>427</v>
      </c>
    </row>
    <row r="7" spans="1:12" ht="45" customHeight="1" x14ac:dyDescent="0.25">
      <c r="A7" s="24">
        <v>44289</v>
      </c>
      <c r="B7" s="35"/>
      <c r="C7" s="25">
        <v>159865522</v>
      </c>
      <c r="D7" s="26">
        <f t="shared" si="0"/>
        <v>37147</v>
      </c>
      <c r="E7" s="25">
        <v>524177</v>
      </c>
      <c r="F7" s="26">
        <f t="shared" si="1"/>
        <v>96</v>
      </c>
      <c r="G7" s="25">
        <v>96467628</v>
      </c>
      <c r="H7" s="26">
        <f t="shared" si="2"/>
        <v>54976</v>
      </c>
      <c r="I7" s="25">
        <v>0</v>
      </c>
      <c r="J7" s="26">
        <f t="shared" si="3"/>
        <v>0</v>
      </c>
      <c r="K7" s="33">
        <v>318</v>
      </c>
      <c r="L7" s="33">
        <v>565</v>
      </c>
    </row>
    <row r="8" spans="1:12" ht="45" customHeight="1" x14ac:dyDescent="0.25">
      <c r="A8" s="24">
        <v>44290</v>
      </c>
      <c r="B8" s="35"/>
      <c r="C8" s="25">
        <v>159900094</v>
      </c>
      <c r="D8" s="26">
        <f t="shared" si="0"/>
        <v>34572</v>
      </c>
      <c r="E8" s="25">
        <v>524286</v>
      </c>
      <c r="F8" s="26">
        <f t="shared" si="1"/>
        <v>109</v>
      </c>
      <c r="G8" s="25">
        <v>96514027</v>
      </c>
      <c r="H8" s="26">
        <f t="shared" si="2"/>
        <v>46399</v>
      </c>
      <c r="I8" s="25">
        <v>0</v>
      </c>
      <c r="J8" s="26">
        <f t="shared" si="3"/>
        <v>0</v>
      </c>
      <c r="K8" s="33">
        <v>222</v>
      </c>
      <c r="L8" s="33">
        <v>685</v>
      </c>
    </row>
    <row r="9" spans="1:12" ht="45" customHeight="1" x14ac:dyDescent="0.25">
      <c r="A9" s="24">
        <v>44291</v>
      </c>
      <c r="B9" s="35"/>
      <c r="C9" s="25">
        <v>159935217</v>
      </c>
      <c r="D9" s="26">
        <f t="shared" si="0"/>
        <v>35123</v>
      </c>
      <c r="E9" s="25">
        <v>524381</v>
      </c>
      <c r="F9" s="26">
        <f t="shared" si="1"/>
        <v>95</v>
      </c>
      <c r="G9" s="25">
        <v>96553613</v>
      </c>
      <c r="H9" s="26">
        <f t="shared" si="2"/>
        <v>39586</v>
      </c>
      <c r="I9" s="25">
        <v>0</v>
      </c>
      <c r="J9" s="26">
        <f t="shared" si="3"/>
        <v>0</v>
      </c>
      <c r="K9" s="33">
        <v>122</v>
      </c>
      <c r="L9" s="33">
        <v>490</v>
      </c>
    </row>
    <row r="10" spans="1:12" ht="45" customHeight="1" x14ac:dyDescent="0.25">
      <c r="A10" s="24">
        <v>44292</v>
      </c>
      <c r="B10" s="35"/>
      <c r="C10" s="25">
        <v>159967049</v>
      </c>
      <c r="D10" s="26">
        <f t="shared" si="0"/>
        <v>31832</v>
      </c>
      <c r="E10" s="25">
        <v>524448</v>
      </c>
      <c r="F10" s="26">
        <f t="shared" si="1"/>
        <v>67</v>
      </c>
      <c r="G10" s="25">
        <v>96592019</v>
      </c>
      <c r="H10" s="26">
        <f t="shared" si="2"/>
        <v>38406</v>
      </c>
      <c r="I10" s="25">
        <v>0</v>
      </c>
      <c r="J10" s="26">
        <f t="shared" si="3"/>
        <v>0</v>
      </c>
      <c r="K10" s="33">
        <v>71</v>
      </c>
      <c r="L10" s="33">
        <v>264</v>
      </c>
    </row>
    <row r="11" spans="1:12" ht="45" customHeight="1" x14ac:dyDescent="0.25">
      <c r="A11" s="24">
        <v>44293</v>
      </c>
      <c r="B11" s="35"/>
      <c r="C11" s="25">
        <v>159999054</v>
      </c>
      <c r="D11" s="26">
        <f t="shared" si="0"/>
        <v>32005</v>
      </c>
      <c r="E11" s="25">
        <v>524510</v>
      </c>
      <c r="F11" s="26">
        <f t="shared" si="1"/>
        <v>62</v>
      </c>
      <c r="G11" s="25">
        <v>96628722</v>
      </c>
      <c r="H11" s="26">
        <f t="shared" si="2"/>
        <v>36703</v>
      </c>
      <c r="I11" s="25">
        <v>0</v>
      </c>
      <c r="J11" s="26">
        <f t="shared" si="3"/>
        <v>0</v>
      </c>
      <c r="K11" s="33">
        <v>75</v>
      </c>
      <c r="L11" s="33">
        <v>190</v>
      </c>
    </row>
    <row r="12" spans="1:12" ht="45" customHeight="1" x14ac:dyDescent="0.25">
      <c r="A12" s="24">
        <v>44294</v>
      </c>
      <c r="B12" s="35"/>
      <c r="C12" s="25">
        <v>160032325</v>
      </c>
      <c r="D12" s="26">
        <f t="shared" si="0"/>
        <v>33271</v>
      </c>
      <c r="E12" s="25">
        <v>524585</v>
      </c>
      <c r="F12" s="26">
        <f t="shared" si="1"/>
        <v>75</v>
      </c>
      <c r="G12" s="25">
        <v>96664292</v>
      </c>
      <c r="H12" s="26">
        <f t="shared" si="2"/>
        <v>35570</v>
      </c>
      <c r="I12" s="25">
        <v>0</v>
      </c>
      <c r="J12" s="26">
        <f t="shared" si="3"/>
        <v>0</v>
      </c>
      <c r="K12" s="33">
        <v>123</v>
      </c>
      <c r="L12" s="33">
        <v>148</v>
      </c>
    </row>
    <row r="13" spans="1:12" ht="45" customHeight="1" x14ac:dyDescent="0.25">
      <c r="A13" s="24">
        <v>44295</v>
      </c>
      <c r="B13" s="35"/>
      <c r="C13" s="25">
        <v>160066495</v>
      </c>
      <c r="D13" s="26">
        <f t="shared" si="0"/>
        <v>34170</v>
      </c>
      <c r="E13" s="25">
        <v>524677</v>
      </c>
      <c r="F13" s="26">
        <f t="shared" si="1"/>
        <v>92</v>
      </c>
      <c r="G13" s="25">
        <v>96695488</v>
      </c>
      <c r="H13" s="26">
        <f t="shared" si="2"/>
        <v>31196</v>
      </c>
      <c r="I13" s="25">
        <v>0</v>
      </c>
      <c r="J13" s="26">
        <f t="shared" si="3"/>
        <v>0</v>
      </c>
      <c r="K13" s="33">
        <v>181</v>
      </c>
      <c r="L13" s="33">
        <v>294</v>
      </c>
    </row>
    <row r="14" spans="1:12" ht="45" customHeight="1" x14ac:dyDescent="0.25">
      <c r="A14" s="24">
        <v>44296</v>
      </c>
      <c r="B14" s="35"/>
      <c r="C14" s="25">
        <v>160102176</v>
      </c>
      <c r="D14" s="26">
        <f t="shared" si="0"/>
        <v>35681</v>
      </c>
      <c r="E14" s="25">
        <v>524769</v>
      </c>
      <c r="F14" s="26">
        <f t="shared" si="1"/>
        <v>92</v>
      </c>
      <c r="G14" s="25">
        <v>96727972</v>
      </c>
      <c r="H14" s="26">
        <f t="shared" si="2"/>
        <v>32484</v>
      </c>
      <c r="I14" s="25">
        <v>0</v>
      </c>
      <c r="J14" s="26">
        <f t="shared" si="3"/>
        <v>0</v>
      </c>
      <c r="K14" s="33">
        <v>171</v>
      </c>
      <c r="L14" s="33">
        <v>706</v>
      </c>
    </row>
    <row r="15" spans="1:12" ht="45" customHeight="1" x14ac:dyDescent="0.25">
      <c r="A15" s="24">
        <v>44297</v>
      </c>
      <c r="B15" s="35"/>
      <c r="C15" s="25">
        <v>160136895</v>
      </c>
      <c r="D15" s="26">
        <f t="shared" si="0"/>
        <v>34719</v>
      </c>
      <c r="E15" s="25">
        <v>524859</v>
      </c>
      <c r="F15" s="26">
        <f t="shared" si="1"/>
        <v>90</v>
      </c>
      <c r="G15" s="25">
        <v>96767449</v>
      </c>
      <c r="H15" s="26">
        <f t="shared" si="2"/>
        <v>39477</v>
      </c>
      <c r="I15" s="25">
        <v>0</v>
      </c>
      <c r="J15" s="26">
        <f t="shared" si="3"/>
        <v>0</v>
      </c>
      <c r="K15" s="33">
        <v>121</v>
      </c>
      <c r="L15" s="33">
        <v>536</v>
      </c>
    </row>
    <row r="16" spans="1:12" ht="45" customHeight="1" x14ac:dyDescent="0.25">
      <c r="A16" s="24">
        <v>44298</v>
      </c>
      <c r="B16" s="35"/>
      <c r="C16" s="25">
        <v>160170845</v>
      </c>
      <c r="D16" s="26">
        <f t="shared" si="0"/>
        <v>33950</v>
      </c>
      <c r="E16" s="25">
        <v>524936</v>
      </c>
      <c r="F16" s="26">
        <f t="shared" si="1"/>
        <v>77</v>
      </c>
      <c r="G16" s="25">
        <v>96811386</v>
      </c>
      <c r="H16" s="26">
        <f t="shared" si="2"/>
        <v>43937</v>
      </c>
      <c r="I16" s="25">
        <v>0</v>
      </c>
      <c r="J16" s="26">
        <f t="shared" si="3"/>
        <v>0</v>
      </c>
      <c r="K16" s="33">
        <v>88</v>
      </c>
      <c r="L16" s="33">
        <v>191</v>
      </c>
    </row>
    <row r="17" spans="1:12" ht="45" customHeight="1" x14ac:dyDescent="0.25">
      <c r="A17" s="24">
        <v>44299</v>
      </c>
      <c r="B17" s="35"/>
      <c r="C17" s="25">
        <v>160204098</v>
      </c>
      <c r="D17" s="26">
        <f t="shared" si="0"/>
        <v>33253</v>
      </c>
      <c r="E17" s="25">
        <v>524994</v>
      </c>
      <c r="F17" s="26">
        <f t="shared" si="1"/>
        <v>58</v>
      </c>
      <c r="G17" s="25">
        <v>96856402</v>
      </c>
      <c r="H17" s="26">
        <f t="shared" si="2"/>
        <v>45016</v>
      </c>
      <c r="I17" s="25">
        <v>0</v>
      </c>
      <c r="J17" s="26">
        <f t="shared" si="3"/>
        <v>0</v>
      </c>
      <c r="K17" s="33">
        <v>104</v>
      </c>
      <c r="L17" s="33">
        <v>142</v>
      </c>
    </row>
    <row r="18" spans="1:12" ht="45" customHeight="1" x14ac:dyDescent="0.25">
      <c r="A18" s="24">
        <v>44300</v>
      </c>
      <c r="B18" s="35"/>
      <c r="C18" s="25">
        <v>160237937</v>
      </c>
      <c r="D18" s="26">
        <f t="shared" si="0"/>
        <v>33839</v>
      </c>
      <c r="E18" s="25">
        <v>525054</v>
      </c>
      <c r="F18" s="26">
        <f t="shared" si="1"/>
        <v>60</v>
      </c>
      <c r="G18" s="25">
        <v>96901339</v>
      </c>
      <c r="H18" s="26">
        <f t="shared" si="2"/>
        <v>44937</v>
      </c>
      <c r="I18" s="25">
        <v>0</v>
      </c>
      <c r="J18" s="26">
        <f t="shared" si="3"/>
        <v>0</v>
      </c>
      <c r="K18" s="33">
        <v>114</v>
      </c>
      <c r="L18" s="33">
        <v>234</v>
      </c>
    </row>
    <row r="19" spans="1:12" ht="45" customHeight="1" x14ac:dyDescent="0.25">
      <c r="A19" s="24">
        <v>44301</v>
      </c>
      <c r="B19" s="35"/>
      <c r="C19" s="25">
        <v>160271622</v>
      </c>
      <c r="D19" s="26">
        <f t="shared" si="0"/>
        <v>33685</v>
      </c>
      <c r="E19" s="25">
        <v>525121</v>
      </c>
      <c r="F19" s="26">
        <f t="shared" si="1"/>
        <v>67</v>
      </c>
      <c r="G19" s="25">
        <v>96942183</v>
      </c>
      <c r="H19" s="26">
        <f t="shared" si="2"/>
        <v>40844</v>
      </c>
      <c r="I19" s="25">
        <v>0</v>
      </c>
      <c r="J19" s="26">
        <f t="shared" si="3"/>
        <v>0</v>
      </c>
      <c r="K19" s="33">
        <v>134</v>
      </c>
      <c r="L19" s="33">
        <v>247</v>
      </c>
    </row>
    <row r="20" spans="1:12" ht="45" customHeight="1" x14ac:dyDescent="0.25">
      <c r="A20" s="24">
        <v>44302</v>
      </c>
      <c r="B20" s="35"/>
      <c r="C20" s="25">
        <v>160305944</v>
      </c>
      <c r="D20" s="26">
        <f t="shared" ref="D20:D32" si="4">IF((C20-C19&lt;0), "0",C20-C19)</f>
        <v>34322</v>
      </c>
      <c r="E20" s="25">
        <v>525204</v>
      </c>
      <c r="F20" s="26">
        <f t="shared" ref="F20:F32" si="5">IF((E20-E19&lt;0), "0",E20-E19)</f>
        <v>83</v>
      </c>
      <c r="G20" s="25">
        <v>96985339</v>
      </c>
      <c r="H20" s="26">
        <f t="shared" si="2"/>
        <v>43156</v>
      </c>
      <c r="I20" s="25">
        <v>0</v>
      </c>
      <c r="J20" s="26">
        <f t="shared" si="3"/>
        <v>0</v>
      </c>
      <c r="K20" s="33">
        <v>191</v>
      </c>
      <c r="L20" s="33">
        <v>343</v>
      </c>
    </row>
    <row r="21" spans="1:12" ht="45" customHeight="1" x14ac:dyDescent="0.25">
      <c r="A21" s="24">
        <v>44303</v>
      </c>
      <c r="B21" s="35"/>
      <c r="C21" s="25">
        <v>160342578</v>
      </c>
      <c r="D21" s="26">
        <f t="shared" si="4"/>
        <v>36634</v>
      </c>
      <c r="E21" s="25">
        <v>525305</v>
      </c>
      <c r="F21" s="26">
        <f t="shared" si="5"/>
        <v>101</v>
      </c>
      <c r="G21" s="25">
        <v>97028878</v>
      </c>
      <c r="H21" s="26">
        <f t="shared" si="2"/>
        <v>43539</v>
      </c>
      <c r="I21" s="25">
        <v>0</v>
      </c>
      <c r="J21" s="26">
        <f t="shared" si="3"/>
        <v>0</v>
      </c>
      <c r="K21" s="33">
        <v>220</v>
      </c>
      <c r="L21" s="33">
        <v>569</v>
      </c>
    </row>
    <row r="22" spans="1:12" ht="45" customHeight="1" x14ac:dyDescent="0.25">
      <c r="A22" s="24">
        <v>44304</v>
      </c>
      <c r="B22" s="35"/>
      <c r="C22" s="25">
        <v>160374742</v>
      </c>
      <c r="D22" s="26">
        <f t="shared" si="4"/>
        <v>32164</v>
      </c>
      <c r="E22" s="25">
        <v>525391</v>
      </c>
      <c r="F22" s="26">
        <f t="shared" si="5"/>
        <v>86</v>
      </c>
      <c r="G22" s="25">
        <v>97063534</v>
      </c>
      <c r="H22" s="26">
        <f t="shared" si="2"/>
        <v>34656</v>
      </c>
      <c r="I22" s="25">
        <v>0</v>
      </c>
      <c r="J22" s="26">
        <f t="shared" si="3"/>
        <v>0</v>
      </c>
      <c r="K22" s="33">
        <v>142</v>
      </c>
      <c r="L22" s="33">
        <v>603</v>
      </c>
    </row>
    <row r="23" spans="1:12" ht="45" customHeight="1" x14ac:dyDescent="0.25">
      <c r="A23" s="24">
        <v>44305</v>
      </c>
      <c r="B23" s="35"/>
      <c r="C23" s="25">
        <v>160410177</v>
      </c>
      <c r="D23" s="26">
        <f t="shared" si="4"/>
        <v>35435</v>
      </c>
      <c r="E23" s="25">
        <v>525472</v>
      </c>
      <c r="F23" s="26">
        <f t="shared" si="5"/>
        <v>81</v>
      </c>
      <c r="G23" s="25">
        <v>97099824</v>
      </c>
      <c r="H23" s="26">
        <f t="shared" si="2"/>
        <v>36290</v>
      </c>
      <c r="I23" s="25">
        <v>0</v>
      </c>
      <c r="J23" s="26">
        <f t="shared" si="3"/>
        <v>0</v>
      </c>
      <c r="K23" s="33">
        <v>123</v>
      </c>
      <c r="L23" s="33">
        <v>235</v>
      </c>
    </row>
    <row r="24" spans="1:12" ht="45" customHeight="1" x14ac:dyDescent="0.25">
      <c r="A24" s="24">
        <v>44306</v>
      </c>
      <c r="B24" s="35"/>
      <c r="C24" s="25">
        <v>160443376</v>
      </c>
      <c r="D24" s="26">
        <f t="shared" si="4"/>
        <v>33199</v>
      </c>
      <c r="E24" s="25">
        <v>525545</v>
      </c>
      <c r="F24" s="26">
        <f t="shared" si="5"/>
        <v>73</v>
      </c>
      <c r="G24" s="25">
        <v>97136972</v>
      </c>
      <c r="H24" s="26">
        <f t="shared" si="2"/>
        <v>37148</v>
      </c>
      <c r="I24" s="25">
        <v>0</v>
      </c>
      <c r="J24" s="26">
        <f t="shared" si="3"/>
        <v>0</v>
      </c>
      <c r="K24" s="33">
        <v>121</v>
      </c>
      <c r="L24" s="33">
        <v>182</v>
      </c>
    </row>
    <row r="25" spans="1:12" ht="45" customHeight="1" x14ac:dyDescent="0.25">
      <c r="A25" s="24">
        <v>44307</v>
      </c>
      <c r="B25" s="35"/>
      <c r="C25" s="25">
        <v>160476807</v>
      </c>
      <c r="D25" s="26">
        <f t="shared" si="4"/>
        <v>33431</v>
      </c>
      <c r="E25" s="25">
        <v>525602</v>
      </c>
      <c r="F25" s="26">
        <f t="shared" si="5"/>
        <v>57</v>
      </c>
      <c r="G25" s="25">
        <v>97178383</v>
      </c>
      <c r="H25" s="26">
        <f t="shared" si="2"/>
        <v>41411</v>
      </c>
      <c r="I25" s="25">
        <v>0</v>
      </c>
      <c r="J25" s="26">
        <f t="shared" si="3"/>
        <v>0</v>
      </c>
      <c r="K25" s="33">
        <v>124</v>
      </c>
      <c r="L25" s="33">
        <v>213</v>
      </c>
    </row>
    <row r="26" spans="1:12" ht="45" customHeight="1" x14ac:dyDescent="0.25">
      <c r="A26" s="24">
        <v>44308</v>
      </c>
      <c r="B26" s="35"/>
      <c r="C26" s="25">
        <v>160511588</v>
      </c>
      <c r="D26" s="26">
        <f t="shared" si="4"/>
        <v>34781</v>
      </c>
      <c r="E26" s="25">
        <v>525666</v>
      </c>
      <c r="F26" s="26">
        <f t="shared" si="5"/>
        <v>64</v>
      </c>
      <c r="G26" s="25">
        <v>97222451</v>
      </c>
      <c r="H26" s="26">
        <f t="shared" si="2"/>
        <v>44068</v>
      </c>
      <c r="I26" s="25">
        <v>0</v>
      </c>
      <c r="J26" s="26">
        <f t="shared" si="3"/>
        <v>0</v>
      </c>
      <c r="K26" s="33">
        <v>144</v>
      </c>
      <c r="L26" s="33">
        <v>217</v>
      </c>
    </row>
    <row r="27" spans="1:12" ht="45" customHeight="1" x14ac:dyDescent="0.25">
      <c r="A27" s="24">
        <v>44309</v>
      </c>
      <c r="B27" s="35"/>
      <c r="C27" s="25">
        <v>160547225</v>
      </c>
      <c r="D27" s="26">
        <f t="shared" si="4"/>
        <v>35637</v>
      </c>
      <c r="E27" s="25">
        <v>525749</v>
      </c>
      <c r="F27" s="26">
        <f t="shared" si="5"/>
        <v>83</v>
      </c>
      <c r="G27" s="25">
        <v>97276019</v>
      </c>
      <c r="H27" s="26">
        <f t="shared" si="2"/>
        <v>53568</v>
      </c>
      <c r="I27" s="25">
        <v>0</v>
      </c>
      <c r="J27" s="26">
        <f t="shared" si="3"/>
        <v>0</v>
      </c>
      <c r="K27" s="33">
        <v>206</v>
      </c>
      <c r="L27" s="33">
        <v>324</v>
      </c>
    </row>
    <row r="28" spans="1:12" ht="45" customHeight="1" x14ac:dyDescent="0.25">
      <c r="A28" s="24">
        <v>44310</v>
      </c>
      <c r="B28" s="35"/>
      <c r="C28" s="25">
        <v>160582133</v>
      </c>
      <c r="D28" s="26">
        <f t="shared" si="4"/>
        <v>34908</v>
      </c>
      <c r="E28" s="25">
        <v>525840</v>
      </c>
      <c r="F28" s="26">
        <f t="shared" si="5"/>
        <v>91</v>
      </c>
      <c r="G28" s="25">
        <v>97327628</v>
      </c>
      <c r="H28" s="26">
        <f t="shared" si="2"/>
        <v>51609</v>
      </c>
      <c r="I28" s="25">
        <v>0</v>
      </c>
      <c r="J28" s="26">
        <f t="shared" si="3"/>
        <v>0</v>
      </c>
      <c r="K28" s="33">
        <v>198</v>
      </c>
      <c r="L28" s="33">
        <v>573</v>
      </c>
    </row>
    <row r="29" spans="1:12" ht="45" customHeight="1" x14ac:dyDescent="0.25">
      <c r="A29" s="24">
        <v>44311</v>
      </c>
      <c r="B29" s="35"/>
      <c r="C29" s="25">
        <v>160619579</v>
      </c>
      <c r="D29" s="26">
        <f t="shared" si="4"/>
        <v>37446</v>
      </c>
      <c r="E29" s="25">
        <v>525935</v>
      </c>
      <c r="F29" s="26">
        <f t="shared" si="5"/>
        <v>95</v>
      </c>
      <c r="G29" s="25">
        <v>97383402</v>
      </c>
      <c r="H29" s="26">
        <f t="shared" si="2"/>
        <v>55774</v>
      </c>
      <c r="I29" s="25">
        <v>0</v>
      </c>
      <c r="J29" s="26">
        <f t="shared" si="3"/>
        <v>0</v>
      </c>
      <c r="K29" s="33">
        <v>157</v>
      </c>
      <c r="L29" s="33">
        <v>499</v>
      </c>
    </row>
    <row r="30" spans="1:12" ht="45" customHeight="1" x14ac:dyDescent="0.25">
      <c r="A30" s="24">
        <v>44312</v>
      </c>
      <c r="B30" s="35"/>
      <c r="C30" s="25">
        <v>160652375</v>
      </c>
      <c r="D30" s="26">
        <f t="shared" si="4"/>
        <v>32796</v>
      </c>
      <c r="E30" s="25">
        <v>526014</v>
      </c>
      <c r="F30" s="26">
        <f t="shared" si="5"/>
        <v>79</v>
      </c>
      <c r="G30" s="25">
        <v>97423527</v>
      </c>
      <c r="H30" s="26">
        <f t="shared" si="2"/>
        <v>40125</v>
      </c>
      <c r="I30" s="25">
        <v>0</v>
      </c>
      <c r="J30" s="26">
        <f t="shared" si="3"/>
        <v>0</v>
      </c>
      <c r="K30" s="33">
        <v>151</v>
      </c>
      <c r="L30" s="33">
        <v>284</v>
      </c>
    </row>
    <row r="31" spans="1:12" ht="45" customHeight="1" x14ac:dyDescent="0.25">
      <c r="A31" s="24">
        <v>44313</v>
      </c>
      <c r="B31" s="35"/>
      <c r="C31" s="25">
        <v>160691886</v>
      </c>
      <c r="D31" s="26">
        <f t="shared" si="4"/>
        <v>39511</v>
      </c>
      <c r="E31" s="25">
        <v>526072</v>
      </c>
      <c r="F31" s="26">
        <f t="shared" si="5"/>
        <v>58</v>
      </c>
      <c r="G31" s="25">
        <v>97478527</v>
      </c>
      <c r="H31" s="26">
        <f t="shared" si="2"/>
        <v>55000</v>
      </c>
      <c r="I31" s="25">
        <v>0</v>
      </c>
      <c r="J31" s="26">
        <f t="shared" si="3"/>
        <v>0</v>
      </c>
      <c r="K31" s="33">
        <v>171</v>
      </c>
      <c r="L31" s="33">
        <v>232</v>
      </c>
    </row>
    <row r="32" spans="1:12" ht="45" customHeight="1" x14ac:dyDescent="0.25">
      <c r="A32" s="24">
        <v>44314</v>
      </c>
      <c r="B32" s="35"/>
      <c r="C32" s="25">
        <v>160724200</v>
      </c>
      <c r="D32" s="26">
        <f t="shared" si="4"/>
        <v>32314</v>
      </c>
      <c r="E32" s="25">
        <v>526130</v>
      </c>
      <c r="F32" s="26">
        <f t="shared" si="5"/>
        <v>58</v>
      </c>
      <c r="G32" s="25">
        <v>97521019</v>
      </c>
      <c r="H32" s="26">
        <f t="shared" si="2"/>
        <v>42492</v>
      </c>
      <c r="I32" s="25">
        <v>0</v>
      </c>
      <c r="J32" s="26">
        <f t="shared" si="3"/>
        <v>0</v>
      </c>
      <c r="K32" s="33">
        <v>180</v>
      </c>
      <c r="L32" s="33">
        <v>273</v>
      </c>
    </row>
    <row r="33" spans="1:12" ht="45" customHeight="1" x14ac:dyDescent="0.25">
      <c r="A33" s="24">
        <v>44315</v>
      </c>
      <c r="C33" s="25">
        <v>160756941</v>
      </c>
      <c r="D33" s="26">
        <f t="shared" ref="D33:D34" si="6">IF((C33-C32&lt;0), "0",C33-C32)</f>
        <v>32741</v>
      </c>
      <c r="E33" s="25">
        <v>526206</v>
      </c>
      <c r="F33" s="26">
        <f t="shared" ref="F33:F34" si="7">IF((E33-E32&lt;0), "0",E33-E32)</f>
        <v>76</v>
      </c>
      <c r="G33" s="25">
        <v>97563956</v>
      </c>
      <c r="H33" s="26">
        <f t="shared" ref="H33:H34" si="8">IF((G33-G32&lt;0), "0",G33-G32)</f>
        <v>42937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261</v>
      </c>
    </row>
    <row r="34" spans="1:12" ht="45" customHeight="1" x14ac:dyDescent="0.25">
      <c r="A34" s="24">
        <v>44316</v>
      </c>
      <c r="C34" s="25">
        <v>160792612</v>
      </c>
      <c r="D34" s="26">
        <f t="shared" si="6"/>
        <v>35671</v>
      </c>
      <c r="E34" s="25">
        <v>526302</v>
      </c>
      <c r="F34" s="26">
        <f t="shared" si="7"/>
        <v>96</v>
      </c>
      <c r="G34" s="25">
        <v>97609378</v>
      </c>
      <c r="H34" s="26">
        <f t="shared" si="8"/>
        <v>45422</v>
      </c>
      <c r="I34" s="25">
        <v>0</v>
      </c>
      <c r="J34" s="26">
        <f t="shared" si="9"/>
        <v>0</v>
      </c>
      <c r="K34" s="33">
        <v>298</v>
      </c>
      <c r="L34" s="33">
        <v>780</v>
      </c>
    </row>
    <row r="46" spans="1:12" ht="15.75" customHeight="1" x14ac:dyDescent="0.25">
      <c r="C46" s="34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2021-06-02T07:33:13Z</dcterms:modified>
  <cp:category/>
  <cp:contentStatus/>
</cp:coreProperties>
</file>