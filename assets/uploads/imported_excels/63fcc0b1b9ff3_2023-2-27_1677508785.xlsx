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19" documentId="8_{9B439D3B-B023-4087-B27B-CB56FE35C246}" xr6:coauthVersionLast="47" xr6:coauthVersionMax="47" xr10:uidLastSave="{0E684A95-705D-4960-A493-336C3728C9A8}"/>
  <bookViews>
    <workbookView xWindow="-108" yWindow="-108" windowWidth="23256" windowHeight="12456" tabRatio="193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V7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37" i="3"/>
  <c r="K32" i="6" s="1"/>
  <c r="Q7" i="3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AH43" i="3" l="1"/>
  <c r="I2" i="6"/>
  <c r="AC43" i="3"/>
  <c r="G2" i="6"/>
  <c r="Q43" i="3"/>
  <c r="K2" i="6"/>
  <c r="AI45" i="3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3" i="3"/>
  <c r="V45" i="3" s="1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<sst xmlns="http://schemas.openxmlformats.org/spreadsheetml/2006/main" count="91" uniqueCount="53">
  <si>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</si>
  <si>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</si>
  <si>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</si>
  <si>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</si>
  <si>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</si>
  <si>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</si>
  <si>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</si>
  <si>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</si>
  <si>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</si>
  <si>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</si>
  <si>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</si>
  <si>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</si>
  <si>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</si>
  <si>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</si>
  <si>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</si>
  <si>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</si>
  <si>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JANUARY 2021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</si>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</sst>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topLeftCell="A7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5</v>
      </c>
      <c r="D2" s="97">
        <v>2018</v>
      </c>
      <c r="E2" s="99">
        <f>'Localize Daily Bali Jimbaran'!P7</f>
        <v>13940.000000007331</v>
      </c>
      <c r="F2" s="100">
        <f>'Localize Daily Bali Jimbaran'!O7/'Localize Daily Bali Jimbaran'!P7</f>
        <v>1257.6479397416658</v>
      </c>
      <c r="G2" s="99">
        <f>'Localize Daily Bali Jimbaran'!AC7</f>
        <v>513.75071999999182</v>
      </c>
      <c r="H2" s="100">
        <f>'Localize Daily Bali Jimbaran'!AD7/'Localize Daily Bali Jimbaran'!AC7</f>
        <v>10944.823707809121</v>
      </c>
      <c r="I2" s="99">
        <f>'Localize Daily Bali Jimbaran'!AH7</f>
        <v>62.090000000011059</v>
      </c>
      <c r="J2" s="101">
        <f>'Localize Daily Bali Jimbaran'!AI7/'Localize Daily Bali Jimbaran'!AH7</f>
        <v>9150</v>
      </c>
      <c r="K2" s="99">
        <f>'Localize Daily Bali Jimbaran'!Q7</f>
        <v>881</v>
      </c>
      <c r="L2" s="100">
        <f>'Localize Daily Bali Jimbaran'!V7/'Localize Daily Bali Jimbaran'!Q7</f>
        <v>9895.9004199772971</v>
      </c>
      <c r="M2" s="99">
        <f>'Localize Daily Bali Jimbaran'!C7</f>
        <v>66</v>
      </c>
      <c r="N2" s="99">
        <v>155</v>
      </c>
    </row>
    <row r="3" spans="1:14" ht="15">
      <c r="A3" s="96" t="s">
        <v>14</v>
      </c>
      <c r="B3" s="97">
        <v>2</v>
      </c>
      <c r="C3" s="98">
        <v>5</v>
      </c>
      <c r="D3" s="97">
        <v>2018</v>
      </c>
      <c r="E3" s="99">
        <f>'Localize Daily Bali Jimbaran'!P8</f>
        <v>25739.999999975225</v>
      </c>
      <c r="F3" s="100">
        <f>'Localize Daily Bali Jimbaran'!O8/'Localize Daily Bali Jimbaran'!P8</f>
        <v>1183.0587412588327</v>
      </c>
      <c r="G3" s="99">
        <f>'Localize Daily Bali Jimbaran'!AC8</f>
        <v>133.76299999999998</v>
      </c>
      <c r="H3" s="100">
        <f>'Localize Daily Bali Jimbaran'!AD8/'Localize Daily Bali Jimbaran'!AC8</f>
        <v>10417.108909040617</v>
      </c>
      <c r="I3" s="99">
        <f>'Localize Daily Bali Jimbaran'!AH8</f>
        <v>67.429999999993015</v>
      </c>
      <c r="J3" s="101">
        <f>'Localize Daily Bali Jimbaran'!AI8/'Localize Daily Bali Jimbaran'!AH8</f>
        <v>9150</v>
      </c>
      <c r="K3" s="99">
        <f>'Localize Daily Bali Jimbaran'!Q8</f>
        <v>731</v>
      </c>
      <c r="L3" s="100">
        <f>'Localize Daily Bali Jimbaran'!V8/'Localize Daily Bali Jimbaran'!Q8</f>
        <v>10975.37948016416</v>
      </c>
      <c r="M3" s="99">
        <f>'Localize Daily Bali Jimbaran'!C8</f>
        <v>75</v>
      </c>
      <c r="N3" s="99">
        <v>173</v>
      </c>
    </row>
    <row r="4" spans="1:14" ht="15">
      <c r="A4" s="96" t="s">
        <v>14</v>
      </c>
      <c r="B4" s="97">
        <v>3</v>
      </c>
      <c r="C4" s="98">
        <v>5</v>
      </c>
      <c r="D4" s="97">
        <v>2018</v>
      </c>
      <c r="E4" s="99">
        <f>'Localize Daily Bali Jimbaran'!P9</f>
        <v>27280.000000029871</v>
      </c>
      <c r="F4" s="100">
        <f>'Localize Daily Bali Jimbaran'!O9/'Localize Daily Bali Jimbaran'!P9</f>
        <v>1179.2628673019892</v>
      </c>
      <c r="G4" s="99">
        <f>'Localize Daily Bali Jimbaran'!AC9</f>
        <v>254.21959999998825</v>
      </c>
      <c r="H4" s="100">
        <f>'Localize Daily Bali Jimbaran'!AD9/'Localize Daily Bali Jimbaran'!AC9</f>
        <v>10353.023916330614</v>
      </c>
      <c r="I4" s="99">
        <f>'Localize Daily Bali Jimbaran'!AH9</f>
        <v>125.71999999999798</v>
      </c>
      <c r="J4" s="101">
        <f>'Localize Daily Bali Jimbaran'!AI9/'Localize Daily Bali Jimbaran'!AH9</f>
        <v>9150</v>
      </c>
      <c r="K4" s="99">
        <f>'Localize Daily Bali Jimbaran'!Q9</f>
        <v>677</v>
      </c>
      <c r="L4" s="100">
        <f>'Localize Daily Bali Jimbaran'!V9/'Localize Daily Bali Jimbaran'!Q9</f>
        <v>10573.981861152142</v>
      </c>
      <c r="M4" s="99">
        <f>'Localize Daily Bali Jimbaran'!C9</f>
        <v>75</v>
      </c>
      <c r="N4" s="99">
        <v>174</v>
      </c>
    </row>
    <row r="5" spans="1:14" ht="15">
      <c r="A5" s="96" t="s">
        <v>14</v>
      </c>
      <c r="B5" s="97">
        <v>4</v>
      </c>
      <c r="C5" s="98">
        <v>5</v>
      </c>
      <c r="D5" s="97">
        <v>2018</v>
      </c>
      <c r="E5" s="99">
        <f>'Localize Daily Bali Jimbaran'!P10</f>
        <v>26039.99999999769</v>
      </c>
      <c r="F5" s="100">
        <f>'Localize Daily Bali Jimbaran'!O10/'Localize Daily Bali Jimbaran'!P10</f>
        <v>1184.8822016128902</v>
      </c>
      <c r="G5" s="99">
        <f>'Localize Daily Bali Jimbaran'!AC10</f>
        <v>0</v>
      </c>
      <c r="H5" s="100" t="e">
        <f>'Localize Daily Bali Jimbaran'!AD10/'Localize Daily Bali Jimbaran'!AC10</f>
        <v>#DIV/0!</v>
      </c>
      <c r="I5" s="99">
        <f>'Localize Daily Bali Jimbaran'!AH10</f>
        <v>66.110000000000582</v>
      </c>
      <c r="J5" s="101">
        <f>'Localize Daily Bali Jimbaran'!AI10/'Localize Daily Bali Jimbaran'!AH10</f>
        <v>9150</v>
      </c>
      <c r="K5" s="99">
        <f>'Localize Daily Bali Jimbaran'!Q10</f>
        <v>611</v>
      </c>
      <c r="L5" s="100">
        <f>'Localize Daily Bali Jimbaran'!V10/'Localize Daily Bali Jimbaran'!Q10</f>
        <v>6457.9696399345339</v>
      </c>
      <c r="M5" s="99">
        <f>'Localize Daily Bali Jimbaran'!C10</f>
        <v>87</v>
      </c>
      <c r="N5" s="99">
        <v>194</v>
      </c>
    </row>
    <row r="6" spans="1:14" ht="15">
      <c r="A6" s="96" t="s">
        <v>14</v>
      </c>
      <c r="B6" s="97">
        <v>5</v>
      </c>
      <c r="C6" s="98">
        <v>5</v>
      </c>
      <c r="D6" s="97">
        <v>2018</v>
      </c>
      <c r="E6" s="99">
        <f>'Localize Daily Bali Jimbaran'!P11</f>
        <v>26279.999999998836</v>
      </c>
      <c r="F6" s="100">
        <f>'Localize Daily Bali Jimbaran'!O11/'Localize Daily Bali Jimbaran'!P11</f>
        <v>1181.5104623287707</v>
      </c>
      <c r="G6" s="99">
        <f>'Localize Daily Bali Jimbaran'!AC11</f>
        <v>407.64904000000115</v>
      </c>
      <c r="H6" s="100">
        <f>'Localize Daily Bali Jimbaran'!AD11/'Localize Daily Bali Jimbaran'!AC11</f>
        <v>10863.361049789297</v>
      </c>
      <c r="I6" s="99">
        <f>'Localize Daily Bali Jimbaran'!AH11</f>
        <v>65.30000000000291</v>
      </c>
      <c r="J6" s="101">
        <f>'Localize Daily Bali Jimbaran'!AI11/'Localize Daily Bali Jimbaran'!AH11</f>
        <v>9150</v>
      </c>
      <c r="K6" s="99">
        <f>'Localize Daily Bali Jimbaran'!Q11</f>
        <v>751</v>
      </c>
      <c r="L6" s="100">
        <f>'Localize Daily Bali Jimbaran'!V11/'Localize Daily Bali Jimbaran'!Q11</f>
        <v>9944.5919174434093</v>
      </c>
      <c r="M6" s="99">
        <f>'Localize Daily Bali Jimbaran'!C11</f>
        <v>61</v>
      </c>
      <c r="N6" s="99">
        <v>158</v>
      </c>
    </row>
    <row r="7" spans="1:14" ht="15">
      <c r="A7" s="96" t="s">
        <v>14</v>
      </c>
      <c r="B7" s="97">
        <v>6</v>
      </c>
      <c r="C7" s="98">
        <v>5</v>
      </c>
      <c r="D7" s="97">
        <v>2018</v>
      </c>
      <c r="E7" s="99">
        <f>'Localize Daily Bali Jimbaran'!P12</f>
        <v>26919.999999976993</v>
      </c>
      <c r="F7" s="100">
        <f>'Localize Daily Bali Jimbaran'!O12/'Localize Daily Bali Jimbaran'!P12</f>
        <v>1182.9130876672418</v>
      </c>
      <c r="G7" s="99">
        <f>'Localize Daily Bali Jimbaran'!AC12</f>
        <v>557.81016000000466</v>
      </c>
      <c r="H7" s="100">
        <f>'Localize Daily Bali Jimbaran'!AD12/'Localize Daily Bali Jimbaran'!AC12</f>
        <v>10945.61374514942</v>
      </c>
      <c r="I7" s="99">
        <f>'Localize Daily Bali Jimbaran'!AH12</f>
        <v>61.44999999999709</v>
      </c>
      <c r="J7" s="101">
        <f>'Localize Daily Bali Jimbaran'!AI12/'Localize Daily Bali Jimbaran'!AH12</f>
        <v>9150</v>
      </c>
      <c r="K7" s="99">
        <f>'Localize Daily Bali Jimbaran'!Q12</f>
        <v>777</v>
      </c>
      <c r="L7" s="100">
        <f>'Localize Daily Bali Jimbaran'!V12/'Localize Daily Bali Jimbaran'!Q12</f>
        <v>10622.306731016732</v>
      </c>
      <c r="M7" s="99">
        <f>'Localize Daily Bali Jimbaran'!C12</f>
        <v>49</v>
      </c>
      <c r="N7" s="99">
        <v>144</v>
      </c>
    </row>
    <row r="8" spans="1:14" ht="15">
      <c r="A8" s="96" t="s">
        <v>14</v>
      </c>
      <c r="B8" s="97">
        <v>7</v>
      </c>
      <c r="C8" s="98">
        <v>5</v>
      </c>
      <c r="D8" s="97">
        <v>2018</v>
      </c>
      <c r="E8" s="99">
        <f>'Localize Daily Bali Jimbaran'!P13</f>
        <v>26380.000000010114</v>
      </c>
      <c r="F8" s="100">
        <f>'Localize Daily Bali Jimbaran'!O13/'Localize Daily Bali Jimbaran'!P13</f>
        <v>1182.3911645185553</v>
      </c>
      <c r="G8" s="99">
        <f>'Localize Daily Bali Jimbaran'!AC13</f>
        <v>171.02544000001288</v>
      </c>
      <c r="H8" s="100">
        <f>'Localize Daily Bali Jimbaran'!AD13/'Localize Daily Bali Jimbaran'!AC13</f>
        <v>10256.28288002065</v>
      </c>
      <c r="I8" s="99">
        <f>'Localize Daily Bali Jimbaran'!AH13</f>
        <v>11.19999999999709</v>
      </c>
      <c r="J8" s="101">
        <f>'Localize Daily Bali Jimbaran'!AI13/'Localize Daily Bali Jimbaran'!AH13</f>
        <v>9150</v>
      </c>
      <c r="K8" s="99">
        <f>'Localize Daily Bali Jimbaran'!Q13</f>
        <v>517</v>
      </c>
      <c r="L8" s="100">
        <f>'Localize Daily Bali Jimbaran'!V13/'Localize Daily Bali Jimbaran'!Q13</f>
        <v>11820.874003868472</v>
      </c>
      <c r="M8" s="99">
        <f>'Localize Daily Bali Jimbaran'!C13</f>
        <v>44</v>
      </c>
      <c r="N8" s="99">
        <v>121</v>
      </c>
    </row>
    <row r="9" spans="1:14" ht="15">
      <c r="A9" s="96" t="s">
        <v>14</v>
      </c>
      <c r="B9" s="97">
        <v>8</v>
      </c>
      <c r="C9" s="98">
        <v>5</v>
      </c>
      <c r="D9" s="97">
        <v>2018</v>
      </c>
      <c r="E9" s="99">
        <f>'Localize Daily Bali Jimbaran'!P14</f>
        <v>25540.000000014628</v>
      </c>
      <c r="F9" s="100">
        <f>'Localize Daily Bali Jimbaran'!O14/'Localize Daily Bali Jimbaran'!P14</f>
        <v>1185.5098261550145</v>
      </c>
      <c r="G9" s="99">
        <f>'Localize Daily Bali Jimbaran'!AC14</f>
        <v>139.73131999998006</v>
      </c>
      <c r="H9" s="100">
        <f>'Localize Daily Bali Jimbaran'!AD14/'Localize Daily Bali Jimbaran'!AC14</f>
        <v>10153</v>
      </c>
      <c r="I9" s="99">
        <f>'Localize Daily Bali Jimbaran'!AH14</f>
        <v>0</v>
      </c>
      <c r="J9" s="101" t="e">
        <f>'Localize Daily Bali Jimbaran'!AI14/'Localize Daily Bali Jimbaran'!AH14</f>
        <v>#DIV/0!</v>
      </c>
      <c r="K9" s="99">
        <f>'Localize Daily Bali Jimbaran'!Q14</f>
        <v>651</v>
      </c>
      <c r="L9" s="100">
        <f>'Localize Daily Bali Jimbaran'!V14/'Localize Daily Bali Jimbaran'!Q14</f>
        <v>11133.209677419354</v>
      </c>
      <c r="M9" s="99">
        <f>'Localize Daily Bali Jimbaran'!C14</f>
        <v>45</v>
      </c>
      <c r="N9" s="99">
        <v>125</v>
      </c>
    </row>
    <row r="10" spans="1:14" ht="15">
      <c r="A10" s="96" t="s">
        <v>14</v>
      </c>
      <c r="B10" s="97">
        <v>9</v>
      </c>
      <c r="C10" s="98">
        <v>5</v>
      </c>
      <c r="D10" s="97">
        <v>2018</v>
      </c>
      <c r="E10" s="99">
        <f>'Localize Daily Bali Jimbaran'!P15</f>
        <v>26079.999999980828</v>
      </c>
      <c r="F10" s="100">
        <f>'Localize Daily Bali Jimbaran'!O15/'Localize Daily Bali Jimbaran'!P15</f>
        <v>1180.5628217024853</v>
      </c>
      <c r="G10" s="99">
        <f>'Localize Daily Bali Jimbaran'!AC15</f>
        <v>199.55620000000584</v>
      </c>
      <c r="H10" s="100">
        <f>'Localize Daily Bali Jimbaran'!AD15/'Localize Daily Bali Jimbaran'!AC15</f>
        <v>10496.331853382646</v>
      </c>
      <c r="I10" s="99">
        <f>'Localize Daily Bali Jimbaran'!AH15</f>
        <v>82.899999999999181</v>
      </c>
      <c r="J10" s="101">
        <f>'Localize Daily Bali Jimbaran'!AI15/'Localize Daily Bali Jimbaran'!AH15</f>
        <v>9150</v>
      </c>
      <c r="K10" s="99">
        <f>'Localize Daily Bali Jimbaran'!Q15</f>
        <v>271</v>
      </c>
      <c r="L10" s="100">
        <f>'Localize Daily Bali Jimbaran'!V15/'Localize Daily Bali Jimbaran'!Q15</f>
        <v>9611.6053505535056</v>
      </c>
      <c r="M10" s="99">
        <f>'Localize Daily Bali Jimbaran'!C15</f>
        <v>39</v>
      </c>
      <c r="N10" s="99">
        <v>108</v>
      </c>
    </row>
    <row r="11" spans="1:14" ht="15">
      <c r="A11" s="96" t="s">
        <v>14</v>
      </c>
      <c r="B11" s="97">
        <v>10</v>
      </c>
      <c r="C11" s="98">
        <v>5</v>
      </c>
      <c r="D11" s="97">
        <v>2018</v>
      </c>
      <c r="E11" s="99">
        <f>'Localize Daily Bali Jimbaran'!P16</f>
        <v>26540.000000009626</v>
      </c>
      <c r="F11" s="100">
        <f>'Localize Daily Bali Jimbaran'!O16/'Localize Daily Bali Jimbaran'!P16</f>
        <v>1183.458655614113</v>
      </c>
      <c r="G11" s="99">
        <f>'Localize Daily Bali Jimbaran'!AC16</f>
        <v>129.33908000000233</v>
      </c>
      <c r="H11" s="100">
        <f>'Localize Daily Bali Jimbaran'!AD16/'Localize Daily Bali Jimbaran'!AC16</f>
        <v>10153</v>
      </c>
      <c r="I11" s="99">
        <f>'Localize Daily Bali Jimbaran'!AH16</f>
        <v>0</v>
      </c>
      <c r="J11" s="101" t="e">
        <f>'Localize Daily Bali Jimbaran'!AI16/'Localize Daily Bali Jimbaran'!AH16</f>
        <v>#DIV/0!</v>
      </c>
      <c r="K11" s="99">
        <f>'Localize Daily Bali Jimbaran'!Q16</f>
        <v>365</v>
      </c>
      <c r="L11" s="100">
        <f>'Localize Daily Bali Jimbaran'!V16/'Localize Daily Bali Jimbaran'!Q16</f>
        <v>6284.1118904109589</v>
      </c>
      <c r="M11" s="99">
        <f>'Localize Daily Bali Jimbaran'!C16</f>
        <v>43</v>
      </c>
      <c r="N11" s="99">
        <v>124</v>
      </c>
    </row>
    <row r="12" spans="1:14" ht="15">
      <c r="A12" s="96" t="s">
        <v>14</v>
      </c>
      <c r="B12" s="97">
        <v>11</v>
      </c>
      <c r="C12" s="98">
        <v>5</v>
      </c>
      <c r="D12" s="97">
        <v>2018</v>
      </c>
      <c r="E12" s="99">
        <f>'Localize Daily Bali Jimbaran'!P17</f>
        <v>28439.999999999654</v>
      </c>
      <c r="F12" s="100">
        <f>'Localize Daily Bali Jimbaran'!O17/'Localize Daily Bali Jimbaran'!P17</f>
        <v>1176.2877088607595</v>
      </c>
      <c r="G12" s="99">
        <f>'Localize Daily Bali Jimbaran'!AC17</f>
        <v>832.45808000000238</v>
      </c>
      <c r="H12" s="100">
        <f>'Localize Daily Bali Jimbaran'!AD17/'Localize Daily Bali Jimbaran'!AC17</f>
        <v>11010.751299620995</v>
      </c>
      <c r="I12" s="99">
        <f>'Localize Daily Bali Jimbaran'!AH17</f>
        <v>1355.8600000000006</v>
      </c>
      <c r="J12" s="101">
        <f>'Localize Daily Bali Jimbaran'!AI17/'Localize Daily Bali Jimbaran'!AH17</f>
        <v>9150</v>
      </c>
      <c r="K12" s="99">
        <f>'Localize Daily Bali Jimbaran'!Q17</f>
        <v>440</v>
      </c>
      <c r="L12" s="100">
        <f>'Localize Daily Bali Jimbaran'!V17/'Localize Daily Bali Jimbaran'!Q17</f>
        <v>6680.4385227272733</v>
      </c>
      <c r="M12" s="99">
        <f>'Localize Daily Bali Jimbaran'!C17</f>
        <v>37</v>
      </c>
      <c r="N12" s="99">
        <v>114</v>
      </c>
    </row>
    <row r="13" spans="1:14" ht="15">
      <c r="A13" s="96" t="s">
        <v>14</v>
      </c>
      <c r="B13" s="97">
        <v>12</v>
      </c>
      <c r="C13" s="98">
        <v>5</v>
      </c>
      <c r="D13" s="97">
        <v>2018</v>
      </c>
      <c r="E13" s="99">
        <f>'Localize Daily Bali Jimbaran'!P18</f>
        <v>27780.000000000055</v>
      </c>
      <c r="F13" s="100">
        <f>'Localize Daily Bali Jimbaran'!O18/'Localize Daily Bali Jimbaran'!P18</f>
        <v>1181.5274449244055</v>
      </c>
      <c r="G13" s="99">
        <f>'Localize Daily Bali Jimbaran'!AC18</f>
        <v>135.38108000000233</v>
      </c>
      <c r="H13" s="100">
        <f>'Localize Daily Bali Jimbaran'!AD18/'Localize Daily Bali Jimbaran'!AC18</f>
        <v>10153</v>
      </c>
      <c r="I13" s="99">
        <f>'Localize Daily Bali Jimbaran'!AH18</f>
        <v>423.23999999999978</v>
      </c>
      <c r="J13" s="101">
        <f>'Localize Daily Bali Jimbaran'!AI18/'Localize Daily Bali Jimbaran'!AH18</f>
        <v>9150</v>
      </c>
      <c r="K13" s="99">
        <f>'Localize Daily Bali Jimbaran'!Q18</f>
        <v>547</v>
      </c>
      <c r="L13" s="100">
        <f>'Localize Daily Bali Jimbaran'!V18/'Localize Daily Bali Jimbaran'!Q18</f>
        <v>8985.7197989031083</v>
      </c>
      <c r="M13" s="99">
        <f>'Localize Daily Bali Jimbaran'!C18</f>
        <v>50</v>
      </c>
      <c r="N13" s="99">
        <v>138</v>
      </c>
    </row>
    <row r="14" spans="1:14" ht="15">
      <c r="A14" s="96" t="s">
        <v>14</v>
      </c>
      <c r="B14" s="97">
        <v>13</v>
      </c>
      <c r="C14" s="98">
        <v>5</v>
      </c>
      <c r="D14" s="97">
        <v>2018</v>
      </c>
      <c r="E14" s="99">
        <f>'Localize Daily Bali Jimbaran'!P19</f>
        <v>27800.000000000113</v>
      </c>
      <c r="F14" s="100">
        <f>'Localize Daily Bali Jimbaran'!O19/'Localize Daily Bali Jimbaran'!P19</f>
        <v>1184.9807557553947</v>
      </c>
      <c r="G14" s="99">
        <f>'Localize Daily Bali Jimbaran'!AC19</f>
        <v>146.0115599999871</v>
      </c>
      <c r="H14" s="100">
        <f>'Localize Daily Bali Jimbaran'!AD19/'Localize Daily Bali Jimbaran'!AC19</f>
        <v>10273.976722664984</v>
      </c>
      <c r="I14" s="99">
        <f>'Localize Daily Bali Jimbaran'!AH19</f>
        <v>400.94999999999891</v>
      </c>
      <c r="J14" s="101">
        <f>'Localize Daily Bali Jimbaran'!AI19/'Localize Daily Bali Jimbaran'!AH19</f>
        <v>9150</v>
      </c>
      <c r="K14" s="99">
        <f>'Localize Daily Bali Jimbaran'!Q19</f>
        <v>667</v>
      </c>
      <c r="L14" s="100">
        <f>'Localize Daily Bali Jimbaran'!V19/'Localize Daily Bali Jimbaran'!Q19</f>
        <v>8755.1330434782612</v>
      </c>
      <c r="M14" s="99">
        <f>'Localize Daily Bali Jimbaran'!C19</f>
        <v>103</v>
      </c>
      <c r="N14" s="99">
        <v>237</v>
      </c>
    </row>
    <row r="15" spans="1:14" ht="15">
      <c r="A15" s="96" t="s">
        <v>14</v>
      </c>
      <c r="B15" s="97">
        <v>14</v>
      </c>
      <c r="C15" s="98">
        <v>5</v>
      </c>
      <c r="D15" s="97">
        <v>2018</v>
      </c>
      <c r="E15" s="99">
        <f>'Localize Daily Bali Jimbaran'!P20</f>
        <v>27619.999999999927</v>
      </c>
      <c r="F15" s="100">
        <f>'Localize Daily Bali Jimbaran'!O20/'Localize Daily Bali Jimbaran'!P20</f>
        <v>1184.0405441708926</v>
      </c>
      <c r="G15" s="99">
        <f>'Localize Daily Bali Jimbaran'!AC20</f>
        <v>148.06583999999529</v>
      </c>
      <c r="H15" s="100">
        <f>'Localize Daily Bali Jimbaran'!AD20/'Localize Daily Bali Jimbaran'!AC20</f>
        <v>10272.298279738261</v>
      </c>
      <c r="I15" s="99">
        <f>'Localize Daily Bali Jimbaran'!AH20</f>
        <v>113.18000000000029</v>
      </c>
      <c r="J15" s="101">
        <f>'Localize Daily Bali Jimbaran'!AI20/'Localize Daily Bali Jimbaran'!AH20</f>
        <v>9150</v>
      </c>
      <c r="K15" s="99">
        <f>'Localize Daily Bali Jimbaran'!Q20</f>
        <v>746</v>
      </c>
      <c r="L15" s="100">
        <f>'Localize Daily Bali Jimbaran'!V20/'Localize Daily Bali Jimbaran'!Q20</f>
        <v>7990.8153083109928</v>
      </c>
      <c r="M15" s="99">
        <f>'Localize Daily Bali Jimbaran'!C20</f>
        <v>106</v>
      </c>
      <c r="N15" s="99">
        <v>235</v>
      </c>
    </row>
    <row r="16" spans="1:14" ht="15">
      <c r="A16" s="96" t="s">
        <v>14</v>
      </c>
      <c r="B16" s="97">
        <v>15</v>
      </c>
      <c r="C16" s="98">
        <v>5</v>
      </c>
      <c r="D16" s="97">
        <v>2018</v>
      </c>
      <c r="E16" s="99">
        <f>'Localize Daily Bali Jimbaran'!P21</f>
        <v>27200.000000000073</v>
      </c>
      <c r="F16" s="100">
        <f>'Localize Daily Bali Jimbaran'!O21/'Localize Daily Bali Jimbaran'!P21</f>
        <v>1183.1311290441174</v>
      </c>
      <c r="G16" s="99">
        <f>'Localize Daily Bali Jimbaran'!AC21</f>
        <v>166.46692000002696</v>
      </c>
      <c r="H16" s="100">
        <f>'Localize Daily Bali Jimbaran'!AD21/'Localize Daily Bali Jimbaran'!AC21</f>
        <v>10471.333516352628</v>
      </c>
      <c r="I16" s="99">
        <f>'Localize Daily Bali Jimbaran'!AH21</f>
        <v>9.9999999999909051E-2</v>
      </c>
      <c r="J16" s="101">
        <f>'Localize Daily Bali Jimbaran'!AI21/'Localize Daily Bali Jimbaran'!AH21</f>
        <v>9150</v>
      </c>
      <c r="K16" s="99">
        <f>'Localize Daily Bali Jimbaran'!Q21</f>
        <v>769</v>
      </c>
      <c r="L16" s="100">
        <f>'Localize Daily Bali Jimbaran'!V21/'Localize Daily Bali Jimbaran'!Q21</f>
        <v>8874.9646033810131</v>
      </c>
      <c r="M16" s="99">
        <f>'Localize Daily Bali Jimbaran'!C21</f>
        <v>104</v>
      </c>
      <c r="N16" s="99">
        <v>223</v>
      </c>
    </row>
    <row r="17" spans="1:14" ht="15">
      <c r="A17" s="96" t="s">
        <v>14</v>
      </c>
      <c r="B17" s="97">
        <v>16</v>
      </c>
      <c r="C17" s="98">
        <v>5</v>
      </c>
      <c r="D17" s="97">
        <v>2018</v>
      </c>
      <c r="E17" s="99">
        <f>'Localize Daily Bali Jimbaran'!P22</f>
        <v>27020.0000000002</v>
      </c>
      <c r="F17" s="100">
        <f>'Localize Daily Bali Jimbaran'!O22/'Localize Daily Bali Jimbaran'!P22</f>
        <v>1181.7552124352319</v>
      </c>
      <c r="G17" s="99">
        <f>'Localize Daily Bali Jimbaran'!AC22</f>
        <v>183.76987999999648</v>
      </c>
      <c r="H17" s="100">
        <f>'Localize Daily Bali Jimbaran'!AD22/'Localize Daily Bali Jimbaran'!AC22</f>
        <v>10429.704757058125</v>
      </c>
      <c r="I17" s="99">
        <f>'Localize Daily Bali Jimbaran'!AH22</f>
        <v>365.10000000000036</v>
      </c>
      <c r="J17" s="101">
        <f>'Localize Daily Bali Jimbaran'!AI22/'Localize Daily Bali Jimbaran'!AH22</f>
        <v>9150</v>
      </c>
      <c r="K17" s="99">
        <f>'Localize Daily Bali Jimbaran'!Q22</f>
        <v>757</v>
      </c>
      <c r="L17" s="100">
        <f>'Localize Daily Bali Jimbaran'!V22/'Localize Daily Bali Jimbaran'!Q22</f>
        <v>7943.3385336856009</v>
      </c>
      <c r="M17" s="99">
        <f>'Localize Daily Bali Jimbaran'!C22</f>
        <v>99</v>
      </c>
      <c r="N17" s="99">
        <v>232</v>
      </c>
    </row>
    <row r="18" spans="1:14" ht="15">
      <c r="A18" s="96" t="s">
        <v>14</v>
      </c>
      <c r="B18" s="97">
        <v>17</v>
      </c>
      <c r="C18" s="98">
        <v>5</v>
      </c>
      <c r="D18" s="97">
        <v>2018</v>
      </c>
      <c r="E18" s="99">
        <f>'Localize Daily Bali Jimbaran'!P23</f>
        <v>26639.999999999662</v>
      </c>
      <c r="F18" s="100">
        <f>'Localize Daily Bali Jimbaran'!O23/'Localize Daily Bali Jimbaran'!P23</f>
        <v>1181.8739695945949</v>
      </c>
      <c r="G18" s="99">
        <f>'Localize Daily Bali Jimbaran'!AC23</f>
        <v>782.72259999998823</v>
      </c>
      <c r="H18" s="100">
        <f>'Localize Daily Bali Jimbaran'!AD23/'Localize Daily Bali Jimbaran'!AC23</f>
        <v>10997.552080136706</v>
      </c>
      <c r="I18" s="99">
        <f>'Localize Daily Bali Jimbaran'!AH23</f>
        <v>495.96000000000095</v>
      </c>
      <c r="J18" s="101">
        <f>'Localize Daily Bali Jimbaran'!AI23/'Localize Daily Bali Jimbaran'!AH23</f>
        <v>9150</v>
      </c>
      <c r="K18" s="99">
        <f>'Localize Daily Bali Jimbaran'!Q23</f>
        <v>502</v>
      </c>
      <c r="L18" s="100">
        <f>'Localize Daily Bali Jimbaran'!V23/'Localize Daily Bali Jimbaran'!Q23</f>
        <v>5013.814800796813</v>
      </c>
      <c r="M18" s="99">
        <f>'Localize Daily Bali Jimbaran'!C23</f>
        <v>92</v>
      </c>
      <c r="N18" s="99">
        <v>215</v>
      </c>
    </row>
    <row r="19" spans="1:14" ht="15">
      <c r="A19" s="96" t="s">
        <v>14</v>
      </c>
      <c r="B19" s="97">
        <v>18</v>
      </c>
      <c r="C19" s="98">
        <v>5</v>
      </c>
      <c r="D19" s="97">
        <v>2018</v>
      </c>
      <c r="E19" s="99">
        <f>'Localize Daily Bali Jimbaran'!P24</f>
        <v>25959.999999999909</v>
      </c>
      <c r="F19" s="100">
        <f>'Localize Daily Bali Jimbaran'!O24/'Localize Daily Bali Jimbaran'!P24</f>
        <v>1183.9252673343603</v>
      </c>
      <c r="G19" s="99">
        <f>'Localize Daily Bali Jimbaran'!AC24</f>
        <v>166.82944000001288</v>
      </c>
      <c r="H19" s="100">
        <f>'Localize Daily Bali Jimbaran'!AD24/'Localize Daily Bali Jimbaran'!AC24</f>
        <v>10470.641778333584</v>
      </c>
      <c r="I19" s="99">
        <f>'Localize Daily Bali Jimbaran'!AH24</f>
        <v>498.48</v>
      </c>
      <c r="J19" s="101">
        <f>'Localize Daily Bali Jimbaran'!AI24/'Localize Daily Bali Jimbaran'!AH24</f>
        <v>9150</v>
      </c>
      <c r="K19" s="99">
        <f>'Localize Daily Bali Jimbaran'!Q24</f>
        <v>550</v>
      </c>
      <c r="L19" s="100">
        <f>'Localize Daily Bali Jimbaran'!V24/'Localize Daily Bali Jimbaran'!Q24</f>
        <v>5590.6021454545462</v>
      </c>
      <c r="M19" s="99">
        <f>'Localize Daily Bali Jimbaran'!C24</f>
        <v>94</v>
      </c>
      <c r="N19" s="99">
        <v>203</v>
      </c>
    </row>
    <row r="20" spans="1:14" ht="15">
      <c r="A20" s="96" t="s">
        <v>14</v>
      </c>
      <c r="B20" s="97">
        <v>19</v>
      </c>
      <c r="C20" s="98">
        <v>5</v>
      </c>
      <c r="D20" s="97">
        <v>2018</v>
      </c>
      <c r="E20" s="99">
        <f>'Localize Daily Bali Jimbaran'!P25</f>
        <v>24579.999999999993</v>
      </c>
      <c r="F20" s="100">
        <f>'Localize Daily Bali Jimbaran'!O25/'Localize Daily Bali Jimbaran'!P25</f>
        <v>1185.3528685923534</v>
      </c>
      <c r="G20" s="99">
        <f>'Localize Daily Bali Jimbaran'!AC25</f>
        <v>117.33219999997654</v>
      </c>
      <c r="H20" s="100">
        <f>'Localize Daily Bali Jimbaran'!AD25/'Localize Daily Bali Jimbaran'!AC25</f>
        <v>10303.546908691762</v>
      </c>
      <c r="I20" s="99">
        <f>'Localize Daily Bali Jimbaran'!AH25</f>
        <v>521.32999999999993</v>
      </c>
      <c r="J20" s="101">
        <f>'Localize Daily Bali Jimbaran'!AI25/'Localize Daily Bali Jimbaran'!AH25</f>
        <v>9150</v>
      </c>
      <c r="K20" s="99">
        <f>'Localize Daily Bali Jimbaran'!Q25</f>
        <v>988</v>
      </c>
      <c r="L20" s="100">
        <f>'Localize Daily Bali Jimbaran'!V25/'Localize Daily Bali Jimbaran'!Q25</f>
        <v>8236.3203036437262</v>
      </c>
      <c r="M20" s="99">
        <f>'Localize Daily Bali Jimbaran'!C25</f>
        <v>29</v>
      </c>
      <c r="N20" s="99">
        <v>90</v>
      </c>
    </row>
    <row r="21" spans="1:14" ht="15">
      <c r="A21" s="96" t="s">
        <v>14</v>
      </c>
      <c r="B21" s="97">
        <v>20</v>
      </c>
      <c r="C21" s="98">
        <v>5</v>
      </c>
      <c r="D21" s="97">
        <v>2018</v>
      </c>
      <c r="E21" s="99">
        <f>'Localize Daily Bali Jimbaran'!P26</f>
        <v>24160.000000000302</v>
      </c>
      <c r="F21" s="100">
        <f>'Localize Daily Bali Jimbaran'!O26/'Localize Daily Bali Jimbaran'!P26</f>
        <v>1182.5512264072827</v>
      </c>
      <c r="G21" s="99">
        <f>'Localize Daily Bali Jimbaran'!AC26</f>
        <v>110.20264000001875</v>
      </c>
      <c r="H21" s="100">
        <f>'Localize Daily Bali Jimbaran'!AD26/'Localize Daily Bali Jimbaran'!AC26</f>
        <v>10313.286541229838</v>
      </c>
      <c r="I21" s="99">
        <f>'Localize Daily Bali Jimbaran'!AH26</f>
        <v>465.50000000000045</v>
      </c>
      <c r="J21" s="101">
        <f>'Localize Daily Bali Jimbaran'!AI26/'Localize Daily Bali Jimbaran'!AH26</f>
        <v>9149.9999999999982</v>
      </c>
      <c r="K21" s="99">
        <f>'Localize Daily Bali Jimbaran'!Q26</f>
        <v>453</v>
      </c>
      <c r="L21" s="100">
        <f>'Localize Daily Bali Jimbaran'!V26/'Localize Daily Bali Jimbaran'!Q26</f>
        <v>11098.307924944813</v>
      </c>
      <c r="M21" s="99">
        <f>'Localize Daily Bali Jimbaran'!C26</f>
        <v>18</v>
      </c>
      <c r="N21" s="99">
        <v>69</v>
      </c>
    </row>
    <row r="22" spans="1:14" ht="15">
      <c r="A22" s="96" t="s">
        <v>14</v>
      </c>
      <c r="B22" s="97">
        <v>21</v>
      </c>
      <c r="C22" s="98">
        <v>5</v>
      </c>
      <c r="D22" s="97">
        <v>2018</v>
      </c>
      <c r="E22" s="99">
        <f>'Localize Daily Bali Jimbaran'!P27</f>
        <v>24199.999999999622</v>
      </c>
      <c r="F22" s="100">
        <f>'Localize Daily Bali Jimbaran'!O27/'Localize Daily Bali Jimbaran'!P27</f>
        <v>1178.7989615702502</v>
      </c>
      <c r="G22" s="99">
        <f>'Localize Daily Bali Jimbaran'!AC27</f>
        <v>126.87855999998709</v>
      </c>
      <c r="H22" s="100">
        <f>'Localize Daily Bali Jimbaran'!AD27/'Localize Daily Bali Jimbaran'!AC27</f>
        <v>10292.219738937782</v>
      </c>
      <c r="I22" s="99">
        <f>'Localize Daily Bali Jimbaran'!AH27</f>
        <v>415.66999999999962</v>
      </c>
      <c r="J22" s="101">
        <f>'Localize Daily Bali Jimbaran'!AI27/'Localize Daily Bali Jimbaran'!AH27</f>
        <v>9150</v>
      </c>
      <c r="K22" s="99">
        <f>'Localize Daily Bali Jimbaran'!Q27</f>
        <v>219</v>
      </c>
      <c r="L22" s="100">
        <f>'Localize Daily Bali Jimbaran'!V27/'Localize Daily Bali Jimbaran'!Q27</f>
        <v>17970.18</v>
      </c>
      <c r="M22" s="99">
        <f>'Localize Daily Bali Jimbaran'!C27</f>
        <v>20</v>
      </c>
      <c r="N22" s="99">
        <v>70</v>
      </c>
    </row>
    <row r="23" spans="1:14" ht="15">
      <c r="A23" s="96" t="s">
        <v>14</v>
      </c>
      <c r="B23" s="97">
        <v>22</v>
      </c>
      <c r="C23" s="98">
        <v>5</v>
      </c>
      <c r="D23" s="97">
        <v>2018</v>
      </c>
      <c r="E23" s="99">
        <f>'Localize Daily Bali Jimbaran'!P28</f>
        <v>24140.000000000433</v>
      </c>
      <c r="F23" s="100">
        <f>'Localize Daily Bali Jimbaran'!O28/'Localize Daily Bali Jimbaran'!P28</f>
        <v>1188.4867531068737</v>
      </c>
      <c r="G23" s="99">
        <f>'Localize Daily Bali Jimbaran'!AC28</f>
        <v>800.37775999999303</v>
      </c>
      <c r="H23" s="100">
        <f>'Localize Daily Bali Jimbaran'!AD28/'Localize Daily Bali Jimbaran'!AC28</f>
        <v>11042.454999349315</v>
      </c>
      <c r="I23" s="99">
        <f>'Localize Daily Bali Jimbaran'!AH28</f>
        <v>346.15999999999985</v>
      </c>
      <c r="J23" s="101">
        <f>'Localize Daily Bali Jimbaran'!AI28/'Localize Daily Bali Jimbaran'!AH28</f>
        <v>9150</v>
      </c>
      <c r="K23" s="99">
        <f>'Localize Daily Bali Jimbaran'!Q28</f>
        <v>981</v>
      </c>
      <c r="L23" s="100">
        <f>'Localize Daily Bali Jimbaran'!V28/'Localize Daily Bali Jimbaran'!Q28</f>
        <v>7964.315749235474</v>
      </c>
      <c r="M23" s="99">
        <f>'Localize Daily Bali Jimbaran'!C28</f>
        <v>27</v>
      </c>
      <c r="N23" s="99">
        <v>80</v>
      </c>
    </row>
    <row r="24" spans="1:14" ht="15">
      <c r="A24" s="96" t="s">
        <v>14</v>
      </c>
      <c r="B24" s="97">
        <v>23</v>
      </c>
      <c r="C24" s="98">
        <v>5</v>
      </c>
      <c r="D24" s="97">
        <v>2018</v>
      </c>
      <c r="E24" s="99">
        <f>'Localize Daily Bali Jimbaran'!P29</f>
        <v>24879.999999999884</v>
      </c>
      <c r="F24" s="100">
        <f>'Localize Daily Bali Jimbaran'!O29/'Localize Daily Bali Jimbaran'!P29</f>
        <v>1183.7366768488746</v>
      </c>
      <c r="G24" s="99">
        <f>'Localize Daily Bali Jimbaran'!AC29</f>
        <v>91.838400000011717</v>
      </c>
      <c r="H24" s="100">
        <f>'Localize Daily Bali Jimbaran'!AD29/'Localize Daily Bali Jimbaran'!AC29</f>
        <v>10153</v>
      </c>
      <c r="I24" s="99">
        <f>'Localize Daily Bali Jimbaran'!AH29</f>
        <v>860.63999999999851</v>
      </c>
      <c r="J24" s="101">
        <f>'Localize Daily Bali Jimbaran'!AI29/'Localize Daily Bali Jimbaran'!AH29</f>
        <v>9150</v>
      </c>
      <c r="K24" s="99">
        <f>'Localize Daily Bali Jimbaran'!Q29</f>
        <v>814</v>
      </c>
      <c r="L24" s="100">
        <f>'Localize Daily Bali Jimbaran'!V29/'Localize Daily Bali Jimbaran'!Q29</f>
        <v>8499.0022850122859</v>
      </c>
      <c r="M24" s="99">
        <f>'Localize Daily Bali Jimbaran'!C29</f>
        <v>35</v>
      </c>
      <c r="N24" s="99">
        <v>92</v>
      </c>
    </row>
    <row r="25" spans="1:14" ht="15">
      <c r="A25" s="96" t="s">
        <v>14</v>
      </c>
      <c r="B25" s="97">
        <v>24</v>
      </c>
      <c r="C25" s="98">
        <v>5</v>
      </c>
      <c r="D25" s="97">
        <v>2018</v>
      </c>
      <c r="E25" s="99">
        <f>'Localize Daily Bali Jimbaran'!P30</f>
        <v>26460.000000000404</v>
      </c>
      <c r="F25" s="100">
        <f>'Localize Daily Bali Jimbaran'!O30/'Localize Daily Bali Jimbaran'!P30</f>
        <v>1177.1721904761912</v>
      </c>
      <c r="G25" s="99">
        <f>'Localize Daily Bali Jimbaran'!AC30</f>
        <v>86.440879999996469</v>
      </c>
      <c r="H25" s="100">
        <f>'Localize Daily Bali Jimbaran'!AD30/'Localize Daily Bali Jimbaran'!AC30</f>
        <v>10153</v>
      </c>
      <c r="I25" s="99">
        <f>'Localize Daily Bali Jimbaran'!AH30</f>
        <v>586.32000000000153</v>
      </c>
      <c r="J25" s="101">
        <f>'Localize Daily Bali Jimbaran'!AI30/'Localize Daily Bali Jimbaran'!AH30</f>
        <v>9150</v>
      </c>
      <c r="K25" s="99">
        <f>'Localize Daily Bali Jimbaran'!Q30</f>
        <v>791</v>
      </c>
      <c r="L25" s="100">
        <f>'Localize Daily Bali Jimbaran'!V30/'Localize Daily Bali Jimbaran'!Q30</f>
        <v>8541.7948040455121</v>
      </c>
      <c r="M25" s="99">
        <f>'Localize Daily Bali Jimbaran'!C30</f>
        <v>40</v>
      </c>
      <c r="N25" s="99">
        <v>100</v>
      </c>
    </row>
    <row r="26" spans="1:14" ht="15">
      <c r="A26" s="96" t="s">
        <v>14</v>
      </c>
      <c r="B26" s="97">
        <v>25</v>
      </c>
      <c r="C26" s="98">
        <v>5</v>
      </c>
      <c r="D26" s="97">
        <v>2018</v>
      </c>
      <c r="E26" s="99">
        <f>'Localize Daily Bali Jimbaran'!P31</f>
        <v>24239.999999999327</v>
      </c>
      <c r="F26" s="100">
        <f>'Localize Daily Bali Jimbaran'!O31/'Localize Daily Bali Jimbaran'!P31</f>
        <v>1186.7244245049524</v>
      </c>
      <c r="G26" s="99">
        <f>'Localize Daily Bali Jimbaran'!AC31</f>
        <v>101.30420000000585</v>
      </c>
      <c r="H26" s="100">
        <f>'Localize Daily Bali Jimbaran'!AD31/'Localize Daily Bali Jimbaran'!AC31</f>
        <v>10153</v>
      </c>
      <c r="I26" s="99">
        <f>'Localize Daily Bali Jimbaran'!AH31</f>
        <v>510.20999999999913</v>
      </c>
      <c r="J26" s="101">
        <f>'Localize Daily Bali Jimbaran'!AI31/'Localize Daily Bali Jimbaran'!AH31</f>
        <v>9150</v>
      </c>
      <c r="K26" s="99">
        <f>'Localize Daily Bali Jimbaran'!Q31</f>
        <v>832</v>
      </c>
      <c r="L26" s="100">
        <f>'Localize Daily Bali Jimbaran'!V31/'Localize Daily Bali Jimbaran'!Q31</f>
        <v>8433.2432572115395</v>
      </c>
      <c r="M26" s="99">
        <f>'Localize Daily Bali Jimbaran'!C31</f>
        <v>36</v>
      </c>
      <c r="N26" s="99">
        <v>100</v>
      </c>
    </row>
    <row r="27" spans="1:14" ht="15">
      <c r="A27" s="96" t="s">
        <v>14</v>
      </c>
      <c r="B27" s="97">
        <v>26</v>
      </c>
      <c r="C27" s="98">
        <v>5</v>
      </c>
      <c r="D27" s="97">
        <v>2018</v>
      </c>
      <c r="E27" s="99">
        <f>'Localize Daily Bali Jimbaran'!P32</f>
        <v>24360.00000000068</v>
      </c>
      <c r="F27" s="100">
        <f>'Localize Daily Bali Jimbaran'!O32/'Localize Daily Bali Jimbaran'!P32</f>
        <v>1179.5391206896525</v>
      </c>
      <c r="G27" s="99">
        <f>'Localize Daily Bali Jimbaran'!AC32</f>
        <v>125.50559999998826</v>
      </c>
      <c r="H27" s="100">
        <f>'Localize Daily Bali Jimbaran'!AD32/'Localize Daily Bali Jimbaran'!AC32</f>
        <v>10434.485447661327</v>
      </c>
      <c r="I27" s="99">
        <f>'Localize Daily Bali Jimbaran'!AH32</f>
        <v>479.70000000000073</v>
      </c>
      <c r="J27" s="101">
        <f>'Localize Daily Bali Jimbaran'!AI32/'Localize Daily Bali Jimbaran'!AH32</f>
        <v>9150</v>
      </c>
      <c r="K27" s="99">
        <f>'Localize Daily Bali Jimbaran'!Q32</f>
        <v>774</v>
      </c>
      <c r="L27" s="100">
        <f>'Localize Daily Bali Jimbaran'!V32/'Localize Daily Bali Jimbaran'!Q32</f>
        <v>7958.192209302325</v>
      </c>
      <c r="M27" s="99">
        <f>'Localize Daily Bali Jimbaran'!C32</f>
        <v>37</v>
      </c>
      <c r="N27" s="99">
        <v>116</v>
      </c>
    </row>
    <row r="28" spans="1:14" ht="15">
      <c r="A28" s="96" t="s">
        <v>14</v>
      </c>
      <c r="B28" s="97">
        <v>27</v>
      </c>
      <c r="C28" s="98">
        <v>5</v>
      </c>
      <c r="D28" s="97">
        <v>2018</v>
      </c>
      <c r="E28" s="99">
        <f>'Localize Daily Bali Jimbaran'!P33</f>
        <v>24439.999999999996</v>
      </c>
      <c r="F28" s="100">
        <f>'Localize Daily Bali Jimbaran'!O33/'Localize Daily Bali Jimbaran'!P33</f>
        <v>1182.7980368248768</v>
      </c>
      <c r="G28" s="99">
        <f>'Localize Daily Bali Jimbaran'!AC33</f>
        <v>496.10808000000236</v>
      </c>
      <c r="H28" s="100">
        <f>'Localize Daily Bali Jimbaran'!AD33/'Localize Daily Bali Jimbaran'!AC33</f>
        <v>10972.982613465996</v>
      </c>
      <c r="I28" s="99">
        <f>'Localize Daily Bali Jimbaran'!AH33</f>
        <v>486.44999999999891</v>
      </c>
      <c r="J28" s="101">
        <f>'Localize Daily Bali Jimbaran'!AI33/'Localize Daily Bali Jimbaran'!AH33</f>
        <v>9150</v>
      </c>
      <c r="K28" s="99">
        <f>'Localize Daily Bali Jimbaran'!Q33</f>
        <v>732</v>
      </c>
      <c r="L28" s="100">
        <f>'Localize Daily Bali Jimbaran'!V33/'Localize Daily Bali Jimbaran'!Q33</f>
        <v>8596.1986612021865</v>
      </c>
      <c r="M28" s="99">
        <f>'Localize Daily Bali Jimbaran'!C33</f>
        <v>32</v>
      </c>
      <c r="N28" s="99">
        <v>110</v>
      </c>
    </row>
    <row r="29" spans="1:14" ht="15">
      <c r="A29" s="96" t="s">
        <v>14</v>
      </c>
      <c r="B29" s="97">
        <v>28</v>
      </c>
      <c r="C29" s="98">
        <v>5</v>
      </c>
      <c r="D29" s="97">
        <v>2018</v>
      </c>
      <c r="E29" s="99">
        <f>'Localize Daily Bali Jimbaran'!P34</f>
        <v>23759.999999999891</v>
      </c>
      <c r="F29" s="100">
        <f>'Localize Daily Bali Jimbaran'!O34/'Localize Daily Bali Jimbaran'!P34</f>
        <v>1182.7770606060608</v>
      </c>
      <c r="G29" s="99">
        <f>'Localize Daily Bali Jimbaran'!AC34</f>
        <v>418.94340000001171</v>
      </c>
      <c r="H29" s="100">
        <f>'Localize Daily Bali Jimbaran'!AD34/'Localize Daily Bali Jimbaran'!AC34</f>
        <v>10923.423880648295</v>
      </c>
      <c r="I29" s="99">
        <f>'Localize Daily Bali Jimbaran'!AH34</f>
        <v>366.11000000000058</v>
      </c>
      <c r="J29" s="101">
        <f>'Localize Daily Bali Jimbaran'!AI34/'Localize Daily Bali Jimbaran'!AH34</f>
        <v>9150</v>
      </c>
      <c r="K29" s="99">
        <f>'Localize Daily Bali Jimbaran'!Q34</f>
        <v>667</v>
      </c>
      <c r="L29" s="100">
        <f>'Localize Daily Bali Jimbaran'!V34/'Localize Daily Bali Jimbaran'!Q34</f>
        <v>9509.8136131934025</v>
      </c>
      <c r="M29" s="99">
        <f>'Localize Daily Bali Jimbaran'!C34</f>
        <v>44</v>
      </c>
      <c r="N29" s="99">
        <v>138</v>
      </c>
    </row>
    <row r="30" spans="1:14" ht="15">
      <c r="A30" s="96" t="s">
        <v>14</v>
      </c>
      <c r="B30" s="97">
        <v>29</v>
      </c>
      <c r="C30" s="98">
        <v>5</v>
      </c>
      <c r="D30" s="97">
        <v>2018</v>
      </c>
      <c r="E30" s="99">
        <f>'Localize Daily Bali Jimbaran'!P35</f>
        <v>22699.999999999891</v>
      </c>
      <c r="F30" s="100">
        <f>'Localize Daily Bali Jimbaran'!O35/'Localize Daily Bali Jimbaran'!P35</f>
        <v>1183.8691625550664</v>
      </c>
      <c r="G30" s="99">
        <f>'Localize Daily Bali Jimbaran'!AC35</f>
        <v>121.44075999999295</v>
      </c>
      <c r="H30" s="100">
        <f>'Localize Daily Bali Jimbaran'!AD35/'Localize Daily Bali Jimbaran'!AC35</f>
        <v>10298.453635171594</v>
      </c>
      <c r="I30" s="99">
        <f>'Localize Daily Bali Jimbaran'!AH35</f>
        <v>333.81000000000085</v>
      </c>
      <c r="J30" s="101">
        <f>'Localize Daily Bali Jimbaran'!AI35/'Localize Daily Bali Jimbaran'!AH35</f>
        <v>9150</v>
      </c>
      <c r="K30" s="99">
        <f>'Localize Daily Bali Jimbaran'!Q35</f>
        <v>817</v>
      </c>
      <c r="L30" s="100">
        <f>'Localize Daily Bali Jimbaran'!V35/'Localize Daily Bali Jimbaran'!Q35</f>
        <v>8987.7650428396573</v>
      </c>
      <c r="M30" s="99">
        <f>'Localize Daily Bali Jimbaran'!C35</f>
        <v>37</v>
      </c>
      <c r="N30" s="99">
        <v>111</v>
      </c>
    </row>
    <row r="31" spans="1:14" ht="15">
      <c r="A31" s="96" t="s">
        <v>14</v>
      </c>
      <c r="B31" s="97">
        <v>30</v>
      </c>
      <c r="C31" s="98">
        <v>5</v>
      </c>
      <c r="D31" s="97">
        <v>2018</v>
      </c>
      <c r="E31" s="99">
        <f>'Localize Daily Bali Jimbaran'!P36</f>
        <v>23199.999999999989</v>
      </c>
      <c r="F31" s="100">
        <f>'Localize Daily Bali Jimbaran'!O36/'Localize Daily Bali Jimbaran'!P36</f>
        <v>1183.2000672413817</v>
      </c>
      <c r="G31" s="99">
        <f>'Localize Daily Bali Jimbaran'!AC36</f>
        <v>124.33748000001405</v>
      </c>
      <c r="H31" s="100">
        <f>'Localize Daily Bali Jimbaran'!AD36/'Localize Daily Bali Jimbaran'!AC36</f>
        <v>10437.129934111548</v>
      </c>
      <c r="I31" s="99">
        <f>'Localize Daily Bali Jimbaran'!AH36</f>
        <v>395.14999999999964</v>
      </c>
      <c r="J31" s="101">
        <f>'Localize Daily Bali Jimbaran'!AI36/'Localize Daily Bali Jimbaran'!AH36</f>
        <v>9150</v>
      </c>
      <c r="K31" s="99">
        <f>'Localize Daily Bali Jimbaran'!Q36</f>
        <v>688</v>
      </c>
      <c r="L31" s="100">
        <f>'Localize Daily Bali Jimbaran'!V36/'Localize Daily Bali Jimbaran'!Q36</f>
        <v>9382.9750872093045</v>
      </c>
      <c r="M31" s="99">
        <f>'Localize Daily Bali Jimbaran'!C36</f>
        <v>44</v>
      </c>
      <c r="N31" s="99">
        <v>127</v>
      </c>
    </row>
    <row r="32" spans="1:14" ht="15">
      <c r="A32" s="96" t="s">
        <v>14</v>
      </c>
      <c r="B32" s="97">
        <v>31</v>
      </c>
      <c r="C32" s="98">
        <v>5</v>
      </c>
      <c r="D32" s="97">
        <v>2018</v>
      </c>
      <c r="E32" s="99">
        <f>'Localize Daily Bali Jimbaran'!P37</f>
        <v>34420.000000000087</v>
      </c>
      <c r="F32" s="100">
        <f>'Localize Daily Bali Jimbaran'!O37/'Localize Daily Bali Jimbaran'!P37</f>
        <v>1152.974805636258</v>
      </c>
      <c r="G32" s="99">
        <f>'Localize Daily Bali Jimbaran'!AC37</f>
        <v>123.86099999999999</v>
      </c>
      <c r="H32" s="100">
        <f>'Localize Daily Bali Jimbaran'!AD37/'Localize Daily Bali Jimbaran'!AC37</f>
        <v>10153</v>
      </c>
      <c r="I32" s="99">
        <f>'Localize Daily Bali Jimbaran'!AH37</f>
        <v>659.57999999999811</v>
      </c>
      <c r="J32" s="101">
        <f>'Localize Daily Bali Jimbaran'!AI37/'Localize Daily Bali Jimbaran'!AH37</f>
        <v>9150</v>
      </c>
      <c r="K32" s="99">
        <f>'Localize Daily Bali Jimbaran'!Q37</f>
        <v>745</v>
      </c>
      <c r="L32" s="100">
        <f>'Localize Daily Bali Jimbaran'!V37/'Localize Daily Bali Jimbaran'!Q37</f>
        <v>8635.3065100671138</v>
      </c>
      <c r="M32" s="99">
        <f>'Localize Daily Bali Jimbaran'!C37</f>
        <v>47</v>
      </c>
      <c r="N32" s="99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K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9" t="s">
        <v>16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4"/>
    </row>
    <row r="4" spans="1:36" s="83" customFormat="1" ht="15.75" customHeight="1">
      <c r="A4" s="16"/>
      <c r="B4" s="160" t="s">
        <v>17</v>
      </c>
      <c r="C4" s="161" t="s">
        <v>18</v>
      </c>
      <c r="D4" s="162" t="s">
        <v>19</v>
      </c>
      <c r="E4" s="163" t="s">
        <v>20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 t="s">
        <v>21</v>
      </c>
      <c r="R4" s="164"/>
      <c r="S4" s="164"/>
      <c r="T4" s="164"/>
      <c r="U4" s="164"/>
      <c r="V4" s="164"/>
      <c r="W4" s="165" t="s">
        <v>22</v>
      </c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7"/>
    </row>
    <row r="5" spans="1:36" s="1" customFormat="1" ht="27" customHeight="1">
      <c r="A5" s="83"/>
      <c r="B5" s="160"/>
      <c r="C5" s="161"/>
      <c r="D5" s="162"/>
      <c r="E5" s="166" t="s">
        <v>23</v>
      </c>
      <c r="F5" s="166"/>
      <c r="G5" s="166"/>
      <c r="H5" s="166"/>
      <c r="I5" s="166"/>
      <c r="J5" s="167" t="s">
        <v>24</v>
      </c>
      <c r="K5" s="167"/>
      <c r="L5" s="167"/>
      <c r="M5" s="167"/>
      <c r="N5" s="167"/>
      <c r="O5" s="168" t="s">
        <v>25</v>
      </c>
      <c r="P5" s="170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5" t="s">
        <v>29</v>
      </c>
      <c r="X5" s="165"/>
      <c r="Y5" s="165"/>
      <c r="Z5" s="165"/>
      <c r="AA5" s="165"/>
      <c r="AB5" s="165"/>
      <c r="AC5" s="165"/>
      <c r="AD5" s="165"/>
      <c r="AE5" s="169" t="s">
        <v>30</v>
      </c>
      <c r="AF5" s="169"/>
      <c r="AG5" s="169"/>
      <c r="AH5" s="169"/>
      <c r="AI5" s="169"/>
      <c r="AJ5" s="83"/>
    </row>
    <row r="6" spans="1:36" s="1" customFormat="1" ht="58.5" customHeight="1">
      <c r="A6" s="86"/>
      <c r="B6" s="160"/>
      <c r="C6" s="161"/>
      <c r="D6" s="162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8"/>
      <c r="P6" s="170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66</v>
      </c>
      <c r="D7" s="103">
        <v>663</v>
      </c>
      <c r="E7" s="156">
        <v>8320.0000000069849</v>
      </c>
      <c r="F7" s="156">
        <v>9048574.0800075959</v>
      </c>
      <c r="G7" s="116">
        <v>3840.0000000001455</v>
      </c>
      <c r="H7" s="157">
        <v>6264397.4400002379</v>
      </c>
      <c r="I7" s="105">
        <f>F7+H7</f>
        <v>15312971.520007834</v>
      </c>
      <c r="J7" s="115">
        <v>1260.0000000002183</v>
      </c>
      <c r="K7" s="115">
        <v>1370336.9400002374</v>
      </c>
      <c r="L7" s="119">
        <v>519.99999999998181</v>
      </c>
      <c r="M7" s="121">
        <v>848303.81999997038</v>
      </c>
      <c r="N7" s="107">
        <f>K7+M7</f>
        <v>2218640.7600002079</v>
      </c>
      <c r="O7" s="105">
        <f>I7+N7</f>
        <v>17531612.28000804</v>
      </c>
      <c r="P7" s="107">
        <f>E7+G7+J7+L7</f>
        <v>13940.000000007331</v>
      </c>
      <c r="Q7" s="123">
        <f>R7+T7</f>
        <v>881</v>
      </c>
      <c r="R7" s="115">
        <v>344</v>
      </c>
      <c r="S7" s="115">
        <v>6181741.9199999999</v>
      </c>
      <c r="T7" s="115">
        <v>537</v>
      </c>
      <c r="U7" s="115">
        <v>2536546.35</v>
      </c>
      <c r="V7" s="115">
        <f>S7+U7</f>
        <v>8718288.2699999996</v>
      </c>
      <c r="W7" s="115">
        <v>113.75071999999179</v>
      </c>
      <c r="X7" s="106"/>
      <c r="Y7" s="110">
        <v>400</v>
      </c>
      <c r="Z7" s="108"/>
      <c r="AA7" s="108"/>
      <c r="AB7" s="112">
        <v>0</v>
      </c>
      <c r="AC7" s="123">
        <f>W7+X7+Y7+Z7+AA7+AB7</f>
        <v>513.75071999999182</v>
      </c>
      <c r="AD7" s="104">
        <v>5622911.0601599161</v>
      </c>
      <c r="AE7" s="109"/>
      <c r="AF7" s="128">
        <v>62.090000000011059</v>
      </c>
      <c r="AG7" s="130">
        <v>0</v>
      </c>
      <c r="AH7" s="130">
        <f>AF7+AG7</f>
        <v>62.090000000011059</v>
      </c>
      <c r="AI7" s="132">
        <v>568123.50000010116</v>
      </c>
      <c r="AJ7" s="18"/>
    </row>
    <row r="8" spans="1:36" ht="15">
      <c r="A8" s="19"/>
      <c r="B8" s="64">
        <v>2</v>
      </c>
      <c r="C8" s="65">
        <v>75</v>
      </c>
      <c r="D8" s="65">
        <v>547</v>
      </c>
      <c r="E8" s="124">
        <v>18879.999999975553</v>
      </c>
      <c r="F8" s="124">
        <v>20533302.719973411</v>
      </c>
      <c r="G8" s="111">
        <v>4000</v>
      </c>
      <c r="H8" s="111">
        <v>6525414</v>
      </c>
      <c r="I8" s="105">
        <f>F8+H8</f>
        <v>27058716.719973411</v>
      </c>
      <c r="J8" s="158">
        <v>2339.9999999996908</v>
      </c>
      <c r="K8" s="158">
        <v>2544911.4599996638</v>
      </c>
      <c r="L8" s="120">
        <v>519.99999999998181</v>
      </c>
      <c r="M8" s="122">
        <v>848303.81999997038</v>
      </c>
      <c r="N8" s="107">
        <f>K8+M8</f>
        <v>3393215.2799996343</v>
      </c>
      <c r="O8" s="105">
        <f>I8+N8</f>
        <v>30451931.999973044</v>
      </c>
      <c r="P8" s="107">
        <f>E8+G8+J8+L8</f>
        <v>25739.999999975225</v>
      </c>
      <c r="Q8" s="123">
        <f>R8+T8</f>
        <v>731</v>
      </c>
      <c r="R8" s="124">
        <v>345</v>
      </c>
      <c r="S8" s="124">
        <v>6199712.1000000006</v>
      </c>
      <c r="T8" s="117">
        <v>386</v>
      </c>
      <c r="U8" s="117">
        <v>1823290.3</v>
      </c>
      <c r="V8" s="115">
        <f>S8+U8</f>
        <v>8023002.4000000004</v>
      </c>
      <c r="W8" s="126">
        <v>109.76299999999999</v>
      </c>
      <c r="X8" s="112"/>
      <c r="Y8" s="110"/>
      <c r="Z8" s="112"/>
      <c r="AA8" s="112"/>
      <c r="AB8" s="112">
        <v>24</v>
      </c>
      <c r="AC8" s="123">
        <f>W8+X8+Y8+Z8+AA8+AB8</f>
        <v>133.76299999999998</v>
      </c>
      <c r="AD8" s="110">
        <v>1393423.7389999998</v>
      </c>
      <c r="AE8" s="113"/>
      <c r="AF8" s="129">
        <v>67.429999999993015</v>
      </c>
      <c r="AG8" s="131">
        <v>0</v>
      </c>
      <c r="AH8" s="130">
        <f>AF8+AG8</f>
        <v>67.429999999993015</v>
      </c>
      <c r="AI8" s="133">
        <v>616984.49999993609</v>
      </c>
      <c r="AJ8" s="21"/>
    </row>
    <row r="9" spans="1:36" ht="15">
      <c r="A9" s="19"/>
      <c r="B9" s="81">
        <v>3</v>
      </c>
      <c r="C9" s="65">
        <v>75</v>
      </c>
      <c r="D9" s="65">
        <v>530</v>
      </c>
      <c r="E9" s="124">
        <v>20280.00000002794</v>
      </c>
      <c r="F9" s="124">
        <v>22055899.320030387</v>
      </c>
      <c r="G9" s="111">
        <v>4080.0000000017462</v>
      </c>
      <c r="H9" s="111">
        <v>6655922.2800028492</v>
      </c>
      <c r="I9" s="105">
        <f>F9+H9</f>
        <v>28711821.600033239</v>
      </c>
      <c r="J9" s="158">
        <v>2400.0000000000909</v>
      </c>
      <c r="K9" s="158">
        <v>2610165.6000000988</v>
      </c>
      <c r="L9" s="120">
        <v>520.0000000000955</v>
      </c>
      <c r="M9" s="122">
        <v>848303.82000015595</v>
      </c>
      <c r="N9" s="107">
        <f>K9+M9</f>
        <v>3458469.4200002546</v>
      </c>
      <c r="O9" s="105">
        <f>I9+N9</f>
        <v>32170291.020033494</v>
      </c>
      <c r="P9" s="107">
        <f>E9+G9+J9+L9</f>
        <v>27280.000000029871</v>
      </c>
      <c r="Q9" s="123">
        <f>R9+T9</f>
        <v>677</v>
      </c>
      <c r="R9" s="124">
        <v>299</v>
      </c>
      <c r="S9" s="124">
        <v>5373083.8200000003</v>
      </c>
      <c r="T9" s="117">
        <v>378</v>
      </c>
      <c r="U9" s="117">
        <v>1785501.9000000001</v>
      </c>
      <c r="V9" s="115">
        <f>S9+U9</f>
        <v>7158585.7200000007</v>
      </c>
      <c r="W9" s="126">
        <v>204.21959999998825</v>
      </c>
      <c r="X9" s="112"/>
      <c r="Y9" s="110"/>
      <c r="Z9" s="112">
        <v>50</v>
      </c>
      <c r="AA9" s="112"/>
      <c r="AB9" s="112">
        <v>0</v>
      </c>
      <c r="AC9" s="123">
        <f>W9+X9+Y9+Z9+AA9+AB9</f>
        <v>254.21959999998825</v>
      </c>
      <c r="AD9" s="110">
        <v>2631941.5987998806</v>
      </c>
      <c r="AE9" s="113"/>
      <c r="AF9" s="129">
        <v>77.919999999998254</v>
      </c>
      <c r="AG9" s="131">
        <v>47.799999999999727</v>
      </c>
      <c r="AH9" s="130">
        <f>AF9+AG9</f>
        <v>125.71999999999798</v>
      </c>
      <c r="AI9" s="133">
        <v>1150337.9999999816</v>
      </c>
      <c r="AJ9" s="21"/>
    </row>
    <row r="10" spans="1:36" ht="15">
      <c r="A10" s="19"/>
      <c r="B10" s="64">
        <v>4</v>
      </c>
      <c r="C10" s="65">
        <v>87</v>
      </c>
      <c r="D10" s="65">
        <v>671</v>
      </c>
      <c r="E10" s="124">
        <v>19279.999999998836</v>
      </c>
      <c r="F10" s="124">
        <v>20968330.319998737</v>
      </c>
      <c r="G10" s="111">
        <v>4119.9999999989814</v>
      </c>
      <c r="H10" s="111">
        <v>6721176.4199983394</v>
      </c>
      <c r="I10" s="105">
        <f>F10+H10</f>
        <v>27689506.739997078</v>
      </c>
      <c r="J10" s="158">
        <v>2099.9999999999091</v>
      </c>
      <c r="K10" s="158">
        <v>2283894.8999999012</v>
      </c>
      <c r="L10" s="120">
        <v>539.99999999996362</v>
      </c>
      <c r="M10" s="122">
        <v>880930.88999994064</v>
      </c>
      <c r="N10" s="107">
        <f>K10+M10</f>
        <v>3164825.7899998417</v>
      </c>
      <c r="O10" s="105">
        <f>I10+N10</f>
        <v>30854332.52999692</v>
      </c>
      <c r="P10" s="107">
        <f>E10+G10+J10+L10</f>
        <v>26039.99999999769</v>
      </c>
      <c r="Q10" s="123">
        <f>R10+T10</f>
        <v>611</v>
      </c>
      <c r="R10" s="124">
        <v>80</v>
      </c>
      <c r="S10" s="124">
        <v>1437614.4</v>
      </c>
      <c r="T10" s="117">
        <v>531</v>
      </c>
      <c r="U10" s="117">
        <v>2508205.0500000003</v>
      </c>
      <c r="V10" s="115">
        <f>S10+U10</f>
        <v>3945819.45</v>
      </c>
      <c r="W10" s="126">
        <v>0</v>
      </c>
      <c r="X10" s="112"/>
      <c r="Y10" s="110"/>
      <c r="Z10" s="112"/>
      <c r="AA10" s="112"/>
      <c r="AB10" s="112">
        <v>0</v>
      </c>
      <c r="AC10" s="123">
        <f>W10+X10+Y10+Z10+AA10+AB10</f>
        <v>0</v>
      </c>
      <c r="AD10" s="110">
        <v>0</v>
      </c>
      <c r="AE10" s="113"/>
      <c r="AF10" s="129">
        <v>66.110000000000582</v>
      </c>
      <c r="AG10" s="131">
        <v>0</v>
      </c>
      <c r="AH10" s="130">
        <f>AF10+AG10</f>
        <v>66.110000000000582</v>
      </c>
      <c r="AI10" s="133">
        <v>604906.50000000536</v>
      </c>
      <c r="AJ10" s="21"/>
    </row>
    <row r="11" spans="1:36" ht="15">
      <c r="A11" s="19"/>
      <c r="B11" s="81">
        <v>5</v>
      </c>
      <c r="C11" s="65">
        <v>61</v>
      </c>
      <c r="D11" s="65">
        <v>658</v>
      </c>
      <c r="E11" s="124">
        <v>19279.999999998836</v>
      </c>
      <c r="F11" s="124">
        <v>20968330.319998737</v>
      </c>
      <c r="G11" s="111">
        <v>4000</v>
      </c>
      <c r="H11" s="111">
        <v>6525414</v>
      </c>
      <c r="I11" s="105">
        <f>F11+H11</f>
        <v>27493744.319998737</v>
      </c>
      <c r="J11" s="158">
        <v>2460.0000000000364</v>
      </c>
      <c r="K11" s="158">
        <v>2675419.7400000393</v>
      </c>
      <c r="L11" s="120">
        <v>539.99999999996362</v>
      </c>
      <c r="M11" s="122">
        <v>880930.88999994064</v>
      </c>
      <c r="N11" s="107">
        <f>K11+M11</f>
        <v>3556350.6299999799</v>
      </c>
      <c r="O11" s="105">
        <f>I11+N11</f>
        <v>31050094.949998718</v>
      </c>
      <c r="P11" s="107">
        <f>E11+G11+J11+L11</f>
        <v>26279.999999998836</v>
      </c>
      <c r="Q11" s="123">
        <f>R11+T11</f>
        <v>751</v>
      </c>
      <c r="R11" s="124">
        <v>296</v>
      </c>
      <c r="S11" s="124">
        <v>5319173.28</v>
      </c>
      <c r="T11" s="117">
        <v>455</v>
      </c>
      <c r="U11" s="117">
        <v>2149215.25</v>
      </c>
      <c r="V11" s="115">
        <f>S11+U11</f>
        <v>7468388.5300000003</v>
      </c>
      <c r="W11" s="126">
        <v>133.64904000000115</v>
      </c>
      <c r="X11" s="112">
        <v>250</v>
      </c>
      <c r="Y11" s="110"/>
      <c r="Z11" s="112"/>
      <c r="AA11" s="112"/>
      <c r="AB11" s="112">
        <v>24</v>
      </c>
      <c r="AC11" s="123">
        <f>W11+X11+Y11+Z11+AA11+AB11</f>
        <v>407.64904000000115</v>
      </c>
      <c r="AD11" s="110">
        <v>4428438.7031200118</v>
      </c>
      <c r="AE11" s="113"/>
      <c r="AF11" s="129">
        <v>65.30000000000291</v>
      </c>
      <c r="AG11" s="131">
        <v>0</v>
      </c>
      <c r="AH11" s="130">
        <f>AF11+AG11</f>
        <v>65.30000000000291</v>
      </c>
      <c r="AI11" s="133">
        <v>597495.00000002666</v>
      </c>
      <c r="AJ11" s="21"/>
    </row>
    <row r="12" spans="1:36" ht="15">
      <c r="A12" s="19"/>
      <c r="B12" s="64">
        <v>6</v>
      </c>
      <c r="C12" s="65">
        <v>49</v>
      </c>
      <c r="D12" s="65">
        <v>670</v>
      </c>
      <c r="E12" s="124">
        <v>19599.999999976717</v>
      </c>
      <c r="F12" s="124">
        <v>21316352.399974678</v>
      </c>
      <c r="G12" s="111">
        <v>4159.9999999998545</v>
      </c>
      <c r="H12" s="111">
        <v>6786430.559999763</v>
      </c>
      <c r="I12" s="105">
        <f>F12+H12</f>
        <v>28102782.959974442</v>
      </c>
      <c r="J12" s="158">
        <v>2600.0000000003638</v>
      </c>
      <c r="K12" s="158">
        <v>2827679.4000003957</v>
      </c>
      <c r="L12" s="120">
        <v>560.00000000005912</v>
      </c>
      <c r="M12" s="122">
        <v>913557.96000009659</v>
      </c>
      <c r="N12" s="107">
        <f>K12+M12</f>
        <v>3741237.3600004921</v>
      </c>
      <c r="O12" s="105">
        <f>I12+N12</f>
        <v>31844020.319974933</v>
      </c>
      <c r="P12" s="107">
        <f>E12+G12+J12+L12</f>
        <v>26919.999999976993</v>
      </c>
      <c r="Q12" s="123">
        <f>R12+T12</f>
        <v>777</v>
      </c>
      <c r="R12" s="124">
        <v>346</v>
      </c>
      <c r="S12" s="124">
        <v>6217682.2800000003</v>
      </c>
      <c r="T12" s="117">
        <v>431</v>
      </c>
      <c r="U12" s="117">
        <v>2035850.05</v>
      </c>
      <c r="V12" s="115">
        <f>S12+U12</f>
        <v>8253532.3300000001</v>
      </c>
      <c r="W12" s="126">
        <v>133.81016000000469</v>
      </c>
      <c r="X12" s="112"/>
      <c r="Y12" s="110">
        <v>400</v>
      </c>
      <c r="Z12" s="112"/>
      <c r="AA12" s="112"/>
      <c r="AB12" s="112">
        <v>24</v>
      </c>
      <c r="AC12" s="123">
        <f>W12+X12+Y12+Z12+AA12+AB12</f>
        <v>557.81016000000466</v>
      </c>
      <c r="AD12" s="110">
        <v>6105574.5544800479</v>
      </c>
      <c r="AE12" s="113"/>
      <c r="AF12" s="129">
        <v>61.44999999999709</v>
      </c>
      <c r="AG12" s="131">
        <v>0</v>
      </c>
      <c r="AH12" s="130">
        <f>AF12+AG12</f>
        <v>61.44999999999709</v>
      </c>
      <c r="AI12" s="133">
        <v>562267.49999997334</v>
      </c>
      <c r="AJ12" s="21"/>
    </row>
    <row r="13" spans="1:36" ht="15">
      <c r="A13" s="19"/>
      <c r="B13" s="81">
        <v>7</v>
      </c>
      <c r="C13" s="65">
        <v>44</v>
      </c>
      <c r="D13" s="65">
        <v>440</v>
      </c>
      <c r="E13" s="124">
        <v>19760.000000009313</v>
      </c>
      <c r="F13" s="124">
        <v>21490363.44001013</v>
      </c>
      <c r="G13" s="111">
        <v>4040.0000000008731</v>
      </c>
      <c r="H13" s="111">
        <v>6590668.1400014246</v>
      </c>
      <c r="I13" s="105">
        <f>F13+H13</f>
        <v>28081031.580011554</v>
      </c>
      <c r="J13" s="158">
        <v>2019.9999999999818</v>
      </c>
      <c r="K13" s="158">
        <v>2196889.3799999803</v>
      </c>
      <c r="L13" s="120">
        <v>559.99999999994543</v>
      </c>
      <c r="M13" s="122">
        <v>913557.95999991102</v>
      </c>
      <c r="N13" s="107">
        <f>K13+M13</f>
        <v>3110447.3399998914</v>
      </c>
      <c r="O13" s="105">
        <f>I13+N13</f>
        <v>31191478.920011446</v>
      </c>
      <c r="P13" s="107">
        <f>E13+G13+J13+L13</f>
        <v>26380.000000010114</v>
      </c>
      <c r="Q13" s="123">
        <f>R13+T13</f>
        <v>517</v>
      </c>
      <c r="R13" s="124">
        <v>277</v>
      </c>
      <c r="S13" s="124">
        <v>4977739.8600000003</v>
      </c>
      <c r="T13" s="117">
        <v>240</v>
      </c>
      <c r="U13" s="117">
        <v>1133652</v>
      </c>
      <c r="V13" s="115">
        <f>S13+U13</f>
        <v>6111391.8600000003</v>
      </c>
      <c r="W13" s="126">
        <v>159.02544000001288</v>
      </c>
      <c r="X13" s="112"/>
      <c r="Y13" s="110"/>
      <c r="Z13" s="112"/>
      <c r="AA13" s="112"/>
      <c r="AB13" s="112">
        <v>12</v>
      </c>
      <c r="AC13" s="123">
        <f>W13+X13+Y13+Z13+AA13+AB13</f>
        <v>171.02544000001288</v>
      </c>
      <c r="AD13" s="110">
        <v>1754085.2923201309</v>
      </c>
      <c r="AE13" s="113"/>
      <c r="AF13" s="129">
        <v>11.19999999999709</v>
      </c>
      <c r="AG13" s="131">
        <v>0</v>
      </c>
      <c r="AH13" s="130">
        <f>AF13+AG13</f>
        <v>11.19999999999709</v>
      </c>
      <c r="AI13" s="133">
        <v>102479.99999997337</v>
      </c>
      <c r="AJ13" s="21"/>
    </row>
    <row r="14" spans="1:36" ht="15">
      <c r="A14" s="19"/>
      <c r="B14" s="64">
        <v>8</v>
      </c>
      <c r="C14" s="65">
        <v>45</v>
      </c>
      <c r="D14" s="65">
        <v>535</v>
      </c>
      <c r="E14" s="124">
        <v>18640.00000001397</v>
      </c>
      <c r="F14" s="124">
        <v>20272286.160015192</v>
      </c>
      <c r="G14" s="111">
        <v>4040.0000000008731</v>
      </c>
      <c r="H14" s="111">
        <v>6590668.1400014246</v>
      </c>
      <c r="I14" s="105">
        <f>F14+H14</f>
        <v>26862954.300016616</v>
      </c>
      <c r="J14" s="158">
        <v>2299.9999999997272</v>
      </c>
      <c r="K14" s="158">
        <v>2501408.6999997031</v>
      </c>
      <c r="L14" s="120">
        <v>560.00000000005912</v>
      </c>
      <c r="M14" s="122">
        <v>913557.96000009659</v>
      </c>
      <c r="N14" s="107">
        <f>K14+M14</f>
        <v>3414966.6599997999</v>
      </c>
      <c r="O14" s="105">
        <f>I14+N14</f>
        <v>30277920.960016415</v>
      </c>
      <c r="P14" s="107">
        <f>E14+G14+J14+L14</f>
        <v>25540.000000014628</v>
      </c>
      <c r="Q14" s="123">
        <f>R14+T14</f>
        <v>651</v>
      </c>
      <c r="R14" s="124">
        <v>315</v>
      </c>
      <c r="S14" s="124">
        <v>5660606.7000000002</v>
      </c>
      <c r="T14" s="117">
        <v>336</v>
      </c>
      <c r="U14" s="117">
        <v>1587112.8</v>
      </c>
      <c r="V14" s="115">
        <f>S14+U14</f>
        <v>7247719.5</v>
      </c>
      <c r="W14" s="126">
        <v>139.73131999998006</v>
      </c>
      <c r="X14" s="112"/>
      <c r="Y14" s="110"/>
      <c r="Z14" s="112"/>
      <c r="AA14" s="112"/>
      <c r="AB14" s="112">
        <v>0</v>
      </c>
      <c r="AC14" s="123">
        <f>W14+X14+Y14+Z14+AA14+AB14</f>
        <v>139.73131999998006</v>
      </c>
      <c r="AD14" s="110">
        <v>1418692.0919597975</v>
      </c>
      <c r="AE14" s="113"/>
      <c r="AF14" s="129">
        <v>0</v>
      </c>
      <c r="AG14" s="131">
        <v>0</v>
      </c>
      <c r="AH14" s="130">
        <f>AF14+AG14</f>
        <v>0</v>
      </c>
      <c r="AI14" s="133">
        <v>0</v>
      </c>
      <c r="AJ14" s="21"/>
    </row>
    <row r="15" spans="1:36" ht="15">
      <c r="A15" s="19"/>
      <c r="B15" s="81">
        <v>9</v>
      </c>
      <c r="C15" s="65">
        <v>39</v>
      </c>
      <c r="D15" s="65">
        <v>433</v>
      </c>
      <c r="E15" s="124">
        <v>19199.999999982538</v>
      </c>
      <c r="F15" s="124">
        <v>20881324.799981009</v>
      </c>
      <c r="G15" s="111">
        <v>3919.9999999982538</v>
      </c>
      <c r="H15" s="111">
        <v>6394905.7199971518</v>
      </c>
      <c r="I15" s="105">
        <f>F15+H15</f>
        <v>27276230.519978162</v>
      </c>
      <c r="J15" s="158">
        <v>2420.0000000000728</v>
      </c>
      <c r="K15" s="158">
        <v>2631916.9800000791</v>
      </c>
      <c r="L15" s="120">
        <v>539.99999999996362</v>
      </c>
      <c r="M15" s="122">
        <v>880930.88999994064</v>
      </c>
      <c r="N15" s="107">
        <f>K15+M15</f>
        <v>3512847.8700000197</v>
      </c>
      <c r="O15" s="105">
        <f>I15+N15</f>
        <v>30789078.389978182</v>
      </c>
      <c r="P15" s="107">
        <f>E15+G15+J15+L15</f>
        <v>26079.999999980828</v>
      </c>
      <c r="Q15" s="123">
        <f>R15+T15</f>
        <v>271</v>
      </c>
      <c r="R15" s="124">
        <v>100</v>
      </c>
      <c r="S15" s="124">
        <v>1797018</v>
      </c>
      <c r="T15" s="117">
        <v>171</v>
      </c>
      <c r="U15" s="117">
        <v>807727.05</v>
      </c>
      <c r="V15" s="115">
        <f>S15+U15</f>
        <v>2604745.0499999998</v>
      </c>
      <c r="W15" s="126">
        <v>137.55620000000584</v>
      </c>
      <c r="X15" s="112"/>
      <c r="Y15" s="110"/>
      <c r="Z15" s="112">
        <v>50</v>
      </c>
      <c r="AA15" s="112"/>
      <c r="AB15" s="112">
        <v>12</v>
      </c>
      <c r="AC15" s="123">
        <f>W15+X15+Y15+Z15+AA15+AB15</f>
        <v>199.55620000000584</v>
      </c>
      <c r="AD15" s="110">
        <v>2094608.0986000593</v>
      </c>
      <c r="AE15" s="113"/>
      <c r="AF15" s="129">
        <v>22</v>
      </c>
      <c r="AG15" s="131">
        <v>60.899999999999181</v>
      </c>
      <c r="AH15" s="130">
        <f>AF15+AG15</f>
        <v>82.899999999999181</v>
      </c>
      <c r="AI15" s="133">
        <v>758534.99999999255</v>
      </c>
      <c r="AJ15" s="21"/>
    </row>
    <row r="16" spans="1:36" ht="15">
      <c r="A16" s="19"/>
      <c r="B16" s="64">
        <v>10</v>
      </c>
      <c r="C16" s="65">
        <v>43</v>
      </c>
      <c r="D16" s="65">
        <v>601</v>
      </c>
      <c r="E16" s="124">
        <v>19480.000000010477</v>
      </c>
      <c r="F16" s="124">
        <v>21185844.120011393</v>
      </c>
      <c r="G16" s="111">
        <v>4119.9999999989814</v>
      </c>
      <c r="H16" s="111">
        <v>6721176.4199983394</v>
      </c>
      <c r="I16" s="105">
        <f>F16+H16</f>
        <v>27907020.540009733</v>
      </c>
      <c r="J16" s="158">
        <v>2380.0000000001091</v>
      </c>
      <c r="K16" s="158">
        <v>2588414.2200001189</v>
      </c>
      <c r="L16" s="120">
        <v>560.00000000005912</v>
      </c>
      <c r="M16" s="122">
        <v>913557.96000009659</v>
      </c>
      <c r="N16" s="107">
        <f>K16+M16</f>
        <v>3501972.1800002158</v>
      </c>
      <c r="O16" s="105">
        <f>I16+N16</f>
        <v>31408992.720009949</v>
      </c>
      <c r="P16" s="107">
        <f>E16+G16+J16+L16</f>
        <v>26540.000000009626</v>
      </c>
      <c r="Q16" s="123">
        <f>R16+T16</f>
        <v>365</v>
      </c>
      <c r="R16" s="124">
        <v>43</v>
      </c>
      <c r="S16" s="124">
        <v>772717.74</v>
      </c>
      <c r="T16" s="117">
        <v>322</v>
      </c>
      <c r="U16" s="117">
        <v>1520983.1</v>
      </c>
      <c r="V16" s="115">
        <f>S16+U16</f>
        <v>2293700.84</v>
      </c>
      <c r="W16" s="126">
        <v>129.33908000000233</v>
      </c>
      <c r="X16" s="112"/>
      <c r="Y16" s="110"/>
      <c r="Z16" s="112"/>
      <c r="AA16" s="112"/>
      <c r="AB16" s="112">
        <v>0</v>
      </c>
      <c r="AC16" s="123">
        <f>W16+X16+Y16+Z16+AA16+AB16</f>
        <v>129.33908000000233</v>
      </c>
      <c r="AD16" s="110">
        <v>1313179.6792400237</v>
      </c>
      <c r="AE16" s="113"/>
      <c r="AF16" s="129">
        <v>0</v>
      </c>
      <c r="AG16" s="131">
        <v>0</v>
      </c>
      <c r="AH16" s="130">
        <f>AF16+AG16</f>
        <v>0</v>
      </c>
      <c r="AI16" s="133">
        <v>0</v>
      </c>
      <c r="AJ16" s="21"/>
    </row>
    <row r="17" spans="1:36" ht="15">
      <c r="A17" s="19"/>
      <c r="B17" s="81">
        <v>11</v>
      </c>
      <c r="C17" s="65">
        <v>37</v>
      </c>
      <c r="D17" s="65">
        <v>438</v>
      </c>
      <c r="E17" s="124">
        <v>21480</v>
      </c>
      <c r="F17" s="124">
        <v>23360982.120000001</v>
      </c>
      <c r="G17" s="111">
        <v>4080</v>
      </c>
      <c r="H17" s="111">
        <v>6655922.2800000012</v>
      </c>
      <c r="I17" s="105">
        <f>F17+H17</f>
        <v>30016904.400000002</v>
      </c>
      <c r="J17" s="158">
        <v>2319.999999999709</v>
      </c>
      <c r="K17" s="158">
        <v>2523160.0799996834</v>
      </c>
      <c r="L17" s="120">
        <v>559.99999999994543</v>
      </c>
      <c r="M17" s="122">
        <v>913557.95999991102</v>
      </c>
      <c r="N17" s="107">
        <f>K17+M17</f>
        <v>3436718.0399995944</v>
      </c>
      <c r="O17" s="105">
        <f>I17+N17</f>
        <v>33453622.439999595</v>
      </c>
      <c r="P17" s="107">
        <f>E17+G17+J17+L17</f>
        <v>28439.999999999654</v>
      </c>
      <c r="Q17" s="123">
        <f>R17+T17</f>
        <v>440</v>
      </c>
      <c r="R17" s="124">
        <v>65</v>
      </c>
      <c r="S17" s="124">
        <v>1168061.7</v>
      </c>
      <c r="T17" s="117">
        <v>375</v>
      </c>
      <c r="U17" s="117">
        <v>1771331.25</v>
      </c>
      <c r="V17" s="115">
        <f>S17+U17</f>
        <v>2939392.95</v>
      </c>
      <c r="W17" s="126">
        <v>146.45808000000233</v>
      </c>
      <c r="X17" s="112">
        <v>250</v>
      </c>
      <c r="Y17" s="110">
        <v>400</v>
      </c>
      <c r="Z17" s="112"/>
      <c r="AA17" s="112"/>
      <c r="AB17" s="112">
        <v>36</v>
      </c>
      <c r="AC17" s="123">
        <f>W17+X17+Y17+Z17+AA17+AB17</f>
        <v>832.45808000000238</v>
      </c>
      <c r="AD17" s="110">
        <v>9165988.8862400241</v>
      </c>
      <c r="AE17" s="113"/>
      <c r="AF17" s="129">
        <v>393.36000000000058</v>
      </c>
      <c r="AG17" s="131">
        <v>962.5</v>
      </c>
      <c r="AH17" s="130">
        <f>AF17+AG17</f>
        <v>1355.8600000000006</v>
      </c>
      <c r="AI17" s="133">
        <v>12406119.000000006</v>
      </c>
      <c r="AJ17" s="21"/>
    </row>
    <row r="18" spans="1:36" ht="15">
      <c r="A18" s="19"/>
      <c r="B18" s="64">
        <v>12</v>
      </c>
      <c r="C18" s="65">
        <v>50</v>
      </c>
      <c r="D18" s="65">
        <v>369</v>
      </c>
      <c r="E18" s="124">
        <v>20560</v>
      </c>
      <c r="F18" s="124">
        <v>22360418.640000001</v>
      </c>
      <c r="G18" s="111">
        <v>4279.9999999999991</v>
      </c>
      <c r="H18" s="111">
        <v>6982192.9799999986</v>
      </c>
      <c r="I18" s="105">
        <f>F18+H18</f>
        <v>29342611.619999997</v>
      </c>
      <c r="J18" s="158">
        <v>2420.0000000000728</v>
      </c>
      <c r="K18" s="158">
        <v>2631916.9800000791</v>
      </c>
      <c r="L18" s="120">
        <v>519.99999999998181</v>
      </c>
      <c r="M18" s="122">
        <v>848303.81999997038</v>
      </c>
      <c r="N18" s="107">
        <f>K18+M18</f>
        <v>3480220.8000000496</v>
      </c>
      <c r="O18" s="105">
        <f>I18+N18</f>
        <v>32822832.420000046</v>
      </c>
      <c r="P18" s="107">
        <f>E18+G18+J18+L18</f>
        <v>27780.000000000055</v>
      </c>
      <c r="Q18" s="123">
        <f>R18+T18</f>
        <v>547</v>
      </c>
      <c r="R18" s="124">
        <v>176</v>
      </c>
      <c r="S18" s="124">
        <v>3162751.68</v>
      </c>
      <c r="T18" s="117">
        <v>371</v>
      </c>
      <c r="U18" s="117">
        <v>1752437.05</v>
      </c>
      <c r="V18" s="115">
        <f>S18+U18</f>
        <v>4915188.7300000004</v>
      </c>
      <c r="W18" s="126">
        <v>135.38108000000233</v>
      </c>
      <c r="X18" s="112"/>
      <c r="Y18" s="110"/>
      <c r="Z18" s="112"/>
      <c r="AA18" s="112"/>
      <c r="AB18" s="112">
        <v>0</v>
      </c>
      <c r="AC18" s="123">
        <f>W18+X18+Y18+Z18+AA18+AB18</f>
        <v>135.38108000000233</v>
      </c>
      <c r="AD18" s="110">
        <v>1374524.1052400237</v>
      </c>
      <c r="AE18" s="113"/>
      <c r="AF18" s="129">
        <v>423.23999999999978</v>
      </c>
      <c r="AG18" s="131">
        <v>0</v>
      </c>
      <c r="AH18" s="130">
        <f>AF18+AG18</f>
        <v>423.23999999999978</v>
      </c>
      <c r="AI18" s="133">
        <v>3872645.9999999981</v>
      </c>
      <c r="AJ18" s="21"/>
    </row>
    <row r="19" spans="1:36" ht="15">
      <c r="A19" s="19"/>
      <c r="B19" s="81">
        <v>13</v>
      </c>
      <c r="C19" s="65">
        <v>103</v>
      </c>
      <c r="D19" s="65">
        <v>603</v>
      </c>
      <c r="E19" s="124">
        <v>20480.000000000004</v>
      </c>
      <c r="F19" s="124">
        <v>22273413.120000005</v>
      </c>
      <c r="G19" s="111">
        <v>4440.0000000000009</v>
      </c>
      <c r="H19" s="111">
        <v>7243209.5400000019</v>
      </c>
      <c r="I19" s="105">
        <f>F19+H19</f>
        <v>29516622.660000008</v>
      </c>
      <c r="J19" s="158">
        <v>2340.0000000001455</v>
      </c>
      <c r="K19" s="158">
        <v>2544911.4600001583</v>
      </c>
      <c r="L19" s="120">
        <v>539.99999999996362</v>
      </c>
      <c r="M19" s="122">
        <v>880930.88999994064</v>
      </c>
      <c r="N19" s="107">
        <f>K19+M19</f>
        <v>3425842.3500000988</v>
      </c>
      <c r="O19" s="105">
        <f>I19+N19</f>
        <v>32942465.010000106</v>
      </c>
      <c r="P19" s="107">
        <f>E19+G19+J19+L19</f>
        <v>27800.000000000113</v>
      </c>
      <c r="Q19" s="123">
        <f>R19+T19</f>
        <v>667</v>
      </c>
      <c r="R19" s="124">
        <v>203</v>
      </c>
      <c r="S19" s="124">
        <v>3647946.54</v>
      </c>
      <c r="T19" s="117">
        <v>464</v>
      </c>
      <c r="U19" s="117">
        <v>2191727.2000000002</v>
      </c>
      <c r="V19" s="115">
        <f>S19+U19</f>
        <v>5839673.7400000002</v>
      </c>
      <c r="W19" s="126">
        <v>134.0115599999871</v>
      </c>
      <c r="X19" s="112"/>
      <c r="Y19" s="110"/>
      <c r="Z19" s="112"/>
      <c r="AA19" s="112"/>
      <c r="AB19" s="112">
        <v>12</v>
      </c>
      <c r="AC19" s="123">
        <f>W19+X19+Y19+Z19+AA19+AB19</f>
        <v>146.0115599999871</v>
      </c>
      <c r="AD19" s="110">
        <v>1500119.368679869</v>
      </c>
      <c r="AE19" s="113"/>
      <c r="AF19" s="129">
        <v>400.94999999999891</v>
      </c>
      <c r="AG19" s="131">
        <v>0</v>
      </c>
      <c r="AH19" s="130">
        <f>AF19+AG19</f>
        <v>400.94999999999891</v>
      </c>
      <c r="AI19" s="133">
        <v>3668692.4999999902</v>
      </c>
      <c r="AJ19" s="21"/>
    </row>
    <row r="20" spans="1:36" ht="15">
      <c r="A20" s="19"/>
      <c r="B20" s="64">
        <v>14</v>
      </c>
      <c r="C20" s="65">
        <v>106</v>
      </c>
      <c r="D20" s="65">
        <v>564</v>
      </c>
      <c r="E20" s="124">
        <v>20559.999999999996</v>
      </c>
      <c r="F20" s="124">
        <v>22360418.639999997</v>
      </c>
      <c r="G20" s="111">
        <v>4359.9999999999991</v>
      </c>
      <c r="H20" s="111">
        <v>7112701.2599999998</v>
      </c>
      <c r="I20" s="105">
        <f>F20+H20</f>
        <v>29473119.899999999</v>
      </c>
      <c r="J20" s="158">
        <v>2159.9999999998545</v>
      </c>
      <c r="K20" s="158">
        <v>2349149.0399998422</v>
      </c>
      <c r="L20" s="120">
        <v>540.00000000007731</v>
      </c>
      <c r="M20" s="122">
        <v>880930.89000012621</v>
      </c>
      <c r="N20" s="107">
        <f>K20+M20</f>
        <v>3230079.9299999685</v>
      </c>
      <c r="O20" s="105">
        <f>I20+N20</f>
        <v>32703199.829999968</v>
      </c>
      <c r="P20" s="107">
        <f>E20+G20+J20+L20</f>
        <v>27619.999999999927</v>
      </c>
      <c r="Q20" s="123">
        <f>R20+T20</f>
        <v>746</v>
      </c>
      <c r="R20" s="124">
        <v>184</v>
      </c>
      <c r="S20" s="124">
        <v>3306513.12</v>
      </c>
      <c r="T20" s="117">
        <v>562</v>
      </c>
      <c r="U20" s="117">
        <v>2654635.1</v>
      </c>
      <c r="V20" s="115">
        <f>S20+U20</f>
        <v>5961148.2200000007</v>
      </c>
      <c r="W20" s="126">
        <v>136.06583999999529</v>
      </c>
      <c r="X20" s="112"/>
      <c r="Y20" s="110"/>
      <c r="Z20" s="112"/>
      <c r="AA20" s="112"/>
      <c r="AB20" s="112">
        <v>12</v>
      </c>
      <c r="AC20" s="123">
        <f>W20+X20+Y20+Z20+AA20+AB20</f>
        <v>148.06583999999529</v>
      </c>
      <c r="AD20" s="110">
        <v>1520976.4735199523</v>
      </c>
      <c r="AE20" s="113"/>
      <c r="AF20" s="129">
        <v>113.18000000000029</v>
      </c>
      <c r="AG20" s="131">
        <v>0</v>
      </c>
      <c r="AH20" s="130">
        <f>AF20+AG20</f>
        <v>113.18000000000029</v>
      </c>
      <c r="AI20" s="133">
        <v>1035597.0000000027</v>
      </c>
      <c r="AJ20" s="21"/>
    </row>
    <row r="21" spans="1:36" ht="15">
      <c r="A21" s="19"/>
      <c r="B21" s="81">
        <v>15</v>
      </c>
      <c r="C21" s="71">
        <v>104</v>
      </c>
      <c r="D21" s="71">
        <v>706</v>
      </c>
      <c r="E21" s="117">
        <v>20000</v>
      </c>
      <c r="F21" s="117">
        <v>21751380</v>
      </c>
      <c r="G21" s="114">
        <v>4280.0000000000009</v>
      </c>
      <c r="H21" s="114">
        <v>6982192.9800000023</v>
      </c>
      <c r="I21" s="105">
        <f>F21+H21</f>
        <v>28733572.980000004</v>
      </c>
      <c r="J21" s="114">
        <v>2420.0000000000728</v>
      </c>
      <c r="K21" s="114">
        <v>2631916.9800000791</v>
      </c>
      <c r="L21" s="114">
        <v>500</v>
      </c>
      <c r="M21" s="117">
        <v>815676.75</v>
      </c>
      <c r="N21" s="107">
        <f>K21+M21</f>
        <v>3447593.7300000791</v>
      </c>
      <c r="O21" s="105">
        <f>I21+N21</f>
        <v>32181166.710000083</v>
      </c>
      <c r="P21" s="107">
        <f>E21+G21+J21+L21</f>
        <v>27200.000000000073</v>
      </c>
      <c r="Q21" s="123">
        <f>R21+T21</f>
        <v>769</v>
      </c>
      <c r="R21" s="124">
        <v>241</v>
      </c>
      <c r="S21" s="124">
        <v>4330813.38</v>
      </c>
      <c r="T21" s="117">
        <v>528</v>
      </c>
      <c r="U21" s="117">
        <v>2494034.4</v>
      </c>
      <c r="V21" s="115">
        <f>S21+U21</f>
        <v>6824847.7799999993</v>
      </c>
      <c r="W21" s="126">
        <v>130.46692000002696</v>
      </c>
      <c r="X21" s="112"/>
      <c r="Y21" s="110"/>
      <c r="Z21" s="112"/>
      <c r="AA21" s="112"/>
      <c r="AB21" s="112">
        <v>36</v>
      </c>
      <c r="AC21" s="123">
        <f>W21+X21+Y21+Z21+AA21+AB21</f>
        <v>166.46692000002696</v>
      </c>
      <c r="AD21" s="110">
        <v>1743130.6387602738</v>
      </c>
      <c r="AE21" s="113"/>
      <c r="AF21" s="129">
        <v>0</v>
      </c>
      <c r="AG21" s="131">
        <v>9.9999999999909051E-2</v>
      </c>
      <c r="AH21" s="130">
        <f>AF21+AG21</f>
        <v>9.9999999999909051E-2</v>
      </c>
      <c r="AI21" s="133">
        <v>914.99999999916781</v>
      </c>
      <c r="AJ21" s="21"/>
    </row>
    <row r="22" spans="1:36" ht="15">
      <c r="A22" s="19"/>
      <c r="B22" s="64">
        <v>16</v>
      </c>
      <c r="C22" s="71">
        <v>99</v>
      </c>
      <c r="D22" s="71">
        <v>599</v>
      </c>
      <c r="E22" s="117">
        <v>20080</v>
      </c>
      <c r="F22" s="117">
        <v>21838385.52</v>
      </c>
      <c r="G22" s="114">
        <v>4160</v>
      </c>
      <c r="H22" s="114">
        <v>6786430.5600000005</v>
      </c>
      <c r="I22" s="105">
        <f>F22+H22</f>
        <v>28624816.079999998</v>
      </c>
      <c r="J22" s="114">
        <v>2260.0000000002183</v>
      </c>
      <c r="K22" s="114">
        <v>2457905.9400002374</v>
      </c>
      <c r="L22" s="114">
        <v>519.99999999998181</v>
      </c>
      <c r="M22" s="117">
        <v>848303.81999997038</v>
      </c>
      <c r="N22" s="107">
        <f>K22+M22</f>
        <v>3306209.7600002079</v>
      </c>
      <c r="O22" s="105">
        <f>I22+N22</f>
        <v>31931025.840000205</v>
      </c>
      <c r="P22" s="107">
        <f>E22+G22+J22+L22</f>
        <v>27020.0000000002</v>
      </c>
      <c r="Q22" s="123">
        <f>R22+T22</f>
        <v>757</v>
      </c>
      <c r="R22" s="124">
        <v>184</v>
      </c>
      <c r="S22" s="124">
        <v>3306513.12</v>
      </c>
      <c r="T22" s="117">
        <v>573</v>
      </c>
      <c r="U22" s="117">
        <v>2706594.15</v>
      </c>
      <c r="V22" s="115">
        <f>S22+U22</f>
        <v>6013107.2699999996</v>
      </c>
      <c r="W22" s="126">
        <v>133.76987999999648</v>
      </c>
      <c r="X22" s="112"/>
      <c r="Y22" s="110"/>
      <c r="Z22" s="112">
        <v>50</v>
      </c>
      <c r="AA22" s="112"/>
      <c r="AB22" s="112">
        <v>0</v>
      </c>
      <c r="AC22" s="123">
        <f>W22+X22+Y22+Z22+AA22+AB22</f>
        <v>183.76987999999648</v>
      </c>
      <c r="AD22" s="110">
        <v>1916665.5916399641</v>
      </c>
      <c r="AE22" s="113"/>
      <c r="AF22" s="129">
        <v>357.60000000000036</v>
      </c>
      <c r="AG22" s="131">
        <v>7.5</v>
      </c>
      <c r="AH22" s="130">
        <f>AF22+AG22</f>
        <v>365.10000000000036</v>
      </c>
      <c r="AI22" s="133">
        <v>3340665.0000000033</v>
      </c>
      <c r="AJ22" s="21"/>
    </row>
    <row r="23" spans="1:36" ht="15">
      <c r="A23" s="19"/>
      <c r="B23" s="81">
        <v>17</v>
      </c>
      <c r="C23" s="71">
        <v>92</v>
      </c>
      <c r="D23" s="71">
        <v>463</v>
      </c>
      <c r="E23" s="117">
        <v>19680.000000000007</v>
      </c>
      <c r="F23" s="117">
        <v>21403357.920000006</v>
      </c>
      <c r="G23" s="114">
        <v>4079.9999999999982</v>
      </c>
      <c r="H23" s="114">
        <v>6655922.2799999984</v>
      </c>
      <c r="I23" s="105">
        <f>F23+H23</f>
        <v>28059280.200000003</v>
      </c>
      <c r="J23" s="114">
        <v>2339.9999999996908</v>
      </c>
      <c r="K23" s="114">
        <v>2544911.4599996638</v>
      </c>
      <c r="L23" s="114">
        <v>539.99999999996362</v>
      </c>
      <c r="M23" s="117">
        <v>880930.88999994064</v>
      </c>
      <c r="N23" s="107">
        <f>K23+M23</f>
        <v>3425842.3499996043</v>
      </c>
      <c r="O23" s="105">
        <f>I23+N23</f>
        <v>31485122.549999606</v>
      </c>
      <c r="P23" s="107">
        <f>E23+G23+J23+L23</f>
        <v>26639.999999999662</v>
      </c>
      <c r="Q23" s="123">
        <f>R23+T23</f>
        <v>502</v>
      </c>
      <c r="R23" s="124">
        <v>11</v>
      </c>
      <c r="S23" s="124">
        <v>197671.98</v>
      </c>
      <c r="T23" s="117">
        <v>491</v>
      </c>
      <c r="U23" s="117">
        <v>2319263.0500000003</v>
      </c>
      <c r="V23" s="115">
        <f>S23+U23</f>
        <v>2516935.0300000003</v>
      </c>
      <c r="W23" s="126">
        <v>132.72259999998826</v>
      </c>
      <c r="X23" s="112">
        <v>250</v>
      </c>
      <c r="Y23" s="110">
        <v>400</v>
      </c>
      <c r="Z23" s="112"/>
      <c r="AA23" s="112"/>
      <c r="AB23" s="112">
        <v>0</v>
      </c>
      <c r="AC23" s="123">
        <f>W23+X23+Y23+Z23+AA23+AB23</f>
        <v>782.72259999998823</v>
      </c>
      <c r="AD23" s="110">
        <v>8608032.5577998813</v>
      </c>
      <c r="AE23" s="113"/>
      <c r="AF23" s="129">
        <v>495.96000000000095</v>
      </c>
      <c r="AG23" s="131">
        <v>0</v>
      </c>
      <c r="AH23" s="130">
        <f>AF23+AG23</f>
        <v>495.96000000000095</v>
      </c>
      <c r="AI23" s="133">
        <v>4538034.0000000084</v>
      </c>
      <c r="AJ23" s="21"/>
    </row>
    <row r="24" spans="1:36" ht="15">
      <c r="A24" s="19"/>
      <c r="B24" s="64">
        <v>18</v>
      </c>
      <c r="C24" s="71">
        <v>94</v>
      </c>
      <c r="D24" s="71">
        <v>689</v>
      </c>
      <c r="E24" s="117">
        <v>19280</v>
      </c>
      <c r="F24" s="117">
        <v>20968330.32</v>
      </c>
      <c r="G24" s="114">
        <v>4079.9999999999982</v>
      </c>
      <c r="H24" s="114">
        <v>6655922.2799999984</v>
      </c>
      <c r="I24" s="105">
        <f>F24+H24</f>
        <v>27624252.599999998</v>
      </c>
      <c r="J24" s="114">
        <v>2079.9999999999272</v>
      </c>
      <c r="K24" s="118">
        <v>2262143.5199999209</v>
      </c>
      <c r="L24" s="114">
        <v>519.99999999998181</v>
      </c>
      <c r="M24" s="117">
        <v>848303.81999997038</v>
      </c>
      <c r="N24" s="107">
        <f>K24+M24</f>
        <v>3110447.3399998914</v>
      </c>
      <c r="O24" s="105">
        <f>I24+N24</f>
        <v>30734699.93999989</v>
      </c>
      <c r="P24" s="107">
        <f>E24+G24+J24+L24</f>
        <v>25959.999999999909</v>
      </c>
      <c r="Q24" s="123">
        <f>R24+T24</f>
        <v>550</v>
      </c>
      <c r="R24" s="124">
        <v>36</v>
      </c>
      <c r="S24" s="124">
        <v>646926.48</v>
      </c>
      <c r="T24" s="117">
        <v>514</v>
      </c>
      <c r="U24" s="117">
        <v>2427904.7000000002</v>
      </c>
      <c r="V24" s="115">
        <f>S24+U24</f>
        <v>3074831.18</v>
      </c>
      <c r="W24" s="126">
        <v>130.82944000001288</v>
      </c>
      <c r="X24" s="112"/>
      <c r="Y24" s="110"/>
      <c r="Z24" s="112"/>
      <c r="AA24" s="112"/>
      <c r="AB24" s="112">
        <v>36</v>
      </c>
      <c r="AC24" s="123">
        <f>W24+X24+Y24+Z24+AA24+AB24</f>
        <v>166.82944000001288</v>
      </c>
      <c r="AD24" s="110">
        <v>1746811.3043201307</v>
      </c>
      <c r="AE24" s="113"/>
      <c r="AF24" s="129">
        <v>494.3799999999992</v>
      </c>
      <c r="AG24" s="131">
        <v>4.1000000000008185</v>
      </c>
      <c r="AH24" s="130">
        <f>AF24+AG24</f>
        <v>498.48</v>
      </c>
      <c r="AI24" s="133">
        <v>4561092</v>
      </c>
      <c r="AJ24" s="21"/>
    </row>
    <row r="25" spans="1:36" ht="15">
      <c r="A25" s="19"/>
      <c r="B25" s="81">
        <v>19</v>
      </c>
      <c r="C25" s="71">
        <v>29</v>
      </c>
      <c r="D25" s="71">
        <v>446</v>
      </c>
      <c r="E25" s="117">
        <v>18079.999999999985</v>
      </c>
      <c r="F25" s="117">
        <v>19663247.519999985</v>
      </c>
      <c r="G25" s="114">
        <v>3880.0000000000027</v>
      </c>
      <c r="H25" s="114">
        <v>6329651.5800000047</v>
      </c>
      <c r="I25" s="105">
        <f>F25+H25</f>
        <v>25992899.09999999</v>
      </c>
      <c r="J25" s="114">
        <v>2079.9999999999272</v>
      </c>
      <c r="K25" s="114">
        <v>2262143.5199999209</v>
      </c>
      <c r="L25" s="114">
        <v>540.00000000007731</v>
      </c>
      <c r="M25" s="117">
        <v>880930.89000012621</v>
      </c>
      <c r="N25" s="107">
        <f>K25+M25</f>
        <v>3143074.4100000472</v>
      </c>
      <c r="O25" s="105">
        <f>I25+N25</f>
        <v>29135973.510000039</v>
      </c>
      <c r="P25" s="107">
        <f>E25+G25+J25+L25</f>
        <v>24579.999999999993</v>
      </c>
      <c r="Q25" s="123">
        <f>R25+T25</f>
        <v>988</v>
      </c>
      <c r="R25" s="124">
        <v>262</v>
      </c>
      <c r="S25" s="124">
        <v>4708187.16</v>
      </c>
      <c r="T25" s="117">
        <v>726</v>
      </c>
      <c r="U25" s="117">
        <v>3429297.3000000003</v>
      </c>
      <c r="V25" s="115">
        <f>S25+U25</f>
        <v>8137484.4600000009</v>
      </c>
      <c r="W25" s="126">
        <v>105.33219999997654</v>
      </c>
      <c r="X25" s="112"/>
      <c r="Y25" s="110"/>
      <c r="Z25" s="112"/>
      <c r="AA25" s="112"/>
      <c r="AB25" s="112">
        <v>12</v>
      </c>
      <c r="AC25" s="123">
        <f>W25+X25+Y25+Z25+AA25+AB25</f>
        <v>117.33219999997654</v>
      </c>
      <c r="AD25" s="110">
        <v>1208937.8265997618</v>
      </c>
      <c r="AE25" s="113"/>
      <c r="AF25" s="129">
        <v>521.32999999999993</v>
      </c>
      <c r="AG25" s="131">
        <v>0</v>
      </c>
      <c r="AH25" s="130">
        <f>AF25+AG25</f>
        <v>521.32999999999993</v>
      </c>
      <c r="AI25" s="133">
        <v>4770169.4999999991</v>
      </c>
      <c r="AJ25" s="21"/>
    </row>
    <row r="26" spans="1:36" ht="15">
      <c r="A26" s="19"/>
      <c r="B26" s="64">
        <v>20</v>
      </c>
      <c r="C26" s="71">
        <v>18</v>
      </c>
      <c r="D26" s="71">
        <v>367</v>
      </c>
      <c r="E26" s="117">
        <v>17800.000000000011</v>
      </c>
      <c r="F26" s="117">
        <v>19358728.200000014</v>
      </c>
      <c r="G26" s="114">
        <v>3679.9999999999995</v>
      </c>
      <c r="H26" s="114">
        <v>6003380.8799999999</v>
      </c>
      <c r="I26" s="105">
        <f>F26+H26</f>
        <v>25362109.080000013</v>
      </c>
      <c r="J26" s="114">
        <v>2140.0000000003274</v>
      </c>
      <c r="K26" s="114">
        <v>2327397.6600003564</v>
      </c>
      <c r="L26" s="114">
        <v>539.99999999996362</v>
      </c>
      <c r="M26" s="117">
        <v>880930.88999994064</v>
      </c>
      <c r="N26" s="107">
        <f>K26+M26</f>
        <v>3208328.5500002969</v>
      </c>
      <c r="O26" s="105">
        <f>I26+N26</f>
        <v>28570437.630000308</v>
      </c>
      <c r="P26" s="107">
        <f>E26+G26+J26+L26</f>
        <v>24160.000000000302</v>
      </c>
      <c r="Q26" s="123">
        <f>R26+T26</f>
        <v>453</v>
      </c>
      <c r="R26" s="124">
        <v>218</v>
      </c>
      <c r="S26" s="124">
        <v>3917499.24</v>
      </c>
      <c r="T26" s="117">
        <v>235</v>
      </c>
      <c r="U26" s="117">
        <v>1110034.25</v>
      </c>
      <c r="V26" s="115">
        <f>S26+U26</f>
        <v>5027533.49</v>
      </c>
      <c r="W26" s="126">
        <v>98.202640000018746</v>
      </c>
      <c r="X26" s="112"/>
      <c r="Y26" s="110"/>
      <c r="Z26" s="112"/>
      <c r="AA26" s="112"/>
      <c r="AB26" s="112">
        <v>12</v>
      </c>
      <c r="AC26" s="123">
        <f>W26+X26+Y26+Z26+AA26+AB26</f>
        <v>110.20264000001875</v>
      </c>
      <c r="AD26" s="110">
        <v>1136551.4039201904</v>
      </c>
      <c r="AE26" s="113"/>
      <c r="AF26" s="129">
        <v>461.39999999999964</v>
      </c>
      <c r="AG26" s="131">
        <v>4.1000000000008185</v>
      </c>
      <c r="AH26" s="130">
        <f>AF26+AG26</f>
        <v>465.50000000000045</v>
      </c>
      <c r="AI26" s="133">
        <v>4259325.0000000037</v>
      </c>
      <c r="AJ26" s="21"/>
    </row>
    <row r="27" spans="1:36" ht="15">
      <c r="A27" s="19"/>
      <c r="B27" s="81">
        <v>21</v>
      </c>
      <c r="C27" s="65">
        <v>20</v>
      </c>
      <c r="D27" s="65">
        <v>287</v>
      </c>
      <c r="E27" s="124">
        <v>18199.999999999989</v>
      </c>
      <c r="F27" s="124">
        <v>19793755.79999999</v>
      </c>
      <c r="G27" s="111">
        <v>3719.9999999999991</v>
      </c>
      <c r="H27" s="111">
        <v>6068635.0199999986</v>
      </c>
      <c r="I27" s="105">
        <f>F27+H27</f>
        <v>25862390.819999989</v>
      </c>
      <c r="J27" s="158">
        <v>1939.9999999995998</v>
      </c>
      <c r="K27" s="158">
        <v>2109883.8599995649</v>
      </c>
      <c r="L27" s="120">
        <v>340.00000000003183</v>
      </c>
      <c r="M27" s="122">
        <v>554660.19000005198</v>
      </c>
      <c r="N27" s="107">
        <f>K27+M27</f>
        <v>2664544.049999617</v>
      </c>
      <c r="O27" s="105">
        <f>I27+N27</f>
        <v>28526934.869999606</v>
      </c>
      <c r="P27" s="107">
        <f>E27+G27+J27+L27</f>
        <v>24199.999999999622</v>
      </c>
      <c r="Q27" s="123">
        <f>R27+T27</f>
        <v>219</v>
      </c>
      <c r="R27" s="124">
        <v>219</v>
      </c>
      <c r="S27" s="124">
        <v>3935469.42</v>
      </c>
      <c r="T27" s="117">
        <v>0</v>
      </c>
      <c r="U27" s="117">
        <v>0</v>
      </c>
      <c r="V27" s="115">
        <f>S27+U27</f>
        <v>3935469.42</v>
      </c>
      <c r="W27" s="126">
        <v>114.87855999998709</v>
      </c>
      <c r="X27" s="112"/>
      <c r="Y27" s="110"/>
      <c r="Z27" s="112"/>
      <c r="AA27" s="112"/>
      <c r="AB27" s="112">
        <v>12</v>
      </c>
      <c r="AC27" s="123">
        <f>W27+X27+Y27+Z27+AA27+AB27</f>
        <v>126.87855999998709</v>
      </c>
      <c r="AD27" s="110">
        <v>1305862.0196798688</v>
      </c>
      <c r="AE27" s="113"/>
      <c r="AF27" s="129">
        <v>411.47000000000116</v>
      </c>
      <c r="AG27" s="131">
        <v>4.1999999999984539</v>
      </c>
      <c r="AH27" s="130">
        <f>AF27+AG27</f>
        <v>415.66999999999962</v>
      </c>
      <c r="AI27" s="133">
        <v>3803380.4999999963</v>
      </c>
      <c r="AJ27" s="21"/>
    </row>
    <row r="28" spans="1:36" ht="15">
      <c r="A28" s="19"/>
      <c r="B28" s="64">
        <v>22</v>
      </c>
      <c r="C28" s="65">
        <v>27</v>
      </c>
      <c r="D28" s="65">
        <v>264</v>
      </c>
      <c r="E28" s="124">
        <v>17680.000000000007</v>
      </c>
      <c r="F28" s="124">
        <v>19228219.920000006</v>
      </c>
      <c r="G28" s="111">
        <v>3800.0000000000041</v>
      </c>
      <c r="H28" s="111">
        <v>6199143.3000000073</v>
      </c>
      <c r="I28" s="105">
        <f>F28+H28</f>
        <v>25427363.220000014</v>
      </c>
      <c r="J28" s="158">
        <v>1980.0000000004729</v>
      </c>
      <c r="K28" s="158">
        <v>2153386.6200005142</v>
      </c>
      <c r="L28" s="120">
        <v>679.99999999994998</v>
      </c>
      <c r="M28" s="122">
        <v>1109320.3799999184</v>
      </c>
      <c r="N28" s="107">
        <f>K28+M28</f>
        <v>3262707.0000004326</v>
      </c>
      <c r="O28" s="105">
        <f>I28+N28</f>
        <v>28690070.220000446</v>
      </c>
      <c r="P28" s="107">
        <f>E28+G28+J28+L28</f>
        <v>24140.000000000433</v>
      </c>
      <c r="Q28" s="123">
        <f>R28+T28</f>
        <v>981</v>
      </c>
      <c r="R28" s="124">
        <v>240</v>
      </c>
      <c r="S28" s="124">
        <v>4312843.2</v>
      </c>
      <c r="T28" s="117">
        <v>741</v>
      </c>
      <c r="U28" s="117">
        <v>3500150.5500000003</v>
      </c>
      <c r="V28" s="115">
        <f>S28+U28</f>
        <v>7812993.75</v>
      </c>
      <c r="W28" s="126">
        <v>100.37775999999296</v>
      </c>
      <c r="X28" s="112">
        <v>250</v>
      </c>
      <c r="Y28" s="110">
        <v>400</v>
      </c>
      <c r="Z28" s="112">
        <v>50</v>
      </c>
      <c r="AA28" s="112"/>
      <c r="AB28" s="112">
        <v>0</v>
      </c>
      <c r="AC28" s="123">
        <f>W28+X28+Y28+Z28+AA28+AB28</f>
        <v>800.37775999999303</v>
      </c>
      <c r="AD28" s="110">
        <v>8838135.3972799294</v>
      </c>
      <c r="AE28" s="113"/>
      <c r="AF28" s="129">
        <v>346.15999999999985</v>
      </c>
      <c r="AG28" s="131">
        <v>0</v>
      </c>
      <c r="AH28" s="130">
        <f>AF28+AG28</f>
        <v>346.15999999999985</v>
      </c>
      <c r="AI28" s="133">
        <v>3167363.9999999986</v>
      </c>
      <c r="AJ28" s="21"/>
    </row>
    <row r="29" spans="1:36" ht="15">
      <c r="A29" s="19"/>
      <c r="B29" s="81">
        <v>23</v>
      </c>
      <c r="C29" s="65">
        <v>35</v>
      </c>
      <c r="D29" s="65">
        <v>232</v>
      </c>
      <c r="E29" s="124">
        <v>18360.000000000015</v>
      </c>
      <c r="F29" s="124">
        <v>19967766.840000018</v>
      </c>
      <c r="G29" s="111">
        <v>3879.9999999999955</v>
      </c>
      <c r="H29" s="111">
        <v>6329651.5799999926</v>
      </c>
      <c r="I29" s="105">
        <f>F29+H29</f>
        <v>26297418.420000009</v>
      </c>
      <c r="J29" s="158">
        <v>2119.9999999998909</v>
      </c>
      <c r="K29" s="158">
        <v>2305646.2799998815</v>
      </c>
      <c r="L29" s="120">
        <v>519.99999999998181</v>
      </c>
      <c r="M29" s="122">
        <v>848303.81999997038</v>
      </c>
      <c r="N29" s="107">
        <f>K29+M29</f>
        <v>3153950.099999852</v>
      </c>
      <c r="O29" s="105">
        <f>I29+N29</f>
        <v>29451368.519999862</v>
      </c>
      <c r="P29" s="107">
        <f>E29+G29+J29+L29</f>
        <v>24879.999999999884</v>
      </c>
      <c r="Q29" s="123">
        <f>R29+T29</f>
        <v>814</v>
      </c>
      <c r="R29" s="124">
        <v>232</v>
      </c>
      <c r="S29" s="124">
        <v>4169081.7600000002</v>
      </c>
      <c r="T29" s="117">
        <v>582</v>
      </c>
      <c r="U29" s="117">
        <v>2749106.1</v>
      </c>
      <c r="V29" s="115">
        <f>S29+U29</f>
        <v>6918187.8600000003</v>
      </c>
      <c r="W29" s="126">
        <v>91.838400000011717</v>
      </c>
      <c r="X29" s="112"/>
      <c r="Y29" s="110"/>
      <c r="Z29" s="112"/>
      <c r="AA29" s="112"/>
      <c r="AB29" s="112">
        <v>0</v>
      </c>
      <c r="AC29" s="123">
        <f>W29+X29+Y29+Z29+AA29+AB29</f>
        <v>91.838400000011717</v>
      </c>
      <c r="AD29" s="110">
        <v>932435.27520011901</v>
      </c>
      <c r="AE29" s="113"/>
      <c r="AF29" s="129">
        <v>460.43999999999869</v>
      </c>
      <c r="AG29" s="131">
        <v>400.19999999999982</v>
      </c>
      <c r="AH29" s="130">
        <f>AF29+AG29</f>
        <v>860.63999999999851</v>
      </c>
      <c r="AI29" s="133">
        <v>7874855.999999986</v>
      </c>
      <c r="AJ29" s="21"/>
    </row>
    <row r="30" spans="1:36" ht="15">
      <c r="A30" s="19"/>
      <c r="B30" s="64">
        <v>24</v>
      </c>
      <c r="C30" s="65">
        <v>40</v>
      </c>
      <c r="D30" s="65">
        <v>338</v>
      </c>
      <c r="E30" s="124">
        <v>19920.000000000015</v>
      </c>
      <c r="F30" s="124">
        <v>21664374.480000019</v>
      </c>
      <c r="G30" s="111">
        <v>3840.0000000000036</v>
      </c>
      <c r="H30" s="111">
        <v>6264397.4400000069</v>
      </c>
      <c r="I30" s="105">
        <f>F30+H30</f>
        <v>27928771.920000024</v>
      </c>
      <c r="J30" s="158">
        <v>2180.000000000291</v>
      </c>
      <c r="K30" s="158">
        <v>2370900.4200003166</v>
      </c>
      <c r="L30" s="120">
        <v>520.0000000000955</v>
      </c>
      <c r="M30" s="122">
        <v>848303.82000015595</v>
      </c>
      <c r="N30" s="107">
        <f>K30+M30</f>
        <v>3219204.2400004724</v>
      </c>
      <c r="O30" s="105">
        <f>I30+N30</f>
        <v>31147976.160000496</v>
      </c>
      <c r="P30" s="107">
        <f>E30+G30+J30+L30</f>
        <v>26460.000000000404</v>
      </c>
      <c r="Q30" s="123">
        <f>R30+T30</f>
        <v>791</v>
      </c>
      <c r="R30" s="124">
        <v>228</v>
      </c>
      <c r="S30" s="124">
        <v>4097201.04</v>
      </c>
      <c r="T30" s="117">
        <v>563</v>
      </c>
      <c r="U30" s="117">
        <v>2659358.65</v>
      </c>
      <c r="V30" s="115">
        <f>S30+U30</f>
        <v>6756559.6899999995</v>
      </c>
      <c r="W30" s="126">
        <v>86.440879999996469</v>
      </c>
      <c r="X30" s="112"/>
      <c r="Y30" s="110"/>
      <c r="Z30" s="112"/>
      <c r="AA30" s="112"/>
      <c r="AB30" s="112">
        <v>0</v>
      </c>
      <c r="AC30" s="123">
        <f>W30+X30+Y30+Z30+AA30+AB30</f>
        <v>86.440879999996469</v>
      </c>
      <c r="AD30" s="110">
        <v>877634.2546399642</v>
      </c>
      <c r="AE30" s="113"/>
      <c r="AF30" s="129">
        <v>586.32000000000153</v>
      </c>
      <c r="AG30" s="131">
        <v>0</v>
      </c>
      <c r="AH30" s="130">
        <f>AF30+AG30</f>
        <v>586.32000000000153</v>
      </c>
      <c r="AI30" s="133">
        <v>5364828.000000014</v>
      </c>
      <c r="AJ30" s="21"/>
    </row>
    <row r="31" spans="1:36" ht="15">
      <c r="A31" s="19"/>
      <c r="B31" s="81">
        <v>25</v>
      </c>
      <c r="C31" s="65">
        <v>36</v>
      </c>
      <c r="D31" s="65">
        <v>418</v>
      </c>
      <c r="E31" s="124">
        <v>17639.999999999985</v>
      </c>
      <c r="F31" s="124">
        <v>19184717.159999985</v>
      </c>
      <c r="G31" s="111">
        <v>3879.9999999999955</v>
      </c>
      <c r="H31" s="111">
        <v>6329651.5799999926</v>
      </c>
      <c r="I31" s="105">
        <f>F31+H31</f>
        <v>25514368.73999998</v>
      </c>
      <c r="J31" s="158">
        <v>2179.9999999993815</v>
      </c>
      <c r="K31" s="158">
        <v>2370900.419999327</v>
      </c>
      <c r="L31" s="120">
        <v>539.99999999996362</v>
      </c>
      <c r="M31" s="122">
        <v>880930.88999994064</v>
      </c>
      <c r="N31" s="107">
        <f>K31+M31</f>
        <v>3251831.3099992676</v>
      </c>
      <c r="O31" s="105">
        <f>I31+N31</f>
        <v>28766200.049999248</v>
      </c>
      <c r="P31" s="107">
        <f>E31+G31+J31+L31</f>
        <v>24239.999999999327</v>
      </c>
      <c r="Q31" s="123">
        <f>R31+T31</f>
        <v>832</v>
      </c>
      <c r="R31" s="124">
        <v>233</v>
      </c>
      <c r="S31" s="124">
        <v>4187051.94</v>
      </c>
      <c r="T31" s="117">
        <v>599</v>
      </c>
      <c r="U31" s="117">
        <v>2829406.45</v>
      </c>
      <c r="V31" s="115">
        <f>S31+U31</f>
        <v>7016458.3900000006</v>
      </c>
      <c r="W31" s="126">
        <v>101.30420000000585</v>
      </c>
      <c r="X31" s="112"/>
      <c r="Y31" s="110"/>
      <c r="Z31" s="112"/>
      <c r="AA31" s="112"/>
      <c r="AB31" s="112">
        <v>0</v>
      </c>
      <c r="AC31" s="123">
        <f>W31+X31+Y31+Z31+AA31+AB31</f>
        <v>101.30420000000585</v>
      </c>
      <c r="AD31" s="110">
        <v>1028541.5426000594</v>
      </c>
      <c r="AE31" s="113"/>
      <c r="AF31" s="129">
        <v>510.20999999999913</v>
      </c>
      <c r="AG31" s="131">
        <v>0</v>
      </c>
      <c r="AH31" s="130">
        <f>AF31+AG31</f>
        <v>510.20999999999913</v>
      </c>
      <c r="AI31" s="133">
        <v>4668421.4999999916</v>
      </c>
      <c r="AJ31" s="21"/>
    </row>
    <row r="32" spans="1:36" ht="15">
      <c r="A32" s="19"/>
      <c r="B32" s="64">
        <v>26</v>
      </c>
      <c r="C32" s="65">
        <v>37</v>
      </c>
      <c r="D32" s="65">
        <v>399</v>
      </c>
      <c r="E32" s="124">
        <v>18039.999999999964</v>
      </c>
      <c r="F32" s="124">
        <v>19619744.759999961</v>
      </c>
      <c r="G32" s="111">
        <v>3600.0000000000086</v>
      </c>
      <c r="H32" s="111">
        <v>5872872.6000000145</v>
      </c>
      <c r="I32" s="105">
        <f>F32+H32</f>
        <v>25492617.359999977</v>
      </c>
      <c r="J32" s="158">
        <v>2200.0000000007276</v>
      </c>
      <c r="K32" s="158">
        <v>2392651.8000007914</v>
      </c>
      <c r="L32" s="120">
        <v>519.99999999998181</v>
      </c>
      <c r="M32" s="122">
        <v>848303.81999997038</v>
      </c>
      <c r="N32" s="107">
        <f>K32+M32</f>
        <v>3240955.6200007619</v>
      </c>
      <c r="O32" s="105">
        <f>I32+N32</f>
        <v>28733572.980000738</v>
      </c>
      <c r="P32" s="107">
        <f>E32+G32+J32+L32</f>
        <v>24360.00000000068</v>
      </c>
      <c r="Q32" s="123">
        <f>R32+T32</f>
        <v>774</v>
      </c>
      <c r="R32" s="124">
        <v>189</v>
      </c>
      <c r="S32" s="124">
        <v>3396364.02</v>
      </c>
      <c r="T32" s="117">
        <v>585</v>
      </c>
      <c r="U32" s="117">
        <v>2763276.75</v>
      </c>
      <c r="V32" s="115">
        <f>S32+U32</f>
        <v>6159640.7699999996</v>
      </c>
      <c r="W32" s="126">
        <v>101.50559999998826</v>
      </c>
      <c r="X32" s="112"/>
      <c r="Y32" s="110"/>
      <c r="Z32" s="112"/>
      <c r="AA32" s="112"/>
      <c r="AB32" s="112">
        <v>24</v>
      </c>
      <c r="AC32" s="123">
        <f>W32+X32+Y32+Z32+AA32+AB32</f>
        <v>125.50559999998826</v>
      </c>
      <c r="AD32" s="110">
        <v>1309586.356799881</v>
      </c>
      <c r="AE32" s="113"/>
      <c r="AF32" s="129">
        <v>479.70000000000073</v>
      </c>
      <c r="AG32" s="131">
        <v>0</v>
      </c>
      <c r="AH32" s="130">
        <f>AF32+AG32</f>
        <v>479.70000000000073</v>
      </c>
      <c r="AI32" s="133">
        <v>4389255.0000000065</v>
      </c>
      <c r="AJ32" s="21"/>
    </row>
    <row r="33" spans="1:36" ht="15">
      <c r="A33" s="19"/>
      <c r="B33" s="81">
        <v>27</v>
      </c>
      <c r="C33" s="65">
        <v>32</v>
      </c>
      <c r="D33" s="65">
        <v>477</v>
      </c>
      <c r="E33" s="124">
        <v>18160.000000000025</v>
      </c>
      <c r="F33" s="124">
        <v>19750253.040000029</v>
      </c>
      <c r="G33" s="111">
        <v>3759.9999999999909</v>
      </c>
      <c r="H33" s="111">
        <v>6133889.1599999862</v>
      </c>
      <c r="I33" s="105">
        <f>F33+H33</f>
        <v>25884142.200000014</v>
      </c>
      <c r="J33" s="158">
        <v>2000</v>
      </c>
      <c r="K33" s="158">
        <v>2175138</v>
      </c>
      <c r="L33" s="120">
        <v>519.99999999998181</v>
      </c>
      <c r="M33" s="122">
        <v>848303.81999997038</v>
      </c>
      <c r="N33" s="107">
        <f>K33+M33</f>
        <v>3023441.8199999705</v>
      </c>
      <c r="O33" s="105">
        <f>I33+N33</f>
        <v>28907584.019999985</v>
      </c>
      <c r="P33" s="107">
        <f>E33+G33+J33+L33</f>
        <v>24439.999999999996</v>
      </c>
      <c r="Q33" s="123">
        <f>R33+T33</f>
        <v>732</v>
      </c>
      <c r="R33" s="124">
        <v>214</v>
      </c>
      <c r="S33" s="124">
        <v>3845618.52</v>
      </c>
      <c r="T33" s="117">
        <v>518</v>
      </c>
      <c r="U33" s="117">
        <v>2446798.9</v>
      </c>
      <c r="V33" s="115">
        <f>S33+U33</f>
        <v>6292417.4199999999</v>
      </c>
      <c r="W33" s="126">
        <v>96.108080000002332</v>
      </c>
      <c r="X33" s="112"/>
      <c r="Y33" s="110">
        <v>400</v>
      </c>
      <c r="Z33" s="112"/>
      <c r="AA33" s="112"/>
      <c r="AB33" s="112">
        <v>0</v>
      </c>
      <c r="AC33" s="123">
        <f>W33+X33+Y33+Z33+AA33+AB33</f>
        <v>496.10808000000236</v>
      </c>
      <c r="AD33" s="110">
        <v>5443785.3362400234</v>
      </c>
      <c r="AE33" s="113"/>
      <c r="AF33" s="129">
        <v>486.44999999999891</v>
      </c>
      <c r="AG33" s="131">
        <v>0</v>
      </c>
      <c r="AH33" s="130">
        <f>AF33+AG33</f>
        <v>486.44999999999891</v>
      </c>
      <c r="AI33" s="133">
        <v>4451017.4999999898</v>
      </c>
      <c r="AJ33" s="21"/>
    </row>
    <row r="34" spans="1:36" ht="15">
      <c r="A34" s="19"/>
      <c r="B34" s="64">
        <v>28</v>
      </c>
      <c r="C34" s="65">
        <v>44</v>
      </c>
      <c r="D34" s="65">
        <v>363</v>
      </c>
      <c r="E34" s="124">
        <v>17519.999999999982</v>
      </c>
      <c r="F34" s="124">
        <v>19054208.87999998</v>
      </c>
      <c r="G34" s="111">
        <v>3640.0000000000005</v>
      </c>
      <c r="H34" s="111">
        <v>5938126.7400000012</v>
      </c>
      <c r="I34" s="105">
        <f>F34+H34</f>
        <v>24992335.619999982</v>
      </c>
      <c r="J34" s="158">
        <v>2079.9999999999272</v>
      </c>
      <c r="K34" s="158">
        <v>2262143.5199999209</v>
      </c>
      <c r="L34" s="120">
        <v>519.99999999998181</v>
      </c>
      <c r="M34" s="122">
        <v>848303.81999997038</v>
      </c>
      <c r="N34" s="107">
        <f>K34+M34</f>
        <v>3110447.3399998914</v>
      </c>
      <c r="O34" s="105">
        <f>I34+N34</f>
        <v>28102782.959999874</v>
      </c>
      <c r="P34" s="107">
        <f>E34+G34+J34+L34</f>
        <v>23759.999999999891</v>
      </c>
      <c r="Q34" s="123">
        <f>R34+T34</f>
        <v>667</v>
      </c>
      <c r="R34" s="124">
        <v>241</v>
      </c>
      <c r="S34" s="124">
        <v>4330813.38</v>
      </c>
      <c r="T34" s="117">
        <v>426</v>
      </c>
      <c r="U34" s="117">
        <v>2012232.3</v>
      </c>
      <c r="V34" s="115">
        <f>S34+U34</f>
        <v>6343045.6799999997</v>
      </c>
      <c r="W34" s="126">
        <v>106.94340000001171</v>
      </c>
      <c r="X34" s="112">
        <v>250</v>
      </c>
      <c r="Y34" s="110"/>
      <c r="Z34" s="112">
        <v>50</v>
      </c>
      <c r="AA34" s="112"/>
      <c r="AB34" s="112">
        <v>12</v>
      </c>
      <c r="AC34" s="123">
        <f>W34+X34+Y34+Z34+AA34+AB34</f>
        <v>418.94340000001171</v>
      </c>
      <c r="AD34" s="110">
        <v>4576296.3402001187</v>
      </c>
      <c r="AE34" s="113"/>
      <c r="AF34" s="129">
        <v>361.90999999999985</v>
      </c>
      <c r="AG34" s="131">
        <v>4.2000000000007276</v>
      </c>
      <c r="AH34" s="130">
        <f>AF34+AG34</f>
        <v>366.11000000000058</v>
      </c>
      <c r="AI34" s="133">
        <v>3349906.5000000051</v>
      </c>
      <c r="AJ34" s="21"/>
    </row>
    <row r="35" spans="1:36" ht="15">
      <c r="A35" s="19"/>
      <c r="B35" s="81">
        <v>29</v>
      </c>
      <c r="C35" s="65">
        <v>37</v>
      </c>
      <c r="D35" s="65">
        <v>412</v>
      </c>
      <c r="E35" s="124">
        <v>16560.000000000004</v>
      </c>
      <c r="F35" s="124">
        <v>18010142.640000004</v>
      </c>
      <c r="G35" s="111">
        <v>3519.9999999999959</v>
      </c>
      <c r="H35" s="111">
        <v>5742364.3199999938</v>
      </c>
      <c r="I35" s="105">
        <f>F35+H35</f>
        <v>23752506.959999997</v>
      </c>
      <c r="J35" s="158">
        <v>2119.9999999998909</v>
      </c>
      <c r="K35" s="158">
        <v>2305646.2799998815</v>
      </c>
      <c r="L35" s="120">
        <v>500</v>
      </c>
      <c r="M35" s="122">
        <v>815676.75</v>
      </c>
      <c r="N35" s="107">
        <f>K35+M35</f>
        <v>3121323.0299998815</v>
      </c>
      <c r="O35" s="105">
        <f>I35+N35</f>
        <v>26873829.989999879</v>
      </c>
      <c r="P35" s="107">
        <f>E35+G35+J35+L35</f>
        <v>22699.999999999891</v>
      </c>
      <c r="Q35" s="123">
        <f>R35+T35</f>
        <v>817</v>
      </c>
      <c r="R35" s="124">
        <v>263</v>
      </c>
      <c r="S35" s="124">
        <v>4726157.34</v>
      </c>
      <c r="T35" s="117">
        <v>554</v>
      </c>
      <c r="U35" s="117">
        <v>2616846.7000000002</v>
      </c>
      <c r="V35" s="115">
        <f>S35+U35</f>
        <v>7343004.04</v>
      </c>
      <c r="W35" s="126">
        <v>109.44075999999295</v>
      </c>
      <c r="X35" s="112"/>
      <c r="Y35" s="110"/>
      <c r="Z35" s="112"/>
      <c r="AA35" s="112"/>
      <c r="AB35" s="112">
        <v>12</v>
      </c>
      <c r="AC35" s="123">
        <f>W35+X35+Y35+Z35+AA35+AB35</f>
        <v>121.44075999999295</v>
      </c>
      <c r="AD35" s="110">
        <v>1250652.0362799284</v>
      </c>
      <c r="AE35" s="113"/>
      <c r="AF35" s="129">
        <v>325.81000000000131</v>
      </c>
      <c r="AG35" s="131">
        <v>7.9999999999995453</v>
      </c>
      <c r="AH35" s="130">
        <f>AF35+AG35</f>
        <v>333.81000000000085</v>
      </c>
      <c r="AI35" s="133">
        <v>3054361.5000000079</v>
      </c>
      <c r="AJ35" s="21"/>
    </row>
    <row r="36" spans="1:36" ht="15">
      <c r="A36" s="19"/>
      <c r="B36" s="64">
        <v>30</v>
      </c>
      <c r="C36" s="65">
        <v>44</v>
      </c>
      <c r="D36" s="65">
        <v>530</v>
      </c>
      <c r="E36" s="124">
        <v>17000</v>
      </c>
      <c r="F36" s="124">
        <v>18488673</v>
      </c>
      <c r="G36" s="111">
        <v>3560.0000000000023</v>
      </c>
      <c r="H36" s="111">
        <v>5807618.4600000046</v>
      </c>
      <c r="I36" s="105">
        <f>F36+H36</f>
        <v>24296291.460000005</v>
      </c>
      <c r="J36" s="158">
        <v>2119.9999999998909</v>
      </c>
      <c r="K36" s="158">
        <v>2305646.2799998815</v>
      </c>
      <c r="L36" s="120">
        <v>520.0000000000955</v>
      </c>
      <c r="M36" s="122">
        <v>848303.82000015595</v>
      </c>
      <c r="N36" s="107">
        <f>K36+M36</f>
        <v>3153950.1000000373</v>
      </c>
      <c r="O36" s="105">
        <f>I36+N36</f>
        <v>27450241.560000043</v>
      </c>
      <c r="P36" s="107">
        <f>E36+G36+J36+L36</f>
        <v>23199.999999999989</v>
      </c>
      <c r="Q36" s="123">
        <f>R36+T36</f>
        <v>688</v>
      </c>
      <c r="R36" s="124">
        <v>242</v>
      </c>
      <c r="S36" s="124">
        <v>4348783.5600000005</v>
      </c>
      <c r="T36" s="117">
        <v>446</v>
      </c>
      <c r="U36" s="117">
        <v>2106703.3000000003</v>
      </c>
      <c r="V36" s="115">
        <f>S36+U36</f>
        <v>6455486.8600000013</v>
      </c>
      <c r="W36" s="126">
        <v>100.33748000001405</v>
      </c>
      <c r="X36" s="112"/>
      <c r="Y36" s="110"/>
      <c r="Z36" s="112"/>
      <c r="AA36" s="112"/>
      <c r="AB36" s="112">
        <v>24</v>
      </c>
      <c r="AC36" s="123">
        <f>W36+X36+Y36+Z36+AA36+AB36</f>
        <v>124.33748000001405</v>
      </c>
      <c r="AD36" s="110">
        <v>1297726.4344401427</v>
      </c>
      <c r="AE36" s="113"/>
      <c r="AF36" s="129">
        <v>395.14999999999964</v>
      </c>
      <c r="AG36" s="131">
        <v>0</v>
      </c>
      <c r="AH36" s="130">
        <f>AF36+AG36</f>
        <v>395.14999999999964</v>
      </c>
      <c r="AI36" s="133">
        <v>3615622.4999999967</v>
      </c>
      <c r="AJ36" s="21"/>
    </row>
    <row r="37" spans="1:36" ht="15">
      <c r="A37" s="19"/>
      <c r="B37" s="81">
        <v>31</v>
      </c>
      <c r="C37" s="65">
        <v>47</v>
      </c>
      <c r="D37" s="65">
        <v>377</v>
      </c>
      <c r="E37" s="124">
        <v>27360.000000000015</v>
      </c>
      <c r="F37" s="124">
        <v>29755887.840000018</v>
      </c>
      <c r="G37" s="111">
        <v>3640.0000000000005</v>
      </c>
      <c r="H37" s="111">
        <v>5938126.7400000012</v>
      </c>
      <c r="I37" s="105">
        <f>F37+H37</f>
        <v>35694014.580000021</v>
      </c>
      <c r="J37" s="158">
        <v>2920.0000000000728</v>
      </c>
      <c r="K37" s="158">
        <v>3175701.4800000791</v>
      </c>
      <c r="L37" s="120">
        <v>500</v>
      </c>
      <c r="M37" s="122">
        <v>815676.75</v>
      </c>
      <c r="N37" s="107">
        <f>K37+M37</f>
        <v>3991378.2300000791</v>
      </c>
      <c r="O37" s="105">
        <f>I37+N37</f>
        <v>39685392.810000099</v>
      </c>
      <c r="P37" s="107">
        <f>E37+G37+J37+L37</f>
        <v>34420.000000000087</v>
      </c>
      <c r="Q37" s="123">
        <f>R37+T37</f>
        <v>745</v>
      </c>
      <c r="R37" s="124">
        <v>220</v>
      </c>
      <c r="S37" s="124">
        <v>3953439.6</v>
      </c>
      <c r="T37" s="117">
        <v>525</v>
      </c>
      <c r="U37" s="117">
        <v>2479863.75</v>
      </c>
      <c r="V37" s="115">
        <f>S37+U37</f>
        <v>6433303.3499999996</v>
      </c>
      <c r="W37" s="126">
        <v>123.86099999999999</v>
      </c>
      <c r="X37" s="112"/>
      <c r="Y37" s="110"/>
      <c r="Z37" s="112"/>
      <c r="AA37" s="112"/>
      <c r="AB37" s="112">
        <v>0</v>
      </c>
      <c r="AC37" s="123">
        <f>W37+X37+Y37+Z37+AA37+AB37</f>
        <v>123.86099999999999</v>
      </c>
      <c r="AD37" s="110">
        <v>1257560.733</v>
      </c>
      <c r="AE37" s="113"/>
      <c r="AF37" s="129">
        <v>659.57999999999811</v>
      </c>
      <c r="AG37" s="131">
        <v>0</v>
      </c>
      <c r="AH37" s="130">
        <f>AF37+AG37</f>
        <v>659.57999999999811</v>
      </c>
      <c r="AI37" s="133">
        <v>6035156.9999999823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5"/>
      <c r="D42" s="145"/>
      <c r="E42" s="146"/>
      <c r="F42" s="147"/>
      <c r="G42" s="148"/>
      <c r="H42" s="147"/>
      <c r="I42" s="148"/>
      <c r="J42" s="148"/>
      <c r="K42" s="148"/>
      <c r="L42" s="147"/>
      <c r="M42" s="149"/>
      <c r="N42" s="150"/>
      <c r="O42" s="148"/>
      <c r="P42" s="150"/>
      <c r="Q42" s="151"/>
      <c r="R42" s="152"/>
      <c r="S42" s="148"/>
      <c r="T42" s="148"/>
      <c r="U42" s="148"/>
      <c r="V42" s="148"/>
      <c r="W42" s="153"/>
      <c r="X42" s="147"/>
      <c r="Y42" s="153"/>
      <c r="Z42" s="153"/>
      <c r="AA42" s="153"/>
      <c r="AB42" s="153"/>
      <c r="AC42" s="153"/>
      <c r="AD42" s="147"/>
      <c r="AE42" s="154"/>
      <c r="AF42" s="154"/>
      <c r="AG42" s="154"/>
      <c r="AH42" s="154"/>
      <c r="AI42" s="155"/>
    </row>
    <row r="43" spans="1:36">
      <c r="A43" s="33"/>
      <c r="B43" s="144"/>
      <c r="C43" s="134">
        <f>SUM(C7:C37)</f>
        <v>1715</v>
      </c>
      <c r="D43" s="134">
        <f>SUM(D7:D37)</f>
        <v>15089</v>
      </c>
      <c r="E43" s="135">
        <f>SUM(E7:E37)</f>
        <v>587160.00000000105</v>
      </c>
      <c r="F43" s="135">
        <f>SUM(F7:F37)</f>
        <v>638577014.04000127</v>
      </c>
      <c r="G43" s="135">
        <f>SUM(G7:G37)</f>
        <v>122479.99999999971</v>
      </c>
      <c r="H43" s="135">
        <f>SUM(H7:H37)</f>
        <v>199808176.67999956</v>
      </c>
      <c r="I43" s="135">
        <f>SUM(I7:I37)</f>
        <v>838385190.72000098</v>
      </c>
      <c r="J43" s="135">
        <f>SUM(J7:J37)</f>
        <v>68680.000000000306</v>
      </c>
      <c r="K43" s="135">
        <f>SUM(K7:K37)</f>
        <v>74694238.920000315</v>
      </c>
      <c r="L43" s="135">
        <f>SUM(L7:L37)</f>
        <v>16420.000000000069</v>
      </c>
      <c r="M43" s="135">
        <f>SUM(M7:M37)</f>
        <v>26786824.470000122</v>
      </c>
      <c r="N43" s="135">
        <f>SUM(N7:N37)</f>
        <v>101481063.39000042</v>
      </c>
      <c r="O43" s="136">
        <f>SUM(O7:O37)</f>
        <v>939866254.11000133</v>
      </c>
      <c r="P43" s="137">
        <f>SUM(P7:P37)</f>
        <v>794740.00000000116</v>
      </c>
      <c r="Q43" s="138">
        <f>SUM(Q7:Q37)</f>
        <v>20711</v>
      </c>
      <c r="R43" s="135">
        <f>SUM(R7:R37)</f>
        <v>6546</v>
      </c>
      <c r="S43" s="135">
        <f>SUM(S7:S37)</f>
        <v>117632798.28</v>
      </c>
      <c r="T43" s="135">
        <f>SUM(T7:T37)</f>
        <v>14165</v>
      </c>
      <c r="U43" s="135">
        <f>SUM(U7:U37)</f>
        <v>66909085.75</v>
      </c>
      <c r="V43" s="139">
        <f>SUM(V8:V38)</f>
        <v>175823595.76000002</v>
      </c>
      <c r="W43" s="140">
        <f>SUM(W7:W37)</f>
        <v>3677.1209199999971</v>
      </c>
      <c r="X43" s="135">
        <f>SUM(X7:X37)</f>
        <v>1250</v>
      </c>
      <c r="Y43" s="135">
        <f>SUM(Y7:Y37)</f>
        <v>2400</v>
      </c>
      <c r="Z43" s="135">
        <f>SUM(Z7:Z37)</f>
        <v>250</v>
      </c>
      <c r="AA43" s="135">
        <f>SUM(AA7:AA37)</f>
        <v>0</v>
      </c>
      <c r="AB43" s="135">
        <f>SUM(AB7:AB37)</f>
        <v>336</v>
      </c>
      <c r="AC43" s="141">
        <f>SUM(AC7:AC37)</f>
        <v>7913.1209199999985</v>
      </c>
      <c r="AD43" s="141">
        <f>SUM(AD7:AD37)</f>
        <v>84802808.700759977</v>
      </c>
      <c r="AE43" s="142">
        <f>SUM(AE8:AE39)</f>
        <v>0</v>
      </c>
      <c r="AF43" s="135">
        <f>SUM(AF7:AF37)</f>
        <v>9118.0999999999985</v>
      </c>
      <c r="AG43" s="135">
        <f>SUM(AG7:AG37)</f>
        <v>1503.599999999999</v>
      </c>
      <c r="AH43" s="143">
        <f>SUM(AH7:AH37)</f>
        <v>10621.699999999997</v>
      </c>
      <c r="AI43" s="143">
        <f>SUM(AI7:AI37)</f>
        <v>97188554.99999997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1182.6084683166821</v>
      </c>
      <c r="Q45" s="43"/>
      <c r="R45" s="43"/>
      <c r="S45" s="43"/>
      <c r="T45" s="36"/>
      <c r="U45" s="36"/>
      <c r="V45" s="43">
        <f>V43/Q43</f>
        <v>8489.3822490464008</v>
      </c>
      <c r="W45" s="43"/>
      <c r="X45" s="36"/>
      <c r="Y45" s="43"/>
      <c r="Z45" s="43"/>
      <c r="AA45" s="43"/>
      <c r="AB45" s="43"/>
      <c r="AC45" s="36"/>
      <c r="AD45" s="36">
        <f>AD43/AC43</f>
        <v>10716.733581869743</v>
      </c>
      <c r="AE45" s="40"/>
      <c r="AF45" s="40"/>
      <c r="AG45" s="40"/>
      <c r="AH45" s="40"/>
      <c r="AI45" s="43">
        <f>AI43/AH43</f>
        <v>9150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04D24ABC-EC7F-499A-BD5C-3FF63B85D4DB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2023-02-27T14:27:22Z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