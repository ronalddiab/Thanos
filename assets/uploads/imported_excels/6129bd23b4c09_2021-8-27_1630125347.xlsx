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30" i="9" l="1"/>
  <c r="R31" i="9"/>
  <c r="R32" i="9"/>
  <c r="Q30" i="9"/>
  <c r="Q31" i="9"/>
  <c r="Q32" i="9"/>
  <c r="P29" i="9"/>
  <c r="P30" i="9"/>
  <c r="P31" i="9"/>
  <c r="P32" i="9"/>
  <c r="O30" i="9"/>
  <c r="O31" i="9"/>
  <c r="O32" i="9"/>
  <c r="N30" i="9"/>
  <c r="N31" i="9"/>
  <c r="M30" i="9"/>
  <c r="M31" i="9"/>
  <c r="M32" i="9"/>
  <c r="L30" i="9"/>
  <c r="L31" i="9"/>
  <c r="L32" i="9"/>
  <c r="K30" i="9"/>
  <c r="K31" i="9"/>
  <c r="K32" i="9"/>
  <c r="J30" i="9"/>
  <c r="J31" i="9"/>
  <c r="J32" i="9"/>
  <c r="I30" i="9"/>
  <c r="I31" i="9"/>
  <c r="I32" i="9"/>
  <c r="H30" i="9"/>
  <c r="H31" i="9"/>
  <c r="H32" i="9"/>
  <c r="G30" i="9"/>
  <c r="G31" i="9"/>
  <c r="G32" i="9"/>
  <c r="F30" i="9"/>
  <c r="F31" i="9"/>
  <c r="F32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AC31" i="7" l="1"/>
  <c r="Q26" i="9" s="1"/>
  <c r="AC32" i="7"/>
  <c r="Q27" i="9" s="1"/>
  <c r="AC33" i="7"/>
  <c r="Q28" i="9" s="1"/>
  <c r="AC34" i="7"/>
  <c r="Q29" i="9" s="1"/>
  <c r="AC35" i="7"/>
  <c r="AC36" i="7"/>
  <c r="AC37" i="7"/>
  <c r="I29" i="5" l="1"/>
  <c r="S29" i="9"/>
  <c r="Q35" i="7" l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4" i="7" l="1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<sst xmlns="http://schemas.openxmlformats.org/spreadsheetml/2006/main" count="128" uniqueCount="49">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</sst>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Submetering!R12</f>
        <v>925.53274499999998</v>
      </c>
      <c r="H12" s="11">
        <v>0.52800000000000002</v>
      </c>
      <c r="I12" s="12">
        <f>Hotel!B17</f>
        <v>69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60590</v>
      </c>
      <c r="F13" s="11">
        <v>5.0000000000000001E-3</v>
      </c>
      <c r="G13" s="12">
        <f>Submetering!R13</f>
        <v>1046.2873240000001</v>
      </c>
      <c r="H13" s="11">
        <v>0.52800000000000002</v>
      </c>
      <c r="I13" s="12">
        <f>Hotel!B18</f>
        <v>98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62710</v>
      </c>
      <c r="F14" s="11">
        <v>5.0000000000000001E-3</v>
      </c>
      <c r="G14" s="12">
        <f>Submetering!R14</f>
        <v>1157.1998369999999</v>
      </c>
      <c r="H14" s="11">
        <v>0.52800000000000002</v>
      </c>
      <c r="I14" s="12">
        <f>Hotel!B19</f>
        <v>111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945.59541799999988</v>
      </c>
      <c r="H15" s="11">
        <v>0.52800000000000002</v>
      </c>
      <c r="I15" s="12">
        <f>Hotel!B20</f>
        <v>78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64120</v>
      </c>
      <c r="F16" s="11">
        <v>5.0000000000000001E-3</v>
      </c>
      <c r="G16" s="12">
        <f>Submetering!R16</f>
        <v>929.31815499999993</v>
      </c>
      <c r="H16" s="11">
        <v>0.52800000000000002</v>
      </c>
      <c r="I16" s="12">
        <f>Hotel!B21</f>
        <v>58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63590</v>
      </c>
      <c r="F17" s="11">
        <v>5.0000000000000001E-3</v>
      </c>
      <c r="G17" s="12">
        <f>Submetering!R17</f>
        <v>1003.13365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61660</v>
      </c>
      <c r="F18" s="11">
        <v>5.0000000000000001E-3</v>
      </c>
      <c r="G18" s="12">
        <f>Submetering!R18</f>
        <v>1013.354257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62960</v>
      </c>
      <c r="F19" s="11">
        <v>5.0000000000000001E-3</v>
      </c>
      <c r="G19" s="12">
        <f>Submetering!R19</f>
        <v>890.32843199999991</v>
      </c>
      <c r="H19" s="11">
        <v>0.52800000000000002</v>
      </c>
      <c r="I19" s="12">
        <f>Hotel!B24</f>
        <v>61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62530</v>
      </c>
      <c r="F20" s="11">
        <v>5.0000000000000001E-3</v>
      </c>
      <c r="G20" s="12">
        <f>Submetering!R20</f>
        <v>847.17475800000011</v>
      </c>
      <c r="H20" s="11">
        <v>0.52800000000000002</v>
      </c>
      <c r="I20" s="12">
        <f>Hotel!B25</f>
        <v>102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62550</v>
      </c>
      <c r="F21" s="11">
        <v>5.0000000000000001E-3</v>
      </c>
      <c r="G21" s="12">
        <f>Submetering!R21</f>
        <v>953.54477899999995</v>
      </c>
      <c r="H21" s="11">
        <v>0.52800000000000002</v>
      </c>
      <c r="I21" s="12">
        <f>Hotel!B26</f>
        <v>128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66720</v>
      </c>
      <c r="F22" s="11">
        <v>5.0000000000000001E-3</v>
      </c>
      <c r="G22" s="12">
        <f>Submetering!R22</f>
        <v>965.65809100000001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63910</v>
      </c>
      <c r="F23" s="11">
        <v>5.0000000000000001E-3</v>
      </c>
      <c r="G23" s="12">
        <f>Submetering!R23</f>
        <v>952.78769699999998</v>
      </c>
      <c r="H23" s="11">
        <v>0.52800000000000002</v>
      </c>
      <c r="I23" s="12">
        <f>Hotel!B28</f>
        <v>81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65200</v>
      </c>
      <c r="F24" s="11">
        <v>5.0000000000000001E-3</v>
      </c>
      <c r="G24" s="12">
        <f>Submetering!R24</f>
        <v>1041.7448320000001</v>
      </c>
      <c r="H24" s="11">
        <v>0.52800000000000002</v>
      </c>
      <c r="I24" s="12">
        <f>Hotel!B29</f>
        <v>99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63820</v>
      </c>
      <c r="F25" s="11">
        <v>5.0000000000000001E-3</v>
      </c>
      <c r="G25" s="12">
        <f>Submetering!R25</f>
        <v>875.18679200000008</v>
      </c>
      <c r="H25" s="11">
        <v>0.52800000000000002</v>
      </c>
      <c r="I25" s="12">
        <f>Hotel!B30</f>
        <v>103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62330</v>
      </c>
      <c r="F26" s="11">
        <v>5.0000000000000001E-3</v>
      </c>
      <c r="G26" s="12">
        <f>Submetering!R26</f>
        <v>1123.8882289999999</v>
      </c>
      <c r="H26" s="11">
        <v>0.52800000000000002</v>
      </c>
      <c r="I26" s="12">
        <f>Hotel!B31</f>
        <v>105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65040</v>
      </c>
      <c r="F27" s="11">
        <v>5.0000000000000001E-3</v>
      </c>
      <c r="G27" s="12">
        <f>Submetering!R27</f>
        <v>1017.896749</v>
      </c>
      <c r="H27" s="11">
        <v>0.52800000000000002</v>
      </c>
      <c r="I27" s="12">
        <f>Hotel!B32</f>
        <v>143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65490</v>
      </c>
      <c r="F28" s="11">
        <v>5.0000000000000001E-3</v>
      </c>
      <c r="G28" s="12">
        <f>Submetering!R28</f>
        <v>991.39887899999997</v>
      </c>
      <c r="H28" s="11">
        <v>0.52800000000000002</v>
      </c>
      <c r="I28" s="12">
        <f>Hotel!B33</f>
        <v>122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Hotel!AV17*0.00378541*100</f>
        <v>925.53274499999998</v>
      </c>
      <c r="S12" s="4">
        <f>Hotel!B17</f>
        <v>69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970</v>
      </c>
      <c r="F13" s="4">
        <f>Hotel!R18</f>
        <v>13630</v>
      </c>
      <c r="G13" s="4">
        <f>Hotel!S18</f>
        <v>3730</v>
      </c>
      <c r="H13" s="4">
        <f>Hotel!T18</f>
        <v>1630</v>
      </c>
      <c r="I13" s="4">
        <f>Hotel!U18</f>
        <v>3980</v>
      </c>
      <c r="J13" s="4">
        <f>Hotel!V18</f>
        <v>3450</v>
      </c>
      <c r="K13" s="4">
        <f>Hotel!W18</f>
        <v>2280</v>
      </c>
      <c r="L13" s="4">
        <f>Hotel!X18</f>
        <v>4230</v>
      </c>
      <c r="M13" s="4">
        <f>Hotel!Y18</f>
        <v>5200</v>
      </c>
      <c r="N13" s="4">
        <f>Hotel!Z18</f>
        <v>2510</v>
      </c>
      <c r="O13" s="4">
        <f>Hotel!AA18</f>
        <v>3130</v>
      </c>
      <c r="P13" s="4">
        <f>Hotel!AB18</f>
        <v>7450</v>
      </c>
      <c r="Q13" s="4">
        <f>Hotel!AC18</f>
        <v>8400</v>
      </c>
      <c r="R13" s="4">
        <f>Hotel!AV18*0.00378541*100</f>
        <v>1046.2873240000001</v>
      </c>
      <c r="S13" s="4">
        <f>Hotel!B18</f>
        <v>98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1000</v>
      </c>
      <c r="F14" s="4">
        <f>Hotel!R19</f>
        <v>14070</v>
      </c>
      <c r="G14" s="4">
        <f>Hotel!S19</f>
        <v>3830</v>
      </c>
      <c r="H14" s="4">
        <f>Hotel!T19</f>
        <v>1680</v>
      </c>
      <c r="I14" s="4">
        <f>Hotel!U19</f>
        <v>3950</v>
      </c>
      <c r="J14" s="4">
        <f>Hotel!V19</f>
        <v>3540</v>
      </c>
      <c r="K14" s="4">
        <f>Hotel!W19</f>
        <v>2340</v>
      </c>
      <c r="L14" s="4">
        <f>Hotel!X19</f>
        <v>4480</v>
      </c>
      <c r="M14" s="4">
        <f>Hotel!Y19</f>
        <v>5650</v>
      </c>
      <c r="N14" s="4">
        <f>Hotel!Z19</f>
        <v>2630</v>
      </c>
      <c r="O14" s="4">
        <f>Hotel!AA19</f>
        <v>3170</v>
      </c>
      <c r="P14" s="4">
        <f>Hotel!AB19</f>
        <v>7780</v>
      </c>
      <c r="Q14" s="4">
        <f>Hotel!AC19</f>
        <v>8590</v>
      </c>
      <c r="R14" s="4">
        <f>Hotel!AV19*0.00378541*100</f>
        <v>1157.1998369999999</v>
      </c>
      <c r="S14" s="4">
        <f>Hotel!B19</f>
        <v>111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1070</v>
      </c>
      <c r="F15" s="4">
        <f>Hotel!R20</f>
        <v>15280</v>
      </c>
      <c r="G15" s="4">
        <f>Hotel!S20</f>
        <v>4160</v>
      </c>
      <c r="H15" s="4">
        <f>Hotel!T20</f>
        <v>1800</v>
      </c>
      <c r="I15" s="4">
        <f>Hotel!U20</f>
        <v>4260</v>
      </c>
      <c r="J15" s="4">
        <f>Hotel!V20</f>
        <v>3700</v>
      </c>
      <c r="K15" s="4">
        <f>Hotel!W20</f>
        <v>2500</v>
      </c>
      <c r="L15" s="4">
        <f>Hotel!X20</f>
        <v>4530</v>
      </c>
      <c r="M15" s="4">
        <f>Hotel!Y20</f>
        <v>6130</v>
      </c>
      <c r="N15" s="4">
        <f>Hotel!Z20</f>
        <v>2820</v>
      </c>
      <c r="O15" s="4">
        <f>Hotel!AA20</f>
        <v>3260</v>
      </c>
      <c r="P15" s="4">
        <f>Hotel!AB20</f>
        <v>8160</v>
      </c>
      <c r="Q15" s="4">
        <f>Hotel!AC20</f>
        <v>10510</v>
      </c>
      <c r="R15" s="4">
        <f>Hotel!AV20*0.00378541*100</f>
        <v>945.59541799999988</v>
      </c>
      <c r="S15" s="4">
        <f>Hotel!B20</f>
        <v>78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1010</v>
      </c>
      <c r="F16" s="4">
        <f>Hotel!R21</f>
        <v>14160</v>
      </c>
      <c r="G16" s="4">
        <f>Hotel!S21</f>
        <v>3840</v>
      </c>
      <c r="H16" s="4">
        <f>Hotel!T21</f>
        <v>1690</v>
      </c>
      <c r="I16" s="4">
        <f>Hotel!U21</f>
        <v>3980</v>
      </c>
      <c r="J16" s="4">
        <f>Hotel!V21</f>
        <v>3360</v>
      </c>
      <c r="K16" s="4">
        <f>Hotel!W21</f>
        <v>2340</v>
      </c>
      <c r="L16" s="4">
        <f>Hotel!X21</f>
        <v>4230</v>
      </c>
      <c r="M16" s="4">
        <f>Hotel!Y21</f>
        <v>5620</v>
      </c>
      <c r="N16" s="4">
        <f>Hotel!Z21</f>
        <v>2520</v>
      </c>
      <c r="O16" s="4">
        <f>Hotel!AA21</f>
        <v>2930</v>
      </c>
      <c r="P16" s="4">
        <f>Hotel!AB21</f>
        <v>7630</v>
      </c>
      <c r="Q16" s="4">
        <f>Hotel!AC21</f>
        <v>10810</v>
      </c>
      <c r="R16" s="4">
        <f>Hotel!AV21*0.00378541*100</f>
        <v>929.31815499999993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1010</v>
      </c>
      <c r="F17" s="4">
        <f>Hotel!R22</f>
        <v>14130</v>
      </c>
      <c r="G17" s="4">
        <f>Hotel!S22</f>
        <v>3800</v>
      </c>
      <c r="H17" s="4">
        <f>Hotel!T22</f>
        <v>1690</v>
      </c>
      <c r="I17" s="4">
        <f>Hotel!U22</f>
        <v>3750</v>
      </c>
      <c r="J17" s="4">
        <f>Hotel!V22</f>
        <v>3360</v>
      </c>
      <c r="K17" s="4">
        <f>Hotel!W22</f>
        <v>2360</v>
      </c>
      <c r="L17" s="4">
        <f>Hotel!X22</f>
        <v>4060</v>
      </c>
      <c r="M17" s="4">
        <f>Hotel!Y22</f>
        <v>5870</v>
      </c>
      <c r="N17" s="4">
        <f>Hotel!Z22</f>
        <v>2270</v>
      </c>
      <c r="O17" s="4">
        <f>Hotel!AA22</f>
        <v>2960</v>
      </c>
      <c r="P17" s="4">
        <f>Hotel!AB22</f>
        <v>7780</v>
      </c>
      <c r="Q17" s="4">
        <f>Hotel!AC22</f>
        <v>10550</v>
      </c>
      <c r="R17" s="4">
        <f>Hotel!AV22*0.00378541*100</f>
        <v>1003.13365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980</v>
      </c>
      <c r="F18" s="4">
        <f>Hotel!R23</f>
        <v>13410</v>
      </c>
      <c r="G18" s="4">
        <f>Hotel!S23</f>
        <v>3630</v>
      </c>
      <c r="H18" s="4">
        <f>Hotel!T23</f>
        <v>1650</v>
      </c>
      <c r="I18" s="4">
        <f>Hotel!U23</f>
        <v>3740</v>
      </c>
      <c r="J18" s="4">
        <f>Hotel!V23</f>
        <v>3250</v>
      </c>
      <c r="K18" s="4">
        <f>Hotel!W23</f>
        <v>2310</v>
      </c>
      <c r="L18" s="4">
        <f>Hotel!X23</f>
        <v>5020</v>
      </c>
      <c r="M18" s="4">
        <f>Hotel!Y23</f>
        <v>5050</v>
      </c>
      <c r="N18" s="4">
        <f>Hotel!Z23</f>
        <v>2240</v>
      </c>
      <c r="O18" s="4">
        <f>Hotel!AA23</f>
        <v>2940</v>
      </c>
      <c r="P18" s="4">
        <f>Hotel!AB23</f>
        <v>7560</v>
      </c>
      <c r="Q18" s="4">
        <f>Hotel!AC23</f>
        <v>9880</v>
      </c>
      <c r="R18" s="4">
        <f>Hotel!AV23*0.00378541*100</f>
        <v>1013.354257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1030</v>
      </c>
      <c r="F19" s="4">
        <f>Hotel!R24</f>
        <v>13780</v>
      </c>
      <c r="G19" s="4">
        <f>Hotel!S24</f>
        <v>3670</v>
      </c>
      <c r="H19" s="4">
        <f>Hotel!T24</f>
        <v>1700</v>
      </c>
      <c r="I19" s="4">
        <f>Hotel!U24</f>
        <v>3890</v>
      </c>
      <c r="J19" s="4">
        <f>Hotel!V24</f>
        <v>3410</v>
      </c>
      <c r="K19" s="4">
        <f>Hotel!W24</f>
        <v>2390</v>
      </c>
      <c r="L19" s="4">
        <f>Hotel!X24</f>
        <v>5200</v>
      </c>
      <c r="M19" s="4">
        <f>Hotel!Y24</f>
        <v>5690</v>
      </c>
      <c r="N19" s="4">
        <f>Hotel!Z24</f>
        <v>2440</v>
      </c>
      <c r="O19" s="4">
        <f>Hotel!AA24</f>
        <v>2920</v>
      </c>
      <c r="P19" s="4">
        <f>Hotel!AB24</f>
        <v>7490</v>
      </c>
      <c r="Q19" s="4">
        <f>Hotel!AC24</f>
        <v>9350</v>
      </c>
      <c r="R19" s="4">
        <f>Hotel!AV24*0.00378541*100</f>
        <v>890.32843199999991</v>
      </c>
      <c r="S19" s="4">
        <f>Hotel!B24</f>
        <v>61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1000</v>
      </c>
      <c r="F20" s="4">
        <f>Hotel!R25</f>
        <v>13430</v>
      </c>
      <c r="G20" s="4">
        <f>Hotel!S25</f>
        <v>3610</v>
      </c>
      <c r="H20" s="4">
        <f>Hotel!T25</f>
        <v>1650</v>
      </c>
      <c r="I20" s="4">
        <f>Hotel!U25</f>
        <v>3880</v>
      </c>
      <c r="J20" s="4">
        <f>Hotel!V25</f>
        <v>3390</v>
      </c>
      <c r="K20" s="4">
        <f>Hotel!W25</f>
        <v>2340</v>
      </c>
      <c r="L20" s="4">
        <f>Hotel!X25</f>
        <v>5020</v>
      </c>
      <c r="M20" s="4">
        <f>Hotel!Y25</f>
        <v>5740</v>
      </c>
      <c r="N20" s="4">
        <f>Hotel!Z25</f>
        <v>2530</v>
      </c>
      <c r="O20" s="4">
        <f>Hotel!AA25</f>
        <v>2940</v>
      </c>
      <c r="P20" s="4">
        <f>Hotel!AB25</f>
        <v>7390</v>
      </c>
      <c r="Q20" s="4">
        <f>Hotel!AC25</f>
        <v>9610</v>
      </c>
      <c r="R20" s="4">
        <f>Hotel!AV25*0.00378541*100</f>
        <v>847.17475800000011</v>
      </c>
      <c r="S20" s="4">
        <f>Hotel!B25</f>
        <v>102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980</v>
      </c>
      <c r="F21" s="4">
        <f>Hotel!R26</f>
        <v>14200</v>
      </c>
      <c r="G21" s="4">
        <f>Hotel!S26</f>
        <v>3940</v>
      </c>
      <c r="H21" s="4">
        <f>Hotel!T26</f>
        <v>1630</v>
      </c>
      <c r="I21" s="4">
        <f>Hotel!U26</f>
        <v>3910</v>
      </c>
      <c r="J21" s="4">
        <f>Hotel!V26</f>
        <v>3410</v>
      </c>
      <c r="K21" s="4">
        <f>Hotel!W26</f>
        <v>2300</v>
      </c>
      <c r="L21" s="4">
        <f>Hotel!X26</f>
        <v>4660</v>
      </c>
      <c r="M21" s="4">
        <f>Hotel!Y26</f>
        <v>5680</v>
      </c>
      <c r="N21" s="4">
        <f>Hotel!Z26</f>
        <v>2600</v>
      </c>
      <c r="O21" s="4">
        <f>Hotel!AA26</f>
        <v>2880</v>
      </c>
      <c r="P21" s="4">
        <f>Hotel!AB26</f>
        <v>7410</v>
      </c>
      <c r="Q21" s="4">
        <f>Hotel!AC26</f>
        <v>8950</v>
      </c>
      <c r="R21" s="4">
        <f>Hotel!AV26*0.00378541*100</f>
        <v>953.54477899999995</v>
      </c>
      <c r="S21" s="4">
        <f>Hotel!B26</f>
        <v>128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1020</v>
      </c>
      <c r="F22" s="4">
        <f>Hotel!R27</f>
        <v>16350</v>
      </c>
      <c r="G22" s="4">
        <f>Hotel!S27</f>
        <v>4670</v>
      </c>
      <c r="H22" s="4">
        <f>Hotel!T27</f>
        <v>1710</v>
      </c>
      <c r="I22" s="4">
        <f>Hotel!U27</f>
        <v>3990</v>
      </c>
      <c r="J22" s="4">
        <f>Hotel!V27</f>
        <v>3550</v>
      </c>
      <c r="K22" s="4">
        <f>Hotel!W27</f>
        <v>2380</v>
      </c>
      <c r="L22" s="4">
        <f>Hotel!X27</f>
        <v>4740</v>
      </c>
      <c r="M22" s="4">
        <f>Hotel!Y27</f>
        <v>6090</v>
      </c>
      <c r="N22" s="4">
        <f>Hotel!Z27</f>
        <v>2700</v>
      </c>
      <c r="O22" s="4">
        <f>Hotel!AA27</f>
        <v>2940</v>
      </c>
      <c r="P22" s="4">
        <f>Hotel!AB27</f>
        <v>7550</v>
      </c>
      <c r="Q22" s="4">
        <f>Hotel!AC27</f>
        <v>9030</v>
      </c>
      <c r="R22" s="4">
        <f>Hotel!AV27*0.00378541*100</f>
        <v>965.65809100000001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1000</v>
      </c>
      <c r="F23" s="4">
        <f>Hotel!R28</f>
        <v>15180</v>
      </c>
      <c r="G23" s="4">
        <f>Hotel!S28</f>
        <v>4280</v>
      </c>
      <c r="H23" s="4">
        <f>Hotel!T28</f>
        <v>1680</v>
      </c>
      <c r="I23" s="4">
        <f>Hotel!U28</f>
        <v>3870</v>
      </c>
      <c r="J23" s="4">
        <f>Hotel!V28</f>
        <v>3430</v>
      </c>
      <c r="K23" s="4">
        <f>Hotel!W28</f>
        <v>2370</v>
      </c>
      <c r="L23" s="4">
        <f>Hotel!X28</f>
        <v>4430</v>
      </c>
      <c r="M23" s="4">
        <f>Hotel!Y28</f>
        <v>5960</v>
      </c>
      <c r="N23" s="4">
        <f>Hotel!Z28</f>
        <v>2620</v>
      </c>
      <c r="O23" s="4">
        <f>Hotel!AA28</f>
        <v>2860</v>
      </c>
      <c r="P23" s="4">
        <f>Hotel!AB28</f>
        <v>7490</v>
      </c>
      <c r="Q23" s="4">
        <f>Hotel!AC28</f>
        <v>8740</v>
      </c>
      <c r="R23" s="4">
        <f>Hotel!AV28*0.00378541*100</f>
        <v>952.78769699999998</v>
      </c>
      <c r="S23" s="4">
        <f>Hotel!B28</f>
        <v>81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2840</v>
      </c>
      <c r="F24" s="4">
        <f>Hotel!R29</f>
        <v>14850</v>
      </c>
      <c r="G24" s="4">
        <f>Hotel!S29</f>
        <v>4040</v>
      </c>
      <c r="H24" s="4">
        <f>Hotel!T29</f>
        <v>1700</v>
      </c>
      <c r="I24" s="4">
        <f>Hotel!U29</f>
        <v>4010</v>
      </c>
      <c r="J24" s="4">
        <f>Hotel!V29</f>
        <v>3500</v>
      </c>
      <c r="K24" s="4">
        <f>Hotel!W29</f>
        <v>2360</v>
      </c>
      <c r="L24" s="4">
        <f>Hotel!X29</f>
        <v>4120</v>
      </c>
      <c r="M24" s="4">
        <f>Hotel!Y29</f>
        <v>6060</v>
      </c>
      <c r="N24" s="4">
        <f>Hotel!Z29</f>
        <v>2670</v>
      </c>
      <c r="O24" s="4">
        <f>Hotel!AA29</f>
        <v>2950</v>
      </c>
      <c r="P24" s="4">
        <f>Hotel!AB29</f>
        <v>7310</v>
      </c>
      <c r="Q24" s="4">
        <f>Hotel!AC29</f>
        <v>8790</v>
      </c>
      <c r="R24" s="4">
        <f>Hotel!AV29*0.00378541*100</f>
        <v>1041.7448320000001</v>
      </c>
      <c r="S24" s="4">
        <f>Hotel!B29</f>
        <v>99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2340</v>
      </c>
      <c r="F25" s="4">
        <f>Hotel!R30</f>
        <v>15140</v>
      </c>
      <c r="G25" s="4">
        <f>Hotel!S30</f>
        <v>3920</v>
      </c>
      <c r="H25" s="4">
        <f>Hotel!T30</f>
        <v>1740</v>
      </c>
      <c r="I25" s="4">
        <f>Hotel!U30</f>
        <v>3870</v>
      </c>
      <c r="J25" s="4">
        <f>Hotel!V30</f>
        <v>3500</v>
      </c>
      <c r="K25" s="4">
        <f>Hotel!W30</f>
        <v>2310</v>
      </c>
      <c r="L25" s="4">
        <f>Hotel!X30</f>
        <v>4620</v>
      </c>
      <c r="M25" s="4">
        <f>Hotel!Y30</f>
        <v>5950</v>
      </c>
      <c r="N25" s="4">
        <f>Hotel!Z30</f>
        <v>2680</v>
      </c>
      <c r="O25" s="4">
        <f>Hotel!AA30</f>
        <v>2880</v>
      </c>
      <c r="P25" s="4">
        <f>Hotel!AB30</f>
        <v>7180</v>
      </c>
      <c r="Q25" s="4">
        <f>Hotel!AC30</f>
        <v>7690</v>
      </c>
      <c r="R25" s="4">
        <f>Hotel!AV30*0.00378541*100</f>
        <v>875.18679200000008</v>
      </c>
      <c r="S25" s="4">
        <f>Hotel!B30</f>
        <v>103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1510</v>
      </c>
      <c r="F26" s="4">
        <f>Hotel!R31</f>
        <v>13570</v>
      </c>
      <c r="G26" s="4">
        <f>Hotel!S31</f>
        <v>3630</v>
      </c>
      <c r="H26" s="4">
        <f>Hotel!T31</f>
        <v>1770</v>
      </c>
      <c r="I26" s="4">
        <f>Hotel!U31</f>
        <v>3870</v>
      </c>
      <c r="J26" s="4">
        <f>Hotel!V31</f>
        <v>3470</v>
      </c>
      <c r="K26" s="4">
        <f>Hotel!W31</f>
        <v>2300</v>
      </c>
      <c r="L26" s="4">
        <f>Hotel!X31</f>
        <v>4820</v>
      </c>
      <c r="M26" s="4">
        <f>Hotel!Y31</f>
        <v>5990</v>
      </c>
      <c r="N26" s="4">
        <f>Hotel!Z31</f>
        <v>2690</v>
      </c>
      <c r="O26" s="4">
        <f>Hotel!AA31</f>
        <v>2990</v>
      </c>
      <c r="P26" s="4">
        <f>Hotel!AB31</f>
        <v>7440</v>
      </c>
      <c r="Q26" s="4">
        <f>Hotel!AC31</f>
        <v>8280</v>
      </c>
      <c r="R26" s="4">
        <f>Hotel!AV31*0.00378541*100</f>
        <v>1123.8882289999999</v>
      </c>
      <c r="S26" s="4">
        <f>Hotel!B31</f>
        <v>105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1050</v>
      </c>
      <c r="F27" s="4">
        <f>Hotel!R32</f>
        <v>13930</v>
      </c>
      <c r="G27" s="4">
        <f>Hotel!S32</f>
        <v>3740</v>
      </c>
      <c r="H27" s="4">
        <f>Hotel!T32</f>
        <v>1690</v>
      </c>
      <c r="I27" s="4">
        <f>Hotel!U32</f>
        <v>4080</v>
      </c>
      <c r="J27" s="4">
        <f>Hotel!V32</f>
        <v>3540</v>
      </c>
      <c r="K27" s="4">
        <f>Hotel!W32</f>
        <v>2370</v>
      </c>
      <c r="L27" s="4">
        <f>Hotel!X32</f>
        <v>5050</v>
      </c>
      <c r="M27" s="4">
        <f>Hotel!Y32</f>
        <v>6100</v>
      </c>
      <c r="N27" s="4">
        <f>Hotel!Z32</f>
        <v>2900</v>
      </c>
      <c r="O27" s="4">
        <f>Hotel!AA32</f>
        <v>3320</v>
      </c>
      <c r="P27" s="4">
        <f>Hotel!AB32</f>
        <v>7670</v>
      </c>
      <c r="Q27" s="4">
        <f>Hotel!AC32</f>
        <v>9600</v>
      </c>
      <c r="R27" s="4">
        <f>Hotel!AV32*0.00378541*100</f>
        <v>1017.896749</v>
      </c>
      <c r="S27" s="4">
        <f>Hotel!B32</f>
        <v>143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980</v>
      </c>
      <c r="F28" s="4">
        <f>Hotel!R33</f>
        <v>13920</v>
      </c>
      <c r="G28" s="4">
        <f>Hotel!S33</f>
        <v>3810</v>
      </c>
      <c r="H28" s="4">
        <f>Hotel!T33</f>
        <v>1640</v>
      </c>
      <c r="I28" s="4">
        <f>Hotel!U33</f>
        <v>4070</v>
      </c>
      <c r="J28" s="4">
        <f>Hotel!V33</f>
        <v>3570</v>
      </c>
      <c r="K28" s="4">
        <f>Hotel!W33</f>
        <v>2340</v>
      </c>
      <c r="L28" s="4">
        <f>Hotel!X33</f>
        <v>5110</v>
      </c>
      <c r="M28" s="4">
        <f>Hotel!Y33</f>
        <v>6000</v>
      </c>
      <c r="N28" s="4">
        <f>Hotel!Z33</f>
        <v>2820</v>
      </c>
      <c r="O28" s="4">
        <f>Hotel!AA33</f>
        <v>3370</v>
      </c>
      <c r="P28" s="4">
        <f>Hotel!AB33</f>
        <v>7470</v>
      </c>
      <c r="Q28" s="4">
        <f>Hotel!AC33</f>
        <v>10390</v>
      </c>
      <c r="R28" s="4">
        <f>Hotel!AV33*0.00378541*100</f>
        <v>991.39887899999997</v>
      </c>
      <c r="S28" s="4">
        <f>Hotel!B33</f>
        <v>122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U33" sqref="AU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17"/>
        <v>880</v>
      </c>
      <c r="R17" s="37">
        <f t="shared" si="18"/>
        <v>12410</v>
      </c>
      <c r="S17" s="37">
        <f t="shared" si="16"/>
        <v>3380</v>
      </c>
      <c r="T17" s="37">
        <f t="shared" si="19"/>
        <v>1470</v>
      </c>
      <c r="U17" s="37">
        <f t="shared" si="20"/>
        <v>3580</v>
      </c>
      <c r="V17" s="37">
        <f t="shared" si="21"/>
        <v>3120</v>
      </c>
      <c r="W17" s="37">
        <f t="shared" si="22"/>
        <v>2090</v>
      </c>
      <c r="X17" s="37">
        <f t="shared" si="23"/>
        <v>3720</v>
      </c>
      <c r="Y17" s="37">
        <f t="shared" si="24"/>
        <v>4850</v>
      </c>
      <c r="Z17" s="37">
        <f t="shared" si="25"/>
        <v>2240</v>
      </c>
      <c r="AA17" s="37">
        <f t="shared" si="26"/>
        <v>2610</v>
      </c>
      <c r="AB17" s="37">
        <f t="shared" si="27"/>
        <v>6750</v>
      </c>
      <c r="AC17" s="37">
        <f t="shared" si="28"/>
        <v>7900</v>
      </c>
      <c r="AD17" s="35">
        <f t="shared" si="29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0"/>
        <v>275</v>
      </c>
      <c r="AU17" s="47">
        <v>141547</v>
      </c>
      <c r="AV17" s="37">
        <f t="shared" si="31"/>
        <v>2445</v>
      </c>
      <c r="AW17" s="35">
        <f t="shared" si="14"/>
        <v>4.8899999999999997</v>
      </c>
    </row>
    <row r="18" spans="1:49" x14ac:dyDescent="0.25">
      <c r="A18" s="23">
        <v>44420</v>
      </c>
      <c r="B18" s="40">
        <v>98</v>
      </c>
      <c r="C18" s="24">
        <v>6729340</v>
      </c>
      <c r="D18" s="24">
        <v>16515020</v>
      </c>
      <c r="E18" s="24">
        <v>2969100</v>
      </c>
      <c r="F18" s="24">
        <v>3593140</v>
      </c>
      <c r="G18" s="24">
        <v>10662460</v>
      </c>
      <c r="H18" s="24">
        <v>5733100</v>
      </c>
      <c r="I18" s="24">
        <v>5231830</v>
      </c>
      <c r="J18" s="24">
        <v>6161050</v>
      </c>
      <c r="K18" s="24">
        <v>9505850</v>
      </c>
      <c r="L18" s="24">
        <v>3996710</v>
      </c>
      <c r="M18" s="24">
        <v>8098590</v>
      </c>
      <c r="N18" s="24">
        <v>12484170</v>
      </c>
      <c r="O18" s="24">
        <v>17223650</v>
      </c>
      <c r="Q18" s="37">
        <f t="shared" si="17"/>
        <v>970</v>
      </c>
      <c r="R18" s="37">
        <f t="shared" si="18"/>
        <v>13630</v>
      </c>
      <c r="S18" s="37">
        <f t="shared" si="16"/>
        <v>3730</v>
      </c>
      <c r="T18" s="37">
        <f t="shared" si="19"/>
        <v>1630</v>
      </c>
      <c r="U18" s="37">
        <f t="shared" si="20"/>
        <v>3980</v>
      </c>
      <c r="V18" s="37">
        <f t="shared" si="21"/>
        <v>3450</v>
      </c>
      <c r="W18" s="37">
        <f t="shared" si="22"/>
        <v>2280</v>
      </c>
      <c r="X18" s="37">
        <f t="shared" si="23"/>
        <v>4230</v>
      </c>
      <c r="Y18" s="37">
        <f t="shared" si="24"/>
        <v>5200</v>
      </c>
      <c r="Z18" s="37">
        <f t="shared" si="25"/>
        <v>2510</v>
      </c>
      <c r="AA18" s="37">
        <f t="shared" si="26"/>
        <v>3130</v>
      </c>
      <c r="AB18" s="37">
        <f t="shared" si="27"/>
        <v>7450</v>
      </c>
      <c r="AC18" s="37">
        <f t="shared" si="28"/>
        <v>8400</v>
      </c>
      <c r="AD18" s="35">
        <f t="shared" si="29"/>
        <v>60590</v>
      </c>
      <c r="AF18" s="20">
        <f t="shared" si="1"/>
        <v>4.8500000000000005</v>
      </c>
      <c r="AG18" s="20">
        <f t="shared" si="2"/>
        <v>68.150000000000006</v>
      </c>
      <c r="AH18" s="20">
        <f t="shared" si="3"/>
        <v>18.650000000000002</v>
      </c>
      <c r="AI18" s="20">
        <f t="shared" si="4"/>
        <v>8.15</v>
      </c>
      <c r="AJ18" s="20">
        <f t="shared" si="5"/>
        <v>19.900000000000002</v>
      </c>
      <c r="AK18" s="20">
        <f t="shared" si="6"/>
        <v>17.25</v>
      </c>
      <c r="AL18" s="20">
        <f t="shared" si="7"/>
        <v>11.4</v>
      </c>
      <c r="AM18" s="20">
        <f t="shared" si="8"/>
        <v>21.150000000000002</v>
      </c>
      <c r="AN18" s="20">
        <f t="shared" si="9"/>
        <v>26</v>
      </c>
      <c r="AO18" s="20">
        <f t="shared" si="10"/>
        <v>12.55</v>
      </c>
      <c r="AP18" s="20">
        <f t="shared" si="11"/>
        <v>15.65</v>
      </c>
      <c r="AQ18" s="20">
        <f t="shared" si="12"/>
        <v>37.25</v>
      </c>
      <c r="AR18" s="20">
        <f t="shared" si="13"/>
        <v>42</v>
      </c>
      <c r="AS18" s="35">
        <f t="shared" si="30"/>
        <v>302.95000000000005</v>
      </c>
      <c r="AU18" s="47">
        <v>144311</v>
      </c>
      <c r="AV18" s="37">
        <f t="shared" si="31"/>
        <v>2764</v>
      </c>
      <c r="AW18" s="35">
        <f t="shared" si="14"/>
        <v>5.5280000000000005</v>
      </c>
    </row>
    <row r="19" spans="1:49" x14ac:dyDescent="0.25">
      <c r="A19" s="23">
        <v>44421</v>
      </c>
      <c r="B19" s="40">
        <v>111</v>
      </c>
      <c r="C19" s="24">
        <v>6730340</v>
      </c>
      <c r="D19" s="24">
        <v>16529090</v>
      </c>
      <c r="E19" s="24">
        <v>2972930</v>
      </c>
      <c r="F19" s="24">
        <v>3594820</v>
      </c>
      <c r="G19" s="24">
        <v>10666410</v>
      </c>
      <c r="H19" s="24">
        <v>5736640</v>
      </c>
      <c r="I19" s="24">
        <v>5234170</v>
      </c>
      <c r="J19" s="24">
        <v>6165530</v>
      </c>
      <c r="K19" s="24">
        <v>9511500</v>
      </c>
      <c r="L19" s="24">
        <v>3999340</v>
      </c>
      <c r="M19" s="24">
        <v>8101760</v>
      </c>
      <c r="N19" s="24">
        <v>12491950</v>
      </c>
      <c r="O19" s="24">
        <v>17232240</v>
      </c>
      <c r="Q19" s="37">
        <f t="shared" si="17"/>
        <v>1000</v>
      </c>
      <c r="R19" s="37">
        <f t="shared" si="18"/>
        <v>14070</v>
      </c>
      <c r="S19" s="37">
        <f t="shared" si="16"/>
        <v>3830</v>
      </c>
      <c r="T19" s="37">
        <f t="shared" si="19"/>
        <v>1680</v>
      </c>
      <c r="U19" s="37">
        <f t="shared" si="20"/>
        <v>3950</v>
      </c>
      <c r="V19" s="37">
        <f t="shared" si="21"/>
        <v>3540</v>
      </c>
      <c r="W19" s="37">
        <f t="shared" si="22"/>
        <v>2340</v>
      </c>
      <c r="X19" s="37">
        <f t="shared" si="23"/>
        <v>4480</v>
      </c>
      <c r="Y19" s="37">
        <f t="shared" si="24"/>
        <v>5650</v>
      </c>
      <c r="Z19" s="37">
        <f t="shared" si="25"/>
        <v>2630</v>
      </c>
      <c r="AA19" s="37">
        <f t="shared" si="26"/>
        <v>3170</v>
      </c>
      <c r="AB19" s="37">
        <f t="shared" si="27"/>
        <v>7780</v>
      </c>
      <c r="AC19" s="37">
        <f t="shared" si="28"/>
        <v>8590</v>
      </c>
      <c r="AD19" s="35">
        <f t="shared" si="29"/>
        <v>62710</v>
      </c>
      <c r="AF19" s="20">
        <f t="shared" si="1"/>
        <v>5</v>
      </c>
      <c r="AG19" s="20">
        <f t="shared" si="2"/>
        <v>70.350000000000009</v>
      </c>
      <c r="AH19" s="20">
        <f t="shared" si="3"/>
        <v>19.150000000000002</v>
      </c>
      <c r="AI19" s="20">
        <f t="shared" si="4"/>
        <v>8.4</v>
      </c>
      <c r="AJ19" s="20">
        <f t="shared" si="5"/>
        <v>19.75</v>
      </c>
      <c r="AK19" s="20">
        <f t="shared" si="6"/>
        <v>17.7</v>
      </c>
      <c r="AL19" s="20">
        <f t="shared" si="7"/>
        <v>11.700000000000001</v>
      </c>
      <c r="AM19" s="20">
        <f t="shared" si="8"/>
        <v>22.400000000000002</v>
      </c>
      <c r="AN19" s="20">
        <f t="shared" si="9"/>
        <v>28.25</v>
      </c>
      <c r="AO19" s="20">
        <f t="shared" si="10"/>
        <v>13.15</v>
      </c>
      <c r="AP19" s="20">
        <f t="shared" si="11"/>
        <v>15.85</v>
      </c>
      <c r="AQ19" s="20">
        <f t="shared" si="12"/>
        <v>38.9</v>
      </c>
      <c r="AR19" s="20">
        <f t="shared" si="13"/>
        <v>42.95</v>
      </c>
      <c r="AS19" s="35">
        <f t="shared" si="30"/>
        <v>313.55</v>
      </c>
      <c r="AU19" s="47">
        <v>147368</v>
      </c>
      <c r="AV19" s="37">
        <f t="shared" si="31"/>
        <v>3057</v>
      </c>
      <c r="AW19" s="35">
        <f t="shared" si="14"/>
        <v>6.1139999999999999</v>
      </c>
    </row>
    <row r="20" spans="1:49" x14ac:dyDescent="0.25">
      <c r="A20" s="23">
        <v>44422</v>
      </c>
      <c r="B20" s="40">
        <v>78</v>
      </c>
      <c r="C20" s="24">
        <v>6731410</v>
      </c>
      <c r="D20" s="24">
        <v>16544370</v>
      </c>
      <c r="E20" s="24">
        <v>2977090</v>
      </c>
      <c r="F20" s="24">
        <v>3596620</v>
      </c>
      <c r="G20" s="24">
        <v>10670670</v>
      </c>
      <c r="H20" s="24">
        <v>5740340</v>
      </c>
      <c r="I20" s="24">
        <v>5236670</v>
      </c>
      <c r="J20" s="24">
        <v>6170060</v>
      </c>
      <c r="K20" s="24">
        <v>9517630</v>
      </c>
      <c r="L20" s="24">
        <v>4002160</v>
      </c>
      <c r="M20" s="24">
        <v>8105020</v>
      </c>
      <c r="N20" s="24">
        <v>12500110</v>
      </c>
      <c r="O20" s="24">
        <v>17242750</v>
      </c>
      <c r="Q20" s="37">
        <f t="shared" si="17"/>
        <v>1070</v>
      </c>
      <c r="R20" s="37">
        <f t="shared" si="18"/>
        <v>15280</v>
      </c>
      <c r="S20" s="37">
        <f t="shared" si="16"/>
        <v>4160</v>
      </c>
      <c r="T20" s="37">
        <f t="shared" si="19"/>
        <v>1800</v>
      </c>
      <c r="U20" s="37">
        <f t="shared" si="20"/>
        <v>4260</v>
      </c>
      <c r="V20" s="37">
        <f t="shared" si="21"/>
        <v>3700</v>
      </c>
      <c r="W20" s="37">
        <f t="shared" si="22"/>
        <v>2500</v>
      </c>
      <c r="X20" s="37">
        <f t="shared" si="23"/>
        <v>4530</v>
      </c>
      <c r="Y20" s="37">
        <f t="shared" si="24"/>
        <v>6130</v>
      </c>
      <c r="Z20" s="37">
        <f t="shared" si="25"/>
        <v>2820</v>
      </c>
      <c r="AA20" s="37">
        <f t="shared" si="26"/>
        <v>3260</v>
      </c>
      <c r="AB20" s="37">
        <f t="shared" si="27"/>
        <v>8160</v>
      </c>
      <c r="AC20" s="37">
        <f t="shared" si="28"/>
        <v>10510</v>
      </c>
      <c r="AD20" s="35">
        <f t="shared" si="29"/>
        <v>68180</v>
      </c>
      <c r="AF20" s="20">
        <f t="shared" si="1"/>
        <v>5.3500000000000005</v>
      </c>
      <c r="AG20" s="20">
        <f t="shared" si="2"/>
        <v>76.400000000000006</v>
      </c>
      <c r="AH20" s="20">
        <f t="shared" si="3"/>
        <v>20.8</v>
      </c>
      <c r="AI20" s="20">
        <f t="shared" si="4"/>
        <v>9</v>
      </c>
      <c r="AJ20" s="20">
        <f t="shared" si="5"/>
        <v>21.3</v>
      </c>
      <c r="AK20" s="20">
        <f t="shared" si="6"/>
        <v>18.5</v>
      </c>
      <c r="AL20" s="20">
        <f t="shared" si="7"/>
        <v>12.5</v>
      </c>
      <c r="AM20" s="20">
        <f t="shared" si="8"/>
        <v>22.650000000000002</v>
      </c>
      <c r="AN20" s="20">
        <f t="shared" si="9"/>
        <v>30.650000000000002</v>
      </c>
      <c r="AO20" s="20">
        <f t="shared" si="10"/>
        <v>14.1</v>
      </c>
      <c r="AP20" s="20">
        <f t="shared" si="11"/>
        <v>16.3</v>
      </c>
      <c r="AQ20" s="20">
        <f t="shared" si="12"/>
        <v>40.800000000000004</v>
      </c>
      <c r="AR20" s="20">
        <f t="shared" si="13"/>
        <v>52.550000000000004</v>
      </c>
      <c r="AS20" s="35">
        <f t="shared" si="30"/>
        <v>340.90000000000003</v>
      </c>
      <c r="AU20" s="47">
        <v>149866</v>
      </c>
      <c r="AV20" s="37">
        <f t="shared" si="31"/>
        <v>2498</v>
      </c>
      <c r="AW20" s="35">
        <f t="shared" si="14"/>
        <v>4.9960000000000004</v>
      </c>
    </row>
    <row r="21" spans="1:49" x14ac:dyDescent="0.25">
      <c r="A21" s="23">
        <v>44423</v>
      </c>
      <c r="B21" s="40">
        <v>58</v>
      </c>
      <c r="C21" s="24">
        <v>6732420</v>
      </c>
      <c r="D21" s="24">
        <v>16558530</v>
      </c>
      <c r="E21" s="24">
        <v>2980930</v>
      </c>
      <c r="F21" s="24">
        <v>3598310</v>
      </c>
      <c r="G21" s="24">
        <v>10674650</v>
      </c>
      <c r="H21" s="24">
        <v>5743700</v>
      </c>
      <c r="I21" s="24">
        <v>5239010</v>
      </c>
      <c r="J21" s="24">
        <v>6174290</v>
      </c>
      <c r="K21" s="24">
        <v>9523250</v>
      </c>
      <c r="L21" s="24">
        <v>4004680</v>
      </c>
      <c r="M21" s="24">
        <v>8107950</v>
      </c>
      <c r="N21" s="24">
        <v>12507740</v>
      </c>
      <c r="O21" s="24">
        <v>17253560</v>
      </c>
      <c r="Q21" s="37">
        <f t="shared" si="17"/>
        <v>1010</v>
      </c>
      <c r="R21" s="37">
        <f t="shared" si="18"/>
        <v>14160</v>
      </c>
      <c r="S21" s="37">
        <f t="shared" si="16"/>
        <v>3840</v>
      </c>
      <c r="T21" s="37">
        <f t="shared" si="19"/>
        <v>1690</v>
      </c>
      <c r="U21" s="37">
        <f t="shared" si="20"/>
        <v>3980</v>
      </c>
      <c r="V21" s="37">
        <f t="shared" si="21"/>
        <v>3360</v>
      </c>
      <c r="W21" s="37">
        <f t="shared" si="22"/>
        <v>2340</v>
      </c>
      <c r="X21" s="37">
        <f t="shared" si="23"/>
        <v>4230</v>
      </c>
      <c r="Y21" s="37">
        <f t="shared" si="24"/>
        <v>5620</v>
      </c>
      <c r="Z21" s="37">
        <f t="shared" si="25"/>
        <v>2520</v>
      </c>
      <c r="AA21" s="37">
        <f t="shared" si="26"/>
        <v>2930</v>
      </c>
      <c r="AB21" s="37">
        <f t="shared" si="27"/>
        <v>7630</v>
      </c>
      <c r="AC21" s="37">
        <f t="shared" si="28"/>
        <v>10810</v>
      </c>
      <c r="AD21" s="35">
        <f t="shared" si="29"/>
        <v>64120</v>
      </c>
      <c r="AF21" s="20">
        <f t="shared" si="1"/>
        <v>5.05</v>
      </c>
      <c r="AG21" s="20">
        <f t="shared" si="2"/>
        <v>70.8</v>
      </c>
      <c r="AH21" s="20">
        <f t="shared" si="3"/>
        <v>19.2</v>
      </c>
      <c r="AI21" s="20">
        <f t="shared" si="4"/>
        <v>8.4499999999999993</v>
      </c>
      <c r="AJ21" s="20">
        <f t="shared" si="5"/>
        <v>19.900000000000002</v>
      </c>
      <c r="AK21" s="20">
        <f t="shared" si="6"/>
        <v>16.8</v>
      </c>
      <c r="AL21" s="20">
        <f t="shared" si="7"/>
        <v>11.700000000000001</v>
      </c>
      <c r="AM21" s="20">
        <f t="shared" si="8"/>
        <v>21.150000000000002</v>
      </c>
      <c r="AN21" s="20">
        <f t="shared" si="9"/>
        <v>28.1</v>
      </c>
      <c r="AO21" s="20">
        <f t="shared" si="10"/>
        <v>12.6</v>
      </c>
      <c r="AP21" s="20">
        <f t="shared" si="11"/>
        <v>14.65</v>
      </c>
      <c r="AQ21" s="20">
        <f t="shared" si="12"/>
        <v>38.15</v>
      </c>
      <c r="AR21" s="20">
        <f t="shared" si="13"/>
        <v>54.050000000000004</v>
      </c>
      <c r="AS21" s="35">
        <f t="shared" si="30"/>
        <v>320.60000000000002</v>
      </c>
      <c r="AU21" s="47">
        <v>152321</v>
      </c>
      <c r="AV21" s="37">
        <f t="shared" si="31"/>
        <v>2455</v>
      </c>
      <c r="AW21" s="35">
        <f t="shared" si="14"/>
        <v>4.91</v>
      </c>
    </row>
    <row r="22" spans="1:49" x14ac:dyDescent="0.25">
      <c r="A22" s="23">
        <v>44424</v>
      </c>
      <c r="B22" s="40">
        <v>68</v>
      </c>
      <c r="C22" s="24">
        <v>6733430</v>
      </c>
      <c r="D22" s="24">
        <v>16572660</v>
      </c>
      <c r="E22" s="24">
        <v>2984730</v>
      </c>
      <c r="F22" s="24">
        <v>3600000</v>
      </c>
      <c r="G22" s="24">
        <v>10678400</v>
      </c>
      <c r="H22" s="24">
        <v>5747060</v>
      </c>
      <c r="I22" s="24">
        <v>5241370</v>
      </c>
      <c r="J22" s="44">
        <v>6178350</v>
      </c>
      <c r="K22" s="24">
        <v>9529120</v>
      </c>
      <c r="L22" s="24">
        <v>4006950</v>
      </c>
      <c r="M22" s="24">
        <v>8110910</v>
      </c>
      <c r="N22" s="24">
        <v>12515520</v>
      </c>
      <c r="O22" s="44">
        <v>17264110</v>
      </c>
      <c r="Q22" s="37">
        <f t="shared" si="17"/>
        <v>1010</v>
      </c>
      <c r="R22" s="37">
        <f t="shared" si="18"/>
        <v>14130</v>
      </c>
      <c r="S22" s="37">
        <f t="shared" si="16"/>
        <v>3800</v>
      </c>
      <c r="T22" s="37">
        <f t="shared" si="19"/>
        <v>1690</v>
      </c>
      <c r="U22" s="37">
        <f t="shared" si="20"/>
        <v>3750</v>
      </c>
      <c r="V22" s="37">
        <f t="shared" si="21"/>
        <v>3360</v>
      </c>
      <c r="W22" s="37">
        <f t="shared" si="22"/>
        <v>2360</v>
      </c>
      <c r="X22" s="37">
        <f t="shared" si="23"/>
        <v>4060</v>
      </c>
      <c r="Y22" s="37">
        <f t="shared" si="24"/>
        <v>5870</v>
      </c>
      <c r="Z22" s="37">
        <f t="shared" si="25"/>
        <v>2270</v>
      </c>
      <c r="AA22" s="37">
        <f t="shared" si="26"/>
        <v>2960</v>
      </c>
      <c r="AB22" s="37">
        <f t="shared" si="27"/>
        <v>7780</v>
      </c>
      <c r="AC22" s="37">
        <f t="shared" si="28"/>
        <v>10550</v>
      </c>
      <c r="AD22" s="35">
        <f t="shared" si="29"/>
        <v>63590</v>
      </c>
      <c r="AF22" s="20">
        <f t="shared" si="1"/>
        <v>5.05</v>
      </c>
      <c r="AG22" s="20">
        <f t="shared" si="2"/>
        <v>70.650000000000006</v>
      </c>
      <c r="AH22" s="20">
        <f t="shared" si="3"/>
        <v>19</v>
      </c>
      <c r="AI22" s="20">
        <f t="shared" si="4"/>
        <v>8.4499999999999993</v>
      </c>
      <c r="AJ22" s="20">
        <f t="shared" si="5"/>
        <v>18.75</v>
      </c>
      <c r="AK22" s="20">
        <f t="shared" si="6"/>
        <v>16.8</v>
      </c>
      <c r="AL22" s="20">
        <f t="shared" si="7"/>
        <v>11.8</v>
      </c>
      <c r="AM22" s="20">
        <f t="shared" si="8"/>
        <v>20.3</v>
      </c>
      <c r="AN22" s="20">
        <f t="shared" si="9"/>
        <v>29.35</v>
      </c>
      <c r="AO22" s="20">
        <f t="shared" si="10"/>
        <v>11.35</v>
      </c>
      <c r="AP22" s="20">
        <f t="shared" si="11"/>
        <v>14.8</v>
      </c>
      <c r="AQ22" s="20">
        <f t="shared" si="12"/>
        <v>38.9</v>
      </c>
      <c r="AR22" s="20">
        <f t="shared" si="13"/>
        <v>52.75</v>
      </c>
      <c r="AS22" s="35">
        <f t="shared" si="30"/>
        <v>317.95000000000005</v>
      </c>
      <c r="AU22" s="47">
        <v>154971</v>
      </c>
      <c r="AV22" s="37">
        <f t="shared" si="31"/>
        <v>2650</v>
      </c>
      <c r="AW22" s="35">
        <f t="shared" si="14"/>
        <v>5.3</v>
      </c>
    </row>
    <row r="23" spans="1:49" x14ac:dyDescent="0.25">
      <c r="A23" s="23">
        <v>44425</v>
      </c>
      <c r="B23" s="40">
        <v>72</v>
      </c>
      <c r="C23" s="24">
        <v>6734410</v>
      </c>
      <c r="D23" s="24">
        <v>16586070</v>
      </c>
      <c r="E23" s="24">
        <v>2988360</v>
      </c>
      <c r="F23" s="24">
        <v>3601650</v>
      </c>
      <c r="G23" s="24">
        <v>10682140</v>
      </c>
      <c r="H23" s="24">
        <v>5750310</v>
      </c>
      <c r="I23" s="24">
        <v>5243680</v>
      </c>
      <c r="J23" s="24">
        <v>6183370</v>
      </c>
      <c r="K23" s="24">
        <v>9534170</v>
      </c>
      <c r="L23" s="24">
        <v>4009190</v>
      </c>
      <c r="M23" s="24">
        <v>8113850</v>
      </c>
      <c r="N23" s="24">
        <v>12523080</v>
      </c>
      <c r="O23" s="24">
        <v>17273990</v>
      </c>
      <c r="Q23" s="37">
        <f t="shared" si="17"/>
        <v>980</v>
      </c>
      <c r="R23" s="37">
        <f t="shared" si="18"/>
        <v>13410</v>
      </c>
      <c r="S23" s="37">
        <f t="shared" si="16"/>
        <v>3630</v>
      </c>
      <c r="T23" s="37">
        <f t="shared" si="19"/>
        <v>1650</v>
      </c>
      <c r="U23" s="37">
        <f t="shared" si="20"/>
        <v>3740</v>
      </c>
      <c r="V23" s="37">
        <f t="shared" si="21"/>
        <v>3250</v>
      </c>
      <c r="W23" s="37">
        <f t="shared" si="22"/>
        <v>2310</v>
      </c>
      <c r="X23" s="37">
        <f t="shared" si="23"/>
        <v>5020</v>
      </c>
      <c r="Y23" s="37">
        <f t="shared" si="24"/>
        <v>5050</v>
      </c>
      <c r="Z23" s="37">
        <f t="shared" si="25"/>
        <v>2240</v>
      </c>
      <c r="AA23" s="37">
        <f t="shared" si="26"/>
        <v>2940</v>
      </c>
      <c r="AB23" s="37">
        <f t="shared" si="27"/>
        <v>7560</v>
      </c>
      <c r="AC23" s="37">
        <f t="shared" si="28"/>
        <v>9880</v>
      </c>
      <c r="AD23" s="35">
        <f t="shared" si="29"/>
        <v>61660</v>
      </c>
      <c r="AF23" s="20">
        <f t="shared" si="1"/>
        <v>4.9000000000000004</v>
      </c>
      <c r="AG23" s="20">
        <f t="shared" si="2"/>
        <v>67.05</v>
      </c>
      <c r="AH23" s="20">
        <f t="shared" si="3"/>
        <v>18.150000000000002</v>
      </c>
      <c r="AI23" s="20">
        <f t="shared" si="4"/>
        <v>8.25</v>
      </c>
      <c r="AJ23" s="20">
        <f t="shared" si="5"/>
        <v>18.7</v>
      </c>
      <c r="AK23" s="20">
        <f t="shared" si="6"/>
        <v>16.25</v>
      </c>
      <c r="AL23" s="20">
        <f t="shared" si="7"/>
        <v>11.55</v>
      </c>
      <c r="AM23" s="20">
        <f t="shared" si="8"/>
        <v>25.1</v>
      </c>
      <c r="AN23" s="20">
        <f t="shared" si="9"/>
        <v>25.25</v>
      </c>
      <c r="AO23" s="20">
        <f t="shared" si="10"/>
        <v>11.200000000000001</v>
      </c>
      <c r="AP23" s="20">
        <f t="shared" si="11"/>
        <v>14.700000000000001</v>
      </c>
      <c r="AQ23" s="20">
        <f t="shared" si="12"/>
        <v>37.800000000000004</v>
      </c>
      <c r="AR23" s="20">
        <f t="shared" si="13"/>
        <v>49.4</v>
      </c>
      <c r="AS23" s="35">
        <f t="shared" si="30"/>
        <v>308.29999999999995</v>
      </c>
      <c r="AU23" s="47">
        <v>157648</v>
      </c>
      <c r="AV23" s="37">
        <f t="shared" si="31"/>
        <v>2677</v>
      </c>
      <c r="AW23" s="35">
        <f t="shared" si="14"/>
        <v>5.3540000000000001</v>
      </c>
    </row>
    <row r="24" spans="1:49" x14ac:dyDescent="0.25">
      <c r="A24" s="23">
        <v>44426</v>
      </c>
      <c r="B24" s="40">
        <v>61</v>
      </c>
      <c r="C24" s="24">
        <v>6735440</v>
      </c>
      <c r="D24" s="24">
        <v>16599850</v>
      </c>
      <c r="E24" s="24">
        <v>2992030</v>
      </c>
      <c r="F24" s="24">
        <v>3603350</v>
      </c>
      <c r="G24" s="24">
        <v>10686030</v>
      </c>
      <c r="H24" s="24">
        <v>5753720</v>
      </c>
      <c r="I24" s="24">
        <v>5246070</v>
      </c>
      <c r="J24" s="24">
        <v>6188570</v>
      </c>
      <c r="K24" s="24">
        <v>9539860</v>
      </c>
      <c r="L24" s="24">
        <v>4011630</v>
      </c>
      <c r="M24" s="24">
        <v>8116770</v>
      </c>
      <c r="N24" s="24">
        <v>12530570</v>
      </c>
      <c r="O24" s="24">
        <v>17283340</v>
      </c>
      <c r="Q24" s="37">
        <f t="shared" si="17"/>
        <v>1030</v>
      </c>
      <c r="R24" s="37">
        <f t="shared" si="18"/>
        <v>13780</v>
      </c>
      <c r="S24" s="37">
        <f t="shared" si="16"/>
        <v>3670</v>
      </c>
      <c r="T24" s="37">
        <f t="shared" si="19"/>
        <v>1700</v>
      </c>
      <c r="U24" s="37">
        <f t="shared" si="20"/>
        <v>3890</v>
      </c>
      <c r="V24" s="37">
        <f t="shared" si="21"/>
        <v>3410</v>
      </c>
      <c r="W24" s="37">
        <f t="shared" si="22"/>
        <v>2390</v>
      </c>
      <c r="X24" s="37">
        <f t="shared" si="23"/>
        <v>5200</v>
      </c>
      <c r="Y24" s="37">
        <f t="shared" si="24"/>
        <v>5690</v>
      </c>
      <c r="Z24" s="37">
        <f t="shared" si="25"/>
        <v>2440</v>
      </c>
      <c r="AA24" s="37">
        <f t="shared" si="26"/>
        <v>2920</v>
      </c>
      <c r="AB24" s="37">
        <f t="shared" si="27"/>
        <v>7490</v>
      </c>
      <c r="AC24" s="37">
        <f t="shared" si="28"/>
        <v>9350</v>
      </c>
      <c r="AD24" s="35">
        <f t="shared" si="29"/>
        <v>62960</v>
      </c>
      <c r="AF24" s="20">
        <f t="shared" si="1"/>
        <v>5.15</v>
      </c>
      <c r="AG24" s="20">
        <f t="shared" si="2"/>
        <v>68.900000000000006</v>
      </c>
      <c r="AH24" s="20">
        <f t="shared" si="3"/>
        <v>18.350000000000001</v>
      </c>
      <c r="AI24" s="20">
        <f t="shared" si="4"/>
        <v>8.5</v>
      </c>
      <c r="AJ24" s="20">
        <f t="shared" si="5"/>
        <v>19.45</v>
      </c>
      <c r="AK24" s="20">
        <f t="shared" si="6"/>
        <v>17.05</v>
      </c>
      <c r="AL24" s="20">
        <f t="shared" si="7"/>
        <v>11.950000000000001</v>
      </c>
      <c r="AM24" s="20">
        <f t="shared" si="8"/>
        <v>26</v>
      </c>
      <c r="AN24" s="20">
        <f t="shared" si="9"/>
        <v>28.45</v>
      </c>
      <c r="AO24" s="20">
        <f t="shared" si="10"/>
        <v>12.200000000000001</v>
      </c>
      <c r="AP24" s="20">
        <f t="shared" si="11"/>
        <v>14.6</v>
      </c>
      <c r="AQ24" s="20">
        <f t="shared" si="12"/>
        <v>37.450000000000003</v>
      </c>
      <c r="AR24" s="20">
        <f t="shared" si="13"/>
        <v>46.75</v>
      </c>
      <c r="AS24" s="35">
        <f t="shared" si="30"/>
        <v>314.79999999999995</v>
      </c>
      <c r="AU24" s="47">
        <v>160000</v>
      </c>
      <c r="AV24" s="37">
        <f t="shared" si="31"/>
        <v>2352</v>
      </c>
      <c r="AW24" s="35">
        <f t="shared" si="14"/>
        <v>4.7039999999999997</v>
      </c>
    </row>
    <row r="25" spans="1:49" x14ac:dyDescent="0.25">
      <c r="A25" s="23">
        <v>44427</v>
      </c>
      <c r="B25" s="40">
        <v>102</v>
      </c>
      <c r="C25" s="24">
        <v>6736440</v>
      </c>
      <c r="D25" s="24">
        <v>16613280</v>
      </c>
      <c r="E25" s="24">
        <v>2995640</v>
      </c>
      <c r="F25" s="24">
        <v>3605000</v>
      </c>
      <c r="G25" s="24">
        <v>10689910</v>
      </c>
      <c r="H25" s="24">
        <v>5757110</v>
      </c>
      <c r="I25" s="24">
        <v>5248410</v>
      </c>
      <c r="J25" s="24">
        <v>6193590</v>
      </c>
      <c r="K25" s="24">
        <v>9545600</v>
      </c>
      <c r="L25" s="24">
        <v>4014160</v>
      </c>
      <c r="M25" s="24">
        <v>8119710</v>
      </c>
      <c r="N25" s="24">
        <v>12537960</v>
      </c>
      <c r="O25" s="24">
        <v>17292950</v>
      </c>
      <c r="Q25" s="37">
        <f t="shared" ref="Q25:AC27" si="33">IF((C25-C24&lt;0), "0",C25-C24)</f>
        <v>1000</v>
      </c>
      <c r="R25" s="37">
        <f t="shared" si="33"/>
        <v>13430</v>
      </c>
      <c r="S25" s="37">
        <f t="shared" si="33"/>
        <v>3610</v>
      </c>
      <c r="T25" s="37">
        <f t="shared" si="33"/>
        <v>1650</v>
      </c>
      <c r="U25" s="37">
        <f t="shared" si="33"/>
        <v>3880</v>
      </c>
      <c r="V25" s="37">
        <f t="shared" si="33"/>
        <v>3390</v>
      </c>
      <c r="W25" s="37">
        <f t="shared" si="33"/>
        <v>2340</v>
      </c>
      <c r="X25" s="37">
        <f t="shared" si="33"/>
        <v>5020</v>
      </c>
      <c r="Y25" s="37">
        <f t="shared" si="33"/>
        <v>5740</v>
      </c>
      <c r="Z25" s="37">
        <f t="shared" si="33"/>
        <v>2530</v>
      </c>
      <c r="AA25" s="37">
        <f t="shared" si="33"/>
        <v>2940</v>
      </c>
      <c r="AB25" s="37">
        <f t="shared" si="33"/>
        <v>7390</v>
      </c>
      <c r="AC25" s="37">
        <f t="shared" si="33"/>
        <v>9610</v>
      </c>
      <c r="AD25" s="35">
        <f t="shared" si="29"/>
        <v>62530</v>
      </c>
      <c r="AF25" s="20">
        <f t="shared" si="1"/>
        <v>5</v>
      </c>
      <c r="AG25" s="20">
        <f t="shared" si="2"/>
        <v>67.150000000000006</v>
      </c>
      <c r="AH25" s="20">
        <f t="shared" si="3"/>
        <v>18.05</v>
      </c>
      <c r="AI25" s="20">
        <f t="shared" si="4"/>
        <v>8.25</v>
      </c>
      <c r="AJ25" s="20">
        <f t="shared" si="5"/>
        <v>19.400000000000002</v>
      </c>
      <c r="AK25" s="20">
        <f t="shared" si="6"/>
        <v>16.95</v>
      </c>
      <c r="AL25" s="20">
        <f t="shared" si="7"/>
        <v>11.700000000000001</v>
      </c>
      <c r="AM25" s="20">
        <f t="shared" si="8"/>
        <v>25.1</v>
      </c>
      <c r="AN25" s="20">
        <f t="shared" si="9"/>
        <v>28.7</v>
      </c>
      <c r="AO25" s="20">
        <f t="shared" si="10"/>
        <v>12.65</v>
      </c>
      <c r="AP25" s="20">
        <f t="shared" si="11"/>
        <v>14.700000000000001</v>
      </c>
      <c r="AQ25" s="20">
        <f t="shared" si="12"/>
        <v>36.950000000000003</v>
      </c>
      <c r="AR25" s="20">
        <f t="shared" si="13"/>
        <v>48.050000000000004</v>
      </c>
      <c r="AS25" s="35">
        <f t="shared" si="30"/>
        <v>312.64999999999998</v>
      </c>
      <c r="AU25" s="47">
        <v>162238</v>
      </c>
      <c r="AV25" s="37">
        <f t="shared" si="31"/>
        <v>2238</v>
      </c>
      <c r="AW25" s="35">
        <f t="shared" si="14"/>
        <v>4.476</v>
      </c>
    </row>
    <row r="26" spans="1:49" x14ac:dyDescent="0.25">
      <c r="A26" s="23">
        <v>44428</v>
      </c>
      <c r="B26" s="40">
        <v>128</v>
      </c>
      <c r="C26" s="24">
        <v>6737420</v>
      </c>
      <c r="D26" s="24">
        <v>16627480</v>
      </c>
      <c r="E26" s="24">
        <v>2999580</v>
      </c>
      <c r="F26" s="24">
        <v>3606630</v>
      </c>
      <c r="G26" s="24">
        <v>10693820</v>
      </c>
      <c r="H26" s="24">
        <v>5760520</v>
      </c>
      <c r="I26" s="24">
        <v>5250710</v>
      </c>
      <c r="J26" s="24">
        <v>6198250</v>
      </c>
      <c r="K26" s="24">
        <v>9551280</v>
      </c>
      <c r="L26" s="24">
        <v>4016760</v>
      </c>
      <c r="M26" s="24">
        <v>8122590</v>
      </c>
      <c r="N26" s="24">
        <v>12545370</v>
      </c>
      <c r="O26" s="24">
        <v>17301900</v>
      </c>
      <c r="Q26" s="37">
        <f t="shared" si="33"/>
        <v>980</v>
      </c>
      <c r="R26" s="37">
        <f t="shared" si="33"/>
        <v>14200</v>
      </c>
      <c r="S26" s="37">
        <f t="shared" si="33"/>
        <v>3940</v>
      </c>
      <c r="T26" s="37">
        <f t="shared" si="33"/>
        <v>1630</v>
      </c>
      <c r="U26" s="37">
        <f t="shared" si="33"/>
        <v>3910</v>
      </c>
      <c r="V26" s="37">
        <f t="shared" si="33"/>
        <v>3410</v>
      </c>
      <c r="W26" s="37">
        <f t="shared" si="33"/>
        <v>2300</v>
      </c>
      <c r="X26" s="37">
        <f t="shared" si="33"/>
        <v>4660</v>
      </c>
      <c r="Y26" s="37">
        <f t="shared" si="33"/>
        <v>5680</v>
      </c>
      <c r="Z26" s="37">
        <f t="shared" si="33"/>
        <v>2600</v>
      </c>
      <c r="AA26" s="37">
        <f t="shared" si="33"/>
        <v>2880</v>
      </c>
      <c r="AB26" s="37">
        <f t="shared" si="33"/>
        <v>7410</v>
      </c>
      <c r="AC26" s="37">
        <f t="shared" si="33"/>
        <v>8950</v>
      </c>
      <c r="AD26" s="35">
        <f t="shared" si="29"/>
        <v>62550</v>
      </c>
      <c r="AF26" s="20">
        <f t="shared" si="1"/>
        <v>4.9000000000000004</v>
      </c>
      <c r="AG26" s="20">
        <f t="shared" si="2"/>
        <v>71</v>
      </c>
      <c r="AH26" s="20">
        <f t="shared" si="3"/>
        <v>19.7</v>
      </c>
      <c r="AI26" s="20">
        <f t="shared" si="4"/>
        <v>8.15</v>
      </c>
      <c r="AJ26" s="20">
        <f t="shared" si="5"/>
        <v>19.55</v>
      </c>
      <c r="AK26" s="20">
        <f t="shared" si="6"/>
        <v>17.05</v>
      </c>
      <c r="AL26" s="20">
        <f t="shared" si="7"/>
        <v>11.5</v>
      </c>
      <c r="AM26" s="20">
        <f t="shared" si="8"/>
        <v>23.3</v>
      </c>
      <c r="AN26" s="20">
        <f t="shared" si="9"/>
        <v>28.400000000000002</v>
      </c>
      <c r="AO26" s="20">
        <f t="shared" si="10"/>
        <v>13</v>
      </c>
      <c r="AP26" s="20">
        <f t="shared" si="11"/>
        <v>14.4</v>
      </c>
      <c r="AQ26" s="20">
        <f t="shared" si="12"/>
        <v>37.050000000000004</v>
      </c>
      <c r="AR26" s="20">
        <f t="shared" si="13"/>
        <v>44.75</v>
      </c>
      <c r="AS26" s="35">
        <f t="shared" si="30"/>
        <v>312.75000000000006</v>
      </c>
      <c r="AU26" s="47">
        <v>164757</v>
      </c>
      <c r="AV26" s="37">
        <f t="shared" si="31"/>
        <v>2519</v>
      </c>
      <c r="AW26" s="35">
        <f t="shared" si="14"/>
        <v>5.0380000000000003</v>
      </c>
    </row>
    <row r="27" spans="1:49" x14ac:dyDescent="0.25">
      <c r="A27" s="23">
        <v>44429</v>
      </c>
      <c r="B27" s="40">
        <v>70</v>
      </c>
      <c r="C27" s="24">
        <v>6738440</v>
      </c>
      <c r="D27" s="24">
        <v>16643830</v>
      </c>
      <c r="E27" s="24">
        <v>3004250</v>
      </c>
      <c r="F27" s="24">
        <v>3608340</v>
      </c>
      <c r="G27" s="24">
        <v>10697810</v>
      </c>
      <c r="H27" s="24">
        <v>5764070</v>
      </c>
      <c r="I27" s="24">
        <v>5253090</v>
      </c>
      <c r="J27" s="24">
        <v>6202990</v>
      </c>
      <c r="K27" s="24">
        <v>9557370</v>
      </c>
      <c r="L27" s="24">
        <v>4019460</v>
      </c>
      <c r="M27" s="24">
        <v>8125530</v>
      </c>
      <c r="N27" s="24">
        <v>12552920</v>
      </c>
      <c r="O27" s="24">
        <v>17310930</v>
      </c>
      <c r="Q27" s="37">
        <f t="shared" si="33"/>
        <v>1020</v>
      </c>
      <c r="R27" s="37">
        <f t="shared" si="33"/>
        <v>16350</v>
      </c>
      <c r="S27" s="37">
        <f t="shared" si="33"/>
        <v>4670</v>
      </c>
      <c r="T27" s="37">
        <f t="shared" si="33"/>
        <v>1710</v>
      </c>
      <c r="U27" s="37">
        <f t="shared" si="33"/>
        <v>3990</v>
      </c>
      <c r="V27" s="37">
        <f t="shared" si="33"/>
        <v>3550</v>
      </c>
      <c r="W27" s="37">
        <f t="shared" si="33"/>
        <v>2380</v>
      </c>
      <c r="X27" s="37">
        <f t="shared" si="33"/>
        <v>4740</v>
      </c>
      <c r="Y27" s="37">
        <f t="shared" si="33"/>
        <v>6090</v>
      </c>
      <c r="Z27" s="37">
        <f t="shared" si="33"/>
        <v>2700</v>
      </c>
      <c r="AA27" s="37">
        <f t="shared" si="33"/>
        <v>2940</v>
      </c>
      <c r="AB27" s="37">
        <f t="shared" si="33"/>
        <v>7550</v>
      </c>
      <c r="AC27" s="37">
        <f t="shared" si="33"/>
        <v>9030</v>
      </c>
      <c r="AD27" s="35">
        <f t="shared" si="29"/>
        <v>66720</v>
      </c>
      <c r="AF27" s="20">
        <f t="shared" si="1"/>
        <v>5.1000000000000005</v>
      </c>
      <c r="AG27" s="20">
        <f t="shared" si="2"/>
        <v>81.75</v>
      </c>
      <c r="AH27" s="20">
        <f t="shared" si="3"/>
        <v>23.35</v>
      </c>
      <c r="AI27" s="20">
        <f t="shared" si="4"/>
        <v>8.5500000000000007</v>
      </c>
      <c r="AJ27" s="20">
        <f t="shared" si="5"/>
        <v>19.95</v>
      </c>
      <c r="AK27" s="20">
        <f t="shared" si="6"/>
        <v>17.75</v>
      </c>
      <c r="AL27" s="20">
        <f t="shared" si="7"/>
        <v>11.9</v>
      </c>
      <c r="AM27" s="20">
        <f t="shared" si="8"/>
        <v>23.7</v>
      </c>
      <c r="AN27" s="20">
        <f t="shared" si="9"/>
        <v>30.45</v>
      </c>
      <c r="AO27" s="20">
        <f t="shared" si="10"/>
        <v>13.5</v>
      </c>
      <c r="AP27" s="20">
        <f t="shared" si="11"/>
        <v>14.700000000000001</v>
      </c>
      <c r="AQ27" s="20">
        <f t="shared" si="12"/>
        <v>37.75</v>
      </c>
      <c r="AR27" s="20">
        <f t="shared" si="13"/>
        <v>45.15</v>
      </c>
      <c r="AS27" s="35">
        <f t="shared" si="30"/>
        <v>333.59999999999991</v>
      </c>
      <c r="AU27" s="47">
        <v>167308</v>
      </c>
      <c r="AV27" s="37">
        <f>IF((AU27-AU26&lt;0),"0",AU27-AU26)</f>
        <v>2551</v>
      </c>
      <c r="AW27" s="35">
        <f t="shared" si="14"/>
        <v>5.1020000000000003</v>
      </c>
    </row>
    <row r="28" spans="1:49" x14ac:dyDescent="0.25">
      <c r="A28" s="23">
        <v>44430</v>
      </c>
      <c r="B28" s="40">
        <v>81</v>
      </c>
      <c r="C28" s="24">
        <v>6739440</v>
      </c>
      <c r="D28" s="24">
        <v>16659010</v>
      </c>
      <c r="E28" s="24">
        <v>3008530</v>
      </c>
      <c r="F28" s="24">
        <v>3610020</v>
      </c>
      <c r="G28" s="24">
        <v>10701680</v>
      </c>
      <c r="H28" s="24">
        <v>5767500</v>
      </c>
      <c r="I28" s="24">
        <v>5255460</v>
      </c>
      <c r="J28" s="24">
        <v>6207420</v>
      </c>
      <c r="K28" s="24">
        <v>9563330</v>
      </c>
      <c r="L28" s="24">
        <v>4022080</v>
      </c>
      <c r="M28" s="24">
        <v>8128390</v>
      </c>
      <c r="N28" s="24">
        <v>12560410</v>
      </c>
      <c r="O28" s="24">
        <v>17319670</v>
      </c>
      <c r="Q28" s="37">
        <f t="shared" si="17"/>
        <v>1000</v>
      </c>
      <c r="R28" s="37">
        <f t="shared" si="18"/>
        <v>15180</v>
      </c>
      <c r="S28" s="37">
        <f t="shared" si="16"/>
        <v>4280</v>
      </c>
      <c r="T28" s="37">
        <f t="shared" si="19"/>
        <v>1680</v>
      </c>
      <c r="U28" s="37">
        <f t="shared" si="20"/>
        <v>3870</v>
      </c>
      <c r="V28" s="37">
        <f t="shared" si="21"/>
        <v>3430</v>
      </c>
      <c r="W28" s="37">
        <f t="shared" si="22"/>
        <v>2370</v>
      </c>
      <c r="X28" s="37">
        <f t="shared" si="23"/>
        <v>4430</v>
      </c>
      <c r="Y28" s="37">
        <f t="shared" si="24"/>
        <v>5960</v>
      </c>
      <c r="Z28" s="37">
        <f t="shared" si="25"/>
        <v>2620</v>
      </c>
      <c r="AA28" s="37">
        <f t="shared" si="26"/>
        <v>2860</v>
      </c>
      <c r="AB28" s="37">
        <f t="shared" si="27"/>
        <v>7490</v>
      </c>
      <c r="AC28" s="37">
        <f t="shared" si="28"/>
        <v>8740</v>
      </c>
      <c r="AD28" s="35">
        <f t="shared" si="29"/>
        <v>63910</v>
      </c>
      <c r="AF28" s="20">
        <f t="shared" si="1"/>
        <v>5</v>
      </c>
      <c r="AG28" s="20">
        <f t="shared" si="2"/>
        <v>75.900000000000006</v>
      </c>
      <c r="AH28" s="20">
        <f t="shared" si="3"/>
        <v>21.400000000000002</v>
      </c>
      <c r="AI28" s="20">
        <f t="shared" si="4"/>
        <v>8.4</v>
      </c>
      <c r="AJ28" s="20">
        <f t="shared" si="5"/>
        <v>19.350000000000001</v>
      </c>
      <c r="AK28" s="20">
        <f t="shared" si="6"/>
        <v>17.150000000000002</v>
      </c>
      <c r="AL28" s="20">
        <f t="shared" si="7"/>
        <v>11.85</v>
      </c>
      <c r="AM28" s="20">
        <f t="shared" si="8"/>
        <v>22.150000000000002</v>
      </c>
      <c r="AN28" s="20">
        <f t="shared" si="9"/>
        <v>29.8</v>
      </c>
      <c r="AO28" s="20">
        <f t="shared" si="10"/>
        <v>13.1</v>
      </c>
      <c r="AP28" s="20">
        <f t="shared" si="11"/>
        <v>14.3</v>
      </c>
      <c r="AQ28" s="20">
        <f t="shared" si="12"/>
        <v>37.450000000000003</v>
      </c>
      <c r="AR28" s="20">
        <f t="shared" si="13"/>
        <v>43.7</v>
      </c>
      <c r="AS28" s="35">
        <f t="shared" si="30"/>
        <v>319.55</v>
      </c>
      <c r="AU28" s="47">
        <v>169825</v>
      </c>
      <c r="AV28" s="37">
        <f>IF((AU28-AU27&lt;0),"0",AU28-AU27)</f>
        <v>2517</v>
      </c>
      <c r="AW28" s="35">
        <f t="shared" si="14"/>
        <v>5.0339999999999998</v>
      </c>
    </row>
    <row r="29" spans="1:49" x14ac:dyDescent="0.25">
      <c r="A29" s="23">
        <v>44431</v>
      </c>
      <c r="B29" s="40">
        <v>99</v>
      </c>
      <c r="C29" s="24">
        <v>6742280</v>
      </c>
      <c r="D29" s="24">
        <v>16673860</v>
      </c>
      <c r="E29" s="24">
        <v>3012570</v>
      </c>
      <c r="F29" s="24">
        <v>3611720</v>
      </c>
      <c r="G29" s="24">
        <v>10705690</v>
      </c>
      <c r="H29" s="24">
        <v>5771000</v>
      </c>
      <c r="I29" s="24">
        <v>5257820</v>
      </c>
      <c r="J29" s="24">
        <v>6211540</v>
      </c>
      <c r="K29" s="24">
        <v>9569390</v>
      </c>
      <c r="L29" s="24">
        <v>4024750</v>
      </c>
      <c r="M29" s="24">
        <v>8131340</v>
      </c>
      <c r="N29" s="24">
        <v>12567720</v>
      </c>
      <c r="O29" s="24">
        <v>17328460</v>
      </c>
      <c r="Q29" s="37">
        <f t="shared" si="17"/>
        <v>2840</v>
      </c>
      <c r="R29" s="37">
        <f t="shared" si="18"/>
        <v>14850</v>
      </c>
      <c r="S29" s="37">
        <f t="shared" si="16"/>
        <v>4040</v>
      </c>
      <c r="T29" s="37">
        <f t="shared" si="19"/>
        <v>1700</v>
      </c>
      <c r="U29" s="37">
        <f t="shared" si="20"/>
        <v>4010</v>
      </c>
      <c r="V29" s="37">
        <f t="shared" si="21"/>
        <v>3500</v>
      </c>
      <c r="W29" s="37">
        <f t="shared" si="22"/>
        <v>2360</v>
      </c>
      <c r="X29" s="37">
        <f t="shared" si="23"/>
        <v>4120</v>
      </c>
      <c r="Y29" s="37">
        <f t="shared" si="24"/>
        <v>6060</v>
      </c>
      <c r="Z29" s="37">
        <f t="shared" si="25"/>
        <v>2670</v>
      </c>
      <c r="AA29" s="37">
        <f t="shared" si="26"/>
        <v>2950</v>
      </c>
      <c r="AB29" s="37">
        <f t="shared" si="27"/>
        <v>7310</v>
      </c>
      <c r="AC29" s="37">
        <f t="shared" si="28"/>
        <v>8790</v>
      </c>
      <c r="AD29" s="35">
        <f t="shared" si="29"/>
        <v>65200</v>
      </c>
      <c r="AF29" s="20">
        <f t="shared" si="1"/>
        <v>14.200000000000001</v>
      </c>
      <c r="AG29" s="20">
        <f t="shared" si="2"/>
        <v>74.25</v>
      </c>
      <c r="AH29" s="20">
        <f t="shared" si="3"/>
        <v>20.2</v>
      </c>
      <c r="AI29" s="20">
        <f t="shared" si="4"/>
        <v>8.5</v>
      </c>
      <c r="AJ29" s="20">
        <f t="shared" si="5"/>
        <v>20.05</v>
      </c>
      <c r="AK29" s="20">
        <f t="shared" si="6"/>
        <v>17.5</v>
      </c>
      <c r="AL29" s="20">
        <f t="shared" si="7"/>
        <v>11.8</v>
      </c>
      <c r="AM29" s="20">
        <f t="shared" si="8"/>
        <v>20.6</v>
      </c>
      <c r="AN29" s="20">
        <f t="shared" si="9"/>
        <v>30.3</v>
      </c>
      <c r="AO29" s="20">
        <f t="shared" si="10"/>
        <v>13.35</v>
      </c>
      <c r="AP29" s="20">
        <f t="shared" si="11"/>
        <v>14.75</v>
      </c>
      <c r="AQ29" s="20">
        <f t="shared" si="12"/>
        <v>36.550000000000004</v>
      </c>
      <c r="AR29" s="20">
        <f t="shared" si="13"/>
        <v>43.95</v>
      </c>
      <c r="AS29" s="35">
        <f t="shared" si="30"/>
        <v>326</v>
      </c>
      <c r="AU29" s="47">
        <v>172577</v>
      </c>
      <c r="AV29" s="37">
        <f t="shared" ref="AV29:AV35" si="34">IF((AU29-AU28&lt;0),"0",AU29-AU28)</f>
        <v>2752</v>
      </c>
      <c r="AW29" s="35">
        <f t="shared" si="14"/>
        <v>5.5040000000000004</v>
      </c>
    </row>
    <row r="30" spans="1:49" x14ac:dyDescent="0.25">
      <c r="A30" s="23">
        <v>44432</v>
      </c>
      <c r="B30" s="40">
        <v>103</v>
      </c>
      <c r="C30" s="24">
        <v>6744620</v>
      </c>
      <c r="D30" s="24">
        <v>16689000</v>
      </c>
      <c r="E30" s="24">
        <v>3016490</v>
      </c>
      <c r="F30" s="24">
        <v>3613460</v>
      </c>
      <c r="G30" s="24">
        <v>10709560</v>
      </c>
      <c r="H30" s="24">
        <v>5774500</v>
      </c>
      <c r="I30" s="24">
        <v>5260130</v>
      </c>
      <c r="J30" s="24">
        <v>6216160</v>
      </c>
      <c r="K30" s="24">
        <v>9575340</v>
      </c>
      <c r="L30" s="24">
        <v>4027430</v>
      </c>
      <c r="M30" s="24">
        <v>8134220</v>
      </c>
      <c r="N30" s="24">
        <v>12574900</v>
      </c>
      <c r="O30" s="24">
        <v>17336150</v>
      </c>
      <c r="Q30" s="37">
        <f t="shared" si="17"/>
        <v>2340</v>
      </c>
      <c r="R30" s="37">
        <f t="shared" si="18"/>
        <v>15140</v>
      </c>
      <c r="S30" s="37">
        <f t="shared" si="16"/>
        <v>3920</v>
      </c>
      <c r="T30" s="37">
        <f t="shared" si="19"/>
        <v>1740</v>
      </c>
      <c r="U30" s="37">
        <f t="shared" si="20"/>
        <v>3870</v>
      </c>
      <c r="V30" s="37">
        <f t="shared" si="21"/>
        <v>3500</v>
      </c>
      <c r="W30" s="37">
        <f t="shared" si="22"/>
        <v>2310</v>
      </c>
      <c r="X30" s="37">
        <f t="shared" si="23"/>
        <v>4620</v>
      </c>
      <c r="Y30" s="37">
        <f t="shared" si="24"/>
        <v>5950</v>
      </c>
      <c r="Z30" s="37">
        <f t="shared" si="25"/>
        <v>2680</v>
      </c>
      <c r="AA30" s="37">
        <f t="shared" si="26"/>
        <v>2880</v>
      </c>
      <c r="AB30" s="37">
        <f t="shared" si="27"/>
        <v>7180</v>
      </c>
      <c r="AC30" s="37">
        <f t="shared" si="28"/>
        <v>7690</v>
      </c>
      <c r="AD30" s="35">
        <f t="shared" si="29"/>
        <v>63820</v>
      </c>
      <c r="AF30" s="20">
        <f t="shared" si="1"/>
        <v>11.700000000000001</v>
      </c>
      <c r="AG30" s="20">
        <f t="shared" si="2"/>
        <v>75.7</v>
      </c>
      <c r="AH30" s="20">
        <f t="shared" si="3"/>
        <v>19.600000000000001</v>
      </c>
      <c r="AI30" s="20">
        <f t="shared" si="4"/>
        <v>8.7000000000000011</v>
      </c>
      <c r="AJ30" s="20">
        <f t="shared" si="5"/>
        <v>19.350000000000001</v>
      </c>
      <c r="AK30" s="20">
        <f t="shared" si="6"/>
        <v>17.5</v>
      </c>
      <c r="AL30" s="20">
        <f t="shared" si="7"/>
        <v>11.55</v>
      </c>
      <c r="AM30" s="20">
        <f t="shared" si="8"/>
        <v>23.1</v>
      </c>
      <c r="AN30" s="20">
        <f t="shared" si="9"/>
        <v>29.75</v>
      </c>
      <c r="AO30" s="20">
        <f t="shared" si="10"/>
        <v>13.4</v>
      </c>
      <c r="AP30" s="20">
        <f t="shared" si="11"/>
        <v>14.4</v>
      </c>
      <c r="AQ30" s="20">
        <f t="shared" si="12"/>
        <v>35.9</v>
      </c>
      <c r="AR30" s="20">
        <f t="shared" si="13"/>
        <v>38.450000000000003</v>
      </c>
      <c r="AS30" s="35">
        <f t="shared" si="30"/>
        <v>319.10000000000002</v>
      </c>
      <c r="AU30" s="47">
        <v>174889</v>
      </c>
      <c r="AV30" s="37">
        <f t="shared" si="34"/>
        <v>2312</v>
      </c>
      <c r="AW30" s="35">
        <f t="shared" si="14"/>
        <v>4.6239999999999997</v>
      </c>
    </row>
    <row r="31" spans="1:49" x14ac:dyDescent="0.25">
      <c r="A31" s="23">
        <v>44433</v>
      </c>
      <c r="B31" s="40">
        <v>105</v>
      </c>
      <c r="C31" s="24">
        <v>6746130</v>
      </c>
      <c r="D31" s="24">
        <v>16702570</v>
      </c>
      <c r="E31" s="24">
        <v>3020120</v>
      </c>
      <c r="F31" s="24">
        <v>3615230</v>
      </c>
      <c r="G31" s="24">
        <v>10713430</v>
      </c>
      <c r="H31" s="24">
        <v>5777970</v>
      </c>
      <c r="I31" s="24">
        <v>5262430</v>
      </c>
      <c r="J31" s="24">
        <v>6220980</v>
      </c>
      <c r="K31" s="24">
        <v>9581330</v>
      </c>
      <c r="L31" s="24">
        <v>4030120</v>
      </c>
      <c r="M31" s="24">
        <v>8137210</v>
      </c>
      <c r="N31" s="24">
        <v>12582340</v>
      </c>
      <c r="O31" s="24">
        <v>17344430</v>
      </c>
      <c r="Q31" s="37">
        <f>IF((C31-C30&lt;0), "0",C31-C30)</f>
        <v>1510</v>
      </c>
      <c r="R31" s="37">
        <f t="shared" si="18"/>
        <v>13570</v>
      </c>
      <c r="S31" s="37">
        <f t="shared" si="16"/>
        <v>3630</v>
      </c>
      <c r="T31" s="37">
        <f t="shared" si="19"/>
        <v>1770</v>
      </c>
      <c r="U31" s="37">
        <f t="shared" si="20"/>
        <v>3870</v>
      </c>
      <c r="V31" s="37">
        <f t="shared" si="21"/>
        <v>3470</v>
      </c>
      <c r="W31" s="37">
        <f t="shared" si="22"/>
        <v>2300</v>
      </c>
      <c r="X31" s="37">
        <f t="shared" si="23"/>
        <v>4820</v>
      </c>
      <c r="Y31" s="37">
        <f t="shared" si="24"/>
        <v>5990</v>
      </c>
      <c r="Z31" s="37">
        <f t="shared" si="25"/>
        <v>2690</v>
      </c>
      <c r="AA31" s="37">
        <f t="shared" si="26"/>
        <v>2990</v>
      </c>
      <c r="AB31" s="37">
        <f t="shared" si="27"/>
        <v>7440</v>
      </c>
      <c r="AC31" s="37">
        <f t="shared" si="28"/>
        <v>8280</v>
      </c>
      <c r="AD31" s="35">
        <f t="shared" si="29"/>
        <v>62330</v>
      </c>
      <c r="AF31" s="20">
        <f t="shared" si="1"/>
        <v>7.55</v>
      </c>
      <c r="AG31" s="20">
        <f t="shared" si="2"/>
        <v>67.849999999999994</v>
      </c>
      <c r="AH31" s="20">
        <f t="shared" si="3"/>
        <v>18.150000000000002</v>
      </c>
      <c r="AI31" s="20">
        <f t="shared" si="4"/>
        <v>8.85</v>
      </c>
      <c r="AJ31" s="20">
        <f t="shared" si="5"/>
        <v>19.350000000000001</v>
      </c>
      <c r="AK31" s="20">
        <f t="shared" si="6"/>
        <v>17.350000000000001</v>
      </c>
      <c r="AL31" s="20">
        <f t="shared" si="7"/>
        <v>11.5</v>
      </c>
      <c r="AM31" s="20">
        <f t="shared" si="8"/>
        <v>24.1</v>
      </c>
      <c r="AN31" s="20">
        <f t="shared" si="9"/>
        <v>29.95</v>
      </c>
      <c r="AO31" s="20">
        <f t="shared" si="10"/>
        <v>13.450000000000001</v>
      </c>
      <c r="AP31" s="20">
        <f t="shared" si="11"/>
        <v>14.950000000000001</v>
      </c>
      <c r="AQ31" s="20">
        <f t="shared" si="12"/>
        <v>37.200000000000003</v>
      </c>
      <c r="AR31" s="20">
        <f t="shared" si="13"/>
        <v>41.4</v>
      </c>
      <c r="AS31" s="35">
        <f t="shared" si="30"/>
        <v>311.64999999999992</v>
      </c>
      <c r="AU31" s="47">
        <v>177858</v>
      </c>
      <c r="AV31" s="37">
        <f t="shared" si="34"/>
        <v>2969</v>
      </c>
      <c r="AW31" s="35">
        <f t="shared" si="14"/>
        <v>5.9379999999999997</v>
      </c>
    </row>
    <row r="32" spans="1:49" x14ac:dyDescent="0.25">
      <c r="A32" s="23">
        <v>44434</v>
      </c>
      <c r="B32" s="40">
        <v>143</v>
      </c>
      <c r="C32" s="24">
        <v>6747180</v>
      </c>
      <c r="D32" s="24">
        <v>16716500</v>
      </c>
      <c r="E32" s="24">
        <v>3023860</v>
      </c>
      <c r="F32" s="24">
        <v>3616920</v>
      </c>
      <c r="G32" s="24">
        <v>10717510</v>
      </c>
      <c r="H32" s="24">
        <v>5781510</v>
      </c>
      <c r="I32" s="24">
        <v>5264800</v>
      </c>
      <c r="J32" s="24">
        <v>6226030</v>
      </c>
      <c r="K32" s="24">
        <v>9587430</v>
      </c>
      <c r="L32" s="24">
        <v>4033020</v>
      </c>
      <c r="M32" s="24">
        <v>8140530</v>
      </c>
      <c r="N32" s="24">
        <v>12590010</v>
      </c>
      <c r="O32" s="24">
        <v>17354030</v>
      </c>
      <c r="Q32" s="37">
        <f>IF((C32-C31&lt;0), "0",C32-C31)</f>
        <v>1050</v>
      </c>
      <c r="R32" s="37">
        <f t="shared" si="18"/>
        <v>13930</v>
      </c>
      <c r="S32" s="37">
        <f t="shared" si="16"/>
        <v>3740</v>
      </c>
      <c r="T32" s="37">
        <f t="shared" si="19"/>
        <v>1690</v>
      </c>
      <c r="U32" s="37">
        <f t="shared" si="20"/>
        <v>4080</v>
      </c>
      <c r="V32" s="37">
        <f t="shared" si="21"/>
        <v>3540</v>
      </c>
      <c r="W32" s="37">
        <f t="shared" si="22"/>
        <v>2370</v>
      </c>
      <c r="X32" s="37">
        <f t="shared" si="23"/>
        <v>5050</v>
      </c>
      <c r="Y32" s="37">
        <f t="shared" si="24"/>
        <v>6100</v>
      </c>
      <c r="Z32" s="37">
        <f t="shared" si="25"/>
        <v>2900</v>
      </c>
      <c r="AA32" s="37">
        <f t="shared" si="26"/>
        <v>3320</v>
      </c>
      <c r="AB32" s="37">
        <f t="shared" si="27"/>
        <v>7670</v>
      </c>
      <c r="AC32" s="37">
        <f t="shared" si="28"/>
        <v>9600</v>
      </c>
      <c r="AD32" s="35">
        <f t="shared" si="29"/>
        <v>65040</v>
      </c>
      <c r="AF32" s="20">
        <f t="shared" si="1"/>
        <v>5.25</v>
      </c>
      <c r="AG32" s="20">
        <f t="shared" si="2"/>
        <v>69.650000000000006</v>
      </c>
      <c r="AH32" s="20">
        <f t="shared" si="3"/>
        <v>18.7</v>
      </c>
      <c r="AI32" s="20">
        <f t="shared" si="4"/>
        <v>8.4499999999999993</v>
      </c>
      <c r="AJ32" s="20">
        <f t="shared" si="5"/>
        <v>20.400000000000002</v>
      </c>
      <c r="AK32" s="20">
        <f t="shared" si="6"/>
        <v>17.7</v>
      </c>
      <c r="AL32" s="20">
        <f t="shared" si="7"/>
        <v>11.85</v>
      </c>
      <c r="AM32" s="20">
        <f t="shared" si="8"/>
        <v>25.25</v>
      </c>
      <c r="AN32" s="20">
        <f t="shared" si="9"/>
        <v>30.5</v>
      </c>
      <c r="AO32" s="20">
        <f t="shared" si="10"/>
        <v>14.5</v>
      </c>
      <c r="AP32" s="20">
        <f t="shared" si="11"/>
        <v>16.600000000000001</v>
      </c>
      <c r="AQ32" s="20">
        <f t="shared" si="12"/>
        <v>38.35</v>
      </c>
      <c r="AR32" s="20">
        <f t="shared" si="13"/>
        <v>48</v>
      </c>
      <c r="AS32" s="35">
        <f t="shared" si="30"/>
        <v>325.2</v>
      </c>
      <c r="AU32" s="47">
        <v>180547</v>
      </c>
      <c r="AV32" s="37">
        <f t="shared" si="34"/>
        <v>2689</v>
      </c>
      <c r="AW32" s="35">
        <f t="shared" si="14"/>
        <v>5.3780000000000001</v>
      </c>
    </row>
    <row r="33" spans="1:49" x14ac:dyDescent="0.25">
      <c r="A33" s="23">
        <v>44435</v>
      </c>
      <c r="B33" s="40">
        <v>122</v>
      </c>
      <c r="C33" s="24">
        <v>6748160</v>
      </c>
      <c r="D33" s="24">
        <v>16730420</v>
      </c>
      <c r="E33" s="24">
        <v>3027670</v>
      </c>
      <c r="F33" s="24">
        <v>3618560</v>
      </c>
      <c r="G33" s="24">
        <v>10721580</v>
      </c>
      <c r="H33" s="24">
        <v>5785080</v>
      </c>
      <c r="I33" s="24">
        <v>5267140</v>
      </c>
      <c r="J33" s="24">
        <v>6231140</v>
      </c>
      <c r="K33" s="24">
        <v>9593430</v>
      </c>
      <c r="L33" s="24">
        <v>4035840</v>
      </c>
      <c r="M33" s="24">
        <v>8143900</v>
      </c>
      <c r="N33" s="24">
        <v>12597480</v>
      </c>
      <c r="O33" s="24">
        <v>17364420</v>
      </c>
      <c r="Q33" s="37">
        <f>IF((C33-C32&lt;0), "0",C33-C32)</f>
        <v>980</v>
      </c>
      <c r="R33" s="37">
        <f t="shared" si="18"/>
        <v>13920</v>
      </c>
      <c r="S33" s="37">
        <f t="shared" si="16"/>
        <v>3810</v>
      </c>
      <c r="T33" s="37">
        <f t="shared" si="19"/>
        <v>1640</v>
      </c>
      <c r="U33" s="37">
        <f t="shared" si="20"/>
        <v>4070</v>
      </c>
      <c r="V33" s="37">
        <f t="shared" si="21"/>
        <v>3570</v>
      </c>
      <c r="W33" s="37">
        <f t="shared" si="22"/>
        <v>2340</v>
      </c>
      <c r="X33" s="37">
        <f t="shared" si="23"/>
        <v>5110</v>
      </c>
      <c r="Y33" s="37">
        <f t="shared" si="24"/>
        <v>6000</v>
      </c>
      <c r="Z33" s="37">
        <f t="shared" si="25"/>
        <v>2820</v>
      </c>
      <c r="AA33" s="37">
        <f t="shared" si="26"/>
        <v>3370</v>
      </c>
      <c r="AB33" s="37">
        <f t="shared" si="27"/>
        <v>7470</v>
      </c>
      <c r="AC33" s="37">
        <f t="shared" si="28"/>
        <v>10390</v>
      </c>
      <c r="AD33" s="35">
        <f t="shared" si="29"/>
        <v>65490</v>
      </c>
      <c r="AF33" s="20">
        <f t="shared" si="1"/>
        <v>4.9000000000000004</v>
      </c>
      <c r="AG33" s="20">
        <f t="shared" si="2"/>
        <v>69.600000000000009</v>
      </c>
      <c r="AH33" s="20">
        <f t="shared" si="3"/>
        <v>19.05</v>
      </c>
      <c r="AI33" s="20">
        <f t="shared" si="4"/>
        <v>8.1999999999999993</v>
      </c>
      <c r="AJ33" s="20">
        <f t="shared" si="5"/>
        <v>20.350000000000001</v>
      </c>
      <c r="AK33" s="20">
        <f t="shared" si="6"/>
        <v>17.850000000000001</v>
      </c>
      <c r="AL33" s="20">
        <f t="shared" si="7"/>
        <v>11.700000000000001</v>
      </c>
      <c r="AM33" s="20">
        <f t="shared" si="8"/>
        <v>25.55</v>
      </c>
      <c r="AN33" s="20">
        <f t="shared" si="9"/>
        <v>30</v>
      </c>
      <c r="AO33" s="20">
        <f t="shared" si="10"/>
        <v>14.1</v>
      </c>
      <c r="AP33" s="20">
        <f t="shared" si="11"/>
        <v>16.850000000000001</v>
      </c>
      <c r="AQ33" s="20">
        <f t="shared" si="12"/>
        <v>37.35</v>
      </c>
      <c r="AR33" s="20">
        <f t="shared" si="13"/>
        <v>51.95</v>
      </c>
      <c r="AS33" s="35">
        <f t="shared" si="30"/>
        <v>327.45</v>
      </c>
      <c r="AU33" s="47">
        <v>183166</v>
      </c>
      <c r="AV33" s="37">
        <f t="shared" si="34"/>
        <v>2619</v>
      </c>
      <c r="AW33" s="35">
        <f t="shared" si="14"/>
        <v>5.2380000000000004</v>
      </c>
    </row>
    <row r="34" spans="1:49" x14ac:dyDescent="0.25">
      <c r="A34" s="23">
        <v>44436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>IF((C34-C33&lt;0), "0",C34-C33)</f>
        <v>0</v>
      </c>
      <c r="R34" s="37" t="str">
        <f t="shared" si="18"/>
        <v>0</v>
      </c>
      <c r="S34" s="37" t="str">
        <f t="shared" si="16"/>
        <v>0</v>
      </c>
      <c r="T34" s="37" t="str">
        <f t="shared" si="19"/>
        <v>0</v>
      </c>
      <c r="U34" s="37" t="str">
        <f t="shared" si="20"/>
        <v>0</v>
      </c>
      <c r="V34" s="37" t="str">
        <f t="shared" si="21"/>
        <v>0</v>
      </c>
      <c r="W34" s="37" t="str">
        <f t="shared" si="22"/>
        <v>0</v>
      </c>
      <c r="X34" s="37" t="str">
        <f t="shared" si="23"/>
        <v>0</v>
      </c>
      <c r="Y34" s="37" t="str">
        <f t="shared" si="24"/>
        <v>0</v>
      </c>
      <c r="Z34" s="37" t="str">
        <f t="shared" si="25"/>
        <v>0</v>
      </c>
      <c r="AA34" s="37" t="str">
        <f t="shared" si="26"/>
        <v>0</v>
      </c>
      <c r="AB34" s="37">
        <v>0</v>
      </c>
      <c r="AC34" s="37" t="str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 t="str">
        <f t="shared" si="34"/>
        <v>0</v>
      </c>
      <c r="AW34" s="35">
        <f t="shared" si="14"/>
        <v>0</v>
      </c>
    </row>
    <row r="35" spans="1:49" x14ac:dyDescent="0.25">
      <c r="A35" s="23">
        <v>44437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30480</v>
      </c>
      <c r="R38" s="38">
        <f t="shared" ref="R38:AD38" si="62">SUM(R7:R37)</f>
        <v>380770</v>
      </c>
      <c r="S38" s="38">
        <f t="shared" si="62"/>
        <v>103790</v>
      </c>
      <c r="T38" s="38">
        <f t="shared" si="62"/>
        <v>45000</v>
      </c>
      <c r="U38" s="38">
        <f t="shared" si="62"/>
        <v>108670</v>
      </c>
      <c r="V38" s="38">
        <f t="shared" si="62"/>
        <v>92610</v>
      </c>
      <c r="W38" s="38">
        <f t="shared" si="62"/>
        <v>62680</v>
      </c>
      <c r="X38" s="38">
        <f t="shared" si="62"/>
        <v>117260</v>
      </c>
      <c r="Y38" s="38">
        <f t="shared" si="62"/>
        <v>152050</v>
      </c>
      <c r="Z38" s="38">
        <f t="shared" si="62"/>
        <v>70070</v>
      </c>
      <c r="AA38" s="38">
        <f t="shared" si="62"/>
        <v>81050</v>
      </c>
      <c r="AB38" s="38">
        <f t="shared" si="62"/>
        <v>203810</v>
      </c>
      <c r="AC38" s="38">
        <f t="shared" si="62"/>
        <v>243880</v>
      </c>
      <c r="AD38" s="38">
        <f t="shared" si="62"/>
        <v>1692120</v>
      </c>
      <c r="AF38" s="35">
        <f>SUM(AF7:AF37)</f>
        <v>152.4</v>
      </c>
      <c r="AG38" s="35">
        <f t="shared" ref="AG38:AS38" si="63">SUM(AG7:AG37)</f>
        <v>1903.8500000000004</v>
      </c>
      <c r="AH38" s="35">
        <f t="shared" si="63"/>
        <v>518.94999999999993</v>
      </c>
      <c r="AI38" s="35">
        <f t="shared" si="63"/>
        <v>224.99999999999997</v>
      </c>
      <c r="AJ38" s="35">
        <f t="shared" si="63"/>
        <v>543.35</v>
      </c>
      <c r="AK38" s="35">
        <f t="shared" si="63"/>
        <v>463.05</v>
      </c>
      <c r="AL38" s="35">
        <f t="shared" si="63"/>
        <v>313.39999999999998</v>
      </c>
      <c r="AM38" s="35">
        <f t="shared" si="63"/>
        <v>586.29999999999995</v>
      </c>
      <c r="AN38" s="35">
        <f t="shared" si="63"/>
        <v>760.25</v>
      </c>
      <c r="AO38" s="35">
        <f t="shared" si="63"/>
        <v>350.34999999999997</v>
      </c>
      <c r="AP38" s="35">
        <f t="shared" si="63"/>
        <v>405.25</v>
      </c>
      <c r="AQ38" s="35">
        <f t="shared" si="63"/>
        <v>1019.05</v>
      </c>
      <c r="AR38" s="35">
        <f t="shared" si="63"/>
        <v>1219.4000000000001</v>
      </c>
      <c r="AS38" s="35">
        <f t="shared" si="63"/>
        <v>8460.6</v>
      </c>
      <c r="AU38" s="48"/>
      <c r="AV38" s="35">
        <f>SUM(AV7:AV34)</f>
        <v>71049</v>
      </c>
      <c r="AW38" s="35">
        <f>SUM(AW7:AW34)</f>
        <v>142.09800000000001</v>
      </c>
    </row>
    <row r="39" spans="1:49" x14ac:dyDescent="0.25">
      <c r="D39">
        <v>5.0000000000000001E-3</v>
      </c>
      <c r="AV39" s="36">
        <f>AV38*0.00378541*1000</f>
        <v>268949.59509000002</v>
      </c>
    </row>
    <row r="40" spans="1:49" x14ac:dyDescent="0.25">
      <c r="D40">
        <v>2E-3</v>
      </c>
      <c r="AV40">
        <f>AV39/31</f>
        <v>8675.7933900000007</v>
      </c>
    </row>
    <row r="41" spans="1:49" x14ac:dyDescent="0.25">
      <c r="AV41">
        <f>AV38*0.00378541</f>
        <v>268.94959509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2021-08-28T04:35:17Z</dcterms:modified>
</cp:coreProperties>
</file>