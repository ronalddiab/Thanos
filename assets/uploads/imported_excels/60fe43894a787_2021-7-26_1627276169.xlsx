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7 - 2021" sheetId="5" r:id="rId3"/>
  </sheets>
  <definedNames>
    <definedName name="_xlnm.Print_Area" localSheetId="2">'7 - 2021'!$A$1:$J$35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F33" i="5"/>
  <c r="E33" i="5"/>
  <c r="L26" i="3" l="1"/>
  <c r="K26" i="3"/>
  <c r="I26" i="3"/>
  <c r="G26" i="3"/>
  <c r="E26" i="3"/>
  <c r="F32" i="5"/>
  <c r="I26" i="2" s="1"/>
  <c r="E32" i="5"/>
  <c r="H26" i="2" s="1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F26" i="5"/>
  <c r="F27" i="5" s="1"/>
  <c r="F28" i="5" s="1"/>
  <c r="F29" i="5" s="1"/>
  <c r="F30" i="5" s="1"/>
  <c r="F31" i="5" s="1"/>
  <c r="E26" i="5"/>
  <c r="E27" i="5" s="1"/>
  <c r="E28" i="5" s="1"/>
  <c r="E29" i="5" s="1"/>
  <c r="E30" i="5" s="1"/>
  <c r="E31" i="5" s="1"/>
  <c r="L19" i="3" l="1"/>
  <c r="K19" i="3"/>
  <c r="I19" i="3"/>
  <c r="G19" i="3"/>
  <c r="E19" i="3"/>
  <c r="F25" i="5" l="1"/>
  <c r="E25" i="5"/>
  <c r="F24" i="5" l="1"/>
  <c r="F23" i="5"/>
  <c r="E24" i="5"/>
  <c r="E23" i="5"/>
  <c r="G17" i="3"/>
  <c r="L18" i="3"/>
  <c r="K18" i="3"/>
  <c r="I18" i="3"/>
  <c r="E18" i="3"/>
  <c r="L17" i="3"/>
  <c r="K17" i="3"/>
  <c r="I17" i="3"/>
  <c r="E17" i="3"/>
  <c r="J17" i="2"/>
  <c r="I17" i="2"/>
  <c r="H17" i="2"/>
  <c r="F17" i="2"/>
  <c r="E17" i="2"/>
  <c r="G18" i="3" l="1"/>
  <c r="L16" i="3" l="1"/>
  <c r="K16" i="3"/>
  <c r="I16" i="3"/>
  <c r="G16" i="3"/>
  <c r="E16" i="3"/>
  <c r="J16" i="2"/>
  <c r="I16" i="2"/>
  <c r="H16" i="2"/>
  <c r="F16" i="2"/>
  <c r="E16" i="2"/>
  <c r="F22" i="5"/>
  <c r="E22" i="5"/>
  <c r="L15" i="3" l="1"/>
  <c r="K15" i="3"/>
  <c r="I15" i="3"/>
  <c r="G15" i="3"/>
  <c r="E15" i="3"/>
  <c r="J15" i="2"/>
  <c r="I15" i="2"/>
  <c r="H15" i="2"/>
  <c r="F15" i="2"/>
  <c r="E15" i="2"/>
  <c r="E21" i="5"/>
  <c r="F21" i="5"/>
  <c r="L14" i="3" l="1"/>
  <c r="K14" i="3"/>
  <c r="I14" i="3"/>
  <c r="G14" i="3"/>
  <c r="E14" i="3"/>
  <c r="J14" i="2"/>
  <c r="I14" i="2"/>
  <c r="H14" i="2"/>
  <c r="F14" i="2"/>
  <c r="E14" i="2"/>
  <c r="F20" i="5"/>
  <c r="E20" i="5"/>
  <c r="F19" i="5" l="1"/>
  <c r="E19" i="5"/>
  <c r="G13" i="3" s="1"/>
  <c r="L13" i="3"/>
  <c r="K13" i="3"/>
  <c r="I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E16" i="5"/>
  <c r="F18" i="5"/>
  <c r="E17" i="5" l="1"/>
  <c r="E18" i="5" s="1"/>
  <c r="E15" i="5"/>
  <c r="F16" i="5"/>
  <c r="F17" i="5" s="1"/>
  <c r="F15" i="5"/>
  <c r="L10" i="3"/>
  <c r="K10" i="3"/>
  <c r="I10" i="3"/>
  <c r="G10" i="3"/>
  <c r="E10" i="3"/>
  <c r="J10" i="2"/>
  <c r="I10" i="2"/>
  <c r="F10" i="2"/>
  <c r="E10" i="2"/>
  <c r="H10" i="2" l="1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F14" i="5"/>
  <c r="E14" i="5"/>
  <c r="A14" i="5"/>
  <c r="L7" i="3" l="1"/>
  <c r="K7" i="3"/>
  <c r="I7" i="3"/>
  <c r="G7" i="3"/>
  <c r="E7" i="3"/>
  <c r="J7" i="2"/>
  <c r="I7" i="2"/>
  <c r="H7" i="2"/>
  <c r="F7" i="2"/>
  <c r="E7" i="2"/>
  <c r="E12" i="5"/>
  <c r="E11" i="5"/>
  <c r="F13" i="5"/>
  <c r="L6" i="3" l="1"/>
  <c r="K6" i="3"/>
  <c r="I6" i="3"/>
  <c r="E6" i="3"/>
  <c r="J6" i="2"/>
  <c r="I6" i="2"/>
  <c r="F6" i="2"/>
  <c r="E6" i="2"/>
  <c r="F12" i="5"/>
  <c r="E13" i="5"/>
  <c r="G6" i="3" l="1"/>
  <c r="H6" i="2"/>
  <c r="F11" i="5"/>
  <c r="G5" i="3"/>
  <c r="L5" i="3"/>
  <c r="K5" i="3"/>
  <c r="I5" i="3"/>
  <c r="E5" i="3"/>
  <c r="J5" i="2"/>
  <c r="I5" i="2"/>
  <c r="F5" i="2"/>
  <c r="E5" i="2"/>
  <c r="H5" i="2" l="1"/>
  <c r="L4" i="3"/>
  <c r="K4" i="3"/>
  <c r="I4" i="3"/>
  <c r="G4" i="3"/>
  <c r="E4" i="3"/>
  <c r="L3" i="3"/>
  <c r="K3" i="3"/>
  <c r="I3" i="3"/>
  <c r="G3" i="3"/>
  <c r="E3" i="3"/>
  <c r="F9" i="5"/>
  <c r="F10" i="5" s="1"/>
  <c r="E9" i="5"/>
  <c r="E10" i="5" s="1"/>
  <c r="J4" i="2" l="1"/>
  <c r="I4" i="2"/>
  <c r="H4" i="2"/>
  <c r="F4" i="2"/>
  <c r="E4" i="2"/>
  <c r="J3" i="2"/>
  <c r="I3" i="2"/>
  <c r="H3" i="2"/>
  <c r="F3" i="2"/>
  <c r="E3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K39" i="5"/>
  <c r="B32" i="3"/>
  <c r="B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11" i="3" l="1"/>
  <c r="K11" i="3"/>
  <c r="I11" i="3"/>
  <c r="G11" i="3"/>
  <c r="E11" i="3"/>
  <c r="J11" i="2"/>
  <c r="I11" i="2"/>
  <c r="H11" i="2"/>
  <c r="F11" i="2"/>
  <c r="E11" i="2"/>
  <c r="L2" i="3" l="1"/>
  <c r="K2" i="3"/>
  <c r="I2" i="3"/>
  <c r="G2" i="3" l="1"/>
  <c r="E2" i="3"/>
  <c r="E2" i="2"/>
  <c r="J2" i="2" l="1"/>
  <c r="I2" i="2"/>
  <c r="H2" i="2"/>
  <c r="F2" i="2"/>
  <c r="I40" i="5" l="1"/>
  <c r="A8" i="5"/>
  <c r="A9" i="5" s="1"/>
  <c r="A10" i="5" s="1"/>
  <c r="A11" i="5" s="1"/>
  <c r="A12" i="5" s="1"/>
  <c r="A13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H40" i="5" l="1"/>
  <c r="A27" i="5"/>
  <c r="A28" i="5" s="1"/>
  <c r="A29" i="5" s="1"/>
  <c r="A30" i="5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31" i="5" l="1"/>
  <c r="A32" i="5" s="1"/>
  <c r="A33" i="5" s="1"/>
  <c r="A34" i="5" s="1"/>
  <c r="A35" i="5" s="1"/>
  <c r="A36" i="5" s="1"/>
  <c r="A37" i="5" s="1"/>
  <c r="A38" i="5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<sst xmlns="http://schemas.openxmlformats.org/spreadsheetml/2006/main" count="108" uniqueCount="39">
  <si>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</si>
  <si>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</si>
  <si>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</si>
  <si>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</si>
  <si>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</si>
  <si>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</si>
  <si>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</si>
  <si>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</si>
  <si>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</si>
  <si>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</si>
  <si>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</si>
  <si>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</si>
  <si>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</si>
  <si>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</si>
  <si>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</si>
  <si>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</si>
  <si>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</si>
  <si>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</si>
  <si>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</si>
  <si>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</si>
  <si>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</si>
  <si>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</si>
  <si>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</si>
  <si>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</si>
  <si>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</si>
  <si>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</si>
  <si>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</si>
  <si>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</si>
  <si>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</si>
  <si>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</si>
  <si>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</si>
  <si>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</si>
  <si>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</si>
  <si>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</si>
  <si>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</si>
  <si>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</si>
  <si>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</si>
  <si>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2021</t>
  </si>
  <si>
    <t>We had issue with Kitchen &amp; Podium Gas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</si>
</sst>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43" fontId="4" fillId="0" borderId="0" xfId="2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43" fontId="4" fillId="0" borderId="18" xfId="2" applyFont="1" applyBorder="1" applyAlignment="1">
      <alignment horizontal="center" vertical="center"/>
    </xf>
    <xf numFmtId="43" fontId="4" fillId="2" borderId="18" xfId="2" applyFont="1" applyFill="1" applyBorder="1" applyAlignment="1">
      <alignment horizontal="center" vertical="center"/>
    </xf>
    <xf numFmtId="9" fontId="4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>
      <alignment horizontal="center" vertical="center"/>
    </xf>
    <xf numFmtId="43" fontId="4" fillId="0" borderId="18" xfId="2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4" fillId="0" borderId="5" xfId="2" applyFont="1" applyBorder="1" applyAlignment="1">
      <alignment horizontal="center"/>
    </xf>
    <xf numFmtId="43" fontId="4" fillId="0" borderId="5" xfId="2" applyFont="1" applyBorder="1" applyAlignment="1">
      <alignment horizontal="center" wrapText="1"/>
    </xf>
    <xf numFmtId="43" fontId="4" fillId="0" borderId="18" xfId="2" applyFont="1" applyBorder="1" applyAlignment="1">
      <alignment horizontal="center"/>
    </xf>
    <xf numFmtId="43" fontId="4" fillId="0" borderId="19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24" sqref="Q23:Q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6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0" t="s">
        <v>19</v>
      </c>
      <c r="L1" s="4" t="s">
        <v>19</v>
      </c>
      <c r="M1" s="7" t="s">
        <v>20</v>
      </c>
      <c r="N1" s="37" t="s">
        <v>21</v>
      </c>
      <c r="O1" s="4"/>
    </row>
    <row r="2" spans="1:21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'7 - 2021'!B8-'7 - 2021'!B7+'7 - 2021'!C8-'7 - 2021'!C7</f>
        <v>9670</v>
      </c>
      <c r="F2" s="18">
        <v>0.11799999999999999</v>
      </c>
      <c r="G2" s="20">
        <f>'7 - 2021'!D8-'7 - 2021'!D7+'7 - 2021'!E8-'7 - 2021'!E7</f>
        <v>10.400000000000091</v>
      </c>
      <c r="H2" s="18">
        <v>0.99</v>
      </c>
      <c r="I2" s="20">
        <f>'7 - 2021'!J8-'7 - 2021'!J7</f>
        <v>30122</v>
      </c>
      <c r="J2" s="18">
        <v>8.1000000000000003E-2</v>
      </c>
      <c r="K2" s="41">
        <f>'7 - 2021'!H8-'7 - 2021'!H7</f>
        <v>0</v>
      </c>
      <c r="L2" s="20">
        <f>'7 - 2021'!I8-'7 - 2021'!I7</f>
        <v>109</v>
      </c>
      <c r="M2" s="19">
        <v>4.393629424766913</v>
      </c>
      <c r="N2" s="20">
        <v>43</v>
      </c>
    </row>
    <row r="3" spans="1:21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'7 - 2021'!B9-'7 - 2021'!B8+'7 - 2021'!C9-'7 - 2021'!C8</f>
        <v>9803</v>
      </c>
      <c r="F3" s="18">
        <v>0.11799999999999999</v>
      </c>
      <c r="G3" s="20">
        <f>'7 - 2021'!D9-'7 - 2021'!D8+'7 - 2021'!E9-'7 - 2021'!E8</f>
        <v>24.920000000000073</v>
      </c>
      <c r="H3" s="18">
        <v>0.99</v>
      </c>
      <c r="I3" s="20">
        <f>'7 - 2021'!J9-'7 - 2021'!J8</f>
        <v>31947</v>
      </c>
      <c r="J3" s="18">
        <v>8.1000000000000003E-2</v>
      </c>
      <c r="K3" s="41">
        <f>'7 - 2021'!H9-'7 - 2021'!H8</f>
        <v>0</v>
      </c>
      <c r="L3" s="20">
        <f>'7 - 2021'!I9-'7 - 2021'!I8</f>
        <v>105</v>
      </c>
      <c r="M3" s="19">
        <v>4.393629424766913</v>
      </c>
      <c r="N3" s="34">
        <v>44</v>
      </c>
    </row>
    <row r="4" spans="1:21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'7 - 2021'!B10-'7 - 2021'!B9+'7 - 2021'!C10-'7 - 2021'!C9</f>
        <v>9249.9499999999534</v>
      </c>
      <c r="F4" s="18">
        <v>0.11799999999999999</v>
      </c>
      <c r="G4" s="20">
        <f>'7 - 2021'!D10-'7 - 2021'!D9+'7 - 2021'!E10-'7 - 2021'!E9</f>
        <v>24.940000000000055</v>
      </c>
      <c r="H4" s="18">
        <v>0.99</v>
      </c>
      <c r="I4" s="20">
        <f>'7 - 2021'!J10-'7 - 2021'!J9</f>
        <v>34964</v>
      </c>
      <c r="J4" s="18">
        <v>8.1000000000000003E-2</v>
      </c>
      <c r="K4" s="41">
        <f>'7 - 2021'!H10-'7 - 2021'!H9</f>
        <v>0</v>
      </c>
      <c r="L4" s="20">
        <f>'7 - 2021'!I10-'7 - 2021'!I9</f>
        <v>93</v>
      </c>
      <c r="M4" s="19">
        <v>4.393629424766913</v>
      </c>
      <c r="N4" s="34">
        <v>44</v>
      </c>
    </row>
    <row r="5" spans="1:21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'7 - 2021'!B11-'7 - 2021'!B10+'7 - 2021'!C11-'7 - 2021'!C10</f>
        <v>9574.9700000000885</v>
      </c>
      <c r="F5" s="18">
        <v>0.11799999999999999</v>
      </c>
      <c r="G5" s="20">
        <f>'7 - 2021'!D11-'7 - 2021'!D10+'7 - 2021'!E11-'7 - 2021'!E10</f>
        <v>22.949999999999818</v>
      </c>
      <c r="H5" s="18">
        <v>0.99</v>
      </c>
      <c r="I5" s="20">
        <f>'7 - 2021'!J11-'7 - 2021'!J10</f>
        <v>40471</v>
      </c>
      <c r="J5" s="18">
        <v>8.1000000000000003E-2</v>
      </c>
      <c r="K5" s="41">
        <f>'7 - 2021'!H11-'7 - 2021'!H10</f>
        <v>0</v>
      </c>
      <c r="L5" s="20">
        <f>'7 - 2021'!I11-'7 - 2021'!I10</f>
        <v>106</v>
      </c>
      <c r="M5" s="19">
        <v>4.393629424766913</v>
      </c>
      <c r="N5" s="34">
        <v>43</v>
      </c>
      <c r="R5" s="18"/>
    </row>
    <row r="6" spans="1:21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'7 - 2021'!B12-'7 - 2021'!B11+'7 - 2021'!C12-'7 - 2021'!C11</f>
        <v>9486.3800000000047</v>
      </c>
      <c r="F6" s="18">
        <v>0.11799999999999999</v>
      </c>
      <c r="G6" s="20">
        <f>'7 - 2021'!D12-'7 - 2021'!D11+'7 - 2021'!E12-'7 - 2021'!E11</f>
        <v>22.940000000000055</v>
      </c>
      <c r="H6" s="18">
        <v>0.99</v>
      </c>
      <c r="I6" s="20">
        <f>'7 - 2021'!J12-'7 - 2021'!J11</f>
        <v>36797</v>
      </c>
      <c r="J6" s="18">
        <v>8.1000000000000003E-2</v>
      </c>
      <c r="K6" s="41">
        <f>'7 - 2021'!H12-'7 - 2021'!H11</f>
        <v>0</v>
      </c>
      <c r="L6" s="20">
        <f>'7 - 2021'!I12-'7 - 2021'!I11</f>
        <v>107</v>
      </c>
      <c r="M6" s="19">
        <v>4.393629424766913</v>
      </c>
      <c r="N6" s="34">
        <v>36</v>
      </c>
    </row>
    <row r="7" spans="1:21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'7 - 2021'!B13-'7 - 2021'!B12+'7 - 2021'!C13-'7 - 2021'!C12</f>
        <v>9222.1999999999534</v>
      </c>
      <c r="F7" s="18">
        <v>0.11799999999999999</v>
      </c>
      <c r="G7" s="20">
        <f>'7 - 2021'!D13-'7 - 2021'!D12+'7 - 2021'!E13-'7 - 2021'!E12</f>
        <v>22.929999999999836</v>
      </c>
      <c r="H7" s="18">
        <v>0.99</v>
      </c>
      <c r="I7" s="20">
        <f>'7 - 2021'!J13-'7 - 2021'!J12</f>
        <v>37547</v>
      </c>
      <c r="J7" s="18">
        <v>8.1000000000000003E-2</v>
      </c>
      <c r="K7" s="41">
        <f>'7 - 2021'!H13-'7 - 2021'!H12</f>
        <v>0</v>
      </c>
      <c r="L7" s="20">
        <f>'7 - 2021'!I13-'7 - 2021'!I12</f>
        <v>93</v>
      </c>
      <c r="M7" s="19">
        <v>4.393629424766913</v>
      </c>
      <c r="N7" s="34">
        <v>38</v>
      </c>
    </row>
    <row r="8" spans="1:21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'7 - 2021'!B14-'7 - 2021'!B13+'7 - 2021'!C14-'7 - 2021'!C13</f>
        <v>9149.5200000000186</v>
      </c>
      <c r="F8" s="18">
        <v>0.11799999999999999</v>
      </c>
      <c r="G8" s="20">
        <f>'7 - 2021'!D14-'7 - 2021'!D13+'7 - 2021'!E14-'7 - 2021'!E13</f>
        <v>22.940000000000055</v>
      </c>
      <c r="H8" s="18">
        <v>0.99</v>
      </c>
      <c r="I8" s="20">
        <f>'7 - 2021'!J14-'7 - 2021'!J13</f>
        <v>35214</v>
      </c>
      <c r="J8" s="18">
        <v>8.1000000000000003E-2</v>
      </c>
      <c r="K8" s="41">
        <f>'7 - 2021'!H14-'7 - 2021'!H13</f>
        <v>0</v>
      </c>
      <c r="L8" s="20">
        <f>'7 - 2021'!I14-'7 - 2021'!I13</f>
        <v>95</v>
      </c>
      <c r="M8" s="19">
        <v>4.393629424766913</v>
      </c>
      <c r="N8" s="36">
        <v>38</v>
      </c>
      <c r="O8" s="20"/>
    </row>
    <row r="9" spans="1:21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'7 - 2021'!B15-'7 - 2021'!B14+'7 - 2021'!C15-'7 - 2021'!C14</f>
        <v>9407.3800000000047</v>
      </c>
      <c r="F9" s="18">
        <v>0.11799999999999999</v>
      </c>
      <c r="G9" s="20">
        <f>'7 - 2021'!D15-'7 - 2021'!D14+'7 - 2021'!E15-'7 - 2021'!E14</f>
        <v>22.940000000000055</v>
      </c>
      <c r="H9" s="18">
        <v>0.99</v>
      </c>
      <c r="I9" s="20">
        <f>'7 - 2021'!J15-'7 - 2021'!J14</f>
        <v>37378</v>
      </c>
      <c r="J9" s="18">
        <v>8.1000000000000003E-2</v>
      </c>
      <c r="K9" s="41">
        <f>'7 - 2021'!H15-'7 - 2021'!H14</f>
        <v>0</v>
      </c>
      <c r="L9" s="20">
        <f>'7 - 2021'!I15-'7 - 2021'!I14</f>
        <v>98</v>
      </c>
      <c r="M9" s="19">
        <v>4.393629424766913</v>
      </c>
      <c r="N9" s="34">
        <v>48</v>
      </c>
    </row>
    <row r="10" spans="1:21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'7 - 2021'!B16-'7 - 2021'!B15+'7 - 2021'!C16-'7 - 2021'!C15</f>
        <v>9531.0999999999767</v>
      </c>
      <c r="F10" s="18">
        <v>0.11799999999999999</v>
      </c>
      <c r="G10" s="20">
        <f>'7 - 2021'!D16-'7 - 2021'!D15+'7 - 2021'!E16-'7 - 2021'!E15</f>
        <v>24.539999999999964</v>
      </c>
      <c r="H10" s="18">
        <v>0.99</v>
      </c>
      <c r="I10" s="20">
        <f>'7 - 2021'!J16-'7 - 2021'!J15</f>
        <v>34947</v>
      </c>
      <c r="J10" s="18">
        <v>8.1000000000000003E-2</v>
      </c>
      <c r="K10" s="41">
        <f>'7 - 2021'!H16-'7 - 2021'!H15</f>
        <v>0</v>
      </c>
      <c r="L10" s="20">
        <f>'7 - 2021'!I16-'7 - 2021'!I15</f>
        <v>102</v>
      </c>
      <c r="M10" s="19">
        <v>4.393629424766913</v>
      </c>
      <c r="N10" s="34">
        <v>35</v>
      </c>
    </row>
    <row r="11" spans="1:21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'7 - 2021'!B17-'7 - 2021'!B16+'7 - 2021'!C17-'7 - 2021'!C16</f>
        <v>8946.3000000000466</v>
      </c>
      <c r="F11" s="18">
        <v>0.11799999999999999</v>
      </c>
      <c r="G11" s="20">
        <f>'7 - 2021'!D17-'7 - 2021'!D16+'7 - 2021'!E17-'7 - 2021'!E16</f>
        <v>22.940000000000055</v>
      </c>
      <c r="H11" s="18">
        <v>0.99</v>
      </c>
      <c r="I11" s="20">
        <f>'7 - 2021'!J17-'7 - 2021'!J16</f>
        <v>36053</v>
      </c>
      <c r="J11" s="18">
        <v>8.1000000000000003E-2</v>
      </c>
      <c r="K11" s="41">
        <f>'7 - 2021'!H17-'7 - 2021'!H16</f>
        <v>0</v>
      </c>
      <c r="L11" s="20">
        <f>'7 - 2021'!I17-'7 - 2021'!I16</f>
        <v>75</v>
      </c>
      <c r="M11" s="19">
        <v>4.393629424766913</v>
      </c>
      <c r="N11" s="34">
        <v>25</v>
      </c>
    </row>
    <row r="12" spans="1:21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'7 - 2021'!B18-'7 - 2021'!B17+'7 - 2021'!C18-'7 - 2021'!C17</f>
        <v>9562.6999999999534</v>
      </c>
      <c r="F12" s="18">
        <v>0.11799999999999999</v>
      </c>
      <c r="G12" s="20">
        <f>'7 - 2021'!D18-'7 - 2021'!D17+'7 - 2021'!E18-'7 - 2021'!E17</f>
        <v>24.929999999999836</v>
      </c>
      <c r="H12" s="18">
        <v>0.99</v>
      </c>
      <c r="I12" s="20">
        <f>'7 - 2021'!J18-'7 - 2021'!J17</f>
        <v>34104</v>
      </c>
      <c r="J12" s="18">
        <v>8.1000000000000003E-2</v>
      </c>
      <c r="K12" s="41">
        <f>'7 - 2021'!H18-'7 - 2021'!H17</f>
        <v>0</v>
      </c>
      <c r="L12" s="20">
        <f>'7 - 2021'!I18-'7 - 2021'!I17</f>
        <v>103</v>
      </c>
      <c r="M12" s="19">
        <v>4.393629424766913</v>
      </c>
      <c r="N12" s="20">
        <v>33</v>
      </c>
    </row>
    <row r="13" spans="1:21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'7 - 2021'!B19-'7 - 2021'!B18+'7 - 2021'!C19-'7 - 2021'!C18</f>
        <v>9769.8000000000466</v>
      </c>
      <c r="F13" s="18">
        <v>0.11799999999999999</v>
      </c>
      <c r="G13" s="20">
        <f>'7 - 2021'!D19-'7 - 2021'!D18+'7 - 2021'!E19-'7 - 2021'!E18</f>
        <v>22.949999999999818</v>
      </c>
      <c r="H13" s="18">
        <v>0.99</v>
      </c>
      <c r="I13" s="20">
        <f>'7 - 2021'!J19-'7 - 2021'!J18</f>
        <v>34240</v>
      </c>
      <c r="J13" s="18">
        <v>8.1000000000000003E-2</v>
      </c>
      <c r="K13" s="41">
        <f>'7 - 2021'!H19-'7 - 2021'!H18</f>
        <v>0</v>
      </c>
      <c r="L13" s="20">
        <f>'7 - 2021'!I19-'7 - 2021'!I18</f>
        <v>93</v>
      </c>
      <c r="M13" s="19">
        <v>4.393629424766913</v>
      </c>
      <c r="N13" s="20">
        <v>25</v>
      </c>
    </row>
    <row r="14" spans="1:21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'7 - 2021'!B20-'7 - 2021'!B19+'7 - 2021'!C20-'7 - 2021'!C19</f>
        <v>8699.5</v>
      </c>
      <c r="F14" s="18">
        <v>0.11799999999999999</v>
      </c>
      <c r="G14" s="20">
        <f>'7 - 2021'!D20-'7 - 2021'!D19+'7 - 2021'!E20-'7 - 2021'!E19</f>
        <v>24.949999999999818</v>
      </c>
      <c r="H14" s="18">
        <v>0.99</v>
      </c>
      <c r="I14" s="20">
        <f>'7 - 2021'!J20-'7 - 2021'!J19</f>
        <v>37700</v>
      </c>
      <c r="J14" s="18">
        <v>8.1000000000000003E-2</v>
      </c>
      <c r="K14" s="41">
        <f>'7 - 2021'!H20-'7 - 2021'!H19</f>
        <v>0</v>
      </c>
      <c r="L14" s="20">
        <f>'7 - 2021'!I20-'7 - 2021'!I19</f>
        <v>94</v>
      </c>
      <c r="M14" s="19">
        <v>4.393629424766913</v>
      </c>
      <c r="N14" s="20">
        <v>29</v>
      </c>
      <c r="O14" s="20"/>
    </row>
    <row r="15" spans="1:21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'7 - 2021'!B21-'7 - 2021'!B20+'7 - 2021'!C21-'7 - 2021'!C20</f>
        <v>9147.5999999998603</v>
      </c>
      <c r="F15" s="18">
        <v>0.11799999999999999</v>
      </c>
      <c r="G15" s="20">
        <f>'7 - 2021'!D21-'7 - 2021'!D20+'7 - 2021'!E21-'7 - 2021'!E20</f>
        <v>24.929999999999836</v>
      </c>
      <c r="H15" s="18">
        <v>0.99</v>
      </c>
      <c r="I15" s="20">
        <f>'7 - 2021'!J21-'7 - 2021'!J20</f>
        <v>37859</v>
      </c>
      <c r="J15" s="18">
        <v>8.1000000000000003E-2</v>
      </c>
      <c r="K15" s="41">
        <f>'7 - 2021'!H21-'7 - 2021'!H20</f>
        <v>0</v>
      </c>
      <c r="L15" s="20">
        <f>'7 - 2021'!I21-'7 - 2021'!I20</f>
        <v>95</v>
      </c>
      <c r="M15" s="19">
        <v>4.393629424766913</v>
      </c>
      <c r="N15" s="20">
        <v>33</v>
      </c>
    </row>
    <row r="16" spans="1:21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'7 - 2021'!B22-'7 - 2021'!B21+'7 - 2021'!C22-'7 - 2021'!C21</f>
        <v>9225.3000000000466</v>
      </c>
      <c r="F16" s="18">
        <v>0.11799999999999999</v>
      </c>
      <c r="G16" s="20">
        <f>'7 - 2021'!D22-'7 - 2021'!D21+'7 - 2021'!E22-'7 - 2021'!E21</f>
        <v>24.920000000000073</v>
      </c>
      <c r="H16" s="18">
        <v>0.99</v>
      </c>
      <c r="I16" s="20">
        <f>'7 - 2021'!J22-'7 - 2021'!J21</f>
        <v>39250</v>
      </c>
      <c r="J16" s="18">
        <v>8.1000000000000003E-2</v>
      </c>
      <c r="K16" s="41">
        <f>'7 - 2021'!H22-'7 - 2021'!H21</f>
        <v>0</v>
      </c>
      <c r="L16" s="20">
        <f>'7 - 2021'!I22-'7 - 2021'!I21</f>
        <v>100</v>
      </c>
      <c r="M16" s="19">
        <v>4.393629424766913</v>
      </c>
      <c r="N16" s="20">
        <v>21</v>
      </c>
      <c r="U16" s="18"/>
    </row>
    <row r="17" spans="1:16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'7 - 2021'!B23-'7 - 2021'!B22+'7 - 2021'!C23-'7 - 2021'!C22</f>
        <v>9438</v>
      </c>
      <c r="F17" s="18">
        <v>0.11799999999999999</v>
      </c>
      <c r="G17" s="20">
        <f>'7 - 2021'!D23-'7 - 2021'!D22+'7 - 2021'!E23-'7 - 2021'!E22</f>
        <v>25.349999999999909</v>
      </c>
      <c r="H17" s="18">
        <v>0.99</v>
      </c>
      <c r="I17" s="20">
        <f>'7 - 2021'!J23-'7 - 2021'!J22</f>
        <v>35092</v>
      </c>
      <c r="J17" s="18">
        <v>8.1000000000000003E-2</v>
      </c>
      <c r="K17" s="41">
        <f>'7 - 2021'!H23-'7 - 2021'!H22</f>
        <v>0</v>
      </c>
      <c r="L17" s="20">
        <f>'7 - 2021'!I23-'7 - 2021'!I22</f>
        <v>96</v>
      </c>
      <c r="M17" s="19">
        <v>4.393629424766913</v>
      </c>
      <c r="N17" s="20">
        <v>28</v>
      </c>
      <c r="O17" s="18"/>
    </row>
    <row r="18" spans="1:16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'7 - 2021'!B24-'7 - 2021'!B23+'7 - 2021'!C24-'7 - 2021'!C23</f>
        <v>9184.6000000000931</v>
      </c>
      <c r="F18" s="18">
        <v>0.11799999999999999</v>
      </c>
      <c r="G18" s="20">
        <f>'7 - 2021'!D24-'7 - 2021'!D23+'7 - 2021'!E24-'7 - 2021'!E23</f>
        <v>24.940000000000055</v>
      </c>
      <c r="H18" s="18">
        <v>0.99</v>
      </c>
      <c r="I18" s="20">
        <f>'7 - 2021'!J24-'7 - 2021'!J23</f>
        <v>34363</v>
      </c>
      <c r="J18" s="18">
        <v>8.1000000000000003E-2</v>
      </c>
      <c r="K18" s="41">
        <f>'7 - 2021'!H24-'7 - 2021'!H23</f>
        <v>0</v>
      </c>
      <c r="L18" s="20">
        <f>'7 - 2021'!I24-'7 - 2021'!I23</f>
        <v>89</v>
      </c>
      <c r="M18" s="19">
        <v>4.393629424766913</v>
      </c>
      <c r="N18" s="20">
        <v>24</v>
      </c>
    </row>
    <row r="19" spans="1:16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'7 - 2021'!B25-'7 - 2021'!B24+'7 - 2021'!C25-'7 - 2021'!C24</f>
        <v>9488.3999999999069</v>
      </c>
      <c r="F19" s="18">
        <v>0.11799999999999999</v>
      </c>
      <c r="G19" s="20">
        <f>'7 - 2021'!D25-'7 - 2021'!D24+'7 - 2021'!E25-'7 - 2021'!E24</f>
        <v>24.949999999999818</v>
      </c>
      <c r="H19" s="18">
        <v>0.99</v>
      </c>
      <c r="I19" s="20">
        <f>'7 - 2021'!J25-'7 - 2021'!J24</f>
        <v>36940</v>
      </c>
      <c r="J19" s="18">
        <v>8.1000000000000003E-2</v>
      </c>
      <c r="K19" s="41">
        <f>'7 - 2021'!H25-'7 - 2021'!H24</f>
        <v>0</v>
      </c>
      <c r="L19" s="20">
        <f>'7 - 2021'!I25-'7 - 2021'!I24</f>
        <v>85</v>
      </c>
      <c r="M19" s="19">
        <v>4.393629424766913</v>
      </c>
      <c r="N19" s="35">
        <v>16</v>
      </c>
    </row>
    <row r="20" spans="1:16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'7 - 2021'!B26-'7 - 2021'!B25+'7 - 2021'!C26-'7 - 2021'!C25</f>
        <v>9066.5</v>
      </c>
      <c r="F20" s="18">
        <v>0.11799999999999999</v>
      </c>
      <c r="G20" s="20">
        <f>'7 - 2021'!D26-'7 - 2021'!D25+'7 - 2021'!E26-'7 - 2021'!E25</f>
        <v>24.940000000000055</v>
      </c>
      <c r="H20" s="18">
        <v>0.99</v>
      </c>
      <c r="I20" s="20">
        <f>'7 - 2021'!J26-'7 - 2021'!J25</f>
        <v>41588</v>
      </c>
      <c r="J20" s="18">
        <v>8.1000000000000003E-2</v>
      </c>
      <c r="K20" s="41">
        <f>'7 - 2021'!H26-'7 - 2021'!H25</f>
        <v>0</v>
      </c>
      <c r="L20" s="20">
        <f>'7 - 2021'!I26-'7 - 2021'!I25</f>
        <v>80</v>
      </c>
      <c r="M20" s="19">
        <v>4.393629424766913</v>
      </c>
      <c r="N20" s="20">
        <v>17</v>
      </c>
    </row>
    <row r="21" spans="1:16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'7 - 2021'!B27-'7 - 2021'!B26+'7 - 2021'!C27-'7 - 2021'!C26</f>
        <v>9041.8000000000466</v>
      </c>
      <c r="F21" s="18">
        <v>0.11799999999999999</v>
      </c>
      <c r="G21" s="20">
        <f>'7 - 2021'!D27-'7 - 2021'!D26+'7 - 2021'!E27-'7 - 2021'!E26</f>
        <v>24.949999999999818</v>
      </c>
      <c r="H21" s="18">
        <v>0.99</v>
      </c>
      <c r="I21" s="20">
        <f>'7 - 2021'!J27-'7 - 2021'!J26</f>
        <v>28164</v>
      </c>
      <c r="J21" s="18">
        <v>8.1000000000000003E-2</v>
      </c>
      <c r="K21" s="41">
        <f>'7 - 2021'!H27-'7 - 2021'!H26</f>
        <v>0</v>
      </c>
      <c r="L21" s="20">
        <f>'7 - 2021'!I27-'7 - 2021'!I26</f>
        <v>85</v>
      </c>
      <c r="M21" s="19">
        <v>4.393629424766913</v>
      </c>
      <c r="N21" s="20">
        <v>18</v>
      </c>
    </row>
    <row r="22" spans="1:16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'7 - 2021'!B28-'7 - 2021'!B27+'7 - 2021'!C28-'7 - 2021'!C27</f>
        <v>9179</v>
      </c>
      <c r="F22" s="18">
        <v>0.11799999999999999</v>
      </c>
      <c r="G22" s="20">
        <f>'7 - 2021'!D28-'7 - 2021'!D27+'7 - 2021'!E28-'7 - 2021'!E27</f>
        <v>24.929999999999836</v>
      </c>
      <c r="H22" s="18">
        <v>0.99</v>
      </c>
      <c r="I22" s="20">
        <f>'7 - 2021'!J28-'7 - 2021'!J27</f>
        <v>37269</v>
      </c>
      <c r="J22" s="18">
        <v>8.1000000000000003E-2</v>
      </c>
      <c r="K22" s="41">
        <f>'7 - 2021'!H28-'7 - 2021'!H27</f>
        <v>0</v>
      </c>
      <c r="L22" s="20">
        <f>'7 - 2021'!I28-'7 - 2021'!I27</f>
        <v>86</v>
      </c>
      <c r="M22" s="19">
        <v>4.393629424766913</v>
      </c>
      <c r="N22" s="20">
        <v>20</v>
      </c>
    </row>
    <row r="23" spans="1:16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20">
        <f>'7 - 2021'!B29-'7 - 2021'!B28+'7 - 2021'!C29-'7 - 2021'!C28</f>
        <v>9459</v>
      </c>
      <c r="F23" s="18">
        <v>0.11799999999999999</v>
      </c>
      <c r="G23" s="20">
        <f>'7 - 2021'!D29-'7 - 2021'!D28+'7 - 2021'!E29-'7 - 2021'!E28</f>
        <v>24.940000000000055</v>
      </c>
      <c r="H23" s="18">
        <v>0.99</v>
      </c>
      <c r="I23" s="20">
        <f>'7 - 2021'!J29-'7 - 2021'!J28</f>
        <v>37072</v>
      </c>
      <c r="J23" s="18">
        <v>8.1000000000000003E-2</v>
      </c>
      <c r="K23" s="41">
        <f>'7 - 2021'!H29-'7 - 2021'!H28</f>
        <v>0</v>
      </c>
      <c r="L23" s="20">
        <f>'7 - 2021'!I29-'7 - 2021'!I28</f>
        <v>84</v>
      </c>
      <c r="M23" s="19">
        <v>4.393629424766913</v>
      </c>
      <c r="N23" s="20">
        <v>26</v>
      </c>
    </row>
    <row r="24" spans="1:16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20">
        <f>'7 - 2021'!B30-'7 - 2021'!B29+'7 - 2021'!C30-'7 - 2021'!C29</f>
        <v>9331</v>
      </c>
      <c r="F24" s="18">
        <v>0.11799999999999999</v>
      </c>
      <c r="G24" s="20">
        <f>'7 - 2021'!D30-'7 - 2021'!D29+'7 - 2021'!E30-'7 - 2021'!E29</f>
        <v>24.940000000000055</v>
      </c>
      <c r="H24" s="18">
        <v>0.99</v>
      </c>
      <c r="I24" s="20">
        <f>'7 - 2021'!J30-'7 - 2021'!J29</f>
        <v>34423</v>
      </c>
      <c r="J24" s="18">
        <v>8.1000000000000003E-2</v>
      </c>
      <c r="K24" s="41">
        <f>'7 - 2021'!H30-'7 - 2021'!H29</f>
        <v>0</v>
      </c>
      <c r="L24" s="20">
        <f>'7 - 2021'!I30-'7 - 2021'!I29</f>
        <v>95</v>
      </c>
      <c r="M24" s="19">
        <v>4.393629424766913</v>
      </c>
      <c r="N24" s="20">
        <v>27</v>
      </c>
    </row>
    <row r="25" spans="1:16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'7 - 2021'!B31-'7 - 2021'!B30+'7 - 2021'!C31-'7 - 2021'!C30</f>
        <v>9148</v>
      </c>
      <c r="F25" s="18">
        <v>0.11799999999999999</v>
      </c>
      <c r="G25" s="20">
        <f>'7 - 2021'!D31-'7 - 2021'!D30+'7 - 2021'!E31-'7 - 2021'!E30</f>
        <v>24.940000000000055</v>
      </c>
      <c r="H25" s="18">
        <v>0.99</v>
      </c>
      <c r="I25" s="20">
        <f>'7 - 2021'!J31-'7 - 2021'!J30</f>
        <v>33390</v>
      </c>
      <c r="J25" s="18">
        <v>8.1000000000000003E-2</v>
      </c>
      <c r="K25" s="41">
        <f>'7 - 2021'!H31-'7 - 2021'!H30</f>
        <v>0</v>
      </c>
      <c r="L25" s="20">
        <f>'7 - 2021'!I31-'7 - 2021'!I30</f>
        <v>85</v>
      </c>
      <c r="M25" s="19">
        <v>4.393629424766913</v>
      </c>
      <c r="N25" s="20">
        <v>29</v>
      </c>
      <c r="P25" s="14"/>
    </row>
    <row r="26" spans="1:16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f>'7 - 2021'!B32-'7 - 2021'!B31+'7 - 2021'!C32-'7 - 2021'!C31</f>
        <v>9486</v>
      </c>
      <c r="F26" s="18">
        <v>0.11799999999999999</v>
      </c>
      <c r="G26" s="20">
        <f>'7 - 2021'!D32-'7 - 2021'!D31+'7 - 2021'!E32-'7 - 2021'!E31</f>
        <v>25.570000000000164</v>
      </c>
      <c r="H26" s="18">
        <v>0.99</v>
      </c>
      <c r="I26" s="20">
        <f>'7 - 2021'!J32-'7 - 2021'!J31</f>
        <v>35498</v>
      </c>
      <c r="J26" s="18">
        <v>8.1000000000000003E-2</v>
      </c>
      <c r="K26" s="41">
        <f>'7 - 2021'!H32-'7 - 2021'!H31</f>
        <v>0</v>
      </c>
      <c r="L26" s="20">
        <f>'7 - 2021'!I32-'7 - 2021'!I31</f>
        <v>91</v>
      </c>
      <c r="M26" s="19">
        <v>4.393629424766913</v>
      </c>
      <c r="N26" s="35">
        <v>28</v>
      </c>
    </row>
    <row r="27" spans="1:16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'7 - 2021'!B33-'7 - 2021'!B32+'7 - 2021'!C33-'7 - 2021'!C32</f>
        <v>9224</v>
      </c>
      <c r="F27" s="18">
        <v>0.11799999999999999</v>
      </c>
      <c r="G27" s="20">
        <f>'7 - 2021'!D33-'7 - 2021'!D32+'7 - 2021'!E33-'7 - 2021'!E32</f>
        <v>24.949999999999818</v>
      </c>
      <c r="H27" s="18">
        <v>0.99</v>
      </c>
      <c r="I27" s="20">
        <f>'7 - 2021'!J33-'7 - 2021'!J32</f>
        <v>35652</v>
      </c>
      <c r="J27" s="18">
        <v>8.1000000000000003E-2</v>
      </c>
      <c r="K27" s="41">
        <f>'7 - 2021'!H33-'7 - 2021'!H32</f>
        <v>0</v>
      </c>
      <c r="L27" s="20">
        <f>'7 - 2021'!I33-'7 - 2021'!I32</f>
        <v>81</v>
      </c>
      <c r="M27" s="19">
        <v>4.393629424766913</v>
      </c>
      <c r="N27" s="35">
        <v>28</v>
      </c>
    </row>
    <row r="28" spans="1:16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v>0</v>
      </c>
      <c r="F28" s="18">
        <v>0.11799999999999999</v>
      </c>
      <c r="G28" s="20">
        <v>0</v>
      </c>
      <c r="H28" s="18">
        <v>0.99</v>
      </c>
      <c r="I28" s="20">
        <v>0</v>
      </c>
      <c r="J28" s="18">
        <v>8.1000000000000003E-2</v>
      </c>
      <c r="K28" s="41">
        <v>0</v>
      </c>
      <c r="L28" s="20">
        <v>0</v>
      </c>
      <c r="M28" s="19">
        <v>4.393629424766913</v>
      </c>
      <c r="N28" s="35"/>
    </row>
    <row r="29" spans="1:16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f>'7 - 2021'!B35-'7 - 2021'!B34+'7 - 2021'!C35-'7 - 2021'!C34</f>
        <v>0</v>
      </c>
      <c r="F29" s="18">
        <v>0.11799999999999999</v>
      </c>
      <c r="G29" s="20">
        <f>'7 - 2021'!D35-'7 - 2021'!D34+'7 - 2021'!E35-'7 - 2021'!E34</f>
        <v>0</v>
      </c>
      <c r="H29" s="18">
        <v>0.99</v>
      </c>
      <c r="I29" s="20">
        <f>'7 - 2021'!J35-'7 - 2021'!J34</f>
        <v>0</v>
      </c>
      <c r="J29" s="18">
        <v>8.1000000000000003E-2</v>
      </c>
      <c r="K29" s="41">
        <f>'7 - 2021'!H35-'7 - 2021'!H34</f>
        <v>0</v>
      </c>
      <c r="L29" s="20">
        <f>'7 - 2021'!I35-'7 - 2021'!I34</f>
        <v>0</v>
      </c>
      <c r="M29" s="19">
        <v>4.393629424766913</v>
      </c>
      <c r="N29" s="35"/>
    </row>
    <row r="30" spans="1:16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'7 - 2021'!B36-'7 - 2021'!B35+'7 - 2021'!C36-'7 - 2021'!C35</f>
        <v>0</v>
      </c>
      <c r="F30" s="18">
        <v>0.11799999999999999</v>
      </c>
      <c r="G30" s="20">
        <f>'7 - 2021'!D36-'7 - 2021'!D35+'7 - 2021'!E36-'7 - 2021'!E35</f>
        <v>0</v>
      </c>
      <c r="H30" s="18">
        <v>0.99</v>
      </c>
      <c r="I30" s="20">
        <f>'7 - 2021'!J36-'7 - 2021'!J35</f>
        <v>0</v>
      </c>
      <c r="J30" s="18">
        <v>8.1000000000000003E-2</v>
      </c>
      <c r="K30" s="41">
        <f>'7 - 2021'!H36-'7 - 2021'!H35</f>
        <v>0</v>
      </c>
      <c r="L30" s="20">
        <f>'7 - 2021'!I36-'7 - 2021'!I35</f>
        <v>0</v>
      </c>
      <c r="M30" s="19">
        <v>4.393629424766913</v>
      </c>
      <c r="N30" s="35"/>
    </row>
    <row r="31" spans="1:16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'7 - 2021'!B37-'7 - 2021'!B36+'7 - 2021'!C37-'7 - 2021'!C36</f>
        <v>0</v>
      </c>
      <c r="F31" s="18">
        <v>0.11799999999999999</v>
      </c>
      <c r="G31" s="20">
        <f>'7 - 2021'!D37-'7 - 2021'!D36+'7 - 2021'!E37-'7 - 2021'!E36</f>
        <v>0</v>
      </c>
      <c r="H31" s="18">
        <v>0.99</v>
      </c>
      <c r="I31" s="20">
        <f>'7 - 2021'!J37-'7 - 2021'!J36</f>
        <v>0</v>
      </c>
      <c r="J31" s="18">
        <v>8.1000000000000003E-2</v>
      </c>
      <c r="K31" s="41">
        <f>'7 - 2021'!H37-'7 - 2021'!H36</f>
        <v>0</v>
      </c>
      <c r="L31" s="20">
        <f>'7 - 2021'!I37-'7 - 2021'!I36</f>
        <v>0</v>
      </c>
      <c r="M31" s="19">
        <v>4.393629424766913</v>
      </c>
    </row>
    <row r="32" spans="1:16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'7 - 2021'!B38-'7 - 2021'!B37+'7 - 2021'!C38-'7 - 2021'!C37</f>
        <v>0</v>
      </c>
      <c r="F32" s="18">
        <v>0.11799999999999999</v>
      </c>
      <c r="G32" s="20">
        <f>'7 - 2021'!D38-'7 - 2021'!D37+'7 - 2021'!E38-'7 - 2021'!E37</f>
        <v>0</v>
      </c>
      <c r="H32" s="18">
        <v>0.99</v>
      </c>
      <c r="I32" s="20">
        <f>'7 - 2021'!J38-'7 - 2021'!J37</f>
        <v>0</v>
      </c>
      <c r="J32" s="18">
        <v>8.1000000000000003E-2</v>
      </c>
      <c r="K32" s="41">
        <f>'7 - 2021'!H38-'7 - 2021'!H37</f>
        <v>0</v>
      </c>
      <c r="L32" s="20">
        <f>'7 - 2021'!I38-'7 - 2021'!I37</f>
        <v>0</v>
      </c>
      <c r="M32" s="19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8" sqref="K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8">
        <v>7</v>
      </c>
      <c r="D2">
        <v>2021</v>
      </c>
      <c r="E2" s="20">
        <f>'7 - 2021'!B8-'7 - 2021'!B7</f>
        <v>3590</v>
      </c>
      <c r="F2" s="20">
        <f>'7 - 2021'!C8-'7 - 2021'!C7</f>
        <v>6080</v>
      </c>
      <c r="G2" s="18">
        <v>0.11799999999999999</v>
      </c>
      <c r="H2" s="20">
        <f>'7 - 2021'!E8-'7 - 2021'!E7</f>
        <v>10.5</v>
      </c>
      <c r="I2" s="20">
        <f>'7 - 2021'!F8-'7 - 2021'!F7</f>
        <v>7.4299999999998363</v>
      </c>
      <c r="J2" s="20">
        <f>'7 - 2021'!G8-'7 - 2021'!G7</f>
        <v>27.120000000002619</v>
      </c>
      <c r="K2" s="18">
        <v>0.74</v>
      </c>
      <c r="L2" s="20">
        <v>43</v>
      </c>
      <c r="M2" s="12"/>
    </row>
    <row r="3" spans="1:13" x14ac:dyDescent="0.25">
      <c r="A3" t="s">
        <v>27</v>
      </c>
      <c r="B3">
        <f>B2+1</f>
        <v>2</v>
      </c>
      <c r="C3" s="18">
        <v>7</v>
      </c>
      <c r="D3" s="18">
        <v>2021</v>
      </c>
      <c r="E3" s="20">
        <f>'7 - 2021'!B9-'7 - 2021'!B8</f>
        <v>3687</v>
      </c>
      <c r="F3" s="20">
        <f>'7 - 2021'!C9-'7 - 2021'!C8</f>
        <v>6116</v>
      </c>
      <c r="G3" s="18">
        <v>0.11799999999999999</v>
      </c>
      <c r="H3" s="20">
        <f>'7 - 2021'!E9-'7 - 2021'!E8</f>
        <v>25</v>
      </c>
      <c r="I3" s="20">
        <f>'7 - 2021'!F9-'7 - 2021'!F8</f>
        <v>8</v>
      </c>
      <c r="J3" s="20">
        <f>'7 - 2021'!G9-'7 - 2021'!G8</f>
        <v>29.979999999999563</v>
      </c>
      <c r="K3" s="18">
        <v>0.74</v>
      </c>
      <c r="L3" s="34">
        <v>44</v>
      </c>
      <c r="M3" s="12"/>
    </row>
    <row r="4" spans="1:13" x14ac:dyDescent="0.25">
      <c r="A4" t="s">
        <v>27</v>
      </c>
      <c r="B4">
        <f t="shared" ref="B4:B32" si="0">B3+1</f>
        <v>3</v>
      </c>
      <c r="C4" s="18">
        <v>7</v>
      </c>
      <c r="D4" s="18">
        <v>2021</v>
      </c>
      <c r="E4" s="20">
        <f>'7 - 2021'!B10-'7 - 2021'!B9</f>
        <v>3556</v>
      </c>
      <c r="F4" s="20">
        <f>'7 - 2021'!C10-'7 - 2021'!C9</f>
        <v>5693.9499999999534</v>
      </c>
      <c r="G4" s="18">
        <v>0.11799999999999999</v>
      </c>
      <c r="H4" s="20">
        <f>'7 - 2021'!E10-'7 - 2021'!E9</f>
        <v>25</v>
      </c>
      <c r="I4" s="20">
        <f>'7 - 2021'!F10-'7 - 2021'!F9</f>
        <v>8</v>
      </c>
      <c r="J4" s="20">
        <f>'7 - 2021'!G10-'7 - 2021'!G9</f>
        <v>27.290000000000873</v>
      </c>
      <c r="K4" s="18">
        <v>0.74</v>
      </c>
      <c r="L4" s="34">
        <v>44</v>
      </c>
      <c r="M4" s="12"/>
    </row>
    <row r="5" spans="1:13" x14ac:dyDescent="0.25">
      <c r="A5" t="s">
        <v>27</v>
      </c>
      <c r="B5">
        <f t="shared" si="0"/>
        <v>4</v>
      </c>
      <c r="C5" s="18">
        <v>7</v>
      </c>
      <c r="D5" s="18">
        <v>2021</v>
      </c>
      <c r="E5" s="20">
        <f>'7 - 2021'!B11-'7 - 2021'!B10</f>
        <v>3624</v>
      </c>
      <c r="F5" s="20">
        <f>'7 - 2021'!C11-'7 - 2021'!C10</f>
        <v>5950.9700000000885</v>
      </c>
      <c r="G5" s="18">
        <v>0.11799999999999999</v>
      </c>
      <c r="H5" s="20">
        <f>'7 - 2021'!E11-'7 - 2021'!E10</f>
        <v>23</v>
      </c>
      <c r="I5" s="20">
        <f>'7 - 2021'!F11-'7 - 2021'!F10</f>
        <v>7</v>
      </c>
      <c r="J5" s="20">
        <f>'7 - 2021'!G11-'7 - 2021'!G10</f>
        <v>26.25</v>
      </c>
      <c r="K5" s="18">
        <v>0.74</v>
      </c>
      <c r="L5" s="34">
        <v>43</v>
      </c>
      <c r="M5" s="12"/>
    </row>
    <row r="6" spans="1:13" x14ac:dyDescent="0.25">
      <c r="A6" t="s">
        <v>27</v>
      </c>
      <c r="B6">
        <f t="shared" si="0"/>
        <v>5</v>
      </c>
      <c r="C6" s="18">
        <v>7</v>
      </c>
      <c r="D6" s="18">
        <v>2021</v>
      </c>
      <c r="E6" s="20">
        <f>'7 - 2021'!B12-'7 - 2021'!B11</f>
        <v>3541</v>
      </c>
      <c r="F6" s="20">
        <f>'7 - 2021'!C12-'7 - 2021'!C11</f>
        <v>5945.3800000000047</v>
      </c>
      <c r="G6" s="18">
        <v>0.11799999999999999</v>
      </c>
      <c r="H6" s="20">
        <f>'7 - 2021'!E12-'7 - 2021'!E11</f>
        <v>23</v>
      </c>
      <c r="I6" s="20">
        <f>'7 - 2021'!F12-'7 - 2021'!F11</f>
        <v>7</v>
      </c>
      <c r="J6" s="20">
        <f>'7 - 2021'!G12-'7 - 2021'!G11</f>
        <v>26.479999999999563</v>
      </c>
      <c r="K6" s="18">
        <v>0.74</v>
      </c>
      <c r="L6" s="34">
        <v>36</v>
      </c>
      <c r="M6" s="13"/>
    </row>
    <row r="7" spans="1:13" x14ac:dyDescent="0.25">
      <c r="A7" t="s">
        <v>27</v>
      </c>
      <c r="B7">
        <f t="shared" si="0"/>
        <v>6</v>
      </c>
      <c r="C7" s="18">
        <v>7</v>
      </c>
      <c r="D7" s="18">
        <v>2021</v>
      </c>
      <c r="E7" s="20">
        <f>'7 - 2021'!B13-'7 - 2021'!B12</f>
        <v>3468</v>
      </c>
      <c r="F7" s="20">
        <f>'7 - 2021'!C13-'7 - 2021'!C12</f>
        <v>5754.1999999999534</v>
      </c>
      <c r="G7" s="18">
        <v>0.11799999999999999</v>
      </c>
      <c r="H7" s="20">
        <f>'7 - 2021'!E13-'7 - 2021'!E12</f>
        <v>23</v>
      </c>
      <c r="I7" s="20">
        <f>'7 - 2021'!F13-'7 - 2021'!F12</f>
        <v>8</v>
      </c>
      <c r="J7" s="20">
        <f>'7 - 2021'!G13-'7 - 2021'!G12</f>
        <v>23.149999999997817</v>
      </c>
      <c r="K7" s="18">
        <v>0.74</v>
      </c>
      <c r="L7" s="34">
        <v>38</v>
      </c>
      <c r="M7" s="13"/>
    </row>
    <row r="8" spans="1:13" x14ac:dyDescent="0.25">
      <c r="A8" t="s">
        <v>27</v>
      </c>
      <c r="B8">
        <f t="shared" si="0"/>
        <v>7</v>
      </c>
      <c r="C8" s="18">
        <v>7</v>
      </c>
      <c r="D8" s="18">
        <v>2021</v>
      </c>
      <c r="E8" s="20">
        <f>'7 - 2021'!B14-'7 - 2021'!B13</f>
        <v>3527</v>
      </c>
      <c r="F8" s="20">
        <f>'7 - 2021'!C14-'7 - 2021'!C13</f>
        <v>5622.5200000000186</v>
      </c>
      <c r="G8" s="18">
        <v>0.11799999999999999</v>
      </c>
      <c r="H8" s="20">
        <f>'7 - 2021'!E14-'7 - 2021'!E13</f>
        <v>23</v>
      </c>
      <c r="I8" s="20">
        <f>'7 - 2021'!F14-'7 - 2021'!F13</f>
        <v>8</v>
      </c>
      <c r="J8" s="20">
        <f>'7 - 2021'!G14-'7 - 2021'!G13</f>
        <v>23.450000000000728</v>
      </c>
      <c r="K8" s="18">
        <v>0.74</v>
      </c>
      <c r="L8" s="34">
        <v>38</v>
      </c>
      <c r="M8" s="13"/>
    </row>
    <row r="9" spans="1:13" x14ac:dyDescent="0.25">
      <c r="A9" t="s">
        <v>27</v>
      </c>
      <c r="B9">
        <f t="shared" si="0"/>
        <v>8</v>
      </c>
      <c r="C9" s="18">
        <v>7</v>
      </c>
      <c r="D9" s="18">
        <v>2021</v>
      </c>
      <c r="E9" s="20">
        <f>'7 - 2021'!B15-'7 - 2021'!B14</f>
        <v>3513</v>
      </c>
      <c r="F9" s="20">
        <f>'7 - 2021'!C15-'7 - 2021'!C14</f>
        <v>5894.3800000000047</v>
      </c>
      <c r="G9" s="18">
        <v>0.11799999999999999</v>
      </c>
      <c r="H9" s="20">
        <f>'7 - 2021'!E15-'7 - 2021'!E14</f>
        <v>23</v>
      </c>
      <c r="I9" s="20">
        <f>'7 - 2021'!F15-'7 - 2021'!F14</f>
        <v>7</v>
      </c>
      <c r="J9" s="20">
        <f>'7 - 2021'!G15-'7 - 2021'!G14</f>
        <v>24.590000000000146</v>
      </c>
      <c r="K9" s="18">
        <v>0.74</v>
      </c>
      <c r="L9" s="34">
        <v>48</v>
      </c>
      <c r="M9" s="13"/>
    </row>
    <row r="10" spans="1:13" x14ac:dyDescent="0.25">
      <c r="A10" t="s">
        <v>27</v>
      </c>
      <c r="B10">
        <f t="shared" si="0"/>
        <v>9</v>
      </c>
      <c r="C10" s="18">
        <v>7</v>
      </c>
      <c r="D10" s="18">
        <v>2021</v>
      </c>
      <c r="E10" s="20">
        <f>'7 - 2021'!B16-'7 - 2021'!B15</f>
        <v>3515</v>
      </c>
      <c r="F10" s="20">
        <f>'7 - 2021'!C16-'7 - 2021'!C15</f>
        <v>6016.0999999999767</v>
      </c>
      <c r="G10" s="18">
        <v>0.11799999999999999</v>
      </c>
      <c r="H10" s="20">
        <f>'7 - 2021'!E16-'7 - 2021'!E15</f>
        <v>24</v>
      </c>
      <c r="I10" s="20">
        <f>'7 - 2021'!F16-'7 - 2021'!F15</f>
        <v>7</v>
      </c>
      <c r="J10" s="20">
        <f>'7 - 2021'!G16-'7 - 2021'!G15</f>
        <v>26.049999999999272</v>
      </c>
      <c r="K10" s="18">
        <v>0.74</v>
      </c>
      <c r="L10" s="34">
        <v>35</v>
      </c>
      <c r="M10" s="13"/>
    </row>
    <row r="11" spans="1:13" x14ac:dyDescent="0.25">
      <c r="A11" t="s">
        <v>27</v>
      </c>
      <c r="B11">
        <f t="shared" si="0"/>
        <v>10</v>
      </c>
      <c r="C11" s="18">
        <v>7</v>
      </c>
      <c r="D11" s="18">
        <v>2021</v>
      </c>
      <c r="E11" s="20">
        <f>'7 - 2021'!B17-'7 - 2021'!B16</f>
        <v>3179</v>
      </c>
      <c r="F11" s="20">
        <f>'7 - 2021'!C17-'7 - 2021'!C16</f>
        <v>5767.3000000000466</v>
      </c>
      <c r="G11" s="18">
        <v>0.11799999999999999</v>
      </c>
      <c r="H11" s="20">
        <f>'7 - 2021'!E17-'7 - 2021'!E16</f>
        <v>23</v>
      </c>
      <c r="I11" s="20">
        <f>'7 - 2021'!F17-'7 - 2021'!F16</f>
        <v>7</v>
      </c>
      <c r="J11" s="20">
        <f>'7 - 2021'!G17-'7 - 2021'!G16</f>
        <v>25.700000000000728</v>
      </c>
      <c r="K11" s="18">
        <v>0.74</v>
      </c>
      <c r="L11" s="34">
        <v>25</v>
      </c>
      <c r="M11" s="13"/>
    </row>
    <row r="12" spans="1:13" x14ac:dyDescent="0.25">
      <c r="A12" t="s">
        <v>27</v>
      </c>
      <c r="B12">
        <f t="shared" si="0"/>
        <v>11</v>
      </c>
      <c r="C12" s="18">
        <v>7</v>
      </c>
      <c r="D12" s="18">
        <v>2021</v>
      </c>
      <c r="E12" s="20">
        <f>'7 - 2021'!B18-'7 - 2021'!B17</f>
        <v>3529</v>
      </c>
      <c r="F12" s="20">
        <f>'7 - 2021'!C18-'7 - 2021'!C17</f>
        <v>6033.6999999999534</v>
      </c>
      <c r="G12" s="18">
        <v>0.11799999999999999</v>
      </c>
      <c r="H12" s="20">
        <f>'7 - 2021'!E18-'7 - 2021'!E17</f>
        <v>25</v>
      </c>
      <c r="I12" s="20">
        <f>'7 - 2021'!F18-'7 - 2021'!F17</f>
        <v>7</v>
      </c>
      <c r="J12" s="20">
        <f>'7 - 2021'!G18-'7 - 2021'!G17</f>
        <v>26.099999999998545</v>
      </c>
      <c r="K12" s="18">
        <v>0.74</v>
      </c>
      <c r="L12" s="20">
        <v>33</v>
      </c>
      <c r="M12" s="13"/>
    </row>
    <row r="13" spans="1:13" x14ac:dyDescent="0.25">
      <c r="A13" t="s">
        <v>27</v>
      </c>
      <c r="B13">
        <f t="shared" si="0"/>
        <v>12</v>
      </c>
      <c r="C13" s="18">
        <v>7</v>
      </c>
      <c r="D13" s="18">
        <v>2021</v>
      </c>
      <c r="E13" s="20">
        <f>'7 - 2021'!B19-'7 - 2021'!B18</f>
        <v>3619</v>
      </c>
      <c r="F13" s="20">
        <f>'7 - 2021'!C19-'7 - 2021'!C18</f>
        <v>6150.8000000000466</v>
      </c>
      <c r="G13" s="18">
        <v>0.11799999999999999</v>
      </c>
      <c r="H13" s="20">
        <f>'7 - 2021'!E19-'7 - 2021'!E18</f>
        <v>23</v>
      </c>
      <c r="I13" s="20">
        <f>'7 - 2021'!F19-'7 - 2021'!F18</f>
        <v>7</v>
      </c>
      <c r="J13" s="20">
        <f>'7 - 2021'!G19-'7 - 2021'!G18</f>
        <v>26.860000000000582</v>
      </c>
      <c r="K13" s="18">
        <v>0.74</v>
      </c>
      <c r="L13" s="20">
        <v>25</v>
      </c>
      <c r="M13" s="13"/>
    </row>
    <row r="14" spans="1:13" x14ac:dyDescent="0.25">
      <c r="A14" t="s">
        <v>27</v>
      </c>
      <c r="B14">
        <f t="shared" si="0"/>
        <v>13</v>
      </c>
      <c r="C14" s="18">
        <v>7</v>
      </c>
      <c r="D14" s="18">
        <v>2021</v>
      </c>
      <c r="E14" s="20">
        <f>'7 - 2021'!B20-'7 - 2021'!B19</f>
        <v>3150</v>
      </c>
      <c r="F14" s="20">
        <f>'7 - 2021'!C20-'7 - 2021'!C19</f>
        <v>5549.5</v>
      </c>
      <c r="G14" s="18">
        <v>0.11799999999999999</v>
      </c>
      <c r="H14" s="20">
        <f>'7 - 2021'!E20-'7 - 2021'!E19</f>
        <v>25</v>
      </c>
      <c r="I14" s="20">
        <f>'7 - 2021'!F20-'7 - 2021'!F19</f>
        <v>7</v>
      </c>
      <c r="J14" s="20">
        <f>'7 - 2021'!G20-'7 - 2021'!G19</f>
        <v>24.270000000000437</v>
      </c>
      <c r="K14" s="18">
        <v>0.74</v>
      </c>
      <c r="L14" s="20">
        <v>29</v>
      </c>
      <c r="M14" s="13"/>
    </row>
    <row r="15" spans="1:13" x14ac:dyDescent="0.25">
      <c r="A15" t="s">
        <v>27</v>
      </c>
      <c r="B15">
        <f t="shared" si="0"/>
        <v>14</v>
      </c>
      <c r="C15" s="18">
        <v>7</v>
      </c>
      <c r="D15" s="18">
        <v>2021</v>
      </c>
      <c r="E15" s="20">
        <f>'7 - 2021'!B21-'7 - 2021'!B20</f>
        <v>3300</v>
      </c>
      <c r="F15" s="20">
        <f>'7 - 2021'!C21-'7 - 2021'!C20</f>
        <v>5847.5999999998603</v>
      </c>
      <c r="G15" s="18">
        <v>0.11799999999999999</v>
      </c>
      <c r="H15" s="20">
        <f>'7 - 2021'!E21-'7 - 2021'!E20</f>
        <v>25</v>
      </c>
      <c r="I15" s="20">
        <f>'7 - 2021'!F21-'7 - 2021'!F20</f>
        <v>8</v>
      </c>
      <c r="J15" s="20">
        <f>'7 - 2021'!G21-'7 - 2021'!G20</f>
        <v>26.549999999999272</v>
      </c>
      <c r="K15" s="18">
        <v>0.74</v>
      </c>
      <c r="L15" s="20">
        <v>33</v>
      </c>
      <c r="M15" s="13"/>
    </row>
    <row r="16" spans="1:13" x14ac:dyDescent="0.25">
      <c r="A16" t="s">
        <v>27</v>
      </c>
      <c r="B16">
        <f t="shared" si="0"/>
        <v>15</v>
      </c>
      <c r="C16" s="18">
        <v>7</v>
      </c>
      <c r="D16" s="18">
        <v>2021</v>
      </c>
      <c r="E16" s="20">
        <f>'7 - 2021'!B22-'7 - 2021'!B21</f>
        <v>3397</v>
      </c>
      <c r="F16" s="20">
        <f>'7 - 2021'!C22-'7 - 2021'!C21</f>
        <v>5828.3000000000466</v>
      </c>
      <c r="G16" s="18">
        <v>0.11799999999999999</v>
      </c>
      <c r="H16" s="20">
        <f>'7 - 2021'!E22-'7 - 2021'!E21</f>
        <v>25</v>
      </c>
      <c r="I16" s="20">
        <f>'7 - 2021'!F22-'7 - 2021'!F21</f>
        <v>8</v>
      </c>
      <c r="J16" s="20">
        <f>'7 - 2021'!G22-'7 - 2021'!G21</f>
        <v>26.400000000001455</v>
      </c>
      <c r="K16" s="18">
        <v>0.74</v>
      </c>
      <c r="L16" s="20">
        <v>21</v>
      </c>
      <c r="M16" s="13"/>
    </row>
    <row r="17" spans="1:13" x14ac:dyDescent="0.25">
      <c r="A17" t="s">
        <v>27</v>
      </c>
      <c r="B17">
        <f t="shared" si="0"/>
        <v>16</v>
      </c>
      <c r="C17" s="18">
        <v>7</v>
      </c>
      <c r="D17" s="18">
        <v>2021</v>
      </c>
      <c r="E17" s="20">
        <f>'7 - 2021'!B23-'7 - 2021'!B22</f>
        <v>3519</v>
      </c>
      <c r="F17" s="20">
        <f>'7 - 2021'!C23-'7 - 2021'!C22</f>
        <v>5919</v>
      </c>
      <c r="G17" s="18">
        <v>0.11799999999999999</v>
      </c>
      <c r="H17" s="20">
        <f>'7 - 2021'!E23-'7 - 2021'!E22</f>
        <v>25</v>
      </c>
      <c r="I17" s="20">
        <f>'7 - 2021'!F23-'7 - 2021'!F22</f>
        <v>8</v>
      </c>
      <c r="J17" s="20">
        <f>'7 - 2021'!G23-'7 - 2021'!G22</f>
        <v>21.909999999999854</v>
      </c>
      <c r="K17" s="18">
        <v>0.74</v>
      </c>
      <c r="L17" s="20">
        <v>28</v>
      </c>
      <c r="M17" s="13"/>
    </row>
    <row r="18" spans="1:13" x14ac:dyDescent="0.25">
      <c r="A18" t="s">
        <v>27</v>
      </c>
      <c r="B18">
        <f t="shared" si="0"/>
        <v>17</v>
      </c>
      <c r="C18" s="18">
        <v>7</v>
      </c>
      <c r="D18" s="18">
        <v>2021</v>
      </c>
      <c r="E18" s="20">
        <f>'7 - 2021'!B24-'7 - 2021'!B23</f>
        <v>3385</v>
      </c>
      <c r="F18" s="20">
        <f>'7 - 2021'!C24-'7 - 2021'!C23</f>
        <v>5799.6000000000931</v>
      </c>
      <c r="G18" s="18">
        <v>0.11799999999999999</v>
      </c>
      <c r="H18" s="20">
        <f>'7 - 2021'!E24-'7 - 2021'!E23</f>
        <v>25</v>
      </c>
      <c r="I18" s="20">
        <f>'7 - 2021'!F24-'7 - 2021'!F23</f>
        <v>8</v>
      </c>
      <c r="J18" s="65">
        <f>'7 - 2021'!G24-'7 - 2021'!G23</f>
        <v>23.369999999998981</v>
      </c>
      <c r="K18" s="18">
        <v>0.74</v>
      </c>
      <c r="L18" s="20">
        <v>24</v>
      </c>
      <c r="M18" s="13"/>
    </row>
    <row r="19" spans="1:13" x14ac:dyDescent="0.25">
      <c r="A19" t="s">
        <v>27</v>
      </c>
      <c r="B19">
        <f>B18+1</f>
        <v>18</v>
      </c>
      <c r="C19" s="18">
        <v>7</v>
      </c>
      <c r="D19" s="18">
        <v>2021</v>
      </c>
      <c r="E19" s="20">
        <f>'7 - 2021'!B25-'7 - 2021'!B24</f>
        <v>3547</v>
      </c>
      <c r="F19" s="20">
        <f>'7 - 2021'!C25-'7 - 2021'!C24</f>
        <v>5941.3999999999069</v>
      </c>
      <c r="G19" s="18">
        <v>0.11799999999999999</v>
      </c>
      <c r="H19" s="20">
        <f>'7 - 2021'!E25-'7 - 2021'!E24</f>
        <v>25</v>
      </c>
      <c r="I19" s="20">
        <f>'7 - 2021'!F25-'7 - 2021'!F24</f>
        <v>8</v>
      </c>
      <c r="J19" s="65">
        <f>'7 - 2021'!G25-'7 - 2021'!G24</f>
        <v>23.860000000000582</v>
      </c>
      <c r="K19" s="18">
        <v>0.74</v>
      </c>
      <c r="L19" s="20">
        <v>16</v>
      </c>
      <c r="M19" s="13"/>
    </row>
    <row r="20" spans="1:13" x14ac:dyDescent="0.25">
      <c r="A20" t="s">
        <v>27</v>
      </c>
      <c r="B20">
        <f t="shared" si="0"/>
        <v>19</v>
      </c>
      <c r="C20" s="18">
        <v>7</v>
      </c>
      <c r="D20" s="18">
        <v>2021</v>
      </c>
      <c r="E20" s="20">
        <f>'7 - 2021'!B26-'7 - 2021'!B25</f>
        <v>3465</v>
      </c>
      <c r="F20" s="20">
        <f>'7 - 2021'!C26-'7 - 2021'!C25</f>
        <v>5601.5</v>
      </c>
      <c r="G20" s="18">
        <v>0.11799999999999999</v>
      </c>
      <c r="H20" s="20">
        <f>'7 - 2021'!E26-'7 - 2021'!E25</f>
        <v>25</v>
      </c>
      <c r="I20" s="20">
        <f>'7 - 2021'!F26-'7 - 2021'!F25</f>
        <v>8</v>
      </c>
      <c r="J20" s="65">
        <f>'7 - 2021'!G26-'7 - 2021'!G25</f>
        <v>21.139999999999418</v>
      </c>
      <c r="K20" s="18">
        <v>0.74</v>
      </c>
      <c r="L20" s="6">
        <v>17</v>
      </c>
      <c r="M20" s="13"/>
    </row>
    <row r="21" spans="1:13" x14ac:dyDescent="0.25">
      <c r="A21" t="s">
        <v>27</v>
      </c>
      <c r="B21">
        <f t="shared" si="0"/>
        <v>20</v>
      </c>
      <c r="C21" s="18">
        <v>7</v>
      </c>
      <c r="D21" s="18">
        <v>2021</v>
      </c>
      <c r="E21" s="20">
        <f>'7 - 2021'!B27-'7 - 2021'!B26</f>
        <v>3398</v>
      </c>
      <c r="F21" s="20">
        <f>'7 - 2021'!C27-'7 - 2021'!C26</f>
        <v>5643.8000000000466</v>
      </c>
      <c r="G21" s="18">
        <v>0.11799999999999999</v>
      </c>
      <c r="H21" s="20">
        <f>'7 - 2021'!E27-'7 - 2021'!E26</f>
        <v>25</v>
      </c>
      <c r="I21" s="20">
        <f>'7 - 2021'!F27-'7 - 2021'!F26</f>
        <v>8</v>
      </c>
      <c r="J21" s="20">
        <f>'7 - 2021'!G27-'7 - 2021'!G26</f>
        <v>22.600000000002183</v>
      </c>
      <c r="K21" s="18">
        <v>0.74</v>
      </c>
      <c r="L21" s="6">
        <v>18</v>
      </c>
      <c r="M21" s="13"/>
    </row>
    <row r="22" spans="1:13" x14ac:dyDescent="0.25">
      <c r="A22" t="s">
        <v>27</v>
      </c>
      <c r="B22">
        <f t="shared" si="0"/>
        <v>21</v>
      </c>
      <c r="C22" s="18">
        <v>7</v>
      </c>
      <c r="D22" s="18">
        <v>2021</v>
      </c>
      <c r="E22" s="20">
        <f>'7 - 2021'!B28-'7 - 2021'!B27</f>
        <v>3482</v>
      </c>
      <c r="F22" s="20">
        <f>'7 - 2021'!C28-'7 - 2021'!C27</f>
        <v>5697</v>
      </c>
      <c r="G22" s="18">
        <v>0.11799999999999999</v>
      </c>
      <c r="H22" s="20">
        <f>'7 - 2021'!E28-'7 - 2021'!E27</f>
        <v>25</v>
      </c>
      <c r="I22" s="20">
        <f>'7 - 2021'!F28-'7 - 2021'!F27</f>
        <v>8</v>
      </c>
      <c r="J22" s="20">
        <f>'7 - 2021'!G28-'7 - 2021'!G27</f>
        <v>23.739999999997963</v>
      </c>
      <c r="K22" s="18">
        <v>0.74</v>
      </c>
      <c r="L22" s="20">
        <v>20</v>
      </c>
      <c r="M22" s="13"/>
    </row>
    <row r="23" spans="1:13" x14ac:dyDescent="0.25">
      <c r="A23" t="s">
        <v>27</v>
      </c>
      <c r="B23">
        <f t="shared" si="0"/>
        <v>22</v>
      </c>
      <c r="C23" s="18">
        <v>7</v>
      </c>
      <c r="D23" s="18">
        <v>2021</v>
      </c>
      <c r="E23" s="65">
        <f>'7 - 2021'!B29-'7 - 2021'!B28</f>
        <v>3553</v>
      </c>
      <c r="F23" s="20">
        <f>'7 - 2021'!C29-'7 - 2021'!C28</f>
        <v>5906</v>
      </c>
      <c r="G23" s="18">
        <v>0.11799999999999999</v>
      </c>
      <c r="H23" s="20">
        <f>'7 - 2021'!E29-'7 - 2021'!E28</f>
        <v>25</v>
      </c>
      <c r="I23" s="20">
        <f>'7 - 2021'!F29-'7 - 2021'!F28</f>
        <v>8</v>
      </c>
      <c r="J23" s="20">
        <f>'7 - 2021'!G29-'7 - 2021'!G28</f>
        <v>25.790000000000873</v>
      </c>
      <c r="K23" s="18">
        <v>0.74</v>
      </c>
      <c r="L23" s="20">
        <v>26</v>
      </c>
      <c r="M23" s="13"/>
    </row>
    <row r="24" spans="1:13" x14ac:dyDescent="0.25">
      <c r="A24" t="s">
        <v>27</v>
      </c>
      <c r="B24">
        <f t="shared" si="0"/>
        <v>23</v>
      </c>
      <c r="C24" s="18">
        <v>7</v>
      </c>
      <c r="D24" s="18">
        <v>2021</v>
      </c>
      <c r="E24" s="65">
        <f>'7 - 2021'!B30-'7 - 2021'!B29</f>
        <v>3687</v>
      </c>
      <c r="F24" s="20">
        <f>'7 - 2021'!C30-'7 - 2021'!C29</f>
        <v>5644</v>
      </c>
      <c r="G24" s="18">
        <v>0.11799999999999999</v>
      </c>
      <c r="H24" s="20">
        <f>'7 - 2021'!E30-'7 - 2021'!E29</f>
        <v>25</v>
      </c>
      <c r="I24" s="20">
        <f>'7 - 2021'!F30-'7 - 2021'!F29</f>
        <v>8</v>
      </c>
      <c r="J24" s="20">
        <f>'7 - 2021'!G30-'7 - 2021'!G29</f>
        <v>28.610000000000582</v>
      </c>
      <c r="K24" s="18">
        <v>0.74</v>
      </c>
      <c r="L24" s="20">
        <v>27</v>
      </c>
      <c r="M24" s="13"/>
    </row>
    <row r="25" spans="1:13" x14ac:dyDescent="0.25">
      <c r="A25" t="s">
        <v>27</v>
      </c>
      <c r="B25">
        <f t="shared" si="0"/>
        <v>24</v>
      </c>
      <c r="C25" s="18">
        <v>7</v>
      </c>
      <c r="D25" s="18">
        <v>2021</v>
      </c>
      <c r="E25" s="20">
        <f>'7 - 2021'!B31-'7 - 2021'!B30</f>
        <v>3444</v>
      </c>
      <c r="F25" s="20">
        <f>'7 - 2021'!C31-'7 - 2021'!C30</f>
        <v>5704</v>
      </c>
      <c r="G25" s="18">
        <v>0.11799999999999999</v>
      </c>
      <c r="H25" s="20">
        <f>'7 - 2021'!E31-'7 - 2021'!E30</f>
        <v>25</v>
      </c>
      <c r="I25" s="20">
        <f>'7 - 2021'!F31-'7 - 2021'!F30</f>
        <v>8</v>
      </c>
      <c r="J25" s="20">
        <f>'7 - 2021'!G31-'7 - 2021'!G30</f>
        <v>23.489999999997963</v>
      </c>
      <c r="K25" s="18">
        <v>0.74</v>
      </c>
      <c r="L25" s="6">
        <v>29</v>
      </c>
      <c r="M25" s="13"/>
    </row>
    <row r="26" spans="1:13" x14ac:dyDescent="0.25">
      <c r="A26" t="s">
        <v>27</v>
      </c>
      <c r="B26">
        <f>B25+1</f>
        <v>25</v>
      </c>
      <c r="C26" s="18">
        <v>7</v>
      </c>
      <c r="D26" s="18">
        <v>2021</v>
      </c>
      <c r="E26" s="20">
        <f>'7 - 2021'!B32-'7 - 2021'!B31</f>
        <v>3643</v>
      </c>
      <c r="F26" s="20">
        <f>'7 - 2021'!C32-'7 - 2021'!C31</f>
        <v>5843</v>
      </c>
      <c r="G26" s="18">
        <v>0.11799999999999999</v>
      </c>
      <c r="H26" s="20">
        <f>'7 - 2021'!E32-'7 - 2021'!E31</f>
        <v>25</v>
      </c>
      <c r="I26" s="20">
        <f>'7 - 2021'!F32-'7 - 2021'!F31</f>
        <v>8</v>
      </c>
      <c r="J26" s="20">
        <f>'7 - 2021'!G32-'7 - 2021'!G31</f>
        <v>24.180000000000291</v>
      </c>
      <c r="K26" s="18">
        <v>0.74</v>
      </c>
      <c r="L26" s="6">
        <v>28</v>
      </c>
      <c r="M26" s="13"/>
    </row>
    <row r="27" spans="1:13" x14ac:dyDescent="0.25">
      <c r="A27" t="s">
        <v>27</v>
      </c>
      <c r="B27">
        <f t="shared" si="0"/>
        <v>26</v>
      </c>
      <c r="C27" s="18">
        <v>7</v>
      </c>
      <c r="D27" s="18">
        <v>2021</v>
      </c>
      <c r="E27" s="20">
        <f>'7 - 2021'!B33-'7 - 2021'!B32</f>
        <v>3562</v>
      </c>
      <c r="F27" s="20">
        <f>'7 - 2021'!C33-'7 - 2021'!C32</f>
        <v>5662</v>
      </c>
      <c r="G27" s="18">
        <v>0.11799999999999999</v>
      </c>
      <c r="H27" s="20">
        <f>'7 - 2021'!E33-'7 - 2021'!E32</f>
        <v>25</v>
      </c>
      <c r="I27" s="20">
        <f>'7 - 2021'!F33-'7 - 2021'!F32</f>
        <v>8</v>
      </c>
      <c r="J27" s="20">
        <f>'7 - 2021'!G33-'7 - 2021'!G32</f>
        <v>25.490000000001601</v>
      </c>
      <c r="K27" s="18">
        <v>0.74</v>
      </c>
      <c r="L27" s="20">
        <v>28</v>
      </c>
      <c r="M27" s="13"/>
    </row>
    <row r="28" spans="1:13" x14ac:dyDescent="0.25">
      <c r="A28" t="s">
        <v>27</v>
      </c>
      <c r="B28">
        <f t="shared" si="0"/>
        <v>27</v>
      </c>
      <c r="C28" s="18">
        <v>7</v>
      </c>
      <c r="D28" s="18">
        <v>2021</v>
      </c>
      <c r="E28" s="20">
        <v>0</v>
      </c>
      <c r="F28" s="20">
        <v>0</v>
      </c>
      <c r="G28" s="18">
        <v>0.11799999999999999</v>
      </c>
      <c r="H28" s="20">
        <v>0</v>
      </c>
      <c r="I28" s="20">
        <v>0</v>
      </c>
      <c r="J28" s="20">
        <v>0</v>
      </c>
      <c r="K28" s="18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8">
        <v>7</v>
      </c>
      <c r="D29" s="18">
        <v>2021</v>
      </c>
      <c r="E29" s="20">
        <f>'7 - 2021'!B35-'7 - 2021'!B34</f>
        <v>0</v>
      </c>
      <c r="F29" s="20">
        <f>'7 - 2021'!C35-'7 - 2021'!C34</f>
        <v>0</v>
      </c>
      <c r="G29" s="18">
        <v>0.11799999999999999</v>
      </c>
      <c r="H29" s="20">
        <f>'7 - 2021'!E35-'7 - 2021'!E34</f>
        <v>0</v>
      </c>
      <c r="I29" s="20">
        <f>'7 - 2021'!F35-'7 - 2021'!F34</f>
        <v>0</v>
      </c>
      <c r="J29" s="20">
        <f>'7 - 2021'!G35-'7 - 2021'!G34</f>
        <v>0</v>
      </c>
      <c r="K29" s="18">
        <v>0.74</v>
      </c>
      <c r="L29" s="6"/>
      <c r="M29" s="13"/>
    </row>
    <row r="30" spans="1:13" x14ac:dyDescent="0.25">
      <c r="A30" s="18" t="s">
        <v>27</v>
      </c>
      <c r="B30" s="18">
        <f t="shared" si="0"/>
        <v>29</v>
      </c>
      <c r="C30" s="18">
        <v>7</v>
      </c>
      <c r="D30" s="18">
        <v>2021</v>
      </c>
      <c r="E30" s="20">
        <f>'7 - 2021'!B36-'7 - 2021'!B35</f>
        <v>0</v>
      </c>
      <c r="F30" s="20">
        <f>'7 - 2021'!C36-'7 - 2021'!C35</f>
        <v>0</v>
      </c>
      <c r="G30" s="18">
        <v>0.11799999999999999</v>
      </c>
      <c r="H30" s="20">
        <f>'7 - 2021'!E36-'7 - 2021'!E35</f>
        <v>0</v>
      </c>
      <c r="I30" s="20">
        <f>'7 - 2021'!F36-'7 - 2021'!F35</f>
        <v>0</v>
      </c>
      <c r="J30" s="20">
        <f>'7 - 2021'!G36-'7 - 2021'!G35</f>
        <v>0</v>
      </c>
      <c r="K30" s="18">
        <v>0.74</v>
      </c>
      <c r="L30" s="20"/>
    </row>
    <row r="31" spans="1:13" x14ac:dyDescent="0.25">
      <c r="A31" s="18" t="s">
        <v>27</v>
      </c>
      <c r="B31" s="18">
        <f t="shared" si="0"/>
        <v>30</v>
      </c>
      <c r="C31" s="18">
        <v>7</v>
      </c>
      <c r="D31" s="18">
        <v>2021</v>
      </c>
      <c r="E31" s="20">
        <f>'7 - 2021'!B37-'7 - 2021'!B36</f>
        <v>0</v>
      </c>
      <c r="F31" s="20">
        <f>'7 - 2021'!C37-'7 - 2021'!C36</f>
        <v>0</v>
      </c>
      <c r="G31" s="18">
        <v>0.11799999999999999</v>
      </c>
      <c r="H31" s="20">
        <f>'7 - 2021'!E37-'7 - 2021'!E36</f>
        <v>0</v>
      </c>
      <c r="I31" s="20">
        <f>'7 - 2021'!F37-'7 - 2021'!F36</f>
        <v>0</v>
      </c>
      <c r="J31" s="20">
        <f>'7 - 2021'!G37-'7 - 2021'!G36</f>
        <v>0</v>
      </c>
      <c r="K31" s="18">
        <v>0.74</v>
      </c>
      <c r="L31" s="20"/>
    </row>
    <row r="32" spans="1:13" x14ac:dyDescent="0.25">
      <c r="A32" s="18" t="s">
        <v>27</v>
      </c>
      <c r="B32" s="18">
        <f t="shared" si="0"/>
        <v>31</v>
      </c>
      <c r="C32" s="18">
        <v>7</v>
      </c>
      <c r="D32" s="18">
        <v>2021</v>
      </c>
      <c r="E32" s="20">
        <f>'7 - 2021'!B38-'7 - 2021'!B37</f>
        <v>0</v>
      </c>
      <c r="F32" s="20">
        <f>'7 - 2021'!C38-'7 - 2021'!C37</f>
        <v>0</v>
      </c>
      <c r="G32" s="18">
        <v>0.11799999999999999</v>
      </c>
      <c r="H32" s="20">
        <f>'7 - 2021'!E38-'7 - 2021'!E37</f>
        <v>0</v>
      </c>
      <c r="I32" s="20">
        <f>'7 - 2021'!F38-'7 - 2021'!F37</f>
        <v>0</v>
      </c>
      <c r="J32" s="20">
        <f>'7 - 2021'!G38-'7 - 2021'!G37</f>
        <v>0</v>
      </c>
      <c r="K32" s="18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4" zoomScaleNormal="100" workbookViewId="0">
      <selection activeCell="B33" sqref="B33"/>
    </sheetView>
  </sheetViews>
  <sheetFormatPr defaultRowHeight="15" x14ac:dyDescent="0.25"/>
  <cols>
    <col min="1" max="1" width="13.5703125" style="18" customWidth="1"/>
    <col min="2" max="2" width="11.57031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9" width="13.57031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7" x14ac:dyDescent="0.25">
      <c r="H1" s="19"/>
      <c r="I1" s="19"/>
    </row>
    <row r="3" spans="1:17" ht="18.75" x14ac:dyDescent="0.3">
      <c r="A3" s="81" t="s">
        <v>30</v>
      </c>
      <c r="B3" s="81"/>
      <c r="C3" s="81"/>
      <c r="D3" s="81"/>
      <c r="E3" s="81"/>
      <c r="F3" s="81"/>
      <c r="G3" s="81"/>
      <c r="H3" s="81"/>
      <c r="I3" s="81"/>
      <c r="J3" s="81"/>
    </row>
    <row r="4" spans="1:17" ht="16.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</row>
    <row r="5" spans="1:17" ht="16.5" thickBot="1" x14ac:dyDescent="0.3">
      <c r="A5" s="2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22" t="s">
        <v>2</v>
      </c>
      <c r="K5" s="3"/>
    </row>
    <row r="6" spans="1:17" ht="50.25" customHeight="1" x14ac:dyDescent="0.25">
      <c r="A6" s="27" t="s">
        <v>3</v>
      </c>
      <c r="B6" s="28" t="s">
        <v>33</v>
      </c>
      <c r="C6" s="29" t="s">
        <v>34</v>
      </c>
      <c r="D6" s="29" t="s">
        <v>4</v>
      </c>
      <c r="E6" s="29" t="s">
        <v>5</v>
      </c>
      <c r="F6" s="29" t="s">
        <v>6</v>
      </c>
      <c r="G6" s="30" t="s">
        <v>7</v>
      </c>
      <c r="H6" s="29" t="s">
        <v>28</v>
      </c>
      <c r="I6" s="29" t="s">
        <v>29</v>
      </c>
      <c r="J6" s="29" t="s">
        <v>8</v>
      </c>
      <c r="K6" s="23" t="s">
        <v>31</v>
      </c>
      <c r="L6" s="24" t="s">
        <v>32</v>
      </c>
    </row>
    <row r="7" spans="1:17" s="14" customFormat="1" ht="12.95" customHeight="1" x14ac:dyDescent="0.25">
      <c r="A7" s="31">
        <v>44377</v>
      </c>
      <c r="B7" s="58">
        <v>826409</v>
      </c>
      <c r="C7" s="59">
        <v>984997</v>
      </c>
      <c r="D7" s="15">
        <v>0.78</v>
      </c>
      <c r="E7" s="55">
        <v>2074.04</v>
      </c>
      <c r="F7" s="55">
        <v>3748.56</v>
      </c>
      <c r="G7" s="51">
        <v>30848.26</v>
      </c>
      <c r="H7" s="58">
        <v>14528</v>
      </c>
      <c r="I7" s="58">
        <v>123652</v>
      </c>
      <c r="J7" s="58">
        <v>47602896</v>
      </c>
      <c r="K7" s="38"/>
      <c r="L7" s="39"/>
      <c r="M7" s="32"/>
    </row>
    <row r="8" spans="1:17" s="14" customFormat="1" ht="12.95" customHeight="1" x14ac:dyDescent="0.25">
      <c r="A8" s="31">
        <f>A7+1</f>
        <v>44378</v>
      </c>
      <c r="B8" s="54">
        <v>829999</v>
      </c>
      <c r="C8" s="54">
        <v>991077</v>
      </c>
      <c r="D8" s="15">
        <v>0.68</v>
      </c>
      <c r="E8" s="55">
        <v>2084.54</v>
      </c>
      <c r="F8" s="55">
        <v>3755.99</v>
      </c>
      <c r="G8" s="54">
        <v>30875.38</v>
      </c>
      <c r="H8" s="54">
        <v>14528</v>
      </c>
      <c r="I8" s="54">
        <v>123761</v>
      </c>
      <c r="J8" s="54">
        <v>47633018</v>
      </c>
      <c r="K8" s="26"/>
      <c r="L8" s="49"/>
      <c r="M8" s="32"/>
    </row>
    <row r="9" spans="1:17" s="14" customFormat="1" ht="12.95" customHeight="1" x14ac:dyDescent="0.25">
      <c r="A9" s="31">
        <f t="shared" ref="A9:A38" si="0">A8+1</f>
        <v>44379</v>
      </c>
      <c r="B9" s="54">
        <v>833686</v>
      </c>
      <c r="C9" s="51">
        <v>997193</v>
      </c>
      <c r="D9" s="15">
        <v>0.6</v>
      </c>
      <c r="E9" s="55">
        <f>E8+25</f>
        <v>2109.54</v>
      </c>
      <c r="F9" s="55">
        <f>F8+8</f>
        <v>3763.99</v>
      </c>
      <c r="G9" s="52">
        <v>30905.360000000001</v>
      </c>
      <c r="H9" s="54">
        <v>14528</v>
      </c>
      <c r="I9" s="58">
        <v>123866</v>
      </c>
      <c r="J9" s="58">
        <v>47664965</v>
      </c>
      <c r="K9" s="16"/>
      <c r="L9" s="76" t="s">
        <v>38</v>
      </c>
      <c r="M9" s="32"/>
    </row>
    <row r="10" spans="1:17" s="14" customFormat="1" ht="12.95" customHeight="1" x14ac:dyDescent="0.25">
      <c r="A10" s="31">
        <f t="shared" si="0"/>
        <v>44380</v>
      </c>
      <c r="B10" s="58">
        <v>837242</v>
      </c>
      <c r="C10" s="58">
        <v>1002886.95</v>
      </c>
      <c r="D10" s="15">
        <v>0.54</v>
      </c>
      <c r="E10" s="55">
        <f>E9+25</f>
        <v>2134.54</v>
      </c>
      <c r="F10" s="55">
        <f>F9+8</f>
        <v>3771.99</v>
      </c>
      <c r="G10" s="52">
        <v>30932.65</v>
      </c>
      <c r="H10" s="54">
        <v>14528</v>
      </c>
      <c r="I10" s="58">
        <v>123959</v>
      </c>
      <c r="J10" s="62">
        <v>47699929</v>
      </c>
      <c r="K10" s="16"/>
      <c r="L10" s="50"/>
      <c r="M10" s="32"/>
    </row>
    <row r="11" spans="1:17" s="14" customFormat="1" ht="12.95" customHeight="1" x14ac:dyDescent="0.25">
      <c r="A11" s="31">
        <f t="shared" si="0"/>
        <v>44381</v>
      </c>
      <c r="B11" s="58">
        <v>840866</v>
      </c>
      <c r="C11" s="58">
        <v>1008837.92</v>
      </c>
      <c r="D11" s="15">
        <v>0.49</v>
      </c>
      <c r="E11" s="55">
        <f>E10+23</f>
        <v>2157.54</v>
      </c>
      <c r="F11" s="55">
        <f>F10+7</f>
        <v>3778.99</v>
      </c>
      <c r="G11" s="52">
        <v>30958.9</v>
      </c>
      <c r="H11" s="54">
        <v>14528</v>
      </c>
      <c r="I11" s="58">
        <v>124065</v>
      </c>
      <c r="J11" s="58">
        <v>47740400</v>
      </c>
      <c r="K11" s="16"/>
      <c r="L11" s="50"/>
      <c r="M11" s="32"/>
    </row>
    <row r="12" spans="1:17" s="14" customFormat="1" ht="12.95" customHeight="1" x14ac:dyDescent="0.25">
      <c r="A12" s="31">
        <f t="shared" si="0"/>
        <v>44382</v>
      </c>
      <c r="B12" s="54">
        <v>844407</v>
      </c>
      <c r="C12" s="54">
        <v>1014783.3</v>
      </c>
      <c r="D12" s="15">
        <v>0.43</v>
      </c>
      <c r="E12" s="63">
        <f>E11+23</f>
        <v>2180.54</v>
      </c>
      <c r="F12" s="63">
        <f>F11+7</f>
        <v>3785.99</v>
      </c>
      <c r="G12" s="54">
        <v>30985.38</v>
      </c>
      <c r="H12" s="54">
        <v>14528</v>
      </c>
      <c r="I12" s="54">
        <v>124172</v>
      </c>
      <c r="J12" s="54">
        <v>47777197</v>
      </c>
      <c r="K12" s="16"/>
      <c r="L12" s="50"/>
      <c r="M12" s="32"/>
      <c r="N12" s="32"/>
    </row>
    <row r="13" spans="1:17" s="14" customFormat="1" ht="12.95" customHeight="1" x14ac:dyDescent="0.25">
      <c r="A13" s="31">
        <f t="shared" si="0"/>
        <v>44383</v>
      </c>
      <c r="B13" s="60">
        <v>847875</v>
      </c>
      <c r="C13" s="51">
        <v>1020537.5</v>
      </c>
      <c r="D13" s="15">
        <v>0.36</v>
      </c>
      <c r="E13" s="55">
        <f>E12+23</f>
        <v>2203.54</v>
      </c>
      <c r="F13" s="55">
        <f>F12+8</f>
        <v>3793.99</v>
      </c>
      <c r="G13" s="52">
        <v>31008.53</v>
      </c>
      <c r="H13" s="58">
        <v>14528</v>
      </c>
      <c r="I13" s="51">
        <v>124265</v>
      </c>
      <c r="J13" s="51">
        <v>47814744</v>
      </c>
      <c r="K13" s="16"/>
      <c r="L13" s="75"/>
      <c r="M13" s="32"/>
      <c r="N13" s="42"/>
      <c r="O13" s="42"/>
      <c r="P13" s="42"/>
      <c r="Q13" s="42"/>
    </row>
    <row r="14" spans="1:17" s="14" customFormat="1" ht="12.95" customHeight="1" x14ac:dyDescent="0.25">
      <c r="A14" s="31">
        <f t="shared" si="0"/>
        <v>44384</v>
      </c>
      <c r="B14" s="58">
        <v>851402</v>
      </c>
      <c r="C14" s="58">
        <v>1026160.02</v>
      </c>
      <c r="D14" s="15">
        <v>0.3</v>
      </c>
      <c r="E14" s="55">
        <f>E13+23</f>
        <v>2226.54</v>
      </c>
      <c r="F14" s="55">
        <f>F13+8</f>
        <v>3801.99</v>
      </c>
      <c r="G14" s="51">
        <v>31031.98</v>
      </c>
      <c r="H14" s="58">
        <v>14528</v>
      </c>
      <c r="I14" s="58">
        <v>124360</v>
      </c>
      <c r="J14" s="58">
        <v>47849958</v>
      </c>
      <c r="K14" s="16"/>
      <c r="L14" s="50"/>
      <c r="M14" s="32"/>
      <c r="N14" s="42"/>
      <c r="O14" s="42"/>
      <c r="P14" s="42"/>
      <c r="Q14" s="42"/>
    </row>
    <row r="15" spans="1:17" s="14" customFormat="1" ht="12.95" customHeight="1" x14ac:dyDescent="0.25">
      <c r="A15" s="31">
        <f t="shared" si="0"/>
        <v>44385</v>
      </c>
      <c r="B15" s="58">
        <v>854915</v>
      </c>
      <c r="C15" s="58">
        <v>1032054.4</v>
      </c>
      <c r="D15" s="15">
        <v>0.24</v>
      </c>
      <c r="E15" s="55">
        <f>E14+23</f>
        <v>2249.54</v>
      </c>
      <c r="F15" s="74">
        <f>F14+7</f>
        <v>3808.99</v>
      </c>
      <c r="G15" s="51">
        <v>31056.57</v>
      </c>
      <c r="H15" s="58">
        <v>14528</v>
      </c>
      <c r="I15" s="58">
        <v>124458</v>
      </c>
      <c r="J15" s="58">
        <v>47887336</v>
      </c>
      <c r="K15" s="16"/>
      <c r="L15" s="50"/>
      <c r="M15" s="32"/>
      <c r="N15" s="42"/>
      <c r="O15" s="42"/>
      <c r="P15" s="42"/>
      <c r="Q15" s="42"/>
    </row>
    <row r="16" spans="1:17" s="14" customFormat="1" ht="12.95" customHeight="1" x14ac:dyDescent="0.25">
      <c r="A16" s="31">
        <f t="shared" si="0"/>
        <v>44386</v>
      </c>
      <c r="B16" s="66">
        <v>858430</v>
      </c>
      <c r="C16" s="58">
        <v>1038070.5</v>
      </c>
      <c r="D16" s="15">
        <v>0.78</v>
      </c>
      <c r="E16" s="55">
        <f>E15+24</f>
        <v>2273.54</v>
      </c>
      <c r="F16" s="74">
        <f t="shared" ref="F16:F17" si="1">F15+7</f>
        <v>3815.99</v>
      </c>
      <c r="G16" s="51">
        <v>31082.62</v>
      </c>
      <c r="H16" s="58">
        <v>14528</v>
      </c>
      <c r="I16" s="58">
        <v>124560</v>
      </c>
      <c r="J16" s="58">
        <v>47922283</v>
      </c>
      <c r="K16" s="16"/>
      <c r="L16" s="50"/>
      <c r="M16" s="32"/>
      <c r="N16" s="42"/>
      <c r="O16" s="42"/>
      <c r="P16" s="42"/>
      <c r="Q16" s="42"/>
    </row>
    <row r="17" spans="1:19" s="14" customFormat="1" ht="12.95" customHeight="1" x14ac:dyDescent="0.25">
      <c r="A17" s="31">
        <f t="shared" si="0"/>
        <v>44387</v>
      </c>
      <c r="B17" s="51">
        <v>861609</v>
      </c>
      <c r="C17" s="51">
        <v>1043837.8</v>
      </c>
      <c r="D17" s="21">
        <v>0.72</v>
      </c>
      <c r="E17" s="55">
        <f t="shared" ref="E17" si="2">E16+23</f>
        <v>2296.54</v>
      </c>
      <c r="F17" s="74">
        <f t="shared" si="1"/>
        <v>3822.99</v>
      </c>
      <c r="G17" s="51">
        <v>31108.32</v>
      </c>
      <c r="H17" s="58">
        <v>14528</v>
      </c>
      <c r="I17" s="51">
        <v>124635</v>
      </c>
      <c r="J17" s="51">
        <v>47958336</v>
      </c>
      <c r="K17" s="16"/>
      <c r="L17" s="50"/>
      <c r="M17" s="32"/>
      <c r="N17" s="42"/>
      <c r="O17" s="42"/>
      <c r="P17" s="42"/>
      <c r="Q17" s="42"/>
    </row>
    <row r="18" spans="1:19" s="14" customFormat="1" ht="12.95" customHeight="1" x14ac:dyDescent="0.25">
      <c r="A18" s="31">
        <f t="shared" si="0"/>
        <v>44388</v>
      </c>
      <c r="B18" s="58">
        <v>865138</v>
      </c>
      <c r="C18" s="58">
        <v>1049871.5</v>
      </c>
      <c r="D18" s="15">
        <v>0.65</v>
      </c>
      <c r="E18" s="55">
        <f>E17+25</f>
        <v>2321.54</v>
      </c>
      <c r="F18" s="55">
        <f>F17+7</f>
        <v>3829.99</v>
      </c>
      <c r="G18" s="51">
        <v>31134.42</v>
      </c>
      <c r="H18" s="58">
        <v>14528</v>
      </c>
      <c r="I18" s="58">
        <v>124738</v>
      </c>
      <c r="J18" s="58">
        <v>47992440</v>
      </c>
      <c r="K18" s="16"/>
      <c r="L18" s="50"/>
      <c r="M18" s="32"/>
      <c r="N18" s="42"/>
      <c r="O18" s="43"/>
      <c r="P18" s="42"/>
      <c r="Q18" s="42"/>
    </row>
    <row r="19" spans="1:19" s="14" customFormat="1" ht="12.95" customHeight="1" x14ac:dyDescent="0.25">
      <c r="A19" s="31">
        <f t="shared" si="0"/>
        <v>44389</v>
      </c>
      <c r="B19" s="57">
        <v>868757</v>
      </c>
      <c r="C19" s="57">
        <v>1056022.3</v>
      </c>
      <c r="D19" s="15">
        <v>0.6</v>
      </c>
      <c r="E19" s="55">
        <f>E18+23</f>
        <v>2344.54</v>
      </c>
      <c r="F19" s="55">
        <f>F18+7</f>
        <v>3836.99</v>
      </c>
      <c r="G19" s="53">
        <v>31161.279999999999</v>
      </c>
      <c r="H19" s="58">
        <v>14528</v>
      </c>
      <c r="I19" s="57">
        <v>124831</v>
      </c>
      <c r="J19" s="57">
        <v>48026680</v>
      </c>
      <c r="K19" s="16"/>
      <c r="L19" s="50"/>
      <c r="M19" s="32"/>
      <c r="N19" s="42"/>
      <c r="O19" s="43"/>
      <c r="P19" s="42"/>
      <c r="Q19" s="42"/>
    </row>
    <row r="20" spans="1:19" s="14" customFormat="1" ht="12.95" customHeight="1" x14ac:dyDescent="0.25">
      <c r="A20" s="31">
        <f t="shared" si="0"/>
        <v>44390</v>
      </c>
      <c r="B20" s="54">
        <v>871907</v>
      </c>
      <c r="C20" s="54">
        <v>1061571.8</v>
      </c>
      <c r="D20" s="15">
        <v>0.55000000000000004</v>
      </c>
      <c r="E20" s="63">
        <f t="shared" ref="E20:E33" si="3">E19+25</f>
        <v>2369.54</v>
      </c>
      <c r="F20" s="63">
        <f>F19+7</f>
        <v>3843.99</v>
      </c>
      <c r="G20" s="54">
        <v>31185.55</v>
      </c>
      <c r="H20" s="54">
        <v>14528</v>
      </c>
      <c r="I20" s="54">
        <v>124925</v>
      </c>
      <c r="J20" s="54">
        <v>48064380</v>
      </c>
      <c r="K20" s="54"/>
      <c r="L20" s="77"/>
      <c r="M20" s="32"/>
      <c r="N20" s="44"/>
      <c r="O20" s="42"/>
      <c r="P20" s="42"/>
      <c r="Q20" s="42"/>
    </row>
    <row r="21" spans="1:19" s="14" customFormat="1" ht="12.95" customHeight="1" x14ac:dyDescent="0.25">
      <c r="A21" s="31">
        <f t="shared" si="0"/>
        <v>44391</v>
      </c>
      <c r="B21" s="57">
        <v>875207</v>
      </c>
      <c r="C21" s="57">
        <v>1067419.3999999999</v>
      </c>
      <c r="D21" s="15">
        <v>0.48</v>
      </c>
      <c r="E21" s="64">
        <f t="shared" si="3"/>
        <v>2394.54</v>
      </c>
      <c r="F21" s="55">
        <f>F20+8</f>
        <v>3851.99</v>
      </c>
      <c r="G21" s="53">
        <v>31212.1</v>
      </c>
      <c r="H21" s="58">
        <v>14528</v>
      </c>
      <c r="I21" s="57">
        <v>125020</v>
      </c>
      <c r="J21" s="57">
        <v>48102239</v>
      </c>
      <c r="K21" s="50"/>
      <c r="L21" s="77"/>
      <c r="M21" s="32"/>
      <c r="N21" s="44"/>
      <c r="O21" s="44"/>
      <c r="P21" s="45"/>
      <c r="Q21" s="45"/>
      <c r="S21" s="32"/>
    </row>
    <row r="22" spans="1:19" s="14" customFormat="1" ht="12.95" customHeight="1" x14ac:dyDescent="0.25">
      <c r="A22" s="31">
        <f t="shared" si="0"/>
        <v>44392</v>
      </c>
      <c r="B22" s="54">
        <v>878604</v>
      </c>
      <c r="C22" s="66">
        <v>1073247.7</v>
      </c>
      <c r="D22" s="15">
        <v>0.4</v>
      </c>
      <c r="E22" s="55">
        <f t="shared" si="3"/>
        <v>2419.54</v>
      </c>
      <c r="F22" s="55">
        <f>F21+8</f>
        <v>3859.99</v>
      </c>
      <c r="G22" s="53">
        <v>31238.5</v>
      </c>
      <c r="H22" s="58">
        <v>14528</v>
      </c>
      <c r="I22" s="53">
        <v>125120</v>
      </c>
      <c r="J22" s="57">
        <v>48141489</v>
      </c>
      <c r="K22" s="54"/>
      <c r="L22" s="77"/>
      <c r="M22" s="32"/>
      <c r="N22" s="44"/>
      <c r="O22" s="44"/>
      <c r="P22" s="42"/>
      <c r="Q22" s="42"/>
    </row>
    <row r="23" spans="1:19" s="14" customFormat="1" ht="12.95" customHeight="1" x14ac:dyDescent="0.25">
      <c r="A23" s="31">
        <f t="shared" si="0"/>
        <v>44393</v>
      </c>
      <c r="B23" s="57">
        <v>882123</v>
      </c>
      <c r="C23" s="57">
        <v>1079166.7</v>
      </c>
      <c r="D23" s="15">
        <v>0.75</v>
      </c>
      <c r="E23" s="64">
        <f t="shared" si="3"/>
        <v>2444.54</v>
      </c>
      <c r="F23" s="55">
        <f>F22+8</f>
        <v>3867.99</v>
      </c>
      <c r="G23" s="53">
        <v>31260.41</v>
      </c>
      <c r="H23" s="58">
        <v>14528</v>
      </c>
      <c r="I23" s="57">
        <v>125216</v>
      </c>
      <c r="J23" s="57">
        <v>48176581</v>
      </c>
      <c r="K23" s="54"/>
      <c r="L23" s="77"/>
      <c r="M23" s="32"/>
      <c r="N23" s="44"/>
      <c r="O23" s="42"/>
      <c r="P23" s="42"/>
      <c r="Q23" s="42"/>
    </row>
    <row r="24" spans="1:19" s="14" customFormat="1" ht="12.95" customHeight="1" x14ac:dyDescent="0.25">
      <c r="A24" s="31">
        <f t="shared" si="0"/>
        <v>44394</v>
      </c>
      <c r="B24" s="57">
        <v>885508</v>
      </c>
      <c r="C24" s="57">
        <v>1084966.3</v>
      </c>
      <c r="D24" s="15">
        <v>0.69</v>
      </c>
      <c r="E24" s="64">
        <f t="shared" si="3"/>
        <v>2469.54</v>
      </c>
      <c r="F24" s="55">
        <f>F23+8</f>
        <v>3875.99</v>
      </c>
      <c r="G24" s="53">
        <v>31283.78</v>
      </c>
      <c r="H24" s="58">
        <v>14528</v>
      </c>
      <c r="I24" s="57">
        <v>125305</v>
      </c>
      <c r="J24" s="57">
        <v>48210944</v>
      </c>
      <c r="K24" s="54"/>
      <c r="L24" s="78"/>
      <c r="M24" s="32"/>
      <c r="N24" s="44"/>
      <c r="O24" s="44"/>
      <c r="P24" s="42"/>
      <c r="Q24" s="42"/>
    </row>
    <row r="25" spans="1:19" s="14" customFormat="1" ht="12.95" customHeight="1" x14ac:dyDescent="0.25">
      <c r="A25" s="31">
        <f t="shared" si="0"/>
        <v>44395</v>
      </c>
      <c r="B25" s="53">
        <v>889055</v>
      </c>
      <c r="C25" s="53">
        <v>1090907.7</v>
      </c>
      <c r="D25" s="15">
        <v>0.64</v>
      </c>
      <c r="E25" s="64">
        <f t="shared" si="3"/>
        <v>2494.54</v>
      </c>
      <c r="F25" s="55">
        <f>F24+8</f>
        <v>3883.99</v>
      </c>
      <c r="G25" s="53">
        <v>31307.64</v>
      </c>
      <c r="H25" s="58">
        <v>14528</v>
      </c>
      <c r="I25" s="57">
        <v>125390</v>
      </c>
      <c r="J25" s="57">
        <v>48247884</v>
      </c>
      <c r="K25" s="54"/>
      <c r="L25" s="78"/>
      <c r="M25" s="32"/>
      <c r="N25" s="44"/>
      <c r="O25" s="44"/>
      <c r="P25" s="42"/>
      <c r="Q25" s="42"/>
    </row>
    <row r="26" spans="1:19" s="14" customFormat="1" ht="12.95" customHeight="1" x14ac:dyDescent="0.25">
      <c r="A26" s="31">
        <f t="shared" si="0"/>
        <v>44396</v>
      </c>
      <c r="B26" s="53">
        <v>892520</v>
      </c>
      <c r="C26" s="53">
        <v>1096509.2</v>
      </c>
      <c r="D26" s="21">
        <v>0.57999999999999996</v>
      </c>
      <c r="E26" s="64">
        <f t="shared" si="3"/>
        <v>2519.54</v>
      </c>
      <c r="F26" s="55">
        <f t="shared" ref="F26:F33" si="4">F25+8</f>
        <v>3891.99</v>
      </c>
      <c r="G26" s="53">
        <v>31328.78</v>
      </c>
      <c r="H26" s="58">
        <v>14528</v>
      </c>
      <c r="I26" s="57">
        <v>125470</v>
      </c>
      <c r="J26" s="57">
        <v>48289472</v>
      </c>
      <c r="K26" s="54"/>
      <c r="L26" s="78"/>
      <c r="M26" s="32"/>
      <c r="N26" s="44"/>
      <c r="O26" s="44"/>
      <c r="P26" s="42"/>
      <c r="Q26" s="42"/>
    </row>
    <row r="27" spans="1:19" s="14" customFormat="1" ht="12.95" customHeight="1" x14ac:dyDescent="0.25">
      <c r="A27" s="31">
        <f t="shared" si="0"/>
        <v>44397</v>
      </c>
      <c r="B27" s="57">
        <v>895918</v>
      </c>
      <c r="C27" s="57">
        <v>1102153</v>
      </c>
      <c r="D27" s="15">
        <v>0.53</v>
      </c>
      <c r="E27" s="64">
        <f t="shared" si="3"/>
        <v>2544.54</v>
      </c>
      <c r="F27" s="55">
        <f t="shared" si="4"/>
        <v>3899.99</v>
      </c>
      <c r="G27" s="53">
        <v>31351.38</v>
      </c>
      <c r="H27" s="58">
        <v>14528</v>
      </c>
      <c r="I27" s="57">
        <v>125555</v>
      </c>
      <c r="J27" s="57">
        <v>48317636</v>
      </c>
      <c r="K27" s="54"/>
      <c r="L27" s="77"/>
      <c r="M27" s="32"/>
    </row>
    <row r="28" spans="1:19" s="14" customFormat="1" ht="12.95" customHeight="1" x14ac:dyDescent="0.25">
      <c r="A28" s="31">
        <f t="shared" si="0"/>
        <v>44398</v>
      </c>
      <c r="B28" s="56">
        <v>899400</v>
      </c>
      <c r="C28" s="57">
        <v>1107850</v>
      </c>
      <c r="D28" s="15">
        <v>0.46</v>
      </c>
      <c r="E28" s="64">
        <f t="shared" si="3"/>
        <v>2569.54</v>
      </c>
      <c r="F28" s="55">
        <f t="shared" si="4"/>
        <v>3907.99</v>
      </c>
      <c r="G28" s="53">
        <v>31375.119999999999</v>
      </c>
      <c r="H28" s="58">
        <v>14528</v>
      </c>
      <c r="I28" s="57">
        <v>125641</v>
      </c>
      <c r="J28" s="57">
        <v>48354905</v>
      </c>
      <c r="K28" s="54"/>
      <c r="L28" s="77"/>
      <c r="M28" s="32"/>
    </row>
    <row r="29" spans="1:19" s="14" customFormat="1" ht="12.95" customHeight="1" x14ac:dyDescent="0.25">
      <c r="A29" s="31">
        <f t="shared" si="0"/>
        <v>44399</v>
      </c>
      <c r="B29" s="57">
        <v>902953</v>
      </c>
      <c r="C29" s="57">
        <v>1113756</v>
      </c>
      <c r="D29" s="15">
        <v>0.4</v>
      </c>
      <c r="E29" s="64">
        <f t="shared" si="3"/>
        <v>2594.54</v>
      </c>
      <c r="F29" s="55">
        <f t="shared" si="4"/>
        <v>3915.99</v>
      </c>
      <c r="G29" s="53">
        <v>31400.91</v>
      </c>
      <c r="H29" s="58">
        <v>14528</v>
      </c>
      <c r="I29" s="57">
        <v>125725</v>
      </c>
      <c r="J29" s="57">
        <v>48391977</v>
      </c>
      <c r="K29" s="54"/>
      <c r="L29" s="77"/>
      <c r="M29" s="32"/>
      <c r="N29" s="32"/>
    </row>
    <row r="30" spans="1:19" s="14" customFormat="1" ht="12.95" customHeight="1" x14ac:dyDescent="0.25">
      <c r="A30" s="31">
        <f t="shared" si="0"/>
        <v>44400</v>
      </c>
      <c r="B30" s="57">
        <v>906640</v>
      </c>
      <c r="C30" s="57">
        <v>1119400</v>
      </c>
      <c r="D30" s="15">
        <v>0.34</v>
      </c>
      <c r="E30" s="64">
        <f t="shared" si="3"/>
        <v>2619.54</v>
      </c>
      <c r="F30" s="55">
        <f t="shared" si="4"/>
        <v>3923.99</v>
      </c>
      <c r="G30" s="53">
        <v>31429.52</v>
      </c>
      <c r="H30" s="58">
        <v>14528</v>
      </c>
      <c r="I30" s="57">
        <v>125820</v>
      </c>
      <c r="J30" s="57">
        <v>48426400</v>
      </c>
      <c r="K30" s="54"/>
      <c r="L30" s="77"/>
      <c r="M30" s="32"/>
    </row>
    <row r="31" spans="1:19" s="14" customFormat="1" ht="12.95" customHeight="1" x14ac:dyDescent="0.25">
      <c r="A31" s="31">
        <f t="shared" si="0"/>
        <v>44401</v>
      </c>
      <c r="B31" s="57">
        <v>910084</v>
      </c>
      <c r="C31" s="57">
        <v>1125104</v>
      </c>
      <c r="D31" s="15">
        <v>0.28000000000000003</v>
      </c>
      <c r="E31" s="64">
        <f t="shared" si="3"/>
        <v>2644.54</v>
      </c>
      <c r="F31" s="55">
        <f t="shared" si="4"/>
        <v>3931.99</v>
      </c>
      <c r="G31" s="53">
        <v>31453.01</v>
      </c>
      <c r="H31" s="58">
        <v>14528</v>
      </c>
      <c r="I31" s="57">
        <v>125905</v>
      </c>
      <c r="J31" s="57">
        <v>48459790</v>
      </c>
      <c r="K31" s="54"/>
      <c r="L31" s="77"/>
      <c r="M31" s="32"/>
      <c r="N31" s="32"/>
      <c r="O31" s="32"/>
    </row>
    <row r="32" spans="1:19" s="14" customFormat="1" ht="12.95" customHeight="1" x14ac:dyDescent="0.25">
      <c r="A32" s="31">
        <f t="shared" si="0"/>
        <v>44402</v>
      </c>
      <c r="B32" s="57">
        <v>913727</v>
      </c>
      <c r="C32" s="57">
        <v>1130947</v>
      </c>
      <c r="D32" s="15">
        <v>0.85</v>
      </c>
      <c r="E32" s="64">
        <f t="shared" si="3"/>
        <v>2669.54</v>
      </c>
      <c r="F32" s="55">
        <f t="shared" si="4"/>
        <v>3939.99</v>
      </c>
      <c r="G32" s="53">
        <v>31477.19</v>
      </c>
      <c r="H32" s="58">
        <v>14528</v>
      </c>
      <c r="I32" s="57">
        <v>125996</v>
      </c>
      <c r="J32" s="57">
        <v>48495288</v>
      </c>
      <c r="K32" s="54"/>
      <c r="L32" s="77"/>
      <c r="M32" s="32"/>
      <c r="N32" s="32"/>
      <c r="O32" s="32"/>
    </row>
    <row r="33" spans="1:16" s="14" customFormat="1" ht="12.95" customHeight="1" x14ac:dyDescent="0.25">
      <c r="A33" s="31">
        <f t="shared" si="0"/>
        <v>44403</v>
      </c>
      <c r="B33" s="57">
        <v>917289</v>
      </c>
      <c r="C33" s="57">
        <v>1136609</v>
      </c>
      <c r="D33" s="15">
        <v>0.8</v>
      </c>
      <c r="E33" s="64">
        <f t="shared" si="3"/>
        <v>2694.54</v>
      </c>
      <c r="F33" s="55">
        <f t="shared" si="4"/>
        <v>3947.99</v>
      </c>
      <c r="G33" s="53">
        <v>31502.68</v>
      </c>
      <c r="H33" s="58">
        <v>14528</v>
      </c>
      <c r="I33" s="57">
        <v>126077</v>
      </c>
      <c r="J33" s="57">
        <v>48530940</v>
      </c>
      <c r="K33" s="54"/>
      <c r="L33" s="77"/>
      <c r="N33" s="32"/>
      <c r="O33" s="32"/>
    </row>
    <row r="34" spans="1:16" s="14" customFormat="1" ht="12.95" customHeight="1" x14ac:dyDescent="0.25">
      <c r="A34" s="31">
        <f t="shared" si="0"/>
        <v>44404</v>
      </c>
      <c r="B34" s="53"/>
      <c r="C34" s="61"/>
      <c r="D34" s="15"/>
      <c r="E34" s="64"/>
      <c r="F34" s="55"/>
      <c r="G34" s="53"/>
      <c r="H34" s="58"/>
      <c r="I34" s="53"/>
      <c r="J34" s="53"/>
      <c r="K34" s="54"/>
      <c r="L34" s="77"/>
      <c r="N34" s="32"/>
      <c r="P34" s="32"/>
    </row>
    <row r="35" spans="1:16" s="14" customFormat="1" ht="12.95" customHeight="1" x14ac:dyDescent="0.25">
      <c r="A35" s="31">
        <f>A34+1</f>
        <v>44405</v>
      </c>
      <c r="B35" s="58"/>
      <c r="C35" s="59"/>
      <c r="D35" s="15"/>
      <c r="E35" s="55"/>
      <c r="F35" s="55"/>
      <c r="G35" s="51"/>
      <c r="H35" s="58"/>
      <c r="I35" s="58"/>
      <c r="J35" s="58"/>
      <c r="K35" s="54"/>
      <c r="L35" s="77"/>
      <c r="M35" s="32"/>
      <c r="N35" s="32"/>
      <c r="O35" s="32"/>
    </row>
    <row r="36" spans="1:16" x14ac:dyDescent="0.25">
      <c r="A36" s="67">
        <f t="shared" si="0"/>
        <v>44406</v>
      </c>
      <c r="B36" s="58"/>
      <c r="C36" s="59"/>
      <c r="D36" s="15"/>
      <c r="E36" s="55"/>
      <c r="F36" s="55"/>
      <c r="G36" s="51"/>
      <c r="H36" s="58"/>
      <c r="I36" s="58"/>
      <c r="J36" s="58"/>
      <c r="K36" s="54"/>
      <c r="L36" s="77"/>
    </row>
    <row r="37" spans="1:16" x14ac:dyDescent="0.25">
      <c r="A37" s="67">
        <f t="shared" si="0"/>
        <v>44407</v>
      </c>
      <c r="B37" s="58"/>
      <c r="C37" s="59"/>
      <c r="D37" s="15"/>
      <c r="E37" s="55"/>
      <c r="F37" s="55"/>
      <c r="G37" s="51"/>
      <c r="H37" s="58"/>
      <c r="I37" s="58"/>
      <c r="J37" s="58"/>
      <c r="K37" s="54"/>
      <c r="L37" s="77"/>
    </row>
    <row r="38" spans="1:16" ht="15.75" thickBot="1" x14ac:dyDescent="0.3">
      <c r="A38" s="68">
        <f t="shared" si="0"/>
        <v>44408</v>
      </c>
      <c r="B38" s="69"/>
      <c r="C38" s="70"/>
      <c r="D38" s="71"/>
      <c r="E38" s="72"/>
      <c r="F38" s="72"/>
      <c r="G38" s="73"/>
      <c r="H38" s="69"/>
      <c r="I38" s="69"/>
      <c r="J38" s="69"/>
      <c r="K38" s="79"/>
      <c r="L38" s="80"/>
    </row>
    <row r="39" spans="1:16" s="46" customFormat="1" ht="15" customHeight="1" x14ac:dyDescent="0.25">
      <c r="A39" s="33" t="s">
        <v>35</v>
      </c>
      <c r="B39" s="25">
        <f t="shared" ref="B39:J39" si="5">B38-B7</f>
        <v>-826409</v>
      </c>
      <c r="C39" s="25">
        <f t="shared" si="5"/>
        <v>-984997</v>
      </c>
      <c r="D39" s="25">
        <f t="shared" si="5"/>
        <v>-0.78</v>
      </c>
      <c r="E39" s="25">
        <f t="shared" si="5"/>
        <v>-2074.04</v>
      </c>
      <c r="F39" s="25">
        <f t="shared" si="5"/>
        <v>-3748.56</v>
      </c>
      <c r="G39" s="25">
        <f t="shared" si="5"/>
        <v>-30848.26</v>
      </c>
      <c r="H39" s="25">
        <f t="shared" si="5"/>
        <v>-14528</v>
      </c>
      <c r="I39" s="25">
        <f t="shared" si="5"/>
        <v>-123652</v>
      </c>
      <c r="J39" s="25">
        <f t="shared" si="5"/>
        <v>-47602896</v>
      </c>
      <c r="K39" s="25">
        <f>SUM(K7:K38)</f>
        <v>0</v>
      </c>
      <c r="L39" s="18"/>
    </row>
    <row r="40" spans="1:16" ht="15" customHeight="1" x14ac:dyDescent="0.25">
      <c r="C40" s="25"/>
      <c r="E40" s="20"/>
      <c r="F40" s="20"/>
      <c r="G40" s="20"/>
      <c r="H40" s="17">
        <f>H39*219.969</f>
        <v>-3195709.6319999998</v>
      </c>
      <c r="I40" s="25">
        <f>I39*219.969</f>
        <v>-27199606.787999999</v>
      </c>
      <c r="J40" s="20"/>
    </row>
    <row r="41" spans="1:16" x14ac:dyDescent="0.25">
      <c r="C41" s="20"/>
    </row>
    <row r="42" spans="1:16" x14ac:dyDescent="0.25">
      <c r="J42" s="47"/>
    </row>
    <row r="43" spans="1:16" x14ac:dyDescent="0.25">
      <c r="C43" s="48"/>
      <c r="I43" s="47"/>
    </row>
    <row r="50" spans="9:9" x14ac:dyDescent="0.25">
      <c r="I50" s="20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7 - 2021</vt:lpstr>
      <vt:lpstr>'7 - 2021'!Print_Area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2021-07-26T05:07:07Z</dcterms:modified>
</cp:coreProperties>
</file>