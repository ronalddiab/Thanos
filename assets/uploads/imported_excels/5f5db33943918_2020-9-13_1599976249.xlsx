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L11" i="31" l="1"/>
  <c r="I11" i="31"/>
  <c r="G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<sst xmlns="http://schemas.openxmlformats.org/spreadsheetml/2006/main" count="63" uniqueCount="30">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</sst>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36820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36851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85000</v>
      </c>
      <c r="J3" s="10">
        <v>3.61E-2</v>
      </c>
      <c r="K3" s="1">
        <f>'Sept 2020'!I6</f>
        <v>278</v>
      </c>
      <c r="L3" s="10">
        <v>0.75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37629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87000</v>
      </c>
      <c r="J4" s="10">
        <v>3.61E-2</v>
      </c>
      <c r="K4" s="1">
        <f>'Sept 2020'!I7</f>
        <v>221</v>
      </c>
      <c r="L4" s="10">
        <v>0.75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35863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89000</v>
      </c>
      <c r="J5" s="10">
        <v>3.61E-2</v>
      </c>
      <c r="K5" s="1">
        <f>'Sept 2020'!I8</f>
        <v>256</v>
      </c>
      <c r="L5" s="10">
        <v>0.75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37479</v>
      </c>
      <c r="F6" s="10">
        <v>2.9000000000000001E-2</v>
      </c>
      <c r="G6" s="1">
        <f>'Sept 2020'!J9</f>
        <v>2970</v>
      </c>
      <c r="H6" s="10">
        <v>0.112</v>
      </c>
      <c r="I6" s="1">
        <f>'Sept 2020'!G9*1000</f>
        <v>89000</v>
      </c>
      <c r="J6" s="10">
        <v>3.61E-2</v>
      </c>
      <c r="K6" s="1">
        <f>'Sept 2020'!I9</f>
        <v>276</v>
      </c>
      <c r="L6" s="10">
        <v>0.75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36160</v>
      </c>
      <c r="F7" s="10">
        <v>2.9000000000000001E-2</v>
      </c>
      <c r="G7" s="1">
        <v>2970</v>
      </c>
      <c r="H7" s="10">
        <v>0.112</v>
      </c>
      <c r="I7" s="1">
        <f>'Sept 2020'!G10*1000</f>
        <v>87000</v>
      </c>
      <c r="J7" s="10">
        <v>3.61E-2</v>
      </c>
      <c r="K7" s="1">
        <f>'Sept 2020'!I10</f>
        <v>197</v>
      </c>
      <c r="L7" s="10">
        <v>0.75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36160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81000</v>
      </c>
      <c r="J8" s="10">
        <v>3.61E-2</v>
      </c>
      <c r="K8" s="1">
        <f>'Sept 2020'!I11</f>
        <v>181</v>
      </c>
      <c r="L8" s="10">
        <v>0.75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34727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73000</v>
      </c>
      <c r="J9" s="10">
        <v>3.61E-2</v>
      </c>
      <c r="K9" s="1">
        <f>'Sept 2020'!I12</f>
        <v>202</v>
      </c>
      <c r="L9" s="10">
        <v>0.75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35282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75000</v>
      </c>
      <c r="J10" s="10">
        <v>3.61E-2</v>
      </c>
      <c r="K10" s="1">
        <f>'Sept 2020'!I13</f>
        <v>137</v>
      </c>
      <c r="L10" s="10">
        <v>0.75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36479</v>
      </c>
      <c r="F11" s="10">
        <v>2.9000000000000001E-2</v>
      </c>
      <c r="G11" s="1">
        <f>'Sept 2020'!J14</f>
        <v>2970</v>
      </c>
      <c r="H11" s="10">
        <v>0.112</v>
      </c>
      <c r="I11" s="1">
        <f>'Sept 2020'!G14*1000</f>
        <v>82000</v>
      </c>
      <c r="J11" s="10">
        <v>3.61E-2</v>
      </c>
      <c r="K11" s="1">
        <f>'Sept 2020'!I14</f>
        <v>270</v>
      </c>
      <c r="L11" s="10">
        <v>0.75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35498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81000</v>
      </c>
      <c r="J12" s="10">
        <v>3.61E-2</v>
      </c>
      <c r="K12" s="1">
        <f>'Sept 2020'!I15</f>
        <v>244</v>
      </c>
      <c r="L12" s="10">
        <v>0.75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36195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86000</v>
      </c>
      <c r="J13" s="10">
        <v>3.61E-2</v>
      </c>
      <c r="K13" s="1">
        <f>'Sept 2020'!I16</f>
        <v>197</v>
      </c>
      <c r="L13" s="10">
        <v>0.75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0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0</v>
      </c>
      <c r="J14" s="10">
        <v>3.61E-2</v>
      </c>
      <c r="K14" s="1">
        <f>'Sept 2020'!I17</f>
        <v>0</v>
      </c>
      <c r="L14" s="10">
        <v>0.75</v>
      </c>
      <c r="M14" s="10">
        <f>'Sept 2020'!L17</f>
        <v>0</v>
      </c>
      <c r="N14" s="10">
        <v>0.56299999999999994</v>
      </c>
      <c r="O14" s="15">
        <f>'Sept 2020'!D17</f>
        <v>0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0</v>
      </c>
      <c r="F15" s="10">
        <v>2.9000000000000001E-2</v>
      </c>
      <c r="G15" s="1">
        <f>'Sept 2020'!J18</f>
        <v>0</v>
      </c>
      <c r="H15" s="10">
        <v>0.112</v>
      </c>
      <c r="I15" s="1">
        <f>'Sept 2020'!G18*1000</f>
        <v>0</v>
      </c>
      <c r="J15" s="10">
        <v>3.61E-2</v>
      </c>
      <c r="K15" s="1">
        <f>'Sept 2020'!I18</f>
        <v>0</v>
      </c>
      <c r="L15" s="10">
        <v>0.75</v>
      </c>
      <c r="M15" s="10">
        <f>'Sept 2020'!L18</f>
        <v>0</v>
      </c>
      <c r="N15" s="10">
        <v>0.56299999999999994</v>
      </c>
      <c r="O15" s="15">
        <f>'Sept 2020'!D18</f>
        <v>0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0</v>
      </c>
      <c r="F16" s="10">
        <v>2.9000000000000001E-2</v>
      </c>
      <c r="G16" s="1">
        <f>'Sept 2020'!J19</f>
        <v>0</v>
      </c>
      <c r="H16" s="10">
        <v>0.112</v>
      </c>
      <c r="I16" s="1">
        <f>'Sept 2020'!G19*1000</f>
        <v>0</v>
      </c>
      <c r="J16" s="10">
        <v>3.61E-2</v>
      </c>
      <c r="K16" s="1">
        <f>'Sept 2020'!I19</f>
        <v>0</v>
      </c>
      <c r="L16" s="10">
        <v>0.75</v>
      </c>
      <c r="M16" s="10">
        <f>'Sept 2020'!L19</f>
        <v>0</v>
      </c>
      <c r="N16" s="10">
        <v>0.56299999999999994</v>
      </c>
      <c r="O16" s="15">
        <f>'Sept 2020'!D19</f>
        <v>0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0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0</v>
      </c>
      <c r="J17" s="10">
        <v>3.61E-2</v>
      </c>
      <c r="K17" s="1">
        <f>'Sept 2020'!I20</f>
        <v>0</v>
      </c>
      <c r="L17" s="10">
        <v>0.75</v>
      </c>
      <c r="M17" s="10">
        <f>'Sept 2020'!L20</f>
        <v>0</v>
      </c>
      <c r="N17" s="10">
        <v>0.56299999999999994</v>
      </c>
      <c r="O17" s="15">
        <f>'Sept 2020'!D20</f>
        <v>0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0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0</v>
      </c>
      <c r="J18" s="10">
        <v>3.61E-2</v>
      </c>
      <c r="K18" s="1">
        <f>'Sept 2020'!I21</f>
        <v>0</v>
      </c>
      <c r="L18" s="10">
        <v>0.75</v>
      </c>
      <c r="M18" s="10">
        <f>'Sept 2020'!L21</f>
        <v>0</v>
      </c>
      <c r="N18" s="10">
        <v>0.56299999999999994</v>
      </c>
      <c r="O18" s="15">
        <f>'Sept 2020'!D21</f>
        <v>0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0</v>
      </c>
      <c r="F19" s="10">
        <v>2.9000000000000001E-2</v>
      </c>
      <c r="G19" s="1">
        <f>'Sept 2020'!J22</f>
        <v>0</v>
      </c>
      <c r="H19" s="10">
        <v>0.112</v>
      </c>
      <c r="I19" s="1">
        <f>'Sept 2020'!G22*1000</f>
        <v>0</v>
      </c>
      <c r="J19" s="10">
        <v>3.61E-2</v>
      </c>
      <c r="K19" s="1">
        <f>'Sept 2020'!I22</f>
        <v>0</v>
      </c>
      <c r="L19" s="10">
        <v>0.75</v>
      </c>
      <c r="M19" s="10">
        <f>'Sept 2020'!L22</f>
        <v>0</v>
      </c>
      <c r="N19" s="10">
        <v>0.56299999999999994</v>
      </c>
      <c r="O19" s="15">
        <f>'Sept 2020'!D22</f>
        <v>0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0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0</v>
      </c>
      <c r="J20" s="10">
        <v>3.61E-2</v>
      </c>
      <c r="K20" s="1">
        <f>'Sept 2020'!I23</f>
        <v>0</v>
      </c>
      <c r="L20" s="10">
        <v>0.75</v>
      </c>
      <c r="M20" s="10">
        <f>'Sept 2020'!L23</f>
        <v>0</v>
      </c>
      <c r="N20" s="10">
        <v>0.56299999999999994</v>
      </c>
      <c r="O20" s="15">
        <f>'Sept 2020'!D23</f>
        <v>0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0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0</v>
      </c>
      <c r="J21" s="10">
        <v>3.61E-2</v>
      </c>
      <c r="K21" s="1">
        <f>'Sept 2020'!I24</f>
        <v>0</v>
      </c>
      <c r="L21" s="10">
        <v>0.75</v>
      </c>
      <c r="M21" s="10">
        <f>'Sept 2020'!L24</f>
        <v>0</v>
      </c>
      <c r="N21" s="10">
        <v>0.56299999999999994</v>
      </c>
      <c r="O21" s="15">
        <f>'Sept 2020'!D24</f>
        <v>0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0</v>
      </c>
      <c r="F22" s="10">
        <v>2.9000000000000001E-2</v>
      </c>
      <c r="G22" s="1">
        <f>'Sept 2020'!J25</f>
        <v>0</v>
      </c>
      <c r="H22" s="10">
        <v>0.112</v>
      </c>
      <c r="I22" s="1">
        <f>'Sept 2020'!G25*1000</f>
        <v>0</v>
      </c>
      <c r="J22" s="10">
        <v>3.61E-2</v>
      </c>
      <c r="K22" s="1">
        <f>'Sept 2020'!I25</f>
        <v>0</v>
      </c>
      <c r="L22" s="10">
        <v>0.75</v>
      </c>
      <c r="M22" s="10">
        <f>'Sept 2020'!L25</f>
        <v>0</v>
      </c>
      <c r="N22" s="10">
        <v>0.56299999999999994</v>
      </c>
      <c r="O22" s="15">
        <f>'Sept 2020'!D25</f>
        <v>0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0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0</v>
      </c>
      <c r="J23" s="10">
        <v>3.61E-2</v>
      </c>
      <c r="K23" s="1">
        <f>'Sept 2020'!I26</f>
        <v>0</v>
      </c>
      <c r="L23" s="10">
        <v>0.75</v>
      </c>
      <c r="M23" s="10">
        <f>'Sept 2020'!L26</f>
        <v>0</v>
      </c>
      <c r="N23" s="10">
        <v>0.56299999999999994</v>
      </c>
      <c r="O23" s="15">
        <f>'Sept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0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0</v>
      </c>
      <c r="J24" s="10">
        <v>3.61E-2</v>
      </c>
      <c r="K24" s="1">
        <f>'Sept 2020'!I27</f>
        <v>0</v>
      </c>
      <c r="L24" s="10">
        <v>0.75</v>
      </c>
      <c r="M24" s="10">
        <f>'Sept 2020'!L27</f>
        <v>0</v>
      </c>
      <c r="N24" s="10">
        <v>0.56299999999999994</v>
      </c>
      <c r="O24" s="15">
        <f>'Sept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0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0</v>
      </c>
      <c r="J25" s="10">
        <v>3.61E-2</v>
      </c>
      <c r="K25" s="1">
        <f>'Sept 2020'!I28</f>
        <v>0</v>
      </c>
      <c r="L25" s="10">
        <v>0.75</v>
      </c>
      <c r="M25" s="10">
        <f>'Sept 2020'!L28</f>
        <v>0</v>
      </c>
      <c r="N25" s="10">
        <v>0.56299999999999994</v>
      </c>
      <c r="O25" s="15">
        <f>'Sept 2020'!D28</f>
        <v>0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0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0</v>
      </c>
      <c r="J26" s="10">
        <v>3.61E-2</v>
      </c>
      <c r="K26" s="1">
        <f>'Sept 2020'!I29</f>
        <v>0</v>
      </c>
      <c r="L26" s="10">
        <v>0.75</v>
      </c>
      <c r="M26" s="10">
        <f>'Sept 2020'!L29</f>
        <v>0</v>
      </c>
      <c r="N26" s="10">
        <v>0.56299999999999994</v>
      </c>
      <c r="O26" s="15">
        <f>'Sept 2020'!D29</f>
        <v>0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0</v>
      </c>
      <c r="F27" s="10">
        <v>2.9000000000000001E-2</v>
      </c>
      <c r="G27" s="1">
        <f>'Sept 2020'!J30</f>
        <v>0</v>
      </c>
      <c r="H27" s="10">
        <v>0.112</v>
      </c>
      <c r="I27" s="1">
        <f>'Sept 2020'!G30*1000</f>
        <v>0</v>
      </c>
      <c r="J27" s="10">
        <v>3.61E-2</v>
      </c>
      <c r="K27" s="1">
        <f>'Sept 2020'!I30</f>
        <v>0</v>
      </c>
      <c r="L27" s="10">
        <v>0.75</v>
      </c>
      <c r="M27" s="10">
        <f>'Sept 2020'!L30</f>
        <v>0</v>
      </c>
      <c r="N27" s="10">
        <v>0.56299999999999994</v>
      </c>
      <c r="O27" s="15">
        <f>'Sept 2020'!D30</f>
        <v>0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0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0</v>
      </c>
      <c r="J28" s="10">
        <v>3.61E-2</v>
      </c>
      <c r="K28" s="1">
        <f>'Sept 2020'!I31</f>
        <v>0</v>
      </c>
      <c r="L28" s="10">
        <v>0.75</v>
      </c>
      <c r="M28" s="10">
        <f>'Sept 2020'!L31</f>
        <v>0</v>
      </c>
      <c r="N28" s="10">
        <v>0.56299999999999994</v>
      </c>
      <c r="O28" s="15">
        <f>'Sept 2020'!D31</f>
        <v>0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0</v>
      </c>
      <c r="F29" s="10">
        <v>2.9000000000000001E-2</v>
      </c>
      <c r="G29" s="1">
        <f>'Sept 2020'!J32</f>
        <v>0</v>
      </c>
      <c r="H29" s="10">
        <v>0.112</v>
      </c>
      <c r="I29" s="1">
        <f>'Sept 2020'!G32*1000</f>
        <v>0</v>
      </c>
      <c r="J29" s="10">
        <v>3.61E-2</v>
      </c>
      <c r="K29" s="1">
        <f>'Sept 2020'!I32</f>
        <v>0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0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0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0</v>
      </c>
      <c r="J30" s="10">
        <v>3.61E-2</v>
      </c>
      <c r="K30" s="1">
        <f>'Sept 2020'!I33</f>
        <v>0</v>
      </c>
      <c r="L30" s="10">
        <v>0.75</v>
      </c>
      <c r="M30" s="10">
        <f>'Sept 2020'!L33</f>
        <v>0</v>
      </c>
      <c r="N30" s="10">
        <v>0.56299999999999994</v>
      </c>
      <c r="O30" s="15">
        <f>'Sept 2020'!D33</f>
        <v>0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0</v>
      </c>
      <c r="F31" s="10">
        <v>2.9000000000000001E-2</v>
      </c>
      <c r="G31" s="1">
        <f>'Sept 2020'!J34</f>
        <v>0</v>
      </c>
      <c r="H31" s="10">
        <v>0.112</v>
      </c>
      <c r="I31" s="1">
        <f>'Sept 2020'!G34*1000</f>
        <v>0</v>
      </c>
      <c r="J31" s="10">
        <v>3.61E-2</v>
      </c>
      <c r="K31" s="1">
        <f>'Sept 2020'!I34</f>
        <v>0</v>
      </c>
      <c r="L31" s="10">
        <v>0.75</v>
      </c>
      <c r="M31" s="10">
        <f>'Sept 2020'!L34</f>
        <v>0</v>
      </c>
      <c r="N31" s="10">
        <v>0.56299999999999994</v>
      </c>
      <c r="O31" s="15">
        <f>'Sept 2020'!D34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A17" sqref="A17:XFD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36820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36851</v>
      </c>
      <c r="F6" s="4">
        <v>177206</v>
      </c>
      <c r="G6" s="8">
        <f t="shared" ref="G6:G16" si="0">F7-F6</f>
        <v>85</v>
      </c>
      <c r="H6" s="7">
        <v>406498</v>
      </c>
      <c r="I6" s="3">
        <f t="shared" ref="I6:I16" si="1">H7-H6</f>
        <v>278</v>
      </c>
      <c r="J6" s="3">
        <v>0</v>
      </c>
      <c r="K6" s="4">
        <v>248337</v>
      </c>
      <c r="L6" s="9">
        <f t="shared" ref="L6:L16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37629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35863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37479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36160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36160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34727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35282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36479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35498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36195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/>
      <c r="E17" s="12"/>
      <c r="F17" s="4">
        <v>178121</v>
      </c>
      <c r="G17" s="8"/>
      <c r="H17" s="7">
        <v>408957</v>
      </c>
      <c r="I17" s="3"/>
      <c r="J17" s="3">
        <v>0</v>
      </c>
      <c r="K17" s="4">
        <v>250966</v>
      </c>
      <c r="L17" s="9"/>
      <c r="N17" s="1"/>
    </row>
    <row r="18" spans="1:14" ht="13.5" customHeight="1" x14ac:dyDescent="0.2">
      <c r="B18" s="2">
        <v>14</v>
      </c>
      <c r="C18" s="11">
        <v>44088</v>
      </c>
      <c r="D18" s="7"/>
      <c r="E18" s="13"/>
      <c r="F18" s="4"/>
      <c r="G18" s="8"/>
      <c r="H18" s="1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44089</v>
      </c>
      <c r="D19" s="7"/>
      <c r="E19" s="13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44090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44091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44092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44093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44094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44095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44096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44097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44099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44100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44101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44102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44103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44104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2020-09-13T05:49:36Z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