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5CF741DE-0F87-4D38-BAC5-D5105C339C77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O5" i="4"/>
  <c r="O6" i="4"/>
  <c r="O7" i="4"/>
  <c r="O8" i="4"/>
  <c r="P8" i="4" s="1"/>
  <c r="O9" i="4"/>
  <c r="O10" i="4"/>
  <c r="P10" i="4" s="1"/>
  <c r="O11" i="4"/>
  <c r="P11" i="4" s="1"/>
  <c r="O12" i="4"/>
  <c r="P12" i="4" s="1"/>
  <c r="O13" i="4"/>
  <c r="O14" i="4"/>
  <c r="O15" i="4"/>
  <c r="O16" i="4"/>
  <c r="P16" i="4" s="1"/>
  <c r="O17" i="4"/>
  <c r="O18" i="4"/>
  <c r="P18" i="4" s="1"/>
  <c r="O19" i="4"/>
  <c r="P19" i="4" s="1"/>
  <c r="O20" i="4"/>
  <c r="P20" i="4" s="1"/>
  <c r="O21" i="4"/>
  <c r="O22" i="4"/>
  <c r="O23" i="4"/>
  <c r="O24" i="4"/>
  <c r="P24" i="4" s="1"/>
  <c r="O25" i="4"/>
  <c r="O26" i="4"/>
  <c r="P26" i="4" s="1"/>
  <c r="O27" i="4"/>
  <c r="P27" i="4" s="1"/>
  <c r="O28" i="4"/>
  <c r="P28" i="4" s="1"/>
  <c r="O29" i="4"/>
  <c r="O30" i="4"/>
  <c r="O31" i="4"/>
  <c r="O32" i="4"/>
  <c r="P32" i="4" s="1"/>
  <c r="O33" i="4"/>
  <c r="O34" i="4"/>
  <c r="P34" i="4" s="1"/>
  <c r="P5" i="4"/>
  <c r="P6" i="4"/>
  <c r="P7" i="4"/>
  <c r="P9" i="4"/>
  <c r="P13" i="4"/>
  <c r="P14" i="4"/>
  <c r="P15" i="4"/>
  <c r="P17" i="4"/>
  <c r="P21" i="4"/>
  <c r="P22" i="4"/>
  <c r="P23" i="4"/>
  <c r="P25" i="4"/>
  <c r="P29" i="4"/>
  <c r="P30" i="4"/>
  <c r="P31" i="4"/>
  <c r="P33" i="4"/>
  <c r="M48" i="4"/>
  <c r="P43" i="4"/>
  <c r="P4" i="4"/>
  <c r="X10" i="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L17" i="2" l="1"/>
  <c r="C16" i="6"/>
  <c r="N16" i="2"/>
  <c r="L16" i="2"/>
  <c r="C15" i="6"/>
  <c r="N40" i="2"/>
  <c r="M40" i="2"/>
  <c r="L40" i="2"/>
  <c r="F40" i="2"/>
  <c r="N39" i="2"/>
  <c r="M39" i="2"/>
  <c r="L39" i="2"/>
  <c r="F39" i="2"/>
  <c r="N38" i="2"/>
  <c r="M38" i="2"/>
  <c r="L38" i="2"/>
  <c r="F38" i="2"/>
  <c r="N37" i="2"/>
  <c r="M37" i="2"/>
  <c r="L37" i="2"/>
  <c r="F37" i="2"/>
  <c r="N36" i="2"/>
  <c r="M36" i="2"/>
  <c r="L36" i="2"/>
  <c r="F36" i="2"/>
  <c r="N35" i="2"/>
  <c r="M35" i="2"/>
  <c r="L35" i="2"/>
  <c r="F35" i="2"/>
  <c r="N34" i="2"/>
  <c r="M34" i="2"/>
  <c r="L34" i="2"/>
  <c r="F34" i="2"/>
  <c r="N33" i="2"/>
  <c r="M33" i="2"/>
  <c r="L33" i="2"/>
  <c r="F33" i="2"/>
  <c r="N32" i="2"/>
  <c r="M32" i="2"/>
  <c r="L32" i="2"/>
  <c r="F32" i="2"/>
  <c r="N31" i="2"/>
  <c r="M31" i="2"/>
  <c r="L31" i="2"/>
  <c r="F31" i="2"/>
  <c r="N30" i="2"/>
  <c r="M30" i="2"/>
  <c r="L30" i="2"/>
  <c r="F30" i="2"/>
  <c r="N29" i="2"/>
  <c r="M29" i="2"/>
  <c r="L29" i="2"/>
  <c r="F29" i="2"/>
  <c r="N28" i="2"/>
  <c r="M28" i="2"/>
  <c r="L28" i="2"/>
  <c r="F28" i="2"/>
  <c r="N27" i="2"/>
  <c r="M27" i="2"/>
  <c r="L27" i="2"/>
  <c r="F27" i="2"/>
  <c r="N26" i="2"/>
  <c r="M26" i="2"/>
  <c r="L26" i="2"/>
  <c r="F26" i="2"/>
  <c r="N25" i="2"/>
  <c r="M25" i="2"/>
  <c r="L25" i="2"/>
  <c r="F25" i="2"/>
  <c r="N24" i="2"/>
  <c r="M24" i="2"/>
  <c r="L24" i="2"/>
  <c r="F24" i="2"/>
  <c r="N23" i="2"/>
  <c r="M23" i="2"/>
  <c r="L23" i="2"/>
  <c r="F23" i="2"/>
  <c r="N22" i="2"/>
  <c r="M22" i="2"/>
  <c r="L22" i="2"/>
  <c r="F22" i="2"/>
  <c r="N21" i="2"/>
  <c r="M21" i="2"/>
  <c r="L21" i="2"/>
  <c r="F21" i="2"/>
  <c r="N20" i="2"/>
  <c r="M20" i="2"/>
  <c r="L20" i="2"/>
  <c r="F20" i="2"/>
  <c r="N19" i="2"/>
  <c r="M19" i="2"/>
  <c r="L19" i="2"/>
  <c r="F19" i="2"/>
  <c r="N18" i="2"/>
  <c r="J10" i="21" s="1"/>
  <c r="M18" i="2"/>
  <c r="L18" i="2"/>
  <c r="F18" i="2"/>
  <c r="N17" i="2"/>
  <c r="M17" i="2"/>
  <c r="M16" i="2"/>
  <c r="F16" i="2"/>
  <c r="F17" i="2"/>
  <c r="N15" i="2"/>
  <c r="M15" i="2"/>
  <c r="L15" i="2"/>
  <c r="F15" i="2"/>
  <c r="C14" i="6"/>
  <c r="N14" i="2"/>
  <c r="M14" i="2"/>
  <c r="L14" i="2"/>
  <c r="F14" i="2"/>
  <c r="C13" i="6"/>
  <c r="N13" i="2"/>
  <c r="M13" i="2"/>
  <c r="L13" i="2"/>
  <c r="F13" i="2"/>
  <c r="C12" i="6"/>
  <c r="N12" i="2"/>
  <c r="M12" i="2"/>
  <c r="L12" i="2"/>
  <c r="F12" i="2"/>
  <c r="C11" i="6"/>
  <c r="M4" i="4"/>
  <c r="M5" i="4"/>
  <c r="M6" i="4"/>
  <c r="M7" i="4"/>
  <c r="K10" i="6"/>
  <c r="N11" i="2" s="1"/>
  <c r="I10" i="6"/>
  <c r="M11" i="2" s="1"/>
  <c r="G10" i="6"/>
  <c r="L11" i="2" s="1"/>
  <c r="E10" i="6"/>
  <c r="F11" i="2" s="1"/>
  <c r="C10" i="6"/>
  <c r="N10" i="2"/>
  <c r="G2" i="21" s="1"/>
  <c r="M10" i="2"/>
  <c r="L10" i="2"/>
  <c r="F10" i="2"/>
  <c r="I2" i="22" s="1"/>
  <c r="B31" i="22"/>
  <c r="B32" i="22"/>
  <c r="B31" i="21"/>
  <c r="B32" i="21"/>
  <c r="H39" i="2"/>
  <c r="P40" i="4"/>
  <c r="P41" i="4"/>
  <c r="P42" i="4"/>
  <c r="H40" i="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0" i="2"/>
  <c r="H25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H29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 s="1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H10" i="2"/>
  <c r="Q44" i="4"/>
  <c r="AC44" i="4"/>
  <c r="K48" i="4" s="1"/>
  <c r="L48" i="4" s="1"/>
  <c r="L9" i="4"/>
  <c r="N9" i="4"/>
  <c r="AC43" i="4"/>
  <c r="I9" i="4"/>
  <c r="Q11" i="2" l="1"/>
  <c r="O18" i="2"/>
  <c r="H20" i="2"/>
  <c r="H21" i="2"/>
  <c r="H31" i="2"/>
  <c r="H17" i="2"/>
  <c r="G4" i="4"/>
  <c r="E4" i="4"/>
  <c r="C4" i="4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J19" i="21"/>
  <c r="O36" i="2"/>
  <c r="J20" i="21"/>
  <c r="J22" i="21"/>
  <c r="Q40" i="2"/>
  <c r="Q36" i="2"/>
  <c r="O38" i="2"/>
  <c r="J14" i="21"/>
  <c r="J16" i="2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J9" i="21"/>
  <c r="Q17" i="2"/>
  <c r="O10" i="2"/>
  <c r="J2" i="21"/>
  <c r="Q10" i="2"/>
  <c r="E2" i="22"/>
  <c r="H15" i="2"/>
  <c r="F41" i="2"/>
  <c r="O21" i="2"/>
  <c r="J13" i="2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C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Q14" i="2"/>
  <c r="O14" i="2"/>
  <c r="L8" i="4"/>
  <c r="N8" i="4" s="1"/>
  <c r="I4" i="4"/>
  <c r="L4" i="4"/>
  <c r="N4" i="4" s="1"/>
  <c r="N43" i="4" s="1"/>
  <c r="O43" i="4" s="1"/>
  <c r="M11" i="22" l="1"/>
  <c r="M24" i="22"/>
  <c r="M14" i="22"/>
  <c r="M13" i="22"/>
  <c r="M19" i="22"/>
  <c r="M21" i="22"/>
  <c r="M25" i="22"/>
  <c r="M9" i="22"/>
  <c r="M26" i="22"/>
  <c r="M22" i="22"/>
  <c r="M20" i="22"/>
  <c r="M10" i="22"/>
  <c r="M15" i="22"/>
  <c r="J8" i="21"/>
  <c r="M16" i="22"/>
  <c r="J18" i="21"/>
  <c r="J26" i="21"/>
  <c r="J15" i="21"/>
  <c r="J25" i="21"/>
  <c r="M18" i="22"/>
  <c r="M23" i="22"/>
  <c r="M17" i="22"/>
  <c r="M12" i="22"/>
  <c r="O15" i="2"/>
  <c r="Q15" i="2"/>
  <c r="O13" i="2"/>
  <c r="Q13" i="2"/>
  <c r="Q12" i="2"/>
  <c r="O12" i="2"/>
  <c r="M8" i="22"/>
  <c r="H16" i="2"/>
  <c r="H14" i="2"/>
  <c r="H13" i="2"/>
  <c r="H12" i="2"/>
  <c r="H11" i="2"/>
  <c r="O4" i="4"/>
  <c r="M3" i="22" l="1"/>
  <c r="Q41" i="2"/>
  <c r="O41" i="2"/>
  <c r="H41" i="2"/>
  <c r="V10" i="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<sst xmlns="http://schemas.openxmlformats.org/spreadsheetml/2006/main" count="500" uniqueCount="204">
  <si>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</si>
  <si>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</si>
  <si>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</si>
  <si>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</si>
  <si>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</si>
  <si>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</si>
  <si>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</si>
  <si>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</si>
  <si>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</si>
  <si>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</si>
  <si>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</si>
  <si>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</si>
  <si>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</si>
  <si>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</si>
  <si>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</si>
  <si>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</si>
  <si>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</si>
  <si>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</si>
  <si>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</si>
  <si>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</si>
  <si>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</si>
  <si>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</si>
  <si>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</si>
  <si>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</si>
  <si>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</si>
  <si>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</si>
  <si>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</si>
  <si>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</si>
  <si>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</si>
  <si>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</si>
  <si>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</si>
  <si>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</si>
  <si>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</si>
  <si>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</si>
  <si>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</si>
  <si>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</si>
  <si>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</si>
  <si>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</si>
  <si>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</si>
  <si>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</si>
  <si>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</si>
  <si>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</si>
  <si>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</si>
  <si>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</si>
  <si>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</si>
  <si>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</si>
  <si>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</si>
  <si>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</si>
  <si>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</si>
  <si>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</si>
  <si>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</si>
  <si>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</si>
  <si>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</si>
  <si>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</si>
  <si>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</si>
  <si>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</si>
  <si>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</si>
  <si>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</si>
  <si>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</si>
  <si>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</si>
  <si>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</si>
  <si>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</si>
  <si>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</si>
  <si>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</si>
  <si>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</si>
  <si>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</si>
  <si>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</si>
  <si>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</si>
  <si>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</si>
  <si>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</si>
  <si>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</si>
  <si>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</si>
  <si>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</si>
  <si>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</si>
  <si>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</si>
  <si>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</si>
  <si>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</si>
  <si>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</si>
  <si>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</si>
  <si>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</si>
  <si>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</si>
  <si>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</si>
  <si>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</si>
  <si>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</si>
  <si>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</si>
  <si>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</si>
  <si>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</si>
  <si>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</si>
  <si>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</si>
  <si>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</si>
  <si>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</si>
  <si>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</si>
  <si>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</si>
  <si>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</si>
  <si>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</si>
  <si>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</si>
  <si>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</si>
  <si>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</si>
  <si>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</si>
  <si>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</si>
  <si>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</si>
  <si>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</si>
  <si>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</si>
  <si>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</si>
  <si>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</si>
  <si>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</si>
  <si>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</si>
  <si>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</si>
  <si>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</si>
  <si>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</si>
  <si>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</si>
  <si>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</si>
  <si>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</si>
  <si>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</si>
  <si>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</si>
  <si>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</si>
  <si>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</si>
  <si>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</si>
  <si>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</si>
  <si>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</si>
  <si>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</si>
  <si>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</si>
  <si>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</si>
  <si>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</si>
  <si>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</si>
  <si>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</si>
  <si>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</si>
  <si>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</si>
  <si>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</si>
  <si>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</si>
  <si>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</si>
  <si>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</si>
  <si>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</si>
  <si>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</si>
  <si>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</si>
  <si>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</si>
  <si>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</si>
  <si>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</si>
  <si>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</si>
  <si>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</si>
  <si>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</si>
  <si>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</si>
  <si>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</si>
  <si>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</si>
  <si>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</si>
  <si>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</si>
  <si>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</si>
  <si>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</si>
  <si>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</si>
  <si>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</si>
  <si>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</si>
  <si>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</si>
  <si>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</si>
  <si>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</si>
  <si>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</si>
  <si>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</si>
  <si>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</si>
  <si>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</si>
  <si>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</si>
  <si>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</si>
  <si>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</si>
  <si>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</si>
  <si>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</si>
  <si>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</si>
  <si>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</si>
  <si>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</si>
  <si>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</si>
  <si>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</si>
  <si>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</si>
  <si>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</si>
  <si>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</si>
  <si>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</si>
  <si>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</si>
  <si>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</si>
  <si>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</si>
  <si>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</si>
  <si>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</si>
  <si>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</si>
  <si>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</si>
  <si>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</si>
  <si>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</si>
  <si>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</si>
  <si>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522652  </t>
  </si>
  <si>
    <t>électricité en DH HT</t>
  </si>
  <si>
    <t>2 409 951 822</t>
  </si>
  <si>
    <t>278 597 258</t>
  </si>
  <si>
    <t>3 487 476 564</t>
  </si>
  <si>
    <t>3 872 201 852</t>
  </si>
  <si>
    <t>4 911 719 801</t>
  </si>
  <si>
    <t>6 329 563 352</t>
  </si>
  <si>
    <t>654 067 568</t>
  </si>
  <si>
    <t>6 896 504 079</t>
  </si>
  <si>
    <t>L'eau en M3</t>
  </si>
  <si>
    <t>L'eau en DH HT</t>
  </si>
  <si>
    <t>15198,6</t>
  </si>
  <si>
    <t>25948,8</t>
  </si>
  <si>
    <t>38602,8</t>
  </si>
  <si>
    <t>40027,8</t>
  </si>
  <si>
    <t>57253,2</t>
  </si>
  <si>
    <t>53411,4</t>
  </si>
  <si>
    <t>48235,8</t>
  </si>
  <si>
    <t>52066,2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</si>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</sst>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23" fillId="2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31" borderId="10" xfId="0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0" fontId="23" fillId="31" borderId="0" xfId="0" applyFont="1" applyFill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  <c:pt idx="26">
                  <c:v>153</c:v>
                </c:pt>
                <c:pt idx="27">
                  <c:v>161</c:v>
                </c:pt>
                <c:pt idx="28">
                  <c:v>149</c:v>
                </c:pt>
                <c:pt idx="29">
                  <c:v>166</c:v>
                </c:pt>
                <c:pt idx="30">
                  <c:v>169</c:v>
                </c:pt>
                <c:pt idx="3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  <c:pt idx="26">
                  <c:v>4450</c:v>
                </c:pt>
                <c:pt idx="27">
                  <c:v>3883</c:v>
                </c:pt>
                <c:pt idx="28">
                  <c:v>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  <c:pt idx="26">
                  <c:v>6089</c:v>
                </c:pt>
                <c:pt idx="27">
                  <c:v>6047</c:v>
                </c:pt>
                <c:pt idx="28">
                  <c:v>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  <c:pt idx="26">
                  <c:v>3014</c:v>
                </c:pt>
                <c:pt idx="27">
                  <c:v>3015</c:v>
                </c:pt>
                <c:pt idx="28">
                  <c:v>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543.98657000000003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447.98894000000001</c:v>
                </c:pt>
                <c:pt idx="26">
                  <c:v>863.97867000000008</c:v>
                </c:pt>
                <c:pt idx="27">
                  <c:v>575.98577999999998</c:v>
                </c:pt>
                <c:pt idx="28">
                  <c:v>543.98657000000003</c:v>
                </c:pt>
                <c:pt idx="29">
                  <c:v>735.98183000000006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35</xdr:row>
      <xdr:rowOff>28575</xdr:rowOff>
    </xdr:from>
    <xdr:to>
      <xdr:col>14</xdr:col>
      <xdr:colOff>190500</xdr:colOff>
      <xdr:row>58</xdr:row>
      <xdr:rowOff>133350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  <a:ext uri="{147F2762-F138-4A5C-976F-8EAC2B608ADB}">
              <a16:predDERef xmlns:a16="http://schemas.microsoft.com/office/drawing/2014/main" pre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tabSelected="1" workbookViewId="0">
      <selection activeCell="K2" sqref="K2:K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12</v>
      </c>
      <c r="D2" s="141">
        <v>2022</v>
      </c>
      <c r="E2" s="137">
        <f>submetering!E2+submetering!F2+submetering!G2</f>
        <v>13281</v>
      </c>
      <c r="F2" s="134">
        <v>1.05</v>
      </c>
      <c r="G2" s="134">
        <f>'Consommation mensuel énergie'!V10</f>
        <v>351.99131</v>
      </c>
      <c r="H2" s="134">
        <v>12.53</v>
      </c>
      <c r="I2" s="134">
        <f>'Consommation mensuel énergie'!F10</f>
        <v>112.1</v>
      </c>
      <c r="J2" s="134">
        <v>11.4</v>
      </c>
      <c r="K2" s="137">
        <f>'Consommation mensuel énergie'!D10</f>
        <v>102</v>
      </c>
      <c r="L2" s="137">
        <f>'Consommation mensuel énergie'!E10</f>
        <v>145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12</v>
      </c>
      <c r="D3" s="141">
        <v>2022</v>
      </c>
      <c r="E3" s="137">
        <f>submetering!E3+submetering!F3+submetering!G3</f>
        <v>13765</v>
      </c>
      <c r="F3" s="134">
        <v>1.05</v>
      </c>
      <c r="G3" s="134">
        <f>'Consommation mensuel énergie'!V11</f>
        <v>223.99447000000001</v>
      </c>
      <c r="H3" s="134">
        <v>12.53</v>
      </c>
      <c r="I3" s="134">
        <f>'Consommation mensuel énergie'!F11</f>
        <v>125</v>
      </c>
      <c r="J3" s="134">
        <v>11.4</v>
      </c>
      <c r="K3" s="137">
        <f>'Consommation mensuel énergie'!D11</f>
        <v>80</v>
      </c>
      <c r="L3" s="137">
        <f>'Consommation mensuel énergie'!E11</f>
        <v>120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2022</v>
      </c>
      <c r="E4" s="137">
        <f>submetering!E4+submetering!F4+submetering!G4</f>
        <v>13502</v>
      </c>
      <c r="F4" s="134">
        <v>1.05</v>
      </c>
      <c r="G4" s="134">
        <f>'Consommation mensuel énergie'!V12</f>
        <v>479.98815000000002</v>
      </c>
      <c r="H4" s="134">
        <v>12.53</v>
      </c>
      <c r="I4" s="134">
        <f>'Consommation mensuel énergie'!F12</f>
        <v>122</v>
      </c>
      <c r="J4" s="134">
        <v>11.4</v>
      </c>
      <c r="K4" s="137">
        <f>'Consommation mensuel énergie'!D12</f>
        <v>86</v>
      </c>
      <c r="L4" s="137">
        <f>'Consommation mensuel énergie'!E12</f>
        <v>135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12</v>
      </c>
      <c r="D5" s="141">
        <v>2022</v>
      </c>
      <c r="E5" s="137">
        <f>submetering!E5+submetering!F5+submetering!G5</f>
        <v>13046</v>
      </c>
      <c r="F5" s="134">
        <v>1.05</v>
      </c>
      <c r="G5" s="134">
        <f>'Consommation mensuel énergie'!V13</f>
        <v>543.98657000000003</v>
      </c>
      <c r="H5" s="134">
        <v>12.53</v>
      </c>
      <c r="I5" s="134">
        <f>'Consommation mensuel énergie'!F13</f>
        <v>131</v>
      </c>
      <c r="J5" s="134">
        <v>11.4</v>
      </c>
      <c r="K5" s="137">
        <f>'Consommation mensuel énergie'!D13</f>
        <v>108</v>
      </c>
      <c r="L5" s="137">
        <f>'Consommation mensuel énergie'!E13</f>
        <v>142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12</v>
      </c>
      <c r="D6" s="141">
        <v>2022</v>
      </c>
      <c r="E6" s="137">
        <f>submetering!E6+submetering!F6+submetering!G6</f>
        <v>13133</v>
      </c>
      <c r="F6" s="134">
        <v>1.05</v>
      </c>
      <c r="G6" s="134">
        <f>'Consommation mensuel énergie'!V14</f>
        <v>255.99368000000001</v>
      </c>
      <c r="H6" s="134">
        <v>12.53</v>
      </c>
      <c r="I6" s="134">
        <f>'Consommation mensuel énergie'!F14</f>
        <v>122</v>
      </c>
      <c r="J6" s="134">
        <v>11.4</v>
      </c>
      <c r="K6" s="137">
        <f>'Consommation mensuel énergie'!D14</f>
        <v>105</v>
      </c>
      <c r="L6" s="137">
        <f>'Consommation mensuel énergie'!E14</f>
        <v>139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12</v>
      </c>
      <c r="D7" s="141">
        <v>2022</v>
      </c>
      <c r="E7" s="137">
        <f>submetering!E7+submetering!F7+submetering!G7</f>
        <v>12619</v>
      </c>
      <c r="F7" s="134">
        <v>1.05</v>
      </c>
      <c r="G7" s="134">
        <f>'Consommation mensuel énergie'!V15</f>
        <v>287.99288999999999</v>
      </c>
      <c r="H7" s="134">
        <v>12.53</v>
      </c>
      <c r="I7" s="134">
        <f>'Consommation mensuel énergie'!F15</f>
        <v>132</v>
      </c>
      <c r="J7" s="134">
        <v>11.4</v>
      </c>
      <c r="K7" s="137">
        <f>'Consommation mensuel énergie'!D15</f>
        <v>114</v>
      </c>
      <c r="L7" s="137">
        <f>'Consommation mensuel énergie'!E15</f>
        <v>154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12</v>
      </c>
      <c r="D8" s="141">
        <v>2022</v>
      </c>
      <c r="E8" s="137">
        <f>submetering!E8+submetering!F8+submetering!G8</f>
        <v>14152</v>
      </c>
      <c r="F8" s="134">
        <v>1.05</v>
      </c>
      <c r="G8" s="134">
        <f>'Consommation mensuel énergie'!V16</f>
        <v>1215.9699800000001</v>
      </c>
      <c r="H8" s="134">
        <v>12.53</v>
      </c>
      <c r="I8" s="134">
        <f>'Consommation mensuel énergie'!F16</f>
        <v>121</v>
      </c>
      <c r="J8" s="134">
        <v>11.4</v>
      </c>
      <c r="K8" s="137">
        <f>'Consommation mensuel énergie'!D16</f>
        <v>107</v>
      </c>
      <c r="L8" s="137">
        <f>'Consommation mensuel énergie'!E16</f>
        <v>141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12</v>
      </c>
      <c r="D9" s="141">
        <v>2022</v>
      </c>
      <c r="E9" s="137">
        <f>submetering!E9+submetering!F9+submetering!G9</f>
        <v>13927</v>
      </c>
      <c r="F9" s="134">
        <v>1.05</v>
      </c>
      <c r="G9" s="134">
        <f>'Consommation mensuel énergie'!V17</f>
        <v>351.99131</v>
      </c>
      <c r="H9" s="134">
        <v>12.53</v>
      </c>
      <c r="I9" s="134">
        <f>'Consommation mensuel énergie'!F17</f>
        <v>110</v>
      </c>
      <c r="J9" s="134">
        <v>11.4</v>
      </c>
      <c r="K9" s="137">
        <f>'Consommation mensuel énergie'!D17</f>
        <v>125</v>
      </c>
      <c r="L9" s="137">
        <f>'Consommation mensuel énergie'!E17</f>
        <v>174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12</v>
      </c>
      <c r="D10" s="141">
        <v>2022</v>
      </c>
      <c r="E10" s="137">
        <f>submetering!E10+submetering!F10+submetering!G10</f>
        <v>14120</v>
      </c>
      <c r="F10" s="134">
        <v>1.05</v>
      </c>
      <c r="G10" s="134">
        <f>'Consommation mensuel énergie'!V18</f>
        <v>255.99368000000001</v>
      </c>
      <c r="H10" s="134">
        <v>12.53</v>
      </c>
      <c r="I10" s="134">
        <f>'Consommation mensuel énergie'!F18</f>
        <v>141</v>
      </c>
      <c r="J10" s="134">
        <v>11.4</v>
      </c>
      <c r="K10" s="137">
        <f>'Consommation mensuel énergie'!D18</f>
        <v>96</v>
      </c>
      <c r="L10" s="137">
        <f>'Consommation mensuel énergie'!E18</f>
        <v>135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12</v>
      </c>
      <c r="D11" s="141">
        <v>2022</v>
      </c>
      <c r="E11" s="137">
        <f>submetering!E11+submetering!F11+submetering!G11</f>
        <v>15645</v>
      </c>
      <c r="F11" s="134">
        <v>1.05</v>
      </c>
      <c r="G11" s="134">
        <f>'Consommation mensuel énergie'!V19</f>
        <v>383.99052</v>
      </c>
      <c r="H11" s="134">
        <v>12.53</v>
      </c>
      <c r="I11" s="134">
        <f>'Consommation mensuel énergie'!F19</f>
        <v>129</v>
      </c>
      <c r="J11" s="134">
        <v>11.4</v>
      </c>
      <c r="K11" s="137">
        <f>'Consommation mensuel énergie'!D19</f>
        <v>77</v>
      </c>
      <c r="L11" s="137">
        <f>'Consommation mensuel énergie'!E19</f>
        <v>124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12</v>
      </c>
      <c r="D12" s="141">
        <v>2022</v>
      </c>
      <c r="E12" s="137">
        <f>submetering!E12+submetering!F12+submetering!G12</f>
        <v>14067</v>
      </c>
      <c r="F12" s="134">
        <v>1.05</v>
      </c>
      <c r="G12" s="134">
        <f>'Consommation mensuel énergie'!V20</f>
        <v>383.99052</v>
      </c>
      <c r="H12" s="134">
        <v>12.53</v>
      </c>
      <c r="I12" s="134">
        <f>'Consommation mensuel énergie'!F20</f>
        <v>114</v>
      </c>
      <c r="J12" s="134">
        <v>11.4</v>
      </c>
      <c r="K12" s="137">
        <f>'Consommation mensuel énergie'!D20</f>
        <v>66</v>
      </c>
      <c r="L12" s="137">
        <f>'Consommation mensuel énergie'!E20</f>
        <v>93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12</v>
      </c>
      <c r="D13" s="141">
        <v>2022</v>
      </c>
      <c r="E13" s="137">
        <f>submetering!E13+submetering!F13+submetering!G13</f>
        <v>12381</v>
      </c>
      <c r="F13" s="134">
        <v>1.05</v>
      </c>
      <c r="G13" s="134">
        <f>'Consommation mensuel énergie'!V21</f>
        <v>255.99368000000001</v>
      </c>
      <c r="H13" s="134">
        <v>12.53</v>
      </c>
      <c r="I13" s="134">
        <f>'Consommation mensuel énergie'!F21</f>
        <v>120</v>
      </c>
      <c r="J13" s="134">
        <v>11.4</v>
      </c>
      <c r="K13" s="137">
        <f>'Consommation mensuel énergie'!D21</f>
        <v>106</v>
      </c>
      <c r="L13" s="137">
        <f>'Consommation mensuel énergie'!E21</f>
        <v>137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12</v>
      </c>
      <c r="D14" s="141">
        <v>2022</v>
      </c>
      <c r="E14" s="137">
        <f>submetering!E14+submetering!F14+submetering!G14</f>
        <v>14829</v>
      </c>
      <c r="F14" s="134">
        <v>1.05</v>
      </c>
      <c r="G14" s="134">
        <f>'Consommation mensuel énergie'!V22</f>
        <v>479.98815000000002</v>
      </c>
      <c r="H14" s="134">
        <v>12.53</v>
      </c>
      <c r="I14" s="134">
        <f>'Consommation mensuel énergie'!F22</f>
        <v>89</v>
      </c>
      <c r="J14" s="134">
        <v>11.4</v>
      </c>
      <c r="K14" s="137">
        <f>'Consommation mensuel énergie'!D22</f>
        <v>132</v>
      </c>
      <c r="L14" s="137">
        <f>'Consommation mensuel énergie'!E22</f>
        <v>159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12</v>
      </c>
      <c r="D15" s="141">
        <v>2022</v>
      </c>
      <c r="E15" s="137">
        <f>submetering!E15+submetering!F15+submetering!G15</f>
        <v>14188</v>
      </c>
      <c r="F15" s="134">
        <v>1.05</v>
      </c>
      <c r="G15" s="134">
        <f>'Consommation mensuel énergie'!V23</f>
        <v>511.98736000000002</v>
      </c>
      <c r="H15" s="134">
        <v>12.53</v>
      </c>
      <c r="I15" s="134">
        <f>'Consommation mensuel énergie'!F23</f>
        <v>116</v>
      </c>
      <c r="J15" s="134">
        <v>11.4</v>
      </c>
      <c r="K15" s="137">
        <f>'Consommation mensuel énergie'!D23</f>
        <v>98</v>
      </c>
      <c r="L15" s="137">
        <f>'Consommation mensuel énergie'!E23</f>
        <v>134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12</v>
      </c>
      <c r="D16" s="141">
        <v>2022</v>
      </c>
      <c r="E16" s="137">
        <f>submetering!E16+submetering!F16+submetering!G16</f>
        <v>14640</v>
      </c>
      <c r="F16" s="134">
        <v>1.05</v>
      </c>
      <c r="G16" s="134">
        <f>'Consommation mensuel énergie'!V24</f>
        <v>127.99684000000001</v>
      </c>
      <c r="H16" s="134">
        <v>12.53</v>
      </c>
      <c r="I16" s="134">
        <f>'Consommation mensuel énergie'!F24</f>
        <v>116</v>
      </c>
      <c r="J16" s="134">
        <v>11.4</v>
      </c>
      <c r="K16" s="137">
        <f>'Consommation mensuel énergie'!D24</f>
        <v>73</v>
      </c>
      <c r="L16" s="137">
        <f>'Consommation mensuel énergie'!E24</f>
        <v>109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12</v>
      </c>
      <c r="D17" s="141">
        <v>2022</v>
      </c>
      <c r="E17" s="137">
        <f>submetering!E17+submetering!F17+submetering!G17</f>
        <v>13662</v>
      </c>
      <c r="F17" s="134">
        <v>1.05</v>
      </c>
      <c r="G17" s="134">
        <f>'Consommation mensuel énergie'!V25</f>
        <v>511.98736000000002</v>
      </c>
      <c r="H17" s="134">
        <v>12.53</v>
      </c>
      <c r="I17" s="134">
        <f>'Consommation mensuel énergie'!F25</f>
        <v>127</v>
      </c>
      <c r="J17" s="134">
        <v>11.4</v>
      </c>
      <c r="K17" s="137">
        <f>'Consommation mensuel énergie'!D25</f>
        <v>103</v>
      </c>
      <c r="L17" s="137">
        <f>'Consommation mensuel énergie'!E25</f>
        <v>172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12</v>
      </c>
      <c r="D18" s="141">
        <v>2022</v>
      </c>
      <c r="E18" s="137">
        <f>submetering!E18+submetering!F18+submetering!G18</f>
        <v>14963</v>
      </c>
      <c r="F18" s="134">
        <v>1.05</v>
      </c>
      <c r="G18" s="134">
        <f>'Consommation mensuel énergie'!V26</f>
        <v>447.98894000000001</v>
      </c>
      <c r="H18" s="134">
        <v>12.53</v>
      </c>
      <c r="I18" s="134">
        <f>'Consommation mensuel énergie'!F26</f>
        <v>83</v>
      </c>
      <c r="J18" s="134">
        <v>11.4</v>
      </c>
      <c r="K18" s="137">
        <f>'Consommation mensuel énergie'!D26</f>
        <v>102</v>
      </c>
      <c r="L18" s="137">
        <f>'Consommation mensuel énergie'!E26</f>
        <v>183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12</v>
      </c>
      <c r="D19" s="141">
        <v>2022</v>
      </c>
      <c r="E19" s="137">
        <f>submetering!E19+submetering!F19+submetering!G19</f>
        <v>13453</v>
      </c>
      <c r="F19" s="134">
        <v>1.05</v>
      </c>
      <c r="G19" s="134">
        <f>'Consommation mensuel énergie'!V27</f>
        <v>639.98419999999999</v>
      </c>
      <c r="H19" s="134">
        <v>12.53</v>
      </c>
      <c r="I19" s="134">
        <f>'Consommation mensuel énergie'!F27</f>
        <v>134</v>
      </c>
      <c r="J19" s="134">
        <v>11.4</v>
      </c>
      <c r="K19" s="137">
        <f>'Consommation mensuel énergie'!D27</f>
        <v>84</v>
      </c>
      <c r="L19" s="137">
        <f>'Consommation mensuel énergie'!E27</f>
        <v>134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12</v>
      </c>
      <c r="D20" s="141">
        <v>2022</v>
      </c>
      <c r="E20" s="137">
        <f>submetering!E20+submetering!F20+submetering!G20</f>
        <v>12916</v>
      </c>
      <c r="F20" s="134">
        <v>1.05</v>
      </c>
      <c r="G20" s="134">
        <f>'Consommation mensuel énergie'!V28</f>
        <v>575.98577999999998</v>
      </c>
      <c r="H20" s="134">
        <v>12.53</v>
      </c>
      <c r="I20" s="134">
        <f>'Consommation mensuel énergie'!F28</f>
        <v>96</v>
      </c>
      <c r="J20" s="134">
        <v>11.4</v>
      </c>
      <c r="K20" s="137">
        <f>'Consommation mensuel énergie'!D28</f>
        <v>95</v>
      </c>
      <c r="L20" s="137">
        <f>'Consommation mensuel énergie'!E28</f>
        <v>161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12</v>
      </c>
      <c r="D21" s="141">
        <v>2022</v>
      </c>
      <c r="E21" s="137">
        <f>submetering!E21+submetering!F21+submetering!G21</f>
        <v>13469</v>
      </c>
      <c r="F21" s="134">
        <v>1.05</v>
      </c>
      <c r="G21" s="134">
        <f>'Consommation mensuel énergie'!V29</f>
        <v>223.99447000000001</v>
      </c>
      <c r="H21" s="134">
        <v>12.53</v>
      </c>
      <c r="I21" s="134">
        <f>'Consommation mensuel énergie'!F29</f>
        <v>104</v>
      </c>
      <c r="J21" s="134">
        <v>11.4</v>
      </c>
      <c r="K21" s="137">
        <f>'Consommation mensuel énergie'!D29</f>
        <v>84</v>
      </c>
      <c r="L21" s="137">
        <f>'Consommation mensuel énergie'!E29</f>
        <v>136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12</v>
      </c>
      <c r="D22" s="141">
        <v>2022</v>
      </c>
      <c r="E22" s="137">
        <f>submetering!E22+submetering!F22+submetering!G22</f>
        <v>13315</v>
      </c>
      <c r="F22" s="134">
        <v>1.05</v>
      </c>
      <c r="G22" s="134">
        <f>'Consommation mensuel énergie'!V30</f>
        <v>287.99288999999999</v>
      </c>
      <c r="H22" s="134">
        <v>12.53</v>
      </c>
      <c r="I22" s="134">
        <f>'Consommation mensuel énergie'!F30</f>
        <v>147</v>
      </c>
      <c r="J22" s="134">
        <v>11.4</v>
      </c>
      <c r="K22" s="137">
        <f>'Consommation mensuel énergie'!D30</f>
        <v>94</v>
      </c>
      <c r="L22" s="137">
        <f>'Consommation mensuel énergie'!E30</f>
        <v>161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12</v>
      </c>
      <c r="D23" s="141">
        <v>2022</v>
      </c>
      <c r="E23" s="137">
        <f>submetering!E23+submetering!F23+submetering!G23</f>
        <v>13278</v>
      </c>
      <c r="F23" s="134">
        <v>1.05</v>
      </c>
      <c r="G23" s="134">
        <f>'Consommation mensuel énergie'!V31</f>
        <v>351.99131</v>
      </c>
      <c r="H23" s="134">
        <v>12.53</v>
      </c>
      <c r="I23" s="134">
        <f>'Consommation mensuel énergie'!F31</f>
        <v>120</v>
      </c>
      <c r="J23" s="134">
        <v>11.4</v>
      </c>
      <c r="K23" s="137">
        <f>'Consommation mensuel énergie'!D31</f>
        <v>88</v>
      </c>
      <c r="L23" s="137">
        <f>'Consommation mensuel énergie'!E31</f>
        <v>150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12</v>
      </c>
      <c r="D24" s="141">
        <v>2022</v>
      </c>
      <c r="E24" s="137">
        <f>submetering!E24+submetering!F24+submetering!G24</f>
        <v>13143</v>
      </c>
      <c r="F24" s="134">
        <v>1.05</v>
      </c>
      <c r="G24" s="134">
        <f>'Consommation mensuel énergie'!V32</f>
        <v>543.98657000000003</v>
      </c>
      <c r="H24" s="134">
        <v>12.53</v>
      </c>
      <c r="I24" s="134">
        <f>'Consommation mensuel énergie'!F32</f>
        <v>130</v>
      </c>
      <c r="J24" s="134">
        <v>11.4</v>
      </c>
      <c r="K24" s="137">
        <f>'Consommation mensuel énergie'!D32</f>
        <v>75</v>
      </c>
      <c r="L24" s="137">
        <f>'Consommation mensuel énergie'!E32</f>
        <v>136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12</v>
      </c>
      <c r="D25" s="141">
        <v>2022</v>
      </c>
      <c r="E25" s="137">
        <f>submetering!E25+submetering!F25+submetering!G25</f>
        <v>12621</v>
      </c>
      <c r="F25" s="134">
        <v>1.05</v>
      </c>
      <c r="G25" s="134">
        <f>'Consommation mensuel énergie'!V33</f>
        <v>863.97867000000008</v>
      </c>
      <c r="H25" s="134">
        <v>12.53</v>
      </c>
      <c r="I25" s="134">
        <f>'Consommation mensuel énergie'!F33</f>
        <v>117</v>
      </c>
      <c r="J25" s="134">
        <v>11.4</v>
      </c>
      <c r="K25" s="137">
        <f>'Consommation mensuel énergie'!D33</f>
        <v>120</v>
      </c>
      <c r="L25" s="137">
        <f>'Consommation mensuel énergie'!E33</f>
        <v>220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12</v>
      </c>
      <c r="D26" s="141">
        <v>2022</v>
      </c>
      <c r="E26" s="137">
        <f>submetering!E26+submetering!F26+submetering!G26</f>
        <v>12976</v>
      </c>
      <c r="F26" s="134">
        <v>1.05</v>
      </c>
      <c r="G26" s="134">
        <f>'Consommation mensuel énergie'!V34</f>
        <v>511.98736000000002</v>
      </c>
      <c r="H26" s="134">
        <v>12.53</v>
      </c>
      <c r="I26" s="134">
        <f>'Consommation mensuel énergie'!F34</f>
        <v>126</v>
      </c>
      <c r="J26" s="134">
        <v>11.4</v>
      </c>
      <c r="K26" s="137">
        <f>'Consommation mensuel énergie'!D34</f>
        <v>117</v>
      </c>
      <c r="L26" s="137">
        <f>'Consommation mensuel énergie'!E34</f>
        <v>221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2022</v>
      </c>
      <c r="E27" s="137">
        <f>submetering!E27+submetering!F27+submetering!G27</f>
        <v>13228</v>
      </c>
      <c r="F27" s="134">
        <v>1.05</v>
      </c>
      <c r="G27" s="134">
        <f>'Consommation mensuel énergie'!V35</f>
        <v>447.98894000000001</v>
      </c>
      <c r="H27" s="134">
        <v>12.53</v>
      </c>
      <c r="I27" s="134">
        <f>'Consommation mensuel énergie'!F35</f>
        <v>170</v>
      </c>
      <c r="J27" s="134">
        <v>11.4</v>
      </c>
      <c r="K27" s="137">
        <f>'Consommation mensuel énergie'!D35</f>
        <v>160</v>
      </c>
      <c r="L27" s="137">
        <f>'Consommation mensuel énergie'!E35</f>
        <v>297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12</v>
      </c>
      <c r="D28" s="141">
        <v>2022</v>
      </c>
      <c r="E28" s="137">
        <f>submetering!E28+submetering!F28+submetering!G28</f>
        <v>13553</v>
      </c>
      <c r="F28" s="134">
        <v>1.05</v>
      </c>
      <c r="G28" s="134">
        <f>'Consommation mensuel énergie'!V36</f>
        <v>863.97867000000008</v>
      </c>
      <c r="H28" s="134">
        <v>12.53</v>
      </c>
      <c r="I28" s="134">
        <f>'Consommation mensuel énergie'!F36</f>
        <v>153</v>
      </c>
      <c r="J28" s="134">
        <v>11.4</v>
      </c>
      <c r="K28" s="137">
        <f>'Consommation mensuel énergie'!D36</f>
        <v>151</v>
      </c>
      <c r="L28" s="137">
        <f>'Consommation mensuel énergie'!E36</f>
        <v>284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12</v>
      </c>
      <c r="D29" s="141">
        <v>2022</v>
      </c>
      <c r="E29" s="137">
        <f>submetering!E29+submetering!F29+submetering!G29</f>
        <v>12945</v>
      </c>
      <c r="F29" s="134">
        <v>1.05</v>
      </c>
      <c r="G29" s="134">
        <f>'Consommation mensuel énergie'!V37</f>
        <v>575.98577999999998</v>
      </c>
      <c r="H29" s="134">
        <v>12.53</v>
      </c>
      <c r="I29" s="134">
        <f>'Consommation mensuel énergie'!F37</f>
        <v>161</v>
      </c>
      <c r="J29" s="134">
        <v>11.4</v>
      </c>
      <c r="K29" s="137">
        <f>'Consommation mensuel énergie'!D37</f>
        <v>139</v>
      </c>
      <c r="L29" s="137">
        <f>'Consommation mensuel énergie'!E37</f>
        <v>258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12</v>
      </c>
      <c r="D30" s="141">
        <v>2022</v>
      </c>
      <c r="E30" s="137">
        <f>submetering!E30+submetering!F30+submetering!G30</f>
        <v>13324</v>
      </c>
      <c r="F30" s="134">
        <v>1.05</v>
      </c>
      <c r="G30" s="134">
        <f>'Consommation mensuel énergie'!V38</f>
        <v>543.98657000000003</v>
      </c>
      <c r="H30" s="134">
        <v>12.53</v>
      </c>
      <c r="I30" s="134">
        <f>'Consommation mensuel énergie'!F38</f>
        <v>149</v>
      </c>
      <c r="J30" s="134">
        <v>11.4</v>
      </c>
      <c r="K30" s="137">
        <f>'Consommation mensuel énergie'!D38</f>
        <v>131</v>
      </c>
      <c r="L30" s="137">
        <f>'Consommation mensuel énergie'!E38</f>
        <v>251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12</v>
      </c>
      <c r="D31" s="141">
        <v>2022</v>
      </c>
      <c r="E31" s="137">
        <f>submetering!E31+submetering!F31+submetering!G31</f>
        <v>13378</v>
      </c>
      <c r="F31" s="134">
        <v>1.05</v>
      </c>
      <c r="G31" s="134">
        <f>'Consommation mensuel énergie'!V39</f>
        <v>735.98183000000006</v>
      </c>
      <c r="H31" s="134">
        <v>12.53</v>
      </c>
      <c r="I31" s="134">
        <f>'Consommation mensuel énergie'!F39</f>
        <v>166</v>
      </c>
      <c r="J31" s="134">
        <v>11.4</v>
      </c>
      <c r="K31" s="137">
        <f>'Consommation mensuel énergie'!D39</f>
        <v>143</v>
      </c>
      <c r="L31" s="137">
        <f>'Consommation mensuel énergie'!E39</f>
        <v>284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12</v>
      </c>
      <c r="D32" s="141">
        <v>2022</v>
      </c>
      <c r="E32" s="137">
        <f>submetering!E32+submetering!F32+submetering!G32</f>
        <v>13426</v>
      </c>
      <c r="F32" s="134">
        <v>1.05</v>
      </c>
      <c r="G32" s="134">
        <f>'Consommation mensuel énergie'!V40</f>
        <v>639.98419999999999</v>
      </c>
      <c r="H32" s="134">
        <v>12.53</v>
      </c>
      <c r="I32" s="134">
        <f>'Consommation mensuel énergie'!F40</f>
        <v>169</v>
      </c>
      <c r="J32" s="134">
        <v>11.4</v>
      </c>
      <c r="K32" s="137">
        <f>'Consommation mensuel énergie'!D40</f>
        <v>152</v>
      </c>
      <c r="L32" s="137">
        <f>'Consommation mensuel énergie'!E40</f>
        <v>197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N31" sqref="N31:N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12</v>
      </c>
      <c r="D2" s="141">
        <v>2022</v>
      </c>
      <c r="E2" s="137">
        <f>'Consommation mensuel énergie'!L10</f>
        <v>4442</v>
      </c>
      <c r="F2" s="137">
        <f>'Consommation mensuel énergie'!M10</f>
        <v>5771</v>
      </c>
      <c r="G2" s="137">
        <f>'Consommation mensuel énergie'!N10</f>
        <v>3068</v>
      </c>
      <c r="H2" s="137">
        <f>'Consommation mensuel énergie'!D10</f>
        <v>102</v>
      </c>
      <c r="I2" s="137">
        <f>'Consommation mensuel énergie'!E10</f>
        <v>145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12</v>
      </c>
      <c r="D3" s="141">
        <v>2022</v>
      </c>
      <c r="E3" s="137">
        <f>'Consommation mensuel énergie'!L11</f>
        <v>4516</v>
      </c>
      <c r="F3" s="137">
        <f>'Consommation mensuel énergie'!M11</f>
        <v>6383</v>
      </c>
      <c r="G3" s="137">
        <f>'Consommation mensuel énergie'!N11</f>
        <v>2866</v>
      </c>
      <c r="H3" s="137">
        <f>'Consommation mensuel énergie'!D11</f>
        <v>80</v>
      </c>
      <c r="I3" s="137">
        <f>'Consommation mensuel énergie'!E11</f>
        <v>120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2022</v>
      </c>
      <c r="E4" s="137">
        <f>'Consommation mensuel énergie'!L12</f>
        <v>4355</v>
      </c>
      <c r="F4" s="137">
        <f>'Consommation mensuel énergie'!M12</f>
        <v>6149</v>
      </c>
      <c r="G4" s="137">
        <f>'Consommation mensuel énergie'!N12</f>
        <v>2998</v>
      </c>
      <c r="H4" s="137">
        <f>'Consommation mensuel énergie'!D12</f>
        <v>86</v>
      </c>
      <c r="I4" s="137">
        <f>'Consommation mensuel énergie'!E12</f>
        <v>135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12</v>
      </c>
      <c r="D5" s="141">
        <v>2022</v>
      </c>
      <c r="E5" s="137">
        <f>'Consommation mensuel énergie'!L13</f>
        <v>3999</v>
      </c>
      <c r="F5" s="137">
        <f>'Consommation mensuel énergie'!M13</f>
        <v>6195</v>
      </c>
      <c r="G5" s="137">
        <f>'Consommation mensuel énergie'!N13</f>
        <v>2852</v>
      </c>
      <c r="H5" s="137">
        <f>'Consommation mensuel énergie'!D13</f>
        <v>108</v>
      </c>
      <c r="I5" s="137">
        <f>'Consommation mensuel énergie'!E13</f>
        <v>142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12</v>
      </c>
      <c r="D6" s="141">
        <v>2022</v>
      </c>
      <c r="E6" s="137">
        <f>'Consommation mensuel énergie'!L14</f>
        <v>4096</v>
      </c>
      <c r="F6" s="137">
        <f>'Consommation mensuel énergie'!M14</f>
        <v>6082</v>
      </c>
      <c r="G6" s="137">
        <f>'Consommation mensuel énergie'!N14</f>
        <v>2955</v>
      </c>
      <c r="H6" s="137">
        <f>'Consommation mensuel énergie'!D14</f>
        <v>105</v>
      </c>
      <c r="I6" s="137">
        <f>'Consommation mensuel énergie'!E14</f>
        <v>139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12</v>
      </c>
      <c r="D7" s="141">
        <v>2022</v>
      </c>
      <c r="E7" s="137">
        <f>'Consommation mensuel énergie'!L15</f>
        <v>3949</v>
      </c>
      <c r="F7" s="137">
        <f>'Consommation mensuel énergie'!M15</f>
        <v>5925</v>
      </c>
      <c r="G7" s="137">
        <f>'Consommation mensuel énergie'!N15</f>
        <v>2745</v>
      </c>
      <c r="H7" s="137">
        <f>'Consommation mensuel énergie'!D15</f>
        <v>114</v>
      </c>
      <c r="I7" s="137">
        <f>'Consommation mensuel énergie'!E15</f>
        <v>154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12</v>
      </c>
      <c r="D8" s="141">
        <v>2022</v>
      </c>
      <c r="E8" s="137">
        <f>'Consommation mensuel énergie'!L16</f>
        <v>4297</v>
      </c>
      <c r="F8" s="137">
        <f>'Consommation mensuel énergie'!M16</f>
        <v>6773</v>
      </c>
      <c r="G8" s="137">
        <f>'Consommation mensuel énergie'!N16</f>
        <v>3082</v>
      </c>
      <c r="H8" s="137">
        <f>'Consommation mensuel énergie'!D16</f>
        <v>107</v>
      </c>
      <c r="I8" s="137">
        <f>'Consommation mensuel énergie'!E16</f>
        <v>141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12</v>
      </c>
      <c r="D9" s="141">
        <v>2022</v>
      </c>
      <c r="E9" s="137">
        <f>'Consommation mensuel énergie'!L17</f>
        <v>3957</v>
      </c>
      <c r="F9" s="137">
        <f>'Consommation mensuel énergie'!M17</f>
        <v>6853</v>
      </c>
      <c r="G9" s="137">
        <f>'Consommation mensuel énergie'!N17</f>
        <v>3117</v>
      </c>
      <c r="H9" s="137">
        <f>'Consommation mensuel énergie'!D17</f>
        <v>125</v>
      </c>
      <c r="I9" s="137">
        <f>'Consommation mensuel énergie'!E17</f>
        <v>174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12</v>
      </c>
      <c r="D10" s="141">
        <v>2022</v>
      </c>
      <c r="E10" s="137">
        <f>'Consommation mensuel énergie'!L18</f>
        <v>4428</v>
      </c>
      <c r="F10" s="137">
        <f>'Consommation mensuel énergie'!M18</f>
        <v>6569</v>
      </c>
      <c r="G10" s="137">
        <f>'Consommation mensuel énergie'!N18</f>
        <v>3123</v>
      </c>
      <c r="H10" s="137">
        <f>'Consommation mensuel énergie'!D18</f>
        <v>96</v>
      </c>
      <c r="I10" s="137">
        <f>'Consommation mensuel énergie'!E18</f>
        <v>135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12</v>
      </c>
      <c r="D11" s="141">
        <v>2022</v>
      </c>
      <c r="E11" s="137">
        <f>'Consommation mensuel énergie'!L19</f>
        <v>4757</v>
      </c>
      <c r="F11" s="137">
        <f>'Consommation mensuel énergie'!M19</f>
        <v>7543</v>
      </c>
      <c r="G11" s="137">
        <f>'Consommation mensuel énergie'!N19</f>
        <v>3345</v>
      </c>
      <c r="H11" s="137">
        <f>'Consommation mensuel énergie'!D19</f>
        <v>77</v>
      </c>
      <c r="I11" s="137">
        <f>'Consommation mensuel énergie'!E19</f>
        <v>124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12</v>
      </c>
      <c r="D12" s="141">
        <v>2022</v>
      </c>
      <c r="E12" s="137">
        <f>'Consommation mensuel énergie'!L20</f>
        <v>4074</v>
      </c>
      <c r="F12" s="137">
        <f>'Consommation mensuel énergie'!M20</f>
        <v>6459</v>
      </c>
      <c r="G12" s="137">
        <f>'Consommation mensuel énergie'!N20</f>
        <v>3534</v>
      </c>
      <c r="H12" s="137">
        <f>'Consommation mensuel énergie'!D20</f>
        <v>66</v>
      </c>
      <c r="I12" s="137">
        <f>'Consommation mensuel énergie'!E20</f>
        <v>93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12</v>
      </c>
      <c r="D13" s="141">
        <v>2022</v>
      </c>
      <c r="E13" s="137">
        <f>'Consommation mensuel énergie'!L21</f>
        <v>4146</v>
      </c>
      <c r="F13" s="137">
        <f>'Consommation mensuel énergie'!M21</f>
        <v>5509</v>
      </c>
      <c r="G13" s="137">
        <f>'Consommation mensuel énergie'!N21</f>
        <v>2726</v>
      </c>
      <c r="H13" s="137">
        <f>'Consommation mensuel énergie'!D21</f>
        <v>106</v>
      </c>
      <c r="I13" s="137">
        <f>'Consommation mensuel énergie'!E21</f>
        <v>137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12</v>
      </c>
      <c r="D14" s="141">
        <v>2022</v>
      </c>
      <c r="E14" s="137">
        <f>'Consommation mensuel énergie'!L22</f>
        <v>4395</v>
      </c>
      <c r="F14" s="137">
        <f>'Consommation mensuel énergie'!M22</f>
        <v>7225</v>
      </c>
      <c r="G14" s="137">
        <f>'Consommation mensuel énergie'!N22</f>
        <v>3209</v>
      </c>
      <c r="H14" s="137">
        <f>'Consommation mensuel énergie'!D22</f>
        <v>132</v>
      </c>
      <c r="I14" s="137">
        <f>'Consommation mensuel énergie'!E22</f>
        <v>159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12</v>
      </c>
      <c r="D15" s="141">
        <v>2022</v>
      </c>
      <c r="E15" s="137">
        <f>'Consommation mensuel énergie'!L23</f>
        <v>4130</v>
      </c>
      <c r="F15" s="137">
        <f>'Consommation mensuel énergie'!M23</f>
        <v>6810</v>
      </c>
      <c r="G15" s="137">
        <f>'Consommation mensuel énergie'!N23</f>
        <v>3248</v>
      </c>
      <c r="H15" s="137">
        <f>'Consommation mensuel énergie'!D23</f>
        <v>98</v>
      </c>
      <c r="I15" s="137">
        <f>'Consommation mensuel énergie'!E23</f>
        <v>134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12</v>
      </c>
      <c r="D16" s="141">
        <v>2022</v>
      </c>
      <c r="E16" s="137">
        <f>'Consommation mensuel énergie'!L24</f>
        <v>4236</v>
      </c>
      <c r="F16" s="137">
        <f>'Consommation mensuel énergie'!M24</f>
        <v>7337</v>
      </c>
      <c r="G16" s="137">
        <f>'Consommation mensuel énergie'!N24</f>
        <v>3067</v>
      </c>
      <c r="H16" s="137">
        <f>'Consommation mensuel énergie'!D24</f>
        <v>73</v>
      </c>
      <c r="I16" s="137">
        <f>'Consommation mensuel énergie'!E24</f>
        <v>109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12</v>
      </c>
      <c r="D17" s="141">
        <v>2022</v>
      </c>
      <c r="E17" s="137">
        <f>'Consommation mensuel énergie'!L25</f>
        <v>4539</v>
      </c>
      <c r="F17" s="137">
        <f>'Consommation mensuel énergie'!M25</f>
        <v>6253</v>
      </c>
      <c r="G17" s="137">
        <f>'Consommation mensuel énergie'!N25</f>
        <v>2870</v>
      </c>
      <c r="H17" s="137">
        <f>'Consommation mensuel énergie'!D25</f>
        <v>103</v>
      </c>
      <c r="I17" s="137">
        <f>'Consommation mensuel énergie'!E25</f>
        <v>172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12</v>
      </c>
      <c r="D18" s="141">
        <v>2022</v>
      </c>
      <c r="E18" s="137">
        <f>'Consommation mensuel énergie'!L26</f>
        <v>4444</v>
      </c>
      <c r="F18" s="137">
        <f>'Consommation mensuel énergie'!M26</f>
        <v>7200</v>
      </c>
      <c r="G18" s="137">
        <f>'Consommation mensuel énergie'!N26</f>
        <v>3319</v>
      </c>
      <c r="H18" s="137">
        <f>'Consommation mensuel énergie'!D26</f>
        <v>102</v>
      </c>
      <c r="I18" s="137">
        <f>'Consommation mensuel énergie'!E26</f>
        <v>183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12</v>
      </c>
      <c r="D19" s="141">
        <v>2022</v>
      </c>
      <c r="E19" s="137">
        <f>'Consommation mensuel énergie'!L27</f>
        <v>4381</v>
      </c>
      <c r="F19" s="137">
        <f>'Consommation mensuel énergie'!M27</f>
        <v>6017</v>
      </c>
      <c r="G19" s="137">
        <f>'Consommation mensuel énergie'!N27</f>
        <v>3055</v>
      </c>
      <c r="H19" s="137">
        <f>'Consommation mensuel énergie'!D27</f>
        <v>84</v>
      </c>
      <c r="I19" s="137">
        <f>'Consommation mensuel énergie'!E27</f>
        <v>134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12</v>
      </c>
      <c r="D20" s="141">
        <v>2022</v>
      </c>
      <c r="E20" s="137">
        <f>'Consommation mensuel énergie'!L28</f>
        <v>4126</v>
      </c>
      <c r="F20" s="137">
        <f>'Consommation mensuel énergie'!M28</f>
        <v>5975</v>
      </c>
      <c r="G20" s="137">
        <f>'Consommation mensuel énergie'!N28</f>
        <v>2815</v>
      </c>
      <c r="H20" s="137">
        <f>'Consommation mensuel énergie'!D28</f>
        <v>95</v>
      </c>
      <c r="I20" s="137">
        <f>'Consommation mensuel énergie'!E28</f>
        <v>161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12</v>
      </c>
      <c r="D21" s="141">
        <v>2022</v>
      </c>
      <c r="E21" s="137">
        <f>'Consommation mensuel énergie'!L29</f>
        <v>4056</v>
      </c>
      <c r="F21" s="137">
        <f>'Consommation mensuel énergie'!M29</f>
        <v>6460</v>
      </c>
      <c r="G21" s="137">
        <f>'Consommation mensuel énergie'!N29</f>
        <v>2953</v>
      </c>
      <c r="H21" s="137">
        <f>'Consommation mensuel énergie'!D29</f>
        <v>84</v>
      </c>
      <c r="I21" s="137">
        <f>'Consommation mensuel énergie'!E29</f>
        <v>136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12</v>
      </c>
      <c r="D22" s="141">
        <v>2022</v>
      </c>
      <c r="E22" s="137">
        <f>'Consommation mensuel énergie'!L30</f>
        <v>4159</v>
      </c>
      <c r="F22" s="137">
        <f>'Consommation mensuel énergie'!M30</f>
        <v>6153</v>
      </c>
      <c r="G22" s="137">
        <f>'Consommation mensuel énergie'!N30</f>
        <v>3003</v>
      </c>
      <c r="H22" s="137">
        <f>'Consommation mensuel énergie'!D30</f>
        <v>94</v>
      </c>
      <c r="I22" s="137">
        <f>'Consommation mensuel énergie'!E30</f>
        <v>161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12</v>
      </c>
      <c r="D23" s="141">
        <v>2022</v>
      </c>
      <c r="E23" s="137">
        <f>'Consommation mensuel énergie'!L31</f>
        <v>4066</v>
      </c>
      <c r="F23" s="137">
        <f>'Consommation mensuel énergie'!M31</f>
        <v>6178</v>
      </c>
      <c r="G23" s="137">
        <f>'Consommation mensuel énergie'!N31</f>
        <v>3034</v>
      </c>
      <c r="H23" s="137">
        <f>'Consommation mensuel énergie'!D31</f>
        <v>88</v>
      </c>
      <c r="I23" s="137">
        <f>'Consommation mensuel énergie'!E31</f>
        <v>150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12</v>
      </c>
      <c r="D24" s="141">
        <v>2022</v>
      </c>
      <c r="E24" s="137">
        <f>'Consommation mensuel énergie'!L32</f>
        <v>4181</v>
      </c>
      <c r="F24" s="137">
        <f>'Consommation mensuel énergie'!M32</f>
        <v>6121</v>
      </c>
      <c r="G24" s="137">
        <f>'Consommation mensuel énergie'!N32</f>
        <v>2841</v>
      </c>
      <c r="H24" s="137">
        <f>'Consommation mensuel énergie'!D32</f>
        <v>75</v>
      </c>
      <c r="I24" s="137">
        <f>'Consommation mensuel énergie'!E32</f>
        <v>136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12</v>
      </c>
      <c r="D25" s="141">
        <v>2022</v>
      </c>
      <c r="E25" s="137">
        <f>'Consommation mensuel énergie'!L33</f>
        <v>4012</v>
      </c>
      <c r="F25" s="137">
        <f>'Consommation mensuel énergie'!M33</f>
        <v>5920</v>
      </c>
      <c r="G25" s="137">
        <f>'Consommation mensuel énergie'!N33</f>
        <v>2689</v>
      </c>
      <c r="H25" s="137">
        <f>'Consommation mensuel énergie'!D33</f>
        <v>120</v>
      </c>
      <c r="I25" s="137">
        <f>'Consommation mensuel énergie'!E33</f>
        <v>220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12</v>
      </c>
      <c r="D26" s="141">
        <v>2022</v>
      </c>
      <c r="E26" s="137">
        <f>'Consommation mensuel énergie'!L34</f>
        <v>4041</v>
      </c>
      <c r="F26" s="137">
        <f>'Consommation mensuel énergie'!M34</f>
        <v>5901</v>
      </c>
      <c r="G26" s="137">
        <f>'Consommation mensuel énergie'!N34</f>
        <v>3034</v>
      </c>
      <c r="H26" s="137">
        <f>'Consommation mensuel énergie'!D34</f>
        <v>117</v>
      </c>
      <c r="I26" s="137">
        <f>'Consommation mensuel énergie'!E34</f>
        <v>221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2022</v>
      </c>
      <c r="E27" s="137">
        <f>'Consommation mensuel énergie'!L35</f>
        <v>4322</v>
      </c>
      <c r="F27" s="137">
        <f>'Consommation mensuel énergie'!M35</f>
        <v>5985</v>
      </c>
      <c r="G27" s="137">
        <f>'Consommation mensuel énergie'!N35</f>
        <v>2921</v>
      </c>
      <c r="H27" s="137">
        <f>'Consommation mensuel énergie'!D35</f>
        <v>160</v>
      </c>
      <c r="I27" s="137">
        <f>'Consommation mensuel énergie'!E35</f>
        <v>297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12</v>
      </c>
      <c r="D28" s="141">
        <v>2022</v>
      </c>
      <c r="E28" s="137">
        <f>'Consommation mensuel énergie'!L36</f>
        <v>4450</v>
      </c>
      <c r="F28" s="137">
        <f>'Consommation mensuel énergie'!M36</f>
        <v>6089</v>
      </c>
      <c r="G28" s="137">
        <f>'Consommation mensuel énergie'!N36</f>
        <v>3014</v>
      </c>
      <c r="H28" s="137">
        <f>'Consommation mensuel énergie'!D36</f>
        <v>151</v>
      </c>
      <c r="I28" s="137">
        <f>'Consommation mensuel énergie'!E36</f>
        <v>284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12</v>
      </c>
      <c r="D29" s="141">
        <v>2022</v>
      </c>
      <c r="E29" s="137">
        <f>'Consommation mensuel énergie'!L37</f>
        <v>3883</v>
      </c>
      <c r="F29" s="137">
        <f>'Consommation mensuel énergie'!M37</f>
        <v>6047</v>
      </c>
      <c r="G29" s="137">
        <f>'Consommation mensuel énergie'!N37</f>
        <v>3015</v>
      </c>
      <c r="H29" s="137">
        <f>'Consommation mensuel énergie'!D37</f>
        <v>139</v>
      </c>
      <c r="I29" s="137">
        <f>'Consommation mensuel énergie'!E37</f>
        <v>258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12</v>
      </c>
      <c r="D30" s="141">
        <v>2022</v>
      </c>
      <c r="E30" s="137">
        <f>'Consommation mensuel énergie'!L38</f>
        <v>3977</v>
      </c>
      <c r="F30" s="137">
        <f>'Consommation mensuel énergie'!M38</f>
        <v>6271</v>
      </c>
      <c r="G30" s="137">
        <f>'Consommation mensuel énergie'!N38</f>
        <v>3076</v>
      </c>
      <c r="H30" s="137">
        <f>'Consommation mensuel énergie'!D38</f>
        <v>131</v>
      </c>
      <c r="I30" s="137">
        <f>'Consommation mensuel énergie'!E38</f>
        <v>251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12</v>
      </c>
      <c r="D31" s="141">
        <v>2022</v>
      </c>
      <c r="E31" s="137">
        <f>'Consommation mensuel énergie'!L39</f>
        <v>4360</v>
      </c>
      <c r="F31" s="137">
        <f>'Consommation mensuel énergie'!M39</f>
        <v>6057</v>
      </c>
      <c r="G31" s="137">
        <f>'Consommation mensuel énergie'!N39</f>
        <v>2961</v>
      </c>
      <c r="H31" s="137">
        <f>'Consommation mensuel énergie'!D39</f>
        <v>143</v>
      </c>
      <c r="I31" s="137">
        <f>'Consommation mensuel énergie'!E39</f>
        <v>284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12</v>
      </c>
      <c r="D32" s="141">
        <v>2022</v>
      </c>
      <c r="E32" s="137">
        <f>'Consommation mensuel énergie'!L40</f>
        <v>4459</v>
      </c>
      <c r="F32" s="137">
        <f>'Consommation mensuel énergie'!M40</f>
        <v>6047</v>
      </c>
      <c r="G32" s="137">
        <f>'Consommation mensuel énergie'!N40</f>
        <v>2920</v>
      </c>
      <c r="H32" s="137">
        <f>'Consommation mensuel énergie'!D40</f>
        <v>152</v>
      </c>
      <c r="I32" s="137">
        <f>'Consommation mensuel énergie'!E40</f>
        <v>197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AD36" sqref="AD3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82"/>
      <c r="B2" s="183"/>
      <c r="C2" s="183"/>
      <c r="D2" s="183"/>
      <c r="E2" s="183"/>
      <c r="F2" s="183"/>
      <c r="G2" s="183"/>
      <c r="H2" s="184"/>
      <c r="I2" s="193" t="s">
        <v>17</v>
      </c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</row>
    <row r="3" spans="1:24" ht="15" hidden="1" customHeight="1" thickBot="1" x14ac:dyDescent="0.25"/>
    <row r="4" spans="1:24" ht="39" hidden="1" customHeight="1" thickBot="1" x14ac:dyDescent="0.25">
      <c r="A4" s="185"/>
      <c r="B4" s="185"/>
      <c r="C4" s="18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5"/>
      <c r="B5" s="185"/>
      <c r="C5" s="185"/>
      <c r="D5" s="5"/>
      <c r="E5" s="5"/>
      <c r="F5" s="5"/>
      <c r="G5" s="5"/>
      <c r="H5" s="5"/>
      <c r="I5" s="5"/>
      <c r="J5" s="5"/>
      <c r="K5" s="5"/>
      <c r="L5" s="5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</row>
    <row r="6" spans="1:24" s="5" customFormat="1" ht="44.25" hidden="1" customHeight="1" thickBot="1" x14ac:dyDescent="0.25">
      <c r="A6" s="3"/>
      <c r="B6" s="3"/>
      <c r="C6" s="3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</row>
    <row r="7" spans="1:24" s="5" customFormat="1" ht="18.75" hidden="1" customHeight="1" thickBot="1" x14ac:dyDescent="0.25">
      <c r="F7" s="186"/>
      <c r="G7" s="186"/>
      <c r="H7" s="186"/>
      <c r="I7" s="186"/>
      <c r="J7" s="186"/>
      <c r="K7" s="186"/>
      <c r="L7" s="186"/>
      <c r="M7" s="186"/>
      <c r="N7" s="195"/>
      <c r="O7" s="195"/>
      <c r="P7" s="186"/>
      <c r="Q7" s="186"/>
      <c r="R7" s="186"/>
      <c r="S7" s="186"/>
      <c r="T7" s="186"/>
      <c r="U7" s="186"/>
      <c r="V7" s="186"/>
      <c r="W7" s="186"/>
      <c r="X7" s="186"/>
    </row>
    <row r="8" spans="1:24" ht="18.75" customHeight="1" thickBot="1" x14ac:dyDescent="0.25">
      <c r="A8" s="186"/>
      <c r="B8" s="197" t="s">
        <v>19</v>
      </c>
      <c r="C8" s="4"/>
      <c r="D8" s="198" t="s">
        <v>20</v>
      </c>
      <c r="E8" s="198" t="s">
        <v>21</v>
      </c>
      <c r="F8" s="180" t="s">
        <v>22</v>
      </c>
      <c r="G8" s="2"/>
      <c r="H8" s="187" t="s">
        <v>23</v>
      </c>
      <c r="I8" s="188"/>
      <c r="J8" s="189"/>
      <c r="K8" s="175" t="s">
        <v>24</v>
      </c>
      <c r="L8" s="179" t="s">
        <v>25</v>
      </c>
      <c r="M8" s="179"/>
      <c r="N8" s="179"/>
      <c r="O8" s="179" t="s">
        <v>26</v>
      </c>
      <c r="P8" s="2"/>
      <c r="Q8" s="177" t="s">
        <v>23</v>
      </c>
      <c r="R8" s="2"/>
      <c r="S8" s="177" t="s">
        <v>27</v>
      </c>
      <c r="T8" s="2"/>
      <c r="U8" s="177" t="s">
        <v>28</v>
      </c>
      <c r="V8" s="200" t="s">
        <v>29</v>
      </c>
      <c r="W8" s="2"/>
      <c r="X8" s="177" t="s">
        <v>23</v>
      </c>
    </row>
    <row r="9" spans="1:24" ht="59.25" customHeight="1" thickBot="1" x14ac:dyDescent="0.25">
      <c r="A9" s="186"/>
      <c r="B9" s="197"/>
      <c r="C9" s="4"/>
      <c r="D9" s="199"/>
      <c r="E9" s="199"/>
      <c r="F9" s="181"/>
      <c r="G9" s="2"/>
      <c r="H9" s="190"/>
      <c r="I9" s="191"/>
      <c r="J9" s="192"/>
      <c r="K9" s="176"/>
      <c r="L9" s="154" t="s">
        <v>30</v>
      </c>
      <c r="M9" s="154" t="s">
        <v>31</v>
      </c>
      <c r="N9" s="154" t="s">
        <v>32</v>
      </c>
      <c r="O9" s="196"/>
      <c r="P9" s="2"/>
      <c r="Q9" s="178"/>
      <c r="R9" s="2"/>
      <c r="S9" s="178"/>
      <c r="T9" s="2"/>
      <c r="U9" s="178"/>
      <c r="V9" s="201"/>
      <c r="W9" s="2"/>
      <c r="X9" s="178"/>
    </row>
    <row r="10" spans="1:24" ht="32.25" customHeight="1" x14ac:dyDescent="0.2">
      <c r="A10" s="2"/>
      <c r="B10" s="6">
        <v>44896</v>
      </c>
      <c r="C10" s="7"/>
      <c r="D10" s="143">
        <v>102</v>
      </c>
      <c r="E10" s="143">
        <v>145</v>
      </c>
      <c r="F10" s="13">
        <f>'Suivi EAU-ELEC'!E9</f>
        <v>112.1</v>
      </c>
      <c r="G10" s="11"/>
      <c r="H10" s="171">
        <f>F10*8.79</f>
        <v>985.35899999999981</v>
      </c>
      <c r="I10" s="172"/>
      <c r="J10" s="172"/>
      <c r="K10" s="60">
        <v>42278</v>
      </c>
      <c r="L10" s="90">
        <f>'Suivi EAU-ELEC'!G9</f>
        <v>4442</v>
      </c>
      <c r="M10" s="91">
        <f>'Suivi EAU-ELEC'!I9</f>
        <v>5771</v>
      </c>
      <c r="N10" s="91">
        <f>'Suivi EAU-ELEC'!K9</f>
        <v>3068</v>
      </c>
      <c r="O10" s="91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6">
        <f>'Suvi Gaz'!O4</f>
        <v>351.99131</v>
      </c>
      <c r="W10" s="11"/>
      <c r="X10" s="34">
        <f>V10*12.53</f>
        <v>4410.4511143</v>
      </c>
    </row>
    <row r="11" spans="1:24" ht="32.25" customHeight="1" x14ac:dyDescent="0.2">
      <c r="A11" s="2"/>
      <c r="B11" s="6">
        <v>44897</v>
      </c>
      <c r="C11" s="7"/>
      <c r="D11" s="143">
        <v>80</v>
      </c>
      <c r="E11" s="143">
        <v>120</v>
      </c>
      <c r="F11" s="13">
        <f>'Suivi EAU-ELEC'!E10</f>
        <v>125</v>
      </c>
      <c r="G11" s="11"/>
      <c r="H11" s="171">
        <f t="shared" ref="H11:H21" si="0">F11*8.79</f>
        <v>1098.75</v>
      </c>
      <c r="I11" s="172"/>
      <c r="J11" s="172"/>
      <c r="K11" s="60">
        <v>42279</v>
      </c>
      <c r="L11" s="90">
        <f>'Suivi EAU-ELEC'!G10</f>
        <v>4516</v>
      </c>
      <c r="M11" s="91">
        <f>'Suivi EAU-ELEC'!I10</f>
        <v>6383</v>
      </c>
      <c r="N11" s="91">
        <f>'Suivi EAU-ELEC'!K10</f>
        <v>2866</v>
      </c>
      <c r="O11" s="91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40" si="1">V11*12.53</f>
        <v>2806.6507090999999</v>
      </c>
    </row>
    <row r="12" spans="1:24" ht="32.25" customHeight="1" x14ac:dyDescent="0.2">
      <c r="A12" s="2"/>
      <c r="B12" s="6">
        <v>44898</v>
      </c>
      <c r="C12" s="7"/>
      <c r="D12" s="143">
        <v>86</v>
      </c>
      <c r="E12" s="143">
        <v>135</v>
      </c>
      <c r="F12" s="13">
        <f>'Suivi EAU-ELEC'!E11</f>
        <v>122</v>
      </c>
      <c r="G12" s="11"/>
      <c r="H12" s="171">
        <f t="shared" si="0"/>
        <v>1072.3799999999999</v>
      </c>
      <c r="I12" s="172"/>
      <c r="J12" s="172"/>
      <c r="K12" s="60">
        <v>42280</v>
      </c>
      <c r="L12" s="90">
        <f>'Suivi EAU-ELEC'!G11</f>
        <v>4355</v>
      </c>
      <c r="M12" s="91">
        <f>'Suivi EAU-ELEC'!I11</f>
        <v>6149</v>
      </c>
      <c r="N12" s="91">
        <f>'Suivi EAU-ELEC'!K11</f>
        <v>2998</v>
      </c>
      <c r="O12" s="91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6">
        <f>'Suvi Gaz'!O6</f>
        <v>479.98815000000002</v>
      </c>
      <c r="W12" s="11"/>
      <c r="X12" s="34">
        <f t="shared" si="1"/>
        <v>6014.2515194999996</v>
      </c>
    </row>
    <row r="13" spans="1:24" ht="32.25" customHeight="1" x14ac:dyDescent="0.2">
      <c r="A13" s="2"/>
      <c r="B13" s="6">
        <v>44899</v>
      </c>
      <c r="C13" s="7"/>
      <c r="D13" s="143">
        <v>108</v>
      </c>
      <c r="E13" s="143">
        <v>142</v>
      </c>
      <c r="F13" s="13">
        <f>'Suivi EAU-ELEC'!E12</f>
        <v>131</v>
      </c>
      <c r="G13" s="11"/>
      <c r="H13" s="171">
        <f t="shared" si="0"/>
        <v>1151.4899999999998</v>
      </c>
      <c r="I13" s="172"/>
      <c r="J13" s="172"/>
      <c r="K13" s="60">
        <v>42281</v>
      </c>
      <c r="L13" s="90">
        <f>'Suivi EAU-ELEC'!G12</f>
        <v>3999</v>
      </c>
      <c r="M13" s="91">
        <f>'Suivi EAU-ELEC'!I12</f>
        <v>6195</v>
      </c>
      <c r="N13" s="91">
        <f>'Suivi EAU-ELEC'!K12</f>
        <v>2852</v>
      </c>
      <c r="O13" s="91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6">
        <f>'Suvi Gaz'!O7</f>
        <v>543.98657000000003</v>
      </c>
      <c r="W13" s="11"/>
      <c r="X13" s="34">
        <f t="shared" si="1"/>
        <v>6816.1517221000004</v>
      </c>
    </row>
    <row r="14" spans="1:24" ht="32.25" customHeight="1" x14ac:dyDescent="0.2">
      <c r="A14" s="2"/>
      <c r="B14" s="6">
        <v>44900</v>
      </c>
      <c r="C14" s="7"/>
      <c r="D14" s="143">
        <v>105</v>
      </c>
      <c r="E14" s="143">
        <v>139</v>
      </c>
      <c r="F14" s="13">
        <f>'Suivi EAU-ELEC'!E13</f>
        <v>122</v>
      </c>
      <c r="G14" s="12"/>
      <c r="H14" s="171">
        <f t="shared" si="0"/>
        <v>1072.3799999999999</v>
      </c>
      <c r="I14" s="172"/>
      <c r="J14" s="172"/>
      <c r="K14" s="60">
        <v>42282</v>
      </c>
      <c r="L14" s="90">
        <f>'Suivi EAU-ELEC'!G13</f>
        <v>4096</v>
      </c>
      <c r="M14" s="91">
        <f>'Suivi EAU-ELEC'!I13</f>
        <v>6082</v>
      </c>
      <c r="N14" s="91">
        <f>'Suivi EAU-ELEC'!K13</f>
        <v>2955</v>
      </c>
      <c r="O14" s="91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6">
        <f>'Suvi Gaz'!O8</f>
        <v>255.99368000000001</v>
      </c>
      <c r="W14" s="11"/>
      <c r="X14" s="34">
        <f t="shared" si="1"/>
        <v>3207.6008103999998</v>
      </c>
    </row>
    <row r="15" spans="1:24" ht="32.25" customHeight="1" x14ac:dyDescent="0.2">
      <c r="A15" s="5"/>
      <c r="B15" s="6">
        <v>44901</v>
      </c>
      <c r="C15" s="7"/>
      <c r="D15" s="143">
        <v>114</v>
      </c>
      <c r="E15" s="143">
        <v>154</v>
      </c>
      <c r="F15" s="13">
        <f>'Suivi EAU-ELEC'!E14</f>
        <v>132</v>
      </c>
      <c r="G15" s="11"/>
      <c r="H15" s="171">
        <f t="shared" si="0"/>
        <v>1160.28</v>
      </c>
      <c r="I15" s="172"/>
      <c r="J15" s="172"/>
      <c r="K15" s="60">
        <v>42283</v>
      </c>
      <c r="L15" s="90">
        <f>'Suivi EAU-ELEC'!G14</f>
        <v>3949</v>
      </c>
      <c r="M15" s="91">
        <f>'Suivi EAU-ELEC'!I14</f>
        <v>5925</v>
      </c>
      <c r="N15" s="91">
        <f>'Suivi EAU-ELEC'!K14</f>
        <v>2745</v>
      </c>
      <c r="O15" s="91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6">
        <f>'Suvi Gaz'!O9</f>
        <v>287.99288999999999</v>
      </c>
      <c r="W15" s="11"/>
      <c r="X15" s="34">
        <f t="shared" si="1"/>
        <v>3608.5509116999997</v>
      </c>
    </row>
    <row r="16" spans="1:24" ht="32.25" customHeight="1" x14ac:dyDescent="0.2">
      <c r="A16" s="5"/>
      <c r="B16" s="6">
        <v>44902</v>
      </c>
      <c r="C16" s="7"/>
      <c r="D16" s="143">
        <v>107</v>
      </c>
      <c r="E16" s="143">
        <v>141</v>
      </c>
      <c r="F16" s="13">
        <f>'Suivi EAU-ELEC'!E15</f>
        <v>121</v>
      </c>
      <c r="G16" s="11"/>
      <c r="H16" s="171">
        <f t="shared" si="0"/>
        <v>1063.5899999999999</v>
      </c>
      <c r="I16" s="172"/>
      <c r="J16" s="172"/>
      <c r="K16" s="60">
        <v>42284</v>
      </c>
      <c r="L16" s="90">
        <f>'Suivi EAU-ELEC'!G15</f>
        <v>4297</v>
      </c>
      <c r="M16" s="91">
        <f>'Suivi EAU-ELEC'!I15</f>
        <v>6773</v>
      </c>
      <c r="N16" s="91">
        <f>'Suivi EAU-ELEC'!K15</f>
        <v>3082</v>
      </c>
      <c r="O16" s="91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6">
        <f>'Suvi Gaz'!O10</f>
        <v>1215.9699800000001</v>
      </c>
      <c r="W16" s="11"/>
      <c r="X16" s="34">
        <f t="shared" si="1"/>
        <v>15236.1038494</v>
      </c>
    </row>
    <row r="17" spans="1:24" s="5" customFormat="1" ht="32.25" customHeight="1" x14ac:dyDescent="0.2">
      <c r="A17" s="2"/>
      <c r="B17" s="6">
        <v>44903</v>
      </c>
      <c r="C17" s="7"/>
      <c r="D17" s="143">
        <v>125</v>
      </c>
      <c r="E17" s="143">
        <v>174</v>
      </c>
      <c r="F17" s="13">
        <f>'Suivi EAU-ELEC'!E16</f>
        <v>110</v>
      </c>
      <c r="G17" s="11"/>
      <c r="H17" s="171">
        <f t="shared" si="0"/>
        <v>966.89999999999986</v>
      </c>
      <c r="I17" s="172"/>
      <c r="J17" s="172"/>
      <c r="K17" s="60">
        <v>42285</v>
      </c>
      <c r="L17" s="90">
        <f>'Suivi EAU-ELEC'!G16</f>
        <v>3957</v>
      </c>
      <c r="M17" s="91">
        <f>'Suivi EAU-ELEC'!I16</f>
        <v>6853</v>
      </c>
      <c r="N17" s="91">
        <f>'Suivi EAU-ELEC'!K16</f>
        <v>3117</v>
      </c>
      <c r="O17" s="91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4410.4511143</v>
      </c>
    </row>
    <row r="18" spans="1:24" ht="32.25" customHeight="1" x14ac:dyDescent="0.2">
      <c r="A18" s="2"/>
      <c r="B18" s="6">
        <v>44904</v>
      </c>
      <c r="C18" s="7"/>
      <c r="D18" s="143">
        <v>96</v>
      </c>
      <c r="E18" s="143">
        <v>135</v>
      </c>
      <c r="F18" s="13">
        <f>'Suivi EAU-ELEC'!E17</f>
        <v>141</v>
      </c>
      <c r="G18" s="11"/>
      <c r="H18" s="171">
        <f t="shared" si="0"/>
        <v>1239.3899999999999</v>
      </c>
      <c r="I18" s="172"/>
      <c r="J18" s="172"/>
      <c r="K18" s="60">
        <v>42286</v>
      </c>
      <c r="L18" s="90">
        <f>'Suivi EAU-ELEC'!G17</f>
        <v>4428</v>
      </c>
      <c r="M18" s="91">
        <f>'Suivi EAU-ELEC'!I17</f>
        <v>6569</v>
      </c>
      <c r="N18" s="91">
        <f>'Suivi EAU-ELEC'!K17</f>
        <v>3123</v>
      </c>
      <c r="O18" s="91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6">
        <f>'Suvi Gaz'!O12</f>
        <v>255.99368000000001</v>
      </c>
      <c r="W18" s="11"/>
      <c r="X18" s="34">
        <f t="shared" si="1"/>
        <v>3207.6008103999998</v>
      </c>
    </row>
    <row r="19" spans="1:24" ht="32.25" customHeight="1" x14ac:dyDescent="0.2">
      <c r="A19" s="2"/>
      <c r="B19" s="6">
        <v>44905</v>
      </c>
      <c r="C19" s="7"/>
      <c r="D19" s="143">
        <v>77</v>
      </c>
      <c r="E19" s="143">
        <v>124</v>
      </c>
      <c r="F19" s="13">
        <f>'Suivi EAU-ELEC'!E18</f>
        <v>129</v>
      </c>
      <c r="G19" s="12"/>
      <c r="H19" s="171">
        <f t="shared" si="0"/>
        <v>1133.9099999999999</v>
      </c>
      <c r="I19" s="172"/>
      <c r="J19" s="172"/>
      <c r="K19" s="60">
        <v>42287</v>
      </c>
      <c r="L19" s="90">
        <f>'Suivi EAU-ELEC'!G18</f>
        <v>4757</v>
      </c>
      <c r="M19" s="91">
        <f>'Suivi EAU-ELEC'!I18</f>
        <v>7543</v>
      </c>
      <c r="N19" s="91">
        <f>'Suivi EAU-ELEC'!K18</f>
        <v>3345</v>
      </c>
      <c r="O19" s="91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6">
        <f>'Suvi Gaz'!O13</f>
        <v>383.99052</v>
      </c>
      <c r="W19" s="11"/>
      <c r="X19" s="34">
        <f t="shared" si="1"/>
        <v>4811.4012155999999</v>
      </c>
    </row>
    <row r="20" spans="1:24" ht="32.25" customHeight="1" x14ac:dyDescent="0.2">
      <c r="A20" s="2"/>
      <c r="B20" s="6">
        <v>44906</v>
      </c>
      <c r="C20" s="7"/>
      <c r="D20" s="143">
        <v>66</v>
      </c>
      <c r="E20" s="143">
        <v>93</v>
      </c>
      <c r="F20" s="13">
        <f>'Suivi EAU-ELEC'!E19</f>
        <v>114</v>
      </c>
      <c r="G20" s="12"/>
      <c r="H20" s="171">
        <f t="shared" si="0"/>
        <v>1002.06</v>
      </c>
      <c r="I20" s="172"/>
      <c r="J20" s="172"/>
      <c r="K20" s="60">
        <v>42288</v>
      </c>
      <c r="L20" s="90">
        <f>'Suivi EAU-ELEC'!G19</f>
        <v>4074</v>
      </c>
      <c r="M20" s="91">
        <f>'Suivi EAU-ELEC'!I19</f>
        <v>6459</v>
      </c>
      <c r="N20" s="91">
        <f>'Suivi EAU-ELEC'!K19</f>
        <v>3534</v>
      </c>
      <c r="O20" s="91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6">
        <f>'Suvi Gaz'!O14</f>
        <v>383.99052</v>
      </c>
      <c r="W20" s="11"/>
      <c r="X20" s="34">
        <f t="shared" si="1"/>
        <v>4811.4012155999999</v>
      </c>
    </row>
    <row r="21" spans="1:24" ht="32.25" customHeight="1" x14ac:dyDescent="0.2">
      <c r="A21" s="2"/>
      <c r="B21" s="6">
        <v>44907</v>
      </c>
      <c r="C21" s="7"/>
      <c r="D21" s="143">
        <v>106</v>
      </c>
      <c r="E21" s="143">
        <v>137</v>
      </c>
      <c r="F21" s="13">
        <f>'Suivi EAU-ELEC'!E20</f>
        <v>120</v>
      </c>
      <c r="G21" s="12"/>
      <c r="H21" s="171">
        <f t="shared" si="0"/>
        <v>1054.8</v>
      </c>
      <c r="I21" s="172"/>
      <c r="J21" s="172"/>
      <c r="K21" s="60">
        <v>42289</v>
      </c>
      <c r="L21" s="90">
        <f>'Suivi EAU-ELEC'!G20</f>
        <v>4146</v>
      </c>
      <c r="M21" s="91">
        <f>'Suivi EAU-ELEC'!I20</f>
        <v>5509</v>
      </c>
      <c r="N21" s="91">
        <f>'Suivi EAU-ELEC'!K20</f>
        <v>2726</v>
      </c>
      <c r="O21" s="91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6">
        <f>'Suvi Gaz'!O15</f>
        <v>255.99368000000001</v>
      </c>
      <c r="W21" s="11"/>
      <c r="X21" s="34">
        <f t="shared" si="1"/>
        <v>3207.6008103999998</v>
      </c>
    </row>
    <row r="22" spans="1:24" ht="32.25" customHeight="1" x14ac:dyDescent="0.2">
      <c r="A22" s="2"/>
      <c r="B22" s="6">
        <v>44908</v>
      </c>
      <c r="C22" s="7"/>
      <c r="D22" s="143">
        <v>132</v>
      </c>
      <c r="E22" s="143">
        <v>159</v>
      </c>
      <c r="F22" s="13">
        <f>'Suivi EAU-ELEC'!E21</f>
        <v>89</v>
      </c>
      <c r="G22" s="12"/>
      <c r="H22" s="171">
        <f t="shared" ref="H22:H35" si="4">F22*8.79</f>
        <v>782.31</v>
      </c>
      <c r="I22" s="172"/>
      <c r="J22" s="172"/>
      <c r="K22" s="60">
        <v>42290</v>
      </c>
      <c r="L22" s="90">
        <f>'Suivi EAU-ELEC'!G21</f>
        <v>4395</v>
      </c>
      <c r="M22" s="91">
        <f>'Suivi EAU-ELEC'!I21</f>
        <v>7225</v>
      </c>
      <c r="N22" s="91">
        <f>'Suivi EAU-ELEC'!K21</f>
        <v>3209</v>
      </c>
      <c r="O22" s="91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6">
        <f>'Suvi Gaz'!O16</f>
        <v>479.98815000000002</v>
      </c>
      <c r="W22" s="11"/>
      <c r="X22" s="34">
        <f t="shared" si="1"/>
        <v>6014.2515194999996</v>
      </c>
    </row>
    <row r="23" spans="1:24" ht="32.25" customHeight="1" x14ac:dyDescent="0.2">
      <c r="A23" s="2"/>
      <c r="B23" s="6">
        <v>44909</v>
      </c>
      <c r="C23" s="7"/>
      <c r="D23" s="143">
        <v>98</v>
      </c>
      <c r="E23" s="143">
        <v>134</v>
      </c>
      <c r="F23" s="13">
        <f>'Suivi EAU-ELEC'!E22</f>
        <v>116</v>
      </c>
      <c r="G23" s="14"/>
      <c r="H23" s="171">
        <f t="shared" si="4"/>
        <v>1019.6399999999999</v>
      </c>
      <c r="I23" s="172"/>
      <c r="J23" s="172"/>
      <c r="K23" s="60">
        <v>42291</v>
      </c>
      <c r="L23" s="90">
        <f>'Suivi EAU-ELEC'!G22</f>
        <v>4130</v>
      </c>
      <c r="M23" s="91">
        <f>'Suivi EAU-ELEC'!I22</f>
        <v>6810</v>
      </c>
      <c r="N23" s="91">
        <f>'Suivi EAU-ELEC'!K22</f>
        <v>3248</v>
      </c>
      <c r="O23" s="91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6">
        <f>'Suvi Gaz'!O17</f>
        <v>511.98736000000002</v>
      </c>
      <c r="W23" s="11"/>
      <c r="X23" s="34">
        <f t="shared" si="1"/>
        <v>6415.2016207999995</v>
      </c>
    </row>
    <row r="24" spans="1:24" ht="32.25" customHeight="1" x14ac:dyDescent="0.2">
      <c r="A24" s="2"/>
      <c r="B24" s="6">
        <v>44910</v>
      </c>
      <c r="C24" s="7"/>
      <c r="D24" s="143">
        <v>73</v>
      </c>
      <c r="E24" s="143">
        <v>109</v>
      </c>
      <c r="F24" s="13">
        <f>'Suivi EAU-ELEC'!E23</f>
        <v>116</v>
      </c>
      <c r="G24" s="14"/>
      <c r="H24" s="171">
        <f t="shared" si="4"/>
        <v>1019.6399999999999</v>
      </c>
      <c r="I24" s="172"/>
      <c r="J24" s="172"/>
      <c r="K24" s="60">
        <v>42292</v>
      </c>
      <c r="L24" s="90">
        <f>'Suivi EAU-ELEC'!G23</f>
        <v>4236</v>
      </c>
      <c r="M24" s="91">
        <f>'Suivi EAU-ELEC'!I23</f>
        <v>7337</v>
      </c>
      <c r="N24" s="91">
        <f>'Suivi EAU-ELEC'!K23</f>
        <v>3067</v>
      </c>
      <c r="O24" s="91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6">
        <f>'Suvi Gaz'!O18</f>
        <v>127.99684000000001</v>
      </c>
      <c r="W24" s="11"/>
      <c r="X24" s="34">
        <f t="shared" si="1"/>
        <v>1603.8004051999999</v>
      </c>
    </row>
    <row r="25" spans="1:24" ht="32.25" customHeight="1" x14ac:dyDescent="0.2">
      <c r="A25" s="2"/>
      <c r="B25" s="6">
        <v>44911</v>
      </c>
      <c r="C25" s="7"/>
      <c r="D25" s="143">
        <v>103</v>
      </c>
      <c r="E25" s="143">
        <v>172</v>
      </c>
      <c r="F25" s="13">
        <f>'Suivi EAU-ELEC'!E24</f>
        <v>127</v>
      </c>
      <c r="G25" s="14"/>
      <c r="H25" s="171">
        <f t="shared" si="4"/>
        <v>1116.33</v>
      </c>
      <c r="I25" s="172"/>
      <c r="J25" s="172"/>
      <c r="K25" s="60">
        <v>42293</v>
      </c>
      <c r="L25" s="90">
        <f>'Suivi EAU-ELEC'!G24</f>
        <v>4539</v>
      </c>
      <c r="M25" s="91">
        <f>'Suivi EAU-ELEC'!I24</f>
        <v>6253</v>
      </c>
      <c r="N25" s="91">
        <f>'Suivi EAU-ELEC'!K24</f>
        <v>2870</v>
      </c>
      <c r="O25" s="91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6">
        <f>'Suvi Gaz'!O19</f>
        <v>511.98736000000002</v>
      </c>
      <c r="W25" s="11"/>
      <c r="X25" s="34">
        <f t="shared" si="1"/>
        <v>6415.2016207999995</v>
      </c>
    </row>
    <row r="26" spans="1:24" ht="32.25" customHeight="1" x14ac:dyDescent="0.2">
      <c r="A26" s="2"/>
      <c r="B26" s="6">
        <v>44912</v>
      </c>
      <c r="C26" s="7"/>
      <c r="D26" s="143">
        <v>102</v>
      </c>
      <c r="E26" s="143">
        <v>183</v>
      </c>
      <c r="F26" s="13">
        <f>'Suivi EAU-ELEC'!E25</f>
        <v>83</v>
      </c>
      <c r="G26" s="14"/>
      <c r="H26" s="171">
        <f t="shared" si="4"/>
        <v>729.56999999999994</v>
      </c>
      <c r="I26" s="172"/>
      <c r="J26" s="172"/>
      <c r="K26" s="60">
        <v>42294</v>
      </c>
      <c r="L26" s="90">
        <f>'Suivi EAU-ELEC'!G25</f>
        <v>4444</v>
      </c>
      <c r="M26" s="91">
        <f>'Suivi EAU-ELEC'!I25</f>
        <v>7200</v>
      </c>
      <c r="N26" s="91">
        <f>'Suivi EAU-ELEC'!K25</f>
        <v>3319</v>
      </c>
      <c r="O26" s="91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6">
        <f>'Suvi Gaz'!O20</f>
        <v>447.98894000000001</v>
      </c>
      <c r="W26" s="11"/>
      <c r="X26" s="34">
        <f t="shared" si="1"/>
        <v>5613.3014181999997</v>
      </c>
    </row>
    <row r="27" spans="1:24" ht="32.25" customHeight="1" x14ac:dyDescent="0.2">
      <c r="A27" s="2"/>
      <c r="B27" s="6">
        <v>44913</v>
      </c>
      <c r="C27" s="7"/>
      <c r="D27" s="143">
        <v>84</v>
      </c>
      <c r="E27" s="143">
        <v>134</v>
      </c>
      <c r="F27" s="13">
        <f>'Suivi EAU-ELEC'!E26</f>
        <v>134</v>
      </c>
      <c r="G27" s="14"/>
      <c r="H27" s="171">
        <f t="shared" si="4"/>
        <v>1177.8599999999999</v>
      </c>
      <c r="I27" s="172"/>
      <c r="J27" s="172"/>
      <c r="K27" s="60">
        <v>42295</v>
      </c>
      <c r="L27" s="90">
        <f>'Suivi EAU-ELEC'!G26</f>
        <v>4381</v>
      </c>
      <c r="M27" s="91">
        <f>'Suivi EAU-ELEC'!I26</f>
        <v>6017</v>
      </c>
      <c r="N27" s="91">
        <f>'Suivi EAU-ELEC'!K26</f>
        <v>3055</v>
      </c>
      <c r="O27" s="91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6">
        <f>'Suvi Gaz'!O21</f>
        <v>639.98419999999999</v>
      </c>
      <c r="W27" s="11"/>
      <c r="X27" s="34">
        <f t="shared" si="1"/>
        <v>8019.0020259999992</v>
      </c>
    </row>
    <row r="28" spans="1:24" ht="32.25" customHeight="1" x14ac:dyDescent="0.2">
      <c r="A28" s="2"/>
      <c r="B28" s="6">
        <v>44914</v>
      </c>
      <c r="C28" s="7"/>
      <c r="D28" s="143">
        <v>95</v>
      </c>
      <c r="E28" s="143">
        <v>161</v>
      </c>
      <c r="F28" s="13">
        <f>'Suivi EAU-ELEC'!E27</f>
        <v>96</v>
      </c>
      <c r="G28" s="11"/>
      <c r="H28" s="171">
        <f t="shared" si="4"/>
        <v>843.83999999999992</v>
      </c>
      <c r="I28" s="172"/>
      <c r="J28" s="172"/>
      <c r="K28" s="60">
        <v>42296</v>
      </c>
      <c r="L28" s="90">
        <f>'Suivi EAU-ELEC'!G27</f>
        <v>4126</v>
      </c>
      <c r="M28" s="91">
        <f>'Suivi EAU-ELEC'!I27</f>
        <v>5975</v>
      </c>
      <c r="N28" s="91">
        <f>'Suivi EAU-ELEC'!K27</f>
        <v>2815</v>
      </c>
      <c r="O28" s="91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6">
        <f>'Suvi Gaz'!O22</f>
        <v>575.98577999999998</v>
      </c>
      <c r="W28" s="11"/>
      <c r="X28" s="34">
        <f t="shared" si="1"/>
        <v>7217.1018233999994</v>
      </c>
    </row>
    <row r="29" spans="1:24" ht="32.25" customHeight="1" x14ac:dyDescent="0.2">
      <c r="A29" s="2"/>
      <c r="B29" s="6">
        <v>44915</v>
      </c>
      <c r="C29" s="7"/>
      <c r="D29" s="143">
        <v>84</v>
      </c>
      <c r="E29" s="143">
        <v>136</v>
      </c>
      <c r="F29" s="13">
        <f>'Suivi EAU-ELEC'!E28</f>
        <v>104</v>
      </c>
      <c r="G29" s="11"/>
      <c r="H29" s="171">
        <f t="shared" si="4"/>
        <v>914.15999999999985</v>
      </c>
      <c r="I29" s="172"/>
      <c r="J29" s="172"/>
      <c r="K29" s="60">
        <v>42297</v>
      </c>
      <c r="L29" s="90">
        <f>'Suivi EAU-ELEC'!G28</f>
        <v>4056</v>
      </c>
      <c r="M29" s="91">
        <f>'Suivi EAU-ELEC'!I28</f>
        <v>6460</v>
      </c>
      <c r="N29" s="91">
        <f>'Suivi EAU-ELEC'!K28</f>
        <v>2953</v>
      </c>
      <c r="O29" s="91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2806.6507090999999</v>
      </c>
    </row>
    <row r="30" spans="1:24" ht="32.25" customHeight="1" x14ac:dyDescent="0.2">
      <c r="A30" s="2"/>
      <c r="B30" s="6">
        <v>44916</v>
      </c>
      <c r="C30" s="7"/>
      <c r="D30" s="143">
        <v>94</v>
      </c>
      <c r="E30" s="143">
        <v>161</v>
      </c>
      <c r="F30" s="13">
        <f>'Suivi EAU-ELEC'!E29</f>
        <v>147</v>
      </c>
      <c r="G30" s="11"/>
      <c r="H30" s="171">
        <f t="shared" si="4"/>
        <v>1292.1299999999999</v>
      </c>
      <c r="I30" s="172"/>
      <c r="J30" s="172"/>
      <c r="K30" s="60">
        <v>42298</v>
      </c>
      <c r="L30" s="90">
        <f>'Suivi EAU-ELEC'!G29</f>
        <v>4159</v>
      </c>
      <c r="M30" s="91">
        <f>'Suivi EAU-ELEC'!I29</f>
        <v>6153</v>
      </c>
      <c r="N30" s="91">
        <f>'Suivi EAU-ELEC'!K29</f>
        <v>3003</v>
      </c>
      <c r="O30" s="91">
        <f>L30+M30+N30</f>
        <v>13315</v>
      </c>
      <c r="P30" s="11"/>
      <c r="Q30" s="34">
        <f>L30*0.6985+M30*0.9514+N30*1.3304</f>
        <v>12754.216899999999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3608.5509116999997</v>
      </c>
    </row>
    <row r="31" spans="1:24" ht="27.75" customHeight="1" x14ac:dyDescent="0.2">
      <c r="A31" s="2"/>
      <c r="B31" s="6">
        <v>44917</v>
      </c>
      <c r="C31" s="7"/>
      <c r="D31" s="143">
        <v>88</v>
      </c>
      <c r="E31" s="143">
        <v>150</v>
      </c>
      <c r="F31" s="13">
        <f>'Suivi EAU-ELEC'!E30</f>
        <v>120</v>
      </c>
      <c r="G31" s="11"/>
      <c r="H31" s="171">
        <f t="shared" si="4"/>
        <v>1054.8</v>
      </c>
      <c r="I31" s="172"/>
      <c r="J31" s="172"/>
      <c r="K31" s="60">
        <v>42299</v>
      </c>
      <c r="L31" s="90">
        <f>'Suivi EAU-ELEC'!G30</f>
        <v>4066</v>
      </c>
      <c r="M31" s="91">
        <f>'Suivi EAU-ELEC'!I30</f>
        <v>6178</v>
      </c>
      <c r="N31" s="91">
        <f>'Suivi EAU-ELEC'!K30</f>
        <v>3034</v>
      </c>
      <c r="O31" s="91">
        <f>L31+M31+N31</f>
        <v>13278</v>
      </c>
      <c r="P31" s="11"/>
      <c r="Q31" s="34">
        <f>L31*0.6985+M31*0.9514+N31*1.3304</f>
        <v>12754.283800000001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4410.4511143</v>
      </c>
    </row>
    <row r="32" spans="1:24" ht="37.5" customHeight="1" x14ac:dyDescent="0.2">
      <c r="A32" s="2"/>
      <c r="B32" s="6">
        <v>44918</v>
      </c>
      <c r="C32" s="7"/>
      <c r="D32" s="143">
        <v>75</v>
      </c>
      <c r="E32" s="143">
        <v>136</v>
      </c>
      <c r="F32" s="13">
        <f>'Suivi EAU-ELEC'!E31</f>
        <v>130</v>
      </c>
      <c r="G32" s="11"/>
      <c r="H32" s="171">
        <f t="shared" si="4"/>
        <v>1142.6999999999998</v>
      </c>
      <c r="I32" s="172"/>
      <c r="J32" s="172"/>
      <c r="K32" s="60">
        <v>42300</v>
      </c>
      <c r="L32" s="90">
        <f>'Suivi EAU-ELEC'!G31</f>
        <v>4181</v>
      </c>
      <c r="M32" s="91">
        <f>'Suivi EAU-ELEC'!I31</f>
        <v>6121</v>
      </c>
      <c r="N32" s="91">
        <f>'Suivi EAU-ELEC'!K31</f>
        <v>2841</v>
      </c>
      <c r="O32" s="91">
        <f t="shared" si="2"/>
        <v>13143</v>
      </c>
      <c r="P32" s="11"/>
      <c r="Q32" s="34">
        <f t="shared" si="3"/>
        <v>12523.614299999999</v>
      </c>
      <c r="R32" s="11"/>
      <c r="S32" s="28"/>
      <c r="T32" s="11"/>
      <c r="U32" s="28"/>
      <c r="V32" s="146">
        <f>'Suvi Gaz'!O26</f>
        <v>543.98657000000003</v>
      </c>
      <c r="W32" s="11"/>
      <c r="X32" s="34">
        <f t="shared" si="1"/>
        <v>6816.1517221000004</v>
      </c>
    </row>
    <row r="33" spans="1:24" ht="37.5" customHeight="1" x14ac:dyDescent="0.2">
      <c r="A33" s="2"/>
      <c r="B33" s="6">
        <v>44919</v>
      </c>
      <c r="C33" s="7"/>
      <c r="D33" s="143">
        <v>120</v>
      </c>
      <c r="E33" s="143">
        <v>220</v>
      </c>
      <c r="F33" s="13">
        <f>'Suivi EAU-ELEC'!E32</f>
        <v>117</v>
      </c>
      <c r="G33" s="11"/>
      <c r="H33" s="171">
        <f t="shared" si="4"/>
        <v>1028.4299999999998</v>
      </c>
      <c r="I33" s="172"/>
      <c r="J33" s="172"/>
      <c r="K33" s="60">
        <v>42301</v>
      </c>
      <c r="L33" s="90">
        <f>'Suivi EAU-ELEC'!G32</f>
        <v>4012</v>
      </c>
      <c r="M33" s="91">
        <f>'Suivi EAU-ELEC'!I32</f>
        <v>5920</v>
      </c>
      <c r="N33" s="91">
        <f>'Suivi EAU-ELEC'!K32</f>
        <v>2689</v>
      </c>
      <c r="O33" s="91">
        <f t="shared" si="2"/>
        <v>12621</v>
      </c>
      <c r="P33" s="11"/>
      <c r="Q33" s="34">
        <f t="shared" si="3"/>
        <v>12012.115600000001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1"/>
        <v>10825.6527351</v>
      </c>
    </row>
    <row r="34" spans="1:24" ht="37.5" customHeight="1" x14ac:dyDescent="0.2">
      <c r="A34" s="2"/>
      <c r="B34" s="6">
        <v>44920</v>
      </c>
      <c r="C34" s="7"/>
      <c r="D34" s="143">
        <v>117</v>
      </c>
      <c r="E34" s="143">
        <v>221</v>
      </c>
      <c r="F34" s="13">
        <f>'Suivi EAU-ELEC'!E33</f>
        <v>126</v>
      </c>
      <c r="G34" s="11"/>
      <c r="H34" s="171">
        <f t="shared" si="4"/>
        <v>1107.54</v>
      </c>
      <c r="I34" s="172"/>
      <c r="J34" s="172"/>
      <c r="K34" s="60">
        <v>42302</v>
      </c>
      <c r="L34" s="90">
        <f>'Suivi EAU-ELEC'!G33</f>
        <v>4041</v>
      </c>
      <c r="M34" s="91">
        <f>'Suivi EAU-ELEC'!I33</f>
        <v>5901</v>
      </c>
      <c r="N34" s="91">
        <f>'Suivi EAU-ELEC'!K33</f>
        <v>3034</v>
      </c>
      <c r="O34" s="91">
        <f t="shared" si="2"/>
        <v>12976</v>
      </c>
      <c r="P34" s="11"/>
      <c r="Q34" s="34">
        <f t="shared" si="3"/>
        <v>12473.283500000001</v>
      </c>
      <c r="R34" s="11"/>
      <c r="S34" s="28"/>
      <c r="T34" s="11"/>
      <c r="U34" s="28"/>
      <c r="V34" s="146">
        <f>'Suvi Gaz'!O28</f>
        <v>511.98736000000002</v>
      </c>
      <c r="W34" s="11"/>
      <c r="X34" s="34">
        <f t="shared" si="1"/>
        <v>6415.2016207999995</v>
      </c>
    </row>
    <row r="35" spans="1:24" ht="33.75" customHeight="1" x14ac:dyDescent="0.2">
      <c r="A35" s="2"/>
      <c r="B35" s="6">
        <v>44921</v>
      </c>
      <c r="C35" s="7"/>
      <c r="D35" s="143">
        <v>160</v>
      </c>
      <c r="E35" s="143">
        <v>297</v>
      </c>
      <c r="F35" s="13">
        <f>'Suivi EAU-ELEC'!E34</f>
        <v>170</v>
      </c>
      <c r="G35" s="11"/>
      <c r="H35" s="171">
        <f t="shared" si="4"/>
        <v>1494.3</v>
      </c>
      <c r="I35" s="172"/>
      <c r="J35" s="172"/>
      <c r="K35" s="60">
        <v>42303</v>
      </c>
      <c r="L35" s="90">
        <f>'Suivi EAU-ELEC'!G34</f>
        <v>4322</v>
      </c>
      <c r="M35" s="91">
        <f>'Suivi EAU-ELEC'!I34</f>
        <v>5985</v>
      </c>
      <c r="N35" s="91">
        <f>'Suivi EAU-ELEC'!K34</f>
        <v>2921</v>
      </c>
      <c r="O35" s="91">
        <f t="shared" si="2"/>
        <v>13228</v>
      </c>
      <c r="P35" s="11"/>
      <c r="Q35" s="34">
        <f t="shared" si="3"/>
        <v>12599.144400000001</v>
      </c>
      <c r="R35" s="11"/>
      <c r="S35" s="28"/>
      <c r="T35" s="11"/>
      <c r="U35" s="28"/>
      <c r="V35" s="146">
        <f>'Suvi Gaz'!O29</f>
        <v>447.98894000000001</v>
      </c>
      <c r="W35" s="11"/>
      <c r="X35" s="34">
        <f t="shared" si="1"/>
        <v>5613.3014181999997</v>
      </c>
    </row>
    <row r="36" spans="1:24" ht="33.75" customHeight="1" x14ac:dyDescent="0.2">
      <c r="A36" s="2"/>
      <c r="B36" s="6">
        <v>44922</v>
      </c>
      <c r="C36" s="7"/>
      <c r="D36" s="143">
        <v>151</v>
      </c>
      <c r="E36" s="143">
        <v>284</v>
      </c>
      <c r="F36" s="13">
        <f>'Suivi EAU-ELEC'!E35</f>
        <v>153</v>
      </c>
      <c r="G36" s="11"/>
      <c r="H36" s="171">
        <f>F36*8.79</f>
        <v>1344.87</v>
      </c>
      <c r="I36" s="172"/>
      <c r="J36" s="172"/>
      <c r="K36" s="60">
        <v>42304</v>
      </c>
      <c r="L36" s="90">
        <f>'Suivi EAU-ELEC'!G35</f>
        <v>4450</v>
      </c>
      <c r="M36" s="91">
        <f>'Suivi EAU-ELEC'!I35</f>
        <v>6089</v>
      </c>
      <c r="N36" s="91">
        <f>'Suivi EAU-ELEC'!K35</f>
        <v>3014</v>
      </c>
      <c r="O36" s="91">
        <f t="shared" si="2"/>
        <v>13553</v>
      </c>
      <c r="P36" s="11"/>
      <c r="Q36" s="34">
        <f t="shared" si="3"/>
        <v>12911.225200000001</v>
      </c>
      <c r="R36" s="11"/>
      <c r="S36" s="28"/>
      <c r="T36" s="11"/>
      <c r="U36" s="28"/>
      <c r="V36" s="146">
        <f>'Suvi Gaz'!O30</f>
        <v>863.97867000000008</v>
      </c>
      <c r="W36" s="11"/>
      <c r="X36" s="34">
        <f t="shared" si="1"/>
        <v>10825.6527351</v>
      </c>
    </row>
    <row r="37" spans="1:24" ht="33.75" customHeight="1" x14ac:dyDescent="0.2">
      <c r="A37" s="2"/>
      <c r="B37" s="6">
        <v>44923</v>
      </c>
      <c r="C37" s="7"/>
      <c r="D37" s="143">
        <v>139</v>
      </c>
      <c r="E37" s="143">
        <v>258</v>
      </c>
      <c r="F37" s="13">
        <f>'Suivi EAU-ELEC'!E36</f>
        <v>161</v>
      </c>
      <c r="G37" s="11"/>
      <c r="H37" s="171">
        <f t="shared" ref="H37:H38" si="5">F37*8.79</f>
        <v>1415.1899999999998</v>
      </c>
      <c r="I37" s="172"/>
      <c r="J37" s="172"/>
      <c r="K37" s="60"/>
      <c r="L37" s="90">
        <f>'Suivi EAU-ELEC'!G36</f>
        <v>3883</v>
      </c>
      <c r="M37" s="91">
        <f>'Suivi EAU-ELEC'!I36</f>
        <v>6047</v>
      </c>
      <c r="N37" s="91">
        <f>'Suivi EAU-ELEC'!K36</f>
        <v>3015</v>
      </c>
      <c r="O37" s="91">
        <f t="shared" si="2"/>
        <v>12945</v>
      </c>
      <c r="P37" s="11"/>
      <c r="Q37" s="34">
        <f t="shared" si="3"/>
        <v>12476.547300000002</v>
      </c>
      <c r="R37" s="11"/>
      <c r="S37" s="28"/>
      <c r="T37" s="11"/>
      <c r="U37" s="28"/>
      <c r="V37" s="146">
        <f>'Suvi Gaz'!O31</f>
        <v>575.98577999999998</v>
      </c>
      <c r="W37" s="11"/>
      <c r="X37" s="34">
        <f t="shared" si="1"/>
        <v>7217.1018233999994</v>
      </c>
    </row>
    <row r="38" spans="1:24" ht="33.75" customHeight="1" x14ac:dyDescent="0.2">
      <c r="A38" s="2"/>
      <c r="B38" s="6">
        <v>44924</v>
      </c>
      <c r="C38" s="7"/>
      <c r="D38" s="143">
        <v>131</v>
      </c>
      <c r="E38" s="143">
        <v>251</v>
      </c>
      <c r="F38" s="13">
        <f>'Suivi EAU-ELEC'!E37</f>
        <v>149</v>
      </c>
      <c r="G38" s="11"/>
      <c r="H38" s="171">
        <f t="shared" si="5"/>
        <v>1309.7099999999998</v>
      </c>
      <c r="I38" s="172"/>
      <c r="J38" s="172"/>
      <c r="K38" s="60"/>
      <c r="L38" s="90">
        <f>'Suivi EAU-ELEC'!G37</f>
        <v>3977</v>
      </c>
      <c r="M38" s="91">
        <f>'Suivi EAU-ELEC'!I37</f>
        <v>6271</v>
      </c>
      <c r="N38" s="91">
        <f>'Suivi EAU-ELEC'!K37</f>
        <v>3076</v>
      </c>
      <c r="O38" s="91">
        <f t="shared" si="2"/>
        <v>13324</v>
      </c>
      <c r="P38" s="11"/>
      <c r="Q38" s="34">
        <f t="shared" si="3"/>
        <v>12836.4743</v>
      </c>
      <c r="R38" s="11"/>
      <c r="S38" s="28"/>
      <c r="T38" s="11"/>
      <c r="U38" s="28"/>
      <c r="V38" s="146">
        <f>'Suvi Gaz'!O32</f>
        <v>543.98657000000003</v>
      </c>
      <c r="W38" s="11"/>
      <c r="X38" s="34">
        <f t="shared" si="1"/>
        <v>6816.1517221000004</v>
      </c>
    </row>
    <row r="39" spans="1:24" ht="33.75" customHeight="1" x14ac:dyDescent="0.2">
      <c r="A39" s="2"/>
      <c r="B39" s="6">
        <v>44925</v>
      </c>
      <c r="C39" s="7"/>
      <c r="D39" s="143">
        <v>143</v>
      </c>
      <c r="E39" s="143">
        <v>284</v>
      </c>
      <c r="F39" s="13">
        <f>'Suivi EAU-ELEC'!E38</f>
        <v>166</v>
      </c>
      <c r="G39" s="11"/>
      <c r="H39" s="171">
        <f t="shared" ref="H39" si="6">F39*8.79</f>
        <v>1459.1399999999999</v>
      </c>
      <c r="I39" s="172"/>
      <c r="J39" s="172"/>
      <c r="K39" s="60"/>
      <c r="L39" s="90">
        <f>'Suivi EAU-ELEC'!G38</f>
        <v>4360</v>
      </c>
      <c r="M39" s="91">
        <f>'Suivi EAU-ELEC'!I38</f>
        <v>6057</v>
      </c>
      <c r="N39" s="91">
        <f>'Suivi EAU-ELEC'!K38</f>
        <v>2961</v>
      </c>
      <c r="O39" s="91">
        <f t="shared" si="2"/>
        <v>13378</v>
      </c>
      <c r="P39" s="11"/>
      <c r="Q39" s="34">
        <f t="shared" si="3"/>
        <v>12747.404200000001</v>
      </c>
      <c r="R39" s="11"/>
      <c r="S39" s="28"/>
      <c r="T39" s="11"/>
      <c r="U39" s="28"/>
      <c r="V39" s="146">
        <f>'Suvi Gaz'!O33</f>
        <v>735.98183000000006</v>
      </c>
      <c r="W39" s="11"/>
      <c r="X39" s="34">
        <f t="shared" si="1"/>
        <v>9221.8523299000008</v>
      </c>
    </row>
    <row r="40" spans="1:24" ht="33.75" customHeight="1" x14ac:dyDescent="0.2">
      <c r="A40" s="2"/>
      <c r="B40" s="6">
        <v>44926</v>
      </c>
      <c r="C40" s="7"/>
      <c r="D40" s="143">
        <v>152</v>
      </c>
      <c r="E40" s="143">
        <v>197</v>
      </c>
      <c r="F40" s="13">
        <f>'Suivi EAU-ELEC'!E39</f>
        <v>169</v>
      </c>
      <c r="G40" s="11"/>
      <c r="H40" s="171">
        <f t="shared" ref="H40" si="7">F40*8.79</f>
        <v>1485.5099999999998</v>
      </c>
      <c r="I40" s="172"/>
      <c r="J40" s="172"/>
      <c r="K40" s="60"/>
      <c r="L40" s="90">
        <f>'Suivi EAU-ELEC'!G39</f>
        <v>4459</v>
      </c>
      <c r="M40" s="91">
        <f>'Suivi EAU-ELEC'!I39</f>
        <v>6047</v>
      </c>
      <c r="N40" s="91">
        <f>'Suivi EAU-ELEC'!K39</f>
        <v>2920</v>
      </c>
      <c r="O40" s="91">
        <f t="shared" si="2"/>
        <v>13426</v>
      </c>
      <c r="P40" s="11"/>
      <c r="Q40" s="34">
        <f t="shared" si="3"/>
        <v>12752.4953</v>
      </c>
      <c r="R40" s="11"/>
      <c r="S40" s="28"/>
      <c r="T40" s="11"/>
      <c r="U40" s="28"/>
      <c r="V40" s="146">
        <f>'Suvi Gaz'!O34</f>
        <v>639.98419999999999</v>
      </c>
      <c r="W40" s="11"/>
      <c r="X40" s="34">
        <f t="shared" si="1"/>
        <v>8019.0020259999992</v>
      </c>
    </row>
    <row r="41" spans="1:24" ht="42.75" customHeight="1" x14ac:dyDescent="0.2">
      <c r="A41" s="2"/>
      <c r="B41" s="10"/>
      <c r="C41" s="10"/>
      <c r="D41" s="8">
        <f>SUM(D10:D40)</f>
        <v>3313</v>
      </c>
      <c r="E41" s="8">
        <f>SUM(E10:E40)</f>
        <v>5286</v>
      </c>
      <c r="F41" s="151">
        <f>SUM(F10:F40)</f>
        <v>3952.1</v>
      </c>
      <c r="G41" s="1"/>
      <c r="H41" s="252">
        <f>SUM(H10:H40)</f>
        <v>34738.958999999995</v>
      </c>
      <c r="I41" s="253"/>
      <c r="J41" s="254"/>
      <c r="K41" s="1"/>
      <c r="L41" s="53">
        <f>SUM(L10:L40)</f>
        <v>131233</v>
      </c>
      <c r="M41" s="53">
        <f>SUM(M10:M40)</f>
        <v>196257</v>
      </c>
      <c r="N41" s="54">
        <f>SUM(N10:N40)</f>
        <v>93455</v>
      </c>
      <c r="O41" s="55">
        <f>SUM(O10:O40)</f>
        <v>420945</v>
      </c>
      <c r="P41" s="31"/>
      <c r="Q41" s="32">
        <f>SUM(Q10:Q40)</f>
        <v>402836.09789999994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14879.632649999998</v>
      </c>
      <c r="W41" s="31"/>
      <c r="X41" s="32">
        <f>SUM(X10:X40)</f>
        <v>186441.79710450003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7" t="s">
        <v>33</v>
      </c>
      <c r="B43" s="208"/>
      <c r="C43" s="208"/>
      <c r="D43" s="208"/>
      <c r="E43" s="208"/>
      <c r="F43" s="209"/>
      <c r="G43" s="26"/>
      <c r="H43" s="27" t="s">
        <v>34</v>
      </c>
      <c r="I43" s="246" t="s">
        <v>35</v>
      </c>
      <c r="J43" s="247"/>
      <c r="K43" s="248"/>
      <c r="L43" s="221" t="s">
        <v>36</v>
      </c>
      <c r="M43" s="222"/>
      <c r="N43" s="207" t="s">
        <v>37</v>
      </c>
      <c r="O43" s="208"/>
      <c r="P43" s="208"/>
      <c r="Q43" s="208"/>
      <c r="R43" s="208"/>
      <c r="S43" s="208"/>
      <c r="T43" s="208"/>
      <c r="U43" s="208"/>
      <c r="V43" s="208"/>
      <c r="W43" s="208"/>
      <c r="X43" s="209"/>
    </row>
    <row r="44" spans="1:24" s="18" customFormat="1" ht="29.25" customHeight="1" thickBot="1" x14ac:dyDescent="0.25">
      <c r="A44" s="215" t="s">
        <v>38</v>
      </c>
      <c r="B44" s="216"/>
      <c r="C44" s="217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12">
        <f>L41</f>
        <v>131233</v>
      </c>
      <c r="J44" s="213"/>
      <c r="K44" s="214"/>
      <c r="L44" s="173">
        <f>I44*H44</f>
        <v>91666.250499999995</v>
      </c>
      <c r="M44" s="174"/>
      <c r="N44" s="230">
        <f>L44+L45+L46</f>
        <v>402717.6923</v>
      </c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9.25" customHeight="1" thickBot="1" x14ac:dyDescent="0.25">
      <c r="A45" s="218"/>
      <c r="B45" s="219"/>
      <c r="C45" s="220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12">
        <f>M41</f>
        <v>196257</v>
      </c>
      <c r="J45" s="213"/>
      <c r="K45" s="214"/>
      <c r="L45" s="173">
        <f>I45*H45</f>
        <v>186718.90979999999</v>
      </c>
      <c r="M45" s="174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24.75" customHeight="1" thickBot="1" x14ac:dyDescent="0.25">
      <c r="A46" s="218"/>
      <c r="B46" s="219"/>
      <c r="C46" s="220"/>
      <c r="D46" s="161" t="s">
        <v>32</v>
      </c>
      <c r="E46" s="161" t="s">
        <v>32</v>
      </c>
      <c r="F46" s="161" t="s">
        <v>32</v>
      </c>
      <c r="G46" s="20"/>
      <c r="H46" s="20">
        <v>1.3304</v>
      </c>
      <c r="I46" s="243">
        <f>N41</f>
        <v>93455</v>
      </c>
      <c r="J46" s="244"/>
      <c r="K46" s="245"/>
      <c r="L46" s="173">
        <f>I46*H46</f>
        <v>124332.53200000001</v>
      </c>
      <c r="M46" s="174"/>
      <c r="N46" s="236"/>
      <c r="O46" s="237"/>
      <c r="P46" s="237"/>
      <c r="Q46" s="237"/>
      <c r="R46" s="237"/>
      <c r="S46" s="237"/>
      <c r="T46" s="237"/>
      <c r="U46" s="237"/>
      <c r="V46" s="237"/>
      <c r="W46" s="237"/>
      <c r="X46" s="238"/>
    </row>
    <row r="47" spans="1:24" s="18" customFormat="1" ht="43.5" customHeight="1" thickBot="1" x14ac:dyDescent="0.25">
      <c r="A47" s="157"/>
      <c r="B47" s="158"/>
      <c r="C47" s="158"/>
      <c r="D47" s="161"/>
      <c r="E47" s="161"/>
      <c r="F47" s="161"/>
      <c r="G47" s="16"/>
      <c r="H47" s="16"/>
      <c r="I47" s="159"/>
      <c r="J47" s="160"/>
      <c r="K47" s="161"/>
      <c r="L47" s="152"/>
      <c r="M47" s="153"/>
      <c r="N47" s="249">
        <f>N44*1.3</f>
        <v>523532.99999000004</v>
      </c>
      <c r="O47" s="250"/>
      <c r="P47" s="250"/>
      <c r="Q47" s="250"/>
      <c r="R47" s="250"/>
      <c r="S47" s="250"/>
      <c r="T47" s="250"/>
      <c r="U47" s="250"/>
      <c r="V47" s="250"/>
      <c r="W47" s="250"/>
      <c r="X47" s="251"/>
    </row>
    <row r="48" spans="1:24" s="23" customFormat="1" ht="32.25" customHeight="1" thickBot="1" x14ac:dyDescent="0.25">
      <c r="A48" s="204" t="s">
        <v>39</v>
      </c>
      <c r="B48" s="205"/>
      <c r="C48" s="205"/>
      <c r="D48" s="205"/>
      <c r="E48" s="205"/>
      <c r="F48" s="206"/>
      <c r="G48" s="21"/>
      <c r="H48" s="22">
        <v>8.7899999999999991</v>
      </c>
      <c r="I48" s="204">
        <f>F41</f>
        <v>3952.1</v>
      </c>
      <c r="J48" s="205"/>
      <c r="K48" s="206"/>
      <c r="L48" s="210">
        <f>I48*H48</f>
        <v>34738.958999999995</v>
      </c>
      <c r="M48" s="211"/>
      <c r="N48" s="227">
        <f>L48</f>
        <v>34738.958999999995</v>
      </c>
      <c r="O48" s="228"/>
      <c r="P48" s="228"/>
      <c r="Q48" s="228"/>
      <c r="R48" s="228"/>
      <c r="S48" s="228"/>
      <c r="T48" s="228"/>
      <c r="U48" s="228"/>
      <c r="V48" s="228"/>
      <c r="W48" s="228"/>
      <c r="X48" s="229"/>
    </row>
    <row r="49" spans="1:24" s="23" customFormat="1" ht="36.75" customHeight="1" x14ac:dyDescent="0.2">
      <c r="A49" s="239" t="s">
        <v>40</v>
      </c>
      <c r="B49" s="240"/>
      <c r="C49" s="240"/>
      <c r="D49" s="240"/>
      <c r="E49" s="240"/>
      <c r="F49" s="241"/>
      <c r="G49" s="24"/>
      <c r="H49" s="25">
        <v>12.53</v>
      </c>
      <c r="I49" s="202">
        <f>V41</f>
        <v>14879.632649999998</v>
      </c>
      <c r="J49" s="242"/>
      <c r="K49" s="203"/>
      <c r="L49" s="202">
        <f>I49*H49</f>
        <v>186441.79710449997</v>
      </c>
      <c r="M49" s="203"/>
      <c r="N49" s="224">
        <f>L49</f>
        <v>186441.79710449997</v>
      </c>
      <c r="O49" s="225"/>
      <c r="P49" s="225"/>
      <c r="Q49" s="225"/>
      <c r="R49" s="225"/>
      <c r="S49" s="225"/>
      <c r="T49" s="225"/>
      <c r="U49" s="225"/>
      <c r="V49" s="225"/>
      <c r="W49" s="225"/>
      <c r="X49" s="226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4"/>
      <c r="B1" s="275"/>
      <c r="C1" s="275"/>
      <c r="D1" s="276"/>
      <c r="E1" s="257" t="s">
        <v>41</v>
      </c>
      <c r="F1" s="258"/>
      <c r="G1" s="258"/>
      <c r="H1" s="258"/>
      <c r="I1" s="259"/>
      <c r="J1" s="266" t="s">
        <v>42</v>
      </c>
      <c r="K1" s="267"/>
      <c r="L1" s="49"/>
    </row>
    <row r="2" spans="1:12" ht="16.5" customHeight="1" x14ac:dyDescent="0.2">
      <c r="A2" s="277"/>
      <c r="B2" s="278"/>
      <c r="C2" s="278"/>
      <c r="D2" s="279"/>
      <c r="E2" s="260"/>
      <c r="F2" s="261"/>
      <c r="G2" s="261"/>
      <c r="H2" s="261"/>
      <c r="I2" s="262"/>
      <c r="J2" s="268"/>
      <c r="K2" s="269"/>
      <c r="L2" s="49"/>
    </row>
    <row r="3" spans="1:12" ht="48" customHeight="1" x14ac:dyDescent="0.2">
      <c r="A3" s="280"/>
      <c r="B3" s="281"/>
      <c r="C3" s="281"/>
      <c r="D3" s="282"/>
      <c r="E3" s="263"/>
      <c r="F3" s="264"/>
      <c r="G3" s="264"/>
      <c r="H3" s="264"/>
      <c r="I3" s="265"/>
      <c r="J3" s="270"/>
      <c r="K3" s="271"/>
      <c r="L3" s="49"/>
    </row>
    <row r="6" spans="1:12" ht="10.5" customHeight="1" x14ac:dyDescent="0.25"/>
    <row r="7" spans="1:12" ht="16.5" customHeight="1" x14ac:dyDescent="0.2">
      <c r="A7" s="255" t="s">
        <v>43</v>
      </c>
      <c r="B7" s="283" t="s">
        <v>44</v>
      </c>
      <c r="C7" s="284"/>
      <c r="D7" s="272" t="s">
        <v>45</v>
      </c>
      <c r="E7" s="272"/>
      <c r="F7" s="273" t="s">
        <v>46</v>
      </c>
      <c r="G7" s="273"/>
      <c r="H7" s="273"/>
      <c r="I7" s="273"/>
      <c r="J7" s="273"/>
      <c r="K7" s="273"/>
    </row>
    <row r="8" spans="1:12" s="29" customFormat="1" ht="28.5" customHeight="1" x14ac:dyDescent="0.2">
      <c r="A8" s="256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44896</v>
      </c>
      <c r="B9" s="116">
        <v>2594</v>
      </c>
      <c r="C9" s="115">
        <v>0</v>
      </c>
      <c r="D9" s="57">
        <v>176437</v>
      </c>
      <c r="E9" s="50">
        <v>112.1</v>
      </c>
      <c r="F9" s="51">
        <v>12772402</v>
      </c>
      <c r="G9" s="50">
        <v>4442</v>
      </c>
      <c r="H9" s="51">
        <v>21823370</v>
      </c>
      <c r="I9" s="50">
        <v>5771</v>
      </c>
      <c r="J9" s="51">
        <v>9567300</v>
      </c>
      <c r="K9" s="50">
        <v>3068</v>
      </c>
    </row>
    <row r="10" spans="1:12" ht="19.5" x14ac:dyDescent="0.3">
      <c r="A10" s="59">
        <v>44897</v>
      </c>
      <c r="B10" s="116">
        <v>2594</v>
      </c>
      <c r="C10" s="115">
        <f t="shared" ref="C10:C40" si="0">B10-B9</f>
        <v>0</v>
      </c>
      <c r="D10" s="57">
        <v>176562</v>
      </c>
      <c r="E10" s="50">
        <f>D10-D9</f>
        <v>125</v>
      </c>
      <c r="F10" s="51">
        <v>12776918</v>
      </c>
      <c r="G10" s="50">
        <f>F10-F9</f>
        <v>4516</v>
      </c>
      <c r="H10" s="51">
        <v>21829753</v>
      </c>
      <c r="I10" s="50">
        <f t="shared" ref="I10:I40" si="1">H10-H9</f>
        <v>6383</v>
      </c>
      <c r="J10" s="51">
        <v>9570166</v>
      </c>
      <c r="K10" s="50">
        <f>J10-J9</f>
        <v>2866</v>
      </c>
    </row>
    <row r="11" spans="1:12" ht="19.5" x14ac:dyDescent="0.3">
      <c r="A11" s="59">
        <v>44898</v>
      </c>
      <c r="B11" s="116">
        <v>2594</v>
      </c>
      <c r="C11" s="115">
        <f t="shared" si="0"/>
        <v>0</v>
      </c>
      <c r="D11" s="57">
        <v>176684</v>
      </c>
      <c r="E11" s="50">
        <f t="shared" ref="E11:E40" si="2">D11-D10</f>
        <v>122</v>
      </c>
      <c r="F11" s="51">
        <v>12781273</v>
      </c>
      <c r="G11" s="50">
        <f t="shared" ref="G11:G40" si="3">F11-F10</f>
        <v>4355</v>
      </c>
      <c r="H11" s="51">
        <v>21835902</v>
      </c>
      <c r="I11" s="50">
        <f t="shared" si="1"/>
        <v>6149</v>
      </c>
      <c r="J11" s="51">
        <v>9573164</v>
      </c>
      <c r="K11" s="50">
        <f t="shared" ref="K11:K40" si="4">J11-J10</f>
        <v>2998</v>
      </c>
    </row>
    <row r="12" spans="1:12" ht="19.5" x14ac:dyDescent="0.3">
      <c r="A12" s="59">
        <v>44899</v>
      </c>
      <c r="B12" s="116">
        <v>2594</v>
      </c>
      <c r="C12" s="115">
        <f t="shared" si="0"/>
        <v>0</v>
      </c>
      <c r="D12" s="57">
        <v>176815</v>
      </c>
      <c r="E12" s="50">
        <f t="shared" si="2"/>
        <v>131</v>
      </c>
      <c r="F12" s="51">
        <v>12785272</v>
      </c>
      <c r="G12" s="50">
        <f t="shared" si="3"/>
        <v>3999</v>
      </c>
      <c r="H12" s="51">
        <v>21842097</v>
      </c>
      <c r="I12" s="50">
        <f t="shared" si="1"/>
        <v>6195</v>
      </c>
      <c r="J12" s="51">
        <v>9576016</v>
      </c>
      <c r="K12" s="50">
        <f t="shared" si="4"/>
        <v>2852</v>
      </c>
    </row>
    <row r="13" spans="1:12" ht="19.5" x14ac:dyDescent="0.3">
      <c r="A13" s="59">
        <v>44900</v>
      </c>
      <c r="B13" s="116">
        <v>2594</v>
      </c>
      <c r="C13" s="115">
        <f t="shared" si="0"/>
        <v>0</v>
      </c>
      <c r="D13" s="57">
        <v>176937</v>
      </c>
      <c r="E13" s="50">
        <f t="shared" si="2"/>
        <v>122</v>
      </c>
      <c r="F13" s="51">
        <v>12789368</v>
      </c>
      <c r="G13" s="50">
        <f t="shared" si="3"/>
        <v>4096</v>
      </c>
      <c r="H13" s="51">
        <v>21848179</v>
      </c>
      <c r="I13" s="50">
        <f t="shared" si="1"/>
        <v>6082</v>
      </c>
      <c r="J13" s="51">
        <v>9578971</v>
      </c>
      <c r="K13" s="50">
        <f t="shared" si="4"/>
        <v>2955</v>
      </c>
    </row>
    <row r="14" spans="1:12" ht="19.5" x14ac:dyDescent="0.3">
      <c r="A14" s="59">
        <v>44901</v>
      </c>
      <c r="B14" s="116">
        <v>2594</v>
      </c>
      <c r="C14" s="115">
        <f t="shared" si="0"/>
        <v>0</v>
      </c>
      <c r="D14" s="57">
        <v>177069</v>
      </c>
      <c r="E14" s="50">
        <f t="shared" si="2"/>
        <v>132</v>
      </c>
      <c r="F14" s="51">
        <v>12793317</v>
      </c>
      <c r="G14" s="50">
        <f t="shared" si="3"/>
        <v>3949</v>
      </c>
      <c r="H14" s="51">
        <v>21854104</v>
      </c>
      <c r="I14" s="50">
        <f t="shared" si="1"/>
        <v>5925</v>
      </c>
      <c r="J14" s="51">
        <v>9581716</v>
      </c>
      <c r="K14" s="50">
        <f t="shared" si="4"/>
        <v>2745</v>
      </c>
    </row>
    <row r="15" spans="1:12" ht="19.5" x14ac:dyDescent="0.3">
      <c r="A15" s="59">
        <v>44902</v>
      </c>
      <c r="B15" s="116">
        <v>2594</v>
      </c>
      <c r="C15" s="115">
        <f t="shared" si="0"/>
        <v>0</v>
      </c>
      <c r="D15" s="57">
        <v>177190</v>
      </c>
      <c r="E15" s="50">
        <f t="shared" si="2"/>
        <v>121</v>
      </c>
      <c r="F15" s="51">
        <v>12797614</v>
      </c>
      <c r="G15" s="50">
        <f t="shared" si="3"/>
        <v>4297</v>
      </c>
      <c r="H15" s="51">
        <v>21860877</v>
      </c>
      <c r="I15" s="50">
        <f t="shared" si="1"/>
        <v>6773</v>
      </c>
      <c r="J15" s="51">
        <v>9584798</v>
      </c>
      <c r="K15" s="50">
        <f t="shared" si="4"/>
        <v>3082</v>
      </c>
    </row>
    <row r="16" spans="1:12" ht="19.5" x14ac:dyDescent="0.3">
      <c r="A16" s="59">
        <v>44903</v>
      </c>
      <c r="B16" s="116">
        <v>2594</v>
      </c>
      <c r="C16" s="115">
        <f t="shared" si="0"/>
        <v>0</v>
      </c>
      <c r="D16" s="57">
        <v>177300</v>
      </c>
      <c r="E16" s="50">
        <f t="shared" si="2"/>
        <v>110</v>
      </c>
      <c r="F16" s="51">
        <v>12801571</v>
      </c>
      <c r="G16" s="50">
        <f t="shared" si="3"/>
        <v>3957</v>
      </c>
      <c r="H16" s="51">
        <v>21867730</v>
      </c>
      <c r="I16" s="50">
        <f t="shared" si="1"/>
        <v>6853</v>
      </c>
      <c r="J16" s="51">
        <v>9587915</v>
      </c>
      <c r="K16" s="50">
        <f t="shared" si="4"/>
        <v>3117</v>
      </c>
    </row>
    <row r="17" spans="1:29" ht="19.5" x14ac:dyDescent="0.3">
      <c r="A17" s="59">
        <v>44904</v>
      </c>
      <c r="B17" s="116">
        <v>2594</v>
      </c>
      <c r="C17" s="115">
        <f t="shared" si="0"/>
        <v>0</v>
      </c>
      <c r="D17" s="57">
        <v>177441</v>
      </c>
      <c r="E17" s="50">
        <f t="shared" si="2"/>
        <v>141</v>
      </c>
      <c r="F17" s="51">
        <v>12805999</v>
      </c>
      <c r="G17" s="50">
        <f t="shared" si="3"/>
        <v>4428</v>
      </c>
      <c r="H17" s="51">
        <v>21874299</v>
      </c>
      <c r="I17" s="50">
        <f t="shared" si="1"/>
        <v>6569</v>
      </c>
      <c r="J17" s="51">
        <v>9591038</v>
      </c>
      <c r="K17" s="50">
        <f t="shared" si="4"/>
        <v>3123</v>
      </c>
    </row>
    <row r="18" spans="1:29" ht="19.5" x14ac:dyDescent="0.3">
      <c r="A18" s="59">
        <v>44905</v>
      </c>
      <c r="B18" s="116">
        <v>2594</v>
      </c>
      <c r="C18" s="115">
        <f t="shared" si="0"/>
        <v>0</v>
      </c>
      <c r="D18" s="57">
        <v>177570</v>
      </c>
      <c r="E18" s="50">
        <f t="shared" si="2"/>
        <v>129</v>
      </c>
      <c r="F18" s="51">
        <v>12810756</v>
      </c>
      <c r="G18" s="50">
        <f t="shared" si="3"/>
        <v>4757</v>
      </c>
      <c r="H18" s="51">
        <v>21881842</v>
      </c>
      <c r="I18" s="50">
        <f t="shared" si="1"/>
        <v>7543</v>
      </c>
      <c r="J18" s="51">
        <v>9594383</v>
      </c>
      <c r="K18" s="50">
        <f t="shared" si="4"/>
        <v>3345</v>
      </c>
    </row>
    <row r="19" spans="1:29" ht="19.5" x14ac:dyDescent="0.3">
      <c r="A19" s="59">
        <v>44906</v>
      </c>
      <c r="B19" s="116">
        <v>2594</v>
      </c>
      <c r="C19" s="115">
        <f t="shared" si="0"/>
        <v>0</v>
      </c>
      <c r="D19" s="57">
        <v>177684</v>
      </c>
      <c r="E19" s="50">
        <f t="shared" si="2"/>
        <v>114</v>
      </c>
      <c r="F19" s="51">
        <v>12814830</v>
      </c>
      <c r="G19" s="50">
        <f t="shared" si="3"/>
        <v>4074</v>
      </c>
      <c r="H19" s="51">
        <v>21888301</v>
      </c>
      <c r="I19" s="50">
        <f t="shared" si="1"/>
        <v>6459</v>
      </c>
      <c r="J19" s="51">
        <v>9597917</v>
      </c>
      <c r="K19" s="50">
        <f t="shared" si="4"/>
        <v>3534</v>
      </c>
    </row>
    <row r="20" spans="1:29" ht="25.5" x14ac:dyDescent="0.35">
      <c r="A20" s="59">
        <v>44907</v>
      </c>
      <c r="B20" s="116">
        <v>2594</v>
      </c>
      <c r="C20" s="115">
        <f t="shared" si="0"/>
        <v>0</v>
      </c>
      <c r="D20" s="57">
        <v>177804</v>
      </c>
      <c r="E20" s="50">
        <f t="shared" si="2"/>
        <v>120</v>
      </c>
      <c r="F20" s="51">
        <v>12818976</v>
      </c>
      <c r="G20" s="50">
        <f t="shared" si="3"/>
        <v>4146</v>
      </c>
      <c r="H20" s="51">
        <v>21893810</v>
      </c>
      <c r="I20" s="50">
        <f t="shared" si="1"/>
        <v>5509</v>
      </c>
      <c r="J20" s="51">
        <v>9600643</v>
      </c>
      <c r="K20" s="50">
        <f t="shared" si="4"/>
        <v>2726</v>
      </c>
      <c r="L20" s="117" t="s">
        <v>18</v>
      </c>
      <c r="AC20" t="s">
        <v>56</v>
      </c>
    </row>
    <row r="21" spans="1:29" ht="19.5" x14ac:dyDescent="0.3">
      <c r="A21" s="59">
        <v>44908</v>
      </c>
      <c r="B21" s="116">
        <v>2594</v>
      </c>
      <c r="C21" s="115">
        <f t="shared" si="0"/>
        <v>0</v>
      </c>
      <c r="D21" s="57">
        <v>177893</v>
      </c>
      <c r="E21" s="50">
        <f t="shared" si="2"/>
        <v>89</v>
      </c>
      <c r="F21" s="51">
        <v>12823371</v>
      </c>
      <c r="G21" s="50">
        <f t="shared" si="3"/>
        <v>4395</v>
      </c>
      <c r="H21" s="51">
        <v>21901035</v>
      </c>
      <c r="I21" s="50">
        <f t="shared" si="1"/>
        <v>7225</v>
      </c>
      <c r="J21" s="51">
        <v>9603852</v>
      </c>
      <c r="K21" s="50">
        <f t="shared" si="4"/>
        <v>3209</v>
      </c>
    </row>
    <row r="22" spans="1:29" ht="19.5" x14ac:dyDescent="0.3">
      <c r="A22" s="59">
        <v>44909</v>
      </c>
      <c r="B22" s="116">
        <v>2594</v>
      </c>
      <c r="C22" s="115">
        <f t="shared" si="0"/>
        <v>0</v>
      </c>
      <c r="D22" s="57">
        <v>178009</v>
      </c>
      <c r="E22" s="50">
        <f t="shared" si="2"/>
        <v>116</v>
      </c>
      <c r="F22" s="51">
        <v>12827501</v>
      </c>
      <c r="G22" s="50">
        <f t="shared" si="3"/>
        <v>4130</v>
      </c>
      <c r="H22" s="51">
        <v>21907845</v>
      </c>
      <c r="I22" s="50">
        <f t="shared" si="1"/>
        <v>6810</v>
      </c>
      <c r="J22" s="51">
        <v>9607100</v>
      </c>
      <c r="K22" s="50">
        <f t="shared" si="4"/>
        <v>3248</v>
      </c>
    </row>
    <row r="23" spans="1:29" ht="19.5" x14ac:dyDescent="0.3">
      <c r="A23" s="59">
        <v>44910</v>
      </c>
      <c r="B23" s="116">
        <v>2594</v>
      </c>
      <c r="C23" s="115">
        <f t="shared" si="0"/>
        <v>0</v>
      </c>
      <c r="D23" s="57">
        <v>178125</v>
      </c>
      <c r="E23" s="50">
        <f t="shared" si="2"/>
        <v>116</v>
      </c>
      <c r="F23" s="51">
        <v>12831737</v>
      </c>
      <c r="G23" s="50">
        <f t="shared" si="3"/>
        <v>4236</v>
      </c>
      <c r="H23" s="51">
        <v>21915182</v>
      </c>
      <c r="I23" s="50">
        <f t="shared" si="1"/>
        <v>7337</v>
      </c>
      <c r="J23" s="51">
        <v>9610167</v>
      </c>
      <c r="K23" s="50">
        <f t="shared" si="4"/>
        <v>3067</v>
      </c>
    </row>
    <row r="24" spans="1:29" ht="19.5" x14ac:dyDescent="0.3">
      <c r="A24" s="59">
        <v>44911</v>
      </c>
      <c r="B24" s="116">
        <v>2594</v>
      </c>
      <c r="C24" s="115">
        <f t="shared" si="0"/>
        <v>0</v>
      </c>
      <c r="D24" s="57">
        <v>178252</v>
      </c>
      <c r="E24" s="50">
        <f t="shared" si="2"/>
        <v>127</v>
      </c>
      <c r="F24" s="51">
        <v>12836276</v>
      </c>
      <c r="G24" s="50">
        <f t="shared" si="3"/>
        <v>4539</v>
      </c>
      <c r="H24" s="51">
        <v>21921435</v>
      </c>
      <c r="I24" s="50">
        <f t="shared" si="1"/>
        <v>6253</v>
      </c>
      <c r="J24" s="51">
        <v>9613037</v>
      </c>
      <c r="K24" s="50">
        <f t="shared" si="4"/>
        <v>2870</v>
      </c>
    </row>
    <row r="25" spans="1:29" ht="19.5" x14ac:dyDescent="0.3">
      <c r="A25" s="59">
        <v>44912</v>
      </c>
      <c r="B25" s="116">
        <v>2594</v>
      </c>
      <c r="C25" s="115">
        <f t="shared" si="0"/>
        <v>0</v>
      </c>
      <c r="D25" s="57">
        <v>178335</v>
      </c>
      <c r="E25" s="50">
        <f t="shared" si="2"/>
        <v>83</v>
      </c>
      <c r="F25" s="51">
        <v>12840720</v>
      </c>
      <c r="G25" s="50">
        <f t="shared" si="3"/>
        <v>4444</v>
      </c>
      <c r="H25" s="51">
        <v>21928635</v>
      </c>
      <c r="I25" s="50">
        <f t="shared" si="1"/>
        <v>7200</v>
      </c>
      <c r="J25" s="51">
        <v>9616356</v>
      </c>
      <c r="K25" s="50">
        <f t="shared" si="4"/>
        <v>3319</v>
      </c>
    </row>
    <row r="26" spans="1:29" ht="19.5" x14ac:dyDescent="0.3">
      <c r="A26" s="59">
        <v>44913</v>
      </c>
      <c r="B26" s="116">
        <v>2594</v>
      </c>
      <c r="C26" s="115">
        <f t="shared" si="0"/>
        <v>0</v>
      </c>
      <c r="D26" s="57">
        <v>178469</v>
      </c>
      <c r="E26" s="50">
        <f t="shared" si="2"/>
        <v>134</v>
      </c>
      <c r="F26" s="51">
        <v>12845101</v>
      </c>
      <c r="G26" s="50">
        <f t="shared" si="3"/>
        <v>4381</v>
      </c>
      <c r="H26" s="51">
        <v>21934652</v>
      </c>
      <c r="I26" s="50">
        <f t="shared" si="1"/>
        <v>6017</v>
      </c>
      <c r="J26" s="51">
        <v>9619411</v>
      </c>
      <c r="K26" s="50">
        <f t="shared" si="4"/>
        <v>3055</v>
      </c>
    </row>
    <row r="27" spans="1:29" ht="19.5" x14ac:dyDescent="0.3">
      <c r="A27" s="59">
        <v>44914</v>
      </c>
      <c r="B27" s="116">
        <v>2594</v>
      </c>
      <c r="C27" s="115">
        <f t="shared" si="0"/>
        <v>0</v>
      </c>
      <c r="D27" s="57">
        <v>178565</v>
      </c>
      <c r="E27" s="50">
        <f t="shared" si="2"/>
        <v>96</v>
      </c>
      <c r="F27" s="51">
        <v>12849227</v>
      </c>
      <c r="G27" s="50">
        <f t="shared" si="3"/>
        <v>4126</v>
      </c>
      <c r="H27" s="51">
        <v>21940627</v>
      </c>
      <c r="I27" s="50">
        <f t="shared" si="1"/>
        <v>5975</v>
      </c>
      <c r="J27" s="51">
        <v>9622226</v>
      </c>
      <c r="K27" s="50">
        <f t="shared" si="4"/>
        <v>2815</v>
      </c>
    </row>
    <row r="28" spans="1:29" ht="19.5" x14ac:dyDescent="0.3">
      <c r="A28" s="59">
        <v>44915</v>
      </c>
      <c r="B28" s="116">
        <v>2594</v>
      </c>
      <c r="C28" s="115">
        <f t="shared" si="0"/>
        <v>0</v>
      </c>
      <c r="D28" s="57">
        <v>178669</v>
      </c>
      <c r="E28" s="50">
        <f t="shared" si="2"/>
        <v>104</v>
      </c>
      <c r="F28" s="51">
        <v>12853283</v>
      </c>
      <c r="G28" s="50">
        <f t="shared" si="3"/>
        <v>4056</v>
      </c>
      <c r="H28" s="51">
        <v>21947087</v>
      </c>
      <c r="I28" s="50">
        <f t="shared" si="1"/>
        <v>6460</v>
      </c>
      <c r="J28" s="51">
        <v>9625179</v>
      </c>
      <c r="K28" s="50">
        <f t="shared" si="4"/>
        <v>2953</v>
      </c>
    </row>
    <row r="29" spans="1:29" ht="19.5" x14ac:dyDescent="0.3">
      <c r="A29" s="59">
        <v>44916</v>
      </c>
      <c r="B29" s="116">
        <v>2594</v>
      </c>
      <c r="C29" s="115">
        <f t="shared" si="0"/>
        <v>0</v>
      </c>
      <c r="D29" s="57">
        <v>178816</v>
      </c>
      <c r="E29" s="50">
        <f t="shared" si="2"/>
        <v>147</v>
      </c>
      <c r="F29" s="51">
        <v>12857442</v>
      </c>
      <c r="G29" s="50">
        <f t="shared" si="3"/>
        <v>4159</v>
      </c>
      <c r="H29" s="51">
        <v>21953240</v>
      </c>
      <c r="I29" s="50">
        <f t="shared" si="1"/>
        <v>6153</v>
      </c>
      <c r="J29" s="51">
        <v>9628182</v>
      </c>
      <c r="K29" s="50">
        <f t="shared" si="4"/>
        <v>3003</v>
      </c>
    </row>
    <row r="30" spans="1:29" ht="19.5" x14ac:dyDescent="0.3">
      <c r="A30" s="59">
        <v>44917</v>
      </c>
      <c r="B30" s="116">
        <v>2594</v>
      </c>
      <c r="C30" s="115">
        <f t="shared" si="0"/>
        <v>0</v>
      </c>
      <c r="D30" s="57">
        <v>178936</v>
      </c>
      <c r="E30" s="50">
        <f t="shared" si="2"/>
        <v>120</v>
      </c>
      <c r="F30" s="51">
        <v>12861508</v>
      </c>
      <c r="G30" s="50">
        <f t="shared" si="3"/>
        <v>4066</v>
      </c>
      <c r="H30" s="51">
        <v>21959418</v>
      </c>
      <c r="I30" s="50">
        <f t="shared" si="1"/>
        <v>6178</v>
      </c>
      <c r="J30" s="51">
        <v>9631216</v>
      </c>
      <c r="K30" s="50">
        <f t="shared" si="4"/>
        <v>3034</v>
      </c>
    </row>
    <row r="31" spans="1:29" ht="19.5" x14ac:dyDescent="0.3">
      <c r="A31" s="59">
        <v>44918</v>
      </c>
      <c r="B31" s="116">
        <v>2594</v>
      </c>
      <c r="C31" s="115">
        <f t="shared" si="0"/>
        <v>0</v>
      </c>
      <c r="D31" s="57">
        <v>179066</v>
      </c>
      <c r="E31" s="50">
        <f t="shared" si="2"/>
        <v>130</v>
      </c>
      <c r="F31" s="51">
        <v>12865689</v>
      </c>
      <c r="G31" s="50">
        <f t="shared" si="3"/>
        <v>4181</v>
      </c>
      <c r="H31" s="51">
        <v>21965539</v>
      </c>
      <c r="I31" s="50">
        <f t="shared" si="1"/>
        <v>6121</v>
      </c>
      <c r="J31" s="51">
        <v>9634057</v>
      </c>
      <c r="K31" s="50">
        <f t="shared" si="4"/>
        <v>2841</v>
      </c>
    </row>
    <row r="32" spans="1:29" ht="19.5" x14ac:dyDescent="0.3">
      <c r="A32" s="59">
        <v>44919</v>
      </c>
      <c r="B32" s="116">
        <v>2594</v>
      </c>
      <c r="C32" s="115">
        <f t="shared" si="0"/>
        <v>0</v>
      </c>
      <c r="D32" s="57">
        <v>179183</v>
      </c>
      <c r="E32" s="50">
        <f t="shared" si="2"/>
        <v>117</v>
      </c>
      <c r="F32" s="51">
        <v>12869701</v>
      </c>
      <c r="G32" s="50">
        <f t="shared" si="3"/>
        <v>4012</v>
      </c>
      <c r="H32" s="51">
        <v>21971459</v>
      </c>
      <c r="I32" s="50">
        <f t="shared" si="1"/>
        <v>5920</v>
      </c>
      <c r="J32" s="51">
        <v>9636746</v>
      </c>
      <c r="K32" s="50">
        <f t="shared" si="4"/>
        <v>2689</v>
      </c>
    </row>
    <row r="33" spans="1:11" ht="19.5" x14ac:dyDescent="0.3">
      <c r="A33" s="59">
        <v>44920</v>
      </c>
      <c r="B33" s="116">
        <v>2594</v>
      </c>
      <c r="C33" s="115">
        <f t="shared" si="0"/>
        <v>0</v>
      </c>
      <c r="D33" s="57">
        <v>179309</v>
      </c>
      <c r="E33" s="50">
        <f t="shared" si="2"/>
        <v>126</v>
      </c>
      <c r="F33" s="51">
        <v>12873742</v>
      </c>
      <c r="G33" s="50">
        <f t="shared" si="3"/>
        <v>4041</v>
      </c>
      <c r="H33" s="51">
        <v>21977360</v>
      </c>
      <c r="I33" s="50">
        <f t="shared" si="1"/>
        <v>5901</v>
      </c>
      <c r="J33" s="51">
        <v>9639780</v>
      </c>
      <c r="K33" s="50">
        <f t="shared" si="4"/>
        <v>3034</v>
      </c>
    </row>
    <row r="34" spans="1:11" ht="19.5" x14ac:dyDescent="0.3">
      <c r="A34" s="59">
        <v>44921</v>
      </c>
      <c r="B34" s="116">
        <v>2594</v>
      </c>
      <c r="C34" s="115">
        <f t="shared" si="0"/>
        <v>0</v>
      </c>
      <c r="D34" s="57">
        <v>179479</v>
      </c>
      <c r="E34" s="50">
        <f t="shared" si="2"/>
        <v>170</v>
      </c>
      <c r="F34" s="51">
        <v>12878064</v>
      </c>
      <c r="G34" s="50">
        <f t="shared" si="3"/>
        <v>4322</v>
      </c>
      <c r="H34" s="51">
        <v>21983345</v>
      </c>
      <c r="I34" s="50">
        <f t="shared" si="1"/>
        <v>5985</v>
      </c>
      <c r="J34" s="51">
        <v>9642701</v>
      </c>
      <c r="K34" s="50">
        <f t="shared" si="4"/>
        <v>2921</v>
      </c>
    </row>
    <row r="35" spans="1:11" ht="19.5" x14ac:dyDescent="0.3">
      <c r="A35" s="59">
        <v>44922</v>
      </c>
      <c r="B35" s="116">
        <v>2594</v>
      </c>
      <c r="C35" s="115">
        <f t="shared" si="0"/>
        <v>0</v>
      </c>
      <c r="D35" s="57">
        <v>179632</v>
      </c>
      <c r="E35" s="50">
        <f t="shared" si="2"/>
        <v>153</v>
      </c>
      <c r="F35" s="51">
        <v>12882514</v>
      </c>
      <c r="G35" s="50">
        <f t="shared" si="3"/>
        <v>4450</v>
      </c>
      <c r="H35" s="51">
        <v>21989434</v>
      </c>
      <c r="I35" s="50">
        <f t="shared" si="1"/>
        <v>6089</v>
      </c>
      <c r="J35" s="51">
        <v>9645715</v>
      </c>
      <c r="K35" s="50">
        <f t="shared" si="4"/>
        <v>3014</v>
      </c>
    </row>
    <row r="36" spans="1:11" ht="19.5" x14ac:dyDescent="0.3">
      <c r="A36" s="59">
        <v>44923</v>
      </c>
      <c r="B36" s="116">
        <v>2594</v>
      </c>
      <c r="C36" s="115">
        <f t="shared" si="0"/>
        <v>0</v>
      </c>
      <c r="D36" s="57">
        <v>179793</v>
      </c>
      <c r="E36" s="50">
        <f t="shared" si="2"/>
        <v>161</v>
      </c>
      <c r="F36" s="51">
        <v>12886397</v>
      </c>
      <c r="G36" s="50">
        <f t="shared" si="3"/>
        <v>3883</v>
      </c>
      <c r="H36" s="51">
        <v>21995481</v>
      </c>
      <c r="I36" s="50">
        <f t="shared" si="1"/>
        <v>6047</v>
      </c>
      <c r="J36" s="51">
        <v>9648730</v>
      </c>
      <c r="K36" s="50">
        <f t="shared" si="4"/>
        <v>3015</v>
      </c>
    </row>
    <row r="37" spans="1:11" ht="19.5" x14ac:dyDescent="0.3">
      <c r="A37" s="59">
        <v>44924</v>
      </c>
      <c r="B37" s="116">
        <v>2594</v>
      </c>
      <c r="C37" s="115">
        <f t="shared" si="0"/>
        <v>0</v>
      </c>
      <c r="D37" s="57">
        <v>179942</v>
      </c>
      <c r="E37" s="50">
        <f t="shared" si="2"/>
        <v>149</v>
      </c>
      <c r="F37" s="51">
        <v>12890374</v>
      </c>
      <c r="G37" s="50">
        <f t="shared" si="3"/>
        <v>3977</v>
      </c>
      <c r="H37" s="51">
        <v>22001752</v>
      </c>
      <c r="I37" s="50">
        <f t="shared" si="1"/>
        <v>6271</v>
      </c>
      <c r="J37" s="51">
        <v>9651806</v>
      </c>
      <c r="K37" s="50">
        <f t="shared" si="4"/>
        <v>3076</v>
      </c>
    </row>
    <row r="38" spans="1:11" ht="19.5" x14ac:dyDescent="0.3">
      <c r="A38" s="59">
        <v>44925</v>
      </c>
      <c r="B38" s="116">
        <v>2594</v>
      </c>
      <c r="C38" s="115">
        <f t="shared" si="0"/>
        <v>0</v>
      </c>
      <c r="D38" s="57">
        <v>180108</v>
      </c>
      <c r="E38" s="50">
        <f t="shared" si="2"/>
        <v>166</v>
      </c>
      <c r="F38" s="51">
        <v>12894734</v>
      </c>
      <c r="G38" s="50">
        <f t="shared" si="3"/>
        <v>4360</v>
      </c>
      <c r="H38" s="51">
        <v>22007809</v>
      </c>
      <c r="I38" s="50">
        <f t="shared" si="1"/>
        <v>6057</v>
      </c>
      <c r="J38" s="51">
        <v>9654767</v>
      </c>
      <c r="K38" s="50">
        <f t="shared" si="4"/>
        <v>2961</v>
      </c>
    </row>
    <row r="39" spans="1:11" ht="19.5" x14ac:dyDescent="0.3">
      <c r="A39" s="59">
        <v>44926</v>
      </c>
      <c r="B39" s="116">
        <v>2594</v>
      </c>
      <c r="C39" s="115">
        <f t="shared" si="0"/>
        <v>0</v>
      </c>
      <c r="D39" s="57">
        <v>180277</v>
      </c>
      <c r="E39" s="50">
        <f t="shared" si="2"/>
        <v>169</v>
      </c>
      <c r="F39" s="51">
        <v>12899193</v>
      </c>
      <c r="G39" s="50">
        <f t="shared" si="3"/>
        <v>4459</v>
      </c>
      <c r="H39" s="51">
        <v>22013856</v>
      </c>
      <c r="I39" s="50">
        <f t="shared" si="1"/>
        <v>6047</v>
      </c>
      <c r="J39" s="51">
        <v>9657687</v>
      </c>
      <c r="K39" s="50">
        <f t="shared" si="4"/>
        <v>2920</v>
      </c>
    </row>
    <row r="40" spans="1:11" ht="19.5" x14ac:dyDescent="0.3">
      <c r="A40" s="59">
        <v>44927</v>
      </c>
      <c r="B40" s="116">
        <v>2594</v>
      </c>
      <c r="C40" s="115">
        <f t="shared" si="0"/>
        <v>0</v>
      </c>
      <c r="D40" s="57">
        <v>180444</v>
      </c>
      <c r="E40" s="50">
        <f t="shared" si="2"/>
        <v>167</v>
      </c>
      <c r="F40" s="51">
        <v>12903932</v>
      </c>
      <c r="G40" s="50">
        <f t="shared" si="3"/>
        <v>4739</v>
      </c>
      <c r="H40" s="51">
        <v>22022400</v>
      </c>
      <c r="I40" s="50">
        <f t="shared" si="1"/>
        <v>8544</v>
      </c>
      <c r="J40" s="51">
        <v>9661505</v>
      </c>
      <c r="K40" s="50">
        <f t="shared" si="4"/>
        <v>3818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0:E40">
    <cfRule type="cellIs" dxfId="3" priority="6" stopIfTrue="1" operator="lessThanOrEqual">
      <formula>0</formula>
    </cfRule>
  </conditionalFormatting>
  <conditionalFormatting sqref="E10:E40">
    <cfRule type="cellIs" dxfId="2" priority="5" stopIfTrue="1" operator="lessThanOrEqual">
      <formula>0</formula>
    </cfRule>
  </conditionalFormatting>
  <conditionalFormatting sqref="E9">
    <cfRule type="cellIs" dxfId="1" priority="4" stopIfTrue="1" operator="lessThanOrEqual">
      <formula>0</formula>
    </cfRule>
  </conditionalFormatting>
  <conditionalFormatting sqref="E9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D28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8" t="s">
        <v>57</v>
      </c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 spans="1:31" ht="41.25" customHeight="1" thickBot="1" x14ac:dyDescent="0.4">
      <c r="Q2" s="293">
        <v>803</v>
      </c>
      <c r="R2" s="294"/>
      <c r="S2" s="295"/>
      <c r="T2" s="296">
        <v>519</v>
      </c>
      <c r="U2" s="294"/>
      <c r="V2" s="295"/>
      <c r="W2" s="296">
        <v>800</v>
      </c>
      <c r="X2" s="294"/>
      <c r="Y2" s="295"/>
      <c r="Z2" s="296">
        <v>802</v>
      </c>
      <c r="AA2" s="294"/>
      <c r="AB2" s="297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8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O4*12.53</f>
        <v>4410.4511143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8">
        <f t="shared" si="3"/>
        <v>24196</v>
      </c>
      <c r="N5" s="39">
        <f>L5*M5/100</f>
        <v>423.43</v>
      </c>
      <c r="O5" s="39">
        <f t="shared" ref="O5:O34" si="10">N5*0.529</f>
        <v>223.99447000000001</v>
      </c>
      <c r="P5" s="42">
        <f t="shared" ref="P5:P34" si="11">O5*12.53</f>
        <v>2806.6507090999999</v>
      </c>
      <c r="Q5" s="165">
        <v>2100</v>
      </c>
      <c r="R5" s="165">
        <v>46</v>
      </c>
      <c r="S5" s="165">
        <v>66</v>
      </c>
      <c r="T5" s="165">
        <v>2096</v>
      </c>
      <c r="U5" s="165">
        <v>41</v>
      </c>
      <c r="V5" s="165">
        <v>65</v>
      </c>
      <c r="W5" s="165">
        <v>2098</v>
      </c>
      <c r="X5" s="165">
        <v>49</v>
      </c>
      <c r="Y5" s="165">
        <v>70</v>
      </c>
      <c r="Z5" s="165">
        <v>2095</v>
      </c>
      <c r="AA5" s="165">
        <v>46</v>
      </c>
      <c r="AB5" s="165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 x14ac:dyDescent="0.3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2">IF(AC6&gt;0,((H6-AA6)+(AB6-H7)),IF(H7=0, ,(H6-H7)))</f>
        <v>5</v>
      </c>
      <c r="J6" s="39">
        <f t="shared" ref="J6:J42" si="13">B6+D6+F6+H6</f>
        <v>265</v>
      </c>
      <c r="K6" s="39">
        <f t="shared" ref="K6:K42" si="14">J6/4</f>
        <v>66.25</v>
      </c>
      <c r="L6" s="39">
        <f t="shared" ref="L6:L19" si="15">IF(AC6&gt;0,((K6-AD6)+(AE6-K7)),IF(K7=0, ,(K6-K7)))</f>
        <v>3.75</v>
      </c>
      <c r="M6" s="148">
        <f t="shared" si="3"/>
        <v>24196</v>
      </c>
      <c r="N6" s="39">
        <f t="shared" ref="N6:N42" si="16">L6*M6/100</f>
        <v>907.35</v>
      </c>
      <c r="O6" s="39">
        <f t="shared" si="10"/>
        <v>479.98815000000002</v>
      </c>
      <c r="P6" s="42">
        <f t="shared" si="11"/>
        <v>6014.2515194999996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2"/>
        <v>5</v>
      </c>
      <c r="J7" s="39">
        <f t="shared" si="13"/>
        <v>250</v>
      </c>
      <c r="K7" s="39">
        <f t="shared" si="14"/>
        <v>62.5</v>
      </c>
      <c r="L7" s="39">
        <f t="shared" si="15"/>
        <v>4.25</v>
      </c>
      <c r="M7" s="148">
        <f t="shared" si="3"/>
        <v>24196</v>
      </c>
      <c r="N7" s="39">
        <f t="shared" si="16"/>
        <v>1028.33</v>
      </c>
      <c r="O7" s="39">
        <f t="shared" si="10"/>
        <v>543.98657000000003</v>
      </c>
      <c r="P7" s="42">
        <f t="shared" si="11"/>
        <v>6816.1517221000004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2"/>
        <v>2</v>
      </c>
      <c r="J8" s="39">
        <f t="shared" si="13"/>
        <v>233</v>
      </c>
      <c r="K8" s="39">
        <f t="shared" si="14"/>
        <v>58.25</v>
      </c>
      <c r="L8" s="39">
        <f t="shared" si="15"/>
        <v>2</v>
      </c>
      <c r="M8" s="148">
        <f>6049*4</f>
        <v>24196</v>
      </c>
      <c r="N8" s="39">
        <f t="shared" si="16"/>
        <v>483.92</v>
      </c>
      <c r="O8" s="39">
        <f t="shared" si="10"/>
        <v>255.99368000000001</v>
      </c>
      <c r="P8" s="42">
        <f t="shared" si="11"/>
        <v>3207.6008103999998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2"/>
        <v>2</v>
      </c>
      <c r="J9" s="39">
        <f t="shared" si="13"/>
        <v>225</v>
      </c>
      <c r="K9" s="39">
        <f t="shared" si="14"/>
        <v>56.25</v>
      </c>
      <c r="L9" s="39">
        <f t="shared" si="15"/>
        <v>2.25</v>
      </c>
      <c r="M9" s="148">
        <f t="shared" ref="M9:M42" si="17">6049*4</f>
        <v>24196</v>
      </c>
      <c r="N9" s="39">
        <f t="shared" si="16"/>
        <v>544.41</v>
      </c>
      <c r="O9" s="39">
        <f t="shared" si="10"/>
        <v>287.99288999999999</v>
      </c>
      <c r="P9" s="42">
        <f t="shared" si="11"/>
        <v>3608.5509116999997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2"/>
        <v>13</v>
      </c>
      <c r="J10" s="39">
        <f t="shared" si="13"/>
        <v>216</v>
      </c>
      <c r="K10" s="39">
        <f t="shared" si="14"/>
        <v>54</v>
      </c>
      <c r="L10" s="39">
        <f t="shared" si="15"/>
        <v>9.5</v>
      </c>
      <c r="M10" s="148">
        <f t="shared" si="17"/>
        <v>24196</v>
      </c>
      <c r="N10" s="39">
        <f t="shared" si="16"/>
        <v>2298.62</v>
      </c>
      <c r="O10" s="39">
        <f t="shared" si="10"/>
        <v>1215.9699800000001</v>
      </c>
      <c r="P10" s="42">
        <f t="shared" si="11"/>
        <v>15236.1038494</v>
      </c>
      <c r="Q10" s="39">
        <v>2809</v>
      </c>
      <c r="R10" s="39">
        <v>46</v>
      </c>
      <c r="S10" s="39">
        <v>85</v>
      </c>
      <c r="T10" s="39">
        <v>2992</v>
      </c>
      <c r="U10" s="39">
        <v>45</v>
      </c>
      <c r="V10" s="39">
        <v>85</v>
      </c>
      <c r="W10" s="39">
        <v>2628</v>
      </c>
      <c r="X10" s="39">
        <v>48</v>
      </c>
      <c r="Y10" s="39">
        <v>85</v>
      </c>
      <c r="Z10" s="39">
        <v>2956</v>
      </c>
      <c r="AA10" s="39">
        <v>45</v>
      </c>
      <c r="AB10" s="39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 x14ac:dyDescent="0.3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2"/>
        <v>3</v>
      </c>
      <c r="J11" s="39">
        <f t="shared" si="13"/>
        <v>334</v>
      </c>
      <c r="K11" s="39">
        <f t="shared" si="14"/>
        <v>83.5</v>
      </c>
      <c r="L11" s="39">
        <f t="shared" si="15"/>
        <v>2.75</v>
      </c>
      <c r="M11" s="148">
        <f t="shared" si="17"/>
        <v>24196</v>
      </c>
      <c r="N11" s="39">
        <f t="shared" si="16"/>
        <v>665.39</v>
      </c>
      <c r="O11" s="39">
        <f t="shared" si="10"/>
        <v>351.99131</v>
      </c>
      <c r="P11" s="42">
        <f t="shared" si="11"/>
        <v>4410.4511143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2"/>
        <v>5</v>
      </c>
      <c r="J12" s="39">
        <f t="shared" si="13"/>
        <v>323</v>
      </c>
      <c r="K12" s="39">
        <f t="shared" si="14"/>
        <v>80.75</v>
      </c>
      <c r="L12" s="39">
        <f t="shared" si="15"/>
        <v>2</v>
      </c>
      <c r="M12" s="148">
        <f t="shared" si="17"/>
        <v>24196</v>
      </c>
      <c r="N12" s="39">
        <f t="shared" si="16"/>
        <v>483.92</v>
      </c>
      <c r="O12" s="39">
        <f t="shared" si="10"/>
        <v>255.99368000000001</v>
      </c>
      <c r="P12" s="42">
        <f t="shared" si="11"/>
        <v>3207.6008103999998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2"/>
        <v>3</v>
      </c>
      <c r="J13" s="39">
        <f t="shared" si="13"/>
        <v>315</v>
      </c>
      <c r="K13" s="39">
        <f t="shared" si="14"/>
        <v>78.75</v>
      </c>
      <c r="L13" s="39">
        <f t="shared" si="15"/>
        <v>3</v>
      </c>
      <c r="M13" s="148">
        <f t="shared" si="17"/>
        <v>24196</v>
      </c>
      <c r="N13" s="39">
        <f t="shared" si="16"/>
        <v>725.88</v>
      </c>
      <c r="O13" s="39">
        <f t="shared" si="10"/>
        <v>383.99052</v>
      </c>
      <c r="P13" s="42">
        <f t="shared" si="11"/>
        <v>4811.4012155999999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3"/>
        <v>303</v>
      </c>
      <c r="K14" s="39">
        <f t="shared" si="14"/>
        <v>75.75</v>
      </c>
      <c r="L14" s="39">
        <f t="shared" si="15"/>
        <v>3</v>
      </c>
      <c r="M14" s="148">
        <f t="shared" si="17"/>
        <v>24196</v>
      </c>
      <c r="N14" s="39">
        <f t="shared" si="16"/>
        <v>725.88</v>
      </c>
      <c r="O14" s="39">
        <f t="shared" si="10"/>
        <v>383.99052</v>
      </c>
      <c r="P14" s="42">
        <f t="shared" si="11"/>
        <v>4811.4012155999999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3"/>
        <v>291</v>
      </c>
      <c r="K15" s="39">
        <f t="shared" si="14"/>
        <v>72.75</v>
      </c>
      <c r="L15" s="39">
        <f t="shared" si="15"/>
        <v>2</v>
      </c>
      <c r="M15" s="148">
        <f t="shared" si="17"/>
        <v>24196</v>
      </c>
      <c r="N15" s="39">
        <f t="shared" si="16"/>
        <v>483.92</v>
      </c>
      <c r="O15" s="39">
        <f t="shared" si="10"/>
        <v>255.99368000000001</v>
      </c>
      <c r="P15" s="42">
        <f t="shared" si="11"/>
        <v>3207.6008103999998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2"/>
        <v>3</v>
      </c>
      <c r="J16" s="39">
        <f t="shared" si="13"/>
        <v>283</v>
      </c>
      <c r="K16" s="39">
        <f t="shared" si="14"/>
        <v>70.75</v>
      </c>
      <c r="L16" s="39">
        <f t="shared" si="15"/>
        <v>3.75</v>
      </c>
      <c r="M16" s="148">
        <f t="shared" si="17"/>
        <v>24196</v>
      </c>
      <c r="N16" s="39">
        <f t="shared" si="16"/>
        <v>907.35</v>
      </c>
      <c r="O16" s="39">
        <f t="shared" si="10"/>
        <v>479.98815000000002</v>
      </c>
      <c r="P16" s="42">
        <f t="shared" si="11"/>
        <v>6014.2515194999996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2"/>
        <v>3</v>
      </c>
      <c r="J17" s="39">
        <f t="shared" si="13"/>
        <v>268</v>
      </c>
      <c r="K17" s="39">
        <f t="shared" si="14"/>
        <v>67</v>
      </c>
      <c r="L17" s="39">
        <f t="shared" si="15"/>
        <v>4</v>
      </c>
      <c r="M17" s="148">
        <f t="shared" si="17"/>
        <v>24196</v>
      </c>
      <c r="N17" s="39">
        <f t="shared" si="16"/>
        <v>967.84</v>
      </c>
      <c r="O17" s="39">
        <f t="shared" si="10"/>
        <v>511.98736000000002</v>
      </c>
      <c r="P17" s="42">
        <f t="shared" si="11"/>
        <v>6415.2016207999995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2"/>
        <v>1</v>
      </c>
      <c r="J18" s="39">
        <f t="shared" si="13"/>
        <v>252</v>
      </c>
      <c r="K18" s="39">
        <f t="shared" si="14"/>
        <v>63</v>
      </c>
      <c r="L18" s="39">
        <f t="shared" si="15"/>
        <v>1</v>
      </c>
      <c r="M18" s="148">
        <f t="shared" si="17"/>
        <v>24196</v>
      </c>
      <c r="N18" s="39">
        <f t="shared" si="16"/>
        <v>241.96</v>
      </c>
      <c r="O18" s="39">
        <f t="shared" si="10"/>
        <v>127.99684000000001</v>
      </c>
      <c r="P18" s="42">
        <f t="shared" si="11"/>
        <v>1603.8004051999999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2"/>
        <v>4</v>
      </c>
      <c r="J19" s="39">
        <f t="shared" si="13"/>
        <v>248</v>
      </c>
      <c r="K19" s="39">
        <f t="shared" si="14"/>
        <v>62</v>
      </c>
      <c r="L19" s="39">
        <f t="shared" si="15"/>
        <v>4</v>
      </c>
      <c r="M19" s="148">
        <f t="shared" si="17"/>
        <v>24196</v>
      </c>
      <c r="N19" s="39">
        <f t="shared" si="16"/>
        <v>967.84</v>
      </c>
      <c r="O19" s="39">
        <f t="shared" si="10"/>
        <v>511.98736000000002</v>
      </c>
      <c r="P19" s="42">
        <f t="shared" si="11"/>
        <v>6415.2016207999995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2"/>
        <v>4</v>
      </c>
      <c r="J20" s="39">
        <f t="shared" si="13"/>
        <v>232</v>
      </c>
      <c r="K20" s="39">
        <f t="shared" si="14"/>
        <v>58</v>
      </c>
      <c r="L20" s="39">
        <f t="shared" ref="L20:L42" si="18">IF(AC20&gt;0,((K20-AD20)+(AE20-K21)),IF(K21=0, ,(K20-K21)))</f>
        <v>3.5</v>
      </c>
      <c r="M20" s="148">
        <f t="shared" si="17"/>
        <v>24196</v>
      </c>
      <c r="N20" s="39">
        <f t="shared" si="16"/>
        <v>846.86</v>
      </c>
      <c r="O20" s="39">
        <f t="shared" si="10"/>
        <v>447.98894000000001</v>
      </c>
      <c r="P20" s="42">
        <f t="shared" si="11"/>
        <v>5613.3014181999997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2"/>
        <v>6</v>
      </c>
      <c r="J21" s="39">
        <f t="shared" si="13"/>
        <v>218</v>
      </c>
      <c r="K21" s="39">
        <f t="shared" si="14"/>
        <v>54.5</v>
      </c>
      <c r="L21" s="39">
        <f>IF(AC21&gt;0,((K21-AD21)+(AE21-K22)),IF(K22=0, ,(K21-K22)))</f>
        <v>5</v>
      </c>
      <c r="M21" s="148">
        <f t="shared" si="17"/>
        <v>24196</v>
      </c>
      <c r="N21" s="39">
        <f t="shared" si="16"/>
        <v>1209.8</v>
      </c>
      <c r="O21" s="39">
        <f t="shared" si="10"/>
        <v>639.98419999999999</v>
      </c>
      <c r="P21" s="42">
        <f t="shared" si="11"/>
        <v>8019.0020259999992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2"/>
        <v>7</v>
      </c>
      <c r="J22" s="39">
        <f t="shared" si="13"/>
        <v>198</v>
      </c>
      <c r="K22" s="39">
        <f t="shared" si="14"/>
        <v>49.5</v>
      </c>
      <c r="L22" s="39">
        <f>IF(AC22&gt;0,((K22-AD22)+(AE22-K23)),IF(K23=0, ,(K22-K23)))</f>
        <v>4.5</v>
      </c>
      <c r="M22" s="148">
        <f t="shared" si="17"/>
        <v>24196</v>
      </c>
      <c r="N22" s="39">
        <f t="shared" si="16"/>
        <v>1088.82</v>
      </c>
      <c r="O22" s="39">
        <f t="shared" si="10"/>
        <v>575.98577999999998</v>
      </c>
      <c r="P22" s="42">
        <f t="shared" si="11"/>
        <v>7217.1018233999994</v>
      </c>
      <c r="Q22" s="39">
        <v>2237</v>
      </c>
      <c r="R22" s="39">
        <v>52</v>
      </c>
      <c r="S22" s="39">
        <v>80</v>
      </c>
      <c r="T22" s="39">
        <v>2333</v>
      </c>
      <c r="U22" s="39">
        <v>50</v>
      </c>
      <c r="V22" s="39">
        <v>80</v>
      </c>
      <c r="W22" s="39">
        <v>2527</v>
      </c>
      <c r="X22" s="39">
        <v>42</v>
      </c>
      <c r="Y22" s="39">
        <v>80</v>
      </c>
      <c r="Z22" s="39">
        <v>2555</v>
      </c>
      <c r="AA22" s="39">
        <v>45</v>
      </c>
      <c r="AB22" s="39">
        <v>85</v>
      </c>
      <c r="AC22" s="39">
        <f>Q22+T22+W22+Z22</f>
        <v>9652</v>
      </c>
      <c r="AD22" s="38">
        <f t="shared" si="5"/>
        <v>47.25</v>
      </c>
      <c r="AE22" s="38">
        <f t="shared" si="6"/>
        <v>81.25</v>
      </c>
    </row>
    <row r="23" spans="1:31" ht="32.25" customHeight="1" x14ac:dyDescent="0.3">
      <c r="A23" s="40">
        <v>44915</v>
      </c>
      <c r="B23" s="41">
        <v>80</v>
      </c>
      <c r="C23" s="39">
        <f t="shared" si="7"/>
        <v>3</v>
      </c>
      <c r="D23" s="41">
        <v>80</v>
      </c>
      <c r="E23" s="39">
        <f t="shared" si="8"/>
        <v>2</v>
      </c>
      <c r="F23" s="41">
        <v>78</v>
      </c>
      <c r="G23" s="39">
        <f t="shared" si="9"/>
        <v>1</v>
      </c>
      <c r="H23" s="41">
        <v>78</v>
      </c>
      <c r="I23" s="39">
        <f t="shared" si="12"/>
        <v>1</v>
      </c>
      <c r="J23" s="39">
        <f t="shared" si="13"/>
        <v>316</v>
      </c>
      <c r="K23" s="39">
        <f t="shared" si="14"/>
        <v>79</v>
      </c>
      <c r="L23" s="39">
        <f t="shared" si="18"/>
        <v>1.75</v>
      </c>
      <c r="M23" s="148">
        <f t="shared" si="17"/>
        <v>24196</v>
      </c>
      <c r="N23" s="39">
        <f t="shared" si="16"/>
        <v>423.43</v>
      </c>
      <c r="O23" s="39">
        <f t="shared" si="10"/>
        <v>223.99447000000001</v>
      </c>
      <c r="P23" s="42">
        <f t="shared" si="11"/>
        <v>2806.6507090999999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44916</v>
      </c>
      <c r="B24" s="41">
        <v>77</v>
      </c>
      <c r="C24" s="39">
        <f t="shared" si="7"/>
        <v>2</v>
      </c>
      <c r="D24" s="41">
        <v>78</v>
      </c>
      <c r="E24" s="39">
        <f t="shared" si="8"/>
        <v>2</v>
      </c>
      <c r="F24" s="41">
        <v>77</v>
      </c>
      <c r="G24" s="39">
        <f t="shared" si="9"/>
        <v>2</v>
      </c>
      <c r="H24" s="41">
        <v>77</v>
      </c>
      <c r="I24" s="39">
        <f t="shared" si="12"/>
        <v>3</v>
      </c>
      <c r="J24" s="39">
        <f t="shared" si="13"/>
        <v>309</v>
      </c>
      <c r="K24" s="39">
        <f t="shared" si="14"/>
        <v>77.25</v>
      </c>
      <c r="L24" s="39">
        <f t="shared" si="18"/>
        <v>2.25</v>
      </c>
      <c r="M24" s="148">
        <f t="shared" si="17"/>
        <v>24196</v>
      </c>
      <c r="N24" s="39">
        <f t="shared" si="16"/>
        <v>544.41</v>
      </c>
      <c r="O24" s="39">
        <f t="shared" si="10"/>
        <v>287.99288999999999</v>
      </c>
      <c r="P24" s="42">
        <f t="shared" si="11"/>
        <v>3608.5509116999997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44917</v>
      </c>
      <c r="B25" s="41">
        <v>75</v>
      </c>
      <c r="C25" s="39">
        <f t="shared" si="7"/>
        <v>3</v>
      </c>
      <c r="D25" s="41">
        <v>76</v>
      </c>
      <c r="E25" s="39">
        <f t="shared" si="8"/>
        <v>2</v>
      </c>
      <c r="F25" s="41">
        <v>75</v>
      </c>
      <c r="G25" s="39">
        <f t="shared" si="9"/>
        <v>3</v>
      </c>
      <c r="H25" s="41">
        <v>74</v>
      </c>
      <c r="I25" s="39">
        <f t="shared" si="12"/>
        <v>3</v>
      </c>
      <c r="J25" s="39">
        <f t="shared" si="13"/>
        <v>300</v>
      </c>
      <c r="K25" s="39">
        <f t="shared" si="14"/>
        <v>75</v>
      </c>
      <c r="L25" s="39">
        <f t="shared" si="18"/>
        <v>2.75</v>
      </c>
      <c r="M25" s="148">
        <f t="shared" si="17"/>
        <v>24196</v>
      </c>
      <c r="N25" s="39">
        <f t="shared" si="16"/>
        <v>665.39</v>
      </c>
      <c r="O25" s="39">
        <f t="shared" si="10"/>
        <v>351.99131</v>
      </c>
      <c r="P25" s="42">
        <f t="shared" si="11"/>
        <v>4410.4511143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44918</v>
      </c>
      <c r="B26" s="41">
        <v>72</v>
      </c>
      <c r="C26" s="39">
        <f t="shared" si="7"/>
        <v>4</v>
      </c>
      <c r="D26" s="41">
        <v>74</v>
      </c>
      <c r="E26" s="39">
        <f t="shared" si="8"/>
        <v>5</v>
      </c>
      <c r="F26" s="41">
        <v>72</v>
      </c>
      <c r="G26" s="39">
        <f t="shared" si="9"/>
        <v>4</v>
      </c>
      <c r="H26" s="41">
        <v>71</v>
      </c>
      <c r="I26" s="39">
        <f t="shared" si="12"/>
        <v>4</v>
      </c>
      <c r="J26" s="39">
        <f t="shared" si="13"/>
        <v>289</v>
      </c>
      <c r="K26" s="39">
        <f t="shared" si="14"/>
        <v>72.25</v>
      </c>
      <c r="L26" s="39">
        <f t="shared" si="18"/>
        <v>4.25</v>
      </c>
      <c r="M26" s="148">
        <f t="shared" si="17"/>
        <v>24196</v>
      </c>
      <c r="N26" s="39">
        <f t="shared" si="16"/>
        <v>1028.33</v>
      </c>
      <c r="O26" s="39">
        <f t="shared" si="10"/>
        <v>543.98657000000003</v>
      </c>
      <c r="P26" s="42">
        <f t="shared" si="11"/>
        <v>6816.1517221000004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44919</v>
      </c>
      <c r="B27" s="41">
        <v>68</v>
      </c>
      <c r="C27" s="39">
        <f t="shared" si="7"/>
        <v>8</v>
      </c>
      <c r="D27" s="41">
        <v>69</v>
      </c>
      <c r="E27" s="39">
        <f t="shared" si="8"/>
        <v>9</v>
      </c>
      <c r="F27" s="41">
        <v>68</v>
      </c>
      <c r="G27" s="39">
        <f t="shared" si="9"/>
        <v>7</v>
      </c>
      <c r="H27" s="41">
        <v>67</v>
      </c>
      <c r="I27" s="39">
        <f t="shared" si="12"/>
        <v>3</v>
      </c>
      <c r="J27" s="39">
        <f t="shared" si="13"/>
        <v>272</v>
      </c>
      <c r="K27" s="39">
        <f t="shared" si="14"/>
        <v>68</v>
      </c>
      <c r="L27" s="39">
        <f t="shared" si="18"/>
        <v>6.75</v>
      </c>
      <c r="M27" s="148">
        <f t="shared" si="17"/>
        <v>24196</v>
      </c>
      <c r="N27" s="39">
        <f t="shared" si="16"/>
        <v>1633.23</v>
      </c>
      <c r="O27" s="39">
        <f t="shared" si="10"/>
        <v>863.97867000000008</v>
      </c>
      <c r="P27" s="42">
        <f t="shared" si="11"/>
        <v>10825.6527351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44920</v>
      </c>
      <c r="B28" s="41">
        <v>60</v>
      </c>
      <c r="C28" s="39">
        <f t="shared" si="7"/>
        <v>5</v>
      </c>
      <c r="D28" s="41">
        <v>60</v>
      </c>
      <c r="E28" s="39">
        <f t="shared" si="8"/>
        <v>5</v>
      </c>
      <c r="F28" s="41">
        <v>61</v>
      </c>
      <c r="G28" s="39">
        <f t="shared" si="9"/>
        <v>2</v>
      </c>
      <c r="H28" s="41">
        <v>64</v>
      </c>
      <c r="I28" s="39">
        <f>IF(AC28&gt;0,((H28-AA28)+(AB28-H29)),IF(H29=0, ,(H28-H29)))</f>
        <v>4</v>
      </c>
      <c r="J28" s="39">
        <f t="shared" si="13"/>
        <v>245</v>
      </c>
      <c r="K28" s="39">
        <f t="shared" si="14"/>
        <v>61.25</v>
      </c>
      <c r="L28" s="39">
        <f t="shared" si="18"/>
        <v>4</v>
      </c>
      <c r="M28" s="148">
        <f t="shared" si="17"/>
        <v>24196</v>
      </c>
      <c r="N28" s="39">
        <f t="shared" si="16"/>
        <v>967.84</v>
      </c>
      <c r="O28" s="39">
        <f t="shared" si="10"/>
        <v>511.98736000000002</v>
      </c>
      <c r="P28" s="42">
        <f t="shared" si="11"/>
        <v>6415.2016207999995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44921</v>
      </c>
      <c r="B29" s="41">
        <v>55</v>
      </c>
      <c r="C29" s="39">
        <f t="shared" si="7"/>
        <v>5</v>
      </c>
      <c r="D29" s="41">
        <v>55</v>
      </c>
      <c r="E29" s="39">
        <f t="shared" si="8"/>
        <v>4</v>
      </c>
      <c r="F29" s="41">
        <v>59</v>
      </c>
      <c r="G29" s="39">
        <f t="shared" si="9"/>
        <v>3</v>
      </c>
      <c r="H29" s="41">
        <v>60</v>
      </c>
      <c r="I29" s="39">
        <f t="shared" si="12"/>
        <v>2</v>
      </c>
      <c r="J29" s="39">
        <f t="shared" si="13"/>
        <v>229</v>
      </c>
      <c r="K29" s="39">
        <f t="shared" si="14"/>
        <v>57.25</v>
      </c>
      <c r="L29" s="39">
        <f t="shared" si="18"/>
        <v>3.5</v>
      </c>
      <c r="M29" s="148">
        <f t="shared" si="17"/>
        <v>24196</v>
      </c>
      <c r="N29" s="39">
        <f t="shared" si="16"/>
        <v>846.86</v>
      </c>
      <c r="O29" s="39">
        <f t="shared" si="10"/>
        <v>447.98894000000001</v>
      </c>
      <c r="P29" s="42">
        <f t="shared" si="11"/>
        <v>5613.3014181999997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44922</v>
      </c>
      <c r="B30" s="41">
        <v>50</v>
      </c>
      <c r="C30" s="39">
        <f t="shared" si="7"/>
        <v>5</v>
      </c>
      <c r="D30" s="41">
        <v>51</v>
      </c>
      <c r="E30" s="39">
        <f t="shared" si="8"/>
        <v>6</v>
      </c>
      <c r="F30" s="41">
        <v>56</v>
      </c>
      <c r="G30" s="39">
        <f t="shared" si="9"/>
        <v>8</v>
      </c>
      <c r="H30" s="41">
        <v>58</v>
      </c>
      <c r="I30" s="39">
        <f t="shared" si="12"/>
        <v>8</v>
      </c>
      <c r="J30" s="39">
        <f t="shared" si="13"/>
        <v>215</v>
      </c>
      <c r="K30" s="39">
        <f t="shared" si="14"/>
        <v>53.75</v>
      </c>
      <c r="L30" s="39">
        <f t="shared" si="18"/>
        <v>6.75</v>
      </c>
      <c r="M30" s="148">
        <f t="shared" si="17"/>
        <v>24196</v>
      </c>
      <c r="N30" s="39">
        <f t="shared" si="16"/>
        <v>1633.23</v>
      </c>
      <c r="O30" s="39">
        <f t="shared" si="10"/>
        <v>863.97867000000008</v>
      </c>
      <c r="P30" s="42">
        <f t="shared" si="11"/>
        <v>10825.6527351</v>
      </c>
      <c r="Q30" s="39">
        <v>2950</v>
      </c>
      <c r="R30" s="39">
        <v>48</v>
      </c>
      <c r="S30" s="39">
        <v>83</v>
      </c>
      <c r="T30" s="39">
        <v>2915</v>
      </c>
      <c r="U30" s="39">
        <v>50</v>
      </c>
      <c r="V30" s="39">
        <v>85</v>
      </c>
      <c r="W30" s="39">
        <v>2911</v>
      </c>
      <c r="X30" s="39">
        <v>50</v>
      </c>
      <c r="Y30" s="39">
        <v>85</v>
      </c>
      <c r="Z30" s="39">
        <v>2918</v>
      </c>
      <c r="AA30" s="39">
        <v>50</v>
      </c>
      <c r="AB30" s="39">
        <v>85</v>
      </c>
      <c r="AC30" s="39">
        <f t="shared" si="20"/>
        <v>11694</v>
      </c>
      <c r="AD30" s="38">
        <f t="shared" si="19"/>
        <v>49.5</v>
      </c>
      <c r="AE30" s="38">
        <f t="shared" ref="AE30:AE42" si="21">(S30+V30+Y30+AB30)/4</f>
        <v>84.5</v>
      </c>
    </row>
    <row r="31" spans="1:31" ht="32.25" customHeight="1" x14ac:dyDescent="0.3">
      <c r="A31" s="40">
        <v>44923</v>
      </c>
      <c r="B31" s="41">
        <v>80</v>
      </c>
      <c r="C31" s="39">
        <f t="shared" si="7"/>
        <v>5</v>
      </c>
      <c r="D31" s="41">
        <v>80</v>
      </c>
      <c r="E31" s="39">
        <f t="shared" si="8"/>
        <v>4</v>
      </c>
      <c r="F31" s="41">
        <v>83</v>
      </c>
      <c r="G31" s="39">
        <f t="shared" si="9"/>
        <v>3</v>
      </c>
      <c r="H31" s="41">
        <v>85</v>
      </c>
      <c r="I31" s="39">
        <f t="shared" si="12"/>
        <v>6</v>
      </c>
      <c r="J31" s="39">
        <f t="shared" si="13"/>
        <v>328</v>
      </c>
      <c r="K31" s="39">
        <f t="shared" si="14"/>
        <v>82</v>
      </c>
      <c r="L31" s="39">
        <f t="shared" si="18"/>
        <v>4.5</v>
      </c>
      <c r="M31" s="148">
        <f t="shared" si="17"/>
        <v>24196</v>
      </c>
      <c r="N31" s="39">
        <f t="shared" si="16"/>
        <v>1088.82</v>
      </c>
      <c r="O31" s="39">
        <f t="shared" si="10"/>
        <v>575.98577999999998</v>
      </c>
      <c r="P31" s="42">
        <f t="shared" si="11"/>
        <v>7217.1018233999994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44924</v>
      </c>
      <c r="B32" s="41">
        <v>75</v>
      </c>
      <c r="C32" s="39">
        <f t="shared" si="7"/>
        <v>4</v>
      </c>
      <c r="D32" s="41">
        <v>76</v>
      </c>
      <c r="E32" s="39">
        <f t="shared" si="8"/>
        <v>4</v>
      </c>
      <c r="F32" s="41">
        <v>80</v>
      </c>
      <c r="G32" s="39">
        <f t="shared" si="9"/>
        <v>4</v>
      </c>
      <c r="H32" s="41">
        <v>79</v>
      </c>
      <c r="I32" s="39">
        <f t="shared" si="12"/>
        <v>5</v>
      </c>
      <c r="J32" s="39">
        <f t="shared" si="13"/>
        <v>310</v>
      </c>
      <c r="K32" s="39">
        <f t="shared" si="14"/>
        <v>77.5</v>
      </c>
      <c r="L32" s="39">
        <f t="shared" si="18"/>
        <v>4.25</v>
      </c>
      <c r="M32" s="148">
        <f t="shared" si="17"/>
        <v>24196</v>
      </c>
      <c r="N32" s="39">
        <f t="shared" si="16"/>
        <v>1028.33</v>
      </c>
      <c r="O32" s="39">
        <f t="shared" si="10"/>
        <v>543.98657000000003</v>
      </c>
      <c r="P32" s="42">
        <f t="shared" si="11"/>
        <v>6816.1517221000004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>
        <v>44925</v>
      </c>
      <c r="B33" s="41">
        <v>71</v>
      </c>
      <c r="C33" s="39">
        <f t="shared" si="7"/>
        <v>6</v>
      </c>
      <c r="D33" s="41">
        <v>72</v>
      </c>
      <c r="E33" s="39">
        <f t="shared" si="8"/>
        <v>7</v>
      </c>
      <c r="F33" s="41">
        <v>76</v>
      </c>
      <c r="G33" s="39">
        <f t="shared" si="9"/>
        <v>6</v>
      </c>
      <c r="H33" s="41">
        <v>74</v>
      </c>
      <c r="I33" s="39">
        <f t="shared" si="12"/>
        <v>4</v>
      </c>
      <c r="J33" s="39">
        <f t="shared" si="13"/>
        <v>293</v>
      </c>
      <c r="K33" s="39">
        <f t="shared" si="14"/>
        <v>73.25</v>
      </c>
      <c r="L33" s="39">
        <f t="shared" si="18"/>
        <v>5.75</v>
      </c>
      <c r="M33" s="148">
        <f t="shared" si="17"/>
        <v>24196</v>
      </c>
      <c r="N33" s="39">
        <f t="shared" si="16"/>
        <v>1391.27</v>
      </c>
      <c r="O33" s="39">
        <f t="shared" si="10"/>
        <v>735.98183000000006</v>
      </c>
      <c r="P33" s="42">
        <f t="shared" si="11"/>
        <v>9221.8523299000008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44926</v>
      </c>
      <c r="B34" s="41">
        <v>65</v>
      </c>
      <c r="C34" s="39">
        <f t="shared" si="7"/>
        <v>5</v>
      </c>
      <c r="D34" s="41">
        <v>65</v>
      </c>
      <c r="E34" s="39">
        <f t="shared" si="8"/>
        <v>5</v>
      </c>
      <c r="F34" s="41">
        <v>70</v>
      </c>
      <c r="G34" s="39">
        <f t="shared" si="9"/>
        <v>5</v>
      </c>
      <c r="H34" s="41">
        <v>70</v>
      </c>
      <c r="I34" s="39">
        <f t="shared" si="12"/>
        <v>5</v>
      </c>
      <c r="J34" s="39">
        <f>B34+D34+F34+H34</f>
        <v>270</v>
      </c>
      <c r="K34" s="39">
        <f>J34/4</f>
        <v>67.5</v>
      </c>
      <c r="L34" s="39">
        <f>IF(AC34&gt;0,((K34-AD34)+(AE34-K35)),IF(K35=0, ,(K34-K35)))</f>
        <v>5</v>
      </c>
      <c r="M34" s="148">
        <f t="shared" si="17"/>
        <v>24196</v>
      </c>
      <c r="N34" s="39">
        <f>L34*M34/100</f>
        <v>1209.8</v>
      </c>
      <c r="O34" s="39">
        <f t="shared" si="10"/>
        <v>639.98419999999999</v>
      </c>
      <c r="P34" s="42">
        <f t="shared" si="11"/>
        <v>8019.0020259999992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>
        <v>44927</v>
      </c>
      <c r="B35" s="41">
        <v>60</v>
      </c>
      <c r="C35" s="39">
        <f t="shared" si="7"/>
        <v>0</v>
      </c>
      <c r="D35" s="41">
        <v>60</v>
      </c>
      <c r="E35" s="39">
        <f t="shared" si="8"/>
        <v>0</v>
      </c>
      <c r="F35" s="41">
        <v>65</v>
      </c>
      <c r="G35" s="39">
        <f t="shared" si="9"/>
        <v>0</v>
      </c>
      <c r="H35" s="41">
        <v>65</v>
      </c>
      <c r="I35" s="39">
        <f t="shared" si="12"/>
        <v>0</v>
      </c>
      <c r="J35" s="39">
        <f>B35+D35+F35+H35</f>
        <v>250</v>
      </c>
      <c r="K35" s="39">
        <f>J35/4</f>
        <v>62.5</v>
      </c>
      <c r="L35" s="39">
        <f t="shared" si="18"/>
        <v>0</v>
      </c>
      <c r="M35" s="148">
        <f t="shared" si="17"/>
        <v>24196</v>
      </c>
      <c r="N35" s="39">
        <f t="shared" si="16"/>
        <v>0</v>
      </c>
      <c r="O35" s="39">
        <f t="shared" ref="O35:O37" si="22">N35*0.529</f>
        <v>0</v>
      </c>
      <c r="P35" s="42">
        <f t="shared" ref="P35:P37" si="23">O35*11.565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4">IF(AC36&gt;0,((D36-U36)+(V36-D37)),IF(D37=0, ,(D36-D37)))</f>
        <v>0</v>
      </c>
      <c r="F36" s="41"/>
      <c r="G36" s="39">
        <f t="shared" ref="G36" si="25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8">
        <f t="shared" si="17"/>
        <v>24196</v>
      </c>
      <c r="N36" s="39">
        <f t="shared" si="16"/>
        <v>0</v>
      </c>
      <c r="O36" s="39">
        <f t="shared" si="22"/>
        <v>0</v>
      </c>
      <c r="P36" s="42">
        <f t="shared" si="2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6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7">IF(AC37&gt;0,((F37-X37)+(Y37-F38)),IF(F38=0, ,(F37-F38)))</f>
        <v>0</v>
      </c>
      <c r="H37" s="41"/>
      <c r="I37" s="39">
        <f t="shared" ref="I37:I42" si="28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8">
        <f t="shared" si="17"/>
        <v>24196</v>
      </c>
      <c r="N37" s="39">
        <f t="shared" si="16"/>
        <v>0</v>
      </c>
      <c r="O37" s="39">
        <f t="shared" si="22"/>
        <v>0</v>
      </c>
      <c r="P37" s="42">
        <f t="shared" si="2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6"/>
        <v>0</v>
      </c>
      <c r="D38" s="41"/>
      <c r="E38" s="39">
        <f>IF(AC38:AC61&gt;0,((D38-U38)+(V38-D39)),IF(D39=0, ,(D38-D39)))</f>
        <v>0</v>
      </c>
      <c r="F38" s="41"/>
      <c r="G38" s="39">
        <f t="shared" si="27"/>
        <v>0</v>
      </c>
      <c r="H38" s="41"/>
      <c r="I38" s="39">
        <f t="shared" si="28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8">
        <f t="shared" si="17"/>
        <v>24196</v>
      </c>
      <c r="N38" s="39">
        <f t="shared" si="16"/>
        <v>0</v>
      </c>
      <c r="O38" s="39">
        <f>N38*0.53</f>
        <v>0</v>
      </c>
      <c r="P38" s="42">
        <f t="shared" ref="P38:P39" si="29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6"/>
        <v>0</v>
      </c>
      <c r="D39" s="41"/>
      <c r="E39" s="39">
        <f>IF(AC39&gt;0,((D39-U39)+(V39-D40)),IF(D40=0, ,(D39-D40)))</f>
        <v>0</v>
      </c>
      <c r="F39" s="41"/>
      <c r="G39" s="39">
        <f t="shared" si="27"/>
        <v>0</v>
      </c>
      <c r="H39" s="41"/>
      <c r="I39" s="39">
        <f t="shared" si="28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8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29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6"/>
        <v>0</v>
      </c>
      <c r="D40" s="41"/>
      <c r="E40" s="39">
        <f>IF(AC40&gt;0,((D40-U40)+(V40-D41)),IF(D41=0, ,(D40-D41)))</f>
        <v>0</v>
      </c>
      <c r="F40" s="41"/>
      <c r="G40" s="39">
        <f t="shared" si="27"/>
        <v>0</v>
      </c>
      <c r="H40" s="41"/>
      <c r="I40" s="39">
        <f t="shared" si="28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8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6"/>
        <v>0</v>
      </c>
      <c r="D41" s="41"/>
      <c r="E41" s="39">
        <f>IF(AC41&gt;0,((D41-U41)+(V41-D42)),IF(D42=0, ,(D41-D42)))</f>
        <v>0</v>
      </c>
      <c r="F41" s="41"/>
      <c r="G41" s="39">
        <f t="shared" si="27"/>
        <v>0</v>
      </c>
      <c r="H41" s="41"/>
      <c r="I41" s="39">
        <f t="shared" si="28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8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6"/>
        <v>0</v>
      </c>
      <c r="D42" s="41"/>
      <c r="E42" s="39">
        <f>IF(AC42&gt;0,((D42-U42)+(V42-D43)),IF(D43=0, ,(D42-D43)))</f>
        <v>0</v>
      </c>
      <c r="F42" s="41"/>
      <c r="G42" s="39">
        <f t="shared" si="27"/>
        <v>0</v>
      </c>
      <c r="H42" s="41"/>
      <c r="I42" s="39">
        <f t="shared" si="28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28127.85</v>
      </c>
      <c r="O43" s="39">
        <f>N43*0.529</f>
        <v>14879.63265</v>
      </c>
      <c r="P43" s="42">
        <f>O43*12.53</f>
        <v>186441.79710449997</v>
      </c>
      <c r="Q43" s="289">
        <f>SUM(Q4:Q42)</f>
        <v>10096</v>
      </c>
      <c r="R43" s="290"/>
      <c r="S43" s="291"/>
      <c r="T43" s="292">
        <f>SUM(T4:T42)</f>
        <v>10336</v>
      </c>
      <c r="U43" s="290"/>
      <c r="V43" s="291"/>
      <c r="W43" s="292">
        <f>SUM(W4:W42)</f>
        <v>10164</v>
      </c>
      <c r="X43" s="290"/>
      <c r="Y43" s="291"/>
      <c r="Z43" s="292">
        <f>SUM(Z4:Z42)</f>
        <v>10524</v>
      </c>
      <c r="AA43" s="290"/>
      <c r="AB43" s="291"/>
      <c r="AC43" s="39">
        <f t="shared" si="20"/>
        <v>41120</v>
      </c>
    </row>
    <row r="44" spans="1:31" ht="35.25" customHeight="1" thickBot="1" x14ac:dyDescent="0.35">
      <c r="B44" s="298"/>
      <c r="C44" s="299"/>
      <c r="D44" s="299"/>
      <c r="E44" s="299"/>
      <c r="F44" s="299"/>
      <c r="G44" s="299"/>
      <c r="H44" s="299"/>
      <c r="I44" s="300"/>
      <c r="J44" s="37"/>
      <c r="K44" s="37"/>
      <c r="L44" s="37"/>
      <c r="M44" s="37"/>
      <c r="N44" s="37"/>
      <c r="O44" s="37"/>
      <c r="P44" s="37"/>
      <c r="Q44" s="301">
        <f>Q43+T43+W43+Z43</f>
        <v>41120</v>
      </c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3"/>
      <c r="AC44" s="39">
        <f>Q44+T44+W44+Z44</f>
        <v>41120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5" t="s">
        <v>85</v>
      </c>
      <c r="I47" s="286"/>
      <c r="J47" s="287"/>
      <c r="K47" s="45">
        <f>N43</f>
        <v>28127.85</v>
      </c>
      <c r="L47" s="46">
        <f>O43</f>
        <v>14879.63265</v>
      </c>
      <c r="M47" s="46">
        <f>P43</f>
        <v>186441.79710449997</v>
      </c>
    </row>
    <row r="48" spans="1:31" ht="54.75" customHeight="1" thickBot="1" x14ac:dyDescent="0.35">
      <c r="H48" s="285" t="s">
        <v>86</v>
      </c>
      <c r="I48" s="286"/>
      <c r="J48" s="287"/>
      <c r="K48" s="43">
        <f>AC44</f>
        <v>41120</v>
      </c>
      <c r="L48" s="44">
        <f>K48*0.529</f>
        <v>21752.48</v>
      </c>
      <c r="M48" s="44">
        <f>L48*12.53</f>
        <v>272558.57439999998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8" sqref="C8:D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4"/>
      <c r="B1" s="276"/>
      <c r="C1" s="304" t="s">
        <v>87</v>
      </c>
      <c r="D1" s="305"/>
      <c r="E1" s="305"/>
      <c r="F1" s="305"/>
      <c r="G1" s="305"/>
      <c r="H1" s="310" t="s">
        <v>88</v>
      </c>
      <c r="I1" s="311"/>
      <c r="J1" s="312"/>
    </row>
    <row r="2" spans="1:10" ht="16.5" customHeight="1" thickBot="1" x14ac:dyDescent="0.25">
      <c r="A2" s="277"/>
      <c r="B2" s="279"/>
      <c r="C2" s="306"/>
      <c r="D2" s="307"/>
      <c r="E2" s="307"/>
      <c r="F2" s="307"/>
      <c r="G2" s="307"/>
      <c r="H2" s="313"/>
      <c r="I2" s="314"/>
      <c r="J2" s="315"/>
    </row>
    <row r="3" spans="1:10" ht="15" customHeight="1" x14ac:dyDescent="0.2">
      <c r="A3" s="277"/>
      <c r="B3" s="279"/>
      <c r="C3" s="306"/>
      <c r="D3" s="307"/>
      <c r="E3" s="307"/>
      <c r="F3" s="307"/>
      <c r="G3" s="307"/>
      <c r="H3" s="316" t="s">
        <v>89</v>
      </c>
      <c r="I3" s="317"/>
      <c r="J3" s="318"/>
    </row>
    <row r="4" spans="1:10" ht="15.75" customHeight="1" thickBot="1" x14ac:dyDescent="0.25">
      <c r="A4" s="280"/>
      <c r="B4" s="282"/>
      <c r="C4" s="308"/>
      <c r="D4" s="309"/>
      <c r="E4" s="309"/>
      <c r="F4" s="309"/>
      <c r="G4" s="309"/>
      <c r="H4" s="319"/>
      <c r="I4" s="320"/>
      <c r="J4" s="321"/>
    </row>
    <row r="6" spans="1:10" ht="33" customHeight="1" thickBot="1" x14ac:dyDescent="0.25"/>
    <row r="7" spans="1:10" ht="36.75" thickTop="1" x14ac:dyDescent="0.2">
      <c r="A7" s="322" t="s">
        <v>90</v>
      </c>
      <c r="B7" s="322"/>
      <c r="C7" s="323" t="s">
        <v>91</v>
      </c>
      <c r="D7" s="324"/>
      <c r="E7" s="61" t="s">
        <v>92</v>
      </c>
      <c r="F7" s="61" t="s">
        <v>93</v>
      </c>
      <c r="G7" s="61" t="s">
        <v>94</v>
      </c>
      <c r="H7" s="61" t="s">
        <v>95</v>
      </c>
      <c r="I7" s="325" t="s">
        <v>96</v>
      </c>
      <c r="J7" s="326"/>
    </row>
    <row r="8" spans="1:10" x14ac:dyDescent="0.2">
      <c r="A8" s="327">
        <v>95670781</v>
      </c>
      <c r="B8" s="327"/>
      <c r="C8" s="328">
        <v>44893</v>
      </c>
      <c r="D8" s="329"/>
      <c r="E8" s="113">
        <v>44923</v>
      </c>
      <c r="F8" s="162" t="s">
        <v>97</v>
      </c>
      <c r="G8" s="62"/>
      <c r="H8" s="62"/>
      <c r="I8" s="330"/>
      <c r="J8" s="331"/>
    </row>
    <row r="10" spans="1:10" ht="23.25" customHeight="1" thickBot="1" x14ac:dyDescent="0.25"/>
    <row r="11" spans="1:10" ht="24.75" customHeight="1" thickTop="1" x14ac:dyDescent="0.2">
      <c r="A11" s="332" t="s">
        <v>98</v>
      </c>
      <c r="B11" s="332"/>
      <c r="C11" s="333" t="s">
        <v>99</v>
      </c>
      <c r="D11" s="334"/>
      <c r="E11" s="332" t="s">
        <v>100</v>
      </c>
      <c r="F11" s="332"/>
      <c r="G11" s="333" t="s">
        <v>101</v>
      </c>
      <c r="H11" s="334"/>
      <c r="I11" s="335" t="s">
        <v>102</v>
      </c>
      <c r="J11" s="335"/>
    </row>
    <row r="12" spans="1:10" x14ac:dyDescent="0.2">
      <c r="A12" s="327" t="s">
        <v>103</v>
      </c>
      <c r="B12" s="327"/>
      <c r="C12" s="327">
        <v>3750</v>
      </c>
      <c r="D12" s="327"/>
      <c r="E12" s="327">
        <v>1000</v>
      </c>
      <c r="F12" s="327"/>
      <c r="G12" s="339">
        <v>939</v>
      </c>
      <c r="H12" s="339"/>
      <c r="I12" s="340"/>
      <c r="J12" s="340"/>
    </row>
    <row r="13" spans="1:10" x14ac:dyDescent="0.2">
      <c r="A13" s="341"/>
      <c r="B13" s="342"/>
      <c r="C13" s="342"/>
      <c r="D13" s="342"/>
      <c r="E13" s="342"/>
      <c r="F13" s="342"/>
      <c r="G13" s="342"/>
      <c r="H13" s="342"/>
      <c r="I13" s="342"/>
      <c r="J13" s="342"/>
    </row>
    <row r="15" spans="1:10" ht="13.5" thickBot="1" x14ac:dyDescent="0.25"/>
    <row r="16" spans="1:10" ht="26.25" thickTop="1" x14ac:dyDescent="0.2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43" t="s">
        <v>110</v>
      </c>
      <c r="B17" s="344"/>
      <c r="C17" s="66">
        <v>21995481</v>
      </c>
      <c r="D17" s="66">
        <v>21805434</v>
      </c>
      <c r="E17" s="67">
        <f>MIN(C17-D17)</f>
        <v>190047</v>
      </c>
      <c r="F17" s="67">
        <f>+E17</f>
        <v>190047</v>
      </c>
      <c r="G17" s="345"/>
      <c r="H17" s="346"/>
      <c r="I17" s="345">
        <f>+E17</f>
        <v>190047</v>
      </c>
      <c r="J17" s="346"/>
    </row>
    <row r="18" spans="1:10" x14ac:dyDescent="0.2">
      <c r="A18" s="343" t="s">
        <v>111</v>
      </c>
      <c r="B18" s="344"/>
      <c r="C18" s="66">
        <v>12883997</v>
      </c>
      <c r="D18" s="66">
        <v>12757348</v>
      </c>
      <c r="E18" s="67">
        <f>MIN(C18-D18)</f>
        <v>126649</v>
      </c>
      <c r="F18" s="67">
        <f>+E18</f>
        <v>126649</v>
      </c>
      <c r="G18" s="345"/>
      <c r="H18" s="346"/>
      <c r="I18" s="345">
        <f>+E18</f>
        <v>126649</v>
      </c>
      <c r="J18" s="346"/>
    </row>
    <row r="19" spans="1:10" x14ac:dyDescent="0.2">
      <c r="A19" s="343" t="s">
        <v>112</v>
      </c>
      <c r="B19" s="344"/>
      <c r="C19" s="66">
        <v>9648730</v>
      </c>
      <c r="D19" s="66">
        <v>9558420</v>
      </c>
      <c r="E19" s="67">
        <f>AVERAGE(C19-D19)</f>
        <v>90310</v>
      </c>
      <c r="F19" s="67">
        <f>+E19</f>
        <v>90310</v>
      </c>
      <c r="G19" s="345"/>
      <c r="H19" s="346"/>
      <c r="I19" s="345">
        <f>+E19</f>
        <v>90310</v>
      </c>
      <c r="J19" s="346"/>
    </row>
    <row r="20" spans="1:10" ht="15" x14ac:dyDescent="0.25">
      <c r="A20" s="347" t="s">
        <v>113</v>
      </c>
      <c r="B20" s="348"/>
      <c r="C20" s="68"/>
      <c r="D20" s="69"/>
      <c r="E20" s="68">
        <f>SUM(E17:E19)</f>
        <v>407006</v>
      </c>
      <c r="F20" s="70"/>
      <c r="G20" s="349"/>
      <c r="H20" s="350"/>
      <c r="I20" s="349"/>
      <c r="J20" s="350"/>
    </row>
    <row r="21" spans="1:10" x14ac:dyDescent="0.2">
      <c r="C21" s="110" t="s">
        <v>18</v>
      </c>
      <c r="D21" t="s">
        <v>114</v>
      </c>
      <c r="G21" s="351"/>
      <c r="H21" s="351"/>
    </row>
    <row r="22" spans="1:10" ht="13.5" thickBot="1" x14ac:dyDescent="0.25">
      <c r="G22" s="352"/>
      <c r="H22" s="352"/>
    </row>
    <row r="23" spans="1:10" ht="13.5" thickTop="1" x14ac:dyDescent="0.2">
      <c r="A23" s="353" t="s">
        <v>115</v>
      </c>
      <c r="B23" s="354"/>
      <c r="C23" s="355"/>
      <c r="D23" s="332" t="s">
        <v>116</v>
      </c>
      <c r="E23" s="332" t="s">
        <v>117</v>
      </c>
      <c r="F23" s="360" t="s">
        <v>118</v>
      </c>
      <c r="G23" s="362" t="s">
        <v>119</v>
      </c>
      <c r="H23" s="362"/>
      <c r="I23" s="363" t="s">
        <v>120</v>
      </c>
      <c r="J23" s="363"/>
    </row>
    <row r="24" spans="1:10" x14ac:dyDescent="0.2">
      <c r="A24" s="356"/>
      <c r="B24" s="357"/>
      <c r="C24" s="358"/>
      <c r="D24" s="359"/>
      <c r="E24" s="359"/>
      <c r="F24" s="361"/>
      <c r="G24" s="163" t="s">
        <v>121</v>
      </c>
      <c r="H24" s="71" t="s">
        <v>122</v>
      </c>
      <c r="I24" s="363"/>
      <c r="J24" s="363"/>
    </row>
    <row r="25" spans="1:10" ht="15" x14ac:dyDescent="0.25">
      <c r="A25" s="364" t="s">
        <v>123</v>
      </c>
      <c r="B25" s="365"/>
      <c r="C25" s="366"/>
      <c r="D25" s="67">
        <f>+E17</f>
        <v>190047</v>
      </c>
      <c r="E25" s="72">
        <v>0.95140000000000002</v>
      </c>
      <c r="F25" s="73">
        <f>PRODUCT(D25*E25)</f>
        <v>180810.71580000001</v>
      </c>
      <c r="G25" s="150">
        <v>14</v>
      </c>
      <c r="H25" s="65">
        <f>PRODUCT(0.14,F25)</f>
        <v>25313.500212000003</v>
      </c>
      <c r="I25" s="367">
        <f>SUM(H25,F25)</f>
        <v>206124.21601200002</v>
      </c>
      <c r="J25" s="368"/>
    </row>
    <row r="26" spans="1:10" ht="15" x14ac:dyDescent="0.25">
      <c r="A26" s="369" t="s">
        <v>124</v>
      </c>
      <c r="B26" s="370"/>
      <c r="C26" s="371"/>
      <c r="D26" s="67">
        <f>+E18</f>
        <v>126649</v>
      </c>
      <c r="E26" s="74">
        <v>0.69850000000000001</v>
      </c>
      <c r="F26" s="73">
        <f>PRODUCT(D26*E26)</f>
        <v>88464.326499999996</v>
      </c>
      <c r="G26">
        <v>14</v>
      </c>
      <c r="H26" s="67">
        <f>PRODUCT(0.14,F26)</f>
        <v>12385.005710000001</v>
      </c>
      <c r="I26" s="367">
        <f t="shared" ref="I26:I31" si="0">SUM(H26,F26)</f>
        <v>100849.33220999999</v>
      </c>
      <c r="J26" s="368"/>
    </row>
    <row r="27" spans="1:10" ht="15" x14ac:dyDescent="0.25">
      <c r="A27" s="369" t="s">
        <v>125</v>
      </c>
      <c r="B27" s="370"/>
      <c r="C27" s="371"/>
      <c r="D27" s="67">
        <f>+E19</f>
        <v>90310</v>
      </c>
      <c r="E27" s="74">
        <v>1.3304</v>
      </c>
      <c r="F27" s="73">
        <f>PRODUCT(D27*E27)</f>
        <v>120148.424</v>
      </c>
      <c r="G27">
        <v>14</v>
      </c>
      <c r="H27" s="67">
        <f>PRODUCT(0.14,F27)</f>
        <v>16820.77936</v>
      </c>
      <c r="I27" s="367">
        <f>SUM(H27,F27)</f>
        <v>136969.20335999998</v>
      </c>
      <c r="J27" s="368"/>
    </row>
    <row r="28" spans="1:10" ht="15" x14ac:dyDescent="0.25">
      <c r="A28" s="369" t="s">
        <v>126</v>
      </c>
      <c r="B28" s="370"/>
      <c r="C28" s="37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7">
        <f t="shared" si="0"/>
        <v>50025.103799999997</v>
      </c>
      <c r="J28" s="368"/>
    </row>
    <row r="29" spans="1:10" ht="15" x14ac:dyDescent="0.25">
      <c r="A29" s="380" t="s">
        <v>127</v>
      </c>
      <c r="B29" s="381"/>
      <c r="C29" s="382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3">
        <f t="shared" si="0"/>
        <v>0</v>
      </c>
      <c r="J29" s="384"/>
    </row>
    <row r="30" spans="1:10" ht="15" x14ac:dyDescent="0.25">
      <c r="A30" s="369" t="s">
        <v>128</v>
      </c>
      <c r="B30" s="370"/>
      <c r="C30" s="37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7">
        <f>SUM(H30,F30)</f>
        <v>1009.2</v>
      </c>
      <c r="J30" s="368"/>
    </row>
    <row r="31" spans="1:10" ht="15.75" thickBot="1" x14ac:dyDescent="0.3">
      <c r="A31" s="372" t="s">
        <v>129</v>
      </c>
      <c r="B31" s="373"/>
      <c r="C31" s="374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7">
        <f t="shared" si="0"/>
        <v>1596.44</v>
      </c>
      <c r="J31" s="368"/>
    </row>
    <row r="32" spans="1:10" ht="21" x14ac:dyDescent="0.2">
      <c r="A32" s="375" t="s">
        <v>130</v>
      </c>
      <c r="B32" s="376"/>
      <c r="C32" s="376"/>
      <c r="D32" s="376"/>
      <c r="E32" s="376"/>
      <c r="F32" s="84">
        <f>SUM(F25:F31)</f>
        <v>435638.13629999995</v>
      </c>
      <c r="G32" s="85"/>
      <c r="H32" s="86"/>
      <c r="I32" s="379">
        <f>SUM(I25:J31)</f>
        <v>496573.49538199999</v>
      </c>
      <c r="J32" s="379"/>
    </row>
    <row r="33" spans="1:10" ht="21.75" thickBot="1" x14ac:dyDescent="0.25">
      <c r="A33" s="377"/>
      <c r="B33" s="378"/>
      <c r="C33" s="378"/>
      <c r="D33" s="378"/>
      <c r="E33" s="378"/>
      <c r="F33" s="87"/>
      <c r="G33" s="88"/>
      <c r="H33" s="89"/>
      <c r="I33" s="379"/>
      <c r="J33" s="379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R18" sqref="R1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4"/>
      <c r="B1" s="276"/>
      <c r="C1" s="304" t="s">
        <v>131</v>
      </c>
      <c r="D1" s="305"/>
      <c r="E1" s="305"/>
      <c r="F1" s="305"/>
      <c r="G1" s="305"/>
      <c r="H1" s="310" t="s">
        <v>88</v>
      </c>
      <c r="I1" s="311"/>
      <c r="J1" s="312"/>
    </row>
    <row r="2" spans="1:10" ht="16.5" customHeight="1" thickBot="1" x14ac:dyDescent="0.25">
      <c r="A2" s="277"/>
      <c r="B2" s="279"/>
      <c r="C2" s="306"/>
      <c r="D2" s="307"/>
      <c r="E2" s="307"/>
      <c r="F2" s="307"/>
      <c r="G2" s="307"/>
      <c r="H2" s="313"/>
      <c r="I2" s="314"/>
      <c r="J2" s="315"/>
    </row>
    <row r="3" spans="1:10" ht="15" customHeight="1" x14ac:dyDescent="0.2">
      <c r="A3" s="277"/>
      <c r="B3" s="279"/>
      <c r="C3" s="306"/>
      <c r="D3" s="307"/>
      <c r="E3" s="307"/>
      <c r="F3" s="307"/>
      <c r="G3" s="307"/>
      <c r="H3" s="316" t="s">
        <v>89</v>
      </c>
      <c r="I3" s="317"/>
      <c r="J3" s="318"/>
    </row>
    <row r="4" spans="1:10" ht="15.75" customHeight="1" thickBot="1" x14ac:dyDescent="0.25">
      <c r="A4" s="280"/>
      <c r="B4" s="282"/>
      <c r="C4" s="308"/>
      <c r="D4" s="309"/>
      <c r="E4" s="309"/>
      <c r="F4" s="309"/>
      <c r="G4" s="309"/>
      <c r="H4" s="319"/>
      <c r="I4" s="320"/>
      <c r="J4" s="321"/>
    </row>
    <row r="6" spans="1:10" ht="33" customHeight="1" thickBot="1" x14ac:dyDescent="0.25"/>
    <row r="7" spans="1:10" ht="36.75" thickTop="1" x14ac:dyDescent="0.2">
      <c r="A7" s="322" t="s">
        <v>90</v>
      </c>
      <c r="B7" s="322"/>
      <c r="C7" s="323" t="s">
        <v>91</v>
      </c>
      <c r="D7" s="324"/>
      <c r="E7" s="61" t="s">
        <v>92</v>
      </c>
      <c r="F7" s="61" t="s">
        <v>93</v>
      </c>
      <c r="G7" s="61" t="s">
        <v>94</v>
      </c>
      <c r="H7" s="61" t="s">
        <v>95</v>
      </c>
      <c r="I7" s="325" t="s">
        <v>96</v>
      </c>
      <c r="J7" s="326"/>
    </row>
    <row r="8" spans="1:10" x14ac:dyDescent="0.2">
      <c r="A8" s="327">
        <v>95670781</v>
      </c>
      <c r="B8" s="327"/>
      <c r="C8" s="328">
        <v>44902</v>
      </c>
      <c r="D8" s="329"/>
      <c r="E8" s="113">
        <v>44903</v>
      </c>
      <c r="F8" s="162" t="s">
        <v>132</v>
      </c>
      <c r="G8" s="62"/>
      <c r="H8" s="62"/>
      <c r="I8" s="330"/>
      <c r="J8" s="331"/>
    </row>
    <row r="10" spans="1:10" ht="23.25" customHeight="1" thickBot="1" x14ac:dyDescent="0.25"/>
    <row r="11" spans="1:10" ht="24.75" customHeight="1" thickTop="1" x14ac:dyDescent="0.2">
      <c r="A11" s="332" t="s">
        <v>98</v>
      </c>
      <c r="B11" s="332"/>
      <c r="C11" s="333" t="s">
        <v>99</v>
      </c>
      <c r="D11" s="334"/>
      <c r="E11" s="332" t="s">
        <v>100</v>
      </c>
      <c r="F11" s="332"/>
      <c r="G11" s="333" t="s">
        <v>101</v>
      </c>
      <c r="H11" s="334"/>
      <c r="I11" s="335" t="s">
        <v>102</v>
      </c>
      <c r="J11" s="335"/>
    </row>
    <row r="12" spans="1:10" x14ac:dyDescent="0.2">
      <c r="A12" s="327" t="s">
        <v>103</v>
      </c>
      <c r="B12" s="327"/>
      <c r="C12" s="327">
        <v>3750</v>
      </c>
      <c r="D12" s="327"/>
      <c r="E12" s="327">
        <v>1000</v>
      </c>
      <c r="F12" s="327"/>
      <c r="G12" s="339">
        <v>1282</v>
      </c>
      <c r="H12" s="339"/>
      <c r="I12" s="340"/>
      <c r="J12" s="340"/>
    </row>
    <row r="13" spans="1:10" x14ac:dyDescent="0.2">
      <c r="A13" s="341"/>
      <c r="B13" s="342"/>
      <c r="C13" s="342"/>
      <c r="D13" s="342"/>
      <c r="E13" s="342"/>
      <c r="F13" s="342"/>
      <c r="G13" s="342"/>
      <c r="H13" s="342"/>
      <c r="I13" s="342"/>
      <c r="J13" s="342"/>
    </row>
    <row r="15" spans="1:10" ht="13.5" thickBot="1" x14ac:dyDescent="0.25"/>
    <row r="16" spans="1:10" ht="26.25" thickTop="1" x14ac:dyDescent="0.2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43" t="s">
        <v>110</v>
      </c>
      <c r="B17" s="344"/>
      <c r="C17" s="66">
        <v>21867730</v>
      </c>
      <c r="D17" s="66">
        <v>21860877</v>
      </c>
      <c r="E17" s="67">
        <f>MIN(C17-D17)</f>
        <v>6853</v>
      </c>
      <c r="F17" s="67">
        <f>+E17</f>
        <v>6853</v>
      </c>
      <c r="G17" s="345"/>
      <c r="H17" s="346"/>
      <c r="I17" s="345">
        <f>+E17</f>
        <v>6853</v>
      </c>
      <c r="J17" s="346"/>
    </row>
    <row r="18" spans="1:10" x14ac:dyDescent="0.2">
      <c r="A18" s="343" t="s">
        <v>111</v>
      </c>
      <c r="B18" s="344"/>
      <c r="C18" s="66">
        <v>12801571</v>
      </c>
      <c r="D18" s="66">
        <v>12797614</v>
      </c>
      <c r="E18" s="67">
        <f>MIN(C18-D18)</f>
        <v>3957</v>
      </c>
      <c r="F18" s="67">
        <f>+E18</f>
        <v>3957</v>
      </c>
      <c r="G18" s="345"/>
      <c r="H18" s="346"/>
      <c r="I18" s="345">
        <f>+E18</f>
        <v>3957</v>
      </c>
      <c r="J18" s="346"/>
    </row>
    <row r="19" spans="1:10" x14ac:dyDescent="0.2">
      <c r="A19" s="343" t="s">
        <v>112</v>
      </c>
      <c r="B19" s="344"/>
      <c r="C19" s="66">
        <v>9587915</v>
      </c>
      <c r="D19" s="66">
        <v>9584798</v>
      </c>
      <c r="E19" s="67">
        <f>AVERAGE(C19-D19)</f>
        <v>3117</v>
      </c>
      <c r="F19" s="67">
        <f>+E19</f>
        <v>3117</v>
      </c>
      <c r="G19" s="345"/>
      <c r="H19" s="346"/>
      <c r="I19" s="345">
        <f>+E19</f>
        <v>3117</v>
      </c>
      <c r="J19" s="346"/>
    </row>
    <row r="20" spans="1:10" ht="15" x14ac:dyDescent="0.25">
      <c r="A20" s="347" t="s">
        <v>113</v>
      </c>
      <c r="B20" s="348"/>
      <c r="C20" s="68"/>
      <c r="D20" s="69"/>
      <c r="E20" s="68">
        <f>SUM(E17:E19)</f>
        <v>13927</v>
      </c>
      <c r="F20" s="70"/>
      <c r="G20" s="349"/>
      <c r="H20" s="350"/>
      <c r="I20" s="349"/>
      <c r="J20" s="350"/>
    </row>
    <row r="21" spans="1:10" x14ac:dyDescent="0.2">
      <c r="C21" s="110" t="s">
        <v>18</v>
      </c>
      <c r="D21" t="s">
        <v>114</v>
      </c>
      <c r="G21" s="351"/>
      <c r="H21" s="351"/>
    </row>
    <row r="22" spans="1:10" ht="13.5" thickBot="1" x14ac:dyDescent="0.25">
      <c r="G22" s="352"/>
      <c r="H22" s="352"/>
    </row>
    <row r="23" spans="1:10" ht="13.5" thickTop="1" x14ac:dyDescent="0.2">
      <c r="A23" s="353" t="s">
        <v>115</v>
      </c>
      <c r="B23" s="354"/>
      <c r="C23" s="355"/>
      <c r="D23" s="332" t="s">
        <v>116</v>
      </c>
      <c r="E23" s="332" t="s">
        <v>117</v>
      </c>
      <c r="F23" s="360" t="s">
        <v>118</v>
      </c>
      <c r="G23" s="362" t="s">
        <v>119</v>
      </c>
      <c r="H23" s="362"/>
      <c r="I23" s="363" t="s">
        <v>120</v>
      </c>
      <c r="J23" s="363"/>
    </row>
    <row r="24" spans="1:10" x14ac:dyDescent="0.2">
      <c r="A24" s="356"/>
      <c r="B24" s="357"/>
      <c r="C24" s="358"/>
      <c r="D24" s="359"/>
      <c r="E24" s="359"/>
      <c r="F24" s="361"/>
      <c r="G24" s="163" t="s">
        <v>121</v>
      </c>
      <c r="H24" s="71" t="s">
        <v>122</v>
      </c>
      <c r="I24" s="363"/>
      <c r="J24" s="363"/>
    </row>
    <row r="25" spans="1:10" ht="15" x14ac:dyDescent="0.25">
      <c r="A25" s="364" t="s">
        <v>123</v>
      </c>
      <c r="B25" s="365"/>
      <c r="C25" s="366"/>
      <c r="D25" s="67">
        <f>+E17</f>
        <v>6853</v>
      </c>
      <c r="E25" s="72">
        <v>0.95140000000000002</v>
      </c>
      <c r="F25" s="73">
        <f>PRODUCT(D25*E25)</f>
        <v>6519.9441999999999</v>
      </c>
      <c r="G25" s="150">
        <v>14</v>
      </c>
      <c r="H25" s="65">
        <f>PRODUCT(0.14,F25)</f>
        <v>912.79218800000012</v>
      </c>
      <c r="I25" s="367">
        <f>SUM(H25,F25)</f>
        <v>7432.7363880000003</v>
      </c>
      <c r="J25" s="368"/>
    </row>
    <row r="26" spans="1:10" ht="15" x14ac:dyDescent="0.25">
      <c r="A26" s="369" t="s">
        <v>124</v>
      </c>
      <c r="B26" s="370"/>
      <c r="C26" s="371"/>
      <c r="D26" s="67">
        <f>+E18</f>
        <v>3957</v>
      </c>
      <c r="E26" s="74">
        <v>0.69850000000000001</v>
      </c>
      <c r="F26" s="73">
        <f>PRODUCT(D26*E26)</f>
        <v>2763.9645</v>
      </c>
      <c r="G26">
        <v>14</v>
      </c>
      <c r="H26" s="67">
        <f>PRODUCT(0.14,F26)</f>
        <v>386.95503000000002</v>
      </c>
      <c r="I26" s="367">
        <f t="shared" ref="I26:I31" si="0">SUM(H26,F26)</f>
        <v>3150.9195300000001</v>
      </c>
      <c r="J26" s="368"/>
    </row>
    <row r="27" spans="1:10" ht="15" x14ac:dyDescent="0.25">
      <c r="A27" s="369" t="s">
        <v>125</v>
      </c>
      <c r="B27" s="370"/>
      <c r="C27" s="371"/>
      <c r="D27" s="67">
        <f>+E19</f>
        <v>3117</v>
      </c>
      <c r="E27" s="74">
        <v>1.3304</v>
      </c>
      <c r="F27" s="73">
        <f>PRODUCT(D27*E27)</f>
        <v>4146.8568000000005</v>
      </c>
      <c r="G27">
        <v>14</v>
      </c>
      <c r="H27" s="67">
        <f>PRODUCT(0.14,F27)</f>
        <v>580.55995200000007</v>
      </c>
      <c r="I27" s="367">
        <f>SUM(H27,F27)</f>
        <v>4727.416752000001</v>
      </c>
      <c r="J27" s="368"/>
    </row>
    <row r="28" spans="1:10" ht="15" x14ac:dyDescent="0.25">
      <c r="A28" s="369" t="s">
        <v>126</v>
      </c>
      <c r="B28" s="370"/>
      <c r="C28" s="37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7">
        <f t="shared" si="0"/>
        <v>50025.103799999997</v>
      </c>
      <c r="J28" s="368"/>
    </row>
    <row r="29" spans="1:10" ht="15" x14ac:dyDescent="0.25">
      <c r="A29" s="380" t="s">
        <v>127</v>
      </c>
      <c r="B29" s="381"/>
      <c r="C29" s="382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3">
        <f t="shared" si="0"/>
        <v>0</v>
      </c>
      <c r="J29" s="384"/>
    </row>
    <row r="30" spans="1:10" ht="15" x14ac:dyDescent="0.25">
      <c r="A30" s="369" t="s">
        <v>128</v>
      </c>
      <c r="B30" s="370"/>
      <c r="C30" s="37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7">
        <f>SUM(H30,F30)</f>
        <v>1009.2</v>
      </c>
      <c r="J30" s="368"/>
    </row>
    <row r="31" spans="1:10" ht="15.75" thickBot="1" x14ac:dyDescent="0.3">
      <c r="A31" s="372" t="s">
        <v>129</v>
      </c>
      <c r="B31" s="373"/>
      <c r="C31" s="374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7">
        <f t="shared" si="0"/>
        <v>1596.44</v>
      </c>
      <c r="J31" s="368"/>
    </row>
    <row r="32" spans="1:10" ht="21" x14ac:dyDescent="0.2">
      <c r="A32" s="375" t="s">
        <v>130</v>
      </c>
      <c r="B32" s="376"/>
      <c r="C32" s="376"/>
      <c r="D32" s="376"/>
      <c r="E32" s="376"/>
      <c r="F32" s="84">
        <f>SUM(F25:F31)</f>
        <v>59645.4355</v>
      </c>
      <c r="G32" s="85"/>
      <c r="H32" s="86"/>
      <c r="I32" s="379">
        <f>SUM(I25:J31)</f>
        <v>67941.816470000005</v>
      </c>
      <c r="J32" s="379"/>
    </row>
    <row r="33" spans="1:10" ht="21.75" thickBot="1" x14ac:dyDescent="0.25">
      <c r="A33" s="377"/>
      <c r="B33" s="378"/>
      <c r="C33" s="378"/>
      <c r="D33" s="378"/>
      <c r="E33" s="378"/>
      <c r="F33" s="87"/>
      <c r="G33" s="88"/>
      <c r="H33" s="89"/>
      <c r="I33" s="379"/>
      <c r="J33" s="379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9" sqref="K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133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176437</v>
      </c>
      <c r="D8" s="97">
        <v>44166</v>
      </c>
      <c r="E8" s="96">
        <v>180444</v>
      </c>
      <c r="F8" s="97">
        <v>44562</v>
      </c>
      <c r="G8" s="98">
        <f>E8-C8</f>
        <v>4007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139</v>
      </c>
      <c r="E10" s="399"/>
      <c r="F10" s="397" t="s">
        <v>140</v>
      </c>
      <c r="G10" s="400"/>
      <c r="H10" s="398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401">
        <f>G8</f>
        <v>4007</v>
      </c>
      <c r="C13" s="401"/>
      <c r="D13" s="401">
        <v>8.7899999999999991</v>
      </c>
      <c r="E13" s="401"/>
      <c r="F13" s="403">
        <f>PRODUCT(D13,B13)</f>
        <v>35221.53</v>
      </c>
      <c r="G13" s="403"/>
      <c r="H13" s="403"/>
    </row>
    <row r="14" spans="1:8" ht="45" customHeight="1" x14ac:dyDescent="0.2">
      <c r="A14" s="404" t="s">
        <v>144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 x14ac:dyDescent="0.2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 x14ac:dyDescent="0.2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 x14ac:dyDescent="0.25">
      <c r="A19" s="103" t="s">
        <v>148</v>
      </c>
      <c r="B19" s="401">
        <f>G8</f>
        <v>4007</v>
      </c>
      <c r="C19" s="401"/>
      <c r="D19" s="401">
        <v>2.61</v>
      </c>
      <c r="E19" s="401"/>
      <c r="F19" s="401">
        <f>PRODUCT(D19,B19)</f>
        <v>10458.269999999999</v>
      </c>
      <c r="G19" s="401"/>
      <c r="H19" s="401"/>
    </row>
    <row r="20" spans="1:8" ht="18.75" x14ac:dyDescent="0.3">
      <c r="A20" s="417" t="s">
        <v>149</v>
      </c>
      <c r="B20" s="418"/>
      <c r="C20" s="418"/>
      <c r="D20" s="418"/>
      <c r="E20" s="419"/>
      <c r="F20" s="420">
        <f>SUM(F11+F13+F16+F17+F18+F19)</f>
        <v>45702.799999999996</v>
      </c>
      <c r="G20" s="420"/>
      <c r="H20" s="420"/>
    </row>
    <row r="21" spans="1:8" ht="15" x14ac:dyDescent="0.25">
      <c r="A21" s="406" t="s">
        <v>150</v>
      </c>
      <c r="B21" s="407"/>
      <c r="C21" s="407"/>
      <c r="D21" s="407"/>
      <c r="E21" s="408"/>
      <c r="F21" s="401">
        <f>PRODUCT(F20,0.07)</f>
        <v>3199.1959999999999</v>
      </c>
      <c r="G21" s="401"/>
      <c r="H21" s="401"/>
    </row>
    <row r="22" spans="1:8" ht="15" x14ac:dyDescent="0.25">
      <c r="A22" s="421" t="s">
        <v>151</v>
      </c>
      <c r="B22" s="422"/>
      <c r="C22" s="422"/>
      <c r="D22" s="422"/>
      <c r="E22" s="423"/>
      <c r="F22" s="401">
        <v>208.26</v>
      </c>
      <c r="G22" s="401"/>
      <c r="H22" s="401"/>
    </row>
    <row r="23" spans="1:8" ht="15.75" x14ac:dyDescent="0.25">
      <c r="A23" s="406" t="s">
        <v>152</v>
      </c>
      <c r="B23" s="407"/>
      <c r="C23" s="407"/>
      <c r="D23" s="407"/>
      <c r="E23" s="408"/>
      <c r="F23" s="409">
        <f>SUM(F21:H22)</f>
        <v>3407.4560000000001</v>
      </c>
      <c r="G23" s="409"/>
      <c r="H23" s="409"/>
    </row>
    <row r="24" spans="1:8" x14ac:dyDescent="0.2">
      <c r="A24" s="410" t="s">
        <v>153</v>
      </c>
      <c r="B24" s="411"/>
      <c r="C24" s="411"/>
      <c r="D24" s="411"/>
      <c r="E24" s="412"/>
      <c r="F24" s="416">
        <f>SUM(F20,F23)</f>
        <v>49110.255999999994</v>
      </c>
      <c r="G24" s="416"/>
      <c r="H24" s="416"/>
    </row>
    <row r="25" spans="1:8" x14ac:dyDescent="0.2">
      <c r="A25" s="413"/>
      <c r="B25" s="414"/>
      <c r="C25" s="414"/>
      <c r="D25" s="414"/>
      <c r="E25" s="415"/>
      <c r="F25" s="416"/>
      <c r="G25" s="416"/>
      <c r="H25" s="416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133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0</v>
      </c>
      <c r="D8" s="97">
        <v>44535</v>
      </c>
      <c r="E8" s="96">
        <v>0</v>
      </c>
      <c r="F8" s="97">
        <v>44901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139</v>
      </c>
      <c r="E10" s="399"/>
      <c r="F10" s="397" t="s">
        <v>140</v>
      </c>
      <c r="G10" s="400"/>
      <c r="H10" s="398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401">
        <f>G8</f>
        <v>0</v>
      </c>
      <c r="C13" s="401"/>
      <c r="D13" s="401">
        <v>8.5</v>
      </c>
      <c r="E13" s="401"/>
      <c r="F13" s="403">
        <f>PRODUCT(D13,B13)</f>
        <v>0</v>
      </c>
      <c r="G13" s="403"/>
      <c r="H13" s="403"/>
    </row>
    <row r="14" spans="1:8" ht="45" customHeight="1" x14ac:dyDescent="0.2">
      <c r="A14" s="404" t="s">
        <v>144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 x14ac:dyDescent="0.2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 x14ac:dyDescent="0.2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 x14ac:dyDescent="0.25">
      <c r="A19" s="103" t="s">
        <v>148</v>
      </c>
      <c r="B19" s="401">
        <v>0</v>
      </c>
      <c r="C19" s="401"/>
      <c r="D19" s="424">
        <v>0</v>
      </c>
      <c r="E19" s="425"/>
      <c r="F19" s="424">
        <v>0</v>
      </c>
      <c r="G19" s="425"/>
      <c r="H19" s="164"/>
    </row>
    <row r="20" spans="1:8" ht="15" x14ac:dyDescent="0.25">
      <c r="A20" s="103" t="s">
        <v>154</v>
      </c>
      <c r="B20" s="401">
        <f>G8</f>
        <v>0</v>
      </c>
      <c r="C20" s="401"/>
      <c r="D20" s="401">
        <v>2.54</v>
      </c>
      <c r="E20" s="401"/>
      <c r="F20" s="401">
        <f>PRODUCT(D20,B20)</f>
        <v>0</v>
      </c>
      <c r="G20" s="401"/>
      <c r="H20" s="401"/>
    </row>
    <row r="21" spans="1:8" ht="18.75" x14ac:dyDescent="0.3">
      <c r="A21" s="417" t="s">
        <v>149</v>
      </c>
      <c r="B21" s="418"/>
      <c r="C21" s="418"/>
      <c r="D21" s="418"/>
      <c r="E21" s="419"/>
      <c r="F21" s="420">
        <f>SUM(F11+F13+F16+F17+F18+F20)</f>
        <v>23</v>
      </c>
      <c r="G21" s="420"/>
      <c r="H21" s="420"/>
    </row>
    <row r="22" spans="1:8" ht="15" x14ac:dyDescent="0.25">
      <c r="A22" s="406" t="s">
        <v>150</v>
      </c>
      <c r="B22" s="407"/>
      <c r="C22" s="407"/>
      <c r="D22" s="407"/>
      <c r="E22" s="408"/>
      <c r="F22" s="401">
        <f>PRODUCT(F21,0.07)</f>
        <v>1.61</v>
      </c>
      <c r="G22" s="401"/>
      <c r="H22" s="401"/>
    </row>
    <row r="23" spans="1:8" ht="15" x14ac:dyDescent="0.25">
      <c r="A23" s="421" t="s">
        <v>151</v>
      </c>
      <c r="B23" s="422"/>
      <c r="C23" s="422"/>
      <c r="D23" s="422"/>
      <c r="E23" s="423"/>
      <c r="F23" s="401">
        <v>208.26</v>
      </c>
      <c r="G23" s="401"/>
      <c r="H23" s="401"/>
    </row>
    <row r="24" spans="1:8" ht="15.75" x14ac:dyDescent="0.25">
      <c r="A24" s="406" t="s">
        <v>152</v>
      </c>
      <c r="B24" s="407"/>
      <c r="C24" s="407"/>
      <c r="D24" s="407"/>
      <c r="E24" s="408"/>
      <c r="F24" s="409">
        <f>SUM(F22:H23)</f>
        <v>209.87</v>
      </c>
      <c r="G24" s="409"/>
      <c r="H24" s="409"/>
    </row>
    <row r="25" spans="1:8" x14ac:dyDescent="0.2">
      <c r="A25" s="410" t="s">
        <v>153</v>
      </c>
      <c r="B25" s="411"/>
      <c r="C25" s="411"/>
      <c r="D25" s="411"/>
      <c r="E25" s="412"/>
      <c r="F25" s="416">
        <f>SUM(F21,F24)</f>
        <v>232.87</v>
      </c>
      <c r="G25" s="416"/>
      <c r="H25" s="416"/>
    </row>
    <row r="26" spans="1:8" x14ac:dyDescent="0.2">
      <c r="A26" s="413"/>
      <c r="B26" s="414"/>
      <c r="C26" s="414"/>
      <c r="D26" s="414"/>
      <c r="E26" s="415"/>
      <c r="F26" s="416"/>
      <c r="G26" s="416"/>
      <c r="H26" s="416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155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2594</v>
      </c>
      <c r="D8" s="97">
        <v>44901</v>
      </c>
      <c r="E8" s="96">
        <v>2594</v>
      </c>
      <c r="F8" s="97">
        <v>44902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139</v>
      </c>
      <c r="E10" s="399"/>
      <c r="F10" s="397" t="s">
        <v>140</v>
      </c>
      <c r="G10" s="400"/>
      <c r="H10" s="398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15</v>
      </c>
      <c r="G11" s="401"/>
      <c r="H11" s="401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156</v>
      </c>
      <c r="B13" s="401">
        <f>G8</f>
        <v>0</v>
      </c>
      <c r="C13" s="401"/>
      <c r="D13" s="401">
        <v>16.48</v>
      </c>
      <c r="E13" s="401"/>
      <c r="F13" s="403">
        <f>PRODUCT(D13,B13)</f>
        <v>0</v>
      </c>
      <c r="G13" s="403"/>
      <c r="H13" s="403"/>
    </row>
    <row r="14" spans="1:8" ht="15" x14ac:dyDescent="0.25">
      <c r="A14" s="102" t="s">
        <v>157</v>
      </c>
      <c r="B14" s="424"/>
      <c r="C14" s="425"/>
      <c r="D14" s="424"/>
      <c r="E14" s="425"/>
      <c r="F14" s="424"/>
      <c r="G14" s="425"/>
      <c r="H14" s="111"/>
    </row>
    <row r="15" spans="1:8" ht="15" x14ac:dyDescent="0.25">
      <c r="A15" s="102" t="s">
        <v>158</v>
      </c>
      <c r="B15" s="424"/>
      <c r="C15" s="425"/>
      <c r="D15" s="424"/>
      <c r="E15" s="425"/>
      <c r="F15" s="424"/>
      <c r="G15" s="425"/>
      <c r="H15" s="111"/>
    </row>
    <row r="16" spans="1:8" ht="15" x14ac:dyDescent="0.25">
      <c r="A16" s="102" t="s">
        <v>159</v>
      </c>
      <c r="B16" s="424"/>
      <c r="C16" s="425"/>
      <c r="D16" s="424"/>
      <c r="E16" s="425"/>
      <c r="F16" s="424"/>
      <c r="G16" s="425"/>
      <c r="H16" s="111"/>
    </row>
    <row r="17" spans="1:8" ht="15" x14ac:dyDescent="0.25">
      <c r="A17" s="102" t="s">
        <v>160</v>
      </c>
      <c r="B17" s="424"/>
      <c r="C17" s="425"/>
      <c r="D17" s="424"/>
      <c r="E17" s="425"/>
      <c r="F17" s="424"/>
      <c r="G17" s="425"/>
      <c r="H17" s="111"/>
    </row>
    <row r="18" spans="1:8" ht="45" customHeight="1" x14ac:dyDescent="0.2">
      <c r="A18" s="404" t="s">
        <v>144</v>
      </c>
      <c r="B18" s="404"/>
      <c r="C18" s="404"/>
      <c r="D18" s="404"/>
      <c r="E18" s="404"/>
      <c r="F18" s="404"/>
      <c r="G18" s="404"/>
      <c r="H18" s="404"/>
    </row>
    <row r="19" spans="1:8" x14ac:dyDescent="0.2">
      <c r="A19" s="405"/>
      <c r="B19" s="405"/>
      <c r="C19" s="405"/>
      <c r="D19" s="405"/>
      <c r="E19" s="405"/>
      <c r="F19" s="405"/>
      <c r="G19" s="405"/>
      <c r="H19" s="405"/>
    </row>
    <row r="20" spans="1:8" ht="15" x14ac:dyDescent="0.25">
      <c r="A20" s="103" t="s">
        <v>145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 x14ac:dyDescent="0.25">
      <c r="A21" s="103" t="s">
        <v>146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 x14ac:dyDescent="0.25">
      <c r="A22" s="103" t="s">
        <v>147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 x14ac:dyDescent="0.25">
      <c r="A23" s="103" t="s">
        <v>148</v>
      </c>
      <c r="B23" s="401">
        <f>G8</f>
        <v>0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 x14ac:dyDescent="0.25">
      <c r="A24" s="103" t="s">
        <v>154</v>
      </c>
      <c r="B24" s="424">
        <v>0</v>
      </c>
      <c r="C24" s="425"/>
      <c r="D24" s="424">
        <v>2.54</v>
      </c>
      <c r="E24" s="425"/>
      <c r="F24" s="424">
        <f>B24*D24</f>
        <v>0</v>
      </c>
      <c r="G24" s="425"/>
      <c r="H24" s="164"/>
    </row>
    <row r="25" spans="1:8" ht="18.75" x14ac:dyDescent="0.3">
      <c r="A25" s="417" t="s">
        <v>149</v>
      </c>
      <c r="B25" s="418"/>
      <c r="C25" s="418"/>
      <c r="D25" s="418"/>
      <c r="E25" s="419"/>
      <c r="F25" s="426">
        <f>SUM(F11+F13+F20+F21+F22+F23)</f>
        <v>15</v>
      </c>
      <c r="G25" s="420"/>
      <c r="H25" s="420"/>
    </row>
    <row r="26" spans="1:8" ht="15" x14ac:dyDescent="0.25">
      <c r="A26" s="406" t="s">
        <v>150</v>
      </c>
      <c r="B26" s="407"/>
      <c r="C26" s="407"/>
      <c r="D26" s="407"/>
      <c r="E26" s="408"/>
      <c r="F26" s="401">
        <v>63.63</v>
      </c>
      <c r="G26" s="401"/>
      <c r="H26" s="401"/>
    </row>
    <row r="27" spans="1:8" ht="15" x14ac:dyDescent="0.25">
      <c r="A27" s="421" t="s">
        <v>151</v>
      </c>
      <c r="B27" s="422"/>
      <c r="C27" s="422"/>
      <c r="D27" s="422"/>
      <c r="E27" s="423"/>
      <c r="F27" s="401">
        <v>2.4300000000000002</v>
      </c>
      <c r="G27" s="401"/>
      <c r="H27" s="401"/>
    </row>
    <row r="28" spans="1:8" ht="15.75" x14ac:dyDescent="0.25">
      <c r="A28" s="406" t="s">
        <v>152</v>
      </c>
      <c r="B28" s="407"/>
      <c r="C28" s="407"/>
      <c r="D28" s="407"/>
      <c r="E28" s="408"/>
      <c r="F28" s="409">
        <f>SUM(F26:H27)</f>
        <v>66.06</v>
      </c>
      <c r="G28" s="409"/>
      <c r="H28" s="409"/>
    </row>
    <row r="29" spans="1:8" x14ac:dyDescent="0.2">
      <c r="A29" s="410" t="s">
        <v>153</v>
      </c>
      <c r="B29" s="411"/>
      <c r="C29" s="411"/>
      <c r="D29" s="411"/>
      <c r="E29" s="412"/>
      <c r="F29" s="416">
        <f>SUM(F25,F28)</f>
        <v>81.06</v>
      </c>
      <c r="G29" s="416"/>
      <c r="H29" s="416"/>
    </row>
    <row r="30" spans="1:8" x14ac:dyDescent="0.2">
      <c r="A30" s="413"/>
      <c r="B30" s="414"/>
      <c r="C30" s="414"/>
      <c r="D30" s="414"/>
      <c r="E30" s="415"/>
      <c r="F30" s="416"/>
      <c r="G30" s="416"/>
      <c r="H30" s="416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O41" sqref="O41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7" t="s">
        <v>161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3"/>
      <c r="D8" s="434"/>
      <c r="E8" s="434"/>
      <c r="F8" s="434"/>
      <c r="G8" s="434"/>
      <c r="H8" s="434"/>
      <c r="I8" s="434"/>
      <c r="J8" s="434"/>
      <c r="K8" s="435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8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 t="s">
        <v>182</v>
      </c>
      <c r="M15" s="104"/>
      <c r="N15" s="104">
        <v>407006</v>
      </c>
    </row>
    <row r="16" spans="2:14" ht="21" thickBot="1" x14ac:dyDescent="0.35">
      <c r="C16" s="430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3"/>
      <c r="D19" s="434"/>
      <c r="E19" s="434"/>
      <c r="F19" s="434"/>
      <c r="G19" s="434"/>
      <c r="H19" s="434"/>
      <c r="I19" s="434"/>
      <c r="J19" s="434"/>
      <c r="K19" s="435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49" t="s">
        <v>181</v>
      </c>
      <c r="C26" s="104" t="s">
        <v>184</v>
      </c>
      <c r="D26" s="104" t="s">
        <v>185</v>
      </c>
      <c r="E26" s="104" t="s">
        <v>186</v>
      </c>
      <c r="F26" s="104" t="s">
        <v>187</v>
      </c>
      <c r="G26" s="104" t="s">
        <v>188</v>
      </c>
      <c r="H26" s="104" t="s">
        <v>189</v>
      </c>
      <c r="I26" s="104" t="s">
        <v>190</v>
      </c>
      <c r="J26" s="104" t="s">
        <v>191</v>
      </c>
      <c r="K26" s="104"/>
      <c r="L26" s="169">
        <v>5509722905</v>
      </c>
      <c r="M26" s="104"/>
      <c r="N26" s="169">
        <v>4356381363</v>
      </c>
    </row>
    <row r="27" spans="2:14" ht="29.25" customHeight="1" x14ac:dyDescent="0.2"/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9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192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3"/>
      <c r="D8" s="434"/>
      <c r="E8" s="434"/>
      <c r="F8" s="434"/>
      <c r="G8" s="434"/>
      <c r="H8" s="434"/>
      <c r="I8" s="434"/>
      <c r="J8" s="434"/>
      <c r="K8" s="435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70" t="s">
        <v>181</v>
      </c>
      <c r="C15" s="167">
        <v>1329</v>
      </c>
      <c r="D15" s="167">
        <v>2272</v>
      </c>
      <c r="E15" s="167">
        <v>3382</v>
      </c>
      <c r="F15" s="167">
        <v>3507</v>
      </c>
      <c r="G15" s="167">
        <v>4285</v>
      </c>
      <c r="H15" s="167">
        <v>4590</v>
      </c>
      <c r="I15" s="167">
        <v>5018</v>
      </c>
      <c r="J15" s="167">
        <v>4681</v>
      </c>
      <c r="K15" s="167">
        <v>4227</v>
      </c>
      <c r="L15" s="167">
        <v>4227</v>
      </c>
      <c r="M15" s="167">
        <v>4563</v>
      </c>
      <c r="N15" s="167"/>
    </row>
    <row r="16" spans="2:14" ht="21" thickBot="1" x14ac:dyDescent="0.35">
      <c r="C16" s="430" t="s">
        <v>193</v>
      </c>
      <c r="D16" s="438"/>
      <c r="E16" s="438"/>
      <c r="F16" s="438"/>
      <c r="G16" s="438"/>
      <c r="H16" s="438"/>
      <c r="I16" s="438"/>
      <c r="J16" s="438"/>
      <c r="K16" s="438"/>
      <c r="L16" s="438"/>
      <c r="M16" s="438"/>
      <c r="N16" s="439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3"/>
      <c r="D19" s="434"/>
      <c r="E19" s="434"/>
      <c r="F19" s="434"/>
      <c r="G19" s="434"/>
      <c r="H19" s="434"/>
      <c r="I19" s="434"/>
      <c r="J19" s="434"/>
      <c r="K19" s="435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67" t="s">
        <v>194</v>
      </c>
      <c r="D26" s="167" t="s">
        <v>195</v>
      </c>
      <c r="E26" s="167" t="s">
        <v>196</v>
      </c>
      <c r="F26" s="167" t="s">
        <v>197</v>
      </c>
      <c r="G26" s="167">
        <v>48897</v>
      </c>
      <c r="H26" s="167">
        <v>52374</v>
      </c>
      <c r="I26" s="167" t="s">
        <v>198</v>
      </c>
      <c r="J26" s="167" t="s">
        <v>199</v>
      </c>
      <c r="K26" s="167" t="s">
        <v>200</v>
      </c>
      <c r="L26" s="167" t="s">
        <v>200</v>
      </c>
      <c r="M26" s="167" t="s">
        <v>201</v>
      </c>
      <c r="N26" s="167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202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3"/>
      <c r="D8" s="434"/>
      <c r="E8" s="434"/>
      <c r="F8" s="434"/>
      <c r="G8" s="434"/>
      <c r="H8" s="434"/>
      <c r="I8" s="434"/>
      <c r="J8" s="434"/>
      <c r="K8" s="435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21" thickBot="1" x14ac:dyDescent="0.35">
      <c r="C15" s="430" t="s">
        <v>203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>
        <v>140007.79822500001</v>
      </c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21F24E-D051-4344-B4AC-1A41CABA54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C9026B-FACA-412B-BFAF-D1CFE861F6E4}">
  <ds:schemaRefs>
    <ds:schemaRef ds:uri="http://schemas.microsoft.com/office/2006/metadata/properties"/>
    <ds:schemaRef ds:uri="http://schemas.microsoft.com/office/infopath/2007/PartnerControls"/>
    <ds:schemaRef ds:uri="1a260a97-1a1d-4976-a872-bec7d3026b9f"/>
  </ds:schemaRefs>
</ds:datastoreItem>
</file>

<file path=customXml/itemProps3.xml><?xml version="1.0" encoding="utf-8"?>
<ds:datastoreItem xmlns:ds="http://schemas.openxmlformats.org/officeDocument/2006/customXml" ds:itemID="{991D5AFF-6849-4580-86A3-902D531C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