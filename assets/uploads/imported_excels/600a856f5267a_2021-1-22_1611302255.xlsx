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6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22" i="76"/>
  <c r="G22"/>
  <c r="C22"/>
  <c r="C21" i="3"/>
  <c r="D24" i="73"/>
  <c r="BA24" i="5"/>
  <c r="AZ24"/>
  <c r="AU24"/>
  <c r="AP24"/>
  <c r="AN24"/>
  <c r="AM24"/>
  <c r="AJ24"/>
  <c r="AC24"/>
  <c r="AD24" s="1"/>
  <c r="AB24"/>
  <c r="AA24"/>
  <c r="Y24"/>
  <c r="U24"/>
  <c r="T24"/>
  <c r="K24"/>
  <c r="H24"/>
  <c r="G24"/>
  <c r="AS23" i="1"/>
  <c r="AR23"/>
  <c r="AP23"/>
  <c r="AQ23" s="1"/>
  <c r="AN23"/>
  <c r="AO23" s="1"/>
  <c r="AM23"/>
  <c r="AL23"/>
  <c r="AJ23"/>
  <c r="AE23"/>
  <c r="AF23" s="1"/>
  <c r="AH23" s="1"/>
  <c r="AI23" s="1"/>
  <c r="AD23"/>
  <c r="AG23" s="1"/>
  <c r="AC23"/>
  <c r="AB23"/>
  <c r="Z23"/>
  <c r="AA23" s="1"/>
  <c r="Y23"/>
  <c r="X23"/>
  <c r="V23"/>
  <c r="U23"/>
  <c r="T23"/>
  <c r="S23"/>
  <c r="R23"/>
  <c r="O23"/>
  <c r="N23"/>
  <c r="L23"/>
  <c r="J23"/>
  <c r="I23"/>
  <c r="H23"/>
  <c r="G23"/>
  <c r="F23"/>
  <c r="D23"/>
  <c r="E23" s="1"/>
  <c r="A23"/>
  <c r="AD21" i="2"/>
  <c r="AC21"/>
  <c r="AA21"/>
  <c r="AB21" s="1"/>
  <c r="AE21" s="1"/>
  <c r="Z21"/>
  <c r="Y21"/>
  <c r="W21"/>
  <c r="X21" s="1"/>
  <c r="V21"/>
  <c r="AF21" s="1"/>
  <c r="T21"/>
  <c r="Q21"/>
  <c r="M21"/>
  <c r="N21" s="1"/>
  <c r="R21" s="1"/>
  <c r="K21"/>
  <c r="I21"/>
  <c r="G21"/>
  <c r="E21"/>
  <c r="AK23" i="1" l="1"/>
  <c r="AT23"/>
  <c r="AU23" s="1"/>
  <c r="I22" l="1"/>
  <c r="E18" i="3"/>
  <c r="E19"/>
  <c r="AO21" i="1"/>
  <c r="G17" i="5"/>
  <c r="G9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5" s="1"/>
  <c r="G26" s="1"/>
  <c r="G27" s="1"/>
  <c r="G28" s="1"/>
  <c r="G29" s="1"/>
  <c r="G30" s="1"/>
  <c r="G31" s="1"/>
  <c r="G32" s="1"/>
  <c r="G33" s="1"/>
  <c r="G34" s="1"/>
  <c r="G35" s="1"/>
  <c r="G36" s="1"/>
  <c r="I9" i="77"/>
  <c r="H9"/>
  <c r="H7"/>
  <c r="I7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25"/>
  <c r="J26" s="1"/>
  <c r="J27" s="1"/>
  <c r="J28" s="1"/>
  <c r="J29" s="1"/>
  <c r="J30" s="1"/>
  <c r="J31" s="1"/>
  <c r="J32" s="1"/>
  <c r="J33" s="1"/>
  <c r="J34" s="1"/>
  <c r="H25"/>
  <c r="H26" s="1"/>
  <c r="H27" s="1"/>
  <c r="H28" s="1"/>
  <c r="H29" s="1"/>
  <c r="H30" s="1"/>
  <c r="H31" s="1"/>
  <c r="H32" s="1"/>
  <c r="H33" s="1"/>
  <c r="H34" s="1"/>
  <c r="F25"/>
  <c r="F26" s="1"/>
  <c r="F27" s="1"/>
  <c r="F28" s="1"/>
  <c r="F29" s="1"/>
  <c r="F30" s="1"/>
  <c r="F31" s="1"/>
  <c r="F32" s="1"/>
  <c r="F33" s="1"/>
  <c r="F34" s="1"/>
  <c r="B25"/>
  <c r="B26" s="1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20" s="1"/>
  <c r="R21" s="1"/>
  <c r="R22" s="1"/>
  <c r="R24" s="1"/>
  <c r="R25" s="1"/>
  <c r="R26" s="1"/>
  <c r="R27" s="1"/>
  <c r="R28" s="1"/>
  <c r="R29" s="1"/>
  <c r="R30" s="1"/>
  <c r="R31" s="1"/>
  <c r="R32" s="1"/>
  <c r="R33" s="1"/>
  <c r="R3"/>
  <c r="B24"/>
  <c r="B25" s="1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6" s="1"/>
  <c r="AT27" s="1"/>
  <c r="AT28" s="1"/>
  <c r="AT29" s="1"/>
  <c r="AT30" s="1"/>
  <c r="AT31" s="1"/>
  <c r="AT32" s="1"/>
  <c r="AT33" s="1"/>
  <c r="AT34" s="1"/>
  <c r="AT35" s="1"/>
  <c r="AT36" s="1"/>
  <c r="AX27"/>
  <c r="AX28" s="1"/>
  <c r="AX29" s="1"/>
  <c r="AX30" s="1"/>
  <c r="AX31" s="1"/>
  <c r="AX32" s="1"/>
  <c r="AX33" s="1"/>
  <c r="AX34" s="1"/>
  <c r="AX35" s="1"/>
  <c r="AX36" s="1"/>
  <c r="AV27"/>
  <c r="AV28" s="1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6" s="1"/>
  <c r="X27" s="1"/>
  <c r="X28" s="1"/>
  <c r="X29" s="1"/>
  <c r="X30" s="1"/>
  <c r="X31" s="1"/>
  <c r="X32" s="1"/>
  <c r="X33" s="1"/>
  <c r="X34" s="1"/>
  <c r="X35" s="1"/>
  <c r="X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2" s="1"/>
  <c r="Q25" s="1"/>
  <c r="Q26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2" s="1"/>
  <c r="P25" s="1"/>
  <c r="P26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21" s="1"/>
  <c r="M24" s="1"/>
  <c r="M26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F6"/>
  <c r="F9" s="1"/>
  <c r="F15" s="1"/>
  <c r="F20" s="1"/>
  <c r="F26" s="1"/>
  <c r="F27" s="1"/>
  <c r="F28" s="1"/>
  <c r="F29" s="1"/>
  <c r="F30" s="1"/>
  <c r="F31" s="1"/>
  <c r="F32" s="1"/>
  <c r="F33" s="1"/>
  <c r="F34" s="1"/>
  <c r="F35" s="1"/>
  <c r="C26"/>
  <c r="C27" s="1"/>
  <c r="C28" s="1"/>
  <c r="C29" s="1"/>
  <c r="C30" s="1"/>
  <c r="C31" s="1"/>
  <c r="C32" s="1"/>
  <c r="C33" s="1"/>
  <c r="C34" s="1"/>
  <c r="C35" s="1"/>
  <c r="B26"/>
  <c r="B27" s="1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23" s="1"/>
  <c r="U24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23" s="1"/>
  <c r="S24" s="1"/>
  <c r="S25" s="1"/>
  <c r="S26" s="1"/>
  <c r="S27" s="1"/>
  <c r="S28" s="1"/>
  <c r="S29" s="1"/>
  <c r="S30" s="1"/>
  <c r="S31" s="1"/>
  <c r="S32" s="1"/>
  <c r="S33" s="1"/>
  <c r="P24"/>
  <c r="P25" s="1"/>
  <c r="P26" s="1"/>
  <c r="P27" s="1"/>
  <c r="P28" s="1"/>
  <c r="P29" s="1"/>
  <c r="P30" s="1"/>
  <c r="P31" s="1"/>
  <c r="P32" s="1"/>
  <c r="P33" s="1"/>
  <c r="L24"/>
  <c r="L25" s="1"/>
  <c r="L26" s="1"/>
  <c r="L27" s="1"/>
  <c r="L28" s="1"/>
  <c r="L29" s="1"/>
  <c r="L30" s="1"/>
  <c r="L31" s="1"/>
  <c r="L32" s="1"/>
  <c r="L33" s="1"/>
  <c r="J24"/>
  <c r="J25" s="1"/>
  <c r="J26" s="1"/>
  <c r="J27" s="1"/>
  <c r="J28" s="1"/>
  <c r="J29" s="1"/>
  <c r="J30" s="1"/>
  <c r="J31" s="1"/>
  <c r="J32" s="1"/>
  <c r="J33" s="1"/>
  <c r="H24"/>
  <c r="H25" s="1"/>
  <c r="H26" s="1"/>
  <c r="H27" s="1"/>
  <c r="H28" s="1"/>
  <c r="H29" s="1"/>
  <c r="H30" s="1"/>
  <c r="H31" s="1"/>
  <c r="H32" s="1"/>
  <c r="H33" s="1"/>
  <c r="F24"/>
  <c r="F25" s="1"/>
  <c r="F26" s="1"/>
  <c r="F27" s="1"/>
  <c r="F28" s="1"/>
  <c r="F29" s="1"/>
  <c r="F30" s="1"/>
  <c r="F31" s="1"/>
  <c r="F32" s="1"/>
  <c r="F33" s="1"/>
  <c r="D24"/>
  <c r="D25" s="1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O25" i="5" l="1"/>
  <c r="O26" s="1"/>
  <c r="O27" s="1"/>
  <c r="O28" s="1"/>
  <c r="O29" s="1"/>
  <c r="O30" s="1"/>
  <c r="O31" s="1"/>
  <c r="O32" s="1"/>
  <c r="O33" s="1"/>
  <c r="O34" s="1"/>
  <c r="O35" s="1"/>
  <c r="O36" s="1"/>
  <c r="O24"/>
  <c r="P24" s="1"/>
  <c r="Q24" s="1"/>
  <c r="B25"/>
  <c r="B26" s="1"/>
  <c r="B27" s="1"/>
  <c r="B28" s="1"/>
  <c r="B29" s="1"/>
  <c r="B30" s="1"/>
  <c r="B31" s="1"/>
  <c r="B32" s="1"/>
  <c r="B33" s="1"/>
  <c r="B34" s="1"/>
  <c r="B35" s="1"/>
  <c r="B36" s="1"/>
  <c r="B24"/>
  <c r="C24" s="1"/>
  <c r="AE25"/>
  <c r="AE26" s="1"/>
  <c r="AE27" s="1"/>
  <c r="AE28" s="1"/>
  <c r="AE29" s="1"/>
  <c r="AE30" s="1"/>
  <c r="AE31" s="1"/>
  <c r="AE32" s="1"/>
  <c r="AE33" s="1"/>
  <c r="AE34" s="1"/>
  <c r="AE35" s="1"/>
  <c r="AE36" s="1"/>
  <c r="AE24"/>
  <c r="AF24" s="1"/>
  <c r="AI24" s="1"/>
  <c r="AG25"/>
  <c r="AG26" s="1"/>
  <c r="AG27" s="1"/>
  <c r="AG28" s="1"/>
  <c r="AG29" s="1"/>
  <c r="AG30" s="1"/>
  <c r="AG31" s="1"/>
  <c r="AG32" s="1"/>
  <c r="AG33" s="1"/>
  <c r="AG34" s="1"/>
  <c r="AG35" s="1"/>
  <c r="AG36" s="1"/>
  <c r="AG24"/>
  <c r="AH24" s="1"/>
  <c r="V25"/>
  <c r="V26" s="1"/>
  <c r="V27" s="1"/>
  <c r="V28" s="1"/>
  <c r="V29" s="1"/>
  <c r="V30" s="1"/>
  <c r="V31" s="1"/>
  <c r="V32" s="1"/>
  <c r="V33" s="1"/>
  <c r="V34" s="1"/>
  <c r="V35" s="1"/>
  <c r="V36" s="1"/>
  <c r="V24"/>
  <c r="W24" s="1"/>
  <c r="AL24" s="1"/>
  <c r="M25"/>
  <c r="M26" s="1"/>
  <c r="M27" s="1"/>
  <c r="M28" s="1"/>
  <c r="M29" s="1"/>
  <c r="M30" s="1"/>
  <c r="M31" s="1"/>
  <c r="M32" s="1"/>
  <c r="M33" s="1"/>
  <c r="M34" s="1"/>
  <c r="M35" s="1"/>
  <c r="M36" s="1"/>
  <c r="M24"/>
  <c r="N24" s="1"/>
  <c r="I24" i="1"/>
  <c r="D24" i="3"/>
  <c r="D25" s="1"/>
  <c r="D26" s="1"/>
  <c r="D27" s="1"/>
  <c r="D28" s="1"/>
  <c r="D29" s="1"/>
  <c r="D30" s="1"/>
  <c r="D31" s="1"/>
  <c r="D32" s="1"/>
  <c r="D33" s="1"/>
  <c r="E20"/>
  <c r="K7" i="5"/>
  <c r="H8" i="79"/>
  <c r="T11" i="3"/>
  <c r="U10"/>
  <c r="E24" i="5" l="1"/>
  <c r="D24"/>
  <c r="I24"/>
  <c r="J24" s="1"/>
  <c r="H26" i="1"/>
  <c r="I25"/>
  <c r="K8" i="5"/>
  <c r="T12" i="3"/>
  <c r="U11"/>
  <c r="H27" i="1" l="1"/>
  <c r="I26"/>
  <c r="H10" i="79"/>
  <c r="K9" i="5"/>
  <c r="T13" i="3"/>
  <c r="U12"/>
  <c r="H28" i="1" l="1"/>
  <c r="I27"/>
  <c r="K10" i="5"/>
  <c r="T14" i="3"/>
  <c r="U13"/>
  <c r="H29" i="1" l="1"/>
  <c r="I28"/>
  <c r="H12" i="79"/>
  <c r="K11" i="5"/>
  <c r="T15" i="3"/>
  <c r="U14"/>
  <c r="H30" i="1" l="1"/>
  <c r="I29"/>
  <c r="H13" i="79"/>
  <c r="K12" i="5"/>
  <c r="T16" i="3"/>
  <c r="U15"/>
  <c r="H31" i="1" l="1"/>
  <c r="I30"/>
  <c r="T17" i="3"/>
  <c r="U16"/>
  <c r="H14" i="79"/>
  <c r="K13" i="5"/>
  <c r="H32" i="1" l="1"/>
  <c r="I31"/>
  <c r="T18" i="3"/>
  <c r="U17"/>
  <c r="K14" i="5"/>
  <c r="H33" i="1" l="1"/>
  <c r="I32"/>
  <c r="T19" i="3"/>
  <c r="U18"/>
  <c r="H16" i="79"/>
  <c r="K15" i="5"/>
  <c r="H34" i="1" l="1"/>
  <c r="I33"/>
  <c r="T20" i="3"/>
  <c r="U19"/>
  <c r="H17" i="79"/>
  <c r="K16" i="5"/>
  <c r="E2" i="2"/>
  <c r="N2"/>
  <c r="H35" i="1" l="1"/>
  <c r="I35" s="1"/>
  <c r="I34"/>
  <c r="T21" i="3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K21" l="1"/>
  <c r="K19" i="73"/>
  <c r="G19"/>
  <c r="K15" i="76"/>
  <c r="H23" i="79" l="1"/>
  <c r="K22" i="5"/>
  <c r="D14" i="73"/>
  <c r="H24" i="79" l="1"/>
  <c r="K23" i="5"/>
  <c r="L24" s="1"/>
  <c r="AK24" s="1"/>
  <c r="D18" i="77"/>
  <c r="D17"/>
  <c r="H25" i="79" l="1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2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2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1" s="1"/>
  <c r="AR22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4" s="1"/>
  <c r="K26" s="1"/>
  <c r="K27" s="1"/>
  <c r="K28" s="1"/>
  <c r="K29" s="1"/>
  <c r="K30" s="1"/>
  <c r="K31" s="1"/>
  <c r="K32" s="1"/>
  <c r="K33" s="1"/>
  <c r="K34" s="1"/>
  <c r="K35" s="1"/>
  <c r="L5"/>
  <c r="H27" i="79" l="1"/>
  <c r="K26" i="5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AB33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N22" i="76" l="1"/>
  <c r="D22"/>
  <c r="E22" s="1"/>
  <c r="E32" i="81"/>
  <c r="S34" i="76"/>
  <c r="T34" s="1"/>
  <c r="F32" i="81" s="1"/>
  <c r="R33" i="2"/>
  <c r="C30" i="76"/>
  <c r="J36" i="5"/>
  <c r="L32" i="81" s="1"/>
  <c r="AI33" i="3"/>
  <c r="M22" i="76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L20" i="82" l="1"/>
  <c r="O21" i="2"/>
  <c r="AI3" i="3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Y23"/>
  <c r="AT22" i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W23" i="5"/>
  <c r="G20" i="63"/>
  <c r="D23" i="5"/>
  <c r="I23"/>
  <c r="J22"/>
  <c r="L18" i="81" s="1"/>
  <c r="K18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AL23" i="5"/>
  <c r="U25"/>
  <c r="K19" i="81"/>
  <c r="J23" i="5"/>
  <c r="L19" i="81" s="1"/>
  <c r="C25" i="5"/>
  <c r="E25" s="1"/>
  <c r="G21" i="63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W25" i="5"/>
  <c r="U26"/>
  <c r="C26"/>
  <c r="E26" s="1"/>
  <c r="D25"/>
  <c r="G22" i="63"/>
  <c r="I25" i="5"/>
  <c r="K20" i="81"/>
  <c r="L20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F24" i="75"/>
  <c r="G24" s="1"/>
  <c r="AY22" i="7"/>
  <c r="Q20" i="76"/>
  <c r="AW23" i="7"/>
  <c r="AA24" i="1"/>
  <c r="AH24" s="1"/>
  <c r="C23" i="65"/>
  <c r="E23" s="1"/>
  <c r="AW24" i="7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W36" i="5" l="1"/>
  <c r="AL36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L37" i="5" l="1"/>
  <c r="AM26" i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3"/>
  <c r="M9" i="81" s="1"/>
  <c r="N14" i="5"/>
  <c r="Q14" l="1"/>
  <c r="M10" i="81" s="1"/>
  <c r="H19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M20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N32"/>
  <c r="Q32" l="1"/>
  <c r="M28" i="81" s="1"/>
  <c r="P33" i="5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AS24" s="1"/>
  <c r="AY24" s="1"/>
  <c r="BF22" l="1"/>
  <c r="BG22" s="1"/>
  <c r="G22" i="65" s="1"/>
  <c r="I18" i="63"/>
  <c r="AY23" i="5"/>
  <c r="BB23" s="1"/>
  <c r="BE23" s="1"/>
  <c r="BF23" l="1"/>
  <c r="BG23" s="1"/>
  <c r="G23" i="65" s="1"/>
  <c r="I19" i="63"/>
  <c r="AS25" i="5"/>
  <c r="BB24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<sst xmlns="http://schemas.openxmlformats.org/spreadsheetml/2006/main" count="653" uniqueCount="418">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</sst>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233088"/>
        <c:axId val="150235008"/>
      </c:lineChart>
      <c:catAx>
        <c:axId val="1502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35008"/>
        <c:crosses val="autoZero"/>
        <c:auto val="1"/>
        <c:lblAlgn val="ctr"/>
        <c:lblOffset val="100"/>
      </c:catAx>
      <c:valAx>
        <c:axId val="150235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064128"/>
        <c:axId val="150065920"/>
      </c:lineChart>
      <c:catAx>
        <c:axId val="1500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65920"/>
        <c:crosses val="autoZero"/>
        <c:auto val="1"/>
        <c:lblAlgn val="ctr"/>
        <c:lblOffset val="100"/>
      </c:catAx>
      <c:valAx>
        <c:axId val="15006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63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439808"/>
        <c:axId val="126441344"/>
      </c:lineChart>
      <c:catAx>
        <c:axId val="1264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41344"/>
        <c:crosses val="autoZero"/>
        <c:auto val="1"/>
        <c:lblAlgn val="ctr"/>
        <c:lblOffset val="100"/>
      </c:catAx>
      <c:valAx>
        <c:axId val="1264413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202"/>
          <c:y val="0.62975887529635965"/>
          <c:w val="7.9124755870162669E-2"/>
          <c:h val="4.4982698961949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477824"/>
        <c:axId val="126479360"/>
      </c:lineChart>
      <c:catAx>
        <c:axId val="1264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9360"/>
        <c:crosses val="autoZero"/>
        <c:auto val="1"/>
        <c:lblAlgn val="ctr"/>
        <c:lblOffset val="100"/>
      </c:catAx>
      <c:valAx>
        <c:axId val="126479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56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618240"/>
        <c:axId val="126636416"/>
      </c:lineChart>
      <c:catAx>
        <c:axId val="1266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36416"/>
        <c:crosses val="autoZero"/>
        <c:auto val="1"/>
        <c:lblAlgn val="ctr"/>
        <c:lblOffset val="100"/>
      </c:catAx>
      <c:valAx>
        <c:axId val="126636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95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694144"/>
        <c:axId val="126695680"/>
      </c:lineChart>
      <c:catAx>
        <c:axId val="12669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95680"/>
        <c:crosses val="autoZero"/>
        <c:auto val="1"/>
        <c:lblAlgn val="ctr"/>
        <c:lblOffset val="100"/>
      </c:catAx>
      <c:valAx>
        <c:axId val="12669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9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732160"/>
        <c:axId val="126733696"/>
      </c:lineChart>
      <c:catAx>
        <c:axId val="1267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33696"/>
        <c:crosses val="autoZero"/>
        <c:auto val="1"/>
        <c:lblAlgn val="ctr"/>
        <c:lblOffset val="100"/>
      </c:catAx>
      <c:valAx>
        <c:axId val="12673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011456"/>
        <c:axId val="127021440"/>
      </c:lineChart>
      <c:catAx>
        <c:axId val="12701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21440"/>
        <c:crosses val="autoZero"/>
        <c:auto val="1"/>
        <c:lblAlgn val="ctr"/>
        <c:lblOffset val="100"/>
      </c:catAx>
      <c:valAx>
        <c:axId val="12702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1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049728"/>
        <c:axId val="127051264"/>
      </c:lineChart>
      <c:catAx>
        <c:axId val="12704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1264"/>
        <c:crosses val="autoZero"/>
        <c:auto val="1"/>
        <c:lblAlgn val="ctr"/>
        <c:lblOffset val="100"/>
      </c:catAx>
      <c:valAx>
        <c:axId val="127051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306"/>
          <c:w val="0.127240331517735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956672"/>
        <c:axId val="126958208"/>
      </c:lineChart>
      <c:catAx>
        <c:axId val="12695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58208"/>
        <c:crosses val="autoZero"/>
        <c:auto val="1"/>
        <c:lblAlgn val="ctr"/>
        <c:lblOffset val="100"/>
      </c:catAx>
      <c:valAx>
        <c:axId val="12695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5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238</c:v>
                </c:pt>
                <c:pt idx="18">
                  <c:v>260</c:v>
                </c:pt>
                <c:pt idx="19">
                  <c:v>231</c:v>
                </c:pt>
                <c:pt idx="20">
                  <c:v>300</c:v>
                </c:pt>
                <c:pt idx="21">
                  <c:v>297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002880"/>
        <c:axId val="127004672"/>
      </c:lineChart>
      <c:catAx>
        <c:axId val="12700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04672"/>
        <c:crosses val="autoZero"/>
        <c:auto val="1"/>
        <c:lblAlgn val="ctr"/>
        <c:lblOffset val="100"/>
      </c:catAx>
      <c:valAx>
        <c:axId val="12700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306"/>
          <c:w val="0.135416885389354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077760"/>
        <c:axId val="127104128"/>
      </c:lineChart>
      <c:catAx>
        <c:axId val="12707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4128"/>
        <c:crosses val="autoZero"/>
        <c:auto val="1"/>
        <c:lblAlgn val="ctr"/>
        <c:lblOffset val="100"/>
      </c:catAx>
      <c:valAx>
        <c:axId val="127104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30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132800"/>
        <c:axId val="127134336"/>
      </c:lineChart>
      <c:catAx>
        <c:axId val="12713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34336"/>
        <c:crosses val="autoZero"/>
        <c:auto val="1"/>
        <c:lblAlgn val="ctr"/>
        <c:lblOffset val="100"/>
      </c:catAx>
      <c:valAx>
        <c:axId val="127134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174912"/>
        <c:axId val="127180800"/>
      </c:lineChart>
      <c:catAx>
        <c:axId val="1271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0800"/>
        <c:crosses val="autoZero"/>
        <c:auto val="1"/>
        <c:lblAlgn val="ctr"/>
        <c:lblOffset val="100"/>
      </c:catAx>
      <c:valAx>
        <c:axId val="12718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306"/>
          <c:w val="0.135416885389354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188352"/>
        <c:axId val="127198336"/>
      </c:lineChart>
      <c:catAx>
        <c:axId val="12718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8336"/>
        <c:crosses val="autoZero"/>
        <c:auto val="1"/>
        <c:lblAlgn val="ctr"/>
        <c:lblOffset val="100"/>
      </c:catAx>
      <c:valAx>
        <c:axId val="127198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869"/>
          <c:y val="0.54325368498487869"/>
          <c:w val="0.11458355205599259"/>
          <c:h val="4.4982698961948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-1840.0645161290158</c:v>
                </c:pt>
                <c:pt idx="17">
                  <c:v>-613.35483870968164</c:v>
                </c:pt>
                <c:pt idx="18">
                  <c:v>-920.03225806452974</c:v>
                </c:pt>
                <c:pt idx="19">
                  <c:v>-1533.3870967741823</c:v>
                </c:pt>
                <c:pt idx="20">
                  <c:v>-906.03225806451519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238912"/>
        <c:axId val="127240448"/>
      </c:lineChart>
      <c:catAx>
        <c:axId val="12723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40448"/>
        <c:crosses val="autoZero"/>
        <c:auto val="1"/>
        <c:lblAlgn val="ctr"/>
        <c:lblOffset val="100"/>
      </c:catAx>
      <c:valAx>
        <c:axId val="127240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3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74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265024"/>
        <c:axId val="127418368"/>
      </c:lineChart>
      <c:catAx>
        <c:axId val="1272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8368"/>
        <c:crosses val="autoZero"/>
        <c:auto val="1"/>
        <c:lblAlgn val="ctr"/>
        <c:lblOffset val="100"/>
      </c:catAx>
      <c:valAx>
        <c:axId val="12741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45"/>
          <c:h val="4.4982698961949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438208"/>
        <c:axId val="127452288"/>
      </c:lineChart>
      <c:catAx>
        <c:axId val="1274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52288"/>
        <c:crosses val="autoZero"/>
        <c:auto val="1"/>
        <c:lblAlgn val="ctr"/>
        <c:lblOffset val="100"/>
      </c:catAx>
      <c:valAx>
        <c:axId val="1274522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12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283968"/>
        <c:axId val="127285504"/>
      </c:lineChart>
      <c:catAx>
        <c:axId val="1272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85504"/>
        <c:crosses val="autoZero"/>
        <c:auto val="1"/>
        <c:lblAlgn val="ctr"/>
        <c:lblOffset val="100"/>
      </c:catAx>
      <c:valAx>
        <c:axId val="1272855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21984"/>
        <c:axId val="127323520"/>
      </c:lineChart>
      <c:catAx>
        <c:axId val="1273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3520"/>
        <c:crosses val="autoZero"/>
        <c:auto val="1"/>
        <c:lblAlgn val="ctr"/>
        <c:lblOffset val="100"/>
      </c:catAx>
      <c:valAx>
        <c:axId val="12732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721"/>
          <c:y val="0.62975887529635965"/>
          <c:w val="0.13250539334757044"/>
          <c:h val="4.4982698961949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478784"/>
        <c:axId val="127488768"/>
      </c:lineChart>
      <c:catAx>
        <c:axId val="12747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88768"/>
        <c:crosses val="autoZero"/>
        <c:auto val="1"/>
        <c:lblAlgn val="ctr"/>
        <c:lblOffset val="100"/>
      </c:catAx>
      <c:valAx>
        <c:axId val="12748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30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33440"/>
        <c:axId val="127534976"/>
      </c:lineChart>
      <c:catAx>
        <c:axId val="1275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4976"/>
        <c:crosses val="autoZero"/>
        <c:auto val="1"/>
        <c:lblAlgn val="ctr"/>
        <c:lblOffset val="100"/>
      </c:catAx>
      <c:valAx>
        <c:axId val="12753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565"/>
          <c:w val="0.1234311819809294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-241.90000000000006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7568128"/>
        <c:axId val="127569920"/>
      </c:lineChart>
      <c:catAx>
        <c:axId val="1275681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9920"/>
        <c:crosses val="autoZero"/>
        <c:auto val="1"/>
        <c:lblAlgn val="ctr"/>
        <c:lblOffset val="100"/>
      </c:catAx>
      <c:valAx>
        <c:axId val="1275699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033"/>
          <c:w val="0.156903985328218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77088"/>
        <c:axId val="127603456"/>
      </c:lineChart>
      <c:catAx>
        <c:axId val="1275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03456"/>
        <c:crosses val="autoZero"/>
        <c:auto val="1"/>
        <c:lblAlgn val="ctr"/>
        <c:lblOffset val="100"/>
      </c:catAx>
      <c:valAx>
        <c:axId val="127603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92"/>
          <c:h val="4.49826989619494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010112"/>
        <c:axId val="126011648"/>
      </c:lineChart>
      <c:catAx>
        <c:axId val="12601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1648"/>
        <c:crosses val="autoZero"/>
        <c:auto val="1"/>
        <c:lblAlgn val="ctr"/>
        <c:lblOffset val="100"/>
      </c:catAx>
      <c:valAx>
        <c:axId val="12601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893"/>
          <c:y val="0.62975887529635965"/>
          <c:w val="0.12164948453608219"/>
          <c:h val="4.49826989619494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186240"/>
        <c:axId val="128187776"/>
      </c:lineChart>
      <c:catAx>
        <c:axId val="12818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87776"/>
        <c:crosses val="autoZero"/>
        <c:auto val="1"/>
        <c:lblAlgn val="ctr"/>
        <c:lblOffset val="100"/>
      </c:catAx>
      <c:valAx>
        <c:axId val="128187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8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343424"/>
        <c:axId val="128361600"/>
      </c:lineChart>
      <c:catAx>
        <c:axId val="12834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61600"/>
        <c:crosses val="autoZero"/>
        <c:auto val="1"/>
        <c:lblAlgn val="ctr"/>
        <c:lblOffset val="100"/>
      </c:catAx>
      <c:valAx>
        <c:axId val="12836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78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-241.90000000000006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8538496"/>
        <c:axId val="128540032"/>
      </c:lineChart>
      <c:catAx>
        <c:axId val="1285384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40032"/>
        <c:crosses val="autoZero"/>
        <c:auto val="1"/>
        <c:lblAlgn val="ctr"/>
        <c:lblOffset val="100"/>
      </c:catAx>
      <c:valAx>
        <c:axId val="128540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3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03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0" workbookViewId="0">
      <selection activeCell="K3" sqref="K3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6" bestFit="1" customWidth="1"/>
    <col min="13" max="13" width="12.1796875" style="296" customWidth="1"/>
    <col min="14" max="14" width="12.1796875" style="506" customWidth="1"/>
    <col min="15" max="15" width="11.7265625" bestFit="1" customWidth="1"/>
  </cols>
  <sheetData>
    <row r="1" spans="1:15" ht="43.5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5.6748764372204018E-2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0.15813929399533769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0.1195760221560444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0.15071879714708156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0.1094607099760746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0.14568617420556065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0.11809561098244178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0.18451180356890326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0.1048755540544459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0.12235053395955933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0.10159994001066894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0.12307958572533266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-0.12431015483540875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6.9338037199088653E-2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0.12208136964036588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4.4093981181172866E-2</v>
      </c>
      <c r="G17" s="204">
        <f>-tanks!AW21</f>
        <v>275</v>
      </c>
      <c r="H17" s="333">
        <f>SUM(tanks!AV21)</f>
        <v>0.64</v>
      </c>
      <c r="I17" s="10">
        <f>('B5'!AU20)*0.51</f>
        <v>15.3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5078.6000000000931</v>
      </c>
      <c r="F18" s="333">
        <f>SUM('EDl log'!T20)</f>
        <v>0.26415059820072156</v>
      </c>
      <c r="G18" s="204">
        <f>-tanks!AW22</f>
        <v>238</v>
      </c>
      <c r="H18" s="333">
        <f>SUM(tanks!AV22)</f>
        <v>0.64</v>
      </c>
      <c r="I18" s="10">
        <f>('B5'!AU21)*0.51</f>
        <v>15.3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5935.6000000000931</v>
      </c>
      <c r="F19" s="333">
        <f>SUM('EDl log'!T21)</f>
        <v>7.6815543714732273E-2</v>
      </c>
      <c r="G19" s="204">
        <f>-tanks!AW23</f>
        <v>260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170</v>
      </c>
      <c r="L19" s="334">
        <f>SUM(WATER!J23)</f>
        <v>1.4231499051233396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6442</v>
      </c>
      <c r="F20" s="333">
        <f>SUM('EDl log'!T22)</f>
        <v>0.12820845412417003</v>
      </c>
      <c r="G20" s="204">
        <f>-tanks!AW24</f>
        <v>231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6354</v>
      </c>
      <c r="F21" s="333">
        <f>SUM('EDl log'!T23)</f>
        <v>0.16462543353424222</v>
      </c>
      <c r="G21" s="204">
        <f>-tanks!AW25</f>
        <v>300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4914.7999999998137</v>
      </c>
      <c r="F22" s="333">
        <f>SUM('EDl log'!T24)</f>
        <v>0.14176164613341558</v>
      </c>
      <c r="G22" s="204">
        <f>-tanks!AW26</f>
        <v>297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0" workbookViewId="0">
      <selection activeCell="C3" sqref="C3: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1608</v>
      </c>
      <c r="F18" s="204">
        <f>ELEC!K19</f>
        <v>772</v>
      </c>
      <c r="G18" s="204">
        <f>ELEC!I19</f>
        <v>752</v>
      </c>
      <c r="H18" s="204">
        <f>ELEC!E19</f>
        <v>1396</v>
      </c>
      <c r="I18" s="204">
        <f>ELEC!G19</f>
        <v>550.60000000009313</v>
      </c>
      <c r="J18" s="204">
        <f>WATER!Y22</f>
        <v>5</v>
      </c>
      <c r="K18" s="204">
        <f>WATER!AJ22</f>
        <v>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2048</v>
      </c>
      <c r="F19" s="204">
        <f>ELEC!K20</f>
        <v>886</v>
      </c>
      <c r="G19" s="204">
        <f>ELEC!I20</f>
        <v>772</v>
      </c>
      <c r="H19" s="204">
        <f>ELEC!E20</f>
        <v>1668</v>
      </c>
      <c r="I19" s="204">
        <f>ELEC!G20</f>
        <v>561.60000000009313</v>
      </c>
      <c r="J19" s="204">
        <f>WATER!Y23</f>
        <v>84</v>
      </c>
      <c r="K19" s="204">
        <f>WATER!AJ23</f>
        <v>35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2532</v>
      </c>
      <c r="F20" s="204">
        <f>ELEC!K21</f>
        <v>858</v>
      </c>
      <c r="G20" s="204">
        <f>ELEC!I21</f>
        <v>748</v>
      </c>
      <c r="H20" s="204">
        <f>ELEC!E21</f>
        <v>1756</v>
      </c>
      <c r="I20" s="204">
        <f>ELEC!G21</f>
        <v>548</v>
      </c>
      <c r="J20" s="204">
        <f>WATER!Y24</f>
        <v>43</v>
      </c>
      <c r="K20" s="204">
        <f>WATER!AJ24</f>
        <v>26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1268</v>
      </c>
      <c r="F21" s="204">
        <f>ELEC!K22</f>
        <v>1200</v>
      </c>
      <c r="G21" s="204">
        <f>ELEC!I22</f>
        <v>852</v>
      </c>
      <c r="H21" s="204">
        <f>ELEC!E22</f>
        <v>2454</v>
      </c>
      <c r="I21" s="204">
        <f>ELEC!G22</f>
        <v>580</v>
      </c>
      <c r="J21" s="204">
        <f>WATER!Y25</f>
        <v>33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1420</v>
      </c>
      <c r="F22" s="204">
        <f>ELEC!K23</f>
        <v>808</v>
      </c>
      <c r="G22" s="204">
        <f>ELEC!I23</f>
        <v>734</v>
      </c>
      <c r="H22" s="204">
        <f>ELEC!E23</f>
        <v>1426</v>
      </c>
      <c r="I22" s="204">
        <f>ELEC!G23</f>
        <v>526.79999999981374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" activePane="bottomLeft" state="frozen"/>
      <selection activeCell="C1" sqref="C1"/>
      <selection pane="bottomLeft" activeCell="AH23" sqref="AH23"/>
    </sheetView>
  </sheetViews>
  <sheetFormatPr defaultColWidth="9.1796875" defaultRowHeight="14.5"/>
  <cols>
    <col min="1" max="1" width="7.7265625" style="472" bestFit="1" customWidth="1"/>
    <col min="2" max="2" width="10.26953125" style="480" bestFit="1" customWidth="1"/>
    <col min="3" max="3" width="11.54296875" style="472" customWidth="1"/>
    <col min="4" max="4" width="18" style="481" bestFit="1" customWidth="1"/>
    <col min="5" max="5" width="14.453125" style="481" bestFit="1" customWidth="1"/>
    <col min="6" max="6" width="15.269531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265625" style="481" customWidth="1"/>
    <col min="12" max="12" width="18" style="481" bestFit="1" customWidth="1"/>
    <col min="13" max="13" width="12.54296875" style="481" bestFit="1" customWidth="1"/>
    <col min="14" max="14" width="15.453125" style="472" bestFit="1" customWidth="1"/>
    <col min="15" max="15" width="13.1796875" style="482" bestFit="1" customWidth="1"/>
    <col min="16" max="16" width="14.26953125" style="472" bestFit="1" customWidth="1"/>
    <col min="17" max="17" width="13.7265625" style="472" bestFit="1" customWidth="1"/>
    <col min="18" max="18" width="12.453125" style="472" bestFit="1" customWidth="1"/>
    <col min="19" max="21" width="11.54296875" style="472" bestFit="1" customWidth="1"/>
    <col min="22" max="22" width="13.1796875" style="472" bestFit="1" customWidth="1"/>
    <col min="23" max="25" width="11.54296875" style="472" bestFit="1" customWidth="1"/>
    <col min="26" max="26" width="13.1796875" style="472" bestFit="1" customWidth="1"/>
    <col min="27" max="29" width="11.54296875" style="472" bestFit="1" customWidth="1"/>
    <col min="30" max="30" width="13.1796875" style="472" bestFit="1" customWidth="1"/>
    <col min="31" max="32" width="11.54296875" style="472" bestFit="1" customWidth="1"/>
    <col min="33" max="33" width="14.453125" style="472" bestFit="1" customWidth="1"/>
    <col min="34" max="34" width="9.1796875" style="472"/>
    <col min="35" max="35" width="9.7265625" style="472" bestFit="1" customWidth="1"/>
    <col min="36" max="16384" width="9.179687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6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5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5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5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19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19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0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19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5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5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5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5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5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5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5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5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5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5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5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5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v>32559362</v>
      </c>
      <c r="E19" s="314">
        <f t="shared" si="13"/>
        <v>1396</v>
      </c>
      <c r="F19" s="451">
        <v>3946035.6</v>
      </c>
      <c r="G19" s="315">
        <f t="shared" si="0"/>
        <v>550.60000000009313</v>
      </c>
      <c r="H19" s="451">
        <v>17768194</v>
      </c>
      <c r="I19" s="315">
        <f t="shared" si="14"/>
        <v>752</v>
      </c>
      <c r="J19" s="451">
        <v>28864038</v>
      </c>
      <c r="K19" s="315">
        <f t="shared" si="15"/>
        <v>772</v>
      </c>
      <c r="L19" s="451">
        <v>23970362</v>
      </c>
      <c r="M19" s="315">
        <f t="shared" si="16"/>
        <v>1608</v>
      </c>
      <c r="N19" s="313">
        <f t="shared" si="17"/>
        <v>5078.6000000000931</v>
      </c>
      <c r="O19" s="473">
        <f t="shared" si="24"/>
        <v>0</v>
      </c>
      <c r="P19" s="605">
        <v>16546.762999999999</v>
      </c>
      <c r="Q19" s="455">
        <f t="shared" si="29"/>
        <v>961.99999999953434</v>
      </c>
      <c r="R19" s="455">
        <f t="shared" si="30"/>
        <v>4116.6000000005588</v>
      </c>
      <c r="S19" s="451">
        <v>10089</v>
      </c>
      <c r="T19" s="475">
        <f t="shared" si="3"/>
        <v>1</v>
      </c>
      <c r="U19" s="451">
        <v>416576</v>
      </c>
      <c r="V19" s="455">
        <f t="shared" si="18"/>
        <v>293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1</v>
      </c>
      <c r="AF19" s="479">
        <f t="shared" si="12"/>
        <v>293</v>
      </c>
      <c r="AG19" s="471">
        <f t="shared" si="26"/>
        <v>293</v>
      </c>
      <c r="AI19" s="472">
        <f>R19-'EDl log'!B17</f>
        <v>-813003.39999999944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v>32561030</v>
      </c>
      <c r="E20" s="314">
        <f t="shared" si="13"/>
        <v>1668</v>
      </c>
      <c r="F20" s="451">
        <v>3946597.2</v>
      </c>
      <c r="G20" s="315">
        <f t="shared" si="0"/>
        <v>561.60000000009313</v>
      </c>
      <c r="H20" s="451">
        <v>17768966</v>
      </c>
      <c r="I20" s="315">
        <f t="shared" si="14"/>
        <v>772</v>
      </c>
      <c r="J20" s="451">
        <v>28864924</v>
      </c>
      <c r="K20" s="315">
        <f t="shared" si="15"/>
        <v>886</v>
      </c>
      <c r="L20" s="451">
        <v>23972410</v>
      </c>
      <c r="M20" s="315">
        <f t="shared" si="16"/>
        <v>2048</v>
      </c>
      <c r="N20" s="313">
        <f t="shared" si="17"/>
        <v>5935.6000000000931</v>
      </c>
      <c r="O20" s="473">
        <f t="shared" si="24"/>
        <v>0</v>
      </c>
      <c r="P20" s="605">
        <v>16548.592000000001</v>
      </c>
      <c r="Q20" s="455">
        <f t="shared" si="29"/>
        <v>1829.0000000015425</v>
      </c>
      <c r="R20" s="455">
        <f t="shared" si="30"/>
        <v>4106.5999999985506</v>
      </c>
      <c r="S20" s="451">
        <v>10092</v>
      </c>
      <c r="T20" s="475">
        <f t="shared" si="3"/>
        <v>3</v>
      </c>
      <c r="U20" s="451">
        <v>416971</v>
      </c>
      <c r="V20" s="455">
        <f t="shared" si="18"/>
        <v>395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3</v>
      </c>
      <c r="AF20" s="479">
        <f t="shared" si="12"/>
        <v>395</v>
      </c>
      <c r="AG20" s="471">
        <f t="shared" si="26"/>
        <v>131.66666666666666</v>
      </c>
      <c r="AI20" s="472">
        <f>R20-'EDl log'!B18</f>
        <v>-815421.40000000142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v>32562786</v>
      </c>
      <c r="E21" s="314">
        <f t="shared" si="13"/>
        <v>1756</v>
      </c>
      <c r="F21" s="451">
        <v>3947145.2</v>
      </c>
      <c r="G21" s="315">
        <f t="shared" si="0"/>
        <v>548</v>
      </c>
      <c r="H21" s="451">
        <v>17769714</v>
      </c>
      <c r="I21" s="315">
        <f t="shared" si="14"/>
        <v>748</v>
      </c>
      <c r="J21" s="451">
        <v>28865782</v>
      </c>
      <c r="K21" s="315">
        <f t="shared" si="15"/>
        <v>858</v>
      </c>
      <c r="L21" s="451">
        <v>23974942</v>
      </c>
      <c r="M21" s="315">
        <f t="shared" si="16"/>
        <v>2532</v>
      </c>
      <c r="N21" s="313">
        <f t="shared" si="17"/>
        <v>6442</v>
      </c>
      <c r="O21" s="473">
        <f t="shared" si="24"/>
        <v>0</v>
      </c>
      <c r="P21" s="605">
        <v>16550.192999999999</v>
      </c>
      <c r="Q21" s="455">
        <f t="shared" si="29"/>
        <v>1600.9999999987485</v>
      </c>
      <c r="R21" s="455">
        <f t="shared" si="30"/>
        <v>4841.0000000012515</v>
      </c>
      <c r="S21" s="451">
        <v>10094</v>
      </c>
      <c r="T21" s="475">
        <f t="shared" si="3"/>
        <v>2</v>
      </c>
      <c r="U21" s="451">
        <v>417288</v>
      </c>
      <c r="V21" s="455">
        <f t="shared" si="18"/>
        <v>317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2</v>
      </c>
      <c r="AF21" s="479">
        <f t="shared" si="12"/>
        <v>317</v>
      </c>
      <c r="AG21" s="471">
        <f t="shared" si="26"/>
        <v>158.5</v>
      </c>
      <c r="AI21" s="472">
        <f>R21-'EDl log'!B19</f>
        <v>-816810.99999999872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v>32565240</v>
      </c>
      <c r="E22" s="314">
        <f t="shared" si="13"/>
        <v>2454</v>
      </c>
      <c r="F22" s="451">
        <v>3947725.2</v>
      </c>
      <c r="G22" s="315">
        <f t="shared" si="0"/>
        <v>580</v>
      </c>
      <c r="H22" s="451">
        <v>17770566</v>
      </c>
      <c r="I22" s="315">
        <f t="shared" si="14"/>
        <v>852</v>
      </c>
      <c r="J22" s="451">
        <v>28866982</v>
      </c>
      <c r="K22" s="315">
        <f t="shared" si="15"/>
        <v>1200</v>
      </c>
      <c r="L22" s="451">
        <v>23976210</v>
      </c>
      <c r="M22" s="315">
        <f t="shared" si="16"/>
        <v>1268</v>
      </c>
      <c r="N22" s="313">
        <f t="shared" si="17"/>
        <v>6354</v>
      </c>
      <c r="O22" s="473">
        <f t="shared" si="24"/>
        <v>0</v>
      </c>
      <c r="P22" s="605">
        <v>16553.823</v>
      </c>
      <c r="Q22" s="455">
        <f t="shared" si="29"/>
        <v>3630.0000000010186</v>
      </c>
      <c r="R22" s="455">
        <f t="shared" si="30"/>
        <v>2723.9999999989814</v>
      </c>
      <c r="S22" s="451">
        <v>10095</v>
      </c>
      <c r="T22" s="475">
        <f t="shared" si="3"/>
        <v>1</v>
      </c>
      <c r="U22" s="451">
        <v>417384</v>
      </c>
      <c r="V22" s="455">
        <f t="shared" si="18"/>
        <v>96</v>
      </c>
      <c r="W22" s="451">
        <v>32167</v>
      </c>
      <c r="X22" s="455">
        <f t="shared" si="23"/>
        <v>2</v>
      </c>
      <c r="Y22" s="451">
        <v>696338</v>
      </c>
      <c r="Z22" s="455">
        <f t="shared" si="22"/>
        <v>160</v>
      </c>
      <c r="AA22" s="451">
        <v>35667</v>
      </c>
      <c r="AB22" s="455">
        <f t="shared" si="19"/>
        <v>2</v>
      </c>
      <c r="AC22" s="451">
        <v>911715</v>
      </c>
      <c r="AD22" s="455">
        <f t="shared" si="31"/>
        <v>286</v>
      </c>
      <c r="AE22" s="478">
        <f t="shared" si="11"/>
        <v>5</v>
      </c>
      <c r="AF22" s="479">
        <f t="shared" si="12"/>
        <v>542</v>
      </c>
      <c r="AG22" s="471">
        <f t="shared" si="26"/>
        <v>108.4</v>
      </c>
      <c r="AI22" s="472">
        <f>R22-'EDl log'!B20</f>
        <v>-821166.00000000105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v>32566666</v>
      </c>
      <c r="E23" s="314">
        <f t="shared" si="13"/>
        <v>1426</v>
      </c>
      <c r="F23" s="451">
        <v>3948252</v>
      </c>
      <c r="G23" s="315">
        <f t="shared" si="0"/>
        <v>526.79999999981374</v>
      </c>
      <c r="H23" s="451">
        <v>17771300</v>
      </c>
      <c r="I23" s="444">
        <f t="shared" si="14"/>
        <v>734</v>
      </c>
      <c r="J23" s="451">
        <v>28867790</v>
      </c>
      <c r="K23" s="315">
        <f t="shared" si="15"/>
        <v>808</v>
      </c>
      <c r="L23" s="451">
        <v>23977630</v>
      </c>
      <c r="M23" s="315">
        <f t="shared" si="16"/>
        <v>1420</v>
      </c>
      <c r="N23" s="313">
        <f t="shared" si="17"/>
        <v>4914.7999999998137</v>
      </c>
      <c r="O23" s="473">
        <f t="shared" si="24"/>
        <v>0</v>
      </c>
      <c r="P23" s="605">
        <v>16554.828000000001</v>
      </c>
      <c r="Q23" s="455">
        <f t="shared" si="29"/>
        <v>1005.0000000010186</v>
      </c>
      <c r="R23" s="455">
        <f t="shared" si="30"/>
        <v>3909.7999999987951</v>
      </c>
      <c r="S23" s="451">
        <f t="shared" si="25"/>
        <v>10095</v>
      </c>
      <c r="T23" s="475">
        <f t="shared" si="3"/>
        <v>0</v>
      </c>
      <c r="U23" s="451">
        <f t="shared" si="27"/>
        <v>417384</v>
      </c>
      <c r="V23" s="455">
        <f t="shared" si="18"/>
        <v>0</v>
      </c>
      <c r="W23" s="451">
        <f t="shared" si="7"/>
        <v>32167</v>
      </c>
      <c r="X23" s="455">
        <f t="shared" si="23"/>
        <v>0</v>
      </c>
      <c r="Y23" s="451">
        <f t="shared" si="8"/>
        <v>696338</v>
      </c>
      <c r="Z23" s="455">
        <f t="shared" si="22"/>
        <v>0</v>
      </c>
      <c r="AA23" s="451">
        <f t="shared" si="9"/>
        <v>35667</v>
      </c>
      <c r="AB23" s="455">
        <f t="shared" si="19"/>
        <v>0</v>
      </c>
      <c r="AC23" s="451">
        <f t="shared" si="10"/>
        <v>911715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-822179.20000000123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f t="shared" ref="D24:D33" si="32">D23</f>
        <v>32566666</v>
      </c>
      <c r="E24" s="314">
        <f t="shared" si="13"/>
        <v>0</v>
      </c>
      <c r="F24" s="451">
        <f t="shared" ref="F24:F33" si="33">F23</f>
        <v>3948252</v>
      </c>
      <c r="G24" s="315">
        <f t="shared" si="0"/>
        <v>0</v>
      </c>
      <c r="H24" s="451">
        <f t="shared" ref="H24:H33" si="34">H23</f>
        <v>17771300</v>
      </c>
      <c r="I24" s="315">
        <f t="shared" si="14"/>
        <v>0</v>
      </c>
      <c r="J24" s="451">
        <f t="shared" ref="J24:J33" si="35">J23</f>
        <v>28867790</v>
      </c>
      <c r="K24" s="315">
        <f t="shared" si="15"/>
        <v>0</v>
      </c>
      <c r="L24" s="451">
        <f t="shared" ref="L24:L33" si="36">L23</f>
        <v>23977630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5">
        <f t="shared" ref="P24:P33" si="37">P23</f>
        <v>16554.828000000001</v>
      </c>
      <c r="Q24" s="455">
        <f t="shared" si="29"/>
        <v>0</v>
      </c>
      <c r="R24" s="455">
        <f t="shared" si="30"/>
        <v>0</v>
      </c>
      <c r="S24" s="451">
        <f t="shared" si="25"/>
        <v>10095</v>
      </c>
      <c r="T24" s="475">
        <f t="shared" si="3"/>
        <v>0</v>
      </c>
      <c r="U24" s="451">
        <f t="shared" si="27"/>
        <v>417384</v>
      </c>
      <c r="V24" s="455">
        <f t="shared" si="18"/>
        <v>0</v>
      </c>
      <c r="W24" s="451">
        <f t="shared" si="7"/>
        <v>32167</v>
      </c>
      <c r="X24" s="455">
        <f t="shared" si="23"/>
        <v>0</v>
      </c>
      <c r="Y24" s="451">
        <f t="shared" si="8"/>
        <v>696338</v>
      </c>
      <c r="Z24" s="455">
        <f t="shared" si="22"/>
        <v>0</v>
      </c>
      <c r="AA24" s="451">
        <f t="shared" si="9"/>
        <v>35667</v>
      </c>
      <c r="AB24" s="455">
        <f t="shared" si="19"/>
        <v>0</v>
      </c>
      <c r="AC24" s="451">
        <f t="shared" si="10"/>
        <v>911715</v>
      </c>
      <c r="AD24" s="455">
        <f t="shared" si="31"/>
        <v>0</v>
      </c>
      <c r="AE24" s="478">
        <f t="shared" si="11"/>
        <v>0</v>
      </c>
      <c r="AF24" s="479">
        <f t="shared" si="12"/>
        <v>0</v>
      </c>
      <c r="AG24" s="471">
        <f t="shared" si="26"/>
        <v>0</v>
      </c>
      <c r="AI24" s="472">
        <f>R24-'EDl log'!B22</f>
        <v>-828364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si="32"/>
        <v>32566666</v>
      </c>
      <c r="E25" s="314">
        <f t="shared" si="13"/>
        <v>0</v>
      </c>
      <c r="F25" s="451">
        <f t="shared" si="33"/>
        <v>3948252</v>
      </c>
      <c r="G25" s="315">
        <f t="shared" si="0"/>
        <v>0</v>
      </c>
      <c r="H25" s="451">
        <f t="shared" si="34"/>
        <v>17771300</v>
      </c>
      <c r="I25" s="315">
        <f t="shared" si="14"/>
        <v>0</v>
      </c>
      <c r="J25" s="451">
        <f t="shared" si="35"/>
        <v>28867790</v>
      </c>
      <c r="K25" s="315">
        <f t="shared" si="15"/>
        <v>0</v>
      </c>
      <c r="L25" s="451">
        <f t="shared" si="36"/>
        <v>23977630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5">
        <f t="shared" si="37"/>
        <v>16554.828000000001</v>
      </c>
      <c r="Q25" s="455">
        <f t="shared" si="29"/>
        <v>0</v>
      </c>
      <c r="R25" s="455">
        <f t="shared" si="30"/>
        <v>0</v>
      </c>
      <c r="S25" s="451">
        <f t="shared" si="25"/>
        <v>10095</v>
      </c>
      <c r="T25" s="475">
        <f t="shared" si="3"/>
        <v>0</v>
      </c>
      <c r="U25" s="451">
        <f t="shared" si="27"/>
        <v>417384</v>
      </c>
      <c r="V25" s="455">
        <f t="shared" si="18"/>
        <v>0</v>
      </c>
      <c r="W25" s="451">
        <f t="shared" si="7"/>
        <v>32167</v>
      </c>
      <c r="X25" s="455">
        <f t="shared" si="23"/>
        <v>0</v>
      </c>
      <c r="Y25" s="451">
        <f t="shared" si="8"/>
        <v>696338</v>
      </c>
      <c r="Z25" s="455">
        <f t="shared" si="22"/>
        <v>0</v>
      </c>
      <c r="AA25" s="451">
        <f t="shared" si="9"/>
        <v>35667</v>
      </c>
      <c r="AB25" s="455">
        <f t="shared" si="19"/>
        <v>0</v>
      </c>
      <c r="AC25" s="451">
        <f t="shared" si="10"/>
        <v>911715</v>
      </c>
      <c r="AD25" s="455">
        <f t="shared" si="31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-830179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32"/>
        <v>32566666</v>
      </c>
      <c r="E26" s="314">
        <f t="shared" si="13"/>
        <v>0</v>
      </c>
      <c r="F26" s="451">
        <f t="shared" si="33"/>
        <v>3948252</v>
      </c>
      <c r="G26" s="315">
        <f t="shared" si="0"/>
        <v>0</v>
      </c>
      <c r="H26" s="451">
        <f t="shared" si="34"/>
        <v>17771300</v>
      </c>
      <c r="I26" s="315">
        <f t="shared" si="14"/>
        <v>0</v>
      </c>
      <c r="J26" s="451">
        <f t="shared" si="35"/>
        <v>28867790</v>
      </c>
      <c r="K26" s="315">
        <f t="shared" si="15"/>
        <v>0</v>
      </c>
      <c r="L26" s="451">
        <f t="shared" si="36"/>
        <v>23977630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5">
        <f t="shared" si="37"/>
        <v>16554.828000000001</v>
      </c>
      <c r="Q26" s="455">
        <f t="shared" si="29"/>
        <v>0</v>
      </c>
      <c r="R26" s="455">
        <f t="shared" si="30"/>
        <v>0</v>
      </c>
      <c r="S26" s="451">
        <f t="shared" si="25"/>
        <v>10095</v>
      </c>
      <c r="T26" s="475">
        <f t="shared" si="3"/>
        <v>0</v>
      </c>
      <c r="U26" s="451">
        <f t="shared" si="27"/>
        <v>417384</v>
      </c>
      <c r="V26" s="455">
        <f t="shared" si="18"/>
        <v>0</v>
      </c>
      <c r="W26" s="451">
        <f t="shared" si="7"/>
        <v>32167</v>
      </c>
      <c r="X26" s="455">
        <f t="shared" si="23"/>
        <v>0</v>
      </c>
      <c r="Y26" s="451">
        <f t="shared" si="8"/>
        <v>696338</v>
      </c>
      <c r="Z26" s="455">
        <f t="shared" si="22"/>
        <v>0</v>
      </c>
      <c r="AA26" s="451">
        <f t="shared" si="9"/>
        <v>35667</v>
      </c>
      <c r="AB26" s="455">
        <f t="shared" si="19"/>
        <v>0</v>
      </c>
      <c r="AC26" s="451">
        <f t="shared" si="10"/>
        <v>911715</v>
      </c>
      <c r="AD26" s="455">
        <f t="shared" si="31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-832295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32"/>
        <v>32566666</v>
      </c>
      <c r="E27" s="314">
        <f t="shared" si="13"/>
        <v>0</v>
      </c>
      <c r="F27" s="451">
        <f t="shared" si="33"/>
        <v>3948252</v>
      </c>
      <c r="G27" s="315">
        <f>F27-F26</f>
        <v>0</v>
      </c>
      <c r="H27" s="451">
        <f t="shared" si="34"/>
        <v>17771300</v>
      </c>
      <c r="I27" s="315">
        <f t="shared" si="14"/>
        <v>0</v>
      </c>
      <c r="J27" s="451">
        <f t="shared" si="35"/>
        <v>28867790</v>
      </c>
      <c r="K27" s="315">
        <f t="shared" si="15"/>
        <v>0</v>
      </c>
      <c r="L27" s="451">
        <f t="shared" si="36"/>
        <v>23977630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5">
        <f t="shared" si="37"/>
        <v>16554.828000000001</v>
      </c>
      <c r="Q27" s="455">
        <f t="shared" si="29"/>
        <v>0</v>
      </c>
      <c r="R27" s="455">
        <f t="shared" si="30"/>
        <v>0</v>
      </c>
      <c r="S27" s="451">
        <f t="shared" si="25"/>
        <v>10095</v>
      </c>
      <c r="T27" s="475">
        <f t="shared" si="3"/>
        <v>0</v>
      </c>
      <c r="U27" s="451">
        <f t="shared" si="27"/>
        <v>417384</v>
      </c>
      <c r="V27" s="455">
        <f t="shared" si="18"/>
        <v>0</v>
      </c>
      <c r="W27" s="451">
        <f t="shared" si="7"/>
        <v>32167</v>
      </c>
      <c r="X27" s="455">
        <f t="shared" si="23"/>
        <v>0</v>
      </c>
      <c r="Y27" s="451">
        <f t="shared" si="8"/>
        <v>696338</v>
      </c>
      <c r="Z27" s="455">
        <f t="shared" si="22"/>
        <v>0</v>
      </c>
      <c r="AA27" s="451">
        <f t="shared" si="9"/>
        <v>35667</v>
      </c>
      <c r="AB27" s="455">
        <f t="shared" si="19"/>
        <v>0</v>
      </c>
      <c r="AC27" s="451">
        <f t="shared" si="10"/>
        <v>911715</v>
      </c>
      <c r="AD27" s="455">
        <f t="shared" si="31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-832295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32"/>
        <v>32566666</v>
      </c>
      <c r="E28" s="314">
        <f t="shared" si="13"/>
        <v>0</v>
      </c>
      <c r="F28" s="451">
        <f t="shared" si="33"/>
        <v>3948252</v>
      </c>
      <c r="G28" s="315">
        <f t="shared" si="0"/>
        <v>0</v>
      </c>
      <c r="H28" s="451">
        <f t="shared" si="34"/>
        <v>17771300</v>
      </c>
      <c r="I28" s="315">
        <f t="shared" si="14"/>
        <v>0</v>
      </c>
      <c r="J28" s="451">
        <f t="shared" si="35"/>
        <v>28867790</v>
      </c>
      <c r="K28" s="315">
        <f t="shared" si="15"/>
        <v>0</v>
      </c>
      <c r="L28" s="451">
        <f t="shared" si="36"/>
        <v>23977630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5">
        <f t="shared" si="37"/>
        <v>16554.828000000001</v>
      </c>
      <c r="Q28" s="455">
        <f t="shared" si="29"/>
        <v>0</v>
      </c>
      <c r="R28" s="455">
        <f t="shared" si="30"/>
        <v>0</v>
      </c>
      <c r="S28" s="451">
        <f t="shared" si="25"/>
        <v>10095</v>
      </c>
      <c r="T28" s="475">
        <f t="shared" si="3"/>
        <v>0</v>
      </c>
      <c r="U28" s="451">
        <f t="shared" si="27"/>
        <v>417384</v>
      </c>
      <c r="V28" s="455">
        <f t="shared" si="18"/>
        <v>0</v>
      </c>
      <c r="W28" s="451">
        <f t="shared" si="7"/>
        <v>32167</v>
      </c>
      <c r="X28" s="455">
        <f t="shared" si="23"/>
        <v>0</v>
      </c>
      <c r="Y28" s="451">
        <f t="shared" si="8"/>
        <v>696338</v>
      </c>
      <c r="Z28" s="455">
        <f t="shared" si="22"/>
        <v>0</v>
      </c>
      <c r="AA28" s="451">
        <f t="shared" si="9"/>
        <v>35667</v>
      </c>
      <c r="AB28" s="455">
        <f t="shared" si="19"/>
        <v>0</v>
      </c>
      <c r="AC28" s="451">
        <f t="shared" si="10"/>
        <v>911715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-832295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32"/>
        <v>32566666</v>
      </c>
      <c r="E29" s="314">
        <f t="shared" si="13"/>
        <v>0</v>
      </c>
      <c r="F29" s="451">
        <f t="shared" si="33"/>
        <v>3948252</v>
      </c>
      <c r="G29" s="315">
        <f t="shared" si="0"/>
        <v>0</v>
      </c>
      <c r="H29" s="451">
        <f t="shared" si="34"/>
        <v>17771300</v>
      </c>
      <c r="I29" s="315">
        <f t="shared" si="14"/>
        <v>0</v>
      </c>
      <c r="J29" s="451">
        <f t="shared" si="35"/>
        <v>28867790</v>
      </c>
      <c r="K29" s="315">
        <f t="shared" si="15"/>
        <v>0</v>
      </c>
      <c r="L29" s="451">
        <f t="shared" si="36"/>
        <v>23977630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5">
        <f t="shared" si="37"/>
        <v>16554.828000000001</v>
      </c>
      <c r="Q29" s="455">
        <f t="shared" si="29"/>
        <v>0</v>
      </c>
      <c r="R29" s="455">
        <f t="shared" si="30"/>
        <v>0</v>
      </c>
      <c r="S29" s="451">
        <f t="shared" si="25"/>
        <v>10095</v>
      </c>
      <c r="T29" s="475">
        <f t="shared" si="3"/>
        <v>0</v>
      </c>
      <c r="U29" s="451">
        <f t="shared" si="27"/>
        <v>417384</v>
      </c>
      <c r="V29" s="455">
        <f t="shared" si="18"/>
        <v>0</v>
      </c>
      <c r="W29" s="451">
        <f t="shared" si="7"/>
        <v>32167</v>
      </c>
      <c r="X29" s="455">
        <f t="shared" si="23"/>
        <v>0</v>
      </c>
      <c r="Y29" s="451">
        <f t="shared" si="8"/>
        <v>696338</v>
      </c>
      <c r="Z29" s="455">
        <f t="shared" si="22"/>
        <v>0</v>
      </c>
      <c r="AA29" s="451">
        <f t="shared" si="9"/>
        <v>35667</v>
      </c>
      <c r="AB29" s="455">
        <f t="shared" si="19"/>
        <v>0</v>
      </c>
      <c r="AC29" s="451">
        <f t="shared" si="10"/>
        <v>911715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-832295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32566666</v>
      </c>
      <c r="E30" s="314">
        <f t="shared" si="13"/>
        <v>0</v>
      </c>
      <c r="F30" s="451">
        <f t="shared" si="33"/>
        <v>3948252</v>
      </c>
      <c r="G30" s="315">
        <f t="shared" si="0"/>
        <v>0</v>
      </c>
      <c r="H30" s="451">
        <f t="shared" si="34"/>
        <v>17771300</v>
      </c>
      <c r="I30" s="315">
        <f t="shared" si="14"/>
        <v>0</v>
      </c>
      <c r="J30" s="451">
        <f t="shared" si="35"/>
        <v>28867790</v>
      </c>
      <c r="K30" s="315">
        <f t="shared" si="15"/>
        <v>0</v>
      </c>
      <c r="L30" s="451">
        <f t="shared" si="36"/>
        <v>23977630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5">
        <f t="shared" si="37"/>
        <v>16554.828000000001</v>
      </c>
      <c r="Q30" s="455">
        <f t="shared" si="29"/>
        <v>0</v>
      </c>
      <c r="R30" s="455">
        <f t="shared" si="30"/>
        <v>0</v>
      </c>
      <c r="S30" s="451">
        <f t="shared" si="25"/>
        <v>10095</v>
      </c>
      <c r="T30" s="475">
        <f t="shared" si="3"/>
        <v>0</v>
      </c>
      <c r="U30" s="451">
        <f t="shared" si="27"/>
        <v>417384</v>
      </c>
      <c r="V30" s="455">
        <f t="shared" si="18"/>
        <v>0</v>
      </c>
      <c r="W30" s="451">
        <f t="shared" si="7"/>
        <v>32167</v>
      </c>
      <c r="X30" s="476">
        <f t="shared" si="23"/>
        <v>0</v>
      </c>
      <c r="Y30" s="451">
        <f t="shared" si="8"/>
        <v>696338</v>
      </c>
      <c r="Z30" s="455">
        <f t="shared" si="22"/>
        <v>0</v>
      </c>
      <c r="AA30" s="451">
        <f t="shared" si="9"/>
        <v>35667</v>
      </c>
      <c r="AB30" s="455">
        <f t="shared" si="19"/>
        <v>0</v>
      </c>
      <c r="AC30" s="451">
        <f t="shared" si="10"/>
        <v>911715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-832295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32566666</v>
      </c>
      <c r="E31" s="314">
        <f t="shared" si="13"/>
        <v>0</v>
      </c>
      <c r="F31" s="451">
        <f t="shared" si="33"/>
        <v>3948252</v>
      </c>
      <c r="G31" s="315">
        <f t="shared" si="0"/>
        <v>0</v>
      </c>
      <c r="H31" s="451">
        <f t="shared" si="34"/>
        <v>17771300</v>
      </c>
      <c r="I31" s="315">
        <f t="shared" si="14"/>
        <v>0</v>
      </c>
      <c r="J31" s="451">
        <f t="shared" si="35"/>
        <v>28867790</v>
      </c>
      <c r="K31" s="315">
        <f t="shared" si="15"/>
        <v>0</v>
      </c>
      <c r="L31" s="451">
        <f t="shared" si="36"/>
        <v>23977630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5">
        <f t="shared" si="37"/>
        <v>16554.828000000001</v>
      </c>
      <c r="Q31" s="455">
        <f t="shared" si="29"/>
        <v>0</v>
      </c>
      <c r="R31" s="455">
        <f t="shared" si="30"/>
        <v>0</v>
      </c>
      <c r="S31" s="451">
        <f t="shared" si="25"/>
        <v>10095</v>
      </c>
      <c r="T31" s="475">
        <f t="shared" si="3"/>
        <v>0</v>
      </c>
      <c r="U31" s="451">
        <f t="shared" si="27"/>
        <v>417384</v>
      </c>
      <c r="V31" s="455">
        <f t="shared" si="18"/>
        <v>0</v>
      </c>
      <c r="W31" s="451">
        <f t="shared" si="7"/>
        <v>32167</v>
      </c>
      <c r="X31" s="476">
        <f t="shared" si="23"/>
        <v>0</v>
      </c>
      <c r="Y31" s="451">
        <f t="shared" si="8"/>
        <v>696338</v>
      </c>
      <c r="Z31" s="477">
        <f>Y31-Y30</f>
        <v>0</v>
      </c>
      <c r="AA31" s="451">
        <f t="shared" si="9"/>
        <v>35667</v>
      </c>
      <c r="AB31" s="455">
        <f t="shared" si="19"/>
        <v>0</v>
      </c>
      <c r="AC31" s="451">
        <f t="shared" si="10"/>
        <v>911715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-832295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32566666</v>
      </c>
      <c r="E32" s="314">
        <f t="shared" si="13"/>
        <v>0</v>
      </c>
      <c r="F32" s="451">
        <f t="shared" si="33"/>
        <v>3948252</v>
      </c>
      <c r="G32" s="315">
        <f>F32-F31</f>
        <v>0</v>
      </c>
      <c r="H32" s="451">
        <f t="shared" si="34"/>
        <v>17771300</v>
      </c>
      <c r="I32" s="315">
        <f>H32-H31</f>
        <v>0</v>
      </c>
      <c r="J32" s="451">
        <f t="shared" si="35"/>
        <v>28867790</v>
      </c>
      <c r="K32" s="315">
        <f>J32-J31</f>
        <v>0</v>
      </c>
      <c r="L32" s="451">
        <f t="shared" si="36"/>
        <v>23977630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5">
        <f t="shared" si="37"/>
        <v>16554.828000000001</v>
      </c>
      <c r="Q32" s="455">
        <f t="shared" si="29"/>
        <v>0</v>
      </c>
      <c r="R32" s="455">
        <f t="shared" si="30"/>
        <v>0</v>
      </c>
      <c r="S32" s="451">
        <f t="shared" si="25"/>
        <v>10095</v>
      </c>
      <c r="T32" s="475">
        <f t="shared" si="3"/>
        <v>0</v>
      </c>
      <c r="U32" s="451">
        <f t="shared" si="27"/>
        <v>417384</v>
      </c>
      <c r="V32" s="455">
        <f t="shared" si="18"/>
        <v>0</v>
      </c>
      <c r="W32" s="451">
        <f t="shared" si="7"/>
        <v>32167</v>
      </c>
      <c r="X32" s="455">
        <f t="shared" si="23"/>
        <v>0</v>
      </c>
      <c r="Y32" s="451">
        <f t="shared" si="8"/>
        <v>696338</v>
      </c>
      <c r="Z32" s="477">
        <f>Y32-Y31</f>
        <v>0</v>
      </c>
      <c r="AA32" s="451">
        <f t="shared" si="9"/>
        <v>35667</v>
      </c>
      <c r="AB32" s="455">
        <f t="shared" si="19"/>
        <v>0</v>
      </c>
      <c r="AC32" s="451">
        <f t="shared" si="10"/>
        <v>911715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-832295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32566666</v>
      </c>
      <c r="E33" s="314">
        <f t="shared" ref="E33" si="38">D33-D32</f>
        <v>0</v>
      </c>
      <c r="F33" s="451">
        <f t="shared" si="33"/>
        <v>3948252</v>
      </c>
      <c r="G33" s="315">
        <f>F33-F32</f>
        <v>0</v>
      </c>
      <c r="H33" s="451">
        <f t="shared" si="34"/>
        <v>17771300</v>
      </c>
      <c r="I33" s="315">
        <f>H33-H32</f>
        <v>0</v>
      </c>
      <c r="J33" s="451">
        <f t="shared" si="35"/>
        <v>28867790</v>
      </c>
      <c r="K33" s="315">
        <f>J33-J32</f>
        <v>0</v>
      </c>
      <c r="L33" s="451">
        <f t="shared" si="36"/>
        <v>23977630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37"/>
        <v>16554.828000000001</v>
      </c>
      <c r="Q33" s="455">
        <f t="shared" si="29"/>
        <v>0</v>
      </c>
      <c r="R33" s="455">
        <f t="shared" si="30"/>
        <v>0</v>
      </c>
      <c r="S33" s="451">
        <f t="shared" si="25"/>
        <v>10095</v>
      </c>
      <c r="T33" s="475">
        <f t="shared" ref="T33" si="40">S33-S32</f>
        <v>0</v>
      </c>
      <c r="U33" s="451">
        <f t="shared" si="27"/>
        <v>417384</v>
      </c>
      <c r="V33" s="455">
        <f t="shared" ref="V33" si="41">U33-U32</f>
        <v>0</v>
      </c>
      <c r="W33" s="451">
        <f t="shared" si="7"/>
        <v>32167</v>
      </c>
      <c r="X33" s="455">
        <f t="shared" ref="X33" si="42">W33-W32</f>
        <v>0</v>
      </c>
      <c r="Y33" s="451">
        <f t="shared" si="8"/>
        <v>696338</v>
      </c>
      <c r="Z33" s="477">
        <f>Y33-Y32</f>
        <v>0</v>
      </c>
      <c r="AA33" s="451">
        <f t="shared" si="9"/>
        <v>35667</v>
      </c>
      <c r="AB33" s="455">
        <f t="shared" ref="AB33" si="43">AA33-AA32</f>
        <v>0</v>
      </c>
      <c r="AC33" s="451">
        <f t="shared" si="10"/>
        <v>911715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-832295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A1" zoomScale="90" zoomScaleNormal="90" workbookViewId="0">
      <pane ySplit="1" topLeftCell="A17" activePane="bottomLeft" state="frozen"/>
      <selection activeCell="K1" sqref="K1"/>
      <selection pane="bottomLeft" activeCell="AS25" sqref="AS25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4" customWidth="1"/>
    <col min="38" max="38" width="11.1796875" style="324" bestFit="1" customWidth="1"/>
    <col min="39" max="39" width="11.453125" style="324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6"/>
    <col min="51" max="16384" width="9.1796875" style="42"/>
  </cols>
  <sheetData>
    <row r="1" spans="1:52" ht="29.5" thickBot="1">
      <c r="F1" s="630" t="s">
        <v>2</v>
      </c>
      <c r="G1" s="631"/>
      <c r="H1" s="631"/>
      <c r="I1" s="632"/>
      <c r="J1" s="285">
        <f>J36</f>
        <v>92.320512820512832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7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5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v>61</v>
      </c>
      <c r="AS20" s="323">
        <f t="shared" si="39"/>
        <v>1830</v>
      </c>
      <c r="AT20" s="323">
        <f t="shared" si="40"/>
        <v>5520</v>
      </c>
      <c r="AU20" s="323">
        <f t="shared" si="41"/>
        <v>30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v>243</v>
      </c>
      <c r="C21" s="599">
        <v>249</v>
      </c>
      <c r="D21" s="45">
        <f t="shared" ref="D21:D31" si="46">C20-C21</f>
        <v>6</v>
      </c>
      <c r="E21" s="45">
        <f t="shared" si="8"/>
        <v>50.28</v>
      </c>
      <c r="F21" s="64">
        <v>1696</v>
      </c>
      <c r="G21" s="52">
        <f t="shared" si="0"/>
        <v>2</v>
      </c>
      <c r="H21" s="64">
        <v>2579</v>
      </c>
      <c r="I21" s="399">
        <f t="shared" si="1"/>
        <v>98</v>
      </c>
      <c r="J21" s="66">
        <f t="shared" si="11"/>
        <v>49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v>1952</v>
      </c>
      <c r="Q21" s="64">
        <v>165286</v>
      </c>
      <c r="R21" s="398">
        <f t="shared" si="42"/>
        <v>140</v>
      </c>
      <c r="S21" s="52">
        <f t="shared" si="4"/>
        <v>2</v>
      </c>
      <c r="T21" s="67">
        <f t="shared" si="33"/>
        <v>0</v>
      </c>
      <c r="U21" s="405">
        <f t="shared" si="14"/>
        <v>4</v>
      </c>
      <c r="V21" s="62">
        <f t="shared" si="15"/>
        <v>238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238</v>
      </c>
      <c r="AJ21" s="321">
        <f>-tanks!AW22</f>
        <v>238</v>
      </c>
      <c r="AK21" s="321">
        <f t="shared" si="22"/>
        <v>0</v>
      </c>
      <c r="AL21" s="321">
        <f t="shared" si="7"/>
        <v>4</v>
      </c>
      <c r="AM21" s="321">
        <f t="shared" si="23"/>
        <v>0</v>
      </c>
      <c r="AN21" s="64">
        <v>67</v>
      </c>
      <c r="AO21" s="323">
        <f t="shared" si="25"/>
        <v>2010.0000000000002</v>
      </c>
      <c r="AP21" s="64">
        <v>55</v>
      </c>
      <c r="AQ21" s="323">
        <f t="shared" si="27"/>
        <v>1650.0000000000002</v>
      </c>
      <c r="AR21" s="64">
        <f t="shared" si="28"/>
        <v>61</v>
      </c>
      <c r="AS21" s="323">
        <f t="shared" si="39"/>
        <v>1830</v>
      </c>
      <c r="AT21" s="323">
        <f t="shared" si="40"/>
        <v>5490</v>
      </c>
      <c r="AU21" s="323">
        <f t="shared" si="41"/>
        <v>30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v>241</v>
      </c>
      <c r="C22" s="599">
        <v>247</v>
      </c>
      <c r="D22" s="45">
        <f t="shared" si="46"/>
        <v>2</v>
      </c>
      <c r="E22" s="45">
        <f t="shared" si="8"/>
        <v>16.760000000000002</v>
      </c>
      <c r="F22" s="64">
        <v>1698</v>
      </c>
      <c r="G22" s="52">
        <f t="shared" si="0"/>
        <v>2</v>
      </c>
      <c r="H22" s="64">
        <v>2713</v>
      </c>
      <c r="I22" s="399">
        <f t="shared" si="1"/>
        <v>134</v>
      </c>
      <c r="J22" s="66">
        <f t="shared" si="11"/>
        <v>67</v>
      </c>
      <c r="K22" s="64">
        <v>2200</v>
      </c>
      <c r="L22" s="52">
        <f t="shared" si="12"/>
        <v>2</v>
      </c>
      <c r="M22" s="64">
        <v>161671</v>
      </c>
      <c r="N22" s="399">
        <f t="shared" si="2"/>
        <v>126</v>
      </c>
      <c r="O22" s="64">
        <f t="shared" si="13"/>
        <v>1869</v>
      </c>
      <c r="P22" s="64">
        <f t="shared" si="43"/>
        <v>1952</v>
      </c>
      <c r="Q22" s="64">
        <f t="shared" si="44"/>
        <v>165286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4</v>
      </c>
      <c r="V22" s="62">
        <f t="shared" si="15"/>
        <v>260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260</v>
      </c>
      <c r="AJ22" s="321">
        <f>-tanks!AW23</f>
        <v>260</v>
      </c>
      <c r="AK22" s="321">
        <f t="shared" si="22"/>
        <v>0</v>
      </c>
      <c r="AL22" s="321">
        <f t="shared" si="7"/>
        <v>4</v>
      </c>
      <c r="AM22" s="321">
        <f t="shared" si="23"/>
        <v>0</v>
      </c>
      <c r="AN22" s="64">
        <f t="shared" si="24"/>
        <v>67</v>
      </c>
      <c r="AO22" s="323">
        <f t="shared" si="25"/>
        <v>2010.0000000000002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61</v>
      </c>
      <c r="AS22" s="323">
        <f t="shared" si="39"/>
        <v>1830</v>
      </c>
      <c r="AT22" s="323">
        <f t="shared" si="40"/>
        <v>5490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[2]ELEC!C21</f>
        <v>44215</v>
      </c>
      <c r="B23" s="599">
        <v>238</v>
      </c>
      <c r="C23" s="599">
        <v>244</v>
      </c>
      <c r="D23" s="45">
        <f t="shared" si="46"/>
        <v>3</v>
      </c>
      <c r="E23" s="45">
        <f t="shared" si="8"/>
        <v>25.14</v>
      </c>
      <c r="F23" s="64">
        <f t="shared" ref="F23" si="47">F22</f>
        <v>1698</v>
      </c>
      <c r="G23" s="52">
        <f t="shared" si="0"/>
        <v>0</v>
      </c>
      <c r="H23" s="64">
        <f t="shared" ref="H23" si="48">H22</f>
        <v>2713</v>
      </c>
      <c r="I23" s="399">
        <f t="shared" si="1"/>
        <v>0</v>
      </c>
      <c r="J23" s="66">
        <f t="shared" si="11"/>
        <v>0</v>
      </c>
      <c r="K23" s="64">
        <v>2202</v>
      </c>
      <c r="L23" s="52">
        <f t="shared" si="12"/>
        <v>2</v>
      </c>
      <c r="M23" s="64">
        <v>161812</v>
      </c>
      <c r="N23" s="399">
        <f t="shared" si="2"/>
        <v>141</v>
      </c>
      <c r="O23" s="64">
        <f t="shared" si="13"/>
        <v>1869</v>
      </c>
      <c r="P23" s="64">
        <v>1953</v>
      </c>
      <c r="Q23" s="64">
        <v>165376</v>
      </c>
      <c r="R23" s="398">
        <f t="shared" si="42"/>
        <v>90</v>
      </c>
      <c r="S23" s="52">
        <f t="shared" si="4"/>
        <v>1</v>
      </c>
      <c r="T23" s="67">
        <f t="shared" si="33"/>
        <v>0</v>
      </c>
      <c r="U23" s="405">
        <f t="shared" si="14"/>
        <v>3</v>
      </c>
      <c r="V23" s="62">
        <f t="shared" si="15"/>
        <v>231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231</v>
      </c>
      <c r="AJ23" s="321">
        <f>-[2]tanks!AW24</f>
        <v>231</v>
      </c>
      <c r="AK23" s="321">
        <f t="shared" si="22"/>
        <v>0</v>
      </c>
      <c r="AL23" s="321">
        <f t="shared" si="7"/>
        <v>3</v>
      </c>
      <c r="AM23" s="321">
        <f t="shared" si="23"/>
        <v>0</v>
      </c>
      <c r="AN23" s="64">
        <f t="shared" si="24"/>
        <v>67</v>
      </c>
      <c r="AO23" s="323">
        <f t="shared" si="25"/>
        <v>2010.0000000000002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61</v>
      </c>
      <c r="AS23" s="323">
        <f t="shared" si="39"/>
        <v>1830</v>
      </c>
      <c r="AT23" s="323">
        <f t="shared" si="40"/>
        <v>5490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v>233</v>
      </c>
      <c r="C24" s="599">
        <v>239</v>
      </c>
      <c r="D24" s="45">
        <f t="shared" si="46"/>
        <v>5</v>
      </c>
      <c r="E24" s="45">
        <f t="shared" si="8"/>
        <v>41.900000000000006</v>
      </c>
      <c r="F24" s="64">
        <v>1699</v>
      </c>
      <c r="G24" s="52">
        <f t="shared" si="0"/>
        <v>1</v>
      </c>
      <c r="H24" s="64">
        <v>2814</v>
      </c>
      <c r="I24" s="399">
        <f t="shared" si="1"/>
        <v>101</v>
      </c>
      <c r="J24" s="66">
        <f t="shared" si="11"/>
        <v>101</v>
      </c>
      <c r="K24" s="64">
        <f t="shared" si="31"/>
        <v>2202</v>
      </c>
      <c r="L24" s="52">
        <f t="shared" si="12"/>
        <v>0</v>
      </c>
      <c r="M24" s="64">
        <f t="shared" si="32"/>
        <v>161812</v>
      </c>
      <c r="N24" s="399">
        <f t="shared" si="2"/>
        <v>0</v>
      </c>
      <c r="O24" s="64">
        <f t="shared" si="13"/>
        <v>1869</v>
      </c>
      <c r="P24" s="64">
        <v>1956</v>
      </c>
      <c r="Q24" s="64">
        <v>165575</v>
      </c>
      <c r="R24" s="398">
        <f t="shared" si="42"/>
        <v>199</v>
      </c>
      <c r="S24" s="52">
        <f t="shared" si="4"/>
        <v>3</v>
      </c>
      <c r="T24" s="67">
        <f t="shared" si="33"/>
        <v>0</v>
      </c>
      <c r="U24" s="405">
        <f t="shared" si="14"/>
        <v>4</v>
      </c>
      <c r="V24" s="62">
        <f t="shared" si="15"/>
        <v>300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300</v>
      </c>
      <c r="AJ24" s="321">
        <f>-tanks!AW25</f>
        <v>300</v>
      </c>
      <c r="AK24" s="321">
        <f t="shared" si="22"/>
        <v>0</v>
      </c>
      <c r="AL24" s="321">
        <f t="shared" si="7"/>
        <v>4</v>
      </c>
      <c r="AM24" s="321">
        <f t="shared" si="23"/>
        <v>0</v>
      </c>
      <c r="AN24" s="64">
        <f t="shared" si="24"/>
        <v>67</v>
      </c>
      <c r="AO24" s="323">
        <f t="shared" si="25"/>
        <v>2010.0000000000002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61</v>
      </c>
      <c r="AS24" s="323">
        <f t="shared" si="39"/>
        <v>1830</v>
      </c>
      <c r="AT24" s="323">
        <f t="shared" ref="AT24:AT34" si="50">SUM(AO24+AQ24+AS24)</f>
        <v>5490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v>230</v>
      </c>
      <c r="C25" s="599">
        <v>236.2</v>
      </c>
      <c r="D25" s="45">
        <f t="shared" si="46"/>
        <v>2.8000000000000114</v>
      </c>
      <c r="E25" s="45">
        <f t="shared" si="8"/>
        <v>23.464000000000098</v>
      </c>
      <c r="F25" s="64">
        <v>1702</v>
      </c>
      <c r="G25" s="52">
        <f t="shared" si="0"/>
        <v>3</v>
      </c>
      <c r="H25" s="64">
        <v>3023</v>
      </c>
      <c r="I25" s="399">
        <f t="shared" si="1"/>
        <v>209</v>
      </c>
      <c r="J25" s="66">
        <f t="shared" si="11"/>
        <v>69.666666666666671</v>
      </c>
      <c r="K25" s="64">
        <v>2203</v>
      </c>
      <c r="L25" s="52">
        <f t="shared" si="12"/>
        <v>1</v>
      </c>
      <c r="M25" s="64">
        <v>161900</v>
      </c>
      <c r="N25" s="399">
        <f t="shared" si="2"/>
        <v>88</v>
      </c>
      <c r="O25" s="64">
        <f t="shared" si="13"/>
        <v>1869</v>
      </c>
      <c r="P25" s="64">
        <f t="shared" si="43"/>
        <v>1956</v>
      </c>
      <c r="Q25" s="64">
        <f t="shared" si="44"/>
        <v>165575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4</v>
      </c>
      <c r="V25" s="62">
        <f t="shared" si="15"/>
        <v>297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297</v>
      </c>
      <c r="AJ25" s="321">
        <f>-tanks!AW26</f>
        <v>297</v>
      </c>
      <c r="AK25" s="321">
        <f t="shared" si="22"/>
        <v>0</v>
      </c>
      <c r="AL25" s="321">
        <f t="shared" si="7"/>
        <v>4</v>
      </c>
      <c r="AM25" s="321">
        <f t="shared" si="23"/>
        <v>0</v>
      </c>
      <c r="AN25" s="64">
        <f t="shared" si="24"/>
        <v>67</v>
      </c>
      <c r="AO25" s="323">
        <f t="shared" si="25"/>
        <v>2010.0000000000002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61</v>
      </c>
      <c r="AS25" s="323">
        <f t="shared" si="39"/>
        <v>1830</v>
      </c>
      <c r="AT25" s="323">
        <f t="shared" si="50"/>
        <v>5490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f t="shared" ref="B26:B35" si="52">B25</f>
        <v>230</v>
      </c>
      <c r="C26" s="599">
        <f t="shared" ref="C26:C35" si="53">C25</f>
        <v>236.2</v>
      </c>
      <c r="D26" s="45">
        <f t="shared" si="46"/>
        <v>0</v>
      </c>
      <c r="E26" s="45">
        <f t="shared" si="8"/>
        <v>0</v>
      </c>
      <c r="F26" s="64">
        <f t="shared" si="9"/>
        <v>1702</v>
      </c>
      <c r="G26" s="52">
        <f t="shared" si="0"/>
        <v>0</v>
      </c>
      <c r="H26" s="64">
        <f t="shared" si="10"/>
        <v>3023</v>
      </c>
      <c r="I26" s="399">
        <f t="shared" si="1"/>
        <v>0</v>
      </c>
      <c r="J26" s="66">
        <f t="shared" si="11"/>
        <v>0</v>
      </c>
      <c r="K26" s="64">
        <f t="shared" si="31"/>
        <v>2203</v>
      </c>
      <c r="L26" s="52">
        <f t="shared" si="12"/>
        <v>0</v>
      </c>
      <c r="M26" s="64">
        <f t="shared" si="32"/>
        <v>161900</v>
      </c>
      <c r="N26" s="399">
        <f t="shared" si="2"/>
        <v>0</v>
      </c>
      <c r="O26" s="64">
        <f t="shared" si="13"/>
        <v>1869</v>
      </c>
      <c r="P26" s="64">
        <f t="shared" si="43"/>
        <v>1956</v>
      </c>
      <c r="Q26" s="64">
        <f t="shared" si="44"/>
        <v>165575</v>
      </c>
      <c r="R26" s="398">
        <f t="shared" si="42"/>
        <v>0</v>
      </c>
      <c r="S26" s="52">
        <f t="shared" si="4"/>
        <v>0</v>
      </c>
      <c r="T26" s="67">
        <f t="shared" si="33"/>
        <v>0</v>
      </c>
      <c r="U26" s="405">
        <f t="shared" si="14"/>
        <v>0</v>
      </c>
      <c r="V26" s="62">
        <f t="shared" si="15"/>
        <v>0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7"/>
        <v>0</v>
      </c>
      <c r="AM26" s="321">
        <f t="shared" si="23"/>
        <v>0</v>
      </c>
      <c r="AN26" s="64">
        <f t="shared" si="24"/>
        <v>67</v>
      </c>
      <c r="AO26" s="323">
        <f t="shared" si="25"/>
        <v>2010.0000000000002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61</v>
      </c>
      <c r="AS26" s="323">
        <f t="shared" si="39"/>
        <v>1830</v>
      </c>
      <c r="AT26" s="323">
        <f t="shared" si="50"/>
        <v>5490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si="52"/>
        <v>230</v>
      </c>
      <c r="C27" s="599">
        <f t="shared" si="53"/>
        <v>236.2</v>
      </c>
      <c r="D27" s="45">
        <f t="shared" si="46"/>
        <v>0</v>
      </c>
      <c r="E27" s="45">
        <f t="shared" si="8"/>
        <v>0</v>
      </c>
      <c r="F27" s="64">
        <f t="shared" si="9"/>
        <v>1702</v>
      </c>
      <c r="G27" s="52">
        <f t="shared" si="0"/>
        <v>0</v>
      </c>
      <c r="H27" s="64">
        <f t="shared" si="10"/>
        <v>3023</v>
      </c>
      <c r="I27" s="399">
        <f t="shared" si="1"/>
        <v>0</v>
      </c>
      <c r="J27" s="66">
        <f t="shared" si="11"/>
        <v>0</v>
      </c>
      <c r="K27" s="64">
        <f t="shared" si="31"/>
        <v>2203</v>
      </c>
      <c r="L27" s="52">
        <f t="shared" si="12"/>
        <v>0</v>
      </c>
      <c r="M27" s="64">
        <f t="shared" si="32"/>
        <v>161900</v>
      </c>
      <c r="N27" s="399">
        <f t="shared" si="2"/>
        <v>0</v>
      </c>
      <c r="O27" s="64">
        <f t="shared" si="13"/>
        <v>1869</v>
      </c>
      <c r="P27" s="64">
        <f t="shared" si="43"/>
        <v>1956</v>
      </c>
      <c r="Q27" s="64">
        <f t="shared" si="44"/>
        <v>165575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67</v>
      </c>
      <c r="AO27" s="323">
        <f>(AN27/100)*3000</f>
        <v>2010.0000000000002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61</v>
      </c>
      <c r="AS27" s="323">
        <f t="shared" si="39"/>
        <v>1830</v>
      </c>
      <c r="AT27" s="323">
        <f t="shared" si="50"/>
        <v>5490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52"/>
        <v>230</v>
      </c>
      <c r="C28" s="599">
        <f t="shared" si="53"/>
        <v>236.2</v>
      </c>
      <c r="D28" s="45">
        <f t="shared" si="46"/>
        <v>0</v>
      </c>
      <c r="E28" s="45">
        <f t="shared" si="8"/>
        <v>0</v>
      </c>
      <c r="F28" s="64">
        <f t="shared" si="9"/>
        <v>1702</v>
      </c>
      <c r="G28" s="52">
        <f t="shared" si="0"/>
        <v>0</v>
      </c>
      <c r="H28" s="64">
        <f t="shared" si="10"/>
        <v>3023</v>
      </c>
      <c r="I28" s="399">
        <f t="shared" si="1"/>
        <v>0</v>
      </c>
      <c r="J28" s="66">
        <f t="shared" si="11"/>
        <v>0</v>
      </c>
      <c r="K28" s="64">
        <f t="shared" si="31"/>
        <v>2203</v>
      </c>
      <c r="L28" s="52">
        <f t="shared" si="12"/>
        <v>0</v>
      </c>
      <c r="M28" s="64">
        <f t="shared" si="32"/>
        <v>161900</v>
      </c>
      <c r="N28" s="399">
        <f t="shared" si="2"/>
        <v>0</v>
      </c>
      <c r="O28" s="64">
        <f t="shared" si="13"/>
        <v>1869</v>
      </c>
      <c r="P28" s="64">
        <f t="shared" si="43"/>
        <v>1956</v>
      </c>
      <c r="Q28" s="64">
        <f t="shared" si="44"/>
        <v>165575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67</v>
      </c>
      <c r="AO28" s="323">
        <f t="shared" ref="AO28:AO34" si="54">(AN28/100)*3000</f>
        <v>2010.0000000000002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61</v>
      </c>
      <c r="AS28" s="323">
        <f t="shared" si="39"/>
        <v>1830</v>
      </c>
      <c r="AT28" s="323">
        <f t="shared" si="50"/>
        <v>5490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52"/>
        <v>230</v>
      </c>
      <c r="C29" s="599">
        <f t="shared" si="53"/>
        <v>236.2</v>
      </c>
      <c r="D29" s="45">
        <f t="shared" si="46"/>
        <v>0</v>
      </c>
      <c r="E29" s="45">
        <f t="shared" si="8"/>
        <v>0</v>
      </c>
      <c r="F29" s="64">
        <f t="shared" si="9"/>
        <v>1702</v>
      </c>
      <c r="G29" s="52">
        <f t="shared" si="0"/>
        <v>0</v>
      </c>
      <c r="H29" s="64">
        <f t="shared" si="10"/>
        <v>3023</v>
      </c>
      <c r="I29" s="399">
        <f t="shared" si="1"/>
        <v>0</v>
      </c>
      <c r="J29" s="66">
        <f t="shared" si="11"/>
        <v>0</v>
      </c>
      <c r="K29" s="64">
        <f t="shared" si="31"/>
        <v>2203</v>
      </c>
      <c r="L29" s="52">
        <f t="shared" si="12"/>
        <v>0</v>
      </c>
      <c r="M29" s="64">
        <f t="shared" si="32"/>
        <v>161900</v>
      </c>
      <c r="N29" s="399">
        <f t="shared" si="2"/>
        <v>0</v>
      </c>
      <c r="O29" s="64">
        <f t="shared" si="13"/>
        <v>1869</v>
      </c>
      <c r="P29" s="64">
        <f t="shared" si="43"/>
        <v>1956</v>
      </c>
      <c r="Q29" s="64">
        <f t="shared" si="44"/>
        <v>165575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67</v>
      </c>
      <c r="AO29" s="323">
        <f t="shared" si="54"/>
        <v>2010.0000000000002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61</v>
      </c>
      <c r="AS29" s="323">
        <f t="shared" si="39"/>
        <v>1830</v>
      </c>
      <c r="AT29" s="323">
        <f>SUM(AO29+AQ29+AS29)</f>
        <v>5490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52"/>
        <v>230</v>
      </c>
      <c r="C30" s="599">
        <f t="shared" si="53"/>
        <v>236.2</v>
      </c>
      <c r="D30" s="45">
        <f t="shared" si="46"/>
        <v>0</v>
      </c>
      <c r="E30" s="45">
        <f t="shared" si="8"/>
        <v>0</v>
      </c>
      <c r="F30" s="64">
        <f t="shared" si="9"/>
        <v>1702</v>
      </c>
      <c r="G30" s="52">
        <f t="shared" si="0"/>
        <v>0</v>
      </c>
      <c r="H30" s="64">
        <f t="shared" si="10"/>
        <v>3023</v>
      </c>
      <c r="I30" s="399">
        <f t="shared" si="1"/>
        <v>0</v>
      </c>
      <c r="J30" s="66">
        <f t="shared" si="11"/>
        <v>0</v>
      </c>
      <c r="K30" s="64">
        <f t="shared" si="31"/>
        <v>2203</v>
      </c>
      <c r="L30" s="52">
        <f t="shared" si="12"/>
        <v>0</v>
      </c>
      <c r="M30" s="64">
        <f t="shared" si="32"/>
        <v>161900</v>
      </c>
      <c r="N30" s="399">
        <f t="shared" si="2"/>
        <v>0</v>
      </c>
      <c r="O30" s="64">
        <f t="shared" si="13"/>
        <v>1869</v>
      </c>
      <c r="P30" s="64">
        <f t="shared" si="43"/>
        <v>1956</v>
      </c>
      <c r="Q30" s="64">
        <f t="shared" si="44"/>
        <v>165575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67</v>
      </c>
      <c r="AO30" s="323">
        <f t="shared" si="54"/>
        <v>2010.0000000000002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61</v>
      </c>
      <c r="AS30" s="323">
        <f t="shared" si="39"/>
        <v>1830</v>
      </c>
      <c r="AT30" s="323">
        <f t="shared" si="50"/>
        <v>5490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52"/>
        <v>230</v>
      </c>
      <c r="C31" s="599">
        <f t="shared" si="53"/>
        <v>236.2</v>
      </c>
      <c r="D31" s="45">
        <f t="shared" si="46"/>
        <v>0</v>
      </c>
      <c r="E31" s="45">
        <f t="shared" si="8"/>
        <v>0</v>
      </c>
      <c r="F31" s="64">
        <f t="shared" si="9"/>
        <v>1702</v>
      </c>
      <c r="G31" s="52">
        <f t="shared" si="0"/>
        <v>0</v>
      </c>
      <c r="H31" s="64">
        <f t="shared" si="10"/>
        <v>3023</v>
      </c>
      <c r="I31" s="399">
        <f t="shared" si="1"/>
        <v>0</v>
      </c>
      <c r="J31" s="66">
        <f t="shared" si="11"/>
        <v>0</v>
      </c>
      <c r="K31" s="64">
        <f t="shared" si="31"/>
        <v>2203</v>
      </c>
      <c r="L31" s="52">
        <f t="shared" si="12"/>
        <v>0</v>
      </c>
      <c r="M31" s="64">
        <f t="shared" si="32"/>
        <v>161900</v>
      </c>
      <c r="N31" s="399">
        <f t="shared" si="2"/>
        <v>0</v>
      </c>
      <c r="O31" s="64">
        <f t="shared" si="13"/>
        <v>1869</v>
      </c>
      <c r="P31" s="64">
        <f t="shared" si="43"/>
        <v>1956</v>
      </c>
      <c r="Q31" s="64">
        <f t="shared" si="44"/>
        <v>165575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67</v>
      </c>
      <c r="AO31" s="323">
        <f t="shared" si="54"/>
        <v>2010.0000000000002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61</v>
      </c>
      <c r="AS31" s="323">
        <f t="shared" si="39"/>
        <v>1830</v>
      </c>
      <c r="AT31" s="323">
        <f t="shared" si="50"/>
        <v>5490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52"/>
        <v>230</v>
      </c>
      <c r="C32" s="599">
        <f t="shared" si="53"/>
        <v>236.2</v>
      </c>
      <c r="D32" s="45">
        <f t="shared" si="30"/>
        <v>0</v>
      </c>
      <c r="E32" s="45">
        <f t="shared" ref="E32:E34" si="55">D32*8.38</f>
        <v>0</v>
      </c>
      <c r="F32" s="64">
        <f t="shared" si="9"/>
        <v>1702</v>
      </c>
      <c r="G32" s="52">
        <f t="shared" si="0"/>
        <v>0</v>
      </c>
      <c r="H32" s="64">
        <f t="shared" si="10"/>
        <v>3023</v>
      </c>
      <c r="I32" s="399">
        <f t="shared" si="1"/>
        <v>0</v>
      </c>
      <c r="J32" s="66">
        <f t="shared" si="11"/>
        <v>0</v>
      </c>
      <c r="K32" s="64">
        <f t="shared" si="31"/>
        <v>2203</v>
      </c>
      <c r="L32" s="52">
        <f t="shared" si="12"/>
        <v>0</v>
      </c>
      <c r="M32" s="64">
        <f t="shared" si="32"/>
        <v>161900</v>
      </c>
      <c r="N32" s="399">
        <f t="shared" si="2"/>
        <v>0</v>
      </c>
      <c r="O32" s="64">
        <f t="shared" si="13"/>
        <v>1869</v>
      </c>
      <c r="P32" s="64">
        <f t="shared" si="43"/>
        <v>1956</v>
      </c>
      <c r="Q32" s="64">
        <f t="shared" si="44"/>
        <v>165575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67</v>
      </c>
      <c r="AO32" s="323">
        <f t="shared" si="54"/>
        <v>2010.0000000000002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61</v>
      </c>
      <c r="AS32" s="323">
        <f t="shared" si="39"/>
        <v>1830</v>
      </c>
      <c r="AT32" s="323">
        <f t="shared" si="50"/>
        <v>5490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52"/>
        <v>230</v>
      </c>
      <c r="C33" s="599">
        <f t="shared" si="53"/>
        <v>236.2</v>
      </c>
      <c r="D33" s="45">
        <f t="shared" si="30"/>
        <v>0</v>
      </c>
      <c r="E33" s="45">
        <f t="shared" si="55"/>
        <v>0</v>
      </c>
      <c r="F33" s="64">
        <f t="shared" si="9"/>
        <v>1702</v>
      </c>
      <c r="G33" s="52">
        <f t="shared" si="0"/>
        <v>0</v>
      </c>
      <c r="H33" s="64">
        <f t="shared" si="10"/>
        <v>3023</v>
      </c>
      <c r="I33" s="399">
        <f t="shared" si="1"/>
        <v>0</v>
      </c>
      <c r="J33" s="66">
        <f t="shared" si="11"/>
        <v>0</v>
      </c>
      <c r="K33" s="64">
        <f t="shared" si="31"/>
        <v>2203</v>
      </c>
      <c r="L33" s="52">
        <f t="shared" si="12"/>
        <v>0</v>
      </c>
      <c r="M33" s="64">
        <f t="shared" si="32"/>
        <v>161900</v>
      </c>
      <c r="N33" s="399">
        <f t="shared" si="2"/>
        <v>0</v>
      </c>
      <c r="O33" s="64">
        <f t="shared" si="13"/>
        <v>1869</v>
      </c>
      <c r="P33" s="64">
        <f t="shared" si="43"/>
        <v>1956</v>
      </c>
      <c r="Q33" s="64">
        <f t="shared" si="44"/>
        <v>165575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67</v>
      </c>
      <c r="AO33" s="323">
        <f t="shared" si="54"/>
        <v>2010.0000000000002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61</v>
      </c>
      <c r="AS33" s="323">
        <f t="shared" si="39"/>
        <v>1830</v>
      </c>
      <c r="AT33" s="323">
        <f t="shared" si="50"/>
        <v>5490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52"/>
        <v>230</v>
      </c>
      <c r="C34" s="599">
        <f t="shared" si="53"/>
        <v>236.2</v>
      </c>
      <c r="D34" s="45">
        <f t="shared" si="30"/>
        <v>0</v>
      </c>
      <c r="E34" s="45">
        <f t="shared" si="55"/>
        <v>0</v>
      </c>
      <c r="F34" s="64">
        <f t="shared" si="9"/>
        <v>1702</v>
      </c>
      <c r="G34" s="52">
        <f t="shared" si="0"/>
        <v>0</v>
      </c>
      <c r="H34" s="64">
        <f t="shared" si="10"/>
        <v>3023</v>
      </c>
      <c r="I34" s="399">
        <f t="shared" si="1"/>
        <v>0</v>
      </c>
      <c r="J34" s="66">
        <f t="shared" si="11"/>
        <v>0</v>
      </c>
      <c r="K34" s="64">
        <f t="shared" si="31"/>
        <v>2203</v>
      </c>
      <c r="L34" s="52">
        <f t="shared" si="12"/>
        <v>0</v>
      </c>
      <c r="M34" s="64">
        <f t="shared" si="32"/>
        <v>161900</v>
      </c>
      <c r="N34" s="399">
        <f t="shared" si="2"/>
        <v>0</v>
      </c>
      <c r="O34" s="64">
        <f t="shared" si="13"/>
        <v>1869</v>
      </c>
      <c r="P34" s="64">
        <f t="shared" si="43"/>
        <v>1956</v>
      </c>
      <c r="Q34" s="64">
        <f t="shared" si="44"/>
        <v>165575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67</v>
      </c>
      <c r="AO34" s="323">
        <f t="shared" si="54"/>
        <v>2010.0000000000002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61</v>
      </c>
      <c r="AS34" s="323">
        <f t="shared" si="39"/>
        <v>1830</v>
      </c>
      <c r="AT34" s="323">
        <f t="shared" si="50"/>
        <v>5490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52"/>
        <v>230</v>
      </c>
      <c r="C35" s="599">
        <f t="shared" si="53"/>
        <v>236.2</v>
      </c>
      <c r="D35" s="45">
        <f t="shared" ref="D35" si="56">C34-C35</f>
        <v>0</v>
      </c>
      <c r="E35" s="45">
        <f t="shared" ref="E35" si="57">D35*8.38</f>
        <v>0</v>
      </c>
      <c r="F35" s="64">
        <f t="shared" si="9"/>
        <v>1702</v>
      </c>
      <c r="G35" s="52">
        <f t="shared" ref="G35" si="58">F35-F34</f>
        <v>0</v>
      </c>
      <c r="H35" s="64">
        <f t="shared" si="10"/>
        <v>3023</v>
      </c>
      <c r="I35" s="399">
        <f t="shared" si="1"/>
        <v>0</v>
      </c>
      <c r="J35" s="66">
        <f t="shared" ref="J35" si="59">IF(G35&gt;0,I35/G35,0)</f>
        <v>0</v>
      </c>
      <c r="K35" s="64">
        <f t="shared" si="31"/>
        <v>2203</v>
      </c>
      <c r="L35" s="52">
        <f t="shared" si="12"/>
        <v>0</v>
      </c>
      <c r="M35" s="64">
        <f t="shared" si="32"/>
        <v>161900</v>
      </c>
      <c r="N35" s="399">
        <f t="shared" si="2"/>
        <v>0</v>
      </c>
      <c r="O35" s="64">
        <f t="shared" si="13"/>
        <v>1869</v>
      </c>
      <c r="P35" s="64">
        <f t="shared" si="43"/>
        <v>1956</v>
      </c>
      <c r="Q35" s="64">
        <f t="shared" si="44"/>
        <v>165575</v>
      </c>
      <c r="R35" s="398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5">
        <f t="shared" ref="U35" si="63">SUM(G35+L35+S35)</f>
        <v>0</v>
      </c>
      <c r="V35" s="62">
        <f t="shared" ref="V35" si="64">R35+N35+I35:I35</f>
        <v>0</v>
      </c>
      <c r="W35" s="403"/>
      <c r="X35" s="64">
        <f t="shared" si="34"/>
        <v>2452</v>
      </c>
      <c r="Y35" s="52">
        <f t="shared" ref="Y35" si="65">X35-X34</f>
        <v>0</v>
      </c>
      <c r="Z35" s="64">
        <f t="shared" si="35"/>
        <v>137831.1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18"/>
        <v>1934</v>
      </c>
      <c r="AD35" s="45">
        <f t="shared" ref="AD35" si="68">AC35-AC34</f>
        <v>0</v>
      </c>
      <c r="AE35" s="595">
        <f t="shared" si="19"/>
        <v>365317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1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67</v>
      </c>
      <c r="AO35" s="323">
        <f t="shared" ref="AO35" si="73">(AN35/100)*3000</f>
        <v>2010.0000000000002</v>
      </c>
      <c r="AP35" s="64">
        <f t="shared" si="26"/>
        <v>55</v>
      </c>
      <c r="AQ35" s="323">
        <f t="shared" ref="AQ35" si="74">(AP35/100)*3000</f>
        <v>1650.0000000000002</v>
      </c>
      <c r="AR35" s="64">
        <f t="shared" si="28"/>
        <v>61</v>
      </c>
      <c r="AS35" s="323">
        <f t="shared" ref="AS35" si="75">(AR35/100)*3000</f>
        <v>1830</v>
      </c>
      <c r="AT35" s="323">
        <f t="shared" ref="AT35" si="76">SUM(AO35+AQ35+AS35)</f>
        <v>5490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92.320512820512832</v>
      </c>
      <c r="V36" s="62">
        <f>SUM(V5:V35)</f>
        <v>4887</v>
      </c>
      <c r="AE36" s="71" t="s">
        <v>385</v>
      </c>
      <c r="AG36" s="347"/>
      <c r="AH36" s="62">
        <f>SUM(AH5:AH35)</f>
        <v>111.5</v>
      </c>
      <c r="AL36" s="62">
        <f>SUM(AL5:AL35)</f>
        <v>65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60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4998.5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30.6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conditionalFormatting sqref="AV23:AW23">
    <cfRule type="cellIs" dxfId="8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22" activePane="bottomLeft" state="frozen"/>
      <selection pane="bottomLeft" activeCell="BC26" sqref="BC26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5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5" customWidth="1"/>
    <col min="11" max="11" width="13.54296875" style="1" customWidth="1"/>
    <col min="12" max="12" width="13.26953125" style="1" customWidth="1"/>
    <col min="13" max="13" width="10.7265625" style="499" customWidth="1"/>
    <col min="14" max="14" width="10.7265625" style="501" customWidth="1"/>
    <col min="15" max="15" width="11.1796875" style="499" customWidth="1"/>
    <col min="16" max="16" width="11.1796875" style="501" customWidth="1"/>
    <col min="17" max="17" width="17.26953125" style="499" customWidth="1"/>
    <col min="18" max="18" width="10.81640625" style="499" customWidth="1"/>
    <col min="19" max="19" width="10.7265625" style="499" customWidth="1"/>
    <col min="20" max="20" width="13.26953125" style="409" customWidth="1"/>
    <col min="21" max="21" width="8.7265625" style="413" customWidth="1"/>
    <col min="22" max="22" width="13.26953125" style="325" customWidth="1"/>
    <col min="23" max="23" width="9.7265625" style="325" bestFit="1" customWidth="1"/>
    <col min="24" max="27" width="9.7265625" style="325" customWidth="1"/>
    <col min="28" max="28" width="14.453125" style="325" customWidth="1"/>
    <col min="29" max="32" width="9.7265625" style="325" customWidth="1"/>
    <col min="33" max="33" width="11.26953125" style="325" customWidth="1"/>
    <col min="34" max="36" width="9.7265625" style="325" customWidth="1"/>
    <col min="37" max="37" width="7.453125" style="325" customWidth="1"/>
    <col min="38" max="39" width="8.7265625" style="325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62" customFormat="1" ht="15" thickBot="1">
      <c r="B1" s="363"/>
      <c r="C1" s="363"/>
      <c r="D1" s="420">
        <f>SUM(G21:G35)</f>
        <v>9224750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8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v>149910</v>
      </c>
      <c r="Y22" s="327">
        <f t="shared" si="42"/>
        <v>5</v>
      </c>
      <c r="Z22" s="5">
        <v>98200</v>
      </c>
      <c r="AA22" s="83">
        <f t="shared" si="22"/>
        <v>3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3</v>
      </c>
      <c r="AK22" s="330">
        <f t="shared" si="39"/>
        <v>5</v>
      </c>
      <c r="AL22" s="330">
        <f t="shared" si="31"/>
        <v>3</v>
      </c>
      <c r="AM22" s="330">
        <f>'General information '!D22</f>
        <v>13.5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v>119</v>
      </c>
      <c r="AU22" s="429">
        <f t="shared" si="43"/>
        <v>1.1000000000000001</v>
      </c>
      <c r="AV22" s="202">
        <v>142</v>
      </c>
      <c r="AW22" s="5">
        <v>2.9</v>
      </c>
      <c r="AX22" s="202">
        <v>143</v>
      </c>
      <c r="AY22" s="432">
        <f t="shared" si="7"/>
        <v>107.10000000000001</v>
      </c>
      <c r="AZ22" s="432">
        <f t="shared" si="33"/>
        <v>156.20000000000002</v>
      </c>
      <c r="BA22" s="432">
        <f t="shared" si="34"/>
        <v>414.7</v>
      </c>
      <c r="BB22" s="21">
        <f>AY22-AY21</f>
        <v>-6.2999999999999972</v>
      </c>
      <c r="BC22" s="21">
        <f t="shared" si="35"/>
        <v>-2.1999999999999886</v>
      </c>
      <c r="BD22" s="21">
        <f t="shared" si="35"/>
        <v>-2.8999999999999773</v>
      </c>
      <c r="BE22" s="24">
        <f t="shared" si="37"/>
        <v>-11.399999999999963</v>
      </c>
      <c r="BF22" s="96">
        <f t="shared" si="8"/>
        <v>11.399999999999963</v>
      </c>
      <c r="BG22" s="82">
        <f t="shared" si="9"/>
        <v>-11.399999999999963</v>
      </c>
    </row>
    <row r="23" spans="1:61" ht="1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v>615006</v>
      </c>
      <c r="H23" s="5">
        <f t="shared" si="14"/>
        <v>170</v>
      </c>
      <c r="I23" s="5">
        <f t="shared" si="0"/>
        <v>170</v>
      </c>
      <c r="J23" s="337">
        <f t="shared" si="1"/>
        <v>1.4231499051233396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v>149994</v>
      </c>
      <c r="Y23" s="327">
        <f t="shared" si="42"/>
        <v>84</v>
      </c>
      <c r="Z23" s="5">
        <v>98235</v>
      </c>
      <c r="AA23" s="83">
        <f t="shared" si="22"/>
        <v>35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35</v>
      </c>
      <c r="AK23" s="330">
        <f t="shared" si="39"/>
        <v>84</v>
      </c>
      <c r="AL23" s="330">
        <f t="shared" si="31"/>
        <v>35</v>
      </c>
      <c r="AM23" s="330">
        <f>'General information '!D23</f>
        <v>11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v>94</v>
      </c>
      <c r="AU23" s="429">
        <f t="shared" si="43"/>
        <v>1.1000000000000001</v>
      </c>
      <c r="AV23" s="202">
        <v>163</v>
      </c>
      <c r="AW23" s="5">
        <v>2.9</v>
      </c>
      <c r="AX23" s="202">
        <v>164</v>
      </c>
      <c r="AY23" s="432">
        <f t="shared" si="7"/>
        <v>84.600000000000009</v>
      </c>
      <c r="AZ23" s="432">
        <f t="shared" si="33"/>
        <v>179.3</v>
      </c>
      <c r="BA23" s="432">
        <f t="shared" si="34"/>
        <v>475.59999999999997</v>
      </c>
      <c r="BB23" s="21">
        <f t="shared" si="35"/>
        <v>-22.5</v>
      </c>
      <c r="BC23" s="21">
        <f t="shared" si="35"/>
        <v>23.099999999999994</v>
      </c>
      <c r="BD23" s="21">
        <f t="shared" si="35"/>
        <v>60.899999999999977</v>
      </c>
      <c r="BE23" s="24">
        <f t="shared" si="37"/>
        <v>61.499999999999972</v>
      </c>
      <c r="BF23" s="96">
        <f t="shared" si="8"/>
        <v>108.50000000000003</v>
      </c>
      <c r="BG23" s="82">
        <f t="shared" si="9"/>
        <v>61.499999999999972</v>
      </c>
    </row>
    <row r="24" spans="1:61" ht="1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SUM((C24*$E$4)+(7500/'[2]EDl log'!$A$37))</f>
        <v>241.93548387096774</v>
      </c>
      <c r="F24" s="330"/>
      <c r="G24" s="5">
        <f t="shared" ref="G24" si="55">G23</f>
        <v>615006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'[2]Swimming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v>150037</v>
      </c>
      <c r="Y24" s="327">
        <f t="shared" si="42"/>
        <v>43</v>
      </c>
      <c r="Z24" s="5">
        <v>98261</v>
      </c>
      <c r="AA24" s="83">
        <f t="shared" si="22"/>
        <v>26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26</v>
      </c>
      <c r="AK24" s="330">
        <f t="shared" si="39"/>
        <v>43</v>
      </c>
      <c r="AL24" s="330">
        <f t="shared" si="31"/>
        <v>26</v>
      </c>
      <c r="AM24" s="330">
        <f>'[2]General information '!D24</f>
        <v>13.5</v>
      </c>
      <c r="AN24" s="84">
        <f>'[2]General information '!H24</f>
        <v>0</v>
      </c>
      <c r="AO24" s="84"/>
      <c r="AP24" s="84">
        <f>'[2]General information '!J24</f>
        <v>0</v>
      </c>
      <c r="AR24" s="279">
        <f t="shared" si="32"/>
        <v>44215</v>
      </c>
      <c r="AS24" s="428">
        <f t="shared" si="54"/>
        <v>0.9</v>
      </c>
      <c r="AT24" s="202">
        <v>25</v>
      </c>
      <c r="AU24" s="429">
        <f t="shared" si="43"/>
        <v>1.1000000000000001</v>
      </c>
      <c r="AV24" s="202">
        <v>176</v>
      </c>
      <c r="AW24" s="5">
        <v>2.9</v>
      </c>
      <c r="AX24" s="202">
        <v>178</v>
      </c>
      <c r="AY24" s="432">
        <f t="shared" si="7"/>
        <v>22.5</v>
      </c>
      <c r="AZ24" s="432">
        <f t="shared" si="33"/>
        <v>193.60000000000002</v>
      </c>
      <c r="BA24" s="432">
        <f t="shared" si="34"/>
        <v>516.19999999999993</v>
      </c>
      <c r="BB24" s="21">
        <f t="shared" si="35"/>
        <v>-62.100000000000009</v>
      </c>
      <c r="BC24" s="21">
        <f t="shared" si="35"/>
        <v>14.300000000000011</v>
      </c>
      <c r="BD24" s="21">
        <f t="shared" si="35"/>
        <v>40.599999999999966</v>
      </c>
      <c r="BE24" s="24">
        <f t="shared" si="37"/>
        <v>-7.2000000000000313</v>
      </c>
      <c r="BF24" s="96">
        <f t="shared" si="8"/>
        <v>7.2000000000000313</v>
      </c>
      <c r="BG24" s="82">
        <f t="shared" si="9"/>
        <v>-7.2000000000000313</v>
      </c>
      <c r="BI24" s="82"/>
    </row>
    <row r="25" spans="1:61" ht="1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615006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v>150070</v>
      </c>
      <c r="Y25" s="327">
        <f t="shared" si="42"/>
        <v>33</v>
      </c>
      <c r="Z25" s="5">
        <v>98261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33</v>
      </c>
      <c r="AL25" s="330">
        <f t="shared" si="31"/>
        <v>0</v>
      </c>
      <c r="AM25" s="330">
        <f>'General information '!D25</f>
        <v>13.5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v>0</v>
      </c>
      <c r="AU25" s="429">
        <f t="shared" si="43"/>
        <v>1.1000000000000001</v>
      </c>
      <c r="AV25" s="202">
        <v>184</v>
      </c>
      <c r="AW25" s="5">
        <v>2.9</v>
      </c>
      <c r="AX25" s="202">
        <v>182</v>
      </c>
      <c r="AY25" s="432">
        <f t="shared" si="7"/>
        <v>0</v>
      </c>
      <c r="AZ25" s="432">
        <f t="shared" si="33"/>
        <v>202.4</v>
      </c>
      <c r="BA25" s="432">
        <f t="shared" si="34"/>
        <v>527.79999999999995</v>
      </c>
      <c r="BB25" s="21">
        <f t="shared" si="35"/>
        <v>-22.5</v>
      </c>
      <c r="BC25" s="21">
        <f t="shared" si="35"/>
        <v>8.7999999999999829</v>
      </c>
      <c r="BD25" s="21">
        <f t="shared" si="35"/>
        <v>11.600000000000023</v>
      </c>
      <c r="BE25" s="24">
        <f t="shared" si="37"/>
        <v>-2.0999999999999943</v>
      </c>
      <c r="BF25" s="96">
        <f t="shared" si="8"/>
        <v>2.0999999999999943</v>
      </c>
      <c r="BG25" s="82">
        <f t="shared" si="9"/>
        <v>-2.0999999999999943</v>
      </c>
    </row>
    <row r="26" spans="1:61" ht="1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615006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150070</v>
      </c>
      <c r="Y26" s="327">
        <f t="shared" si="42"/>
        <v>0</v>
      </c>
      <c r="Z26" s="5">
        <f t="shared" si="21"/>
        <v>98261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0</v>
      </c>
      <c r="AU26" s="429">
        <f t="shared" si="43"/>
        <v>1.1000000000000001</v>
      </c>
      <c r="AV26" s="202">
        <v>181</v>
      </c>
      <c r="AW26" s="5">
        <v>2.9</v>
      </c>
      <c r="AX26" s="202">
        <v>180</v>
      </c>
      <c r="AY26" s="432">
        <f t="shared" si="7"/>
        <v>0</v>
      </c>
      <c r="AZ26" s="432">
        <f t="shared" si="33"/>
        <v>199.10000000000002</v>
      </c>
      <c r="BA26" s="432">
        <f t="shared" si="34"/>
        <v>522</v>
      </c>
      <c r="BB26" s="21">
        <f t="shared" si="35"/>
        <v>0</v>
      </c>
      <c r="BC26" s="21">
        <f t="shared" si="35"/>
        <v>-3.2999999999999829</v>
      </c>
      <c r="BD26" s="21">
        <f t="shared" si="35"/>
        <v>-5.7999999999999545</v>
      </c>
      <c r="BE26" s="24">
        <f t="shared" si="37"/>
        <v>-9.0999999999999375</v>
      </c>
      <c r="BF26" s="96">
        <f t="shared" si="8"/>
        <v>9.0999999999999375</v>
      </c>
      <c r="BG26" s="82">
        <f t="shared" si="9"/>
        <v>-9.0999999999999375</v>
      </c>
    </row>
    <row r="27" spans="1:61" ht="1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40"/>
        <v>615006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6713</v>
      </c>
      <c r="L27" s="276">
        <f t="shared" si="41"/>
        <v>0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150070</v>
      </c>
      <c r="Y27" s="327">
        <f>SUM(X27-X26)</f>
        <v>0</v>
      </c>
      <c r="Z27" s="5">
        <f t="shared" si="21"/>
        <v>98261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f t="shared" si="54"/>
        <v>0</v>
      </c>
      <c r="AU27" s="429">
        <f t="shared" si="43"/>
        <v>1.1000000000000001</v>
      </c>
      <c r="AV27" s="202">
        <f t="shared" ref="AV27:AV36" si="56">AV26</f>
        <v>181</v>
      </c>
      <c r="AW27" s="5">
        <v>2.9</v>
      </c>
      <c r="AX27" s="202">
        <f t="shared" ref="AX27:AX36" si="57">AX26</f>
        <v>180</v>
      </c>
      <c r="AY27" s="432">
        <f t="shared" si="7"/>
        <v>0</v>
      </c>
      <c r="AZ27" s="432">
        <f t="shared" si="33"/>
        <v>199.10000000000002</v>
      </c>
      <c r="BA27" s="432">
        <f t="shared" si="34"/>
        <v>522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615006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6713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150070</v>
      </c>
      <c r="Y28" s="327">
        <f t="shared" si="42"/>
        <v>0</v>
      </c>
      <c r="Z28" s="5">
        <f t="shared" si="21"/>
        <v>98261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f t="shared" si="54"/>
        <v>0</v>
      </c>
      <c r="AU28" s="429">
        <f t="shared" si="43"/>
        <v>1.1000000000000001</v>
      </c>
      <c r="AV28" s="202">
        <f t="shared" si="56"/>
        <v>181</v>
      </c>
      <c r="AW28" s="5">
        <v>2.9</v>
      </c>
      <c r="AX28" s="202">
        <f t="shared" si="57"/>
        <v>180</v>
      </c>
      <c r="AY28" s="432">
        <f t="shared" si="7"/>
        <v>0</v>
      </c>
      <c r="AZ28" s="432">
        <f t="shared" si="33"/>
        <v>199.10000000000002</v>
      </c>
      <c r="BA28" s="432">
        <f t="shared" si="34"/>
        <v>522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615006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6713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150070</v>
      </c>
      <c r="Y29" s="327">
        <f t="shared" si="42"/>
        <v>0</v>
      </c>
      <c r="Z29" s="5">
        <f t="shared" si="21"/>
        <v>98261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f t="shared" si="54"/>
        <v>0</v>
      </c>
      <c r="AU29" s="429">
        <f t="shared" si="43"/>
        <v>1.1000000000000001</v>
      </c>
      <c r="AV29" s="202">
        <f t="shared" si="56"/>
        <v>181</v>
      </c>
      <c r="AW29" s="5">
        <v>2.9</v>
      </c>
      <c r="AX29" s="202">
        <f t="shared" si="57"/>
        <v>180</v>
      </c>
      <c r="AY29" s="432">
        <f t="shared" si="7"/>
        <v>0</v>
      </c>
      <c r="AZ29" s="432">
        <f t="shared" si="33"/>
        <v>199.10000000000002</v>
      </c>
      <c r="BA29" s="432">
        <f t="shared" si="34"/>
        <v>522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615006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6713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150070</v>
      </c>
      <c r="Y30" s="327">
        <f t="shared" si="42"/>
        <v>0</v>
      </c>
      <c r="Z30" s="5">
        <f t="shared" si="21"/>
        <v>98261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f t="shared" si="54"/>
        <v>0</v>
      </c>
      <c r="AU30" s="429">
        <f t="shared" si="43"/>
        <v>1.1000000000000001</v>
      </c>
      <c r="AV30" s="202">
        <f t="shared" si="56"/>
        <v>181</v>
      </c>
      <c r="AW30" s="5">
        <v>2.9</v>
      </c>
      <c r="AX30" s="202">
        <f t="shared" si="57"/>
        <v>180</v>
      </c>
      <c r="AY30" s="432">
        <f t="shared" si="7"/>
        <v>0</v>
      </c>
      <c r="AZ30" s="432">
        <f t="shared" si="33"/>
        <v>199.10000000000002</v>
      </c>
      <c r="BA30" s="432">
        <f t="shared" si="34"/>
        <v>522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615006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6713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150070</v>
      </c>
      <c r="Y31" s="327">
        <f t="shared" si="42"/>
        <v>0</v>
      </c>
      <c r="Z31" s="5">
        <f t="shared" si="21"/>
        <v>98261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f t="shared" si="54"/>
        <v>0</v>
      </c>
      <c r="AU31" s="429">
        <f t="shared" si="43"/>
        <v>1.1000000000000001</v>
      </c>
      <c r="AV31" s="202">
        <f t="shared" si="56"/>
        <v>181</v>
      </c>
      <c r="AW31" s="5">
        <v>2.9</v>
      </c>
      <c r="AX31" s="202">
        <f t="shared" si="57"/>
        <v>180</v>
      </c>
      <c r="AY31" s="432">
        <f t="shared" si="7"/>
        <v>0</v>
      </c>
      <c r="AZ31" s="432">
        <f t="shared" si="33"/>
        <v>199.10000000000002</v>
      </c>
      <c r="BA31" s="432">
        <f t="shared" si="34"/>
        <v>522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615006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6713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150070</v>
      </c>
      <c r="Y32" s="327">
        <f t="shared" si="42"/>
        <v>0</v>
      </c>
      <c r="Z32" s="5">
        <f t="shared" si="21"/>
        <v>98261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0</v>
      </c>
      <c r="AU32" s="429">
        <f t="shared" si="43"/>
        <v>1.1000000000000001</v>
      </c>
      <c r="AV32" s="202">
        <f t="shared" si="56"/>
        <v>181</v>
      </c>
      <c r="AW32" s="5">
        <v>2.9</v>
      </c>
      <c r="AX32" s="202">
        <f t="shared" si="57"/>
        <v>180</v>
      </c>
      <c r="AY32" s="432">
        <f t="shared" si="7"/>
        <v>0</v>
      </c>
      <c r="AZ32" s="432">
        <f t="shared" si="33"/>
        <v>199.10000000000002</v>
      </c>
      <c r="BA32" s="432">
        <f t="shared" si="34"/>
        <v>522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615006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6713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150070</v>
      </c>
      <c r="Y33" s="327">
        <f t="shared" si="42"/>
        <v>0</v>
      </c>
      <c r="Z33" s="5">
        <f t="shared" si="21"/>
        <v>98261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0</v>
      </c>
      <c r="AU33" s="429">
        <f t="shared" si="43"/>
        <v>1.1000000000000001</v>
      </c>
      <c r="AV33" s="202">
        <f t="shared" si="56"/>
        <v>181</v>
      </c>
      <c r="AW33" s="5">
        <v>2.9</v>
      </c>
      <c r="AX33" s="202">
        <f t="shared" si="57"/>
        <v>180</v>
      </c>
      <c r="AY33" s="432">
        <f t="shared" si="7"/>
        <v>0</v>
      </c>
      <c r="AZ33" s="432">
        <f t="shared" si="33"/>
        <v>199.10000000000002</v>
      </c>
      <c r="BA33" s="432">
        <f t="shared" si="34"/>
        <v>522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615006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6713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150070</v>
      </c>
      <c r="Y34" s="327">
        <f t="shared" si="42"/>
        <v>0</v>
      </c>
      <c r="Z34" s="5">
        <f t="shared" si="21"/>
        <v>98261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0</v>
      </c>
      <c r="AU34" s="430">
        <f t="shared" si="43"/>
        <v>1.1000000000000001</v>
      </c>
      <c r="AV34" s="202">
        <f t="shared" si="56"/>
        <v>181</v>
      </c>
      <c r="AW34" s="5">
        <v>2.9</v>
      </c>
      <c r="AX34" s="202">
        <f t="shared" si="57"/>
        <v>180</v>
      </c>
      <c r="AY34" s="432">
        <f t="shared" si="7"/>
        <v>0</v>
      </c>
      <c r="AZ34" s="432">
        <f t="shared" si="33"/>
        <v>199.10000000000002</v>
      </c>
      <c r="BA34" s="432">
        <f t="shared" si="34"/>
        <v>522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615006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6713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150070</v>
      </c>
      <c r="Y35" s="327">
        <f t="shared" si="42"/>
        <v>0</v>
      </c>
      <c r="Z35" s="5">
        <f t="shared" si="21"/>
        <v>98261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0</v>
      </c>
      <c r="AU35" s="431">
        <f t="shared" si="43"/>
        <v>1.1000000000000001</v>
      </c>
      <c r="AV35" s="202">
        <f t="shared" si="56"/>
        <v>181</v>
      </c>
      <c r="AW35" s="5">
        <v>2.9</v>
      </c>
      <c r="AX35" s="202">
        <f t="shared" si="57"/>
        <v>180</v>
      </c>
      <c r="AY35" s="432">
        <f t="shared" si="7"/>
        <v>0</v>
      </c>
      <c r="AZ35" s="432">
        <f t="shared" si="33"/>
        <v>199.10000000000002</v>
      </c>
      <c r="BA35" s="432">
        <f t="shared" si="34"/>
        <v>522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" thickBot="1">
      <c r="A36" s="6">
        <f>ELEC!C33</f>
        <v>44227</v>
      </c>
      <c r="B36" s="5">
        <f t="shared" si="10"/>
        <v>109443</v>
      </c>
      <c r="C36" s="5">
        <f t="shared" ref="C36" si="58">B36-B35</f>
        <v>0</v>
      </c>
      <c r="D36" s="423">
        <f t="shared" ref="D36" si="59">C36/27</f>
        <v>0</v>
      </c>
      <c r="E36" s="336">
        <f>SUM((C36*$E$4)+(7500/'EDl log'!$A$37))</f>
        <v>241.93548387096774</v>
      </c>
      <c r="F36" s="330"/>
      <c r="G36" s="5">
        <f t="shared" si="40"/>
        <v>615006</v>
      </c>
      <c r="H36" s="5">
        <f t="shared" ref="H36" si="60">G36-G35</f>
        <v>0</v>
      </c>
      <c r="I36" s="5">
        <f t="shared" ref="I36" si="61">C36+H36</f>
        <v>0</v>
      </c>
      <c r="J36" s="337">
        <f t="shared" ref="J36" si="62">IF(I36&gt;0,E36/I36,0)</f>
        <v>0</v>
      </c>
      <c r="K36" s="5">
        <f>'Swimming Pool quality check '!H36</f>
        <v>6713</v>
      </c>
      <c r="L36" s="83">
        <f t="shared" ref="L36" si="63">K36-K35</f>
        <v>0</v>
      </c>
      <c r="M36" s="414">
        <f t="shared" si="15"/>
        <v>457.44</v>
      </c>
      <c r="N36" s="521">
        <f t="shared" ref="N36" si="64">SUM(M36-M35)</f>
        <v>0</v>
      </c>
      <c r="O36" s="414">
        <f t="shared" si="16"/>
        <v>529.52</v>
      </c>
      <c r="P36" s="521">
        <f t="shared" ref="P36" si="65">SUM(O36-O35)</f>
        <v>0</v>
      </c>
      <c r="Q36" s="521">
        <f t="shared" ref="Q36" si="66">SUM(P36+N36)</f>
        <v>0</v>
      </c>
      <c r="R36" s="521"/>
      <c r="S36" s="521"/>
      <c r="T36" s="5">
        <f t="shared" si="17"/>
        <v>5164</v>
      </c>
      <c r="U36" s="5">
        <f t="shared" ref="U36" si="67">SUM(T36-T35)</f>
        <v>0</v>
      </c>
      <c r="V36" s="5">
        <f t="shared" si="18"/>
        <v>459</v>
      </c>
      <c r="W36" s="327">
        <f t="shared" ref="W36" si="68">+V36-V35</f>
        <v>0</v>
      </c>
      <c r="X36" s="5">
        <f t="shared" si="20"/>
        <v>150070</v>
      </c>
      <c r="Y36" s="327">
        <f t="shared" ref="Y36" si="69">SUM(X36-X35)</f>
        <v>0</v>
      </c>
      <c r="Z36" s="5">
        <f t="shared" si="21"/>
        <v>98261</v>
      </c>
      <c r="AA36" s="83">
        <f t="shared" ref="AA36" si="70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1">AC36-AC35</f>
        <v>0</v>
      </c>
      <c r="AE36" s="5">
        <f t="shared" si="25"/>
        <v>227.8</v>
      </c>
      <c r="AF36" s="83">
        <f t="shared" ref="AF36" si="72">AE36-AE35</f>
        <v>0</v>
      </c>
      <c r="AG36" s="5">
        <f t="shared" si="27"/>
        <v>2181.5700000000002</v>
      </c>
      <c r="AH36" s="83">
        <f t="shared" ref="AH36" si="73">AG36-AG35</f>
        <v>0</v>
      </c>
      <c r="AI36" s="83">
        <f t="shared" ref="AI36" si="74">AF36+AH36</f>
        <v>0</v>
      </c>
      <c r="AJ36" s="329">
        <f t="shared" ref="AJ36" si="75">+Z36-Z35</f>
        <v>0</v>
      </c>
      <c r="AK36" s="330">
        <f t="shared" si="39"/>
        <v>0</v>
      </c>
      <c r="AL36" s="330">
        <f t="shared" ref="AL36" si="76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7">A36</f>
        <v>44227</v>
      </c>
      <c r="AS36" s="428">
        <f t="shared" si="54"/>
        <v>0.9</v>
      </c>
      <c r="AT36" s="202">
        <f t="shared" si="54"/>
        <v>0</v>
      </c>
      <c r="AU36" s="431">
        <f t="shared" si="43"/>
        <v>1.1000000000000001</v>
      </c>
      <c r="AV36" s="202">
        <f t="shared" si="56"/>
        <v>181</v>
      </c>
      <c r="AW36" s="5">
        <v>2.9</v>
      </c>
      <c r="AX36" s="202">
        <f t="shared" si="57"/>
        <v>180</v>
      </c>
      <c r="AY36" s="432">
        <f t="shared" ref="AY36" si="78">AS36*AT36</f>
        <v>0</v>
      </c>
      <c r="AZ36" s="432">
        <f t="shared" ref="AZ36" si="79">AU36*AV36</f>
        <v>199.10000000000002</v>
      </c>
      <c r="BA36" s="432">
        <f t="shared" ref="BA36" si="80">AW36*AX36</f>
        <v>522</v>
      </c>
      <c r="BB36" s="21">
        <f t="shared" ref="BB36" si="81">AY36-AY35</f>
        <v>0</v>
      </c>
      <c r="BC36" s="228">
        <f t="shared" ref="BC36" si="82">AZ36-AZ35</f>
        <v>0</v>
      </c>
      <c r="BD36" s="228">
        <f t="shared" ref="BD36" si="83">BA36-BA35</f>
        <v>0</v>
      </c>
      <c r="BE36" s="24">
        <f t="shared" ref="BE36" si="84">SUM(BB36:BD36)</f>
        <v>0</v>
      </c>
      <c r="BF36" s="96">
        <f t="shared" ref="BF36" si="85">SUM(I36-BE36)</f>
        <v>0</v>
      </c>
      <c r="BG36" s="82">
        <f t="shared" ref="BG36" si="86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717</v>
      </c>
      <c r="I37" s="416">
        <f>SUM(I6:I36)</f>
        <v>717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182</v>
      </c>
      <c r="AJ37" s="325">
        <f>SUM(AJ6:AJ36)</f>
        <v>191</v>
      </c>
      <c r="AK37" s="330">
        <f>SUM(Y37-L37)</f>
        <v>178</v>
      </c>
      <c r="AL37" s="325">
        <f>SUM(AL6:AL36)</f>
        <v>191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717</v>
      </c>
      <c r="Z38" s="325">
        <f>SUM(Y37:AJ37)</f>
        <v>373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717</v>
      </c>
      <c r="H39" s="1">
        <f>SUM(H38+C38)</f>
        <v>7500</v>
      </c>
      <c r="K39" s="1">
        <f>SUM(H39/G39)</f>
        <v>10.460251046025105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K25" sqref="K25"/>
    </sheetView>
  </sheetViews>
  <sheetFormatPr defaultRowHeight="14.5"/>
  <cols>
    <col min="1" max="1" width="11.81640625" style="49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>
        <v>15</v>
      </c>
      <c r="C22" s="37">
        <v>12</v>
      </c>
      <c r="D22" s="26">
        <f t="shared" si="3"/>
        <v>13.5</v>
      </c>
      <c r="E22" s="343">
        <v>0.53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>
        <v>14</v>
      </c>
      <c r="C23" s="37">
        <v>8</v>
      </c>
      <c r="D23" s="26">
        <f>(C23+B23)/2</f>
        <v>11</v>
      </c>
      <c r="E23" s="343">
        <v>0.78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>
        <v>17</v>
      </c>
      <c r="C24" s="37">
        <v>10</v>
      </c>
      <c r="D24" s="26">
        <f t="shared" ref="D24" si="5">(C24+B24)/2</f>
        <v>13.5</v>
      </c>
      <c r="E24" s="397">
        <v>0.69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>
        <v>17</v>
      </c>
      <c r="C25" s="37">
        <v>10</v>
      </c>
      <c r="D25" s="26">
        <f t="shared" si="3"/>
        <v>13.5</v>
      </c>
      <c r="E25" s="343">
        <v>0.75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6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6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6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6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6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6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6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7">(C35+B35)/2</f>
        <v>0</v>
      </c>
      <c r="E35" s="397"/>
      <c r="F35" s="345">
        <v>0</v>
      </c>
      <c r="G35" s="243">
        <f t="shared" ref="G35" si="8">F35*230</f>
        <v>0</v>
      </c>
      <c r="H35" s="3">
        <v>0</v>
      </c>
      <c r="I35" s="3">
        <v>0</v>
      </c>
      <c r="J35" s="37">
        <v>0</v>
      </c>
      <c r="K35" s="265">
        <f t="shared" ref="K35" si="9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10">(C36+B36)/2</f>
        <v>0</v>
      </c>
      <c r="E36" s="397"/>
      <c r="F36" s="345">
        <v>0</v>
      </c>
      <c r="G36" s="243">
        <f t="shared" ref="G36" si="11">F36*230</f>
        <v>0</v>
      </c>
      <c r="H36" s="3">
        <v>0</v>
      </c>
      <c r="I36" s="3">
        <v>0</v>
      </c>
      <c r="J36" s="37">
        <v>0</v>
      </c>
      <c r="K36" s="265">
        <f t="shared" ref="K36" si="12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15.619047619047619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2" zoomScale="90" zoomScaleNormal="90" workbookViewId="0">
      <pane xSplit="1" topLeftCell="B1" activePane="topRight" state="frozen"/>
      <selection pane="topRight" activeCell="AS18" sqref="AS1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40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8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[3]tanks!BH36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247.60337552730633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243</v>
      </c>
      <c r="C22" s="204">
        <f t="shared" si="18"/>
        <v>5228.4193548387093</v>
      </c>
      <c r="D22">
        <f t="shared" si="19"/>
        <v>243</v>
      </c>
      <c r="E22" s="204">
        <f t="shared" si="18"/>
        <v>5228.4193548387093</v>
      </c>
      <c r="F22">
        <f t="shared" si="20"/>
        <v>243</v>
      </c>
      <c r="G22" s="204">
        <f t="shared" si="1"/>
        <v>5228.4193548387093</v>
      </c>
      <c r="H22" s="204">
        <f t="shared" si="21"/>
        <v>243</v>
      </c>
      <c r="I22" s="204">
        <f t="shared" si="2"/>
        <v>5228.4193548387093</v>
      </c>
      <c r="J22" s="204">
        <f t="shared" si="22"/>
        <v>243</v>
      </c>
      <c r="K22" s="204">
        <f t="shared" si="3"/>
        <v>5228.4193548387093</v>
      </c>
      <c r="L22" s="204">
        <f t="shared" si="23"/>
        <v>243</v>
      </c>
      <c r="M22" s="204">
        <f t="shared" si="4"/>
        <v>5228.4193548387093</v>
      </c>
      <c r="N22" s="204">
        <f t="shared" si="24"/>
        <v>243</v>
      </c>
      <c r="O22" s="204">
        <f t="shared" si="5"/>
        <v>5228.4193548387093</v>
      </c>
      <c r="P22" s="204">
        <f t="shared" si="25"/>
        <v>243</v>
      </c>
      <c r="Q22" s="204">
        <f t="shared" si="6"/>
        <v>5228.4193548387093</v>
      </c>
      <c r="R22" s="204">
        <f t="shared" si="26"/>
        <v>243</v>
      </c>
      <c r="S22" s="204">
        <f t="shared" si="7"/>
        <v>5228.4193548387093</v>
      </c>
      <c r="T22" s="204">
        <f t="shared" si="27"/>
        <v>243</v>
      </c>
      <c r="U22" s="204">
        <f t="shared" si="8"/>
        <v>5228.4193548387093</v>
      </c>
      <c r="V22" s="204">
        <f t="shared" si="28"/>
        <v>243</v>
      </c>
      <c r="W22" s="204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4">
        <f>'B5'!C21</f>
        <v>249</v>
      </c>
      <c r="AA22" s="204">
        <f t="shared" si="30"/>
        <v>2490</v>
      </c>
      <c r="AB22" s="204">
        <f t="shared" si="31"/>
        <v>249</v>
      </c>
      <c r="AC22" s="204">
        <f t="shared" si="30"/>
        <v>2490</v>
      </c>
      <c r="AD22" s="204">
        <f t="shared" si="32"/>
        <v>249</v>
      </c>
      <c r="AE22" s="204">
        <f t="shared" si="11"/>
        <v>2490</v>
      </c>
      <c r="AF22" s="204">
        <f t="shared" si="33"/>
        <v>249</v>
      </c>
      <c r="AG22" s="204">
        <f t="shared" si="12"/>
        <v>2490</v>
      </c>
      <c r="AH22" s="204">
        <f t="shared" si="34"/>
        <v>249</v>
      </c>
      <c r="AI22" s="204">
        <f t="shared" si="13"/>
        <v>2490</v>
      </c>
      <c r="AJ22" s="204">
        <f t="shared" si="35"/>
        <v>249</v>
      </c>
      <c r="AK22" s="204">
        <f t="shared" si="14"/>
        <v>2490</v>
      </c>
      <c r="AL22" s="204">
        <f t="shared" si="36"/>
        <v>249</v>
      </c>
      <c r="AM22" s="204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4">
        <f t="shared" si="37"/>
        <v>0.80609457785549976</v>
      </c>
      <c r="AR22" s="38">
        <f t="shared" si="41"/>
        <v>74942.612903225818</v>
      </c>
      <c r="AS22" s="198">
        <f t="shared" si="38"/>
        <v>-1840.0645161290158</v>
      </c>
      <c r="AT22" s="273"/>
      <c r="AU22" s="442"/>
      <c r="AV22" s="525">
        <f t="shared" si="42"/>
        <v>0.64</v>
      </c>
      <c r="AW22" s="293">
        <f>-SUM('B5'!AI21)</f>
        <v>-238</v>
      </c>
      <c r="AX22" s="293">
        <f t="shared" si="39"/>
        <v>-1602.0645161290158</v>
      </c>
      <c r="AY22" s="37">
        <f t="shared" si="40"/>
        <v>-1840.0645161290158</v>
      </c>
      <c r="AZ22" s="100">
        <f>ELEC!A19</f>
        <v>0</v>
      </c>
      <c r="BA22" s="118">
        <f>'General information '!D22</f>
        <v>13.5</v>
      </c>
      <c r="BB22" s="397">
        <f>SUM('General information '!E22)</f>
        <v>0.53</v>
      </c>
      <c r="BC22" s="3">
        <f t="shared" si="43"/>
        <v>0</v>
      </c>
      <c r="BD22" s="102">
        <v>19222</v>
      </c>
      <c r="BE22" s="14">
        <f>(305/1185)*ELEC!Q20</f>
        <v>470.75527426200046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241</v>
      </c>
      <c r="C23" s="204">
        <f t="shared" si="18"/>
        <v>5185.3870967741932</v>
      </c>
      <c r="D23">
        <f t="shared" si="19"/>
        <v>241</v>
      </c>
      <c r="E23" s="204">
        <f t="shared" si="18"/>
        <v>5185.3870967741932</v>
      </c>
      <c r="F23">
        <f t="shared" si="20"/>
        <v>241</v>
      </c>
      <c r="G23" s="204">
        <f t="shared" si="1"/>
        <v>5185.3870967741932</v>
      </c>
      <c r="H23" s="204">
        <f t="shared" si="21"/>
        <v>241</v>
      </c>
      <c r="I23" s="204">
        <f t="shared" si="2"/>
        <v>5185.3870967741932</v>
      </c>
      <c r="J23" s="204">
        <f t="shared" si="22"/>
        <v>241</v>
      </c>
      <c r="K23" s="204">
        <f t="shared" si="3"/>
        <v>5185.3870967741932</v>
      </c>
      <c r="L23" s="204">
        <f t="shared" si="23"/>
        <v>241</v>
      </c>
      <c r="M23" s="204">
        <f t="shared" si="4"/>
        <v>5185.3870967741932</v>
      </c>
      <c r="N23" s="204">
        <f t="shared" si="24"/>
        <v>241</v>
      </c>
      <c r="O23" s="204">
        <f t="shared" si="5"/>
        <v>5185.3870967741932</v>
      </c>
      <c r="P23" s="204">
        <f t="shared" si="25"/>
        <v>241</v>
      </c>
      <c r="Q23" s="204">
        <f t="shared" si="6"/>
        <v>5185.3870967741932</v>
      </c>
      <c r="R23" s="204">
        <f t="shared" si="26"/>
        <v>241</v>
      </c>
      <c r="S23" s="204">
        <f t="shared" si="7"/>
        <v>5185.3870967741932</v>
      </c>
      <c r="T23" s="204">
        <f t="shared" si="27"/>
        <v>241</v>
      </c>
      <c r="U23" s="204">
        <f t="shared" si="8"/>
        <v>5185.3870967741932</v>
      </c>
      <c r="V23" s="204">
        <f t="shared" si="28"/>
        <v>241</v>
      </c>
      <c r="W23" s="204">
        <f t="shared" si="9"/>
        <v>5185.3870967741932</v>
      </c>
      <c r="X23" s="35">
        <f t="shared" si="10"/>
        <v>0.77741935483870972</v>
      </c>
      <c r="Y23" s="36">
        <f t="shared" si="29"/>
        <v>57039.258064516136</v>
      </c>
      <c r="Z23" s="204">
        <f>'B5'!C22</f>
        <v>247</v>
      </c>
      <c r="AA23" s="204">
        <f t="shared" si="30"/>
        <v>2470</v>
      </c>
      <c r="AB23" s="204">
        <f t="shared" si="31"/>
        <v>247</v>
      </c>
      <c r="AC23" s="204">
        <f t="shared" si="30"/>
        <v>2470</v>
      </c>
      <c r="AD23" s="204">
        <f t="shared" si="32"/>
        <v>247</v>
      </c>
      <c r="AE23" s="204">
        <f t="shared" si="11"/>
        <v>2470</v>
      </c>
      <c r="AF23" s="204">
        <f t="shared" si="33"/>
        <v>247</v>
      </c>
      <c r="AG23" s="204">
        <f t="shared" si="12"/>
        <v>2470</v>
      </c>
      <c r="AH23" s="204">
        <f t="shared" si="34"/>
        <v>247</v>
      </c>
      <c r="AI23" s="204">
        <f t="shared" si="13"/>
        <v>2470</v>
      </c>
      <c r="AJ23" s="204">
        <f t="shared" si="35"/>
        <v>247</v>
      </c>
      <c r="AK23" s="204">
        <f t="shared" si="14"/>
        <v>2470</v>
      </c>
      <c r="AL23" s="204">
        <f t="shared" si="36"/>
        <v>247</v>
      </c>
      <c r="AM23" s="204">
        <f t="shared" si="15"/>
        <v>2470</v>
      </c>
      <c r="AN23" s="35">
        <f t="shared" si="16"/>
        <v>0.88214285714285712</v>
      </c>
      <c r="AO23" s="36">
        <f t="shared" si="17"/>
        <v>17290</v>
      </c>
      <c r="AQ23" s="224">
        <f t="shared" si="37"/>
        <v>0.79949723636136538</v>
      </c>
      <c r="AR23" s="38">
        <f t="shared" si="41"/>
        <v>74329.258064516136</v>
      </c>
      <c r="AS23" s="198">
        <f t="shared" si="38"/>
        <v>-613.35483870968164</v>
      </c>
      <c r="AT23" s="273"/>
      <c r="AU23" s="442"/>
      <c r="AV23" s="525">
        <f t="shared" si="42"/>
        <v>0.64</v>
      </c>
      <c r="AW23" s="293">
        <f>-SUM('B5'!AI22)</f>
        <v>-260</v>
      </c>
      <c r="AX23" s="293">
        <f t="shared" si="39"/>
        <v>-353.35483870968164</v>
      </c>
      <c r="AY23" s="37">
        <f t="shared" si="40"/>
        <v>-613.35483870968164</v>
      </c>
      <c r="AZ23" s="100">
        <f>ELEC!A20</f>
        <v>0</v>
      </c>
      <c r="BA23" s="118">
        <f>'General information '!D23</f>
        <v>11</v>
      </c>
      <c r="BB23" s="397">
        <f>SUM('General information '!E23)</f>
        <v>0.78</v>
      </c>
      <c r="BC23" s="3">
        <f t="shared" si="43"/>
        <v>0</v>
      </c>
      <c r="BD23" s="102">
        <v>19222</v>
      </c>
      <c r="BE23" s="14">
        <f>(305/1185)*ELEC!Q21</f>
        <v>412.07172995748385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238</v>
      </c>
      <c r="C24" s="204">
        <f t="shared" si="18"/>
        <v>5120.8387096774195</v>
      </c>
      <c r="D24">
        <f t="shared" si="19"/>
        <v>238</v>
      </c>
      <c r="E24" s="204">
        <f t="shared" si="18"/>
        <v>5120.8387096774195</v>
      </c>
      <c r="F24">
        <f t="shared" si="20"/>
        <v>238</v>
      </c>
      <c r="G24" s="204">
        <f t="shared" si="1"/>
        <v>5120.8387096774195</v>
      </c>
      <c r="H24" s="204">
        <f t="shared" si="21"/>
        <v>238</v>
      </c>
      <c r="I24" s="204">
        <f t="shared" si="2"/>
        <v>5120.8387096774195</v>
      </c>
      <c r="J24" s="204">
        <f t="shared" si="22"/>
        <v>238</v>
      </c>
      <c r="K24" s="204">
        <f t="shared" si="3"/>
        <v>5120.8387096774195</v>
      </c>
      <c r="L24" s="204">
        <f t="shared" si="23"/>
        <v>238</v>
      </c>
      <c r="M24" s="204">
        <f t="shared" si="4"/>
        <v>5120.8387096774195</v>
      </c>
      <c r="N24" s="204">
        <f t="shared" si="24"/>
        <v>238</v>
      </c>
      <c r="O24" s="204">
        <f t="shared" si="5"/>
        <v>5120.8387096774195</v>
      </c>
      <c r="P24" s="204">
        <f t="shared" si="25"/>
        <v>238</v>
      </c>
      <c r="Q24" s="204">
        <f t="shared" si="6"/>
        <v>5120.8387096774195</v>
      </c>
      <c r="R24" s="204">
        <f t="shared" si="26"/>
        <v>238</v>
      </c>
      <c r="S24" s="204">
        <f t="shared" si="7"/>
        <v>5120.8387096774195</v>
      </c>
      <c r="T24" s="204">
        <f t="shared" si="27"/>
        <v>238</v>
      </c>
      <c r="U24" s="204">
        <f t="shared" si="8"/>
        <v>5120.8387096774195</v>
      </c>
      <c r="V24" s="204">
        <f t="shared" si="28"/>
        <v>238</v>
      </c>
      <c r="W24" s="204">
        <f t="shared" si="9"/>
        <v>5120.8387096774195</v>
      </c>
      <c r="X24" s="35">
        <f t="shared" si="10"/>
        <v>0.76774193548387093</v>
      </c>
      <c r="Y24" s="36">
        <f t="shared" si="29"/>
        <v>56329.225806451606</v>
      </c>
      <c r="Z24" s="204">
        <f>'B5'!C23</f>
        <v>244</v>
      </c>
      <c r="AA24" s="204">
        <f t="shared" si="30"/>
        <v>2440</v>
      </c>
      <c r="AB24" s="204">
        <f t="shared" si="31"/>
        <v>244</v>
      </c>
      <c r="AC24" s="204">
        <f t="shared" si="30"/>
        <v>2440</v>
      </c>
      <c r="AD24" s="204">
        <f t="shared" si="32"/>
        <v>244</v>
      </c>
      <c r="AE24" s="204">
        <f t="shared" si="11"/>
        <v>2440</v>
      </c>
      <c r="AF24" s="204">
        <f t="shared" si="33"/>
        <v>244</v>
      </c>
      <c r="AG24" s="204">
        <f t="shared" si="12"/>
        <v>2440</v>
      </c>
      <c r="AH24" s="204">
        <f t="shared" si="34"/>
        <v>244</v>
      </c>
      <c r="AI24" s="204">
        <f t="shared" si="13"/>
        <v>2440</v>
      </c>
      <c r="AJ24" s="204">
        <f t="shared" si="35"/>
        <v>244</v>
      </c>
      <c r="AK24" s="204">
        <f t="shared" si="14"/>
        <v>2440</v>
      </c>
      <c r="AL24" s="204">
        <f t="shared" si="36"/>
        <v>244</v>
      </c>
      <c r="AM24" s="204">
        <f t="shared" si="15"/>
        <v>2440</v>
      </c>
      <c r="AN24" s="35">
        <f t="shared" si="16"/>
        <v>0.87142857142857144</v>
      </c>
      <c r="AO24" s="36">
        <f t="shared" si="17"/>
        <v>17080</v>
      </c>
      <c r="AQ24" s="224">
        <f t="shared" si="37"/>
        <v>0.78960122412016354</v>
      </c>
      <c r="AR24" s="38">
        <f t="shared" si="41"/>
        <v>73409.225806451606</v>
      </c>
      <c r="AS24" s="198">
        <f t="shared" si="38"/>
        <v>-920.03225806452974</v>
      </c>
      <c r="AT24" s="273"/>
      <c r="AU24" s="442"/>
      <c r="AV24" s="525">
        <f t="shared" si="42"/>
        <v>0.64</v>
      </c>
      <c r="AW24" s="293">
        <f>-SUM('B5'!AI23)</f>
        <v>-231</v>
      </c>
      <c r="AX24" s="293">
        <f t="shared" si="39"/>
        <v>-689.03225806452974</v>
      </c>
      <c r="AY24" s="37">
        <f t="shared" si="40"/>
        <v>-920.03225806452974</v>
      </c>
      <c r="AZ24" s="100">
        <f>ELEC!A21</f>
        <v>0</v>
      </c>
      <c r="BA24" s="118">
        <f>'General information '!D24</f>
        <v>13.5</v>
      </c>
      <c r="BB24" s="397">
        <f>SUM('General information '!E24)</f>
        <v>0.69</v>
      </c>
      <c r="BC24" s="3">
        <f t="shared" si="43"/>
        <v>0</v>
      </c>
      <c r="BD24" s="102">
        <v>19222</v>
      </c>
      <c r="BE24" s="14">
        <f>(305/1185)*ELEC!Q22</f>
        <v>934.30379746861672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233</v>
      </c>
      <c r="C25" s="204">
        <f t="shared" si="18"/>
        <v>5013.2580645161288</v>
      </c>
      <c r="D25">
        <f t="shared" si="19"/>
        <v>233</v>
      </c>
      <c r="E25" s="204">
        <f t="shared" si="18"/>
        <v>5013.2580645161288</v>
      </c>
      <c r="F25">
        <f t="shared" si="20"/>
        <v>233</v>
      </c>
      <c r="G25" s="204">
        <f t="shared" si="1"/>
        <v>5013.2580645161288</v>
      </c>
      <c r="H25" s="204">
        <f t="shared" si="21"/>
        <v>233</v>
      </c>
      <c r="I25" s="204">
        <f t="shared" si="2"/>
        <v>5013.2580645161288</v>
      </c>
      <c r="J25" s="204">
        <f t="shared" si="22"/>
        <v>233</v>
      </c>
      <c r="K25" s="204">
        <f t="shared" si="3"/>
        <v>5013.2580645161288</v>
      </c>
      <c r="L25" s="204">
        <f t="shared" si="23"/>
        <v>233</v>
      </c>
      <c r="M25" s="204">
        <f t="shared" si="4"/>
        <v>5013.2580645161288</v>
      </c>
      <c r="N25" s="204">
        <f t="shared" si="24"/>
        <v>233</v>
      </c>
      <c r="O25" s="204">
        <f t="shared" si="5"/>
        <v>5013.2580645161288</v>
      </c>
      <c r="P25" s="204">
        <f t="shared" si="25"/>
        <v>233</v>
      </c>
      <c r="Q25" s="204">
        <f t="shared" si="6"/>
        <v>5013.2580645161288</v>
      </c>
      <c r="R25" s="204">
        <f t="shared" si="26"/>
        <v>233</v>
      </c>
      <c r="S25" s="204">
        <f t="shared" si="7"/>
        <v>5013.2580645161288</v>
      </c>
      <c r="T25" s="204">
        <f t="shared" si="27"/>
        <v>233</v>
      </c>
      <c r="U25" s="204">
        <f t="shared" si="8"/>
        <v>5013.2580645161288</v>
      </c>
      <c r="V25" s="204">
        <f t="shared" si="28"/>
        <v>233</v>
      </c>
      <c r="W25" s="204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4">
        <f>'B5'!C24</f>
        <v>239</v>
      </c>
      <c r="AA25" s="204">
        <f t="shared" si="30"/>
        <v>2390</v>
      </c>
      <c r="AB25" s="204">
        <f t="shared" si="31"/>
        <v>239</v>
      </c>
      <c r="AC25" s="204">
        <f t="shared" si="30"/>
        <v>2390</v>
      </c>
      <c r="AD25" s="204">
        <f t="shared" si="32"/>
        <v>239</v>
      </c>
      <c r="AE25" s="204">
        <f t="shared" si="11"/>
        <v>2390</v>
      </c>
      <c r="AF25" s="204">
        <f t="shared" si="33"/>
        <v>239</v>
      </c>
      <c r="AG25" s="204">
        <f t="shared" si="12"/>
        <v>2390</v>
      </c>
      <c r="AH25" s="204">
        <f t="shared" si="34"/>
        <v>239</v>
      </c>
      <c r="AI25" s="204">
        <f t="shared" si="13"/>
        <v>2390</v>
      </c>
      <c r="AJ25" s="204">
        <f t="shared" si="35"/>
        <v>239</v>
      </c>
      <c r="AK25" s="204">
        <f t="shared" si="14"/>
        <v>2390</v>
      </c>
      <c r="AL25" s="204">
        <f t="shared" si="36"/>
        <v>239</v>
      </c>
      <c r="AM25" s="204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4">
        <f t="shared" si="37"/>
        <v>0.77310787038482764</v>
      </c>
      <c r="AR25" s="38">
        <f t="shared" si="41"/>
        <v>71875.838709677424</v>
      </c>
      <c r="AS25" s="198">
        <f t="shared" si="38"/>
        <v>-1533.3870967741823</v>
      </c>
      <c r="AT25" s="273"/>
      <c r="AU25" s="442"/>
      <c r="AV25" s="525">
        <f t="shared" si="42"/>
        <v>0.64</v>
      </c>
      <c r="AW25" s="293">
        <f>-SUM('B5'!AI24)</f>
        <v>-300</v>
      </c>
      <c r="AX25" s="293">
        <f t="shared" si="39"/>
        <v>-1233.3870967741823</v>
      </c>
      <c r="AY25" s="37">
        <f t="shared" si="40"/>
        <v>-1533.3870967741823</v>
      </c>
      <c r="AZ25" s="100">
        <f>ELEC!A22</f>
        <v>0</v>
      </c>
      <c r="BA25" s="118">
        <f>'General information '!D25</f>
        <v>13.5</v>
      </c>
      <c r="BB25" s="397">
        <f>SUM('General information '!E25)</f>
        <v>0.75</v>
      </c>
      <c r="BC25" s="3">
        <f t="shared" si="43"/>
        <v>0</v>
      </c>
      <c r="BD25" s="102">
        <v>19222</v>
      </c>
      <c r="BE25" s="14">
        <f>(305/1185)*ELEC!Q23</f>
        <v>258.67088607621156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230</v>
      </c>
      <c r="C26" s="204">
        <f t="shared" si="18"/>
        <v>4948.7096774193551</v>
      </c>
      <c r="D26">
        <f t="shared" si="19"/>
        <v>230</v>
      </c>
      <c r="E26" s="204">
        <f t="shared" si="18"/>
        <v>4948.7096774193551</v>
      </c>
      <c r="F26">
        <f t="shared" si="20"/>
        <v>230</v>
      </c>
      <c r="G26" s="204">
        <f t="shared" si="1"/>
        <v>4948.7096774193551</v>
      </c>
      <c r="H26" s="204">
        <f t="shared" si="21"/>
        <v>230</v>
      </c>
      <c r="I26" s="204">
        <f t="shared" si="2"/>
        <v>4948.7096774193551</v>
      </c>
      <c r="J26" s="204">
        <f t="shared" si="22"/>
        <v>230</v>
      </c>
      <c r="K26" s="204">
        <f t="shared" si="3"/>
        <v>4948.7096774193551</v>
      </c>
      <c r="L26" s="204">
        <f t="shared" si="23"/>
        <v>230</v>
      </c>
      <c r="M26" s="204">
        <f t="shared" si="4"/>
        <v>4948.7096774193551</v>
      </c>
      <c r="N26" s="204">
        <f t="shared" si="24"/>
        <v>230</v>
      </c>
      <c r="O26" s="204">
        <f t="shared" si="5"/>
        <v>4948.7096774193551</v>
      </c>
      <c r="P26" s="204">
        <f t="shared" si="25"/>
        <v>230</v>
      </c>
      <c r="Q26" s="204">
        <f t="shared" si="6"/>
        <v>4948.7096774193551</v>
      </c>
      <c r="R26" s="204">
        <f t="shared" si="26"/>
        <v>230</v>
      </c>
      <c r="S26" s="204">
        <f t="shared" si="7"/>
        <v>4948.7096774193551</v>
      </c>
      <c r="T26" s="204">
        <f t="shared" si="27"/>
        <v>230</v>
      </c>
      <c r="U26" s="204">
        <f t="shared" si="8"/>
        <v>4948.7096774193551</v>
      </c>
      <c r="V26" s="204">
        <f t="shared" si="28"/>
        <v>230</v>
      </c>
      <c r="W26" s="204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4">
        <f>'B5'!C25</f>
        <v>236.2</v>
      </c>
      <c r="AA26" s="204">
        <f t="shared" si="30"/>
        <v>2362</v>
      </c>
      <c r="AB26" s="204">
        <f t="shared" si="31"/>
        <v>236.2</v>
      </c>
      <c r="AC26" s="204">
        <f t="shared" si="30"/>
        <v>2362</v>
      </c>
      <c r="AD26" s="204">
        <f t="shared" si="32"/>
        <v>236.2</v>
      </c>
      <c r="AE26" s="204">
        <f t="shared" si="11"/>
        <v>2362</v>
      </c>
      <c r="AF26" s="204">
        <f t="shared" si="33"/>
        <v>236.2</v>
      </c>
      <c r="AG26" s="204">
        <f t="shared" si="12"/>
        <v>2362</v>
      </c>
      <c r="AH26" s="204">
        <f t="shared" si="34"/>
        <v>236.2</v>
      </c>
      <c r="AI26" s="204">
        <f t="shared" si="13"/>
        <v>2362</v>
      </c>
      <c r="AJ26" s="204">
        <f t="shared" si="35"/>
        <v>236.2</v>
      </c>
      <c r="AK26" s="204">
        <f t="shared" si="14"/>
        <v>2362</v>
      </c>
      <c r="AL26" s="204">
        <f t="shared" si="36"/>
        <v>236.2</v>
      </c>
      <c r="AM26" s="204">
        <f t="shared" si="15"/>
        <v>2362</v>
      </c>
      <c r="AN26" s="35">
        <f t="shared" si="16"/>
        <v>0.84357142857142853</v>
      </c>
      <c r="AO26" s="36">
        <f t="shared" si="17"/>
        <v>16534</v>
      </c>
      <c r="AQ26" s="224">
        <f t="shared" si="37"/>
        <v>0.76336244435423162</v>
      </c>
      <c r="AR26" s="38">
        <f t="shared" si="41"/>
        <v>70969.806451612909</v>
      </c>
      <c r="AS26" s="198">
        <f t="shared" si="38"/>
        <v>-906.03225806451519</v>
      </c>
      <c r="AT26" s="273"/>
      <c r="AU26" s="498"/>
      <c r="AV26" s="525">
        <f t="shared" si="42"/>
        <v>0.64</v>
      </c>
      <c r="AW26" s="293">
        <f>-SUM('B5'!AI25)</f>
        <v>-297</v>
      </c>
      <c r="AX26" s="293">
        <f t="shared" si="39"/>
        <v>-609.03225806451519</v>
      </c>
      <c r="AY26" s="37">
        <f t="shared" si="40"/>
        <v>-906.03225806451519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230</v>
      </c>
      <c r="C27" s="204">
        <f t="shared" si="18"/>
        <v>4948.7096774193551</v>
      </c>
      <c r="D27">
        <f t="shared" si="19"/>
        <v>230</v>
      </c>
      <c r="E27" s="204">
        <f t="shared" si="18"/>
        <v>4948.7096774193551</v>
      </c>
      <c r="F27">
        <f t="shared" si="20"/>
        <v>230</v>
      </c>
      <c r="G27" s="204">
        <f t="shared" si="1"/>
        <v>4948.7096774193551</v>
      </c>
      <c r="H27" s="204">
        <f t="shared" si="21"/>
        <v>230</v>
      </c>
      <c r="I27" s="204">
        <f t="shared" si="2"/>
        <v>4948.7096774193551</v>
      </c>
      <c r="J27" s="204">
        <f t="shared" si="22"/>
        <v>230</v>
      </c>
      <c r="K27" s="204">
        <f t="shared" si="3"/>
        <v>4948.7096774193551</v>
      </c>
      <c r="L27" s="204">
        <f t="shared" si="23"/>
        <v>230</v>
      </c>
      <c r="M27" s="204">
        <f t="shared" si="4"/>
        <v>4948.7096774193551</v>
      </c>
      <c r="N27" s="204">
        <f t="shared" si="24"/>
        <v>230</v>
      </c>
      <c r="O27" s="204">
        <f t="shared" si="5"/>
        <v>4948.7096774193551</v>
      </c>
      <c r="P27" s="204">
        <f t="shared" si="25"/>
        <v>230</v>
      </c>
      <c r="Q27" s="204">
        <f t="shared" si="6"/>
        <v>4948.7096774193551</v>
      </c>
      <c r="R27" s="204">
        <f t="shared" si="26"/>
        <v>230</v>
      </c>
      <c r="S27" s="204">
        <f t="shared" si="7"/>
        <v>4948.7096774193551</v>
      </c>
      <c r="T27" s="204">
        <f t="shared" si="27"/>
        <v>230</v>
      </c>
      <c r="U27" s="204">
        <f t="shared" si="8"/>
        <v>4948.7096774193551</v>
      </c>
      <c r="V27" s="204">
        <f t="shared" si="28"/>
        <v>230</v>
      </c>
      <c r="W27" s="204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4">
        <f>'B5'!C26</f>
        <v>236.2</v>
      </c>
      <c r="AA27" s="204">
        <f t="shared" si="30"/>
        <v>2362</v>
      </c>
      <c r="AB27" s="204">
        <f t="shared" si="31"/>
        <v>236.2</v>
      </c>
      <c r="AC27" s="204">
        <f t="shared" si="30"/>
        <v>2362</v>
      </c>
      <c r="AD27" s="204">
        <f t="shared" si="32"/>
        <v>236.2</v>
      </c>
      <c r="AE27" s="204">
        <f t="shared" si="11"/>
        <v>2362</v>
      </c>
      <c r="AF27" s="204">
        <f t="shared" si="33"/>
        <v>236.2</v>
      </c>
      <c r="AG27" s="204">
        <f t="shared" si="12"/>
        <v>2362</v>
      </c>
      <c r="AH27" s="204">
        <f t="shared" si="34"/>
        <v>236.2</v>
      </c>
      <c r="AI27" s="204">
        <f t="shared" si="13"/>
        <v>2362</v>
      </c>
      <c r="AJ27" s="204">
        <f t="shared" si="35"/>
        <v>236.2</v>
      </c>
      <c r="AK27" s="204">
        <f t="shared" si="14"/>
        <v>2362</v>
      </c>
      <c r="AL27" s="204">
        <f t="shared" si="36"/>
        <v>236.2</v>
      </c>
      <c r="AM27" s="204">
        <f t="shared" si="15"/>
        <v>2362</v>
      </c>
      <c r="AN27" s="35">
        <f t="shared" si="16"/>
        <v>0.84357142857142853</v>
      </c>
      <c r="AO27" s="36">
        <f t="shared" si="17"/>
        <v>16534</v>
      </c>
      <c r="AQ27" s="224">
        <f t="shared" si="37"/>
        <v>0.76336244435423162</v>
      </c>
      <c r="AR27" s="38">
        <f t="shared" si="41"/>
        <v>70969.806451612909</v>
      </c>
      <c r="AS27" s="198">
        <f t="shared" si="38"/>
        <v>0</v>
      </c>
      <c r="AT27" s="273"/>
      <c r="AU27" s="442"/>
      <c r="AV27" s="525">
        <f t="shared" si="42"/>
        <v>0.64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236.2</v>
      </c>
      <c r="AA28" s="204">
        <f t="shared" si="30"/>
        <v>2362</v>
      </c>
      <c r="AB28" s="204">
        <f t="shared" si="31"/>
        <v>236.2</v>
      </c>
      <c r="AC28" s="204">
        <f t="shared" si="30"/>
        <v>2362</v>
      </c>
      <c r="AD28" s="204">
        <f t="shared" si="32"/>
        <v>236.2</v>
      </c>
      <c r="AE28" s="204">
        <f t="shared" si="11"/>
        <v>2362</v>
      </c>
      <c r="AF28" s="204">
        <f t="shared" si="33"/>
        <v>236.2</v>
      </c>
      <c r="AG28" s="204">
        <f t="shared" si="12"/>
        <v>2362</v>
      </c>
      <c r="AH28" s="204">
        <f t="shared" si="34"/>
        <v>236.2</v>
      </c>
      <c r="AI28" s="204">
        <f t="shared" si="13"/>
        <v>2362</v>
      </c>
      <c r="AJ28" s="204">
        <f t="shared" si="35"/>
        <v>236.2</v>
      </c>
      <c r="AK28" s="204">
        <f t="shared" si="14"/>
        <v>2362</v>
      </c>
      <c r="AL28" s="204">
        <f t="shared" si="36"/>
        <v>236.2</v>
      </c>
      <c r="AM28" s="204">
        <f t="shared" si="15"/>
        <v>2362</v>
      </c>
      <c r="AN28" s="35">
        <f t="shared" si="16"/>
        <v>0.84357142857142853</v>
      </c>
      <c r="AO28" s="36">
        <f t="shared" si="17"/>
        <v>16534</v>
      </c>
      <c r="AQ28" s="224">
        <f t="shared" si="37"/>
        <v>0.76336244435423162</v>
      </c>
      <c r="AR28" s="38">
        <f t="shared" si="41"/>
        <v>70969.806451612909</v>
      </c>
      <c r="AS28" s="198">
        <f t="shared" si="38"/>
        <v>0</v>
      </c>
      <c r="AT28" s="358"/>
      <c r="AU28" s="442"/>
      <c r="AV28" s="525">
        <f t="shared" si="42"/>
        <v>0.64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230</v>
      </c>
      <c r="C29" s="204">
        <f t="shared" si="18"/>
        <v>4948.7096774193551</v>
      </c>
      <c r="D29">
        <f t="shared" si="19"/>
        <v>230</v>
      </c>
      <c r="E29" s="204">
        <f t="shared" si="18"/>
        <v>4948.7096774193551</v>
      </c>
      <c r="F29">
        <f t="shared" si="20"/>
        <v>230</v>
      </c>
      <c r="G29" s="204">
        <f t="shared" si="1"/>
        <v>4948.7096774193551</v>
      </c>
      <c r="H29" s="204">
        <f t="shared" si="21"/>
        <v>230</v>
      </c>
      <c r="I29" s="204">
        <f t="shared" si="2"/>
        <v>4948.7096774193551</v>
      </c>
      <c r="J29" s="204">
        <f t="shared" si="22"/>
        <v>230</v>
      </c>
      <c r="K29" s="204">
        <f t="shared" si="3"/>
        <v>4948.7096774193551</v>
      </c>
      <c r="L29" s="204">
        <f t="shared" si="23"/>
        <v>230</v>
      </c>
      <c r="M29" s="204">
        <f t="shared" si="4"/>
        <v>4948.7096774193551</v>
      </c>
      <c r="N29" s="204">
        <f t="shared" si="24"/>
        <v>230</v>
      </c>
      <c r="O29" s="204">
        <f t="shared" si="5"/>
        <v>4948.7096774193551</v>
      </c>
      <c r="P29" s="204">
        <f t="shared" si="25"/>
        <v>230</v>
      </c>
      <c r="Q29" s="204">
        <f t="shared" si="6"/>
        <v>4948.7096774193551</v>
      </c>
      <c r="R29" s="204">
        <f t="shared" si="26"/>
        <v>230</v>
      </c>
      <c r="S29" s="204">
        <f t="shared" si="7"/>
        <v>4948.7096774193551</v>
      </c>
      <c r="T29" s="204">
        <f t="shared" si="27"/>
        <v>230</v>
      </c>
      <c r="U29" s="204">
        <f t="shared" si="8"/>
        <v>4948.7096774193551</v>
      </c>
      <c r="V29" s="204">
        <f t="shared" si="28"/>
        <v>230</v>
      </c>
      <c r="W29" s="204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4">
        <f>'B5'!C28</f>
        <v>236.2</v>
      </c>
      <c r="AA29" s="204">
        <f t="shared" si="30"/>
        <v>2362</v>
      </c>
      <c r="AB29" s="204">
        <f t="shared" si="31"/>
        <v>236.2</v>
      </c>
      <c r="AC29" s="204">
        <f t="shared" si="30"/>
        <v>2362</v>
      </c>
      <c r="AD29" s="204">
        <f t="shared" si="32"/>
        <v>236.2</v>
      </c>
      <c r="AE29" s="204">
        <f t="shared" si="11"/>
        <v>2362</v>
      </c>
      <c r="AF29" s="204">
        <f t="shared" si="33"/>
        <v>236.2</v>
      </c>
      <c r="AG29" s="204">
        <f t="shared" si="12"/>
        <v>2362</v>
      </c>
      <c r="AH29" s="204">
        <f t="shared" si="34"/>
        <v>236.2</v>
      </c>
      <c r="AI29" s="204">
        <f t="shared" si="13"/>
        <v>2362</v>
      </c>
      <c r="AJ29" s="204">
        <f t="shared" si="35"/>
        <v>236.2</v>
      </c>
      <c r="AK29" s="204">
        <f t="shared" si="14"/>
        <v>2362</v>
      </c>
      <c r="AL29" s="204">
        <f t="shared" si="36"/>
        <v>236.2</v>
      </c>
      <c r="AM29" s="204">
        <f t="shared" si="15"/>
        <v>2362</v>
      </c>
      <c r="AN29" s="35">
        <f t="shared" si="16"/>
        <v>0.84357142857142853</v>
      </c>
      <c r="AO29" s="36">
        <f t="shared" si="17"/>
        <v>16534</v>
      </c>
      <c r="AQ29" s="224">
        <f t="shared" si="37"/>
        <v>0.76336244435423162</v>
      </c>
      <c r="AR29" s="38">
        <f t="shared" si="41"/>
        <v>70969.806451612909</v>
      </c>
      <c r="AS29" s="198">
        <f t="shared" si="38"/>
        <v>0</v>
      </c>
      <c r="AT29" s="358"/>
      <c r="AU29" s="442"/>
      <c r="AV29" s="525">
        <f t="shared" si="42"/>
        <v>0.64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230</v>
      </c>
      <c r="C30" s="204">
        <f t="shared" si="18"/>
        <v>4948.7096774193551</v>
      </c>
      <c r="D30">
        <f t="shared" ref="D30:D35" si="44">SUM(B30)</f>
        <v>230</v>
      </c>
      <c r="E30" s="204">
        <f t="shared" si="18"/>
        <v>4948.7096774193551</v>
      </c>
      <c r="F30">
        <f t="shared" ref="F30:F35" si="45">SUM(D30)</f>
        <v>230</v>
      </c>
      <c r="G30" s="204">
        <f t="shared" si="1"/>
        <v>4948.7096774193551</v>
      </c>
      <c r="H30" s="204">
        <f t="shared" ref="H30:H35" si="46">SUM(F30)</f>
        <v>230</v>
      </c>
      <c r="I30" s="204">
        <f t="shared" si="2"/>
        <v>4948.7096774193551</v>
      </c>
      <c r="J30" s="204">
        <f t="shared" ref="J30:J35" si="47">SUM(H30)</f>
        <v>230</v>
      </c>
      <c r="K30" s="204">
        <f t="shared" si="3"/>
        <v>4948.7096774193551</v>
      </c>
      <c r="L30" s="204">
        <f t="shared" ref="L30:L35" si="48">SUM(J30)</f>
        <v>230</v>
      </c>
      <c r="M30" s="204">
        <f t="shared" si="4"/>
        <v>4948.7096774193551</v>
      </c>
      <c r="N30" s="204">
        <f t="shared" ref="N30:N35" si="49">SUM(L30)</f>
        <v>230</v>
      </c>
      <c r="O30" s="204">
        <f t="shared" si="5"/>
        <v>4948.7096774193551</v>
      </c>
      <c r="P30" s="204">
        <f t="shared" ref="P30:P35" si="50">SUM(N30)</f>
        <v>230</v>
      </c>
      <c r="Q30" s="204">
        <f t="shared" si="6"/>
        <v>4948.7096774193551</v>
      </c>
      <c r="R30" s="204">
        <f t="shared" ref="R30:R35" si="51">SUM(P30)</f>
        <v>230</v>
      </c>
      <c r="S30" s="204">
        <f t="shared" si="7"/>
        <v>4948.7096774193551</v>
      </c>
      <c r="T30" s="204">
        <f t="shared" ref="T30:T35" si="52">SUM(R30)</f>
        <v>230</v>
      </c>
      <c r="U30" s="204">
        <f t="shared" si="8"/>
        <v>4948.7096774193551</v>
      </c>
      <c r="V30" s="204">
        <f t="shared" ref="V30:V35" si="53">SUM(T30)</f>
        <v>230</v>
      </c>
      <c r="W30" s="204">
        <f t="shared" si="9"/>
        <v>4948.7096774193551</v>
      </c>
      <c r="X30" s="35">
        <f t="shared" ref="X30:X35" si="54">SUM(Y30/73370)</f>
        <v>0.74193548387096786</v>
      </c>
      <c r="Y30" s="36">
        <f t="shared" ref="Y30:Y35" si="55">SUM(C30+E30+G30+I30+K30+M30+O30+Q30+S30+U30+W30)</f>
        <v>54435.806451612909</v>
      </c>
      <c r="Z30" s="204">
        <f>'B5'!C29</f>
        <v>236.2</v>
      </c>
      <c r="AA30" s="204">
        <f t="shared" si="30"/>
        <v>2362</v>
      </c>
      <c r="AB30" s="204">
        <f t="shared" ref="AB30:AB35" si="56">SUM(Z30)</f>
        <v>236.2</v>
      </c>
      <c r="AC30" s="204">
        <f t="shared" si="30"/>
        <v>2362</v>
      </c>
      <c r="AD30" s="204">
        <f t="shared" ref="AD30:AD35" si="57">SUM(AB30)</f>
        <v>236.2</v>
      </c>
      <c r="AE30" s="204">
        <f t="shared" si="11"/>
        <v>2362</v>
      </c>
      <c r="AF30" s="204">
        <f t="shared" ref="AF30:AF35" si="58">SUM(AD30)</f>
        <v>236.2</v>
      </c>
      <c r="AG30" s="204">
        <f t="shared" si="12"/>
        <v>2362</v>
      </c>
      <c r="AH30" s="204">
        <f t="shared" ref="AH30:AH35" si="59">SUM(AF30)</f>
        <v>236.2</v>
      </c>
      <c r="AI30" s="204">
        <f t="shared" si="13"/>
        <v>2362</v>
      </c>
      <c r="AJ30" s="204">
        <f t="shared" ref="AJ30:AJ35" si="60">SUM(AH30)</f>
        <v>236.2</v>
      </c>
      <c r="AK30" s="204">
        <f t="shared" si="14"/>
        <v>2362</v>
      </c>
      <c r="AL30" s="204">
        <f t="shared" ref="AL30:AL35" si="61">SUM(AJ30)</f>
        <v>236.2</v>
      </c>
      <c r="AM30" s="204">
        <f t="shared" si="15"/>
        <v>2362</v>
      </c>
      <c r="AN30" s="35">
        <f t="shared" ref="AN30:AN35" si="62">SUM(AO30/19600)</f>
        <v>0.84357142857142853</v>
      </c>
      <c r="AO30" s="36">
        <f t="shared" ref="AO30:AO35" si="63">SUM(AA30+AC30+AE30+AG30+AI30+AK30+AM30)</f>
        <v>16534</v>
      </c>
      <c r="AQ30" s="224">
        <f t="shared" si="37"/>
        <v>0.76336244435423162</v>
      </c>
      <c r="AR30" s="38">
        <f t="shared" si="41"/>
        <v>70969.806451612909</v>
      </c>
      <c r="AS30" s="198">
        <f t="shared" si="38"/>
        <v>0</v>
      </c>
      <c r="AT30" s="358"/>
      <c r="AU30" s="442"/>
      <c r="AV30" s="525">
        <f t="shared" si="42"/>
        <v>0.64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230</v>
      </c>
      <c r="C31" s="204">
        <f t="shared" si="18"/>
        <v>4948.7096774193551</v>
      </c>
      <c r="D31">
        <f t="shared" si="44"/>
        <v>230</v>
      </c>
      <c r="E31" s="204">
        <f t="shared" si="18"/>
        <v>4948.7096774193551</v>
      </c>
      <c r="F31">
        <f t="shared" si="45"/>
        <v>230</v>
      </c>
      <c r="G31" s="204">
        <f t="shared" si="1"/>
        <v>4948.7096774193551</v>
      </c>
      <c r="H31" s="204">
        <f t="shared" si="46"/>
        <v>230</v>
      </c>
      <c r="I31" s="204">
        <f t="shared" si="2"/>
        <v>4948.7096774193551</v>
      </c>
      <c r="J31" s="204">
        <f t="shared" si="47"/>
        <v>230</v>
      </c>
      <c r="K31" s="204">
        <f t="shared" si="3"/>
        <v>4948.7096774193551</v>
      </c>
      <c r="L31" s="204">
        <f t="shared" si="48"/>
        <v>230</v>
      </c>
      <c r="M31" s="204">
        <f t="shared" si="4"/>
        <v>4948.7096774193551</v>
      </c>
      <c r="N31" s="204">
        <f t="shared" si="49"/>
        <v>230</v>
      </c>
      <c r="O31" s="204">
        <f t="shared" si="5"/>
        <v>4948.7096774193551</v>
      </c>
      <c r="P31" s="204">
        <f t="shared" si="50"/>
        <v>230</v>
      </c>
      <c r="Q31" s="204">
        <f t="shared" si="6"/>
        <v>4948.7096774193551</v>
      </c>
      <c r="R31" s="204">
        <f t="shared" si="51"/>
        <v>230</v>
      </c>
      <c r="S31" s="204">
        <f t="shared" si="7"/>
        <v>4948.7096774193551</v>
      </c>
      <c r="T31" s="204">
        <f t="shared" si="52"/>
        <v>230</v>
      </c>
      <c r="U31" s="204">
        <f t="shared" si="8"/>
        <v>4948.7096774193551</v>
      </c>
      <c r="V31" s="204">
        <f t="shared" si="53"/>
        <v>230</v>
      </c>
      <c r="W31" s="204">
        <f t="shared" si="9"/>
        <v>4948.7096774193551</v>
      </c>
      <c r="X31" s="35">
        <f t="shared" si="54"/>
        <v>0.74193548387096786</v>
      </c>
      <c r="Y31" s="36">
        <f t="shared" si="55"/>
        <v>54435.806451612909</v>
      </c>
      <c r="Z31" s="204">
        <f>'B5'!C30</f>
        <v>236.2</v>
      </c>
      <c r="AA31" s="204">
        <f t="shared" si="30"/>
        <v>2362</v>
      </c>
      <c r="AB31" s="204">
        <f t="shared" si="56"/>
        <v>236.2</v>
      </c>
      <c r="AC31" s="204">
        <f t="shared" si="30"/>
        <v>2362</v>
      </c>
      <c r="AD31" s="204">
        <f t="shared" si="57"/>
        <v>236.2</v>
      </c>
      <c r="AE31" s="204">
        <f t="shared" si="11"/>
        <v>2362</v>
      </c>
      <c r="AF31" s="204">
        <f t="shared" si="58"/>
        <v>236.2</v>
      </c>
      <c r="AG31" s="204">
        <f t="shared" si="12"/>
        <v>2362</v>
      </c>
      <c r="AH31" s="204">
        <f t="shared" si="59"/>
        <v>236.2</v>
      </c>
      <c r="AI31" s="204">
        <f t="shared" si="13"/>
        <v>2362</v>
      </c>
      <c r="AJ31" s="204">
        <f t="shared" si="60"/>
        <v>236.2</v>
      </c>
      <c r="AK31" s="204">
        <f t="shared" si="14"/>
        <v>2362</v>
      </c>
      <c r="AL31" s="204">
        <f t="shared" si="61"/>
        <v>236.2</v>
      </c>
      <c r="AM31" s="204">
        <f t="shared" si="15"/>
        <v>2362</v>
      </c>
      <c r="AN31" s="35">
        <f t="shared" si="62"/>
        <v>0.84357142857142853</v>
      </c>
      <c r="AO31" s="36">
        <f t="shared" si="63"/>
        <v>16534</v>
      </c>
      <c r="AQ31" s="224">
        <f t="shared" si="37"/>
        <v>0.76336244435423162</v>
      </c>
      <c r="AR31" s="38">
        <f t="shared" si="41"/>
        <v>70969.806451612909</v>
      </c>
      <c r="AS31" s="198">
        <f>SUM(AR31-AR30-AT31)</f>
        <v>0</v>
      </c>
      <c r="AT31" s="358"/>
      <c r="AU31" s="442"/>
      <c r="AV31" s="525">
        <f t="shared" si="42"/>
        <v>0.64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230</v>
      </c>
      <c r="C32" s="204">
        <f t="shared" si="18"/>
        <v>4948.7096774193551</v>
      </c>
      <c r="D32">
        <f t="shared" si="44"/>
        <v>230</v>
      </c>
      <c r="E32" s="204">
        <f t="shared" si="18"/>
        <v>4948.7096774193551</v>
      </c>
      <c r="F32">
        <f t="shared" si="45"/>
        <v>230</v>
      </c>
      <c r="G32" s="204">
        <f t="shared" si="1"/>
        <v>4948.7096774193551</v>
      </c>
      <c r="H32" s="204">
        <f t="shared" si="46"/>
        <v>230</v>
      </c>
      <c r="I32" s="204">
        <f t="shared" si="2"/>
        <v>4948.7096774193551</v>
      </c>
      <c r="J32" s="204">
        <f t="shared" si="47"/>
        <v>230</v>
      </c>
      <c r="K32" s="204">
        <f t="shared" si="3"/>
        <v>4948.7096774193551</v>
      </c>
      <c r="L32" s="204">
        <f t="shared" si="48"/>
        <v>230</v>
      </c>
      <c r="M32" s="204">
        <f t="shared" si="4"/>
        <v>4948.7096774193551</v>
      </c>
      <c r="N32" s="204">
        <f t="shared" si="49"/>
        <v>230</v>
      </c>
      <c r="O32" s="204">
        <f t="shared" si="5"/>
        <v>4948.7096774193551</v>
      </c>
      <c r="P32" s="204">
        <f t="shared" si="50"/>
        <v>230</v>
      </c>
      <c r="Q32" s="204">
        <f t="shared" si="6"/>
        <v>4948.7096774193551</v>
      </c>
      <c r="R32" s="204">
        <f t="shared" si="51"/>
        <v>230</v>
      </c>
      <c r="S32" s="204">
        <f t="shared" si="7"/>
        <v>4948.7096774193551</v>
      </c>
      <c r="T32" s="204">
        <f t="shared" si="52"/>
        <v>230</v>
      </c>
      <c r="U32" s="204">
        <f t="shared" si="8"/>
        <v>4948.7096774193551</v>
      </c>
      <c r="V32" s="204">
        <f t="shared" si="53"/>
        <v>230</v>
      </c>
      <c r="W32" s="204">
        <f t="shared" si="9"/>
        <v>4948.7096774193551</v>
      </c>
      <c r="X32" s="35">
        <f t="shared" si="54"/>
        <v>0.74193548387096786</v>
      </c>
      <c r="Y32" s="36">
        <f t="shared" si="55"/>
        <v>54435.806451612909</v>
      </c>
      <c r="Z32" s="204">
        <f>'B5'!C31</f>
        <v>236.2</v>
      </c>
      <c r="AA32" s="204">
        <f t="shared" si="30"/>
        <v>2362</v>
      </c>
      <c r="AB32" s="204">
        <f t="shared" si="56"/>
        <v>236.2</v>
      </c>
      <c r="AC32" s="204">
        <f t="shared" si="30"/>
        <v>2362</v>
      </c>
      <c r="AD32" s="204">
        <f t="shared" si="57"/>
        <v>236.2</v>
      </c>
      <c r="AE32" s="204">
        <f t="shared" si="11"/>
        <v>2362</v>
      </c>
      <c r="AF32" s="204">
        <f t="shared" si="58"/>
        <v>236.2</v>
      </c>
      <c r="AG32" s="204">
        <f t="shared" si="12"/>
        <v>2362</v>
      </c>
      <c r="AH32" s="204">
        <f t="shared" si="59"/>
        <v>236.2</v>
      </c>
      <c r="AI32" s="204">
        <f t="shared" si="13"/>
        <v>2362</v>
      </c>
      <c r="AJ32" s="204">
        <f t="shared" si="60"/>
        <v>236.2</v>
      </c>
      <c r="AK32" s="204">
        <f t="shared" si="14"/>
        <v>2362</v>
      </c>
      <c r="AL32" s="204">
        <f t="shared" si="61"/>
        <v>236.2</v>
      </c>
      <c r="AM32" s="204">
        <f t="shared" si="15"/>
        <v>2362</v>
      </c>
      <c r="AN32" s="35">
        <f t="shared" si="62"/>
        <v>0.84357142857142853</v>
      </c>
      <c r="AO32" s="36">
        <f t="shared" si="63"/>
        <v>16534</v>
      </c>
      <c r="AQ32" s="224">
        <f t="shared" si="37"/>
        <v>0.76336244435423162</v>
      </c>
      <c r="AR32" s="38">
        <f t="shared" si="41"/>
        <v>70969.806451612909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230</v>
      </c>
      <c r="C33" s="204">
        <f t="shared" si="18"/>
        <v>4948.7096774193551</v>
      </c>
      <c r="D33">
        <f t="shared" si="44"/>
        <v>230</v>
      </c>
      <c r="E33" s="204">
        <f t="shared" si="18"/>
        <v>4948.7096774193551</v>
      </c>
      <c r="F33">
        <f t="shared" si="45"/>
        <v>230</v>
      </c>
      <c r="G33" s="204">
        <f t="shared" si="1"/>
        <v>4948.7096774193551</v>
      </c>
      <c r="H33" s="204">
        <f t="shared" si="46"/>
        <v>230</v>
      </c>
      <c r="I33" s="204">
        <f t="shared" si="2"/>
        <v>4948.7096774193551</v>
      </c>
      <c r="J33" s="204">
        <f t="shared" si="47"/>
        <v>230</v>
      </c>
      <c r="K33" s="204">
        <f t="shared" si="3"/>
        <v>4948.7096774193551</v>
      </c>
      <c r="L33" s="204">
        <f t="shared" si="48"/>
        <v>230</v>
      </c>
      <c r="M33" s="204">
        <f t="shared" si="4"/>
        <v>4948.7096774193551</v>
      </c>
      <c r="N33" s="204">
        <f t="shared" si="49"/>
        <v>230</v>
      </c>
      <c r="O33" s="204">
        <f t="shared" si="5"/>
        <v>4948.7096774193551</v>
      </c>
      <c r="P33" s="204">
        <f t="shared" si="50"/>
        <v>230</v>
      </c>
      <c r="Q33" s="204">
        <f t="shared" si="6"/>
        <v>4948.7096774193551</v>
      </c>
      <c r="R33" s="204">
        <f t="shared" si="51"/>
        <v>230</v>
      </c>
      <c r="S33" s="204">
        <f t="shared" si="7"/>
        <v>4948.7096774193551</v>
      </c>
      <c r="T33" s="204">
        <f t="shared" si="52"/>
        <v>230</v>
      </c>
      <c r="U33" s="204">
        <f t="shared" si="8"/>
        <v>4948.7096774193551</v>
      </c>
      <c r="V33" s="204">
        <f t="shared" si="53"/>
        <v>230</v>
      </c>
      <c r="W33" s="204">
        <f t="shared" si="9"/>
        <v>4948.7096774193551</v>
      </c>
      <c r="X33" s="35">
        <f t="shared" si="54"/>
        <v>0.74193548387096786</v>
      </c>
      <c r="Y33" s="36">
        <f t="shared" si="55"/>
        <v>54435.806451612909</v>
      </c>
      <c r="Z33" s="204">
        <f>'B5'!C32</f>
        <v>236.2</v>
      </c>
      <c r="AA33" s="204">
        <f t="shared" si="30"/>
        <v>2362</v>
      </c>
      <c r="AB33" s="204">
        <f t="shared" si="56"/>
        <v>236.2</v>
      </c>
      <c r="AC33" s="204">
        <f t="shared" si="30"/>
        <v>2362</v>
      </c>
      <c r="AD33" s="204">
        <f t="shared" si="57"/>
        <v>236.2</v>
      </c>
      <c r="AE33" s="204">
        <f t="shared" si="11"/>
        <v>2362</v>
      </c>
      <c r="AF33" s="204">
        <f t="shared" si="58"/>
        <v>236.2</v>
      </c>
      <c r="AG33" s="204">
        <f t="shared" si="12"/>
        <v>2362</v>
      </c>
      <c r="AH33" s="204">
        <f t="shared" si="59"/>
        <v>236.2</v>
      </c>
      <c r="AI33" s="204">
        <f t="shared" si="13"/>
        <v>2362</v>
      </c>
      <c r="AJ33" s="204">
        <f t="shared" si="60"/>
        <v>236.2</v>
      </c>
      <c r="AK33" s="204">
        <f t="shared" si="14"/>
        <v>2362</v>
      </c>
      <c r="AL33" s="204">
        <f t="shared" si="61"/>
        <v>236.2</v>
      </c>
      <c r="AM33" s="204">
        <f t="shared" si="15"/>
        <v>2362</v>
      </c>
      <c r="AN33" s="35">
        <f t="shared" si="62"/>
        <v>0.84357142857142853</v>
      </c>
      <c r="AO33" s="36">
        <f t="shared" si="63"/>
        <v>16534</v>
      </c>
      <c r="AQ33" s="224">
        <f t="shared" si="37"/>
        <v>0.76336244435423162</v>
      </c>
      <c r="AR33" s="38">
        <f t="shared" si="41"/>
        <v>70969.806451612909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230</v>
      </c>
      <c r="C34" s="204">
        <f t="shared" si="18"/>
        <v>4948.7096774193551</v>
      </c>
      <c r="D34">
        <f t="shared" si="44"/>
        <v>230</v>
      </c>
      <c r="E34" s="204">
        <f t="shared" si="18"/>
        <v>4948.7096774193551</v>
      </c>
      <c r="F34">
        <f t="shared" si="45"/>
        <v>230</v>
      </c>
      <c r="G34" s="204">
        <f t="shared" si="1"/>
        <v>4948.7096774193551</v>
      </c>
      <c r="H34" s="204">
        <f t="shared" si="46"/>
        <v>230</v>
      </c>
      <c r="I34" s="204">
        <f t="shared" si="2"/>
        <v>4948.7096774193551</v>
      </c>
      <c r="J34" s="204">
        <f t="shared" si="47"/>
        <v>230</v>
      </c>
      <c r="K34" s="204">
        <f t="shared" si="3"/>
        <v>4948.7096774193551</v>
      </c>
      <c r="L34" s="204">
        <f t="shared" si="48"/>
        <v>230</v>
      </c>
      <c r="M34" s="204">
        <f t="shared" si="4"/>
        <v>4948.7096774193551</v>
      </c>
      <c r="N34" s="204">
        <f t="shared" si="49"/>
        <v>230</v>
      </c>
      <c r="O34" s="204">
        <f t="shared" si="5"/>
        <v>4948.7096774193551</v>
      </c>
      <c r="P34" s="204">
        <f t="shared" si="50"/>
        <v>230</v>
      </c>
      <c r="Q34" s="204">
        <f t="shared" si="6"/>
        <v>4948.7096774193551</v>
      </c>
      <c r="R34" s="204">
        <f t="shared" si="51"/>
        <v>230</v>
      </c>
      <c r="S34" s="204">
        <f t="shared" si="7"/>
        <v>4948.7096774193551</v>
      </c>
      <c r="T34" s="204">
        <f t="shared" si="52"/>
        <v>230</v>
      </c>
      <c r="U34" s="204">
        <f t="shared" si="8"/>
        <v>4948.7096774193551</v>
      </c>
      <c r="V34" s="204">
        <f t="shared" si="53"/>
        <v>230</v>
      </c>
      <c r="W34" s="204">
        <f t="shared" si="9"/>
        <v>4948.7096774193551</v>
      </c>
      <c r="X34" s="35">
        <f t="shared" si="54"/>
        <v>0.74193548387096786</v>
      </c>
      <c r="Y34" s="36">
        <f t="shared" si="55"/>
        <v>54435.806451612909</v>
      </c>
      <c r="Z34" s="204">
        <f>'B5'!C33</f>
        <v>236.2</v>
      </c>
      <c r="AA34" s="204">
        <f t="shared" si="30"/>
        <v>2362</v>
      </c>
      <c r="AB34" s="204">
        <f t="shared" si="56"/>
        <v>236.2</v>
      </c>
      <c r="AC34" s="204">
        <f t="shared" si="30"/>
        <v>2362</v>
      </c>
      <c r="AD34" s="204">
        <f t="shared" si="57"/>
        <v>236.2</v>
      </c>
      <c r="AE34" s="204">
        <f t="shared" si="11"/>
        <v>2362</v>
      </c>
      <c r="AF34" s="204">
        <f t="shared" si="58"/>
        <v>236.2</v>
      </c>
      <c r="AG34" s="204">
        <f t="shared" si="12"/>
        <v>2362</v>
      </c>
      <c r="AH34" s="204">
        <f t="shared" si="59"/>
        <v>236.2</v>
      </c>
      <c r="AI34" s="204">
        <f t="shared" si="13"/>
        <v>2362</v>
      </c>
      <c r="AJ34" s="204">
        <f t="shared" si="60"/>
        <v>236.2</v>
      </c>
      <c r="AK34" s="204">
        <f t="shared" si="14"/>
        <v>2362</v>
      </c>
      <c r="AL34" s="204">
        <f t="shared" si="61"/>
        <v>236.2</v>
      </c>
      <c r="AM34" s="204">
        <f t="shared" si="15"/>
        <v>2362</v>
      </c>
      <c r="AN34" s="35">
        <f t="shared" si="62"/>
        <v>0.84357142857142853</v>
      </c>
      <c r="AO34" s="36">
        <f t="shared" si="63"/>
        <v>16534</v>
      </c>
      <c r="AQ34" s="224">
        <f>SUM(AR34/92970)</f>
        <v>0.76336244435423162</v>
      </c>
      <c r="AR34" s="38">
        <f t="shared" si="41"/>
        <v>70969.806451612909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230</v>
      </c>
      <c r="C35" s="204">
        <f t="shared" si="18"/>
        <v>4948.7096774193551</v>
      </c>
      <c r="D35">
        <f t="shared" si="44"/>
        <v>230</v>
      </c>
      <c r="E35" s="204">
        <f t="shared" si="18"/>
        <v>4948.7096774193551</v>
      </c>
      <c r="F35">
        <f t="shared" si="45"/>
        <v>230</v>
      </c>
      <c r="G35" s="204">
        <f t="shared" si="1"/>
        <v>4948.7096774193551</v>
      </c>
      <c r="H35" s="204">
        <f t="shared" si="46"/>
        <v>230</v>
      </c>
      <c r="I35" s="204">
        <f t="shared" si="2"/>
        <v>4948.7096774193551</v>
      </c>
      <c r="J35" s="204">
        <f t="shared" si="47"/>
        <v>230</v>
      </c>
      <c r="K35" s="204">
        <f t="shared" si="3"/>
        <v>4948.7096774193551</v>
      </c>
      <c r="L35" s="204">
        <f t="shared" si="48"/>
        <v>230</v>
      </c>
      <c r="M35" s="204">
        <f t="shared" si="4"/>
        <v>4948.7096774193551</v>
      </c>
      <c r="N35" s="204">
        <f t="shared" si="49"/>
        <v>230</v>
      </c>
      <c r="O35" s="204">
        <f t="shared" si="5"/>
        <v>4948.7096774193551</v>
      </c>
      <c r="P35" s="204">
        <f t="shared" si="50"/>
        <v>230</v>
      </c>
      <c r="Q35" s="204">
        <f t="shared" si="6"/>
        <v>4948.7096774193551</v>
      </c>
      <c r="R35" s="204">
        <f t="shared" si="51"/>
        <v>230</v>
      </c>
      <c r="S35" s="204">
        <f t="shared" si="7"/>
        <v>4948.7096774193551</v>
      </c>
      <c r="T35" s="204">
        <f t="shared" si="52"/>
        <v>230</v>
      </c>
      <c r="U35" s="204">
        <f t="shared" si="8"/>
        <v>4948.7096774193551</v>
      </c>
      <c r="V35" s="204">
        <f t="shared" si="53"/>
        <v>230</v>
      </c>
      <c r="W35" s="204">
        <f t="shared" si="9"/>
        <v>4948.7096774193551</v>
      </c>
      <c r="X35" s="35">
        <f t="shared" si="54"/>
        <v>0.74193548387096786</v>
      </c>
      <c r="Y35" s="36">
        <f t="shared" si="55"/>
        <v>54435.806451612909</v>
      </c>
      <c r="Z35" s="204">
        <f>'B5'!C34</f>
        <v>236.2</v>
      </c>
      <c r="AA35" s="204">
        <f t="shared" si="30"/>
        <v>2362</v>
      </c>
      <c r="AB35" s="204">
        <f t="shared" si="56"/>
        <v>236.2</v>
      </c>
      <c r="AC35" s="204">
        <f t="shared" si="30"/>
        <v>2362</v>
      </c>
      <c r="AD35" s="204">
        <f t="shared" si="57"/>
        <v>236.2</v>
      </c>
      <c r="AE35" s="204">
        <f t="shared" si="11"/>
        <v>2362</v>
      </c>
      <c r="AF35" s="204">
        <f t="shared" si="58"/>
        <v>236.2</v>
      </c>
      <c r="AG35" s="204">
        <f t="shared" si="12"/>
        <v>2362</v>
      </c>
      <c r="AH35" s="204">
        <f t="shared" si="59"/>
        <v>236.2</v>
      </c>
      <c r="AI35" s="204">
        <f t="shared" si="13"/>
        <v>2362</v>
      </c>
      <c r="AJ35" s="204">
        <f t="shared" si="60"/>
        <v>236.2</v>
      </c>
      <c r="AK35" s="204">
        <f t="shared" si="14"/>
        <v>2362</v>
      </c>
      <c r="AL35" s="204">
        <f t="shared" si="61"/>
        <v>236.2</v>
      </c>
      <c r="AM35" s="204">
        <f t="shared" si="15"/>
        <v>2362</v>
      </c>
      <c r="AN35" s="35">
        <f t="shared" si="62"/>
        <v>0.84357142857142853</v>
      </c>
      <c r="AO35" s="36">
        <f t="shared" si="63"/>
        <v>16534</v>
      </c>
      <c r="AQ35" s="224">
        <f>SUM(AR35/92970)</f>
        <v>0.76336244435423162</v>
      </c>
      <c r="AR35" s="38">
        <f t="shared" si="41"/>
        <v>70969.806451612909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230</v>
      </c>
      <c r="C36" s="204">
        <f t="shared" ref="C36" si="64">B36*$B$4</f>
        <v>4948.7096774193551</v>
      </c>
      <c r="D36">
        <f t="shared" ref="D36" si="65">SUM(B36)</f>
        <v>230</v>
      </c>
      <c r="E36" s="204">
        <f t="shared" ref="E36" si="66">D36*$B$4</f>
        <v>4948.7096774193551</v>
      </c>
      <c r="F36">
        <f t="shared" ref="F36" si="67">SUM(D36)</f>
        <v>230</v>
      </c>
      <c r="G36" s="204">
        <f t="shared" ref="G36" si="68">F36*$B$4</f>
        <v>4948.7096774193551</v>
      </c>
      <c r="H36" s="204">
        <f t="shared" ref="H36" si="69">SUM(F36)</f>
        <v>230</v>
      </c>
      <c r="I36" s="204">
        <f t="shared" ref="I36" si="70">H36*$B$4</f>
        <v>4948.7096774193551</v>
      </c>
      <c r="J36" s="204">
        <f t="shared" ref="J36" si="71">SUM(H36)</f>
        <v>230</v>
      </c>
      <c r="K36" s="204">
        <f t="shared" ref="K36" si="72">J36*$B$4</f>
        <v>4948.7096774193551</v>
      </c>
      <c r="L36" s="204">
        <f t="shared" ref="L36" si="73">SUM(J36)</f>
        <v>230</v>
      </c>
      <c r="M36" s="204">
        <f t="shared" ref="M36" si="74">L36*$B$4</f>
        <v>4948.7096774193551</v>
      </c>
      <c r="N36" s="204">
        <f t="shared" ref="N36" si="75">SUM(L36)</f>
        <v>230</v>
      </c>
      <c r="O36" s="204">
        <f t="shared" ref="O36" si="76">N36*$B$4</f>
        <v>4948.7096774193551</v>
      </c>
      <c r="P36" s="204">
        <f t="shared" ref="P36" si="77">SUM(N36)</f>
        <v>230</v>
      </c>
      <c r="Q36" s="204">
        <f t="shared" ref="Q36" si="78">P36*$B$4</f>
        <v>4948.7096774193551</v>
      </c>
      <c r="R36" s="204">
        <f t="shared" ref="R36" si="79">SUM(P36)</f>
        <v>230</v>
      </c>
      <c r="S36" s="204">
        <f t="shared" ref="S36" si="80">R36*$B$4</f>
        <v>4948.7096774193551</v>
      </c>
      <c r="T36" s="204">
        <f t="shared" ref="T36" si="81">SUM(R36)</f>
        <v>230</v>
      </c>
      <c r="U36" s="204">
        <f t="shared" ref="U36" si="82">T36*$B$4</f>
        <v>4948.7096774193551</v>
      </c>
      <c r="V36" s="204">
        <f t="shared" ref="V36" si="83">SUM(T36)</f>
        <v>230</v>
      </c>
      <c r="W36" s="204">
        <f t="shared" ref="W36" si="84">V36*$B$4</f>
        <v>4948.7096774193551</v>
      </c>
      <c r="X36" s="35">
        <f t="shared" ref="X36" si="85">SUM(Y36/73370)</f>
        <v>0.74193548387096786</v>
      </c>
      <c r="Y36" s="36">
        <f t="shared" ref="Y36" si="86">SUM(C36+E36+G36+I36+K36+M36+O36+Q36+S36+U36+W36)</f>
        <v>54435.806451612909</v>
      </c>
      <c r="Z36" s="204">
        <f>'B5'!C35</f>
        <v>236.2</v>
      </c>
      <c r="AA36" s="204">
        <f t="shared" ref="AA36" si="87">SUM(Z36*$Z$4)</f>
        <v>2362</v>
      </c>
      <c r="AB36" s="204">
        <f t="shared" ref="AB36" si="88">SUM(Z36)</f>
        <v>236.2</v>
      </c>
      <c r="AC36" s="204">
        <f t="shared" ref="AC36" si="89">SUM(AB36*$Z$4)</f>
        <v>2362</v>
      </c>
      <c r="AD36" s="204">
        <f t="shared" ref="AD36" si="90">SUM(AB36)</f>
        <v>236.2</v>
      </c>
      <c r="AE36" s="204">
        <f t="shared" ref="AE36" si="91">SUM(AD36*$Z$4)</f>
        <v>2362</v>
      </c>
      <c r="AF36" s="204">
        <f t="shared" ref="AF36" si="92">SUM(AD36)</f>
        <v>236.2</v>
      </c>
      <c r="AG36" s="204">
        <f t="shared" ref="AG36" si="93">SUM(AF36*$Z$4)</f>
        <v>2362</v>
      </c>
      <c r="AH36" s="204">
        <f t="shared" ref="AH36" si="94">SUM(AF36)</f>
        <v>236.2</v>
      </c>
      <c r="AI36" s="204">
        <f t="shared" ref="AI36" si="95">SUM(AH36*$Z$4)</f>
        <v>2362</v>
      </c>
      <c r="AJ36" s="204">
        <f t="shared" ref="AJ36" si="96">SUM(AH36)</f>
        <v>236.2</v>
      </c>
      <c r="AK36" s="204">
        <f t="shared" ref="AK36" si="97">SUM(AJ36*$Z$4)</f>
        <v>2362</v>
      </c>
      <c r="AL36" s="204">
        <f t="shared" ref="AL36" si="98">SUM(AJ36)</f>
        <v>236.2</v>
      </c>
      <c r="AM36" s="204">
        <f t="shared" ref="AM36" si="99">SUM(AL36*$Z$4)</f>
        <v>2362</v>
      </c>
      <c r="AN36" s="35">
        <f t="shared" ref="AN36" si="100">SUM(AO36/19600)</f>
        <v>0.84357142857142853</v>
      </c>
      <c r="AO36" s="36">
        <f t="shared" ref="AO36" si="101">SUM(AA36+AC36+AE36+AG36+AI36+AK36+AM36)</f>
        <v>16534</v>
      </c>
      <c r="AQ36" s="224">
        <f>SUM(AR36/92970)</f>
        <v>0.76336244435423162</v>
      </c>
      <c r="AR36" s="38">
        <f t="shared" si="41"/>
        <v>70969.806451612909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-13482.983870967757</v>
      </c>
      <c r="AY37" s="204">
        <f>SUM(AY6:AY35)</f>
        <v>-18481.483870967757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-880.07066052227412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7" priority="4" stopIfTrue="1" operator="greaterThan">
      <formula>0</formula>
    </cfRule>
  </conditionalFormatting>
  <conditionalFormatting sqref="AT6:AU36">
    <cfRule type="cellIs" dxfId="6" priority="2" stopIfTrue="1" operator="greaterThan">
      <formula>0</formula>
    </cfRule>
  </conditionalFormatting>
  <conditionalFormatting sqref="AT19:AU19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7278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1</v>
      </c>
      <c r="B18" s="3">
        <f>ELEC!AF19</f>
        <v>293</v>
      </c>
      <c r="C18" s="3">
        <f>ELEC!N19</f>
        <v>5078.6000000000931</v>
      </c>
      <c r="D18" s="3">
        <f t="shared" si="0"/>
        <v>4116.6000000005588</v>
      </c>
      <c r="E18" s="3">
        <f>ELEC!Q19</f>
        <v>961.99999999953434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-209.10000000000002</v>
      </c>
      <c r="J18" s="9">
        <f>'B5'!A20</f>
        <v>44212</v>
      </c>
    </row>
    <row r="19" spans="1:10">
      <c r="A19" s="3">
        <f>ELEC!T20+ELEC!X20+ELEC!AB20</f>
        <v>3</v>
      </c>
      <c r="B19" s="3">
        <f>ELEC!AF20</f>
        <v>395</v>
      </c>
      <c r="C19" s="3">
        <f>ELEC!N20</f>
        <v>5935.6000000000931</v>
      </c>
      <c r="D19" s="3">
        <f t="shared" si="0"/>
        <v>4106.5999999985506</v>
      </c>
      <c r="E19" s="3">
        <f>ELEC!Q20</f>
        <v>1829.0000000015425</v>
      </c>
      <c r="F19" s="3">
        <f>GEN!Z19</f>
        <v>1.6000000000003638</v>
      </c>
      <c r="G19" s="3">
        <f>WATER!C22+WATER!H22</f>
        <v>0</v>
      </c>
      <c r="H19" s="3">
        <f>WATER!L22</f>
        <v>0</v>
      </c>
      <c r="I19" s="15">
        <f>WATER!BC22+WATER!BD22+WATER!BE23-Sheet1!G19</f>
        <v>56.400000000000006</v>
      </c>
      <c r="J19" s="9">
        <f>'B5'!A21</f>
        <v>44213</v>
      </c>
    </row>
    <row r="20" spans="1:10">
      <c r="A20" s="3">
        <f>ELEC!T21+ELEC!X21+ELEC!AB21</f>
        <v>2</v>
      </c>
      <c r="B20" s="3">
        <f>ELEC!AF21</f>
        <v>317</v>
      </c>
      <c r="C20" s="3">
        <f>ELEC!N21</f>
        <v>6442</v>
      </c>
      <c r="D20" s="3">
        <f t="shared" si="0"/>
        <v>4841.0000000012515</v>
      </c>
      <c r="E20" s="3">
        <f>ELEC!Q21</f>
        <v>1600.9999999987485</v>
      </c>
      <c r="F20" s="3">
        <f>GEN!Z20</f>
        <v>2.5</v>
      </c>
      <c r="G20" s="3">
        <f>WATER!C23+WATER!H23</f>
        <v>170</v>
      </c>
      <c r="H20" s="3">
        <f>WATER!L23</f>
        <v>0</v>
      </c>
      <c r="I20" s="15">
        <f>WATER!BC23+WATER!BD23+WATER!BE24-Sheet1!G20</f>
        <v>-93.20000000000006</v>
      </c>
      <c r="J20" s="9">
        <f>'B5'!A22</f>
        <v>44214</v>
      </c>
    </row>
    <row r="21" spans="1:10">
      <c r="A21" s="3">
        <f>ELEC!T22+ELEC!X22+ELEC!AB22</f>
        <v>5</v>
      </c>
      <c r="B21" s="3">
        <f>ELEC!AF22</f>
        <v>542</v>
      </c>
      <c r="C21" s="3">
        <f>ELEC!N22</f>
        <v>6354</v>
      </c>
      <c r="D21" s="3">
        <f t="shared" si="0"/>
        <v>2723.9999999989814</v>
      </c>
      <c r="E21" s="3">
        <f>ELEC!Q22</f>
        <v>3630.0000000010186</v>
      </c>
      <c r="F21" s="3">
        <f>GEN!Z21</f>
        <v>4</v>
      </c>
      <c r="G21" s="3">
        <f>WATER!C24+WATER!H24</f>
        <v>0</v>
      </c>
      <c r="H21" s="3">
        <f>WATER!L24</f>
        <v>0</v>
      </c>
      <c r="I21" s="15">
        <f>WATER!BC24+WATER!BD24+WATER!BE25-Sheet1!G21</f>
        <v>52.799999999999983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4914.7999999998137</v>
      </c>
      <c r="D22" s="3">
        <f t="shared" si="0"/>
        <v>3909.7999999987951</v>
      </c>
      <c r="E22" s="3">
        <f>ELEC!Q23</f>
        <v>1005.0000000010186</v>
      </c>
      <c r="F22" s="3">
        <f>GEN!Z22</f>
        <v>8</v>
      </c>
      <c r="G22" s="3">
        <f>WATER!C25+WATER!H25</f>
        <v>0</v>
      </c>
      <c r="H22" s="3">
        <f>WATER!L25</f>
        <v>0</v>
      </c>
      <c r="I22" s="15">
        <f>WATER!BC25+WATER!BD25+WATER!BE26-Sheet1!G22</f>
        <v>11.300000000000068</v>
      </c>
      <c r="J22" s="9">
        <f>'B5'!A24</f>
        <v>44216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1.8999999999996362</v>
      </c>
      <c r="G23" s="3">
        <f>WATER!C26+WATER!H26</f>
        <v>0</v>
      </c>
      <c r="H23" s="3">
        <f>WATER!L26</f>
        <v>0</v>
      </c>
      <c r="I23" s="15">
        <f>WATER!BC26+WATER!BD26+WATER!BE27-Sheet1!G23</f>
        <v>-9.0999999999999375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5"/>
      <c r="B1" s="652" t="s">
        <v>119</v>
      </c>
      <c r="C1" s="652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60" t="s">
        <v>115</v>
      </c>
      <c r="I1" s="661" t="s">
        <v>116</v>
      </c>
      <c r="J1" s="660" t="s">
        <v>117</v>
      </c>
      <c r="K1" s="654" t="s">
        <v>121</v>
      </c>
      <c r="L1" s="654" t="s">
        <v>122</v>
      </c>
      <c r="M1" s="654" t="s">
        <v>123</v>
      </c>
      <c r="N1" s="654" t="s">
        <v>124</v>
      </c>
    </row>
    <row r="2" spans="1:14">
      <c r="A2" s="656"/>
      <c r="B2" s="653"/>
      <c r="C2" s="653"/>
      <c r="D2" s="657"/>
      <c r="E2" s="657"/>
      <c r="F2" s="658"/>
      <c r="G2" s="659"/>
      <c r="H2" s="660"/>
      <c r="I2" s="662"/>
      <c r="J2" s="660"/>
      <c r="K2" s="654"/>
      <c r="L2" s="654"/>
      <c r="M2" s="654"/>
      <c r="N2" s="65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238</v>
      </c>
      <c r="C21" s="76">
        <f>'B5'!AH21</f>
        <v>0</v>
      </c>
      <c r="D21" s="76">
        <f>GEN!AI19</f>
        <v>247.60337552730633</v>
      </c>
      <c r="E21" s="244">
        <f t="shared" si="0"/>
        <v>485.6033755273063</v>
      </c>
      <c r="F21" s="75">
        <f>WATER!L21</f>
        <v>1</v>
      </c>
      <c r="G21" s="78">
        <f>WATER!BG21</f>
        <v>156.09999999999997</v>
      </c>
      <c r="H21" s="79">
        <f>ELEC!AF19</f>
        <v>293</v>
      </c>
      <c r="I21" s="79">
        <f>ELEC!Q19</f>
        <v>961.99999999953434</v>
      </c>
      <c r="J21" s="79">
        <f>ELEC!R19</f>
        <v>4116.6000000005588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260</v>
      </c>
      <c r="C22" s="76">
        <f>'B5'!AH22</f>
        <v>0</v>
      </c>
      <c r="D22" s="76">
        <f>GEN!AI20</f>
        <v>470.75527426200046</v>
      </c>
      <c r="E22" s="244">
        <f t="shared" si="0"/>
        <v>730.75527426200051</v>
      </c>
      <c r="F22" s="75">
        <f>WATER!L22</f>
        <v>0</v>
      </c>
      <c r="G22" s="78">
        <f>WATER!BG22</f>
        <v>-11.399999999999963</v>
      </c>
      <c r="H22" s="79">
        <f>ELEC!AF20</f>
        <v>395</v>
      </c>
      <c r="I22" s="79">
        <f>ELEC!Q20</f>
        <v>1829.0000000015425</v>
      </c>
      <c r="J22" s="79">
        <f>ELEC!R20</f>
        <v>4106.5999999985506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231</v>
      </c>
      <c r="C23" s="76">
        <f>'B5'!AH23</f>
        <v>0</v>
      </c>
      <c r="D23" s="76">
        <f>GEN!AI21</f>
        <v>412.07172995748385</v>
      </c>
      <c r="E23" s="244">
        <f t="shared" si="0"/>
        <v>643.07172995748385</v>
      </c>
      <c r="F23" s="75">
        <f>WATER!L23</f>
        <v>0</v>
      </c>
      <c r="G23" s="78">
        <f>WATER!BG23</f>
        <v>61.499999999999972</v>
      </c>
      <c r="H23" s="79">
        <f>ELEC!AF21</f>
        <v>317</v>
      </c>
      <c r="I23" s="79">
        <f>ELEC!Q21</f>
        <v>1600.9999999987485</v>
      </c>
      <c r="J23" s="79">
        <f>ELEC!R21</f>
        <v>4841.0000000012515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300</v>
      </c>
      <c r="C24" s="76">
        <f>'B5'!AH24</f>
        <v>0</v>
      </c>
      <c r="D24" s="76">
        <f>GEN!AI22</f>
        <v>934.30379746861672</v>
      </c>
      <c r="E24" s="244">
        <f t="shared" si="0"/>
        <v>1234.3037974686167</v>
      </c>
      <c r="F24" s="75">
        <f>WATER!L24</f>
        <v>0</v>
      </c>
      <c r="G24" s="78">
        <f>WATER!BG24</f>
        <v>-7.2000000000000313</v>
      </c>
      <c r="H24" s="79">
        <f>ELEC!AF22</f>
        <v>542</v>
      </c>
      <c r="I24" s="79">
        <f>ELEC!Q22</f>
        <v>3630.0000000010186</v>
      </c>
      <c r="J24" s="79">
        <f>ELEC!R22</f>
        <v>2723.9999999989814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297</v>
      </c>
      <c r="C25" s="76">
        <f>'B5'!AH25</f>
        <v>0</v>
      </c>
      <c r="D25" s="76">
        <f>GEN!AI23</f>
        <v>258.67088607621156</v>
      </c>
      <c r="E25" s="244">
        <f t="shared" si="0"/>
        <v>555.67088607621156</v>
      </c>
      <c r="F25" s="75">
        <f>WATER!L25</f>
        <v>0</v>
      </c>
      <c r="G25" s="78">
        <f>WATER!BG25</f>
        <v>-2.0999999999999943</v>
      </c>
      <c r="H25" s="79">
        <f>ELEC!AF23</f>
        <v>0</v>
      </c>
      <c r="I25" s="79">
        <f>ELEC!Q23</f>
        <v>1005.0000000010186</v>
      </c>
      <c r="J25" s="79">
        <f>ELEC!R23</f>
        <v>3909.7999999987951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-9.0999999999999375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abSelected="1" zoomScale="112" zoomScaleNormal="112" workbookViewId="0">
      <pane ySplit="1" topLeftCell="A14" activePane="bottomLeft" state="frozen"/>
      <selection pane="bottomLeft" activeCell="E26" sqref="E26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" thickBot="1">
      <c r="A6" s="4">
        <f>ELEC!C6</f>
        <v>44200</v>
      </c>
      <c r="B6" s="617">
        <v>9462</v>
      </c>
      <c r="C6" s="290">
        <f t="shared" si="11"/>
        <v>7</v>
      </c>
      <c r="D6" s="618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" thickBot="1">
      <c r="A19" s="4">
        <f>ELEC!C19</f>
        <v>44213</v>
      </c>
      <c r="B19" s="548">
        <v>9506.5</v>
      </c>
      <c r="C19" s="290">
        <f t="shared" si="11"/>
        <v>1.5</v>
      </c>
      <c r="D19" s="549">
        <v>303269</v>
      </c>
      <c r="E19" s="290">
        <f t="shared" si="12"/>
        <v>305.09999999997672</v>
      </c>
      <c r="F19" s="290">
        <f t="shared" si="0"/>
        <v>203.39999999998449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5">IF(J19-P19&lt;=0,"ok","oil change")</f>
        <v>ok</v>
      </c>
      <c r="R19" s="549">
        <v>11776.1</v>
      </c>
      <c r="S19" s="290">
        <f t="shared" si="5"/>
        <v>0.1000000000003638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1.6000000000003638</v>
      </c>
      <c r="AA19" s="290">
        <f t="shared" si="22"/>
        <v>305.09999999997672</v>
      </c>
      <c r="AB19" s="290">
        <f t="shared" si="23"/>
        <v>203.39999999998449</v>
      </c>
      <c r="AC19" s="290">
        <f t="shared" si="24"/>
        <v>190.68749999994208</v>
      </c>
      <c r="AD19" s="73">
        <f>ELEC!Q19</f>
        <v>961.99999999953434</v>
      </c>
      <c r="AE19" s="73">
        <f t="shared" si="26"/>
        <v>601.24999999957231</v>
      </c>
      <c r="AF19" s="406">
        <f t="shared" si="27"/>
        <v>0.37578124999973267</v>
      </c>
      <c r="AG19" s="407">
        <f t="shared" si="28"/>
        <v>120.24999999991445</v>
      </c>
      <c r="AH19" s="407">
        <f t="shared" si="25"/>
        <v>70.437500000027626</v>
      </c>
      <c r="AI19" s="73">
        <f t="shared" si="29"/>
        <v>247.60337552730633</v>
      </c>
      <c r="AJ19" s="292">
        <f t="shared" si="9"/>
        <v>0.25738396624472576</v>
      </c>
      <c r="AK19" s="292">
        <f t="shared" si="34"/>
        <v>154.75210970453128</v>
      </c>
    </row>
    <row r="20" spans="1:37" ht="15" thickBot="1">
      <c r="A20" s="4">
        <f>ELEC!C20</f>
        <v>44214</v>
      </c>
      <c r="B20" s="548">
        <v>9509</v>
      </c>
      <c r="C20" s="290">
        <f>B20-B19</f>
        <v>2.5</v>
      </c>
      <c r="D20" s="549">
        <v>303889.3</v>
      </c>
      <c r="E20" s="290">
        <f t="shared" si="12"/>
        <v>620.29999999998836</v>
      </c>
      <c r="F20" s="290">
        <f t="shared" si="0"/>
        <v>248.11999999999534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5"/>
        <v>ok</v>
      </c>
      <c r="R20" s="549">
        <f t="shared" si="18"/>
        <v>11776.1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2.5</v>
      </c>
      <c r="AA20" s="290">
        <f t="shared" si="22"/>
        <v>620.29999999998836</v>
      </c>
      <c r="AB20" s="290">
        <f t="shared" si="23"/>
        <v>248.11999999999534</v>
      </c>
      <c r="AC20" s="290">
        <f t="shared" si="24"/>
        <v>248.11999999999534</v>
      </c>
      <c r="AD20" s="73">
        <f>ELEC!Q20</f>
        <v>1829.0000000015425</v>
      </c>
      <c r="AE20" s="73">
        <f t="shared" si="26"/>
        <v>731.600000000617</v>
      </c>
      <c r="AF20" s="406">
        <f t="shared" si="27"/>
        <v>0.45725000000038563</v>
      </c>
      <c r="AG20" s="407">
        <f t="shared" si="28"/>
        <v>146.3200000001234</v>
      </c>
      <c r="AH20" s="407">
        <f t="shared" si="25"/>
        <v>101.79999999987194</v>
      </c>
      <c r="AI20" s="73">
        <f>AD20*AJ20</f>
        <v>470.75527426200046</v>
      </c>
      <c r="AJ20" s="292">
        <f t="shared" si="9"/>
        <v>0.25738396624472576</v>
      </c>
      <c r="AK20" s="292">
        <f t="shared" si="34"/>
        <v>188.30210970480019</v>
      </c>
    </row>
    <row r="21" spans="1:37" ht="15" thickBot="1">
      <c r="A21" s="4">
        <f>ELEC!C21</f>
        <v>44215</v>
      </c>
      <c r="B21" s="548">
        <v>9513</v>
      </c>
      <c r="C21" s="290">
        <f t="shared" ref="C21" si="36">B21-B20</f>
        <v>4</v>
      </c>
      <c r="D21" s="549">
        <v>304673.90000000002</v>
      </c>
      <c r="E21" s="290">
        <f t="shared" si="12"/>
        <v>784.60000000003492</v>
      </c>
      <c r="F21" s="290">
        <f t="shared" si="0"/>
        <v>196.15000000000873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5"/>
        <v>ok</v>
      </c>
      <c r="R21" s="549">
        <f t="shared" si="18"/>
        <v>11776.1</v>
      </c>
      <c r="S21" s="290">
        <f t="shared" si="5"/>
        <v>0</v>
      </c>
      <c r="T21" s="549">
        <f t="shared" si="19"/>
        <v>373729</v>
      </c>
      <c r="U21" s="290">
        <f t="shared" ref="U21:U32" si="37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784.60000000003492</v>
      </c>
      <c r="AB21" s="290">
        <f t="shared" si="23"/>
        <v>196.15000000000873</v>
      </c>
      <c r="AC21" s="290">
        <f t="shared" si="24"/>
        <v>196.15000000000873</v>
      </c>
      <c r="AD21" s="73">
        <f>ELEC!Q21</f>
        <v>1600.9999999987485</v>
      </c>
      <c r="AE21" s="73">
        <f t="shared" si="26"/>
        <v>400.24999999968713</v>
      </c>
      <c r="AF21" s="406">
        <f t="shared" si="27"/>
        <v>0.25015624999980446</v>
      </c>
      <c r="AG21" s="407">
        <f t="shared" si="28"/>
        <v>80.049999999937427</v>
      </c>
      <c r="AH21" s="407">
        <f t="shared" si="25"/>
        <v>116.1000000000713</v>
      </c>
      <c r="AI21" s="73">
        <f t="shared" si="29"/>
        <v>412.07172995748385</v>
      </c>
      <c r="AJ21" s="292">
        <f t="shared" si="9"/>
        <v>0.25738396624472576</v>
      </c>
      <c r="AK21" s="292">
        <f t="shared" si="34"/>
        <v>103.01793248937096</v>
      </c>
    </row>
    <row r="22" spans="1:37" ht="15" thickBot="1">
      <c r="A22" s="4">
        <f>ELEC!C22</f>
        <v>44216</v>
      </c>
      <c r="B22" s="548">
        <v>9521</v>
      </c>
      <c r="C22" s="290">
        <f t="shared" si="11"/>
        <v>8</v>
      </c>
      <c r="D22" s="549">
        <v>307091.20000000001</v>
      </c>
      <c r="E22" s="290">
        <f t="shared" si="12"/>
        <v>2417.2999999999884</v>
      </c>
      <c r="F22" s="290">
        <f t="shared" si="0"/>
        <v>302.16249999999854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5"/>
        <v>ok</v>
      </c>
      <c r="R22" s="549">
        <f t="shared" si="18"/>
        <v>11776.1</v>
      </c>
      <c r="S22" s="290">
        <f t="shared" si="5"/>
        <v>0</v>
      </c>
      <c r="T22" s="549">
        <f t="shared" si="19"/>
        <v>373729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8</v>
      </c>
      <c r="AA22" s="290">
        <f t="shared" si="22"/>
        <v>2417.2999999999884</v>
      </c>
      <c r="AB22" s="290">
        <f t="shared" si="23"/>
        <v>302.16249999999854</v>
      </c>
      <c r="AC22" s="290">
        <f t="shared" si="24"/>
        <v>302.16249999999854</v>
      </c>
      <c r="AD22" s="73">
        <f>ELEC!Q22</f>
        <v>3630.0000000010186</v>
      </c>
      <c r="AE22" s="73">
        <f t="shared" si="26"/>
        <v>453.75000000012733</v>
      </c>
      <c r="AF22" s="406">
        <f t="shared" si="27"/>
        <v>0.28359375000007958</v>
      </c>
      <c r="AG22" s="407">
        <f t="shared" si="28"/>
        <v>90.750000000025466</v>
      </c>
      <c r="AH22" s="407">
        <f t="shared" si="25"/>
        <v>211.41249999997308</v>
      </c>
      <c r="AI22" s="73">
        <f t="shared" si="29"/>
        <v>934.30379746861672</v>
      </c>
      <c r="AJ22" s="292">
        <f t="shared" si="9"/>
        <v>0.25738396624472576</v>
      </c>
      <c r="AK22" s="292">
        <f t="shared" si="34"/>
        <v>116.78797468357709</v>
      </c>
    </row>
    <row r="23" spans="1:37" ht="15" thickBot="1">
      <c r="A23" s="4">
        <f>ELEC!C23</f>
        <v>44217</v>
      </c>
      <c r="B23" s="548">
        <v>9523</v>
      </c>
      <c r="C23" s="290">
        <f t="shared" si="11"/>
        <v>2</v>
      </c>
      <c r="D23" s="549">
        <v>307633</v>
      </c>
      <c r="E23" s="290">
        <f t="shared" si="12"/>
        <v>541.79999999998836</v>
      </c>
      <c r="F23" s="290">
        <f t="shared" si="0"/>
        <v>270.89999999999418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5"/>
        <v>ok</v>
      </c>
      <c r="R23" s="549">
        <v>11776</v>
      </c>
      <c r="S23" s="290">
        <f t="shared" si="5"/>
        <v>-0.1000000000003638</v>
      </c>
      <c r="T23" s="549">
        <f t="shared" si="19"/>
        <v>373729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1.8999999999996362</v>
      </c>
      <c r="AA23" s="290">
        <f t="shared" si="22"/>
        <v>541.79999999998836</v>
      </c>
      <c r="AB23" s="290">
        <f t="shared" si="23"/>
        <v>270.89999999999418</v>
      </c>
      <c r="AC23" s="290">
        <f t="shared" si="24"/>
        <v>285.15789473689057</v>
      </c>
      <c r="AD23" s="73">
        <f>ELEC!Q23</f>
        <v>1005.0000000010186</v>
      </c>
      <c r="AE23" s="73">
        <f t="shared" si="26"/>
        <v>528.94736842169004</v>
      </c>
      <c r="AF23" s="406">
        <f t="shared" si="27"/>
        <v>0.33059210526355626</v>
      </c>
      <c r="AG23" s="407">
        <f t="shared" si="28"/>
        <v>105.78947368433801</v>
      </c>
      <c r="AH23" s="407">
        <f t="shared" si="25"/>
        <v>179.36842105255255</v>
      </c>
      <c r="AI23" s="73">
        <f t="shared" si="29"/>
        <v>258.67088607621156</v>
      </c>
      <c r="AJ23" s="292">
        <f t="shared" si="9"/>
        <v>0.25738396624472576</v>
      </c>
      <c r="AK23" s="292">
        <f t="shared" si="34"/>
        <v>136.14257161908478</v>
      </c>
    </row>
    <row r="24" spans="1:37" ht="15" thickBot="1">
      <c r="A24" s="4">
        <f>ELEC!C24</f>
        <v>44218</v>
      </c>
      <c r="B24" s="548">
        <f t="shared" ref="B24:B33" si="39">B23</f>
        <v>9523</v>
      </c>
      <c r="C24" s="290">
        <f t="shared" si="11"/>
        <v>0</v>
      </c>
      <c r="D24" s="549">
        <f t="shared" ref="D23:D33" si="40">D23</f>
        <v>307633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5"/>
        <v>ok</v>
      </c>
      <c r="R24" s="549">
        <f t="shared" si="18"/>
        <v>11776</v>
      </c>
      <c r="S24" s="290">
        <f t="shared" si="5"/>
        <v>0</v>
      </c>
      <c r="T24" s="549">
        <f t="shared" si="19"/>
        <v>373729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4"/>
        <v>0</v>
      </c>
    </row>
    <row r="25" spans="1:37" ht="15" thickBot="1">
      <c r="A25" s="4">
        <f>ELEC!C25</f>
        <v>44219</v>
      </c>
      <c r="B25" s="548">
        <f t="shared" si="39"/>
        <v>9523</v>
      </c>
      <c r="C25" s="290">
        <f t="shared" si="11"/>
        <v>0</v>
      </c>
      <c r="D25" s="549">
        <f t="shared" si="40"/>
        <v>307633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1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5"/>
        <v>ok</v>
      </c>
      <c r="R25" s="549">
        <f t="shared" si="18"/>
        <v>11776</v>
      </c>
      <c r="S25" s="290">
        <f t="shared" si="5"/>
        <v>0</v>
      </c>
      <c r="T25" s="549">
        <f t="shared" si="19"/>
        <v>373729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4"/>
        <v>0</v>
      </c>
    </row>
    <row r="26" spans="1:37" ht="15" thickBot="1">
      <c r="A26" s="4">
        <f>ELEC!C26</f>
        <v>44220</v>
      </c>
      <c r="B26" s="548">
        <f t="shared" si="39"/>
        <v>9523</v>
      </c>
      <c r="C26" s="290">
        <f t="shared" si="11"/>
        <v>0</v>
      </c>
      <c r="D26" s="549">
        <f t="shared" si="40"/>
        <v>307633</v>
      </c>
      <c r="E26" s="290">
        <f t="shared" si="12"/>
        <v>0</v>
      </c>
      <c r="F26" s="290">
        <f t="shared" si="0"/>
        <v>0</v>
      </c>
      <c r="G26" s="197"/>
      <c r="H26" s="291">
        <f t="shared" si="41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5"/>
        <v>ok</v>
      </c>
      <c r="R26" s="549">
        <f t="shared" si="18"/>
        <v>11776</v>
      </c>
      <c r="S26" s="290">
        <f t="shared" si="5"/>
        <v>0</v>
      </c>
      <c r="T26" s="549">
        <f t="shared" si="19"/>
        <v>373729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4"/>
        <v>0</v>
      </c>
    </row>
    <row r="27" spans="1:37" ht="15" thickBot="1">
      <c r="A27" s="4">
        <f>ELEC!C27</f>
        <v>44221</v>
      </c>
      <c r="B27" s="548">
        <f t="shared" si="39"/>
        <v>9523</v>
      </c>
      <c r="C27" s="290">
        <f t="shared" si="11"/>
        <v>0</v>
      </c>
      <c r="D27" s="549">
        <f t="shared" si="40"/>
        <v>307633</v>
      </c>
      <c r="E27" s="290">
        <f t="shared" si="12"/>
        <v>0</v>
      </c>
      <c r="F27" s="290">
        <f t="shared" si="0"/>
        <v>0</v>
      </c>
      <c r="G27" s="197"/>
      <c r="H27" s="291">
        <f t="shared" si="41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5"/>
        <v>ok</v>
      </c>
      <c r="R27" s="549">
        <f t="shared" si="18"/>
        <v>11776</v>
      </c>
      <c r="S27" s="290">
        <f t="shared" si="5"/>
        <v>0</v>
      </c>
      <c r="T27" s="549">
        <f t="shared" si="19"/>
        <v>373729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4"/>
        <v>0</v>
      </c>
    </row>
    <row r="28" spans="1:37" ht="15" thickBot="1">
      <c r="A28" s="4">
        <f>ELEC!C28</f>
        <v>44222</v>
      </c>
      <c r="B28" s="548">
        <f t="shared" si="39"/>
        <v>9523</v>
      </c>
      <c r="C28" s="290">
        <f t="shared" si="11"/>
        <v>0</v>
      </c>
      <c r="D28" s="549">
        <f t="shared" si="40"/>
        <v>307633</v>
      </c>
      <c r="E28" s="290">
        <f t="shared" si="12"/>
        <v>0</v>
      </c>
      <c r="F28" s="290">
        <f t="shared" si="0"/>
        <v>0</v>
      </c>
      <c r="G28" s="288"/>
      <c r="H28" s="291">
        <f t="shared" si="41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5"/>
        <v>ok</v>
      </c>
      <c r="R28" s="549">
        <f t="shared" si="18"/>
        <v>11776</v>
      </c>
      <c r="S28" s="290">
        <f t="shared" si="5"/>
        <v>0</v>
      </c>
      <c r="T28" s="549">
        <f t="shared" si="19"/>
        <v>373729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4"/>
        <v>0</v>
      </c>
    </row>
    <row r="29" spans="1:37" ht="15" thickBot="1">
      <c r="A29" s="4">
        <f>ELEC!C29</f>
        <v>44223</v>
      </c>
      <c r="B29" s="548">
        <f t="shared" si="39"/>
        <v>9523</v>
      </c>
      <c r="C29" s="290">
        <f t="shared" si="11"/>
        <v>0</v>
      </c>
      <c r="D29" s="549">
        <f t="shared" si="40"/>
        <v>307633</v>
      </c>
      <c r="E29" s="290">
        <f>SUM(D29-D28)</f>
        <v>0</v>
      </c>
      <c r="F29" s="290">
        <f t="shared" si="0"/>
        <v>0</v>
      </c>
      <c r="G29" s="197"/>
      <c r="H29" s="291">
        <f t="shared" si="41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5"/>
        <v>ok</v>
      </c>
      <c r="R29" s="549">
        <f t="shared" si="18"/>
        <v>11776</v>
      </c>
      <c r="S29" s="290">
        <f t="shared" si="5"/>
        <v>0</v>
      </c>
      <c r="T29" s="549">
        <f t="shared" si="19"/>
        <v>373729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" thickBot="1">
      <c r="A30" s="4">
        <f>ELEC!C30</f>
        <v>44224</v>
      </c>
      <c r="B30" s="548">
        <f t="shared" si="39"/>
        <v>9523</v>
      </c>
      <c r="C30" s="290">
        <f t="shared" si="11"/>
        <v>0</v>
      </c>
      <c r="D30" s="549">
        <f t="shared" si="40"/>
        <v>307633</v>
      </c>
      <c r="E30" s="290">
        <f t="shared" si="12"/>
        <v>0</v>
      </c>
      <c r="F30" s="290">
        <f t="shared" si="0"/>
        <v>0</v>
      </c>
      <c r="G30" s="197"/>
      <c r="H30" s="291">
        <f t="shared" si="41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5"/>
        <v>ok</v>
      </c>
      <c r="R30" s="549">
        <f t="shared" si="18"/>
        <v>11776</v>
      </c>
      <c r="S30" s="290">
        <f t="shared" si="5"/>
        <v>0</v>
      </c>
      <c r="T30" s="549">
        <f t="shared" si="19"/>
        <v>373729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" thickBot="1">
      <c r="A31" s="4">
        <f>ELEC!C31</f>
        <v>44225</v>
      </c>
      <c r="B31" s="548">
        <f t="shared" si="39"/>
        <v>9523</v>
      </c>
      <c r="C31" s="290">
        <f t="shared" si="11"/>
        <v>0</v>
      </c>
      <c r="D31" s="549">
        <f t="shared" si="40"/>
        <v>307633</v>
      </c>
      <c r="E31" s="290">
        <f t="shared" si="12"/>
        <v>0</v>
      </c>
      <c r="F31" s="290">
        <f t="shared" si="0"/>
        <v>0</v>
      </c>
      <c r="G31" s="197"/>
      <c r="H31" s="291">
        <f t="shared" si="41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5"/>
        <v>ok</v>
      </c>
      <c r="R31" s="549">
        <f t="shared" si="18"/>
        <v>11776</v>
      </c>
      <c r="S31" s="290">
        <f t="shared" si="5"/>
        <v>0</v>
      </c>
      <c r="T31" s="549">
        <f t="shared" si="19"/>
        <v>373729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" thickBot="1">
      <c r="A32" s="4">
        <f>ELEC!C32</f>
        <v>44226</v>
      </c>
      <c r="B32" s="548">
        <f t="shared" si="39"/>
        <v>9523</v>
      </c>
      <c r="C32" s="290">
        <f t="shared" si="11"/>
        <v>0</v>
      </c>
      <c r="D32" s="549">
        <f t="shared" si="40"/>
        <v>307633</v>
      </c>
      <c r="E32" s="290">
        <f t="shared" si="12"/>
        <v>0</v>
      </c>
      <c r="F32" s="290">
        <f t="shared" si="0"/>
        <v>0</v>
      </c>
      <c r="G32" s="197"/>
      <c r="H32" s="291">
        <f t="shared" si="41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5"/>
        <v>ok</v>
      </c>
      <c r="R32" s="549">
        <f t="shared" si="18"/>
        <v>11776</v>
      </c>
      <c r="S32" s="290">
        <f t="shared" si="5"/>
        <v>0</v>
      </c>
      <c r="T32" s="549">
        <f t="shared" si="19"/>
        <v>373729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9"/>
        <v>9523</v>
      </c>
      <c r="C33" s="290">
        <f t="shared" ref="C33" si="42">B33-B32</f>
        <v>0</v>
      </c>
      <c r="D33" s="549">
        <f t="shared" si="40"/>
        <v>307633</v>
      </c>
      <c r="E33" s="290">
        <f t="shared" ref="E33" si="43">SUM(D33-D32)</f>
        <v>0</v>
      </c>
      <c r="F33" s="290">
        <f t="shared" ref="F33" si="44">IF(C33&gt;0,E33/C33,0)</f>
        <v>0</v>
      </c>
      <c r="G33" s="341"/>
      <c r="H33" s="291">
        <f t="shared" si="41"/>
        <v>94679</v>
      </c>
      <c r="I33" s="290" t="str">
        <f t="shared" ref="I33" si="45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6">SUM(L33-L32)</f>
        <v>0</v>
      </c>
      <c r="N33" s="290">
        <f t="shared" ref="N33" si="47">IF(K33&gt;0,M33/K33,0)</f>
        <v>0</v>
      </c>
      <c r="O33" s="341"/>
      <c r="P33" s="291">
        <f t="shared" si="17"/>
        <v>10873</v>
      </c>
      <c r="Q33" s="290" t="str">
        <f t="shared" ref="Q33" si="48">IF(J33-P33&lt;=0,"ok","oil change")</f>
        <v>ok</v>
      </c>
      <c r="R33" s="549">
        <f t="shared" si="18"/>
        <v>11776</v>
      </c>
      <c r="S33" s="290">
        <f t="shared" ref="S33" si="49">R33-R32</f>
        <v>0</v>
      </c>
      <c r="T33" s="549">
        <f t="shared" si="19"/>
        <v>373729</v>
      </c>
      <c r="U33" s="290">
        <f t="shared" ref="U33" si="50">SUM(T33-T32)</f>
        <v>0</v>
      </c>
      <c r="V33" s="290">
        <f t="shared" ref="V33" si="51">IF(S33&gt;0,U33/S33,0)</f>
        <v>0</v>
      </c>
      <c r="W33" s="341"/>
      <c r="X33" s="291">
        <f t="shared" si="21"/>
        <v>12141</v>
      </c>
      <c r="Y33" s="290" t="str">
        <f t="shared" ref="Y33" si="52">IF(R33-X33&lt;=0,"ok","oil change")</f>
        <v>ok</v>
      </c>
      <c r="Z33" s="290">
        <f t="shared" si="8"/>
        <v>0</v>
      </c>
      <c r="AA33" s="290">
        <f t="shared" ref="AA33" si="53">U33+M33+E33</f>
        <v>0</v>
      </c>
      <c r="AB33" s="290">
        <f t="shared" ref="AB33" si="54">V33+N33+F33</f>
        <v>0</v>
      </c>
      <c r="AC33" s="290">
        <f t="shared" ref="AC33" si="55">IF(Z33&gt;0,AA33/Z33,0)</f>
        <v>0</v>
      </c>
      <c r="AD33" s="73">
        <f>ELEC!Q33</f>
        <v>0</v>
      </c>
      <c r="AE33" s="73" t="e">
        <f t="shared" ref="AE33" si="56">SUM(AD33/Z33)</f>
        <v>#DIV/0!</v>
      </c>
      <c r="AF33" s="406" t="e">
        <f t="shared" ref="AF33" si="57">SUM(AE33/1600)</f>
        <v>#DIV/0!</v>
      </c>
      <c r="AG33" s="511" t="e">
        <f t="shared" ref="AG33" si="58">SUM(320*AF33)</f>
        <v>#DIV/0!</v>
      </c>
      <c r="AH33" s="511" t="e">
        <f t="shared" ref="AH33" si="59">SUM(AC33-AG33)</f>
        <v>#DIV/0!</v>
      </c>
      <c r="AI33" s="73">
        <f t="shared" ref="AI33" si="60">AD33*AJ33</f>
        <v>0</v>
      </c>
      <c r="AJ33" s="292">
        <f t="shared" si="9"/>
        <v>0.25738396624472576</v>
      </c>
      <c r="AK33" s="292">
        <f t="shared" ref="AK33" si="61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75</v>
      </c>
      <c r="V34" s="40"/>
      <c r="X34">
        <v>341</v>
      </c>
      <c r="Z34" s="425">
        <f>SUM(Z3:Z32)</f>
        <v>75</v>
      </c>
    </row>
    <row r="35" spans="1:37">
      <c r="C35" s="40">
        <f>SUM(C3:C33)</f>
        <v>75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4" priority="11" stopIfTrue="1" operator="equal">
      <formula>0</formula>
    </cfRule>
  </conditionalFormatting>
  <conditionalFormatting sqref="AA3:AB33">
    <cfRule type="cellIs" dxfId="3" priority="4" stopIfTrue="1" operator="lessThan">
      <formula>0</formula>
    </cfRule>
  </conditionalFormatting>
  <conditionalFormatting sqref="C21">
    <cfRule type="cellIs" dxfId="2" priority="1" stopIfTrue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M1" zoomScale="80" zoomScaleNormal="80" workbookViewId="0">
      <selection activeCell="X24" sqref="X24:Z24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6" bestFit="1" customWidth="1"/>
    <col min="20" max="20" width="10.26953125" style="340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104.86657451555956</v>
      </c>
      <c r="P4" s="300">
        <f>SUM(L4:O4)</f>
        <v>386.60455129831246</v>
      </c>
      <c r="Q4" s="300">
        <f>SUM(-tanks!AX6*tanks!$AU$37)</f>
        <v>-55.248516129013154</v>
      </c>
      <c r="R4" s="300">
        <f>SUM(P4:Q4)</f>
        <v>331.35603516929928</v>
      </c>
      <c r="S4" s="302">
        <f>SUM(ELEC!N3)</f>
        <v>5839</v>
      </c>
      <c r="T4" s="339">
        <f>IF(S4&gt;0,R4/S4,0)</f>
        <v>5.6748764372204018E-2</v>
      </c>
      <c r="U4" s="252"/>
      <c r="V4" s="253" t="str">
        <f>'[5]EDl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7"/>
      <c r="AC4" s="678"/>
    </row>
    <row r="5" spans="1:32" ht="1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104.86657451555956</v>
      </c>
      <c r="P5" s="300">
        <f t="shared" ref="P5:P32" si="9">SUM(L5:O5)</f>
        <v>366.79957617393438</v>
      </c>
      <c r="Q5" s="300">
        <f>SUM(-tanks!AX7*tanks!$AU$37)</f>
        <v>801.84980645161124</v>
      </c>
      <c r="R5" s="300">
        <f t="shared" ref="R5:R32" si="10">SUM(P5:Q5)</f>
        <v>1168.6493826255455</v>
      </c>
      <c r="S5" s="302">
        <f>SUM(ELEC!N4)</f>
        <v>7390</v>
      </c>
      <c r="T5" s="339">
        <f>IF(S5&gt;0,R5/S5,0)</f>
        <v>0.15813929399533769</v>
      </c>
      <c r="U5" s="252"/>
      <c r="V5" s="671"/>
      <c r="W5" s="672"/>
      <c r="X5" s="672"/>
      <c r="Y5" s="673"/>
      <c r="Z5" s="26" t="s">
        <v>203</v>
      </c>
      <c r="AA5" s="266">
        <f>'[6]EDl log'!AA22</f>
        <v>5000</v>
      </c>
      <c r="AB5" s="679"/>
      <c r="AC5" s="680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104.86657451555956</v>
      </c>
      <c r="P6" s="300">
        <f t="shared" si="9"/>
        <v>310.14418645585806</v>
      </c>
      <c r="Q6" s="300">
        <f>SUM(-tanks!AX8*tanks!$AU$37)</f>
        <v>421.78064516128973</v>
      </c>
      <c r="R6" s="300">
        <f t="shared" si="10"/>
        <v>731.92483161714779</v>
      </c>
      <c r="S6" s="302">
        <f>SUM(ELEC!N5)</f>
        <v>6121</v>
      </c>
      <c r="T6" s="339">
        <f t="shared" ref="T6:T32" si="12">IF(S6&gt;0,R6/S6,0)</f>
        <v>0.1195760221560444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44200</v>
      </c>
      <c r="B7" s="609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6">
        <v>117652</v>
      </c>
      <c r="G7" s="160">
        <f t="shared" si="1"/>
        <v>467</v>
      </c>
      <c r="H7" s="609">
        <v>398934</v>
      </c>
      <c r="I7" s="161">
        <f t="shared" si="2"/>
        <v>619</v>
      </c>
      <c r="J7" s="609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104.86657451555956</v>
      </c>
      <c r="P7" s="300">
        <f t="shared" si="9"/>
        <v>293.02445179582492</v>
      </c>
      <c r="Q7" s="300">
        <f>SUM(-tanks!AX9*tanks!$AU$37)</f>
        <v>925.68774193547665</v>
      </c>
      <c r="R7" s="300">
        <f t="shared" si="10"/>
        <v>1218.7121937313016</v>
      </c>
      <c r="S7" s="302">
        <f>SUM(ELEC!N6)</f>
        <v>8086</v>
      </c>
      <c r="T7" s="339">
        <f t="shared" si="12"/>
        <v>0.15071879714708156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104.86657451555956</v>
      </c>
      <c r="P8" s="300">
        <f t="shared" si="9"/>
        <v>396.63440204458118</v>
      </c>
      <c r="Q8" s="300">
        <f>SUM(-tanks!AX10*tanks!$AU$37)</f>
        <v>400.02064516128974</v>
      </c>
      <c r="R8" s="300">
        <f t="shared" si="10"/>
        <v>796.65504720587091</v>
      </c>
      <c r="S8" s="302">
        <f>SUM(ELEC!N7)</f>
        <v>7278</v>
      </c>
      <c r="T8" s="339">
        <f>IF(S8&gt;0,R8/S8,0)</f>
        <v>0.1094607099760746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104.86657451555956</v>
      </c>
      <c r="P9" s="300">
        <f t="shared" si="9"/>
        <v>318.95347335469717</v>
      </c>
      <c r="Q9" s="300">
        <f>SUM(-tanks!AX11*tanks!$AU$37)</f>
        <v>774.85832258065238</v>
      </c>
      <c r="R9" s="300">
        <f>SUM(P9:Q9)</f>
        <v>1093.8117959353494</v>
      </c>
      <c r="S9" s="302">
        <f>SUM(ELEC!N8)</f>
        <v>7508</v>
      </c>
      <c r="T9" s="339">
        <f t="shared" si="12"/>
        <v>0.14568617420556065</v>
      </c>
      <c r="V9" s="579">
        <f>'[1]EDl log'!V26</f>
        <v>244359</v>
      </c>
      <c r="W9" s="579">
        <f>'[1]EDl log'!W26</f>
        <v>271580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104.86657451555956</v>
      </c>
      <c r="P10" s="300">
        <f t="shared" si="9"/>
        <v>316.19393769963915</v>
      </c>
      <c r="Q10" s="300">
        <f>SUM(-tanks!AX12*tanks!$AU$37)</f>
        <v>515.43535483871585</v>
      </c>
      <c r="R10" s="300">
        <f t="shared" si="10"/>
        <v>831.629292538355</v>
      </c>
      <c r="S10" s="302">
        <f>SUM(ELEC!N9)</f>
        <v>7042</v>
      </c>
      <c r="T10" s="339">
        <f t="shared" si="12"/>
        <v>0.11809561098244178</v>
      </c>
      <c r="V10" s="579">
        <f>'[1]EDl log'!V27</f>
        <v>356272</v>
      </c>
      <c r="W10" s="579">
        <f>'[1]EDl log'!W27</f>
        <v>393641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104.86657451555956</v>
      </c>
      <c r="P11" s="300">
        <f t="shared" si="9"/>
        <v>290.53025610759937</v>
      </c>
      <c r="Q11" s="300">
        <f>SUM(-tanks!AX13*tanks!$AU$37)</f>
        <v>824.14245161289352</v>
      </c>
      <c r="R11" s="300">
        <f t="shared" si="10"/>
        <v>1114.6727077204928</v>
      </c>
      <c r="S11" s="302">
        <f>SUM(ELEC!N10)</f>
        <v>6041.2000000001863</v>
      </c>
      <c r="T11" s="339">
        <f t="shared" si="12"/>
        <v>0.18451180356890326</v>
      </c>
      <c r="V11" s="579">
        <f>'[1]EDl log'!V28</f>
        <v>102312</v>
      </c>
      <c r="W11" s="579">
        <f>'[1]EDl log'!W28</f>
        <v>115015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104.86657451555956</v>
      </c>
      <c r="P12" s="300">
        <f t="shared" si="9"/>
        <v>330.46922791522786</v>
      </c>
      <c r="Q12" s="300">
        <f>SUM(-tanks!AX14*tanks!$AU$37)</f>
        <v>459.74709677419162</v>
      </c>
      <c r="R12" s="300">
        <f t="shared" si="10"/>
        <v>790.21632468941948</v>
      </c>
      <c r="S12" s="302">
        <f>SUM(ELEC!N11)</f>
        <v>7534.7999999998137</v>
      </c>
      <c r="T12" s="339">
        <f t="shared" si="12"/>
        <v>0.1048755540544459</v>
      </c>
      <c r="V12" s="579"/>
      <c r="W12" s="266"/>
      <c r="X12" s="3"/>
      <c r="Y12" s="266"/>
      <c r="Z12" s="576">
        <f>'[9]EDl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104.86657451555956</v>
      </c>
      <c r="P13" s="300">
        <f t="shared" si="9"/>
        <v>315.44037219383483</v>
      </c>
      <c r="Q13" s="300">
        <f>SUM(-tanks!AX15*tanks!$AU$37)</f>
        <v>395.53858064516447</v>
      </c>
      <c r="R13" s="300">
        <f t="shared" si="10"/>
        <v>710.97895283899925</v>
      </c>
      <c r="S13" s="302">
        <f>SUM(ELEC!N12)</f>
        <v>5811</v>
      </c>
      <c r="T13" s="339">
        <f>IF(S13&gt;0,R13/S13,0)</f>
        <v>0.12235053395955933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104.86657451555956</v>
      </c>
      <c r="P14" s="300">
        <f t="shared" ref="P14:P17" si="17">SUM(L14:O14)</f>
        <v>325.95844847907529</v>
      </c>
      <c r="Q14" s="300">
        <f>SUM(-tanks!AX16*tanks!$AU$37)</f>
        <v>334.94916129032617</v>
      </c>
      <c r="R14" s="300">
        <f t="shared" ref="R14:R17" si="18">SUM(P14:Q14)</f>
        <v>660.90760976940146</v>
      </c>
      <c r="S14" s="302">
        <f>SUM(ELEC!N13)</f>
        <v>6505</v>
      </c>
      <c r="T14" s="339">
        <f t="shared" ref="T14:T17" si="19">IF(S14&gt;0,R14/S14,0)</f>
        <v>0.10159994001066894</v>
      </c>
      <c r="V14" s="579" t="str">
        <f>'[6]EDl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104.86657451555956</v>
      </c>
      <c r="P15" s="300">
        <f t="shared" si="17"/>
        <v>333.71698910925772</v>
      </c>
      <c r="Q15" s="300">
        <f>SUM(-tanks!AX17*tanks!$AU$37)</f>
        <v>467.6541935483832</v>
      </c>
      <c r="R15" s="300">
        <f t="shared" si="18"/>
        <v>801.37118265764093</v>
      </c>
      <c r="S15" s="302">
        <f>SUM(ELEC!N14)</f>
        <v>6511</v>
      </c>
      <c r="T15" s="339">
        <f t="shared" si="19"/>
        <v>0.12307958572533266</v>
      </c>
      <c r="V15" s="579" t="str">
        <f>'[6]EDl log'!V32</f>
        <v>H Deg</v>
      </c>
      <c r="W15" s="577">
        <f>'[1]EDl log'!W32</f>
        <v>0</v>
      </c>
      <c r="X15" s="552">
        <f>'[10]EDl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104.86657451555956</v>
      </c>
      <c r="P16" s="300">
        <f t="shared" si="17"/>
        <v>340.66889624026936</v>
      </c>
      <c r="Q16" s="300">
        <f>SUM(-tanks!AX18*tanks!$AU$37)</f>
        <v>-1128.6709677419253</v>
      </c>
      <c r="R16" s="300">
        <f t="shared" si="18"/>
        <v>-788.00207150165602</v>
      </c>
      <c r="S16" s="302">
        <f>SUM(ELEC!N15)</f>
        <v>6339</v>
      </c>
      <c r="T16" s="339">
        <f t="shared" si="19"/>
        <v>-0.12431015483540875</v>
      </c>
      <c r="V16" s="579" t="str">
        <f>'[6]EDl log'!V33</f>
        <v>C Deg</v>
      </c>
      <c r="W16" s="577">
        <f>'[1]EDl log'!W33</f>
        <v>307.69999999999982</v>
      </c>
      <c r="X16" s="552">
        <f>'[10]EDl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104.86657451555956</v>
      </c>
      <c r="P17" s="300">
        <f t="shared" si="17"/>
        <v>346.43208031987137</v>
      </c>
      <c r="Q17" s="300">
        <f>SUM(-tanks!AX19*tanks!$AU$37)</f>
        <v>133.55354838709349</v>
      </c>
      <c r="R17" s="300">
        <f t="shared" si="18"/>
        <v>479.98562870696486</v>
      </c>
      <c r="S17" s="302">
        <f>SUM(ELEC!N16)</f>
        <v>6922.3999999999069</v>
      </c>
      <c r="T17" s="339">
        <f t="shared" si="19"/>
        <v>6.9338037199088653E-2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104.86657451555956</v>
      </c>
      <c r="P18" s="300">
        <f t="shared" si="9"/>
        <v>329.73688960677021</v>
      </c>
      <c r="Q18" s="300">
        <f>SUM(-tanks!AX20*tanks!$AU$37)</f>
        <v>465.94064516128975</v>
      </c>
      <c r="R18" s="300">
        <f t="shared" si="10"/>
        <v>795.67753476806001</v>
      </c>
      <c r="S18" s="302">
        <f>SUM(ELEC!N17)</f>
        <v>6517.6000000000931</v>
      </c>
      <c r="T18" s="339">
        <f t="shared" si="12"/>
        <v>0.12208136964036588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104.86657451555956</v>
      </c>
      <c r="P19" s="300">
        <f t="shared" si="9"/>
        <v>290.72130088371875</v>
      </c>
      <c r="Q19" s="300">
        <f>SUM(-tanks!AX21*tanks!$AU$37)</f>
        <v>20.27354838709347</v>
      </c>
      <c r="R19" s="300">
        <f t="shared" si="10"/>
        <v>310.99484927081221</v>
      </c>
      <c r="S19" s="302">
        <f>SUM(ELEC!N18)</f>
        <v>7053</v>
      </c>
      <c r="T19" s="339">
        <f t="shared" si="12"/>
        <v>4.4093981181172866E-2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" thickBot="1">
      <c r="A20" s="163">
        <f>ELEC!C19</f>
        <v>44213</v>
      </c>
      <c r="B20" s="547">
        <v>823890</v>
      </c>
      <c r="C20" s="266">
        <f t="shared" si="0"/>
        <v>2238</v>
      </c>
      <c r="D20" s="311">
        <f t="shared" si="8"/>
        <v>2239</v>
      </c>
      <c r="E20" s="311">
        <f t="shared" si="11"/>
        <v>823891</v>
      </c>
      <c r="F20" s="588">
        <v>123415</v>
      </c>
      <c r="G20" s="160">
        <f t="shared" si="1"/>
        <v>446</v>
      </c>
      <c r="H20" s="547">
        <v>413244</v>
      </c>
      <c r="I20" s="161">
        <f t="shared" si="2"/>
        <v>1013</v>
      </c>
      <c r="J20" s="547">
        <v>287231</v>
      </c>
      <c r="K20" s="162">
        <f t="shared" si="3"/>
        <v>780</v>
      </c>
      <c r="L20" s="299">
        <f t="shared" si="20"/>
        <v>94.673300165837475</v>
      </c>
      <c r="M20" s="299">
        <f t="shared" si="21"/>
        <v>75.261028192371469</v>
      </c>
      <c r="N20" s="299">
        <f t="shared" si="22"/>
        <v>41.39303482587065</v>
      </c>
      <c r="O20" s="299">
        <f t="shared" si="7"/>
        <v>104.86657451555956</v>
      </c>
      <c r="P20" s="300">
        <f t="shared" si="9"/>
        <v>316.19393769963915</v>
      </c>
      <c r="Q20" s="300">
        <f>SUM(-tanks!AX22*tanks!$AU$37)</f>
        <v>1025.3212903225701</v>
      </c>
      <c r="R20" s="300">
        <f t="shared" si="10"/>
        <v>1341.5152280222092</v>
      </c>
      <c r="S20" s="302">
        <f>SUM(ELEC!N19)</f>
        <v>5078.6000000000931</v>
      </c>
      <c r="T20" s="339">
        <f t="shared" si="12"/>
        <v>0.26415059820072156</v>
      </c>
      <c r="V20" t="s">
        <v>414</v>
      </c>
      <c r="AB20" s="578"/>
    </row>
    <row r="21" spans="1:32" ht="15" thickBot="1">
      <c r="A21" s="163">
        <f>ELEC!C20</f>
        <v>44214</v>
      </c>
      <c r="B21" s="547">
        <v>826089</v>
      </c>
      <c r="C21" s="266">
        <f t="shared" si="0"/>
        <v>2199</v>
      </c>
      <c r="D21" s="311">
        <f t="shared" si="8"/>
        <v>1898</v>
      </c>
      <c r="E21" s="311">
        <f t="shared" si="11"/>
        <v>825788</v>
      </c>
      <c r="F21" s="588">
        <v>123422</v>
      </c>
      <c r="G21" s="160">
        <f t="shared" si="1"/>
        <v>7</v>
      </c>
      <c r="H21" s="547">
        <v>414332</v>
      </c>
      <c r="I21" s="161">
        <f t="shared" si="2"/>
        <v>1088</v>
      </c>
      <c r="J21" s="547">
        <v>288034</v>
      </c>
      <c r="K21" s="162">
        <f t="shared" si="3"/>
        <v>803</v>
      </c>
      <c r="L21" s="299">
        <f t="shared" si="20"/>
        <v>1.4859038142620231</v>
      </c>
      <c r="M21" s="299">
        <f t="shared" si="21"/>
        <v>80.833167495854056</v>
      </c>
      <c r="N21" s="299">
        <f t="shared" si="22"/>
        <v>42.613598673300167</v>
      </c>
      <c r="O21" s="299">
        <f t="shared" si="7"/>
        <v>104.86657451555956</v>
      </c>
      <c r="P21" s="300">
        <f t="shared" si="9"/>
        <v>229.79924449897581</v>
      </c>
      <c r="Q21" s="300">
        <f>SUM(-tanks!AX23*tanks!$AU$37)</f>
        <v>226.14709677419626</v>
      </c>
      <c r="R21" s="300">
        <f t="shared" si="10"/>
        <v>455.94634127317204</v>
      </c>
      <c r="S21" s="302">
        <f>SUM(ELEC!N20)</f>
        <v>5935.6000000000931</v>
      </c>
      <c r="T21" s="339">
        <f t="shared" si="12"/>
        <v>7.6815543714732273E-2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7"/>
      <c r="AC21" s="678"/>
    </row>
    <row r="22" spans="1:32" ht="15" thickBot="1">
      <c r="A22" s="163">
        <f>ELEC!C21</f>
        <v>44215</v>
      </c>
      <c r="B22" s="547">
        <v>828364</v>
      </c>
      <c r="C22" s="266">
        <f t="shared" si="0"/>
        <v>2275</v>
      </c>
      <c r="D22" s="311">
        <f t="shared" si="8"/>
        <v>2575</v>
      </c>
      <c r="E22" s="311">
        <f t="shared" si="11"/>
        <v>828664</v>
      </c>
      <c r="F22" s="588">
        <v>124191</v>
      </c>
      <c r="G22" s="160">
        <f t="shared" si="1"/>
        <v>769</v>
      </c>
      <c r="H22" s="547">
        <v>415321</v>
      </c>
      <c r="I22" s="161">
        <f t="shared" si="2"/>
        <v>989</v>
      </c>
      <c r="J22" s="547">
        <v>288851</v>
      </c>
      <c r="K22" s="162">
        <f t="shared" si="3"/>
        <v>817</v>
      </c>
      <c r="L22" s="299">
        <f t="shared" si="20"/>
        <v>163.23714759535656</v>
      </c>
      <c r="M22" s="299">
        <f t="shared" si="21"/>
        <v>73.477943615257047</v>
      </c>
      <c r="N22" s="299">
        <f t="shared" si="22"/>
        <v>43.356550580431175</v>
      </c>
      <c r="O22" s="299">
        <f t="shared" si="7"/>
        <v>104.86657451555956</v>
      </c>
      <c r="P22" s="300">
        <f t="shared" si="9"/>
        <v>384.93821630660432</v>
      </c>
      <c r="Q22" s="300">
        <f>SUM(-tanks!AX24*tanks!$AU$37)</f>
        <v>440.98064516129904</v>
      </c>
      <c r="R22" s="300">
        <f t="shared" si="10"/>
        <v>825.9188614679033</v>
      </c>
      <c r="S22" s="302">
        <f>SUM(ELEC!N21)</f>
        <v>6442</v>
      </c>
      <c r="T22" s="339">
        <f t="shared" si="12"/>
        <v>0.12820845412417003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" thickBot="1">
      <c r="A23" s="163">
        <f>ELEC!C22</f>
        <v>44216</v>
      </c>
      <c r="B23" s="547">
        <v>830179</v>
      </c>
      <c r="C23" s="266">
        <f t="shared" si="0"/>
        <v>1815</v>
      </c>
      <c r="D23" s="311">
        <f t="shared" si="8"/>
        <v>1816</v>
      </c>
      <c r="E23" s="311">
        <f t="shared" si="11"/>
        <v>830180</v>
      </c>
      <c r="F23" s="588">
        <v>124471</v>
      </c>
      <c r="G23" s="160">
        <f t="shared" si="1"/>
        <v>280</v>
      </c>
      <c r="H23" s="547">
        <v>415832</v>
      </c>
      <c r="I23" s="161">
        <f t="shared" si="2"/>
        <v>511</v>
      </c>
      <c r="J23" s="547">
        <v>289876</v>
      </c>
      <c r="K23" s="162">
        <f t="shared" si="3"/>
        <v>1025</v>
      </c>
      <c r="L23" s="299">
        <f t="shared" si="20"/>
        <v>59.436152570480928</v>
      </c>
      <c r="M23" s="299">
        <f t="shared" si="21"/>
        <v>37.964842454394692</v>
      </c>
      <c r="N23" s="299">
        <f t="shared" si="22"/>
        <v>54.394693200663347</v>
      </c>
      <c r="O23" s="299">
        <f t="shared" si="7"/>
        <v>104.86657451555956</v>
      </c>
      <c r="P23" s="300">
        <f t="shared" si="9"/>
        <v>256.66226274109852</v>
      </c>
      <c r="Q23" s="300">
        <f>SUM(-tanks!AX25*tanks!$AU$37)</f>
        <v>789.36774193547672</v>
      </c>
      <c r="R23" s="300">
        <f t="shared" si="10"/>
        <v>1046.0300046765751</v>
      </c>
      <c r="S23" s="302">
        <f>SUM(ELEC!N22)</f>
        <v>6354</v>
      </c>
      <c r="T23" s="339">
        <f t="shared" si="12"/>
        <v>0.16462543353424222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44217</v>
      </c>
      <c r="B24" s="547">
        <v>832295</v>
      </c>
      <c r="C24" s="266">
        <f t="shared" si="0"/>
        <v>2116</v>
      </c>
      <c r="D24" s="311">
        <f t="shared" si="8"/>
        <v>2116</v>
      </c>
      <c r="E24" s="311">
        <f t="shared" si="11"/>
        <v>832295</v>
      </c>
      <c r="F24" s="588">
        <v>124897</v>
      </c>
      <c r="G24" s="160">
        <f t="shared" si="1"/>
        <v>426</v>
      </c>
      <c r="H24" s="547">
        <v>416867</v>
      </c>
      <c r="I24" s="161">
        <f t="shared" si="2"/>
        <v>1035</v>
      </c>
      <c r="J24" s="547">
        <v>290531</v>
      </c>
      <c r="K24" s="162">
        <f t="shared" si="3"/>
        <v>655</v>
      </c>
      <c r="L24" s="299">
        <f t="shared" si="20"/>
        <v>90.427860696517413</v>
      </c>
      <c r="M24" s="299">
        <f t="shared" si="21"/>
        <v>76.895522388059703</v>
      </c>
      <c r="N24" s="299">
        <f t="shared" si="22"/>
        <v>34.759535655058045</v>
      </c>
      <c r="O24" s="299">
        <f t="shared" si="7"/>
        <v>104.86657451555956</v>
      </c>
      <c r="P24" s="300">
        <f t="shared" si="9"/>
        <v>306.94949325519474</v>
      </c>
      <c r="Q24" s="300">
        <f>SUM(-tanks!AX26*tanks!$AU$37)</f>
        <v>389.78064516128973</v>
      </c>
      <c r="R24" s="300">
        <f t="shared" si="10"/>
        <v>696.73013841648446</v>
      </c>
      <c r="S24" s="302">
        <f>SUM(ELEC!N23)</f>
        <v>4914.7999999998137</v>
      </c>
      <c r="T24" s="339">
        <f t="shared" si="12"/>
        <v>0.14176164613341558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44218</v>
      </c>
      <c r="B25" s="547">
        <f t="shared" ref="B25:B34" si="23">B24</f>
        <v>832295</v>
      </c>
      <c r="C25" s="266">
        <f t="shared" si="0"/>
        <v>0</v>
      </c>
      <c r="D25" s="311">
        <f t="shared" si="8"/>
        <v>0</v>
      </c>
      <c r="E25" s="311">
        <f t="shared" si="11"/>
        <v>832295</v>
      </c>
      <c r="F25" s="588">
        <f t="shared" ref="F25:F34" si="24">F24</f>
        <v>124897</v>
      </c>
      <c r="G25" s="160">
        <f t="shared" si="1"/>
        <v>0</v>
      </c>
      <c r="H25" s="547">
        <f t="shared" ref="H25:H34" si="25">H24</f>
        <v>416867</v>
      </c>
      <c r="I25" s="161">
        <f t="shared" si="2"/>
        <v>0</v>
      </c>
      <c r="J25" s="547">
        <f t="shared" ref="J25:J34" si="26">J24</f>
        <v>290531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104.86657451555956</v>
      </c>
      <c r="P25" s="300">
        <f t="shared" si="9"/>
        <v>104.86657451555956</v>
      </c>
      <c r="Q25" s="300">
        <f>SUM(-tanks!AX27*tanks!$AU$37)</f>
        <v>0</v>
      </c>
      <c r="R25" s="300">
        <f t="shared" si="10"/>
        <v>104.86657451555956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" thickBot="1">
      <c r="A26" s="163">
        <f>ELEC!C25</f>
        <v>44219</v>
      </c>
      <c r="B26" s="547">
        <f t="shared" si="23"/>
        <v>832295</v>
      </c>
      <c r="C26" s="266">
        <f t="shared" si="0"/>
        <v>0</v>
      </c>
      <c r="D26" s="311">
        <f t="shared" si="8"/>
        <v>0</v>
      </c>
      <c r="E26" s="311">
        <f t="shared" si="11"/>
        <v>832295</v>
      </c>
      <c r="F26" s="588">
        <f t="shared" si="24"/>
        <v>124897</v>
      </c>
      <c r="G26" s="160">
        <f t="shared" si="1"/>
        <v>0</v>
      </c>
      <c r="H26" s="547">
        <f t="shared" si="25"/>
        <v>416867</v>
      </c>
      <c r="I26" s="161">
        <f t="shared" si="2"/>
        <v>0</v>
      </c>
      <c r="J26" s="547">
        <f t="shared" si="26"/>
        <v>290531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104.86657451555956</v>
      </c>
      <c r="P26" s="300">
        <f t="shared" si="9"/>
        <v>104.86657451555956</v>
      </c>
      <c r="Q26" s="300">
        <f>SUM(-tanks!AX28*tanks!$AU$37)</f>
        <v>0</v>
      </c>
      <c r="R26" s="300">
        <f t="shared" si="10"/>
        <v>104.86657451555956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290531</v>
      </c>
      <c r="X26" s="172" t="s">
        <v>199</v>
      </c>
      <c r="Y26" s="172">
        <v>80</v>
      </c>
      <c r="Z26" s="172">
        <v>1</v>
      </c>
      <c r="AA26" s="341">
        <f>(W26-V26)*Z26</f>
        <v>18951</v>
      </c>
      <c r="AB26" s="341">
        <f>AA26*Y26</f>
        <v>1516080</v>
      </c>
      <c r="AC26" s="251">
        <f>AC9</f>
        <v>1033333</v>
      </c>
      <c r="AD26" s="213">
        <f>SUM(K36)</f>
        <v>0.36397006917972613</v>
      </c>
    </row>
    <row r="27" spans="1:32" ht="15" thickBot="1">
      <c r="A27" s="163">
        <f>ELEC!C26</f>
        <v>44220</v>
      </c>
      <c r="B27" s="547">
        <f t="shared" si="23"/>
        <v>832295</v>
      </c>
      <c r="C27" s="266">
        <f t="shared" si="0"/>
        <v>0</v>
      </c>
      <c r="D27" s="311">
        <f t="shared" si="8"/>
        <v>0</v>
      </c>
      <c r="E27" s="311">
        <f t="shared" si="11"/>
        <v>832295</v>
      </c>
      <c r="F27" s="588">
        <f t="shared" si="24"/>
        <v>124897</v>
      </c>
      <c r="G27" s="160">
        <f t="shared" si="1"/>
        <v>0</v>
      </c>
      <c r="H27" s="547">
        <f t="shared" si="25"/>
        <v>416867</v>
      </c>
      <c r="I27" s="161">
        <f t="shared" si="2"/>
        <v>0</v>
      </c>
      <c r="J27" s="547">
        <f t="shared" si="26"/>
        <v>290531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104.86657451555956</v>
      </c>
      <c r="P27" s="300">
        <f t="shared" si="9"/>
        <v>104.86657451555956</v>
      </c>
      <c r="Q27" s="300">
        <f>SUM(-tanks!AX29*tanks!$AU$37)</f>
        <v>0</v>
      </c>
      <c r="R27" s="300">
        <f t="shared" si="10"/>
        <v>104.86657451555956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416867</v>
      </c>
      <c r="X27" s="172" t="s">
        <v>213</v>
      </c>
      <c r="Y27" s="172">
        <v>112</v>
      </c>
      <c r="Z27" s="172">
        <v>1</v>
      </c>
      <c r="AA27" s="341">
        <f>(W27-V27)*Z27</f>
        <v>23226</v>
      </c>
      <c r="AB27" s="341">
        <f>SUM(AA27*Y27)</f>
        <v>2601312</v>
      </c>
      <c r="AC27" s="251">
        <f>AC10</f>
        <v>6200000</v>
      </c>
      <c r="AD27" s="213">
        <f>SUM(I36)</f>
        <v>0.44839757165043065</v>
      </c>
    </row>
    <row r="28" spans="1:32" ht="15" thickBot="1">
      <c r="A28" s="163">
        <f>ELEC!C27</f>
        <v>44221</v>
      </c>
      <c r="B28" s="547">
        <f t="shared" si="23"/>
        <v>832295</v>
      </c>
      <c r="C28" s="266">
        <f t="shared" si="0"/>
        <v>0</v>
      </c>
      <c r="D28" s="311">
        <f t="shared" si="8"/>
        <v>0</v>
      </c>
      <c r="E28" s="311">
        <f t="shared" si="11"/>
        <v>832295</v>
      </c>
      <c r="F28" s="588">
        <f t="shared" si="24"/>
        <v>124897</v>
      </c>
      <c r="G28" s="160">
        <f t="shared" si="1"/>
        <v>0</v>
      </c>
      <c r="H28" s="547">
        <f t="shared" si="25"/>
        <v>416867</v>
      </c>
      <c r="I28" s="161">
        <f t="shared" si="2"/>
        <v>0</v>
      </c>
      <c r="J28" s="547">
        <f t="shared" si="26"/>
        <v>290531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104.86657451555956</v>
      </c>
      <c r="P28" s="300">
        <f t="shared" si="9"/>
        <v>104.86657451555956</v>
      </c>
      <c r="Q28" s="300">
        <f>SUM(-tanks!AX30*tanks!$AU$37)</f>
        <v>0</v>
      </c>
      <c r="R28" s="300">
        <f t="shared" si="10"/>
        <v>104.86657451555956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124897</v>
      </c>
      <c r="X28" s="172" t="s">
        <v>197</v>
      </c>
      <c r="Y28" s="172">
        <v>320</v>
      </c>
      <c r="Z28" s="172">
        <v>1</v>
      </c>
      <c r="AA28" s="341">
        <f>(W28-V28)*Z28</f>
        <v>9882</v>
      </c>
      <c r="AB28" s="341">
        <f>SUM(AA28*Y28)</f>
        <v>3162240</v>
      </c>
      <c r="AC28" s="251">
        <f>AC11</f>
        <v>1000</v>
      </c>
      <c r="AD28" s="213">
        <f>SUM(G36)</f>
        <v>0.18765252818620035</v>
      </c>
      <c r="AE28" s="40">
        <f>SUM(AB28*5%)</f>
        <v>158112</v>
      </c>
      <c r="AF28" s="82">
        <f>SUM(AE28/7)*31</f>
        <v>700210.2857142858</v>
      </c>
    </row>
    <row r="29" spans="1:32" ht="15" thickBot="1">
      <c r="A29" s="163">
        <f>ELEC!C28</f>
        <v>44222</v>
      </c>
      <c r="B29" s="547">
        <f t="shared" si="23"/>
        <v>832295</v>
      </c>
      <c r="C29" s="266">
        <f t="shared" si="0"/>
        <v>0</v>
      </c>
      <c r="D29" s="311">
        <f t="shared" si="8"/>
        <v>0</v>
      </c>
      <c r="E29" s="311">
        <f t="shared" si="11"/>
        <v>832295</v>
      </c>
      <c r="F29" s="588">
        <f t="shared" si="24"/>
        <v>124897</v>
      </c>
      <c r="G29" s="160">
        <f t="shared" si="1"/>
        <v>0</v>
      </c>
      <c r="H29" s="547">
        <f t="shared" si="25"/>
        <v>416867</v>
      </c>
      <c r="I29" s="161">
        <f t="shared" si="2"/>
        <v>0</v>
      </c>
      <c r="J29" s="547">
        <f t="shared" si="26"/>
        <v>290531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104.86657451555956</v>
      </c>
      <c r="P29" s="300">
        <f t="shared" si="9"/>
        <v>104.86657451555956</v>
      </c>
      <c r="Q29" s="300">
        <f>SUM(-tanks!AX31*tanks!$AU$37)</f>
        <v>0</v>
      </c>
      <c r="R29" s="300">
        <f t="shared" si="10"/>
        <v>104.86657451555956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52059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3"/>
        <v>832295</v>
      </c>
      <c r="C30" s="266">
        <f t="shared" si="0"/>
        <v>0</v>
      </c>
      <c r="D30" s="311">
        <f t="shared" si="8"/>
        <v>0</v>
      </c>
      <c r="E30" s="311">
        <f t="shared" si="11"/>
        <v>832295</v>
      </c>
      <c r="F30" s="588">
        <f t="shared" si="24"/>
        <v>124897</v>
      </c>
      <c r="G30" s="160">
        <f t="shared" si="1"/>
        <v>0</v>
      </c>
      <c r="H30" s="547">
        <f t="shared" si="25"/>
        <v>416867</v>
      </c>
      <c r="I30" s="161">
        <f t="shared" si="2"/>
        <v>0</v>
      </c>
      <c r="J30" s="547">
        <f t="shared" si="26"/>
        <v>290531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104.86657451555956</v>
      </c>
      <c r="P30" s="300">
        <f t="shared" si="9"/>
        <v>104.86657451555956</v>
      </c>
      <c r="Q30" s="300">
        <f>SUM(-tanks!AX32*tanks!$AU$37)</f>
        <v>0</v>
      </c>
      <c r="R30" s="300">
        <f t="shared" si="10"/>
        <v>104.86657451555956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7279632</v>
      </c>
      <c r="AC30" s="251">
        <f>SUM(AC26:AC29)/A37*A35</f>
        <v>4900677.1935483869</v>
      </c>
    </row>
    <row r="31" spans="1:32" ht="15" thickBot="1">
      <c r="A31" s="163">
        <f>ELEC!C30</f>
        <v>44224</v>
      </c>
      <c r="B31" s="547">
        <f t="shared" si="23"/>
        <v>832295</v>
      </c>
      <c r="C31" s="266">
        <f t="shared" si="0"/>
        <v>0</v>
      </c>
      <c r="D31" s="311">
        <f t="shared" si="8"/>
        <v>0</v>
      </c>
      <c r="E31" s="311">
        <f t="shared" si="11"/>
        <v>832295</v>
      </c>
      <c r="F31" s="588">
        <f t="shared" si="24"/>
        <v>124897</v>
      </c>
      <c r="G31" s="160">
        <f t="shared" si="1"/>
        <v>0</v>
      </c>
      <c r="H31" s="547">
        <f t="shared" si="25"/>
        <v>416867</v>
      </c>
      <c r="I31" s="161">
        <f t="shared" si="2"/>
        <v>0</v>
      </c>
      <c r="J31" s="547">
        <f t="shared" si="26"/>
        <v>290531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104.86657451555956</v>
      </c>
      <c r="P31" s="300">
        <f t="shared" si="9"/>
        <v>104.86657451555956</v>
      </c>
      <c r="Q31" s="300">
        <f>SUM(-tanks!AX33*tanks!$AU$37)</f>
        <v>0</v>
      </c>
      <c r="R31" s="300">
        <f t="shared" si="10"/>
        <v>104.86657451555956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75</v>
      </c>
      <c r="X31" s="223">
        <f>SUM(W31/A35)</f>
        <v>3.5714285714285716</v>
      </c>
      <c r="Y31" s="262">
        <f>SUM(X31/2)</f>
        <v>1.7857142857142858</v>
      </c>
      <c r="Z31" s="3"/>
      <c r="AA31" s="3"/>
      <c r="AB31" s="550">
        <f>SUM(AB30+AC31)</f>
        <v>12180309.193548387</v>
      </c>
      <c r="AC31" s="251">
        <f>SUM(AC30)</f>
        <v>4900677.1935483869</v>
      </c>
    </row>
    <row r="32" spans="1:32" ht="15" thickBot="1">
      <c r="A32" s="163">
        <f>ELEC!C31</f>
        <v>44225</v>
      </c>
      <c r="B32" s="547">
        <f t="shared" si="23"/>
        <v>832295</v>
      </c>
      <c r="C32" s="266">
        <f t="shared" si="0"/>
        <v>0</v>
      </c>
      <c r="D32" s="311">
        <f t="shared" si="8"/>
        <v>0</v>
      </c>
      <c r="E32" s="311">
        <f t="shared" si="11"/>
        <v>832295</v>
      </c>
      <c r="F32" s="588">
        <f t="shared" si="24"/>
        <v>124897</v>
      </c>
      <c r="G32" s="160">
        <f t="shared" si="1"/>
        <v>0</v>
      </c>
      <c r="H32" s="547">
        <f t="shared" si="25"/>
        <v>416867</v>
      </c>
      <c r="I32" s="161">
        <f t="shared" si="2"/>
        <v>0</v>
      </c>
      <c r="J32" s="547">
        <f t="shared" si="26"/>
        <v>290531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104.86657451555956</v>
      </c>
      <c r="P32" s="300">
        <f t="shared" si="9"/>
        <v>104.86657451555956</v>
      </c>
      <c r="Q32" s="300">
        <f>SUM(-tanks!AX34*tanks!$AU$37)</f>
        <v>0</v>
      </c>
      <c r="R32" s="300">
        <f t="shared" si="10"/>
        <v>104.86657451555956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" thickBot="1">
      <c r="A33" s="163">
        <f>ELEC!C32</f>
        <v>44226</v>
      </c>
      <c r="B33" s="547">
        <f t="shared" si="23"/>
        <v>832295</v>
      </c>
      <c r="C33" s="266">
        <f t="shared" si="0"/>
        <v>0</v>
      </c>
      <c r="D33" s="311">
        <f t="shared" si="8"/>
        <v>0</v>
      </c>
      <c r="E33" s="311">
        <f t="shared" si="11"/>
        <v>832295</v>
      </c>
      <c r="F33" s="588">
        <f t="shared" si="24"/>
        <v>124897</v>
      </c>
      <c r="G33" s="160">
        <f>F33-F32</f>
        <v>0</v>
      </c>
      <c r="H33" s="547">
        <f t="shared" si="25"/>
        <v>416867</v>
      </c>
      <c r="I33" s="161">
        <f t="shared" si="2"/>
        <v>0</v>
      </c>
      <c r="J33" s="547">
        <f t="shared" si="26"/>
        <v>290531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104.86657451555956</v>
      </c>
      <c r="P33" s="300">
        <f>SUM(L33:O33)</f>
        <v>104.86657451555956</v>
      </c>
      <c r="Q33" s="300">
        <f>SUM(-tanks!AX35*tanks!$AU$37)</f>
        <v>0</v>
      </c>
      <c r="R33" s="300">
        <f>SUM(P33:Q33)</f>
        <v>104.86657451555956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3"/>
        <v>832295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832295</v>
      </c>
      <c r="F34" s="588">
        <f t="shared" si="24"/>
        <v>124897</v>
      </c>
      <c r="G34" s="160">
        <f>F34-F33</f>
        <v>0</v>
      </c>
      <c r="H34" s="547">
        <f t="shared" si="25"/>
        <v>416867</v>
      </c>
      <c r="I34" s="161">
        <f t="shared" ref="I34" si="31">H34-H33</f>
        <v>0</v>
      </c>
      <c r="J34" s="547">
        <f t="shared" si="26"/>
        <v>290531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104.86657451555956</v>
      </c>
      <c r="P34" s="300">
        <f>SUM(L34:O34)</f>
        <v>104.86657451555956</v>
      </c>
      <c r="Q34" s="300">
        <f>SUM(-tanks!AX36*tanks!$AU$37)</f>
        <v>0</v>
      </c>
      <c r="R34" s="300">
        <f>SUM(P34:Q34)</f>
        <v>104.86657451555956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1339834.0112903225</v>
      </c>
      <c r="AC34" s="585"/>
    </row>
    <row r="35" spans="1:32" ht="15" thickBot="1">
      <c r="A35" s="546">
        <f>A37-COUNTIF(C4:C34,0)</f>
        <v>21</v>
      </c>
      <c r="C35" s="174">
        <f>SUM(C4:C34)/A35</f>
        <v>2361</v>
      </c>
      <c r="D35" s="174"/>
      <c r="E35" s="174"/>
      <c r="G35" s="174">
        <f>SUM(G4:G34)/A35</f>
        <v>443.04761904761904</v>
      </c>
      <c r="I35" s="174">
        <f>SUM(I4:I34)/A35</f>
        <v>1058.6666666666667</v>
      </c>
      <c r="K35" s="174">
        <f>SUM(K4:K34)/A35</f>
        <v>859.33333333333337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158086.36108220604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13520143.20483871</v>
      </c>
      <c r="AC35" s="585"/>
    </row>
    <row r="36" spans="1:32" ht="15" thickBot="1">
      <c r="A36" s="211"/>
      <c r="C36" s="213">
        <f>SUM(G36:K36)</f>
        <v>1.000020169016357</v>
      </c>
      <c r="G36" s="226">
        <f>IF(C35&gt;0,G35/C35,0)</f>
        <v>0.18765252818620035</v>
      </c>
      <c r="H36" s="213"/>
      <c r="I36" s="226">
        <f>SUM(I35/C35)</f>
        <v>0.44839757165043065</v>
      </c>
      <c r="J36" s="213"/>
      <c r="K36" s="226">
        <f>SUM(K35/C35)</f>
        <v>0.36397006917972613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8079.8070935644355</v>
      </c>
      <c r="AC36" s="587"/>
    </row>
    <row r="37" spans="1:32" ht="1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3250.8638099823461</v>
      </c>
      <c r="Z38" s="40"/>
      <c r="AA38" s="295" t="s">
        <v>215</v>
      </c>
      <c r="AB38" s="296">
        <f>SUM(AB36)</f>
        <v>8079.8070935644355</v>
      </c>
    </row>
    <row r="39" spans="1:32">
      <c r="V39" s="218"/>
      <c r="W39" s="82">
        <f>(AB30+AB54)/1507.5</f>
        <v>4828.9432835820899</v>
      </c>
      <c r="X39" s="551"/>
      <c r="Z39" s="297">
        <f>SUM(AB38)</f>
        <v>8079.8070935644355</v>
      </c>
      <c r="AA39" s="296"/>
      <c r="AB39" s="296"/>
    </row>
    <row r="40" spans="1:32">
      <c r="V40" s="17"/>
      <c r="W40" s="82">
        <f>SUM(W38:W39)</f>
        <v>8079.8070935644355</v>
      </c>
      <c r="X40" s="551"/>
      <c r="Y40" s="82"/>
      <c r="Z40" s="297">
        <f>SUM(-tanks!AX37)*tanks!AU37</f>
        <v>8629.1096774193647</v>
      </c>
      <c r="AA40" s="101">
        <f>SUM(AB31/A35)</f>
        <v>580014.72350230417</v>
      </c>
      <c r="AB40" s="351">
        <f>SUM(AA40*A37)</f>
        <v>17980456.428571429</v>
      </c>
    </row>
    <row r="41" spans="1:32" ht="18.5">
      <c r="W41" s="82">
        <f>(AB30+AB54)/1507.5</f>
        <v>4828.9432835820899</v>
      </c>
      <c r="Z41" s="278">
        <f>SUM(Z39:Z40)</f>
        <v>16708.9167709838</v>
      </c>
      <c r="AA41" s="296">
        <f>SUM(AA40/1507.5)</f>
        <v>384.75271874116362</v>
      </c>
      <c r="AB41" s="350">
        <f>SUM(AB40/1507.5)</f>
        <v>11927.334280976072</v>
      </c>
    </row>
    <row r="42" spans="1:32">
      <c r="D42" s="526"/>
      <c r="E42" s="526"/>
      <c r="F42" s="526"/>
      <c r="W42" s="82">
        <f>SUM(W40:W41)</f>
        <v>12908.750377146525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64"/>
      <c r="AC45" s="664"/>
      <c r="AD45" s="17"/>
      <c r="AE45" s="17"/>
      <c r="AF45" s="17"/>
    </row>
    <row r="46" spans="1:32">
      <c r="V46" s="664"/>
      <c r="W46" s="664"/>
      <c r="X46" s="664"/>
      <c r="Y46" s="664"/>
      <c r="Z46" s="555"/>
      <c r="AA46" s="555"/>
      <c r="AB46" s="664"/>
      <c r="AC46" s="664"/>
      <c r="AD46" s="17"/>
      <c r="AE46" s="17"/>
      <c r="AF46" s="17"/>
    </row>
    <row r="47" spans="1:32">
      <c r="V47" s="664"/>
      <c r="W47" s="664"/>
      <c r="X47" s="664"/>
      <c r="Y47" s="664"/>
      <c r="Z47" s="664"/>
      <c r="AA47" s="664"/>
      <c r="AB47" s="664"/>
      <c r="AC47" s="664"/>
      <c r="AD47" s="17"/>
      <c r="AE47" s="17"/>
      <c r="AF47" s="17"/>
    </row>
    <row r="48" spans="1:32">
      <c r="V48" s="665"/>
      <c r="W48" s="665"/>
      <c r="X48" s="666"/>
      <c r="Y48" s="666"/>
      <c r="Z48" s="666"/>
      <c r="AA48" s="556"/>
      <c r="AB48" s="664"/>
      <c r="AC48" s="664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J26" sqref="J26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7" customWidth="1"/>
    <col min="12" max="12" width="26.453125" bestFit="1" customWidth="1"/>
    <col min="14" max="14" width="14.269531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7.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'[11]Swimming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44197</v>
      </c>
      <c r="B6" s="610">
        <v>1.2</v>
      </c>
      <c r="C6" s="611">
        <v>7.8</v>
      </c>
      <c r="D6" s="611"/>
      <c r="E6" s="611">
        <v>1.2</v>
      </c>
      <c r="F6" s="611">
        <v>8</v>
      </c>
      <c r="G6" s="611"/>
      <c r="H6" s="612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" thickBot="1">
      <c r="A7" s="242">
        <f>ELEC!C4</f>
        <v>44198</v>
      </c>
      <c r="B7" s="613">
        <v>1.1000000000000001</v>
      </c>
      <c r="C7" s="612">
        <v>7.8</v>
      </c>
      <c r="D7" s="612"/>
      <c r="E7" s="612">
        <v>1.1000000000000001</v>
      </c>
      <c r="F7" s="612">
        <v>8</v>
      </c>
      <c r="G7" s="612"/>
      <c r="H7" s="612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" thickBot="1">
      <c r="A8" s="242">
        <f>ELEC!C5</f>
        <v>44199</v>
      </c>
      <c r="B8" s="613">
        <v>1.1000000000000001</v>
      </c>
      <c r="C8" s="612">
        <v>7.8</v>
      </c>
      <c r="D8" s="612"/>
      <c r="E8" s="612">
        <v>1</v>
      </c>
      <c r="F8" s="612">
        <v>8</v>
      </c>
      <c r="G8" s="612"/>
      <c r="H8" s="612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" thickBot="1">
      <c r="A9" s="242">
        <f>ELEC!C6</f>
        <v>44200</v>
      </c>
      <c r="B9" s="614">
        <v>1.3</v>
      </c>
      <c r="C9" s="612">
        <v>7.8</v>
      </c>
      <c r="D9" s="45"/>
      <c r="E9" s="45">
        <v>1.5</v>
      </c>
      <c r="F9" s="45">
        <v>8</v>
      </c>
      <c r="G9" s="45"/>
      <c r="H9" s="615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" thickBot="1">
      <c r="A22" s="242">
        <f>ELEC!C19</f>
        <v>44213</v>
      </c>
      <c r="B22" s="544">
        <v>1.1000000000000001</v>
      </c>
      <c r="C22" s="544">
        <v>7.8</v>
      </c>
      <c r="D22" s="544"/>
      <c r="E22" s="544">
        <v>1.3</v>
      </c>
      <c r="F22" s="544">
        <v>8</v>
      </c>
      <c r="G22" s="544"/>
      <c r="H22" s="596"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" thickBot="1">
      <c r="A23" s="242">
        <f>ELEC!C20</f>
        <v>44214</v>
      </c>
      <c r="B23" s="544">
        <v>1.1000000000000001</v>
      </c>
      <c r="C23" s="544">
        <v>7.8</v>
      </c>
      <c r="D23" s="544"/>
      <c r="E23" s="544">
        <v>1.3</v>
      </c>
      <c r="F23" s="544">
        <v>8</v>
      </c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" thickBot="1">
      <c r="A24" s="242">
        <f>ELEC!C21</f>
        <v>44215</v>
      </c>
      <c r="B24" s="544">
        <v>1.3</v>
      </c>
      <c r="C24" s="621">
        <v>7.8</v>
      </c>
      <c r="D24" s="170"/>
      <c r="E24" s="170">
        <v>1</v>
      </c>
      <c r="F24" s="170">
        <v>8</v>
      </c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" thickBot="1">
      <c r="A25" s="242">
        <f>ELEC!C22</f>
        <v>44216</v>
      </c>
      <c r="B25" s="592">
        <v>1.3</v>
      </c>
      <c r="C25" s="591">
        <v>7.8</v>
      </c>
      <c r="D25" s="170"/>
      <c r="E25" s="170">
        <v>1.2</v>
      </c>
      <c r="F25" s="170">
        <v>8</v>
      </c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" thickBot="1">
      <c r="A26" s="242">
        <f>ELEC!C23</f>
        <v>44217</v>
      </c>
      <c r="B26" s="592">
        <v>1.3</v>
      </c>
      <c r="C26" s="593">
        <v>7.8</v>
      </c>
      <c r="D26" s="170"/>
      <c r="E26" s="170">
        <v>1</v>
      </c>
      <c r="F26" s="170">
        <v>8</v>
      </c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" thickBot="1">
      <c r="A27" s="242">
        <f>ELEC!C24</f>
        <v>44218</v>
      </c>
      <c r="B27" s="170"/>
      <c r="C27" s="170"/>
      <c r="D27" s="170"/>
      <c r="E27" s="170"/>
      <c r="F27" s="170"/>
      <c r="G27" s="170"/>
      <c r="H27" s="596">
        <f t="shared" si="3"/>
        <v>6713</v>
      </c>
      <c r="I27" s="516">
        <f t="shared" si="2"/>
        <v>0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6713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6713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6713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6713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6713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6713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6713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6713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6713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D10" sqref="D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411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'[10]Degree Days 2020'!E10</f>
        <v>1</v>
      </c>
      <c r="F10" s="274"/>
      <c r="G10" s="274"/>
      <c r="H10" s="274">
        <f>(F10+G10)/2-18.3</f>
        <v>-18.3</v>
      </c>
      <c r="I10" s="274">
        <f>'[7]Degree Days 2018'!I10</f>
        <v>1</v>
      </c>
      <c r="J10" s="274"/>
      <c r="K10" s="274"/>
      <c r="L10" s="274">
        <f>(J10+K10)/2-18.3</f>
        <v>-18.3</v>
      </c>
      <c r="M10" s="274">
        <f>'[10]Degree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-241.90000000000006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'[10]Degree Days 2020'!E11</f>
        <v>2</v>
      </c>
      <c r="F11" s="274"/>
      <c r="G11" s="274"/>
      <c r="H11" s="274">
        <f t="shared" ref="H11:H38" si="1">(F11+G11)/2-18.3</f>
        <v>-18.3</v>
      </c>
      <c r="I11" s="274">
        <f>'[7]Degree Days 2018'!I11</f>
        <v>2</v>
      </c>
      <c r="J11" s="274"/>
      <c r="K11" s="274"/>
      <c r="L11" s="274">
        <f t="shared" ref="L11:L40" si="2">(J11+K11)/2-18.3</f>
        <v>-18.3</v>
      </c>
      <c r="M11" s="274">
        <f>'[10]Degree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'[10]Degree Days 2020'!E12</f>
        <v>3</v>
      </c>
      <c r="F12" s="274"/>
      <c r="G12" s="274"/>
      <c r="H12" s="274">
        <f t="shared" si="1"/>
        <v>-18.3</v>
      </c>
      <c r="I12" s="274">
        <f>'[7]Degree Days 2018'!I12</f>
        <v>3</v>
      </c>
      <c r="J12" s="274"/>
      <c r="K12" s="274"/>
      <c r="L12" s="274">
        <f t="shared" si="2"/>
        <v>-18.3</v>
      </c>
      <c r="M12" s="274">
        <f>'[10]Degree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'[10]Degree Days 2020'!E13</f>
        <v>4</v>
      </c>
      <c r="F13" s="274"/>
      <c r="G13" s="274"/>
      <c r="H13" s="274">
        <f t="shared" si="1"/>
        <v>-18.3</v>
      </c>
      <c r="I13" s="274">
        <f>'[7]Degree Days 2018'!I13</f>
        <v>4</v>
      </c>
      <c r="J13" s="274"/>
      <c r="K13" s="274"/>
      <c r="L13" s="274">
        <f t="shared" si="2"/>
        <v>-18.3</v>
      </c>
      <c r="M13" s="274">
        <f>'[10]Degree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'[10]Degree Days 2020'!E14</f>
        <v>5</v>
      </c>
      <c r="F14" s="274"/>
      <c r="G14" s="274"/>
      <c r="H14" s="274">
        <f t="shared" si="1"/>
        <v>-18.3</v>
      </c>
      <c r="I14" s="274">
        <f>'[7]Degree Days 2018'!I14</f>
        <v>5</v>
      </c>
      <c r="J14" s="274"/>
      <c r="K14" s="274"/>
      <c r="L14" s="274">
        <f t="shared" si="2"/>
        <v>-18.3</v>
      </c>
      <c r="M14" s="274">
        <f>'[10]Degree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'[10]Degree Days 2020'!E15</f>
        <v>6</v>
      </c>
      <c r="F15" s="274"/>
      <c r="G15" s="274"/>
      <c r="H15" s="274">
        <f t="shared" si="1"/>
        <v>-18.3</v>
      </c>
      <c r="I15" s="274">
        <f>'[7]Degree Days 2018'!I15</f>
        <v>6</v>
      </c>
      <c r="J15" s="274"/>
      <c r="K15" s="274"/>
      <c r="L15" s="274">
        <f t="shared" si="2"/>
        <v>-18.3</v>
      </c>
      <c r="M15" s="274">
        <f>'[10]Degree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'[10]Degree Days 2020'!E16</f>
        <v>7</v>
      </c>
      <c r="F16" s="274"/>
      <c r="G16" s="274"/>
      <c r="H16" s="274">
        <f t="shared" si="1"/>
        <v>-18.3</v>
      </c>
      <c r="I16" s="274">
        <f>'[7]Degree Days 2018'!I16</f>
        <v>7</v>
      </c>
      <c r="J16" s="274"/>
      <c r="K16" s="274"/>
      <c r="L16" s="274">
        <f t="shared" si="2"/>
        <v>-18.3</v>
      </c>
      <c r="M16" s="274">
        <f>'[10]Degree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'[10]Degree Days 2020'!E17</f>
        <v>8</v>
      </c>
      <c r="F17" s="274"/>
      <c r="G17" s="274"/>
      <c r="H17" s="274">
        <f t="shared" si="1"/>
        <v>-18.3</v>
      </c>
      <c r="I17" s="274">
        <f>'[7]Degree Days 2018'!I17</f>
        <v>8</v>
      </c>
      <c r="J17" s="274"/>
      <c r="K17" s="274"/>
      <c r="L17" s="274">
        <f t="shared" si="2"/>
        <v>-18.3</v>
      </c>
      <c r="M17" s="274">
        <f>'[10]Degree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'[10]Degree Days 2020'!E18</f>
        <v>9</v>
      </c>
      <c r="F18" s="274"/>
      <c r="G18" s="274"/>
      <c r="H18" s="274">
        <f t="shared" si="1"/>
        <v>-18.3</v>
      </c>
      <c r="I18" s="274">
        <f>'[7]Degree Days 2018'!I18</f>
        <v>9</v>
      </c>
      <c r="J18" s="274"/>
      <c r="K18" s="274"/>
      <c r="L18" s="274">
        <f t="shared" si="2"/>
        <v>-18.3</v>
      </c>
      <c r="M18" s="274">
        <f>'[10]Degree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'[10]Degree Days 2020'!E19</f>
        <v>10</v>
      </c>
      <c r="F19" s="274"/>
      <c r="G19" s="274"/>
      <c r="H19" s="274">
        <f t="shared" si="1"/>
        <v>-18.3</v>
      </c>
      <c r="I19" s="274">
        <f>'[7]Degree Days 2018'!I19</f>
        <v>10</v>
      </c>
      <c r="J19" s="274"/>
      <c r="K19" s="274"/>
      <c r="L19" s="274">
        <f t="shared" si="2"/>
        <v>-18.3</v>
      </c>
      <c r="M19" s="274">
        <f>'[10]Degree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'[10]Degree Days 2020'!E20</f>
        <v>11</v>
      </c>
      <c r="F20" s="274"/>
      <c r="G20" s="274"/>
      <c r="H20" s="274">
        <f t="shared" si="1"/>
        <v>-18.3</v>
      </c>
      <c r="I20" s="274">
        <f>'[7]Degree Days 2018'!I20</f>
        <v>11</v>
      </c>
      <c r="J20" s="274"/>
      <c r="K20" s="274"/>
      <c r="L20" s="274">
        <f t="shared" si="2"/>
        <v>-18.3</v>
      </c>
      <c r="M20" s="274">
        <f>'[10]Degree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'[10]Degree Days 2020'!E21</f>
        <v>12</v>
      </c>
      <c r="F21" s="274"/>
      <c r="G21" s="274"/>
      <c r="H21" s="274">
        <f t="shared" si="1"/>
        <v>-18.3</v>
      </c>
      <c r="I21" s="274">
        <f>'[7]Degree Days 2018'!I21</f>
        <v>12</v>
      </c>
      <c r="J21" s="274"/>
      <c r="K21" s="274"/>
      <c r="L21" s="274">
        <f t="shared" si="2"/>
        <v>-18.3</v>
      </c>
      <c r="M21" s="274">
        <f>'[10]Degree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'[10]Degree Days 2020'!E22</f>
        <v>13</v>
      </c>
      <c r="F22" s="274"/>
      <c r="G22" s="274"/>
      <c r="H22" s="274">
        <f t="shared" si="1"/>
        <v>-18.3</v>
      </c>
      <c r="I22" s="274">
        <f>'[7]Degree Days 2018'!I22</f>
        <v>13</v>
      </c>
      <c r="J22" s="274"/>
      <c r="K22" s="274"/>
      <c r="L22" s="274">
        <f t="shared" si="2"/>
        <v>-18.3</v>
      </c>
      <c r="M22" s="274">
        <f>'[10]Degree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'[10]Degree Days 2020'!E23</f>
        <v>14</v>
      </c>
      <c r="F23" s="274"/>
      <c r="G23" s="274"/>
      <c r="H23" s="274">
        <f t="shared" si="1"/>
        <v>-18.3</v>
      </c>
      <c r="I23" s="274">
        <f>'[7]Degree Days 2018'!I23</f>
        <v>14</v>
      </c>
      <c r="J23" s="274"/>
      <c r="K23" s="274"/>
      <c r="L23" s="274">
        <f t="shared" si="2"/>
        <v>-18.3</v>
      </c>
      <c r="M23" s="274">
        <f>'[10]Degree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-241.90000000000006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'[10]Degree Days 2020'!E24</f>
        <v>15</v>
      </c>
      <c r="F24" s="274"/>
      <c r="G24" s="274"/>
      <c r="H24" s="274">
        <f t="shared" si="1"/>
        <v>-18.3</v>
      </c>
      <c r="I24" s="274">
        <f>'[7]Degree Days 2018'!I24</f>
        <v>15</v>
      </c>
      <c r="J24" s="274"/>
      <c r="K24" s="274"/>
      <c r="L24" s="274">
        <f t="shared" si="2"/>
        <v>-18.3</v>
      </c>
      <c r="M24" s="274">
        <f>'[10]Degree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'[10]Degree Days 2020'!E25</f>
        <v>16</v>
      </c>
      <c r="F25" s="274"/>
      <c r="G25" s="274"/>
      <c r="H25" s="274">
        <f t="shared" si="1"/>
        <v>-18.3</v>
      </c>
      <c r="I25" s="274">
        <f>'[7]Degree Days 2018'!I25</f>
        <v>16</v>
      </c>
      <c r="J25" s="274"/>
      <c r="K25" s="274"/>
      <c r="L25" s="274">
        <f t="shared" si="2"/>
        <v>-18.3</v>
      </c>
      <c r="M25" s="274">
        <f>'[10]Degree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15</v>
      </c>
      <c r="C26" s="274">
        <f>'General information '!C22</f>
        <v>12</v>
      </c>
      <c r="D26" s="274">
        <f t="shared" si="0"/>
        <v>-4.8000000000000007</v>
      </c>
      <c r="E26" s="274">
        <f>'[10]Degree Days 2020'!E26</f>
        <v>17</v>
      </c>
      <c r="F26" s="274"/>
      <c r="G26" s="274"/>
      <c r="H26" s="274">
        <f t="shared" si="1"/>
        <v>-18.3</v>
      </c>
      <c r="I26" s="274">
        <f>'[7]Degree Days 2018'!I26</f>
        <v>17</v>
      </c>
      <c r="J26" s="274"/>
      <c r="K26" s="274"/>
      <c r="L26" s="274">
        <f t="shared" si="2"/>
        <v>-18.3</v>
      </c>
      <c r="M26" s="274">
        <f>'[10]Degree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14</v>
      </c>
      <c r="C27" s="274">
        <f>'General information '!C23</f>
        <v>8</v>
      </c>
      <c r="D27" s="274">
        <f t="shared" si="0"/>
        <v>-7.3000000000000007</v>
      </c>
      <c r="E27" s="274">
        <f>'[10]Degree Days 2020'!E27</f>
        <v>18</v>
      </c>
      <c r="F27" s="274"/>
      <c r="G27" s="274"/>
      <c r="H27" s="274">
        <f t="shared" si="1"/>
        <v>-18.3</v>
      </c>
      <c r="I27" s="274">
        <f>'[7]Degree Days 2018'!I27</f>
        <v>18</v>
      </c>
      <c r="J27" s="274"/>
      <c r="K27" s="274"/>
      <c r="L27" s="274">
        <f t="shared" si="2"/>
        <v>-18.3</v>
      </c>
      <c r="M27" s="274">
        <f>'[10]Degree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17</v>
      </c>
      <c r="C28" s="274">
        <f>'General information '!C24</f>
        <v>10</v>
      </c>
      <c r="D28" s="274">
        <f t="shared" si="0"/>
        <v>-4.8000000000000007</v>
      </c>
      <c r="E28" s="274">
        <f>'[10]Degree Days 2020'!E28</f>
        <v>19</v>
      </c>
      <c r="F28" s="274"/>
      <c r="G28" s="274"/>
      <c r="H28" s="274">
        <f t="shared" si="1"/>
        <v>-18.3</v>
      </c>
      <c r="I28" s="274">
        <f>'[7]Degree Days 2018'!I28</f>
        <v>19</v>
      </c>
      <c r="J28" s="274"/>
      <c r="K28" s="274"/>
      <c r="L28" s="274">
        <f t="shared" si="2"/>
        <v>-18.3</v>
      </c>
      <c r="M28" s="274">
        <f>'[10]Degree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17</v>
      </c>
      <c r="C29" s="274">
        <f>'General information '!C25</f>
        <v>10</v>
      </c>
      <c r="D29" s="274">
        <f t="shared" si="0"/>
        <v>-4.8000000000000007</v>
      </c>
      <c r="E29" s="274">
        <f>'[10]Degree Days 2020'!E29</f>
        <v>20</v>
      </c>
      <c r="F29" s="274"/>
      <c r="G29" s="274"/>
      <c r="H29" s="274">
        <f t="shared" si="1"/>
        <v>-18.3</v>
      </c>
      <c r="I29" s="274">
        <f>'[7]Degree Days 2018'!I29</f>
        <v>20</v>
      </c>
      <c r="J29" s="274"/>
      <c r="K29" s="274"/>
      <c r="L29" s="274">
        <f t="shared" si="2"/>
        <v>-18.3</v>
      </c>
      <c r="M29" s="274">
        <f>'[10]Degree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0</v>
      </c>
      <c r="C30" s="274">
        <f>'General information '!C26</f>
        <v>0</v>
      </c>
      <c r="D30" s="274">
        <f t="shared" si="0"/>
        <v>-18.3</v>
      </c>
      <c r="E30" s="274">
        <f>'[10]Degree Days 2020'!E30</f>
        <v>21</v>
      </c>
      <c r="F30" s="274"/>
      <c r="G30" s="274"/>
      <c r="H30" s="274">
        <f t="shared" si="1"/>
        <v>-18.3</v>
      </c>
      <c r="I30" s="274">
        <f>'[7]Degree Days 2018'!I30</f>
        <v>21</v>
      </c>
      <c r="J30" s="274"/>
      <c r="K30" s="274"/>
      <c r="L30" s="274">
        <f t="shared" si="2"/>
        <v>-18.3</v>
      </c>
      <c r="M30" s="274">
        <f>'[10]Degree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'[10]Degree Days 2020'!E31</f>
        <v>22</v>
      </c>
      <c r="F31" s="274"/>
      <c r="G31" s="274"/>
      <c r="H31" s="274">
        <f t="shared" si="1"/>
        <v>-18.3</v>
      </c>
      <c r="I31" s="274">
        <f>'[7]Degree Days 2018'!I31</f>
        <v>22</v>
      </c>
      <c r="J31" s="274"/>
      <c r="K31" s="274"/>
      <c r="L31" s="274">
        <f t="shared" si="2"/>
        <v>-18.3</v>
      </c>
      <c r="M31" s="274">
        <f>'[10]Degree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'[10]Degree Days 2020'!E32</f>
        <v>23</v>
      </c>
      <c r="F32" s="274"/>
      <c r="G32" s="274"/>
      <c r="H32" s="274">
        <f t="shared" si="1"/>
        <v>-18.3</v>
      </c>
      <c r="I32" s="274">
        <f>'[7]Degree Days 2018'!I32</f>
        <v>23</v>
      </c>
      <c r="J32" s="274"/>
      <c r="K32" s="274"/>
      <c r="L32" s="274">
        <f t="shared" si="2"/>
        <v>-18.3</v>
      </c>
      <c r="M32" s="274">
        <f>'[10]Degree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'[10]Degree Days 2020'!E33</f>
        <v>24</v>
      </c>
      <c r="F33" s="274"/>
      <c r="G33" s="274"/>
      <c r="H33" s="274">
        <f t="shared" si="1"/>
        <v>-18.3</v>
      </c>
      <c r="I33" s="274">
        <f>'[7]Degree Days 2018'!I33</f>
        <v>24</v>
      </c>
      <c r="J33" s="274"/>
      <c r="K33" s="274"/>
      <c r="L33" s="274">
        <f t="shared" si="2"/>
        <v>-18.3</v>
      </c>
      <c r="M33" s="274">
        <f>'[10]Degree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'[10]Degree Days 2020'!E34</f>
        <v>25</v>
      </c>
      <c r="F34" s="274"/>
      <c r="G34" s="274"/>
      <c r="H34" s="274">
        <f t="shared" si="1"/>
        <v>-18.3</v>
      </c>
      <c r="I34" s="274">
        <f>'[7]Degree Days 2018'!I34</f>
        <v>25</v>
      </c>
      <c r="J34" s="274"/>
      <c r="K34" s="274"/>
      <c r="L34" s="274">
        <f t="shared" si="2"/>
        <v>-18.3</v>
      </c>
      <c r="M34" s="274">
        <f>'[10]Degree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'[10]Degree Days 2020'!E35</f>
        <v>26</v>
      </c>
      <c r="F35" s="274"/>
      <c r="G35" s="274"/>
      <c r="H35" s="274">
        <f t="shared" si="1"/>
        <v>-18.3</v>
      </c>
      <c r="I35" s="274">
        <f>'[7]Degree Days 2018'!I35</f>
        <v>26</v>
      </c>
      <c r="J35" s="274"/>
      <c r="K35" s="274"/>
      <c r="L35" s="274">
        <f t="shared" si="2"/>
        <v>-18.3</v>
      </c>
      <c r="M35" s="274">
        <f>'[10]Degree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'[10]Degree Days 2020'!E36</f>
        <v>27</v>
      </c>
      <c r="F36" s="274"/>
      <c r="G36" s="274"/>
      <c r="H36" s="274">
        <f t="shared" si="1"/>
        <v>-18.3</v>
      </c>
      <c r="I36" s="274">
        <f>'[7]Degree Days 2018'!I36</f>
        <v>27</v>
      </c>
      <c r="J36" s="274"/>
      <c r="K36" s="274"/>
      <c r="L36" s="274">
        <f t="shared" si="2"/>
        <v>-18.3</v>
      </c>
      <c r="M36" s="274">
        <f>'[10]Degree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'[10]Degree Days 2020'!E37</f>
        <v>28</v>
      </c>
      <c r="F37" s="274"/>
      <c r="G37" s="274"/>
      <c r="H37" s="274">
        <f t="shared" si="1"/>
        <v>-18.3</v>
      </c>
      <c r="I37" s="274">
        <f>'[7]Degree Days 2018'!I37</f>
        <v>28</v>
      </c>
      <c r="J37" s="274"/>
      <c r="K37" s="274"/>
      <c r="L37" s="274">
        <f t="shared" si="2"/>
        <v>-18.3</v>
      </c>
      <c r="M37" s="274">
        <f>'[10]Degree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'[10]Degree Days 2020'!E38</f>
        <v>29</v>
      </c>
      <c r="F38" s="274"/>
      <c r="G38" s="274"/>
      <c r="H38" s="274">
        <f t="shared" si="1"/>
        <v>-18.3</v>
      </c>
      <c r="I38" s="274">
        <f>'[7]Degree Days 2018'!I38</f>
        <v>29</v>
      </c>
      <c r="J38" s="274"/>
      <c r="K38" s="274"/>
      <c r="L38" s="274">
        <f t="shared" si="2"/>
        <v>-18.3</v>
      </c>
      <c r="M38" s="274">
        <f>'[10]Degree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'[7]Degree Days 2018'!I39</f>
        <v>30</v>
      </c>
      <c r="J39" s="274"/>
      <c r="K39" s="274"/>
      <c r="L39" s="274">
        <f t="shared" si="2"/>
        <v>-18.3</v>
      </c>
      <c r="M39" s="274">
        <f>'[10]Degree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'[7]Degree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-241.90000000000006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-6372.4000000000015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5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21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717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5554.8387096774186</v>
      </c>
      <c r="G7" s="517">
        <v>7500</v>
      </c>
      <c r="H7" s="190">
        <f>'[12]Budget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434.9561904761905</v>
      </c>
      <c r="F8" s="193">
        <f>SUM(E8*F4)</f>
        <v>9134.08</v>
      </c>
      <c r="G8" s="517">
        <f>E8*$F$4</f>
        <v>9134.08</v>
      </c>
      <c r="H8" s="190">
        <f>'[12]Budget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'[12]Budget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12180309.193548387</v>
      </c>
      <c r="E10" s="183">
        <f>SUM(D10/D4/F4)</f>
        <v>384.75271874116362</v>
      </c>
      <c r="F10" s="183">
        <f>SUM(E10*F4)</f>
        <v>8079.8070935644364</v>
      </c>
      <c r="G10" s="517">
        <f>E10*$G$4</f>
        <v>11927.334280976072</v>
      </c>
      <c r="H10" s="190">
        <f>'[12]Budget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1084.2250382496122</v>
      </c>
      <c r="F12" s="181">
        <f>SUM(F6:F10)</f>
        <v>22768.725803241854</v>
      </c>
      <c r="G12" s="180">
        <f>SUM(G6:G10)</f>
        <v>28561.414280976074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29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'[13]Utility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-28747.337949131455</v>
      </c>
      <c r="I14" s="427">
        <f>SUM(G12-I12)</f>
        <v>-28747.337949131455</v>
      </c>
    </row>
    <row r="15" spans="1:11">
      <c r="A15" s="455" t="s">
        <v>303</v>
      </c>
      <c r="B15" s="97">
        <f>'Degree Days 2020'!AA19</f>
        <v>0</v>
      </c>
      <c r="C15" s="438">
        <f>'[13]Utility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15.619047619047619</v>
      </c>
      <c r="C16" s="438">
        <f>'[13]Utility Cost '!C16</f>
        <v>14.53225806451613</v>
      </c>
      <c r="D16" s="438"/>
      <c r="E16" s="439">
        <f t="shared" si="0"/>
        <v>1.0867895545314887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'[13]Utility Cost '!C17</f>
        <v>0.54777741935483859</v>
      </c>
      <c r="D17" s="483">
        <f>'[14]Other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75</v>
      </c>
      <c r="C18" s="438">
        <f>'[13]Utility Cost '!C18</f>
        <v>116</v>
      </c>
      <c r="D18" s="436">
        <f>'[14]Other Fuel Calculation 2020'!$M$60</f>
        <v>277.85866666666664</v>
      </c>
      <c r="E18" s="532">
        <f t="shared" si="0"/>
        <v>-41</v>
      </c>
      <c r="F18" s="535">
        <f>B18-D18</f>
        <v>-202.85866666666664</v>
      </c>
    </row>
    <row r="19" spans="1:10">
      <c r="A19" s="529" t="s">
        <v>413</v>
      </c>
      <c r="B19" s="527">
        <f>SUM(B18/$F$4)</f>
        <v>3.5714285714285716</v>
      </c>
      <c r="C19" s="438">
        <f>'[13]Utility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2021-01-22T07:23:28Z</dcterms:modified>
</cp:coreProperties>
</file>