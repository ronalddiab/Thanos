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I3" i="3" s="1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BB33" i="6" l="1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<sst xmlns="http://schemas.openxmlformats.org/spreadsheetml/2006/main" count="313" uniqueCount="148">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</sst>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 t="e">
        <f>Submetering!E3+Submetering!F3+Submetering!G3+Submetering!H3+Submetering!J3-Submetering!AV3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 t="e">
        <f>'FS Desroches Daily'!CM5</f>
        <v>#VALUE!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420.00000000001592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 t="str">
        <f>IF(LPG!F9-LPG!F8&lt;0,"0",(LPG!F9-LPG!F8)*1.8315)</f>
        <v>0</v>
      </c>
      <c r="AY2" s="31" t="str">
        <f>IF(LPG!H9-LPG!H8&lt;0,"0",(LPG!H9-LPG!H8)*1.8315)</f>
        <v>0</v>
      </c>
      <c r="AZ2" s="31" t="str">
        <f>IF(LPG!J9-LPG!J8&lt;0,"0",(LPG!J9-LPG!J8)*1.8315)</f>
        <v>0</v>
      </c>
      <c r="BA2" s="31" t="str">
        <f>IF(LPG!M9-LPG!M8&lt;0,"0",(LPG!M9-LPG!M8)*1.8315)</f>
        <v>0</v>
      </c>
      <c r="BB2" s="31" t="str">
        <f>IF(LPG!Q9-LPG!Q8&lt;0,"0",(LPG!Q9-LPG!Q8)*1.8315)</f>
        <v>0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 t="str">
        <f>'FS Desroches Daily'!D5</f>
        <v>0</v>
      </c>
      <c r="F3" s="32" t="str">
        <f>'FS Desroches Daily'!F5</f>
        <v>0</v>
      </c>
      <c r="G3" s="31" t="str">
        <f>'FS Desroches Daily'!H5</f>
        <v>0</v>
      </c>
      <c r="H3" s="32" t="str">
        <f>'FS Desroches Daily'!J5</f>
        <v>0</v>
      </c>
      <c r="I3" s="31" t="str">
        <f>'FS Desroches Daily'!L5</f>
        <v>0</v>
      </c>
      <c r="J3" s="32" t="str">
        <f>'FS Desroches Daily'!N5</f>
        <v/>
      </c>
      <c r="K3" s="13" t="str">
        <f>'FS Desroches Daily'!P5</f>
        <v/>
      </c>
      <c r="L3" s="31" t="str">
        <f>'FS Desroches Daily'!R5</f>
        <v/>
      </c>
      <c r="M3" s="31" t="str">
        <f>'FS Desroches Daily'!T5</f>
        <v/>
      </c>
      <c r="N3" s="31" t="str">
        <f>'FS Desroches Daily'!V5</f>
        <v/>
      </c>
      <c r="O3" s="31">
        <f>'FS Desroches Daily'!X6</f>
        <v>0</v>
      </c>
      <c r="P3" s="31" t="str">
        <f>'FS Desroches Daily'!Z5</f>
        <v/>
      </c>
      <c r="Q3" s="31" t="str">
        <f>'FS Desroches Daily'!AB5</f>
        <v/>
      </c>
      <c r="R3" s="31" t="str">
        <f>'FS Desroches Daily'!AD5</f>
        <v/>
      </c>
      <c r="S3" s="31" t="str">
        <f>'FS Desroches Daily'!AF5</f>
        <v/>
      </c>
      <c r="T3" s="31" t="str">
        <f>'FS Desroches Daily'!AH5</f>
        <v/>
      </c>
      <c r="U3" s="35" t="str">
        <f>'FS Desroches Daily'!AJ5</f>
        <v/>
      </c>
      <c r="V3" s="35" t="str">
        <f>'FS Desroches Daily'!AL5</f>
        <v/>
      </c>
      <c r="W3" s="35" t="str">
        <f>'FS Desroches Daily'!AN5</f>
        <v/>
      </c>
      <c r="X3" s="35" t="str">
        <f>'FS Desroches Daily'!AP5</f>
        <v/>
      </c>
      <c r="Y3" s="35" t="str">
        <f>'FS Desroches Daily'!AR5</f>
        <v/>
      </c>
      <c r="Z3" s="35" t="str">
        <f>'FS Desroches Daily'!AT5</f>
        <v/>
      </c>
      <c r="AA3" s="35" t="str">
        <f>'FS Desroches Daily'!AT5</f>
        <v/>
      </c>
      <c r="AB3" s="35" t="str">
        <f>'FS Desroches Daily'!AV5</f>
        <v/>
      </c>
      <c r="AC3" s="35" t="str">
        <f>'FS Desroches Daily'!AZ5</f>
        <v/>
      </c>
      <c r="AD3" s="35" t="str">
        <f>'FS Desroches Daily'!BB5</f>
        <v/>
      </c>
      <c r="AE3" s="35" t="str">
        <f>'FS Desroches Daily'!BD5</f>
        <v/>
      </c>
      <c r="AF3" s="31" t="str">
        <f>'FS Desroches Daily'!BF5</f>
        <v/>
      </c>
      <c r="AG3" s="32" t="str">
        <f>'FS Desroches Daily'!BH5</f>
        <v/>
      </c>
      <c r="AH3" s="32" t="str">
        <f>'FS Desroches Daily'!BJ5</f>
        <v/>
      </c>
      <c r="AI3" s="32" t="str">
        <f>'FS Desroches Daily'!BL5</f>
        <v/>
      </c>
      <c r="AJ3" s="32" t="str">
        <f>'FS Desroches Daily'!BN5</f>
        <v/>
      </c>
      <c r="AK3" s="32" t="str">
        <f>'FS Desroches Daily'!BP5</f>
        <v/>
      </c>
      <c r="AL3" s="32" t="str">
        <f>'FS Desroches Daily'!BR5</f>
        <v/>
      </c>
      <c r="AM3" s="32" t="str">
        <f>'FS Desroches Daily'!BT5</f>
        <v/>
      </c>
      <c r="AN3" s="32" t="str">
        <f>'FS Desroches Daily'!BV5</f>
        <v/>
      </c>
      <c r="AO3" s="32" t="str">
        <f>'FS Desroches Daily'!BX5</f>
        <v/>
      </c>
      <c r="AP3" s="32" t="str">
        <f>'FS Desroches Daily'!BZ5</f>
        <v/>
      </c>
      <c r="AQ3" s="31" t="str">
        <f>'FS Desroches Daily'!CB5</f>
        <v/>
      </c>
      <c r="AR3" s="31" t="str">
        <f>'FS Desroches Daily'!CD5</f>
        <v/>
      </c>
      <c r="AS3" s="31" t="str">
        <f>'FS Desroches Daily'!CF5</f>
        <v/>
      </c>
      <c r="AT3" s="31" t="str">
        <f>'FS Desroches Daily'!CH5</f>
        <v/>
      </c>
      <c r="AU3" s="31" t="str">
        <f>'FS Desroches Daily'!CJ5</f>
        <v/>
      </c>
      <c r="AV3" s="31" t="str">
        <f>'FS Desroches Daily'!CL5</f>
        <v/>
      </c>
      <c r="AW3" s="31" t="e">
        <f>'FS Desroches Daily'!CM5</f>
        <v>#VALUE!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2200.0000000002019</v>
      </c>
      <c r="F33" s="17">
        <f t="shared" ref="F33:BC33" si="1">SUM(F2:F32)</f>
        <v>3699.9999999998145</v>
      </c>
      <c r="G33" s="17">
        <f t="shared" si="1"/>
        <v>3400.0000000000696</v>
      </c>
      <c r="H33" s="17">
        <f t="shared" si="1"/>
        <v>1500.0000000000568</v>
      </c>
      <c r="I33" s="17">
        <f t="shared" si="1"/>
        <v>2499.9999999999468</v>
      </c>
      <c r="J33" s="17">
        <f t="shared" si="1"/>
        <v>999.99999999988984</v>
      </c>
      <c r="K33" s="17">
        <f t="shared" si="1"/>
        <v>8</v>
      </c>
      <c r="L33" s="17">
        <f t="shared" si="1"/>
        <v>4</v>
      </c>
      <c r="M33" s="17">
        <f t="shared" si="1"/>
        <v>707.59999999997672</v>
      </c>
      <c r="N33" s="17">
        <f t="shared" si="1"/>
        <v>292.69999999995343</v>
      </c>
      <c r="O33" s="17">
        <f t="shared" si="1"/>
        <v>319.99999999999318</v>
      </c>
      <c r="P33" s="17">
        <f t="shared" si="1"/>
        <v>2599.9999999997135</v>
      </c>
      <c r="Q33" s="17">
        <f t="shared" si="1"/>
        <v>189.99999999999773</v>
      </c>
      <c r="R33" s="17">
        <f t="shared" si="1"/>
        <v>310.00000000000227</v>
      </c>
      <c r="S33" s="17">
        <f t="shared" si="1"/>
        <v>230.00000000001819</v>
      </c>
      <c r="T33" s="17">
        <f t="shared" si="1"/>
        <v>32</v>
      </c>
      <c r="U33" s="35">
        <f t="shared" si="1"/>
        <v>500</v>
      </c>
      <c r="V33" s="35">
        <f t="shared" si="1"/>
        <v>259.99999999999091</v>
      </c>
      <c r="W33" s="35">
        <f t="shared" si="1"/>
        <v>130.00000000002387</v>
      </c>
      <c r="X33" s="35">
        <f t="shared" si="1"/>
        <v>70.0000000000216</v>
      </c>
      <c r="Y33" s="35">
        <f t="shared" si="1"/>
        <v>189.99999999999773</v>
      </c>
      <c r="Z33" s="35">
        <f t="shared" si="1"/>
        <v>129.99999999999545</v>
      </c>
      <c r="AA33" s="35">
        <f t="shared" si="1"/>
        <v>129.99999999999545</v>
      </c>
      <c r="AB33" s="35">
        <f t="shared" si="1"/>
        <v>60.000000000002274</v>
      </c>
      <c r="AC33" s="35">
        <f t="shared" si="1"/>
        <v>60.000000000002274</v>
      </c>
      <c r="AD33" s="35">
        <f t="shared" si="1"/>
        <v>19.99999999998181</v>
      </c>
      <c r="AE33" s="35">
        <f t="shared" si="1"/>
        <v>420.00000000001592</v>
      </c>
      <c r="AF33" s="17">
        <f t="shared" si="1"/>
        <v>24</v>
      </c>
      <c r="AG33" s="32">
        <f t="shared" si="1"/>
        <v>19.99999999998181</v>
      </c>
      <c r="AH33" s="32">
        <f t="shared" si="1"/>
        <v>40.000000000020464</v>
      </c>
      <c r="AI33" s="32">
        <f t="shared" si="1"/>
        <v>20.000000000010232</v>
      </c>
      <c r="AJ33" s="32">
        <f t="shared" si="1"/>
        <v>39.999999999992042</v>
      </c>
      <c r="AK33" s="32">
        <f t="shared" si="1"/>
        <v>29.999999999972715</v>
      </c>
      <c r="AL33" s="32">
        <f t="shared" si="1"/>
        <v>24</v>
      </c>
      <c r="AM33" s="32">
        <f t="shared" si="1"/>
        <v>30.000000000001137</v>
      </c>
      <c r="AN33" s="32">
        <f t="shared" si="1"/>
        <v>42</v>
      </c>
      <c r="AO33" s="32">
        <f t="shared" si="1"/>
        <v>30.000000000001137</v>
      </c>
      <c r="AP33" s="32">
        <f t="shared" si="1"/>
        <v>38</v>
      </c>
      <c r="AQ33" s="17">
        <f t="shared" si="1"/>
        <v>27.299999999999272</v>
      </c>
      <c r="AR33" s="17">
        <f t="shared" si="1"/>
        <v>9.5</v>
      </c>
      <c r="AS33" s="17">
        <f t="shared" si="1"/>
        <v>0.5</v>
      </c>
      <c r="AT33" s="17">
        <f t="shared" si="1"/>
        <v>39.200000000004366</v>
      </c>
      <c r="AU33" s="17">
        <f t="shared" si="1"/>
        <v>274</v>
      </c>
      <c r="AV33" s="17">
        <f t="shared" si="1"/>
        <v>939.99999999994088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0</v>
      </c>
      <c r="BC33" s="17">
        <f t="shared" si="1"/>
        <v>6</v>
      </c>
    </row>
    <row r="35" spans="5:55" x14ac:dyDescent="0.25">
      <c r="E35" s="38">
        <f>E33/E37</f>
        <v>0.74880871341054411</v>
      </c>
      <c r="G35" s="29">
        <f>G33-M36</f>
        <v>2399.7000000001394</v>
      </c>
      <c r="AE35" s="35">
        <f>SUM(U33:AE33)</f>
        <v>1970.0000000000273</v>
      </c>
      <c r="AG35" s="32">
        <f>SUM(AG33:AP33)</f>
        <v>313.99999999997954</v>
      </c>
    </row>
    <row r="36" spans="5:55" x14ac:dyDescent="0.25">
      <c r="G36" s="29">
        <f>G35-633*14</f>
        <v>-6462.299999999861</v>
      </c>
      <c r="M36" s="29">
        <f>M33+N33</f>
        <v>1000.2999999999302</v>
      </c>
    </row>
    <row r="37" spans="5:55" x14ac:dyDescent="0.25">
      <c r="E37" s="17">
        <f>E33+F33+G33+H33+J33-633*14</f>
        <v>2938.0000000000309</v>
      </c>
      <c r="G37" s="37">
        <f>M36/E37</f>
        <v>0.34046970728383924</v>
      </c>
      <c r="M37" s="35">
        <f>AE35</f>
        <v>1970.0000000000273</v>
      </c>
    </row>
    <row r="38" spans="5:55" x14ac:dyDescent="0.25">
      <c r="L38" s="27">
        <f>M38/E37</f>
        <v>0.10687542545948817</v>
      </c>
      <c r="M38" s="29">
        <f>AG35</f>
        <v>313.99999999997954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V1" zoomScale="80" zoomScaleNormal="80" workbookViewId="0">
      <pane ySplit="1" topLeftCell="A2" activePane="bottomLeft" state="frozen"/>
      <selection pane="bottomLeft" activeCell="BH11" sqref="BH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241.55</v>
      </c>
      <c r="BD4" s="65">
        <f t="shared" ref="BD4:BD34" si="22">IF((BC4-BC3&lt;0), "",(BC4-BC3)*1000)</f>
        <v>420.00000000001592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/>
      <c r="D5" s="64" t="str">
        <f t="shared" si="0"/>
        <v>0</v>
      </c>
      <c r="E5" s="58"/>
      <c r="F5" s="64" t="str">
        <f t="shared" si="1"/>
        <v>0</v>
      </c>
      <c r="G5" s="58"/>
      <c r="H5" s="64" t="str">
        <f t="shared" si="2"/>
        <v>0</v>
      </c>
      <c r="I5" s="58"/>
      <c r="J5" s="64" t="str">
        <f t="shared" si="3"/>
        <v>0</v>
      </c>
      <c r="K5" s="58"/>
      <c r="L5" s="64" t="str">
        <f t="shared" si="4"/>
        <v>0</v>
      </c>
      <c r="M5" s="58"/>
      <c r="N5" s="64" t="str">
        <f t="shared" si="5"/>
        <v/>
      </c>
      <c r="O5" s="58"/>
      <c r="P5" s="67" t="str">
        <f>IF((O5-O4&lt;0), "",O5-O4)</f>
        <v/>
      </c>
      <c r="Q5" s="58"/>
      <c r="R5" s="67" t="str">
        <f t="shared" si="6"/>
        <v/>
      </c>
      <c r="S5" s="58"/>
      <c r="T5" s="67" t="str">
        <f t="shared" si="7"/>
        <v/>
      </c>
      <c r="U5" s="58"/>
      <c r="V5" s="67" t="str">
        <f t="shared" si="8"/>
        <v/>
      </c>
      <c r="W5" s="58"/>
      <c r="X5" s="65" t="str">
        <f t="shared" si="9"/>
        <v/>
      </c>
      <c r="Y5" s="58"/>
      <c r="Z5" s="65" t="str">
        <f t="shared" si="10"/>
        <v/>
      </c>
      <c r="AA5" s="58"/>
      <c r="AB5" s="65" t="str">
        <f t="shared" si="11"/>
        <v/>
      </c>
      <c r="AC5" s="58"/>
      <c r="AD5" s="65" t="str">
        <f t="shared" si="12"/>
        <v/>
      </c>
      <c r="AE5" s="58"/>
      <c r="AF5" s="65" t="str">
        <f t="shared" si="13"/>
        <v/>
      </c>
      <c r="AG5" s="58"/>
      <c r="AH5" s="67" t="str">
        <f t="shared" si="14"/>
        <v/>
      </c>
      <c r="AI5" s="58"/>
      <c r="AJ5" s="65" t="str">
        <f t="shared" si="15"/>
        <v/>
      </c>
      <c r="AK5" s="58"/>
      <c r="AL5" s="65" t="str">
        <f t="shared" si="15"/>
        <v/>
      </c>
      <c r="AM5" s="58"/>
      <c r="AN5" s="65" t="str">
        <f t="shared" si="15"/>
        <v/>
      </c>
      <c r="AO5" s="58"/>
      <c r="AP5" s="65" t="str">
        <f t="shared" si="15"/>
        <v/>
      </c>
      <c r="AQ5" s="58"/>
      <c r="AR5" s="65" t="str">
        <f t="shared" si="16"/>
        <v/>
      </c>
      <c r="AS5" s="58"/>
      <c r="AT5" s="65" t="str">
        <f t="shared" si="17"/>
        <v/>
      </c>
      <c r="AU5" s="58"/>
      <c r="AV5" s="65" t="str">
        <f t="shared" si="18"/>
        <v/>
      </c>
      <c r="AW5" s="58"/>
      <c r="AX5" s="65" t="str">
        <f t="shared" si="19"/>
        <v/>
      </c>
      <c r="AY5" s="58"/>
      <c r="AZ5" s="65" t="str">
        <f t="shared" si="20"/>
        <v/>
      </c>
      <c r="BA5" s="58"/>
      <c r="BB5" s="65" t="str">
        <f t="shared" si="21"/>
        <v/>
      </c>
      <c r="BC5" s="58"/>
      <c r="BD5" s="65" t="str">
        <f t="shared" si="22"/>
        <v/>
      </c>
      <c r="BE5" s="59"/>
      <c r="BF5" s="67" t="str">
        <f t="shared" ref="BF5:BF34" si="39">IF((BE5-BE4&lt;0), "",BE5-BE4)</f>
        <v/>
      </c>
      <c r="BG5" s="60"/>
      <c r="BH5" s="65" t="str">
        <f t="shared" si="23"/>
        <v/>
      </c>
      <c r="BI5" s="60"/>
      <c r="BJ5" s="65" t="str">
        <f t="shared" ref="BJ5:BJ34" si="40">IF((BI5-BI4&lt;0), "",(BI5-BI4)*1000)</f>
        <v/>
      </c>
      <c r="BK5" s="60"/>
      <c r="BL5" s="65" t="str">
        <f t="shared" si="24"/>
        <v/>
      </c>
      <c r="BM5" s="60"/>
      <c r="BN5" s="65" t="str">
        <f t="shared" si="25"/>
        <v/>
      </c>
      <c r="BO5" s="60"/>
      <c r="BP5" s="65" t="str">
        <f t="shared" si="26"/>
        <v/>
      </c>
      <c r="BQ5" s="60"/>
      <c r="BR5" s="65" t="str">
        <f t="shared" si="27"/>
        <v/>
      </c>
      <c r="BS5" s="60"/>
      <c r="BT5" s="65" t="str">
        <f>IF((BS5-BS4&lt;0), "",(BS5-BS4)*1000)</f>
        <v/>
      </c>
      <c r="BU5" s="60"/>
      <c r="BV5" s="65" t="str">
        <f t="shared" si="29"/>
        <v/>
      </c>
      <c r="BW5" s="60"/>
      <c r="BX5" s="65" t="str">
        <f t="shared" si="30"/>
        <v/>
      </c>
      <c r="BY5" s="60"/>
      <c r="BZ5" s="67" t="str">
        <f t="shared" si="31"/>
        <v/>
      </c>
      <c r="CA5" s="60"/>
      <c r="CB5" s="67" t="str">
        <f t="shared" si="32"/>
        <v/>
      </c>
      <c r="CC5" s="60"/>
      <c r="CD5" s="67" t="str">
        <f t="shared" si="33"/>
        <v/>
      </c>
      <c r="CE5" s="60"/>
      <c r="CF5" s="67" t="str">
        <f t="shared" si="34"/>
        <v/>
      </c>
      <c r="CG5" s="60"/>
      <c r="CH5" s="67" t="str">
        <f t="shared" si="35"/>
        <v/>
      </c>
      <c r="CI5" s="60"/>
      <c r="CJ5" s="67" t="str">
        <f t="shared" si="36"/>
        <v/>
      </c>
      <c r="CK5" s="60"/>
      <c r="CL5" s="64" t="str">
        <f t="shared" si="37"/>
        <v/>
      </c>
      <c r="CM5" s="65" t="e">
        <f t="shared" ref="CM5:CM34" si="41">CQ5+CS5</f>
        <v>#VALUE!</v>
      </c>
      <c r="CN5" s="62">
        <v>0</v>
      </c>
      <c r="CO5" s="62">
        <v>0</v>
      </c>
      <c r="CP5" s="68"/>
      <c r="CQ5" s="67" t="str">
        <f t="shared" si="38"/>
        <v/>
      </c>
      <c r="CR5" s="68"/>
      <c r="CS5" s="67" t="str">
        <f t="shared" si="38"/>
        <v/>
      </c>
      <c r="CT5" s="75"/>
      <c r="CU5" s="67" t="str">
        <f t="shared" si="38"/>
        <v/>
      </c>
      <c r="CV5" s="68"/>
      <c r="CW5" s="67" t="str">
        <f t="shared" si="38"/>
        <v/>
      </c>
    </row>
    <row r="6" spans="1:102" ht="24.75" customHeight="1" thickBot="1" x14ac:dyDescent="0.45">
      <c r="A6" s="63">
        <v>44350</v>
      </c>
      <c r="B6" s="44"/>
      <c r="C6" s="58"/>
      <c r="D6" s="64">
        <f t="shared" si="0"/>
        <v>0</v>
      </c>
      <c r="E6" s="58"/>
      <c r="F6" s="64">
        <f t="shared" si="1"/>
        <v>0</v>
      </c>
      <c r="G6" s="58"/>
      <c r="H6" s="64">
        <f t="shared" si="2"/>
        <v>0</v>
      </c>
      <c r="I6" s="58"/>
      <c r="J6" s="64">
        <f t="shared" si="3"/>
        <v>0</v>
      </c>
      <c r="K6" s="58"/>
      <c r="L6" s="64">
        <f t="shared" si="4"/>
        <v>0</v>
      </c>
      <c r="M6" s="58"/>
      <c r="N6" s="64">
        <f t="shared" si="5"/>
        <v>0</v>
      </c>
      <c r="O6" s="58"/>
      <c r="P6" s="67">
        <f>IF((O6-O5&lt;0), "",O6-O5)</f>
        <v>0</v>
      </c>
      <c r="Q6" s="58"/>
      <c r="R6" s="67">
        <f t="shared" si="6"/>
        <v>0</v>
      </c>
      <c r="S6" s="58"/>
      <c r="T6" s="67">
        <f t="shared" si="7"/>
        <v>0</v>
      </c>
      <c r="U6" s="58"/>
      <c r="V6" s="67">
        <f t="shared" si="8"/>
        <v>0</v>
      </c>
      <c r="W6" s="58"/>
      <c r="X6" s="65">
        <f t="shared" si="9"/>
        <v>0</v>
      </c>
      <c r="Y6" s="58"/>
      <c r="Z6" s="65">
        <f t="shared" si="10"/>
        <v>0</v>
      </c>
      <c r="AA6" s="58"/>
      <c r="AB6" s="65">
        <f t="shared" si="11"/>
        <v>0</v>
      </c>
      <c r="AC6" s="58"/>
      <c r="AD6" s="65">
        <f t="shared" si="12"/>
        <v>0</v>
      </c>
      <c r="AE6" s="58"/>
      <c r="AF6" s="65">
        <f t="shared" si="13"/>
        <v>0</v>
      </c>
      <c r="AG6" s="58"/>
      <c r="AH6" s="67">
        <f t="shared" si="14"/>
        <v>0</v>
      </c>
      <c r="AI6" s="58"/>
      <c r="AJ6" s="65">
        <f t="shared" si="15"/>
        <v>0</v>
      </c>
      <c r="AK6" s="58"/>
      <c r="AL6" s="65">
        <f t="shared" si="15"/>
        <v>0</v>
      </c>
      <c r="AM6" s="58"/>
      <c r="AN6" s="65">
        <f t="shared" si="15"/>
        <v>0</v>
      </c>
      <c r="AO6" s="58"/>
      <c r="AP6" s="65">
        <f t="shared" si="15"/>
        <v>0</v>
      </c>
      <c r="AQ6" s="58"/>
      <c r="AR6" s="65">
        <f t="shared" si="16"/>
        <v>0</v>
      </c>
      <c r="AS6" s="58"/>
      <c r="AT6" s="65">
        <f t="shared" si="17"/>
        <v>0</v>
      </c>
      <c r="AU6" s="58"/>
      <c r="AV6" s="65">
        <f t="shared" si="18"/>
        <v>0</v>
      </c>
      <c r="AW6" s="58"/>
      <c r="AX6" s="65">
        <f t="shared" si="19"/>
        <v>0</v>
      </c>
      <c r="AY6" s="58"/>
      <c r="AZ6" s="65">
        <f t="shared" si="20"/>
        <v>0</v>
      </c>
      <c r="BA6" s="58"/>
      <c r="BB6" s="65">
        <f t="shared" si="21"/>
        <v>0</v>
      </c>
      <c r="BC6" s="58"/>
      <c r="BD6" s="65">
        <f t="shared" si="22"/>
        <v>0</v>
      </c>
      <c r="BE6" s="59"/>
      <c r="BF6" s="67">
        <f t="shared" si="39"/>
        <v>0</v>
      </c>
      <c r="BG6" s="60"/>
      <c r="BH6" s="65">
        <f t="shared" si="23"/>
        <v>0</v>
      </c>
      <c r="BI6" s="60"/>
      <c r="BJ6" s="65">
        <f t="shared" si="40"/>
        <v>0</v>
      </c>
      <c r="BK6" s="60"/>
      <c r="BL6" s="65">
        <f t="shared" si="24"/>
        <v>0</v>
      </c>
      <c r="BM6" s="60"/>
      <c r="BN6" s="65">
        <f t="shared" si="25"/>
        <v>0</v>
      </c>
      <c r="BO6" s="60"/>
      <c r="BP6" s="65">
        <f t="shared" si="26"/>
        <v>0</v>
      </c>
      <c r="BQ6" s="60"/>
      <c r="BR6" s="65">
        <f t="shared" si="27"/>
        <v>0</v>
      </c>
      <c r="BS6" s="60"/>
      <c r="BT6" s="65">
        <f t="shared" ref="BT6:BT35" si="42">IF((BS6-BS5&lt;0), "",(BS6-BS5)*1000)</f>
        <v>0</v>
      </c>
      <c r="BU6" s="60"/>
      <c r="BV6" s="65">
        <f t="shared" si="29"/>
        <v>0</v>
      </c>
      <c r="BW6" s="60"/>
      <c r="BX6" s="65">
        <f t="shared" si="30"/>
        <v>0</v>
      </c>
      <c r="BY6" s="60"/>
      <c r="BZ6" s="67">
        <f t="shared" si="31"/>
        <v>0</v>
      </c>
      <c r="CA6" s="60"/>
      <c r="CB6" s="67">
        <f t="shared" si="32"/>
        <v>0</v>
      </c>
      <c r="CC6" s="60"/>
      <c r="CD6" s="67">
        <f t="shared" si="33"/>
        <v>0</v>
      </c>
      <c r="CE6" s="60"/>
      <c r="CF6" s="67">
        <f t="shared" si="34"/>
        <v>0</v>
      </c>
      <c r="CG6" s="60"/>
      <c r="CH6" s="67">
        <f t="shared" si="35"/>
        <v>0</v>
      </c>
      <c r="CI6" s="60"/>
      <c r="CJ6" s="67">
        <f t="shared" si="36"/>
        <v>0</v>
      </c>
      <c r="CK6" s="60"/>
      <c r="CL6" s="64">
        <f t="shared" si="37"/>
        <v>0</v>
      </c>
      <c r="CM6" s="65">
        <f t="shared" si="41"/>
        <v>0</v>
      </c>
      <c r="CN6" s="62">
        <v>0</v>
      </c>
      <c r="CO6" s="62">
        <v>0</v>
      </c>
      <c r="CP6" s="68"/>
      <c r="CQ6" s="67">
        <f t="shared" si="38"/>
        <v>0</v>
      </c>
      <c r="CR6" s="68"/>
      <c r="CS6" s="67">
        <f t="shared" si="38"/>
        <v>0</v>
      </c>
      <c r="CT6" s="75"/>
      <c r="CU6" s="67">
        <f t="shared" si="38"/>
        <v>0</v>
      </c>
      <c r="CV6" s="68"/>
      <c r="CW6" s="67">
        <f t="shared" si="38"/>
        <v>0</v>
      </c>
    </row>
    <row r="7" spans="1:102" ht="25.5" customHeight="1" thickBot="1" x14ac:dyDescent="0.45">
      <c r="A7" s="63">
        <v>44351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ref="P7:P10" si="43">IF((O7-O6&lt;0), "",O7-O6)</f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>
        <f t="shared" si="12"/>
        <v>0</v>
      </c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39"/>
        <v>0</v>
      </c>
      <c r="BG7" s="60"/>
      <c r="BH7" s="65">
        <f t="shared" si="23"/>
        <v>0</v>
      </c>
      <c r="BI7" s="60"/>
      <c r="BJ7" s="65">
        <f t="shared" si="40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2"/>
        <v>0</v>
      </c>
      <c r="BU7" s="60"/>
      <c r="BV7" s="65">
        <f t="shared" si="29"/>
        <v>0</v>
      </c>
      <c r="BW7" s="60"/>
      <c r="BX7" s="65">
        <f t="shared" si="30"/>
        <v>0</v>
      </c>
      <c r="BY7" s="60"/>
      <c r="BZ7" s="67">
        <f t="shared" si="31"/>
        <v>0</v>
      </c>
      <c r="CA7" s="60"/>
      <c r="CB7" s="67">
        <f t="shared" si="32"/>
        <v>0</v>
      </c>
      <c r="CC7" s="60"/>
      <c r="CD7" s="67">
        <f t="shared" si="33"/>
        <v>0</v>
      </c>
      <c r="CE7" s="60"/>
      <c r="CF7" s="67">
        <f t="shared" si="34"/>
        <v>0</v>
      </c>
      <c r="CG7" s="60"/>
      <c r="CH7" s="67">
        <f t="shared" si="35"/>
        <v>0</v>
      </c>
      <c r="CI7" s="60"/>
      <c r="CJ7" s="67">
        <f t="shared" si="36"/>
        <v>0</v>
      </c>
      <c r="CK7" s="60"/>
      <c r="CL7" s="64">
        <f t="shared" si="37"/>
        <v>0</v>
      </c>
      <c r="CM7" s="65">
        <f t="shared" si="41"/>
        <v>0</v>
      </c>
      <c r="CN7" s="62">
        <v>0</v>
      </c>
      <c r="CO7" s="62">
        <v>0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44352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3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44353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44354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44355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44356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44357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44358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44359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44360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44361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44362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44363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44364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44365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44366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44367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44368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44369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E11" sqref="E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0</v>
      </c>
      <c r="D9" s="40">
        <v>0</v>
      </c>
      <c r="E9" s="41"/>
      <c r="F9" s="41"/>
      <c r="G9" s="41"/>
      <c r="H9" s="41"/>
      <c r="I9" s="41"/>
      <c r="J9" s="41"/>
      <c r="K9" s="42"/>
      <c r="L9" s="42"/>
      <c r="M9" s="42"/>
      <c r="N9" s="39"/>
      <c r="O9" s="39"/>
      <c r="P9" s="39"/>
      <c r="Q9" s="39"/>
      <c r="R9" s="78"/>
      <c r="S9" s="78"/>
      <c r="T9">
        <f t="shared" ref="T9:T39" si="0">S9-S8</f>
        <v>-197</v>
      </c>
    </row>
    <row r="10" spans="1:20" x14ac:dyDescent="0.25">
      <c r="A10" s="73">
        <v>44350</v>
      </c>
      <c r="B10" s="40">
        <v>0</v>
      </c>
      <c r="C10" s="40">
        <v>0</v>
      </c>
      <c r="D10" s="40">
        <v>0</v>
      </c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8"/>
      <c r="S10" s="78"/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44365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44367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2021-06-02T12:38:29Z</dcterms:modified>
</cp:coreProperties>
</file>