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8 - 2022" sheetId="5" r:id="rId3"/>
  </sheets>
  <definedNames>
    <definedName name="_xlnm.Print_Area" localSheetId="2">'08 - 2022'!$A$1:$J$35</definedName>
  </definedNames>
  <calcPr calcId="162913"/>
</workbook>
</file>

<file path=xl/calcChain.xml><?xml version="1.0" encoding="utf-8"?>
<calcChain xmlns="http://schemas.openxmlformats.org/spreadsheetml/2006/main"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A10" i="5"/>
  <c r="L31" i="3" l="1"/>
  <c r="K31" i="3"/>
  <c r="I31" i="3"/>
  <c r="G31" i="3"/>
  <c r="E31" i="3"/>
  <c r="J31" i="2"/>
  <c r="I31" i="2"/>
  <c r="H31" i="2"/>
  <c r="F31" i="2"/>
  <c r="E31" i="2"/>
  <c r="K39" i="5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4" i="3" l="1"/>
  <c r="K24" i="3"/>
  <c r="I24" i="3"/>
  <c r="G24" i="3"/>
  <c r="E24" i="3"/>
  <c r="J26" i="2" l="1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L17" i="3"/>
  <c r="K17" i="3"/>
  <c r="I17" i="3"/>
  <c r="G17" i="3"/>
  <c r="E17" i="3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J11" i="2" l="1"/>
  <c r="I11" i="2"/>
  <c r="H11" i="2"/>
  <c r="F11" i="2"/>
  <c r="E11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J3" i="2" l="1"/>
  <c r="I3" i="2"/>
  <c r="H3" i="2"/>
  <c r="F3" i="2"/>
  <c r="E3" i="2"/>
  <c r="L3" i="3"/>
  <c r="K3" i="3"/>
  <c r="I3" i="3"/>
  <c r="G3" i="3"/>
  <c r="E3" i="3"/>
  <c r="J2" i="2" l="1"/>
  <c r="I2" i="2"/>
  <c r="H2" i="2"/>
  <c r="F2" i="2"/>
  <c r="E2" i="2"/>
  <c r="J39" i="5" l="1"/>
  <c r="I39" i="5"/>
  <c r="I40" i="5" s="1"/>
  <c r="H39" i="5"/>
  <c r="H40" i="5" s="1"/>
  <c r="G39" i="5"/>
  <c r="F39" i="5"/>
  <c r="E39" i="5"/>
  <c r="C39" i="5"/>
  <c r="B39" i="5"/>
  <c r="A8" i="5"/>
  <c r="A9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26" i="3" l="1"/>
  <c r="K26" i="3"/>
  <c r="I26" i="3"/>
  <c r="G26" i="3"/>
  <c r="E26" i="3"/>
  <c r="L25" i="3" l="1"/>
  <c r="K25" i="3"/>
  <c r="I25" i="3"/>
  <c r="G25" i="3"/>
  <c r="E25" i="3"/>
  <c r="L19" i="3" l="1"/>
  <c r="K19" i="3"/>
  <c r="I19" i="3"/>
  <c r="G19" i="3"/>
  <c r="E19" i="3"/>
  <c r="L18" i="3" l="1"/>
  <c r="K18" i="3"/>
  <c r="I18" i="3"/>
  <c r="G18" i="3"/>
  <c r="E18" i="3"/>
  <c r="L11" i="3" l="1"/>
  <c r="K11" i="3"/>
  <c r="I11" i="3"/>
  <c r="G11" i="3"/>
  <c r="E11" i="3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<sst xmlns="http://schemas.openxmlformats.org/spreadsheetml/2006/main" count="107" uniqueCount="38">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</sst>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4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3" fontId="3" fillId="0" borderId="3" xfId="2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6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3" fillId="0" borderId="1" xfId="2" applyFont="1" applyFill="1" applyBorder="1" applyAlignment="1" applyProtection="1">
      <alignment horizontal="center" vertical="center"/>
      <protection locked="0"/>
    </xf>
    <xf numFmtId="43" fontId="0" fillId="2" borderId="1" xfId="2" applyFont="1" applyFill="1" applyBorder="1" applyAlignment="1">
      <alignment horizontal="center" vertical="center"/>
    </xf>
    <xf numFmtId="43" fontId="0" fillId="0" borderId="19" xfId="2" applyFont="1" applyBorder="1" applyAlignment="1">
      <alignment horizontal="center" vertical="center"/>
    </xf>
    <xf numFmtId="43" fontId="0" fillId="2" borderId="19" xfId="2" applyFont="1" applyFill="1" applyBorder="1" applyAlignment="1">
      <alignment horizontal="center" vertical="center"/>
    </xf>
    <xf numFmtId="9" fontId="0" fillId="0" borderId="19" xfId="0" applyNumberFormat="1" applyFont="1" applyBorder="1" applyAlignment="1">
      <alignment horizontal="center" vertical="center"/>
    </xf>
    <xf numFmtId="43" fontId="3" fillId="0" borderId="19" xfId="2" applyFont="1" applyFill="1" applyBorder="1" applyAlignment="1" applyProtection="1">
      <alignment horizontal="center" vertical="center"/>
      <protection locked="0"/>
    </xf>
    <xf numFmtId="43" fontId="3" fillId="0" borderId="19" xfId="2" applyFont="1" applyFill="1" applyBorder="1" applyAlignment="1">
      <alignment horizontal="center" vertical="center"/>
    </xf>
    <xf numFmtId="43" fontId="0" fillId="0" borderId="19" xfId="2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6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6" xfId="2" applyFont="1" applyBorder="1" applyAlignment="1">
      <alignment horizontal="center" vertical="center" wrapText="1"/>
    </xf>
    <xf numFmtId="43" fontId="3" fillId="0" borderId="16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3" fontId="0" fillId="0" borderId="21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13" xfId="0" applyFont="1" applyBorder="1" applyAlignment="1">
      <alignment horizontal="center"/>
    </xf>
    <xf numFmtId="43" fontId="0" fillId="0" borderId="0" xfId="2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43" fontId="0" fillId="0" borderId="1" xfId="2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43" fontId="6" fillId="0" borderId="1" xfId="2" applyFont="1" applyBorder="1" applyAlignment="1" applyProtection="1">
      <alignment horizontal="center"/>
      <protection locked="0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0" fillId="0" borderId="3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S9" sqref="S9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8</v>
      </c>
      <c r="D2" s="13">
        <v>2022</v>
      </c>
      <c r="E2" s="15">
        <f>'08 - 2022'!B8-'08 - 2022'!B7+'08 - 2022'!C8-'08 - 2022'!C7</f>
        <v>9839</v>
      </c>
      <c r="F2" s="13">
        <v>0.11799999999999999</v>
      </c>
      <c r="G2" s="15">
        <f>'08 - 2022'!D8-'08 - 2022'!D7+'08 - 2022'!E8-'08 - 2022'!E7</f>
        <v>24.4699999999998</v>
      </c>
      <c r="H2" s="13">
        <v>0.99</v>
      </c>
      <c r="I2" s="15">
        <f>'08 - 2022'!J8-'08 - 2022'!J7</f>
        <v>33729</v>
      </c>
      <c r="J2" s="13">
        <v>8.1000000000000003E-2</v>
      </c>
      <c r="K2" s="21">
        <f>'08 - 2022'!H8-'08 - 2022'!H7</f>
        <v>0</v>
      </c>
      <c r="L2" s="15">
        <f>'08 - 2022'!I8-'08 - 2022'!I7</f>
        <v>100</v>
      </c>
      <c r="M2" s="14">
        <v>4.393629424766913</v>
      </c>
      <c r="N2" s="16">
        <v>44</v>
      </c>
    </row>
    <row r="3" spans="1:2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'08 - 2022'!B9-'08 - 2022'!B8+'08 - 2022'!C9-'08 - 2022'!C8</f>
        <v>9610</v>
      </c>
      <c r="F3" s="13">
        <v>0.11799999999999999</v>
      </c>
      <c r="G3" s="15">
        <f>'08 - 2022'!D9-'08 - 2022'!D8+'08 - 2022'!E9-'08 - 2022'!E8</f>
        <v>24.279999999999745</v>
      </c>
      <c r="H3" s="13">
        <v>0.99</v>
      </c>
      <c r="I3" s="15">
        <f>'08 - 2022'!J9-'08 - 2022'!J8</f>
        <v>33335</v>
      </c>
      <c r="J3" s="13">
        <v>8.1000000000000003E-2</v>
      </c>
      <c r="K3" s="21">
        <f>'08 - 2022'!H9-'08 - 2022'!H8</f>
        <v>0</v>
      </c>
      <c r="L3" s="15">
        <f>'08 - 2022'!I9-'08 - 2022'!I8</f>
        <v>101</v>
      </c>
      <c r="M3" s="14">
        <v>4.393629424766913</v>
      </c>
      <c r="N3" s="88">
        <v>54</v>
      </c>
    </row>
    <row r="4" spans="1:2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f>'08 - 2022'!B10-'08 - 2022'!B9+'08 - 2022'!C10-'08 - 2022'!C9</f>
        <v>9591</v>
      </c>
      <c r="F4" s="13">
        <v>0.11799999999999999</v>
      </c>
      <c r="G4" s="15">
        <f>'08 - 2022'!D10-'08 - 2022'!D9+'08 - 2022'!E10-'08 - 2022'!E9</f>
        <v>23.559999999999945</v>
      </c>
      <c r="H4" s="13">
        <v>0.99</v>
      </c>
      <c r="I4" s="15">
        <f>'08 - 2022'!J10-'08 - 2022'!J9</f>
        <v>33451</v>
      </c>
      <c r="J4" s="13">
        <v>8.1000000000000003E-2</v>
      </c>
      <c r="K4" s="21">
        <f>'08 - 2022'!H10-'08 - 2022'!H9</f>
        <v>0</v>
      </c>
      <c r="L4" s="15">
        <f>'08 - 2022'!I10-'08 - 2022'!I9</f>
        <v>103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f>'08 - 2022'!B11-'08 - 2022'!B10+'08 - 2022'!C11-'08 - 2022'!C10</f>
        <v>9800</v>
      </c>
      <c r="F5" s="13">
        <v>0.11799999999999999</v>
      </c>
      <c r="G5" s="15">
        <f>'08 - 2022'!D11-'08 - 2022'!D10+'08 - 2022'!E11-'08 - 2022'!E10</f>
        <v>23.970000000000255</v>
      </c>
      <c r="H5" s="13">
        <v>0.99</v>
      </c>
      <c r="I5" s="15">
        <f>'08 - 2022'!J11-'08 - 2022'!J10</f>
        <v>34709</v>
      </c>
      <c r="J5" s="13">
        <v>8.1000000000000003E-2</v>
      </c>
      <c r="K5" s="21">
        <f>'08 - 2022'!H11-'08 - 2022'!H10</f>
        <v>0</v>
      </c>
      <c r="L5" s="15">
        <f>'08 - 2022'!I11-'08 - 2022'!I10</f>
        <v>106</v>
      </c>
      <c r="M5" s="14">
        <v>4.393629424766913</v>
      </c>
      <c r="N5" s="16">
        <v>75</v>
      </c>
      <c r="R5" s="13"/>
    </row>
    <row r="6" spans="1:2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f>'08 - 2022'!B12-'08 - 2022'!B11+'08 - 2022'!C12-'08 - 2022'!C11</f>
        <v>9896</v>
      </c>
      <c r="F6" s="13">
        <v>0.11799999999999999</v>
      </c>
      <c r="G6" s="15">
        <f>'08 - 2022'!D12-'08 - 2022'!D11+'08 - 2022'!E12-'08 - 2022'!E11</f>
        <v>24.829999999999927</v>
      </c>
      <c r="H6" s="13">
        <v>0.99</v>
      </c>
      <c r="I6" s="15">
        <f>'08 - 2022'!J12-'08 - 2022'!J11</f>
        <v>39673</v>
      </c>
      <c r="J6" s="13">
        <v>8.1000000000000003E-2</v>
      </c>
      <c r="K6" s="21">
        <f>'08 - 2022'!H12-'08 - 2022'!H11</f>
        <v>0</v>
      </c>
      <c r="L6" s="15">
        <f>'08 - 2022'!I12-'08 - 2022'!I11</f>
        <v>106</v>
      </c>
      <c r="M6" s="14">
        <v>4.393629424766913</v>
      </c>
      <c r="N6" s="16">
        <v>80</v>
      </c>
    </row>
    <row r="7" spans="1:2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f>'08 - 2022'!B13-'08 - 2022'!B12+'08 - 2022'!C13-'08 - 2022'!C12</f>
        <v>10216</v>
      </c>
      <c r="F7" s="13">
        <v>0.11799999999999999</v>
      </c>
      <c r="G7" s="15">
        <f>'08 - 2022'!D13-'08 - 2022'!D12+'08 - 2022'!E13-'08 - 2022'!E12</f>
        <v>23.779999999999745</v>
      </c>
      <c r="H7" s="13">
        <v>0.99</v>
      </c>
      <c r="I7" s="15">
        <f>'08 - 2022'!J13-'08 - 2022'!J12</f>
        <v>38166</v>
      </c>
      <c r="J7" s="13">
        <v>8.1000000000000003E-2</v>
      </c>
      <c r="K7" s="21">
        <f>'08 - 2022'!H13-'08 - 2022'!H12</f>
        <v>0</v>
      </c>
      <c r="L7" s="15">
        <f>'08 - 2022'!I13-'08 - 2022'!I12</f>
        <v>112</v>
      </c>
      <c r="M7" s="14">
        <v>4.393629424766913</v>
      </c>
      <c r="N7" s="16">
        <v>73</v>
      </c>
    </row>
    <row r="8" spans="1:2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'08 - 2022'!B14-'08 - 2022'!B13+'08 - 2022'!C14-'08 - 2022'!C13</f>
        <v>9939</v>
      </c>
      <c r="F8" s="13">
        <v>0.11799999999999999</v>
      </c>
      <c r="G8" s="15">
        <f>'08 - 2022'!D14-'08 - 2022'!D13+'08 - 2022'!E14-'08 - 2022'!E13</f>
        <v>25.179999999999836</v>
      </c>
      <c r="H8" s="13">
        <v>0.99</v>
      </c>
      <c r="I8" s="15">
        <f>'08 - 2022'!J14-'08 - 2022'!J13</f>
        <v>36220</v>
      </c>
      <c r="J8" s="13">
        <v>8.1000000000000003E-2</v>
      </c>
      <c r="K8" s="21">
        <f>'08 - 2022'!H14-'08 - 2022'!H13</f>
        <v>0</v>
      </c>
      <c r="L8" s="15">
        <f>'08 - 2022'!I14-'08 - 2022'!I13</f>
        <v>116</v>
      </c>
      <c r="M8" s="14">
        <v>4.393629424766913</v>
      </c>
      <c r="N8" s="16">
        <v>50</v>
      </c>
      <c r="O8" s="15"/>
    </row>
    <row r="9" spans="1:2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'08 - 2022'!B15-'08 - 2022'!B14+'08 - 2022'!C15-'08 - 2022'!C14</f>
        <v>9792</v>
      </c>
      <c r="F9" s="13">
        <v>0.11799999999999999</v>
      </c>
      <c r="G9" s="15">
        <f>'08 - 2022'!D15-'08 - 2022'!D14+'08 - 2022'!E15-'08 - 2022'!E14</f>
        <v>25.650000000000091</v>
      </c>
      <c r="H9" s="13">
        <v>0.99</v>
      </c>
      <c r="I9" s="15">
        <f>'08 - 2022'!J15-'08 - 2022'!J14</f>
        <v>34642</v>
      </c>
      <c r="J9" s="13">
        <v>8.1000000000000003E-2</v>
      </c>
      <c r="K9" s="21">
        <f>'08 - 2022'!H15-'08 - 2022'!H14</f>
        <v>0</v>
      </c>
      <c r="L9" s="15">
        <f>'08 - 2022'!I15-'08 - 2022'!I14</f>
        <v>98</v>
      </c>
      <c r="M9" s="14">
        <v>4.393629424766913</v>
      </c>
      <c r="N9" s="16">
        <v>57</v>
      </c>
    </row>
    <row r="10" spans="1:2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'08 - 2022'!B16-'08 - 2022'!B15+'08 - 2022'!C16-'08 - 2022'!C15</f>
        <v>9708</v>
      </c>
      <c r="F10" s="13">
        <v>0.11799999999999999</v>
      </c>
      <c r="G10" s="15">
        <f>'08 - 2022'!D16-'08 - 2022'!D15+'08 - 2022'!E16-'08 - 2022'!E15</f>
        <v>21.049999999999727</v>
      </c>
      <c r="H10" s="13">
        <v>0.99</v>
      </c>
      <c r="I10" s="15">
        <f>'08 - 2022'!J16-'08 - 2022'!J15</f>
        <v>34771</v>
      </c>
      <c r="J10" s="13">
        <v>8.1000000000000003E-2</v>
      </c>
      <c r="K10" s="21">
        <f>'08 - 2022'!H16-'08 - 2022'!H15</f>
        <v>0</v>
      </c>
      <c r="L10" s="15">
        <f>'08 - 2022'!I16-'08 - 2022'!I15</f>
        <v>145</v>
      </c>
      <c r="M10" s="14">
        <v>4.393629424766913</v>
      </c>
      <c r="N10" s="16">
        <v>79</v>
      </c>
    </row>
    <row r="11" spans="1:2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'08 - 2022'!B17-'08 - 2022'!B16+'08 - 2022'!C17-'08 - 2022'!C16</f>
        <v>9870</v>
      </c>
      <c r="F11" s="13">
        <v>0.11799999999999999</v>
      </c>
      <c r="G11" s="15">
        <f>'08 - 2022'!D17-'08 - 2022'!D16+'08 - 2022'!E17-'08 - 2022'!E16</f>
        <v>23.550000000000182</v>
      </c>
      <c r="H11" s="13">
        <v>0.99</v>
      </c>
      <c r="I11" s="15">
        <f>'08 - 2022'!J17-'08 - 2022'!J16</f>
        <v>37992</v>
      </c>
      <c r="J11" s="13">
        <v>8.1000000000000003E-2</v>
      </c>
      <c r="K11" s="21">
        <f>'08 - 2022'!H17-'08 - 2022'!H16</f>
        <v>0</v>
      </c>
      <c r="L11" s="15">
        <f>'08 - 2022'!I17-'08 - 2022'!I16</f>
        <v>108</v>
      </c>
      <c r="M11" s="14">
        <v>4.393629424766913</v>
      </c>
      <c r="N11" s="16">
        <v>82</v>
      </c>
    </row>
    <row r="12" spans="1:2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f>'08 - 2022'!B18-'08 - 2022'!B17+'08 - 2022'!C18-'08 - 2022'!C17</f>
        <v>9805</v>
      </c>
      <c r="F12" s="13">
        <v>0.11799999999999999</v>
      </c>
      <c r="G12" s="15">
        <f>'08 - 2022'!D18-'08 - 2022'!D17+'08 - 2022'!E18-'08 - 2022'!E17</f>
        <v>22.399999999999636</v>
      </c>
      <c r="H12" s="13">
        <v>0.99</v>
      </c>
      <c r="I12" s="15">
        <f>'08 - 2022'!J18-'08 - 2022'!J17</f>
        <v>38214</v>
      </c>
      <c r="J12" s="13">
        <v>8.1000000000000003E-2</v>
      </c>
      <c r="K12" s="21">
        <f>'08 - 2022'!H18-'08 - 2022'!H17</f>
        <v>0</v>
      </c>
      <c r="L12" s="15">
        <f>'08 - 2022'!I18-'08 - 2022'!I17</f>
        <v>107</v>
      </c>
      <c r="M12" s="14">
        <v>4.393629424766913</v>
      </c>
      <c r="N12" s="16">
        <v>72</v>
      </c>
      <c r="W12" s="13"/>
    </row>
    <row r="13" spans="1:2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'08 - 2022'!B19-'08 - 2022'!B18+'08 - 2022'!C19-'08 - 2022'!C18</f>
        <v>10129</v>
      </c>
      <c r="F13" s="13">
        <v>0.11799999999999999</v>
      </c>
      <c r="G13" s="15">
        <f>'08 - 2022'!D19-'08 - 2022'!D18+'08 - 2022'!E19-'08 - 2022'!E18</f>
        <v>26.760000000000218</v>
      </c>
      <c r="H13" s="13">
        <v>0.99</v>
      </c>
      <c r="I13" s="15">
        <f>'08 - 2022'!J19-'08 - 2022'!J18</f>
        <v>41367</v>
      </c>
      <c r="J13" s="13">
        <v>8.1000000000000003E-2</v>
      </c>
      <c r="K13" s="21">
        <f>'08 - 2022'!H19-'08 - 2022'!H18</f>
        <v>0</v>
      </c>
      <c r="L13" s="15">
        <f>'08 - 2022'!I19-'08 - 2022'!I18</f>
        <v>96</v>
      </c>
      <c r="M13" s="14">
        <v>4.393629424766913</v>
      </c>
      <c r="N13" s="16">
        <v>77</v>
      </c>
    </row>
    <row r="14" spans="1:2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v>0</v>
      </c>
      <c r="F14" s="13">
        <v>0.11799999999999999</v>
      </c>
      <c r="G14" s="15">
        <v>0</v>
      </c>
      <c r="H14" s="13">
        <v>0.99</v>
      </c>
      <c r="I14" s="15">
        <v>0</v>
      </c>
      <c r="J14" s="13">
        <v>8.1000000000000003E-2</v>
      </c>
      <c r="K14" s="21">
        <v>0</v>
      </c>
      <c r="L14" s="15"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'08 - 2022'!B21-'08 - 2022'!B20+'08 - 2022'!C21-'08 - 2022'!C20</f>
        <v>0</v>
      </c>
      <c r="F15" s="13">
        <v>0.11799999999999999</v>
      </c>
      <c r="G15" s="15">
        <f>'08 - 2022'!D21-'08 - 2022'!D20+'08 - 2022'!E21-'08 - 2022'!E20</f>
        <v>0</v>
      </c>
      <c r="H15" s="13">
        <v>0.99</v>
      </c>
      <c r="I15" s="15">
        <f>'08 - 2022'!J21-'08 - 2022'!J20</f>
        <v>0</v>
      </c>
      <c r="J15" s="13">
        <v>8.1000000000000003E-2</v>
      </c>
      <c r="K15" s="21">
        <f>'08 - 2022'!H21-'08 - 2022'!H20</f>
        <v>0</v>
      </c>
      <c r="L15" s="15">
        <f>'08 - 2022'!I21-'08 - 2022'!I20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'08 - 2022'!B22-'08 - 2022'!B21+'08 - 2022'!C22-'08 - 2022'!C21</f>
        <v>0</v>
      </c>
      <c r="F16" s="13">
        <v>0.11799999999999999</v>
      </c>
      <c r="G16" s="15">
        <f>'08 - 2022'!D22-'08 - 2022'!D21+'08 - 2022'!E22-'08 - 2022'!E21</f>
        <v>0</v>
      </c>
      <c r="H16" s="13">
        <v>0.99</v>
      </c>
      <c r="I16" s="15">
        <f>'08 - 2022'!J22-'08 - 2022'!J21</f>
        <v>0</v>
      </c>
      <c r="J16" s="13">
        <v>8.1000000000000003E-2</v>
      </c>
      <c r="K16" s="21">
        <f>'08 - 2022'!H22-'08 - 2022'!H21</f>
        <v>0</v>
      </c>
      <c r="L16" s="15">
        <f>'08 - 2022'!I22-'08 - 2022'!I21</f>
        <v>0</v>
      </c>
      <c r="M16" s="14">
        <v>4.393629424766913</v>
      </c>
      <c r="N16" s="16"/>
      <c r="U16" s="13"/>
    </row>
    <row r="17" spans="1:17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f>'08 - 2022'!B23-'08 - 2022'!B22+'08 - 2022'!C23-'08 - 2022'!C22</f>
        <v>0</v>
      </c>
      <c r="F17" s="13">
        <v>0.11799999999999999</v>
      </c>
      <c r="G17" s="15">
        <f>'08 - 2022'!D23-'08 - 2022'!D22+'08 - 2022'!E23-'08 - 2022'!E22</f>
        <v>0</v>
      </c>
      <c r="H17" s="13">
        <v>0.99</v>
      </c>
      <c r="I17" s="15">
        <f>'08 - 2022'!J23-'08 - 2022'!J22</f>
        <v>0</v>
      </c>
      <c r="J17" s="13">
        <v>8.1000000000000003E-2</v>
      </c>
      <c r="K17" s="21">
        <f>'08 - 2022'!H23-'08 - 2022'!H22</f>
        <v>0</v>
      </c>
      <c r="L17" s="15">
        <f>'08 - 2022'!I23-'08 - 2022'!I22</f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'08 - 2022'!B24-'08 - 2022'!B23+'08 - 2022'!C24-'08 - 2022'!C23</f>
        <v>0</v>
      </c>
      <c r="F18" s="13">
        <v>0.11799999999999999</v>
      </c>
      <c r="G18" s="15">
        <f>'08 - 2022'!D24-'08 - 2022'!D23+'08 - 2022'!E24-'08 - 2022'!E23</f>
        <v>0</v>
      </c>
      <c r="H18" s="13">
        <v>0.99</v>
      </c>
      <c r="I18" s="15">
        <f>'08 - 2022'!J24-'08 - 2022'!J23</f>
        <v>0</v>
      </c>
      <c r="J18" s="13">
        <v>8.1000000000000003E-2</v>
      </c>
      <c r="K18" s="21">
        <f>'08 - 2022'!H24-'08 - 2022'!H23</f>
        <v>0</v>
      </c>
      <c r="L18" s="15">
        <f>'08 - 2022'!I24-'08 - 2022'!I23</f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f>'08 - 2022'!B25-'08 - 2022'!B24+'08 - 2022'!C25-'08 - 2022'!C24</f>
        <v>0</v>
      </c>
      <c r="F19" s="13">
        <v>0.11799999999999999</v>
      </c>
      <c r="G19" s="15">
        <f>'08 - 2022'!D25-'08 - 2022'!D24+'08 - 2022'!E25-'08 - 2022'!E24</f>
        <v>0</v>
      </c>
      <c r="H19" s="13">
        <v>0.99</v>
      </c>
      <c r="I19" s="15">
        <f>'08 - 2022'!J25-'08 - 2022'!J24</f>
        <v>0</v>
      </c>
      <c r="J19" s="13">
        <v>8.1000000000000003E-2</v>
      </c>
      <c r="K19" s="21">
        <f>'08 - 2022'!H25-'08 - 2022'!H24</f>
        <v>0</v>
      </c>
      <c r="L19" s="15">
        <f>'08 - 2022'!I25-'08 - 2022'!I24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'08 - 2022'!B26-'08 - 2022'!B25+'08 - 2022'!C26-'08 - 2022'!C25</f>
        <v>0</v>
      </c>
      <c r="F20" s="13">
        <v>0.11799999999999999</v>
      </c>
      <c r="G20" s="15">
        <f>'08 - 2022'!D26-'08 - 2022'!D25+'08 - 2022'!E26-'08 - 2022'!E25</f>
        <v>0</v>
      </c>
      <c r="H20" s="13">
        <v>0.99</v>
      </c>
      <c r="I20" s="15">
        <f>'08 - 2022'!J26-'08 - 2022'!J25</f>
        <v>0</v>
      </c>
      <c r="J20" s="13">
        <v>8.1000000000000003E-2</v>
      </c>
      <c r="K20" s="21">
        <f>'08 - 2022'!H26-'08 - 2022'!H25</f>
        <v>0</v>
      </c>
      <c r="L20" s="15">
        <f>'08 - 2022'!I26-'08 - 2022'!I25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'08 - 2022'!B27-'08 - 2022'!B26+'08 - 2022'!C27-'08 - 2022'!C26</f>
        <v>0</v>
      </c>
      <c r="F21" s="13">
        <v>0.11799999999999999</v>
      </c>
      <c r="G21" s="15">
        <f>'08 - 2022'!D27-'08 - 2022'!D26+'08 - 2022'!E27-'08 - 2022'!E26</f>
        <v>0</v>
      </c>
      <c r="H21" s="13">
        <v>0.99</v>
      </c>
      <c r="I21" s="15">
        <f>'08 - 2022'!J27-'08 - 2022'!J26</f>
        <v>0</v>
      </c>
      <c r="J21" s="13">
        <v>8.1000000000000003E-2</v>
      </c>
      <c r="K21" s="21">
        <f>'08 - 2022'!H27-'08 - 2022'!H26</f>
        <v>0</v>
      </c>
      <c r="L21" s="15">
        <f>'08 - 2022'!I27-'08 - 2022'!I26</f>
        <v>0</v>
      </c>
      <c r="M21" s="14">
        <v>4.393629424766913</v>
      </c>
      <c r="N21" s="88"/>
    </row>
    <row r="22" spans="1:17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'08 - 2022'!B28-'08 - 2022'!B27+'08 - 2022'!C28-'08 - 2022'!C27</f>
        <v>0</v>
      </c>
      <c r="F22" s="13">
        <v>0.11799999999999999</v>
      </c>
      <c r="G22" s="15">
        <f>'08 - 2022'!D28-'08 - 2022'!D27+'08 - 2022'!E28-'08 - 2022'!E27</f>
        <v>0</v>
      </c>
      <c r="H22" s="13">
        <v>0.99</v>
      </c>
      <c r="I22" s="15">
        <f>'08 - 2022'!J28-'08 - 2022'!J27</f>
        <v>0</v>
      </c>
      <c r="J22" s="13">
        <v>8.1000000000000003E-2</v>
      </c>
      <c r="K22" s="21">
        <f>'08 - 2022'!H28-'08 - 2022'!H27</f>
        <v>0</v>
      </c>
      <c r="L22" s="15">
        <f>'08 - 2022'!I28-'08 - 2022'!I27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'08 - 2022'!B29-'08 - 2022'!B28+'08 - 2022'!C29-'08 - 2022'!C28</f>
        <v>0</v>
      </c>
      <c r="F23" s="13">
        <v>0.11799999999999999</v>
      </c>
      <c r="G23" s="15">
        <f>'08 - 2022'!D29-'08 - 2022'!D28+'08 - 2022'!E29-'08 - 2022'!E28</f>
        <v>0</v>
      </c>
      <c r="H23" s="13">
        <v>0.99</v>
      </c>
      <c r="I23" s="15">
        <f>'08 - 2022'!J29-'08 - 2022'!J28</f>
        <v>0</v>
      </c>
      <c r="J23" s="13">
        <v>8.1000000000000003E-2</v>
      </c>
      <c r="K23" s="21">
        <f>'08 - 2022'!H29-'08 - 2022'!H28</f>
        <v>0</v>
      </c>
      <c r="L23" s="15">
        <f>'08 - 2022'!I29-'08 - 2022'!I28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'08 - 2022'!B30-'08 - 2022'!B29+'08 - 2022'!C30-'08 - 2022'!C29</f>
        <v>0</v>
      </c>
      <c r="F24" s="13">
        <v>0.11799999999999999</v>
      </c>
      <c r="G24" s="15">
        <f>'08 - 2022'!D30-'08 - 2022'!D29+'08 - 2022'!E30-'08 - 2022'!E29</f>
        <v>0</v>
      </c>
      <c r="H24" s="13">
        <v>0.99</v>
      </c>
      <c r="I24" s="15">
        <f>'08 - 2022'!J30-'08 - 2022'!J29</f>
        <v>0</v>
      </c>
      <c r="J24" s="13">
        <v>8.1000000000000003E-2</v>
      </c>
      <c r="K24" s="21">
        <f>'08 - 2022'!H30-'08 - 2022'!H29</f>
        <v>0</v>
      </c>
      <c r="L24" s="15">
        <f>'08 - 2022'!I30-'08 - 2022'!I29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'08 - 2022'!B31-'08 - 2022'!B30+'08 - 2022'!C31-'08 - 2022'!C30</f>
        <v>0</v>
      </c>
      <c r="F25" s="13">
        <v>0.11799999999999999</v>
      </c>
      <c r="G25" s="15">
        <f>'08 - 2022'!D31-'08 - 2022'!D30+'08 - 2022'!E31-'08 - 2022'!E30</f>
        <v>0</v>
      </c>
      <c r="H25" s="13">
        <v>0.99</v>
      </c>
      <c r="I25" s="15">
        <f>'08 - 2022'!J31-'08 - 2022'!J30</f>
        <v>0</v>
      </c>
      <c r="J25" s="13">
        <v>8.1000000000000003E-2</v>
      </c>
      <c r="K25" s="21">
        <f>'08 - 2022'!H31-'08 - 2022'!H30</f>
        <v>0</v>
      </c>
      <c r="L25" s="15">
        <f>'08 - 2022'!I31-'08 - 2022'!I30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f>'08 - 2022'!B32-'08 - 2022'!B31+'08 - 2022'!C32-'08 - 2022'!C31</f>
        <v>0</v>
      </c>
      <c r="F26" s="13">
        <v>0.11799999999999999</v>
      </c>
      <c r="G26" s="15">
        <f>'08 - 2022'!D32-'08 - 2022'!D31+'08 - 2022'!E32-'08 - 2022'!E31</f>
        <v>0</v>
      </c>
      <c r="H26" s="13">
        <v>0.99</v>
      </c>
      <c r="I26" s="15">
        <f>'08 - 2022'!J32-'08 - 2022'!J31</f>
        <v>0</v>
      </c>
      <c r="J26" s="13">
        <v>8.1000000000000003E-2</v>
      </c>
      <c r="K26" s="21">
        <f>'08 - 2022'!H32-'08 - 2022'!H31</f>
        <v>0</v>
      </c>
      <c r="L26" s="15">
        <f>'08 - 2022'!I32-'08 - 2022'!I31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'08 - 2022'!B33-'08 - 2022'!B32+'08 - 2022'!C33-'08 - 2022'!C32</f>
        <v>0</v>
      </c>
      <c r="F27" s="13">
        <v>0.11799999999999999</v>
      </c>
      <c r="G27" s="15">
        <f>'08 - 2022'!D33-'08 - 2022'!D32+'08 - 2022'!E33-'08 - 2022'!E32</f>
        <v>0</v>
      </c>
      <c r="H27" s="13">
        <v>0.99</v>
      </c>
      <c r="I27" s="15">
        <f>'08 - 2022'!J33-'08 - 2022'!J32</f>
        <v>0</v>
      </c>
      <c r="J27" s="13">
        <v>8.1000000000000003E-2</v>
      </c>
      <c r="K27" s="21">
        <f>'08 - 2022'!H33-'08 - 2022'!H32</f>
        <v>0</v>
      </c>
      <c r="L27" s="15">
        <f>'08 - 2022'!I33-'08 - 2022'!I32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'08 - 2022'!B34-'08 - 2022'!B33+'08 - 2022'!C34-'08 - 2022'!C33</f>
        <v>0</v>
      </c>
      <c r="F28" s="13">
        <v>0.11799999999999999</v>
      </c>
      <c r="G28" s="15">
        <f>'08 - 2022'!D34-'08 - 2022'!D33+'08 - 2022'!E34-'08 - 2022'!E33</f>
        <v>0</v>
      </c>
      <c r="H28" s="13">
        <v>0.99</v>
      </c>
      <c r="I28" s="15">
        <f>'08 - 2022'!J34-'08 - 2022'!J33</f>
        <v>0</v>
      </c>
      <c r="J28" s="13">
        <v>8.1000000000000003E-2</v>
      </c>
      <c r="K28" s="21">
        <f>'08 - 2022'!H34-'08 - 2022'!H33</f>
        <v>0</v>
      </c>
      <c r="L28" s="15">
        <f>'08 - 2022'!I34-'08 - 2022'!I33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'08 - 2022'!B35-'08 - 2022'!B34+'08 - 2022'!C35-'08 - 2022'!C34</f>
        <v>0</v>
      </c>
      <c r="F29" s="13">
        <v>0.11799999999999999</v>
      </c>
      <c r="G29" s="15">
        <f>'08 - 2022'!D35-'08 - 2022'!D34+'08 - 2022'!E35-'08 - 2022'!E34</f>
        <v>0</v>
      </c>
      <c r="H29" s="13">
        <v>0.99</v>
      </c>
      <c r="I29" s="15">
        <f>'08 - 2022'!J35-'08 - 2022'!J34</f>
        <v>0</v>
      </c>
      <c r="J29" s="13">
        <v>8.1000000000000003E-2</v>
      </c>
      <c r="K29" s="21">
        <f>'08 - 2022'!H35-'08 - 2022'!H34</f>
        <v>0</v>
      </c>
      <c r="L29" s="15">
        <f>'08 - 2022'!I35-'08 - 2022'!I34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'08 - 2022'!B36-'08 - 2022'!B35+'08 - 2022'!C36-'08 - 2022'!C35</f>
        <v>0</v>
      </c>
      <c r="F30" s="13">
        <v>0.11799999999999999</v>
      </c>
      <c r="G30" s="15">
        <f>'08 - 2022'!D36-'08 - 2022'!D35+'08 - 2022'!E36-'08 - 2022'!E35</f>
        <v>0</v>
      </c>
      <c r="H30" s="13">
        <v>0.99</v>
      </c>
      <c r="I30" s="15">
        <f>'08 - 2022'!J36-'08 - 2022'!J35</f>
        <v>0</v>
      </c>
      <c r="J30" s="13">
        <v>8.1000000000000003E-2</v>
      </c>
      <c r="K30" s="21">
        <f>'08 - 2022'!H36-'08 - 2022'!H35</f>
        <v>0</v>
      </c>
      <c r="L30" s="15">
        <f>'08 - 2022'!I36-'08 - 2022'!I35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'08 - 2022'!B37-'08 - 2022'!B36+'08 - 2022'!C37-'08 - 2022'!C36</f>
        <v>0</v>
      </c>
      <c r="F31" s="13">
        <v>0.11799999999999999</v>
      </c>
      <c r="G31" s="15">
        <f>'08 - 2022'!D37-'08 - 2022'!D36+'08 - 2022'!E37-'08 - 2022'!E36</f>
        <v>0</v>
      </c>
      <c r="H31" s="13">
        <v>0.99</v>
      </c>
      <c r="I31" s="15">
        <f>'08 - 2022'!J37-'08 - 2022'!J36</f>
        <v>0</v>
      </c>
      <c r="J31" s="13">
        <v>8.1000000000000003E-2</v>
      </c>
      <c r="K31" s="21">
        <f>'08 - 2022'!H37-'08 - 2022'!H36</f>
        <v>0</v>
      </c>
      <c r="L31" s="15">
        <f>'08 - 2022'!I37-'08 - 2022'!I36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'08 - 2022'!B38-'08 - 2022'!B37+'08 - 2022'!C38-'08 - 2022'!C37</f>
        <v>0</v>
      </c>
      <c r="F32" s="13">
        <v>0.11799999999999999</v>
      </c>
      <c r="G32" s="15">
        <f>'08 - 2022'!D38-'08 - 2022'!D37+'08 - 2022'!E38-'08 - 2022'!E37</f>
        <v>0</v>
      </c>
      <c r="H32" s="13">
        <v>0.99</v>
      </c>
      <c r="I32" s="15">
        <f>'08 - 2022'!J38-'08 - 2022'!J37</f>
        <v>0</v>
      </c>
      <c r="J32" s="13">
        <v>8.1000000000000003E-2</v>
      </c>
      <c r="K32" s="21">
        <f>'08 - 2022'!H38-'08 - 2022'!H37</f>
        <v>0</v>
      </c>
      <c r="L32" s="15">
        <f>'08 - 2022'!I38-'08 - 2022'!I37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G23" sqref="G23:G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8</v>
      </c>
      <c r="D2">
        <v>2022</v>
      </c>
      <c r="E2" s="15">
        <f>'08 - 2022'!B8-'08 - 2022'!B7</f>
        <v>4159</v>
      </c>
      <c r="F2" s="15">
        <f>'08 - 2022'!C8-'08 - 2022'!C7</f>
        <v>5680</v>
      </c>
      <c r="G2" s="13">
        <v>0.11799999999999999</v>
      </c>
      <c r="H2" s="15">
        <f>'08 - 2022'!E8-'08 - 2022'!E7</f>
        <v>24.429999999999836</v>
      </c>
      <c r="I2" s="15">
        <f>'08 - 2022'!F8-'08 - 2022'!F7</f>
        <v>6.8899999999998727</v>
      </c>
      <c r="J2" s="15">
        <f>'08 - 2022'!G8-'08 - 2022'!G7</f>
        <v>27.419999999998254</v>
      </c>
      <c r="K2" s="13">
        <v>0.74</v>
      </c>
      <c r="L2" s="16">
        <v>44</v>
      </c>
      <c r="M2" s="10"/>
    </row>
    <row r="3" spans="1:1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</f>
        <v>4112</v>
      </c>
      <c r="F3" s="15">
        <f>'08 - 2022'!C9-'08 - 2022'!C8</f>
        <v>5498</v>
      </c>
      <c r="G3" s="13">
        <v>0.11799999999999999</v>
      </c>
      <c r="H3" s="15">
        <f>'08 - 2022'!E9-'08 - 2022'!E8</f>
        <v>24.309999999999945</v>
      </c>
      <c r="I3" s="15">
        <f>'08 - 2022'!F9-'08 - 2022'!F8</f>
        <v>8.3800000000001091</v>
      </c>
      <c r="J3" s="15">
        <f>'08 - 2022'!G9-'08 - 2022'!G8</f>
        <v>26.569999999999709</v>
      </c>
      <c r="K3" s="13">
        <v>0.74</v>
      </c>
      <c r="L3" s="88">
        <v>54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f>'08 - 2022'!B10-'08 - 2022'!B9</f>
        <v>4105</v>
      </c>
      <c r="F4" s="15">
        <f>'08 - 2022'!C10-'08 - 2022'!C9</f>
        <v>5486</v>
      </c>
      <c r="G4" s="13">
        <v>0.11799999999999999</v>
      </c>
      <c r="H4" s="15">
        <f>'08 - 2022'!E10-'08 - 2022'!E9</f>
        <v>23.909999999999854</v>
      </c>
      <c r="I4" s="15">
        <f>'08 - 2022'!F10-'08 - 2022'!F9</f>
        <v>9.2899999999999636</v>
      </c>
      <c r="J4" s="15">
        <f>'08 - 2022'!G10-'08 - 2022'!G9</f>
        <v>27.349999999998545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f>'08 - 2022'!B11-'08 - 2022'!B10</f>
        <v>4149</v>
      </c>
      <c r="F5" s="15">
        <f>'08 - 2022'!C11-'08 - 2022'!C10</f>
        <v>5651</v>
      </c>
      <c r="G5" s="13">
        <v>0.11799999999999999</v>
      </c>
      <c r="H5" s="15">
        <f>'08 - 2022'!E11-'08 - 2022'!E10</f>
        <v>23.420000000000073</v>
      </c>
      <c r="I5" s="15">
        <f>'08 - 2022'!F11-'08 - 2022'!F10</f>
        <v>8.2400000000002365</v>
      </c>
      <c r="J5" s="15">
        <f>'08 - 2022'!G11-'08 - 2022'!G10</f>
        <v>29.660000000003492</v>
      </c>
      <c r="K5" s="13">
        <v>0.74</v>
      </c>
      <c r="L5" s="16">
        <v>75</v>
      </c>
      <c r="M5" s="10"/>
    </row>
    <row r="6" spans="1:1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f>'08 - 2022'!B12-'08 - 2022'!B11</f>
        <v>4146</v>
      </c>
      <c r="F6" s="15">
        <f>'08 - 2022'!C12-'08 - 2022'!C11</f>
        <v>5750</v>
      </c>
      <c r="G6" s="13">
        <v>0.11799999999999999</v>
      </c>
      <c r="H6" s="15">
        <f>'08 - 2022'!E12-'08 - 2022'!E11</f>
        <v>24.900000000000091</v>
      </c>
      <c r="I6" s="15">
        <f>'08 - 2022'!F12-'08 - 2022'!F11</f>
        <v>10.119999999999891</v>
      </c>
      <c r="J6" s="15">
        <f>'08 - 2022'!G12-'08 - 2022'!G11</f>
        <v>28.400000000001455</v>
      </c>
      <c r="K6" s="13">
        <v>0.74</v>
      </c>
      <c r="L6" s="16">
        <v>80</v>
      </c>
      <c r="M6" s="11"/>
    </row>
    <row r="7" spans="1:1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f>'08 - 2022'!B13-'08 - 2022'!B12</f>
        <v>4337</v>
      </c>
      <c r="F7" s="15">
        <f>'08 - 2022'!C13-'08 - 2022'!C12</f>
        <v>5879</v>
      </c>
      <c r="G7" s="13">
        <v>0.11799999999999999</v>
      </c>
      <c r="H7" s="15">
        <f>'08 - 2022'!E13-'08 - 2022'!E12</f>
        <v>23.849999999999909</v>
      </c>
      <c r="I7" s="15">
        <f>'08 - 2022'!F13-'08 - 2022'!F12</f>
        <v>10.089999999999691</v>
      </c>
      <c r="J7" s="15">
        <f>'08 - 2022'!G13-'08 - 2022'!G12</f>
        <v>27.930000000000291</v>
      </c>
      <c r="K7" s="13">
        <v>0.74</v>
      </c>
      <c r="L7" s="16">
        <v>73</v>
      </c>
      <c r="M7" s="11"/>
    </row>
    <row r="8" spans="1:1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</f>
        <v>4122</v>
      </c>
      <c r="F8" s="15">
        <f>'08 - 2022'!C14-'08 - 2022'!C13</f>
        <v>5817</v>
      </c>
      <c r="G8" s="13">
        <v>0.11799999999999999</v>
      </c>
      <c r="H8" s="15">
        <f>'08 - 2022'!E14-'08 - 2022'!E13</f>
        <v>25.25</v>
      </c>
      <c r="I8" s="15">
        <f>'08 - 2022'!F14-'08 - 2022'!F13</f>
        <v>8.3900000000003274</v>
      </c>
      <c r="J8" s="15">
        <f>'08 - 2022'!G14-'08 - 2022'!G13</f>
        <v>27.790000000000873</v>
      </c>
      <c r="K8" s="13">
        <v>0.74</v>
      </c>
      <c r="L8" s="16">
        <v>50</v>
      </c>
      <c r="M8" s="11"/>
    </row>
    <row r="9" spans="1:1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</f>
        <v>4120</v>
      </c>
      <c r="F9" s="15">
        <f>'08 - 2022'!C15-'08 - 2022'!C14</f>
        <v>5672</v>
      </c>
      <c r="G9" s="13">
        <v>0.11799999999999999</v>
      </c>
      <c r="H9" s="15">
        <f>'08 - 2022'!E15-'08 - 2022'!E14</f>
        <v>25.720000000000255</v>
      </c>
      <c r="I9" s="15">
        <f>'08 - 2022'!F15-'08 - 2022'!F14</f>
        <v>8.5299999999997453</v>
      </c>
      <c r="J9" s="15">
        <f>'08 - 2022'!G15-'08 - 2022'!G14</f>
        <v>23.479999999995925</v>
      </c>
      <c r="K9" s="13">
        <v>0.74</v>
      </c>
      <c r="L9" s="16">
        <v>57</v>
      </c>
      <c r="M9" s="11"/>
    </row>
    <row r="10" spans="1:1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</f>
        <v>4131</v>
      </c>
      <c r="F10" s="15">
        <f>'08 - 2022'!C16-'08 - 2022'!C15</f>
        <v>5577</v>
      </c>
      <c r="G10" s="13">
        <v>0.11799999999999999</v>
      </c>
      <c r="H10" s="15">
        <f>'08 - 2022'!E16-'08 - 2022'!E15</f>
        <v>21.109999999999673</v>
      </c>
      <c r="I10" s="15">
        <f>'08 - 2022'!F16-'08 - 2022'!F15</f>
        <v>9.8900000000003274</v>
      </c>
      <c r="J10" s="15">
        <f>'08 - 2022'!G16-'08 - 2022'!G15</f>
        <v>28.400000000001455</v>
      </c>
      <c r="K10" s="13">
        <v>0.74</v>
      </c>
      <c r="L10" s="16">
        <v>79</v>
      </c>
      <c r="M10" s="11"/>
    </row>
    <row r="11" spans="1:1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</f>
        <v>3922</v>
      </c>
      <c r="F11" s="15">
        <f>'08 - 2022'!C17-'08 - 2022'!C16</f>
        <v>5948</v>
      </c>
      <c r="G11" s="13">
        <v>0.11799999999999999</v>
      </c>
      <c r="H11" s="15">
        <f>'08 - 2022'!E17-'08 - 2022'!E16</f>
        <v>23.620000000000346</v>
      </c>
      <c r="I11" s="15">
        <f>'08 - 2022'!F17-'08 - 2022'!F16</f>
        <v>9.3399999999996908</v>
      </c>
      <c r="J11" s="15">
        <f>'08 - 2022'!G17-'08 - 2022'!G16</f>
        <v>26.559999999997672</v>
      </c>
      <c r="K11" s="13">
        <v>0.74</v>
      </c>
      <c r="L11" s="16">
        <v>82</v>
      </c>
      <c r="M11" s="11"/>
    </row>
    <row r="12" spans="1:1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f>'08 - 2022'!B18-'08 - 2022'!B17</f>
        <v>3973</v>
      </c>
      <c r="F12" s="15">
        <f>'08 - 2022'!C18-'08 - 2022'!C17</f>
        <v>5832</v>
      </c>
      <c r="G12" s="13">
        <v>0.11799999999999999</v>
      </c>
      <c r="H12" s="15">
        <f>'08 - 2022'!E18-'08 - 2022'!E17</f>
        <v>22.449999999999818</v>
      </c>
      <c r="I12" s="15">
        <f>'08 - 2022'!F18-'08 - 2022'!F17</f>
        <v>8.2100000000000364</v>
      </c>
      <c r="J12" s="15">
        <f>'08 - 2022'!G18-'08 - 2022'!G17</f>
        <v>26.740000000005239</v>
      </c>
      <c r="K12" s="13">
        <v>0.74</v>
      </c>
      <c r="L12" s="16">
        <v>72</v>
      </c>
      <c r="M12" s="11"/>
    </row>
    <row r="13" spans="1:1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</f>
        <v>4042</v>
      </c>
      <c r="F13" s="15">
        <f>'08 - 2022'!C19-'08 - 2022'!C18</f>
        <v>6087</v>
      </c>
      <c r="G13" s="13">
        <v>0.11799999999999999</v>
      </c>
      <c r="H13" s="15">
        <f>'08 - 2022'!E19-'08 - 2022'!E18</f>
        <v>26.230000000000018</v>
      </c>
      <c r="I13" s="15">
        <f>'08 - 2022'!F19-'08 - 2022'!F18</f>
        <v>9.6199999999998909</v>
      </c>
      <c r="J13" s="15">
        <f>'08 - 2022'!G19-'08 - 2022'!G18</f>
        <v>27.799999999995634</v>
      </c>
      <c r="K13" s="13">
        <v>0.74</v>
      </c>
      <c r="L13" s="16">
        <v>77</v>
      </c>
      <c r="M13" s="11"/>
    </row>
    <row r="14" spans="1:1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v>0</v>
      </c>
      <c r="F14" s="15">
        <v>0</v>
      </c>
      <c r="G14" s="13">
        <v>0.11799999999999999</v>
      </c>
      <c r="H14" s="15">
        <v>0</v>
      </c>
      <c r="I14" s="15">
        <v>0</v>
      </c>
      <c r="J14" s="15"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</f>
        <v>0</v>
      </c>
      <c r="F15" s="15">
        <f>'08 - 2022'!C21-'08 - 2022'!C20</f>
        <v>0</v>
      </c>
      <c r="G15" s="13">
        <v>0.11799999999999999</v>
      </c>
      <c r="H15" s="15">
        <f>'08 - 2022'!E21-'08 - 2022'!E20</f>
        <v>0</v>
      </c>
      <c r="I15" s="15">
        <f>'08 - 2022'!F21-'08 - 2022'!F20</f>
        <v>0</v>
      </c>
      <c r="J15" s="15">
        <f>'08 - 2022'!G21-'08 - 2022'!G20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</f>
        <v>0</v>
      </c>
      <c r="F16" s="15">
        <f>'08 - 2022'!C22-'08 - 2022'!C21</f>
        <v>0</v>
      </c>
      <c r="G16" s="13">
        <v>0.11799999999999999</v>
      </c>
      <c r="H16" s="15">
        <f>'08 - 2022'!E22-'08 - 2022'!E21</f>
        <v>0</v>
      </c>
      <c r="I16" s="15">
        <f>'08 - 2022'!F22-'08 - 2022'!F21</f>
        <v>0</v>
      </c>
      <c r="J16" s="15">
        <f>'08 - 2022'!G22-'08 - 2022'!G21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f>'08 - 2022'!B23-'08 - 2022'!B22</f>
        <v>0</v>
      </c>
      <c r="F17" s="15">
        <f>'08 - 2022'!C23-'08 - 2022'!C22</f>
        <v>0</v>
      </c>
      <c r="G17" s="13">
        <v>0.11799999999999999</v>
      </c>
      <c r="H17" s="15">
        <f>'08 - 2022'!E23-'08 - 2022'!E22</f>
        <v>0</v>
      </c>
      <c r="I17" s="15">
        <f>'08 - 2022'!F23-'08 - 2022'!F22</f>
        <v>0</v>
      </c>
      <c r="J17" s="15">
        <f>'08 - 2022'!G23-'08 - 2022'!G22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</f>
        <v>0</v>
      </c>
      <c r="F18" s="15">
        <f>'08 - 2022'!C24-'08 - 2022'!C23</f>
        <v>0</v>
      </c>
      <c r="G18" s="13">
        <v>0.11799999999999999</v>
      </c>
      <c r="H18" s="15">
        <f>'08 - 2022'!E24-'08 - 2022'!E23</f>
        <v>0</v>
      </c>
      <c r="I18" s="15">
        <f>'08 - 2022'!F24-'08 - 2022'!F23</f>
        <v>0</v>
      </c>
      <c r="J18" s="15">
        <f>'08 - 2022'!G24-'08 - 2022'!G23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f>'08 - 2022'!B25-'08 - 2022'!B24</f>
        <v>0</v>
      </c>
      <c r="F19" s="15">
        <f>'08 - 2022'!C25-'08 - 2022'!C24</f>
        <v>0</v>
      </c>
      <c r="G19" s="13">
        <v>0.11799999999999999</v>
      </c>
      <c r="H19" s="15">
        <f>'08 - 2022'!E25-'08 - 2022'!E24</f>
        <v>0</v>
      </c>
      <c r="I19" s="15">
        <f>'08 - 2022'!F25-'08 - 2022'!F24</f>
        <v>0</v>
      </c>
      <c r="J19" s="15">
        <f>'08 - 2022'!G25-'08 - 2022'!G24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</f>
        <v>0</v>
      </c>
      <c r="F20" s="15">
        <f>'08 - 2022'!C26-'08 - 2022'!C25</f>
        <v>0</v>
      </c>
      <c r="G20" s="13">
        <v>0.11799999999999999</v>
      </c>
      <c r="H20" s="15">
        <f>'08 - 2022'!E26-'08 - 2022'!E25</f>
        <v>0</v>
      </c>
      <c r="I20" s="15">
        <f>'08 - 2022'!F26-'08 - 2022'!F25</f>
        <v>0</v>
      </c>
      <c r="J20" s="15">
        <f>'08 - 2022'!G26-'08 - 2022'!G25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</f>
        <v>0</v>
      </c>
      <c r="F21" s="15">
        <f>'08 - 2022'!C27-'08 - 2022'!C26</f>
        <v>0</v>
      </c>
      <c r="G21" s="13">
        <v>0.11799999999999999</v>
      </c>
      <c r="H21" s="15">
        <f>'08 - 2022'!E27-'08 - 2022'!E26</f>
        <v>0</v>
      </c>
      <c r="I21" s="15">
        <f>'08 - 2022'!F27-'08 - 2022'!F26</f>
        <v>0</v>
      </c>
      <c r="J21" s="15">
        <f>'08 - 2022'!G27-'08 - 2022'!G26</f>
        <v>0</v>
      </c>
      <c r="K21" s="13">
        <v>0.74</v>
      </c>
      <c r="L21" s="88"/>
      <c r="M21" s="11"/>
    </row>
    <row r="22" spans="1:13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</f>
        <v>0</v>
      </c>
      <c r="F22" s="15">
        <f>'08 - 2022'!C28-'08 - 2022'!C27</f>
        <v>0</v>
      </c>
      <c r="G22" s="13">
        <v>0.11799999999999999</v>
      </c>
      <c r="H22" s="15">
        <f>'08 - 2022'!E28-'08 - 2022'!E27</f>
        <v>0</v>
      </c>
      <c r="I22" s="15">
        <f>'08 - 2022'!F28-'08 - 2022'!F27</f>
        <v>0</v>
      </c>
      <c r="J22" s="15">
        <f>'08 - 2022'!G28-'08 - 2022'!G27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</f>
        <v>0</v>
      </c>
      <c r="F23" s="15">
        <f>'08 - 2022'!C29-'08 - 2022'!C28</f>
        <v>0</v>
      </c>
      <c r="G23" s="13">
        <v>0.11799999999999999</v>
      </c>
      <c r="H23" s="15">
        <f>'08 - 2022'!E29-'08 - 2022'!E28</f>
        <v>0</v>
      </c>
      <c r="I23" s="15">
        <f>'08 - 2022'!F29-'08 - 2022'!F28</f>
        <v>0</v>
      </c>
      <c r="J23" s="15">
        <f>'08 - 2022'!G29-'08 - 2022'!G28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</f>
        <v>0</v>
      </c>
      <c r="F24" s="15">
        <f>'08 - 2022'!C30-'08 - 2022'!C29</f>
        <v>0</v>
      </c>
      <c r="G24" s="13">
        <v>0.11799999999999999</v>
      </c>
      <c r="H24" s="15">
        <f>'08 - 2022'!E30-'08 - 2022'!E29</f>
        <v>0</v>
      </c>
      <c r="I24" s="15">
        <f>'08 - 2022'!F30-'08 - 2022'!F29</f>
        <v>0</v>
      </c>
      <c r="J24" s="15">
        <f>'08 - 2022'!G30-'08 - 2022'!G29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</f>
        <v>0</v>
      </c>
      <c r="F25" s="15">
        <f>'08 - 2022'!C31-'08 - 2022'!C30</f>
        <v>0</v>
      </c>
      <c r="G25" s="13">
        <v>0.11799999999999999</v>
      </c>
      <c r="H25" s="15">
        <f>'08 - 2022'!E31-'08 - 2022'!E30</f>
        <v>0</v>
      </c>
      <c r="I25" s="15">
        <f>'08 - 2022'!F31-'08 - 2022'!F30</f>
        <v>0</v>
      </c>
      <c r="J25" s="15">
        <f>'08 - 2022'!G31-'08 - 2022'!G30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f>'08 - 2022'!B32-'08 - 2022'!B31</f>
        <v>0</v>
      </c>
      <c r="F26" s="15">
        <f>'08 - 2022'!C32-'08 - 2022'!C31</f>
        <v>0</v>
      </c>
      <c r="G26" s="13">
        <v>0.11799999999999999</v>
      </c>
      <c r="H26" s="15">
        <f>'08 - 2022'!E32-'08 - 2022'!E31</f>
        <v>0</v>
      </c>
      <c r="I26" s="15">
        <f>'08 - 2022'!F32-'08 - 2022'!F31</f>
        <v>0</v>
      </c>
      <c r="J26" s="15">
        <f>'08 - 2022'!G32-'08 - 2022'!G31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</f>
        <v>0</v>
      </c>
      <c r="F27" s="15">
        <f>'08 - 2022'!C33-'08 - 2022'!C32</f>
        <v>0</v>
      </c>
      <c r="G27" s="13">
        <v>0.11799999999999999</v>
      </c>
      <c r="H27" s="15">
        <f>'08 - 2022'!E33-'08 - 2022'!E32</f>
        <v>0</v>
      </c>
      <c r="I27" s="15">
        <f>'08 - 2022'!F33-'08 - 2022'!F32</f>
        <v>0</v>
      </c>
      <c r="J27" s="15">
        <f>'08 - 2022'!G33-'08 - 2022'!G32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</f>
        <v>0</v>
      </c>
      <c r="F28" s="15">
        <f>'08 - 2022'!C34-'08 - 2022'!C33</f>
        <v>0</v>
      </c>
      <c r="G28" s="13">
        <v>0.11799999999999999</v>
      </c>
      <c r="H28" s="15">
        <f>'08 - 2022'!E34-'08 - 2022'!E33</f>
        <v>0</v>
      </c>
      <c r="I28" s="15">
        <f>'08 - 2022'!F34-'08 - 2022'!F33</f>
        <v>0</v>
      </c>
      <c r="J28" s="15">
        <f>'08 - 2022'!G34-'08 - 2022'!G33</f>
        <v>0</v>
      </c>
      <c r="K28" s="13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</f>
        <v>0</v>
      </c>
      <c r="F29" s="15">
        <f>'08 - 2022'!C35-'08 - 2022'!C34</f>
        <v>0</v>
      </c>
      <c r="G29" s="13">
        <v>0.11799999999999999</v>
      </c>
      <c r="H29" s="15">
        <f>'08 - 2022'!E35-'08 - 2022'!E34</f>
        <v>0</v>
      </c>
      <c r="I29" s="15">
        <f>'08 - 2022'!F35-'08 - 2022'!F34</f>
        <v>0</v>
      </c>
      <c r="J29" s="15">
        <f>'08 - 2022'!G35-'08 - 2022'!G34</f>
        <v>0</v>
      </c>
      <c r="K29" s="13">
        <v>0.74</v>
      </c>
      <c r="L29" s="4"/>
      <c r="M29" s="11"/>
    </row>
    <row r="30" spans="1:13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</f>
        <v>0</v>
      </c>
      <c r="F30" s="15">
        <f>'08 - 2022'!C36-'08 - 2022'!C35</f>
        <v>0</v>
      </c>
      <c r="G30" s="13">
        <v>0.11799999999999999</v>
      </c>
      <c r="H30" s="15">
        <f>'08 - 2022'!E36-'08 - 2022'!E35</f>
        <v>0</v>
      </c>
      <c r="I30" s="15">
        <f>'08 - 2022'!F36-'08 - 2022'!F35</f>
        <v>0</v>
      </c>
      <c r="J30" s="15">
        <f>'08 - 2022'!G36-'08 - 2022'!G35</f>
        <v>0</v>
      </c>
      <c r="K30" s="13">
        <v>0.74</v>
      </c>
      <c r="L30" s="15"/>
    </row>
    <row r="31" spans="1:13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</f>
        <v>0</v>
      </c>
      <c r="F31" s="15">
        <f>'08 - 2022'!C37-'08 - 2022'!C36</f>
        <v>0</v>
      </c>
      <c r="G31" s="13">
        <v>0.11799999999999999</v>
      </c>
      <c r="H31" s="15">
        <f>'08 - 2022'!E37-'08 - 2022'!E36</f>
        <v>0</v>
      </c>
      <c r="I31" s="15">
        <f>'08 - 2022'!F37-'08 - 2022'!F36</f>
        <v>0</v>
      </c>
      <c r="J31" s="15">
        <f>'08 - 2022'!G37-'08 - 2022'!G36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</f>
        <v>0</v>
      </c>
      <c r="F32" s="15">
        <f>'08 - 2022'!C38-'08 - 2022'!C37</f>
        <v>0</v>
      </c>
      <c r="G32" s="13">
        <v>0.11799999999999999</v>
      </c>
      <c r="H32" s="15">
        <f>'08 - 2022'!E38-'08 - 2022'!E37</f>
        <v>0</v>
      </c>
      <c r="I32" s="15">
        <f>'08 - 2022'!F38-'08 - 2022'!F37</f>
        <v>0</v>
      </c>
      <c r="J32" s="15">
        <f>'08 - 2022'!G38-'08 - 2022'!G37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4" zoomScaleNormal="100" workbookViewId="0">
      <selection activeCell="B19" sqref="B19:J19"/>
    </sheetView>
  </sheetViews>
  <sheetFormatPr defaultRowHeight="15" x14ac:dyDescent="0.25"/>
  <cols>
    <col min="1" max="1" width="13.5703125" style="45" customWidth="1"/>
    <col min="2" max="2" width="13.28515625" style="45" customWidth="1"/>
    <col min="3" max="3" width="13.140625" style="45" customWidth="1"/>
    <col min="4" max="4" width="9.85546875" style="45" customWidth="1"/>
    <col min="5" max="5" width="11.42578125" style="45" customWidth="1"/>
    <col min="6" max="6" width="11.7109375" style="45" customWidth="1"/>
    <col min="7" max="7" width="11.28515625" style="45" customWidth="1"/>
    <col min="8" max="8" width="13.5703125" style="45" customWidth="1"/>
    <col min="9" max="9" width="15.140625" style="45" customWidth="1"/>
    <col min="10" max="10" width="14.28515625" style="45" customWidth="1"/>
    <col min="11" max="11" width="16.42578125" style="45" customWidth="1"/>
    <col min="12" max="12" width="39" style="45" customWidth="1"/>
    <col min="13" max="13" width="14.140625" style="45" customWidth="1"/>
    <col min="14" max="16384" width="9.140625" style="45"/>
  </cols>
  <sheetData>
    <row r="1" spans="1:17" x14ac:dyDescent="0.25">
      <c r="H1" s="46"/>
      <c r="I1" s="46"/>
    </row>
    <row r="3" spans="1:17" ht="18.75" x14ac:dyDescent="0.25">
      <c r="A3" s="104" t="s">
        <v>30</v>
      </c>
      <c r="B3" s="104"/>
      <c r="C3" s="104"/>
      <c r="D3" s="104"/>
      <c r="E3" s="104"/>
      <c r="F3" s="104"/>
      <c r="G3" s="104"/>
      <c r="H3" s="104"/>
      <c r="I3" s="104"/>
      <c r="J3" s="104"/>
    </row>
    <row r="4" spans="1:17" ht="16.5" thickBot="1" x14ac:dyDescent="0.3">
      <c r="A4" s="105" t="s">
        <v>37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7" ht="16.5" thickBot="1" x14ac:dyDescent="0.3">
      <c r="A5" s="47"/>
      <c r="B5" s="106" t="s">
        <v>36</v>
      </c>
      <c r="C5" s="107"/>
      <c r="D5" s="106" t="s">
        <v>0</v>
      </c>
      <c r="E5" s="108"/>
      <c r="F5" s="108"/>
      <c r="G5" s="109"/>
      <c r="H5" s="110" t="s">
        <v>1</v>
      </c>
      <c r="I5" s="111"/>
      <c r="J5" s="48" t="s">
        <v>2</v>
      </c>
      <c r="K5" s="47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53" customFormat="1" ht="12.95" customHeight="1" x14ac:dyDescent="0.25">
      <c r="A7" s="49">
        <v>44773</v>
      </c>
      <c r="B7" s="27">
        <v>356339</v>
      </c>
      <c r="C7" s="28">
        <v>1258900</v>
      </c>
      <c r="D7" s="29">
        <v>0.54</v>
      </c>
      <c r="E7" s="30">
        <v>3382.84</v>
      </c>
      <c r="F7" s="30">
        <v>2768.21</v>
      </c>
      <c r="G7" s="30">
        <v>44347.11</v>
      </c>
      <c r="H7" s="27">
        <v>14528</v>
      </c>
      <c r="I7" s="27">
        <v>165500</v>
      </c>
      <c r="J7" s="27">
        <v>57947880</v>
      </c>
      <c r="K7" s="50"/>
      <c r="L7" s="51"/>
      <c r="M7" s="52"/>
    </row>
    <row r="8" spans="1:17" s="58" customFormat="1" ht="12.95" customHeight="1" x14ac:dyDescent="0.2">
      <c r="A8" s="54">
        <f>A7+1</f>
        <v>44774</v>
      </c>
      <c r="B8" s="89">
        <v>360498</v>
      </c>
      <c r="C8" s="89">
        <v>1264580</v>
      </c>
      <c r="D8" s="90">
        <v>0.57999999999999996</v>
      </c>
      <c r="E8" s="91">
        <v>3407.27</v>
      </c>
      <c r="F8" s="91">
        <v>2775.1</v>
      </c>
      <c r="G8" s="89">
        <v>44374.53</v>
      </c>
      <c r="H8" s="92">
        <v>14528</v>
      </c>
      <c r="I8" s="89">
        <v>165600</v>
      </c>
      <c r="J8" s="89">
        <v>57981609</v>
      </c>
      <c r="K8" s="55"/>
      <c r="L8" s="56"/>
      <c r="M8" s="57"/>
    </row>
    <row r="9" spans="1:17" s="58" customFormat="1" ht="12.95" customHeight="1" x14ac:dyDescent="0.2">
      <c r="A9" s="54">
        <f t="shared" ref="A9:A38" si="0">A8+1</f>
        <v>44775</v>
      </c>
      <c r="B9" s="93">
        <v>364610</v>
      </c>
      <c r="C9" s="94">
        <v>1270078</v>
      </c>
      <c r="D9" s="95">
        <v>0.55000000000000004</v>
      </c>
      <c r="E9" s="94">
        <v>3431.58</v>
      </c>
      <c r="F9" s="94">
        <v>2783.48</v>
      </c>
      <c r="G9" s="94">
        <v>44401.1</v>
      </c>
      <c r="H9" s="34">
        <v>14528</v>
      </c>
      <c r="I9" s="96">
        <v>165701</v>
      </c>
      <c r="J9" s="96">
        <v>58014944</v>
      </c>
      <c r="K9" s="59"/>
      <c r="L9" s="60"/>
      <c r="M9" s="57"/>
    </row>
    <row r="10" spans="1:17" s="58" customFormat="1" ht="12.95" customHeight="1" x14ac:dyDescent="0.2">
      <c r="A10" s="97">
        <f t="shared" si="0"/>
        <v>44776</v>
      </c>
      <c r="B10" s="96">
        <v>368715</v>
      </c>
      <c r="C10" s="96">
        <v>1275564</v>
      </c>
      <c r="D10" s="95">
        <v>0.2</v>
      </c>
      <c r="E10" s="94">
        <v>3455.49</v>
      </c>
      <c r="F10" s="94">
        <v>2792.77</v>
      </c>
      <c r="G10" s="94">
        <v>44428.45</v>
      </c>
      <c r="H10" s="34">
        <v>14528</v>
      </c>
      <c r="I10" s="96">
        <v>165804</v>
      </c>
      <c r="J10" s="98">
        <v>58048395</v>
      </c>
      <c r="K10" s="59">
        <v>4200</v>
      </c>
      <c r="L10" s="61"/>
      <c r="M10" s="57"/>
    </row>
    <row r="11" spans="1:17" s="58" customFormat="1" ht="12.95" customHeight="1" x14ac:dyDescent="0.2">
      <c r="A11" s="54">
        <f t="shared" si="0"/>
        <v>44777</v>
      </c>
      <c r="B11" s="96">
        <v>372864</v>
      </c>
      <c r="C11" s="96">
        <v>1281215</v>
      </c>
      <c r="D11" s="95">
        <v>0.75</v>
      </c>
      <c r="E11" s="94">
        <v>3478.91</v>
      </c>
      <c r="F11" s="94">
        <v>2801.01</v>
      </c>
      <c r="G11" s="94">
        <v>44458.11</v>
      </c>
      <c r="H11" s="34">
        <v>14528</v>
      </c>
      <c r="I11" s="96">
        <v>165910</v>
      </c>
      <c r="J11" s="96">
        <v>58083104</v>
      </c>
      <c r="K11" s="99"/>
      <c r="L11" s="61"/>
      <c r="M11" s="57"/>
    </row>
    <row r="12" spans="1:17" s="58" customFormat="1" ht="12.95" customHeight="1" x14ac:dyDescent="0.2">
      <c r="A12" s="54">
        <f t="shared" si="0"/>
        <v>44778</v>
      </c>
      <c r="B12" s="93">
        <v>377010</v>
      </c>
      <c r="C12" s="93">
        <v>1286965</v>
      </c>
      <c r="D12" s="95">
        <v>0.68</v>
      </c>
      <c r="E12" s="93">
        <v>3503.81</v>
      </c>
      <c r="F12" s="93">
        <v>2811.13</v>
      </c>
      <c r="G12" s="93">
        <v>44486.51</v>
      </c>
      <c r="H12" s="34">
        <v>14528</v>
      </c>
      <c r="I12" s="93">
        <v>166016</v>
      </c>
      <c r="J12" s="93">
        <v>58122777</v>
      </c>
      <c r="K12" s="59"/>
      <c r="L12" s="61"/>
      <c r="M12" s="57"/>
      <c r="N12" s="63"/>
    </row>
    <row r="13" spans="1:17" s="58" customFormat="1" ht="12.95" customHeight="1" x14ac:dyDescent="0.25">
      <c r="A13" s="54">
        <f t="shared" si="0"/>
        <v>44779</v>
      </c>
      <c r="B13" s="100">
        <v>381347</v>
      </c>
      <c r="C13" s="94">
        <v>1292844</v>
      </c>
      <c r="D13" s="95">
        <v>0.61</v>
      </c>
      <c r="E13" s="94">
        <v>3527.66</v>
      </c>
      <c r="F13" s="94">
        <v>2821.22</v>
      </c>
      <c r="G13" s="94">
        <v>44514.44</v>
      </c>
      <c r="H13" s="34">
        <v>14528</v>
      </c>
      <c r="I13" s="94">
        <v>166128</v>
      </c>
      <c r="J13" s="94">
        <v>58160943</v>
      </c>
      <c r="K13" s="59"/>
      <c r="L13" s="61"/>
      <c r="M13" s="57"/>
      <c r="N13" s="64"/>
      <c r="O13" s="64"/>
      <c r="P13" s="64"/>
      <c r="Q13" s="64"/>
    </row>
    <row r="14" spans="1:17" s="58" customFormat="1" ht="12.95" customHeight="1" x14ac:dyDescent="0.25">
      <c r="A14" s="54">
        <f t="shared" si="0"/>
        <v>44780</v>
      </c>
      <c r="B14" s="96">
        <v>385469</v>
      </c>
      <c r="C14" s="96">
        <v>1298661</v>
      </c>
      <c r="D14" s="95">
        <v>0.54</v>
      </c>
      <c r="E14" s="94">
        <v>3552.91</v>
      </c>
      <c r="F14" s="94">
        <v>2829.61</v>
      </c>
      <c r="G14" s="94">
        <v>44542.23</v>
      </c>
      <c r="H14" s="34">
        <v>14528</v>
      </c>
      <c r="I14" s="96">
        <v>166244</v>
      </c>
      <c r="J14" s="96">
        <v>58197163</v>
      </c>
      <c r="K14" s="59"/>
      <c r="L14" s="61"/>
      <c r="M14" s="57"/>
      <c r="N14" s="64"/>
      <c r="O14" s="64"/>
      <c r="P14" s="64"/>
      <c r="Q14" s="64"/>
    </row>
    <row r="15" spans="1:17" s="58" customFormat="1" ht="12.95" customHeight="1" x14ac:dyDescent="0.25">
      <c r="A15" s="54">
        <f t="shared" si="0"/>
        <v>44781</v>
      </c>
      <c r="B15" s="96">
        <v>389589</v>
      </c>
      <c r="C15" s="96">
        <v>1304333</v>
      </c>
      <c r="D15" s="95">
        <v>0.47</v>
      </c>
      <c r="E15" s="94">
        <v>3578.63</v>
      </c>
      <c r="F15" s="101">
        <v>2838.14</v>
      </c>
      <c r="G15" s="94">
        <v>44565.71</v>
      </c>
      <c r="H15" s="34">
        <v>14528</v>
      </c>
      <c r="I15" s="96">
        <v>166342</v>
      </c>
      <c r="J15" s="96">
        <v>58231805</v>
      </c>
      <c r="K15" s="82"/>
      <c r="L15" s="61"/>
      <c r="M15" s="57"/>
      <c r="N15" s="64"/>
      <c r="O15" s="64"/>
      <c r="P15" s="64"/>
      <c r="Q15" s="64"/>
    </row>
    <row r="16" spans="1:17" s="58" customFormat="1" ht="12.95" customHeight="1" x14ac:dyDescent="0.25">
      <c r="A16" s="54">
        <f t="shared" si="0"/>
        <v>44782</v>
      </c>
      <c r="B16" s="102">
        <v>393720</v>
      </c>
      <c r="C16" s="96">
        <v>1309910</v>
      </c>
      <c r="D16" s="95">
        <v>0.41</v>
      </c>
      <c r="E16" s="94">
        <v>3599.74</v>
      </c>
      <c r="F16" s="101">
        <v>2848.03</v>
      </c>
      <c r="G16" s="94">
        <v>44594.11</v>
      </c>
      <c r="H16" s="34">
        <v>14528</v>
      </c>
      <c r="I16" s="96">
        <v>166487</v>
      </c>
      <c r="J16" s="96">
        <v>58266576</v>
      </c>
      <c r="K16" s="82"/>
      <c r="L16" s="61"/>
      <c r="M16" s="57"/>
      <c r="N16" s="64"/>
      <c r="O16" s="64"/>
      <c r="P16" s="64"/>
      <c r="Q16" s="64"/>
    </row>
    <row r="17" spans="1:19" s="58" customFormat="1" ht="12.95" customHeight="1" x14ac:dyDescent="0.25">
      <c r="A17" s="54">
        <f t="shared" si="0"/>
        <v>44783</v>
      </c>
      <c r="B17" s="94">
        <v>397642</v>
      </c>
      <c r="C17" s="94">
        <v>1315858</v>
      </c>
      <c r="D17" s="103">
        <v>0.34</v>
      </c>
      <c r="E17" s="94">
        <v>3623.36</v>
      </c>
      <c r="F17" s="101">
        <v>2857.37</v>
      </c>
      <c r="G17" s="94">
        <v>44620.67</v>
      </c>
      <c r="H17" s="34">
        <v>14528</v>
      </c>
      <c r="I17" s="94">
        <v>166595</v>
      </c>
      <c r="J17" s="94">
        <v>58304568</v>
      </c>
      <c r="K17" s="82"/>
      <c r="L17" s="61"/>
      <c r="M17" s="57"/>
      <c r="N17" s="64"/>
      <c r="O17" s="64"/>
      <c r="P17" s="64"/>
      <c r="Q17" s="64"/>
    </row>
    <row r="18" spans="1:19" s="58" customFormat="1" ht="12.95" customHeight="1" x14ac:dyDescent="0.25">
      <c r="A18" s="54">
        <f t="shared" si="0"/>
        <v>44784</v>
      </c>
      <c r="B18" s="96">
        <v>401615</v>
      </c>
      <c r="C18" s="96">
        <v>1321690</v>
      </c>
      <c r="D18" s="95">
        <v>0.28999999999999998</v>
      </c>
      <c r="E18" s="94">
        <v>3645.81</v>
      </c>
      <c r="F18" s="94">
        <v>2865.58</v>
      </c>
      <c r="G18" s="94">
        <v>44647.41</v>
      </c>
      <c r="H18" s="34">
        <v>14528</v>
      </c>
      <c r="I18" s="96">
        <v>166702</v>
      </c>
      <c r="J18" s="96">
        <v>58342782</v>
      </c>
      <c r="K18" s="82"/>
      <c r="L18" s="61"/>
      <c r="M18" s="57"/>
      <c r="N18" s="64"/>
      <c r="O18" s="22"/>
      <c r="P18" s="64"/>
      <c r="Q18" s="64"/>
    </row>
    <row r="19" spans="1:19" s="58" customFormat="1" ht="12.95" customHeight="1" x14ac:dyDescent="0.25">
      <c r="A19" s="54">
        <f t="shared" si="0"/>
        <v>44785</v>
      </c>
      <c r="B19" s="112">
        <v>405657</v>
      </c>
      <c r="C19" s="112">
        <v>1327777</v>
      </c>
      <c r="D19" s="95">
        <v>0.82</v>
      </c>
      <c r="E19" s="94">
        <v>3672.04</v>
      </c>
      <c r="F19" s="94">
        <v>2875.2</v>
      </c>
      <c r="G19" s="113">
        <v>44675.21</v>
      </c>
      <c r="H19" s="34">
        <v>14528</v>
      </c>
      <c r="I19" s="112">
        <v>166798</v>
      </c>
      <c r="J19" s="112">
        <v>58384149</v>
      </c>
      <c r="K19" s="82"/>
      <c r="L19" s="61"/>
      <c r="M19" s="57"/>
      <c r="N19" s="64"/>
      <c r="O19" s="22"/>
      <c r="P19" s="64"/>
      <c r="Q19" s="64"/>
    </row>
    <row r="20" spans="1:19" s="58" customFormat="1" ht="12.95" customHeight="1" x14ac:dyDescent="0.25">
      <c r="A20" s="54">
        <f t="shared" si="0"/>
        <v>44786</v>
      </c>
      <c r="B20" s="35"/>
      <c r="C20" s="35"/>
      <c r="D20" s="31"/>
      <c r="E20" s="62"/>
      <c r="F20" s="62"/>
      <c r="G20" s="36"/>
      <c r="H20" s="34"/>
      <c r="I20" s="35"/>
      <c r="J20" s="35"/>
      <c r="K20" s="59"/>
      <c r="L20" s="65"/>
      <c r="M20" s="57"/>
      <c r="N20" s="66"/>
      <c r="O20" s="64"/>
      <c r="P20" s="64"/>
      <c r="Q20" s="64"/>
    </row>
    <row r="21" spans="1:19" s="58" customFormat="1" ht="12.95" customHeight="1" x14ac:dyDescent="0.25">
      <c r="A21" s="54">
        <f t="shared" si="0"/>
        <v>44787</v>
      </c>
      <c r="B21" s="35"/>
      <c r="C21" s="35"/>
      <c r="D21" s="31"/>
      <c r="E21" s="37"/>
      <c r="F21" s="32"/>
      <c r="G21" s="36"/>
      <c r="H21" s="34"/>
      <c r="I21" s="35"/>
      <c r="J21" s="35"/>
      <c r="K21" s="59"/>
      <c r="L21" s="65"/>
      <c r="M21" s="57"/>
      <c r="N21" s="66"/>
      <c r="O21" s="66"/>
      <c r="P21" s="67"/>
      <c r="Q21" s="67"/>
      <c r="S21" s="63"/>
    </row>
    <row r="22" spans="1:19" s="58" customFormat="1" ht="12.95" customHeight="1" x14ac:dyDescent="0.25">
      <c r="A22" s="54">
        <f t="shared" si="0"/>
        <v>44788</v>
      </c>
      <c r="B22" s="85"/>
      <c r="C22" s="83"/>
      <c r="D22" s="31"/>
      <c r="E22" s="32"/>
      <c r="F22" s="32"/>
      <c r="G22" s="36"/>
      <c r="H22" s="34"/>
      <c r="I22" s="36"/>
      <c r="J22" s="35"/>
      <c r="K22" s="59"/>
      <c r="L22" s="65"/>
      <c r="M22" s="57"/>
      <c r="N22" s="66"/>
      <c r="O22" s="66"/>
      <c r="P22" s="64"/>
      <c r="Q22" s="64"/>
    </row>
    <row r="23" spans="1:19" s="58" customFormat="1" ht="12.95" customHeight="1" x14ac:dyDescent="0.25">
      <c r="A23" s="54">
        <f t="shared" si="0"/>
        <v>44789</v>
      </c>
      <c r="B23" s="35"/>
      <c r="C23" s="35"/>
      <c r="D23" s="31"/>
      <c r="E23" s="37"/>
      <c r="F23" s="32"/>
      <c r="G23" s="36"/>
      <c r="H23" s="34"/>
      <c r="I23" s="35"/>
      <c r="J23" s="35"/>
      <c r="K23" s="82"/>
      <c r="L23" s="65"/>
      <c r="M23" s="57"/>
      <c r="N23" s="66"/>
      <c r="O23" s="64"/>
      <c r="P23" s="64"/>
      <c r="Q23" s="64"/>
    </row>
    <row r="24" spans="1:19" s="58" customFormat="1" ht="12.95" customHeight="1" x14ac:dyDescent="0.25">
      <c r="A24" s="54">
        <f t="shared" si="0"/>
        <v>44790</v>
      </c>
      <c r="B24" s="35"/>
      <c r="C24" s="35"/>
      <c r="D24" s="31"/>
      <c r="E24" s="37"/>
      <c r="F24" s="32"/>
      <c r="G24" s="36"/>
      <c r="H24" s="34"/>
      <c r="I24" s="35"/>
      <c r="J24" s="35"/>
      <c r="K24" s="82"/>
      <c r="L24" s="68"/>
      <c r="M24" s="57"/>
      <c r="N24" s="66"/>
      <c r="O24" s="66"/>
      <c r="P24" s="64"/>
      <c r="Q24" s="64"/>
    </row>
    <row r="25" spans="1:19" s="58" customFormat="1" ht="12.95" customHeight="1" x14ac:dyDescent="0.25">
      <c r="A25" s="54">
        <f t="shared" si="0"/>
        <v>44791</v>
      </c>
      <c r="B25" s="36"/>
      <c r="C25" s="36"/>
      <c r="D25" s="31"/>
      <c r="E25" s="37"/>
      <c r="F25" s="32"/>
      <c r="G25" s="36"/>
      <c r="H25" s="34"/>
      <c r="I25" s="35"/>
      <c r="J25" s="35"/>
      <c r="K25" s="86"/>
      <c r="L25" s="68"/>
      <c r="M25" s="57"/>
      <c r="N25" s="66"/>
      <c r="O25" s="66"/>
      <c r="P25" s="64"/>
      <c r="Q25" s="64"/>
    </row>
    <row r="26" spans="1:19" s="58" customFormat="1" ht="12.95" customHeight="1" x14ac:dyDescent="0.25">
      <c r="A26" s="54">
        <f t="shared" si="0"/>
        <v>44792</v>
      </c>
      <c r="B26" s="36"/>
      <c r="C26" s="36"/>
      <c r="D26" s="84"/>
      <c r="E26" s="37"/>
      <c r="F26" s="32"/>
      <c r="G26" s="36"/>
      <c r="H26" s="34"/>
      <c r="I26" s="35"/>
      <c r="J26" s="35"/>
      <c r="K26" s="59"/>
      <c r="L26" s="68"/>
      <c r="M26" s="57"/>
      <c r="N26" s="66"/>
      <c r="O26" s="66"/>
      <c r="P26" s="64"/>
      <c r="Q26" s="64"/>
    </row>
    <row r="27" spans="1:19" s="58" customFormat="1" ht="12.95" customHeight="1" x14ac:dyDescent="0.25">
      <c r="A27" s="54">
        <f t="shared" si="0"/>
        <v>44793</v>
      </c>
      <c r="B27" s="35"/>
      <c r="C27" s="35"/>
      <c r="D27" s="31"/>
      <c r="E27" s="37"/>
      <c r="F27" s="32"/>
      <c r="G27" s="36"/>
      <c r="H27" s="34"/>
      <c r="I27" s="35"/>
      <c r="J27" s="35"/>
      <c r="K27" s="59"/>
      <c r="L27" s="65"/>
      <c r="M27" s="57"/>
    </row>
    <row r="28" spans="1:19" s="58" customFormat="1" ht="12.95" customHeight="1" x14ac:dyDescent="0.25">
      <c r="A28" s="54">
        <f t="shared" si="0"/>
        <v>44794</v>
      </c>
      <c r="B28" s="87"/>
      <c r="C28" s="35"/>
      <c r="D28" s="31"/>
      <c r="E28" s="37"/>
      <c r="F28" s="32"/>
      <c r="G28" s="36"/>
      <c r="H28" s="34"/>
      <c r="I28" s="35"/>
      <c r="J28" s="35"/>
      <c r="K28" s="59"/>
      <c r="L28" s="65"/>
      <c r="M28" s="57"/>
    </row>
    <row r="29" spans="1:19" s="58" customFormat="1" ht="12.95" customHeight="1" x14ac:dyDescent="0.25">
      <c r="A29" s="54">
        <f t="shared" si="0"/>
        <v>44795</v>
      </c>
      <c r="B29" s="35"/>
      <c r="C29" s="35"/>
      <c r="D29" s="31"/>
      <c r="E29" s="37"/>
      <c r="F29" s="32"/>
      <c r="G29" s="36"/>
      <c r="H29" s="34"/>
      <c r="I29" s="35"/>
      <c r="J29" s="35"/>
      <c r="K29" s="59"/>
      <c r="L29" s="65"/>
      <c r="M29" s="57"/>
      <c r="N29" s="63"/>
    </row>
    <row r="30" spans="1:19" s="58" customFormat="1" ht="12.95" customHeight="1" x14ac:dyDescent="0.25">
      <c r="A30" s="54">
        <f t="shared" si="0"/>
        <v>44796</v>
      </c>
      <c r="B30" s="35"/>
      <c r="C30" s="35"/>
      <c r="D30" s="31"/>
      <c r="E30" s="37"/>
      <c r="F30" s="32"/>
      <c r="G30" s="36"/>
      <c r="H30" s="34"/>
      <c r="I30" s="35"/>
      <c r="J30" s="35"/>
      <c r="K30" s="82"/>
      <c r="L30" s="65"/>
      <c r="M30" s="57"/>
    </row>
    <row r="31" spans="1:19" s="58" customFormat="1" ht="12.95" customHeight="1" x14ac:dyDescent="0.25">
      <c r="A31" s="54">
        <f t="shared" si="0"/>
        <v>44797</v>
      </c>
      <c r="B31" s="35"/>
      <c r="C31" s="35"/>
      <c r="D31" s="31"/>
      <c r="E31" s="37"/>
      <c r="F31" s="32"/>
      <c r="G31" s="36"/>
      <c r="H31" s="34"/>
      <c r="I31" s="35"/>
      <c r="J31" s="35"/>
      <c r="K31" s="82"/>
      <c r="L31" s="65"/>
      <c r="M31" s="57"/>
      <c r="N31" s="63"/>
      <c r="O31" s="63"/>
    </row>
    <row r="32" spans="1:19" s="58" customFormat="1" ht="12.95" customHeight="1" x14ac:dyDescent="0.25">
      <c r="A32" s="54">
        <f t="shared" si="0"/>
        <v>44798</v>
      </c>
      <c r="B32" s="35"/>
      <c r="C32" s="35"/>
      <c r="D32" s="31"/>
      <c r="E32" s="37"/>
      <c r="F32" s="32"/>
      <c r="G32" s="36"/>
      <c r="H32" s="34"/>
      <c r="I32" s="35"/>
      <c r="J32" s="35"/>
      <c r="K32" s="82"/>
      <c r="L32" s="65"/>
      <c r="M32" s="57"/>
      <c r="N32" s="63"/>
      <c r="O32" s="63"/>
    </row>
    <row r="33" spans="1:16" s="58" customFormat="1" ht="12.95" customHeight="1" x14ac:dyDescent="0.25">
      <c r="A33" s="54">
        <f t="shared" si="0"/>
        <v>44799</v>
      </c>
      <c r="B33" s="35"/>
      <c r="C33" s="35"/>
      <c r="D33" s="31"/>
      <c r="E33" s="37"/>
      <c r="F33" s="32"/>
      <c r="G33" s="36"/>
      <c r="H33" s="34"/>
      <c r="I33" s="35"/>
      <c r="J33" s="35"/>
      <c r="K33" s="59"/>
      <c r="L33" s="69"/>
      <c r="M33" s="70"/>
      <c r="N33" s="63"/>
      <c r="O33" s="63"/>
    </row>
    <row r="34" spans="1:16" s="58" customFormat="1" ht="12.95" customHeight="1" x14ac:dyDescent="0.25">
      <c r="A34" s="54">
        <f t="shared" si="0"/>
        <v>44800</v>
      </c>
      <c r="B34" s="35"/>
      <c r="C34" s="35"/>
      <c r="D34" s="84"/>
      <c r="E34" s="37"/>
      <c r="F34" s="32"/>
      <c r="G34" s="36"/>
      <c r="H34" s="34"/>
      <c r="I34" s="36"/>
      <c r="J34" s="36"/>
      <c r="K34" s="59"/>
      <c r="L34" s="61"/>
      <c r="M34" s="70"/>
      <c r="N34" s="63"/>
      <c r="P34" s="63"/>
    </row>
    <row r="35" spans="1:16" s="58" customFormat="1" ht="12.95" customHeight="1" x14ac:dyDescent="0.25">
      <c r="A35" s="54">
        <f>A34+1</f>
        <v>44801</v>
      </c>
      <c r="B35" s="34"/>
      <c r="C35" s="38"/>
      <c r="D35" s="31"/>
      <c r="E35" s="37"/>
      <c r="F35" s="32"/>
      <c r="G35" s="33"/>
      <c r="H35" s="34"/>
      <c r="I35" s="34"/>
      <c r="J35" s="34"/>
      <c r="K35" s="59"/>
      <c r="L35" s="65"/>
      <c r="M35" s="57"/>
      <c r="N35" s="63"/>
      <c r="O35" s="63"/>
    </row>
    <row r="36" spans="1:16" s="58" customFormat="1" ht="12.95" customHeight="1" x14ac:dyDescent="0.25">
      <c r="A36" s="71">
        <f t="shared" si="0"/>
        <v>44802</v>
      </c>
      <c r="B36" s="34"/>
      <c r="C36" s="38"/>
      <c r="D36" s="31"/>
      <c r="E36" s="37"/>
      <c r="F36" s="32"/>
      <c r="G36" s="33"/>
      <c r="H36" s="34"/>
      <c r="I36" s="34"/>
      <c r="J36" s="34"/>
      <c r="K36" s="59"/>
      <c r="L36" s="65"/>
      <c r="M36" s="57"/>
      <c r="N36" s="63"/>
      <c r="O36" s="63"/>
    </row>
    <row r="37" spans="1:16" s="58" customFormat="1" ht="12.95" customHeight="1" x14ac:dyDescent="0.25">
      <c r="A37" s="71">
        <f t="shared" si="0"/>
        <v>44803</v>
      </c>
      <c r="B37" s="34"/>
      <c r="C37" s="38"/>
      <c r="D37" s="31"/>
      <c r="E37" s="37"/>
      <c r="F37" s="32"/>
      <c r="G37" s="33"/>
      <c r="H37" s="34"/>
      <c r="I37" s="34"/>
      <c r="J37" s="34"/>
      <c r="K37" s="59"/>
      <c r="L37" s="65"/>
      <c r="M37" s="57"/>
      <c r="N37" s="63"/>
      <c r="O37" s="63"/>
    </row>
    <row r="38" spans="1:16" s="58" customFormat="1" ht="12.95" customHeight="1" thickBot="1" x14ac:dyDescent="0.3">
      <c r="A38" s="72">
        <f t="shared" si="0"/>
        <v>44804</v>
      </c>
      <c r="B38" s="39"/>
      <c r="C38" s="40"/>
      <c r="D38" s="41"/>
      <c r="E38" s="42"/>
      <c r="F38" s="43"/>
      <c r="G38" s="44"/>
      <c r="H38" s="34"/>
      <c r="I38" s="39"/>
      <c r="J38" s="39"/>
      <c r="K38" s="73"/>
      <c r="L38" s="74"/>
      <c r="M38" s="57"/>
      <c r="N38" s="63"/>
      <c r="O38" s="63"/>
    </row>
    <row r="39" spans="1:16" s="58" customFormat="1" ht="12.95" customHeight="1" x14ac:dyDescent="0.25">
      <c r="A39" s="75" t="s">
        <v>35</v>
      </c>
      <c r="B39" s="76">
        <f>B38-B7</f>
        <v>-356339</v>
      </c>
      <c r="C39" s="76">
        <f>C38-C7</f>
        <v>-1258900</v>
      </c>
      <c r="D39" s="76"/>
      <c r="E39" s="76">
        <f>E38-E7</f>
        <v>-3382.84</v>
      </c>
      <c r="F39" s="76">
        <f>F38-F7</f>
        <v>-2768.21</v>
      </c>
      <c r="G39" s="76">
        <f>G38-G7</f>
        <v>-44347.11</v>
      </c>
      <c r="H39" s="76">
        <f t="shared" ref="H39" si="1">H38-H7</f>
        <v>-14528</v>
      </c>
      <c r="I39" s="76">
        <f>I38-I7</f>
        <v>-165500</v>
      </c>
      <c r="J39" s="76">
        <f>J38-J7</f>
        <v>-57947880</v>
      </c>
      <c r="K39" s="76">
        <f>SUM(K7:K38)</f>
        <v>4200</v>
      </c>
      <c r="L39" s="45"/>
      <c r="M39" s="45"/>
      <c r="N39" s="63"/>
      <c r="O39" s="63"/>
    </row>
    <row r="40" spans="1:16" s="79" customFormat="1" x14ac:dyDescent="0.25">
      <c r="A40" s="45"/>
      <c r="B40" s="45"/>
      <c r="C40" s="76"/>
      <c r="D40" s="45"/>
      <c r="E40" s="77"/>
      <c r="F40" s="77"/>
      <c r="G40" s="77"/>
      <c r="H40" s="78">
        <f>H39*219.969</f>
        <v>-3195709.6319999998</v>
      </c>
      <c r="I40" s="76">
        <f>I39*219.969</f>
        <v>-36404869.5</v>
      </c>
      <c r="J40" s="77"/>
      <c r="K40" s="45"/>
      <c r="L40" s="45"/>
      <c r="M40" s="45"/>
    </row>
    <row r="41" spans="1:16" s="79" customFormat="1" x14ac:dyDescent="0.25">
      <c r="A41" s="45"/>
      <c r="B41" s="45"/>
      <c r="C41" s="76"/>
      <c r="D41" s="45"/>
      <c r="E41" s="77"/>
      <c r="F41" s="77"/>
      <c r="G41" s="77"/>
      <c r="H41" s="78"/>
      <c r="I41" s="76"/>
      <c r="J41" s="77"/>
      <c r="K41" s="45"/>
      <c r="L41" s="45"/>
    </row>
    <row r="42" spans="1:16" x14ac:dyDescent="0.25">
      <c r="C42" s="80"/>
      <c r="I42" s="81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08 - 2022</vt:lpstr>
      <vt:lpstr>'08 - 2022'!Print_Area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2022-08-12T05:32:58Z</dcterms:modified>
</cp:coreProperties>
</file>