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5" i="12"/>
  <c r="P14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22" l="1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S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4lts pump error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15lts pump error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12lts of pump error</t>
        </r>
      </text>
    </comment>
    <comment ref="S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37lts of pump error</t>
        </r>
      </text>
    </comment>
    <comment ref="S2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11lts of pump error</t>
        </r>
      </text>
    </comment>
    <comment ref="S2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5lts of pump error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<sst xmlns="http://schemas.openxmlformats.org/spreadsheetml/2006/main" count="552" uniqueCount="331">
  <si>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</si>
  <si>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</si>
  <si>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</si>
  <si>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</si>
  <si>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</si>
  <si>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</si>
  <si>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</si>
  <si>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</si>
  <si>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</si>
  <si>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</si>
  <si>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</si>
  <si>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</si>
  <si>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</si>
  <si>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</si>
  <si>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</si>
  <si>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</si>
  <si>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</si>
  <si>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</si>
  <si>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</si>
  <si>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</si>
  <si>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</si>
  <si>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</si>
  <si>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</si>
  <si>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</si>
  <si>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</si>
  <si>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</si>
  <si>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</si>
  <si>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</si>
  <si>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</si>
  <si>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</si>
  <si>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</si>
  <si>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</si>
  <si>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</si>
  <si>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</si>
  <si>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</si>
  <si>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</si>
  <si>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</si>
  <si>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</si>
  <si>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</si>
  <si>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</si>
  <si>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</si>
  <si>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</si>
  <si>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</si>
  <si>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</si>
  <si>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</si>
  <si>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</si>
  <si>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</si>
  <si>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</si>
  <si>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</si>
  <si>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</si>
  <si>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</si>
  <si>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</si>
  <si>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</si>
  <si>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</si>
  <si>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</si>
  <si>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</si>
  <si>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</si>
  <si>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</si>
  <si>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</si>
  <si>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</si>
  <si>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</si>
  <si>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</si>
  <si>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</si>
  <si>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</si>
  <si>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</si>
  <si>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</si>
  <si>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</si>
  <si>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</si>
  <si>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</si>
  <si>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</si>
  <si>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</si>
  <si>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</si>
  <si>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</si>
  <si>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</si>
  <si>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</si>
  <si>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</si>
  <si>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</si>
  <si>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</si>
  <si>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</si>
  <si>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</si>
  <si>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</si>
  <si>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</si>
  <si>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</si>
  <si>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</si>
  <si>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</si>
  <si>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</si>
  <si>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</si>
  <si>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</si>
  <si>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</si>
  <si>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</si>
  <si>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</si>
  <si>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</si>
  <si>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</si>
  <si>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</si>
  <si>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</si>
  <si>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</si>
  <si>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</si>
  <si>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</si>
  <si>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</si>
  <si>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</si>
  <si>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</si>
  <si>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</si>
  <si>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</si>
  <si>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</si>
  <si>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</si>
  <si>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</si>
  <si>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</si>
  <si>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</si>
  <si>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</si>
  <si>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</si>
  <si>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</si>
  <si>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</si>
  <si>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</si>
  <si>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</si>
  <si>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</si>
  <si>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</si>
  <si>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</si>
  <si>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</si>
  <si>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</si>
  <si>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</si>
  <si>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</si>
  <si>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</si>
  <si>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</si>
  <si>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</si>
  <si>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</si>
  <si>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</si>
  <si>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</si>
  <si>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</si>
  <si>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</si>
  <si>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</si>
  <si>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</si>
  <si>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</si>
  <si>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</si>
  <si>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</si>
  <si>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</si>
  <si>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</si>
  <si>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</si>
  <si>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</si>
  <si>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</si>
  <si>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</si>
  <si>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</si>
  <si>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</si>
  <si>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</si>
  <si>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</si>
  <si>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</si>
  <si>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</si>
  <si>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</si>
  <si>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</si>
  <si>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</si>
  <si>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</si>
  <si>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</si>
  <si>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</si>
  <si>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</si>
  <si>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</si>
  <si>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</si>
  <si>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</si>
  <si>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</si>
  <si>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</si>
  <si>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</si>
  <si>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</si>
  <si>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</si>
  <si>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</si>
  <si>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</si>
  <si>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</si>
  <si>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</si>
  <si>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</si>
  <si>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</si>
  <si>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</si>
  <si>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</si>
  <si>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</si>
  <si>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</si>
  <si>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</si>
  <si>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</si>
  <si>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</si>
  <si>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</si>
  <si>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</si>
  <si>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</si>
  <si>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</si>
  <si>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</si>
  <si>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</si>
  <si>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</si>
  <si>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</si>
  <si>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</si>
  <si>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</si>
  <si>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</si>
  <si>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</si>
  <si>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</si>
  <si>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</si>
  <si>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</si>
  <si>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</si>
  <si>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</si>
  <si>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</si>
  <si>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</si>
  <si>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</si>
  <si>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</si>
  <si>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</si>
  <si>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</si>
  <si>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</si>
  <si>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</si>
  <si>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</si>
  <si>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</si>
  <si>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</si>
  <si>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</si>
  <si>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</si>
  <si>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</si>
  <si>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</si>
  <si>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</si>
  <si>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</si>
  <si>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</si>
  <si>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</si>
  <si>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</si>
  <si>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</si>
  <si>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</si>
  <si>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</si>
  <si>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</si>
  <si>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</si>
  <si>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</si>
  <si>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</si>
  <si>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</si>
  <si>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</si>
  <si>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</si>
  <si>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</si>
  <si>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</si>
  <si>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</si>
  <si>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</si>
  <si>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</si>
  <si>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</si>
  <si>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</si>
  <si>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</si>
  <si>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</si>
  <si>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</si>
  <si>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</si>
  <si>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</si>
  <si>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</si>
  <si>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</si>
  <si>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</si>
  <si>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</si>
  <si>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</si>
  <si>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</si>
  <si>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</si>
  <si>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</si>
  <si>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</si>
  <si>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</si>
  <si>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</si>
  <si>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</si>
  <si>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</si>
  <si>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</si>
  <si>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</si>
  <si>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</si>
  <si>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</si>
  <si>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</si>
  <si>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</si>
  <si>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</si>
  <si>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</si>
  <si>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</si>
  <si>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</si>
  <si>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</si>
  <si>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</si>
  <si>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</si>
  <si>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</si>
  <si>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</si>
  <si>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</si>
  <si>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</si>
  <si>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</si>
  <si>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</si>
  <si>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</si>
  <si>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</si>
  <si>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</si>
  <si>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</si>
  <si>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</si>
  <si>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</si>
  <si>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</si>
  <si>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</si>
  <si>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</si>
  <si>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</si>
  <si>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</si>
  <si>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</si>
  <si>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</si>
  <si>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</si>
  <si>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</si>
  <si>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</si>
  <si>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</si>
  <si>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</si>
  <si>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</si>
  <si>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</si>
  <si>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</si>
  <si>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</si>
  <si>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</si>
  <si>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</si>
  <si>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</si>
  <si>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</si>
  <si>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</si>
  <si>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</si>
  <si>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</si>
  <si>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</si>
  <si>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</si>
  <si>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</si>
  <si>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</si>
  <si>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</si>
  <si>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</si>
  <si>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</si>
  <si>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</si>
  <si>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</si>
  <si>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</si>
  <si>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</si>
  <si>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</si>
  <si>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</si>
  <si>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</si>
  <si>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</si>
  <si>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</si>
  <si>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</si>
  <si>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</si>
  <si>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</si>
  <si>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</si>
  <si>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</si>
  <si>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</si>
  <si>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</si>
  <si>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Puma </t>
  </si>
  <si>
    <t xml:space="preserve">Raha </t>
  </si>
  <si>
    <t>VODACOM POWER METER READING</t>
  </si>
  <si>
    <t>AITEL POWER METER READING</t>
  </si>
  <si>
    <t>T880DKQ</t>
  </si>
  <si>
    <t>Hassan</t>
  </si>
  <si>
    <t>Elihuruma</t>
  </si>
  <si>
    <t>T364AHF</t>
  </si>
  <si>
    <t>Nuru</t>
  </si>
  <si>
    <t>T132CWQ</t>
  </si>
  <si>
    <t>T391DQR</t>
  </si>
  <si>
    <t>Eliakim</t>
  </si>
  <si>
    <t>T111CWQ</t>
  </si>
  <si>
    <t>Mushi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</si>
</sst>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2712</c:v>
                </c:pt>
                <c:pt idx="9">
                  <c:v>3220</c:v>
                </c:pt>
                <c:pt idx="10">
                  <c:v>3248</c:v>
                </c:pt>
                <c:pt idx="11">
                  <c:v>3154</c:v>
                </c:pt>
                <c:pt idx="12">
                  <c:v>3356</c:v>
                </c:pt>
                <c:pt idx="13">
                  <c:v>3251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4705024"/>
        <c:axId val="1257103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5711872"/>
        <c:axId val="125713408"/>
      </c:lineChart>
      <c:catAx>
        <c:axId val="12470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10336"/>
        <c:crosses val="autoZero"/>
        <c:auto val="1"/>
        <c:lblAlgn val="ctr"/>
        <c:lblOffset val="100"/>
      </c:catAx>
      <c:valAx>
        <c:axId val="12571033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05024"/>
        <c:crosses val="autoZero"/>
        <c:crossBetween val="between"/>
        <c:majorUnit val="200"/>
      </c:valAx>
      <c:catAx>
        <c:axId val="125711872"/>
        <c:scaling>
          <c:orientation val="minMax"/>
        </c:scaling>
        <c:delete val="1"/>
        <c:axPos val="b"/>
        <c:tickLblPos val="none"/>
        <c:crossAx val="125713408"/>
        <c:crosses val="autoZero"/>
        <c:auto val="1"/>
        <c:lblAlgn val="ctr"/>
        <c:lblOffset val="100"/>
      </c:catAx>
      <c:valAx>
        <c:axId val="1257134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11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5743488"/>
        <c:axId val="1257450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5746560"/>
        <c:axId val="125752448"/>
      </c:lineChart>
      <c:catAx>
        <c:axId val="12574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5024"/>
        <c:crosses val="autoZero"/>
        <c:auto val="1"/>
        <c:lblAlgn val="ctr"/>
        <c:lblOffset val="100"/>
      </c:catAx>
      <c:valAx>
        <c:axId val="12574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3488"/>
        <c:crosses val="autoZero"/>
        <c:crossBetween val="between"/>
        <c:majorUnit val="200"/>
      </c:valAx>
      <c:catAx>
        <c:axId val="125746560"/>
        <c:scaling>
          <c:orientation val="minMax"/>
        </c:scaling>
        <c:delete val="1"/>
        <c:axPos val="b"/>
        <c:tickLblPos val="none"/>
        <c:crossAx val="125752448"/>
        <c:crosses val="autoZero"/>
        <c:auto val="1"/>
        <c:lblAlgn val="ctr"/>
        <c:lblOffset val="100"/>
      </c:catAx>
      <c:valAx>
        <c:axId val="125752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6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3503232"/>
        <c:axId val="153504768"/>
      </c:lineChart>
      <c:catAx>
        <c:axId val="15350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04768"/>
        <c:crosses val="autoZero"/>
        <c:auto val="1"/>
        <c:lblAlgn val="ctr"/>
        <c:lblOffset val="200"/>
        <c:tickLblSkip val="1"/>
      </c:catAx>
      <c:valAx>
        <c:axId val="1535047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0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</c:v>
                </c:pt>
                <c:pt idx="7">
                  <c:v>0.1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</c:v>
                </c:pt>
                <c:pt idx="11">
                  <c:v>0.13</c:v>
                </c:pt>
                <c:pt idx="12">
                  <c:v>0.17</c:v>
                </c:pt>
                <c:pt idx="13">
                  <c:v>0.14000000000000001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3529344"/>
        <c:axId val="153899776"/>
      </c:lineChart>
      <c:catAx>
        <c:axId val="15352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99776"/>
        <c:crosses val="autoZero"/>
        <c:auto val="1"/>
        <c:lblAlgn val="ctr"/>
        <c:lblOffset val="100"/>
      </c:catAx>
      <c:valAx>
        <c:axId val="153899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2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3936640"/>
        <c:axId val="153938560"/>
      </c:lineChart>
      <c:catAx>
        <c:axId val="153936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38560"/>
        <c:crosses val="autoZero"/>
        <c:auto val="1"/>
        <c:lblAlgn val="ctr"/>
        <c:lblOffset val="100"/>
      </c:catAx>
      <c:valAx>
        <c:axId val="153938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36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6594048"/>
        <c:axId val="126604416"/>
      </c:lineChart>
      <c:catAx>
        <c:axId val="12659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04416"/>
        <c:crosses val="autoZero"/>
        <c:auto val="1"/>
        <c:lblAlgn val="ctr"/>
        <c:lblOffset val="100"/>
      </c:catAx>
      <c:valAx>
        <c:axId val="126604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94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-332148.08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4940928"/>
        <c:axId val="154942464"/>
      </c:lineChart>
      <c:catAx>
        <c:axId val="1549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42464"/>
        <c:crosses val="autoZero"/>
        <c:auto val="1"/>
        <c:lblAlgn val="ctr"/>
        <c:lblOffset val="100"/>
      </c:catAx>
      <c:valAx>
        <c:axId val="154942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4980352"/>
        <c:axId val="154981888"/>
      </c:lineChart>
      <c:catAx>
        <c:axId val="15498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81888"/>
        <c:crosses val="autoZero"/>
        <c:auto val="1"/>
        <c:lblAlgn val="ctr"/>
        <c:lblOffset val="100"/>
      </c:catAx>
      <c:valAx>
        <c:axId val="15498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8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4489984"/>
        <c:axId val="154491520"/>
      </c:lineChart>
      <c:catAx>
        <c:axId val="15448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91520"/>
        <c:crosses val="autoZero"/>
        <c:auto val="1"/>
        <c:lblAlgn val="ctr"/>
        <c:lblOffset val="100"/>
      </c:catAx>
      <c:valAx>
        <c:axId val="15449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8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913"/>
          <c:y val="7.471324705111967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4516096"/>
        <c:axId val="155517312"/>
      </c:lineChart>
      <c:catAx>
        <c:axId val="15451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17312"/>
        <c:crosses val="autoZero"/>
        <c:auto val="1"/>
        <c:lblAlgn val="ctr"/>
        <c:lblOffset val="200"/>
        <c:tickLblSkip val="1"/>
      </c:catAx>
      <c:valAx>
        <c:axId val="155517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1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5558656"/>
        <c:axId val="155560192"/>
      </c:lineChart>
      <c:catAx>
        <c:axId val="15555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60192"/>
        <c:crosses val="autoZero"/>
        <c:auto val="1"/>
        <c:lblAlgn val="ctr"/>
        <c:lblOffset val="100"/>
      </c:catAx>
      <c:valAx>
        <c:axId val="15556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5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5580672"/>
        <c:axId val="156078464"/>
      </c:lineChart>
      <c:catAx>
        <c:axId val="155580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78464"/>
        <c:crosses val="autoZero"/>
        <c:auto val="1"/>
        <c:lblAlgn val="ctr"/>
        <c:lblOffset val="100"/>
      </c:catAx>
      <c:valAx>
        <c:axId val="156078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80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6328704"/>
        <c:axId val="156330624"/>
      </c:lineChart>
      <c:catAx>
        <c:axId val="156328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30624"/>
        <c:crosses val="autoZero"/>
        <c:auto val="1"/>
        <c:lblAlgn val="ctr"/>
        <c:lblOffset val="100"/>
      </c:catAx>
      <c:valAx>
        <c:axId val="156330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87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6359680"/>
        <c:axId val="155849472"/>
      </c:lineChart>
      <c:catAx>
        <c:axId val="15635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49472"/>
        <c:crosses val="autoZero"/>
        <c:auto val="1"/>
        <c:lblAlgn val="ctr"/>
        <c:lblOffset val="100"/>
      </c:catAx>
      <c:valAx>
        <c:axId val="15584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5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5891200"/>
        <c:axId val="155892736"/>
      </c:lineChart>
      <c:catAx>
        <c:axId val="15589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92736"/>
        <c:crosses val="autoZero"/>
        <c:auto val="1"/>
        <c:lblAlgn val="ctr"/>
        <c:lblOffset val="100"/>
      </c:catAx>
      <c:valAx>
        <c:axId val="15589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9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6646016"/>
        <c:axId val="156656000"/>
      </c:lineChart>
      <c:catAx>
        <c:axId val="1566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56000"/>
        <c:crosses val="autoZero"/>
        <c:auto val="1"/>
        <c:lblAlgn val="ctr"/>
        <c:lblOffset val="100"/>
      </c:catAx>
      <c:valAx>
        <c:axId val="15665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291"/>
          <c:y val="7.471324705112000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7271552"/>
        <c:axId val="1572730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6832512"/>
        <c:axId val="156834048"/>
      </c:lineChart>
      <c:catAx>
        <c:axId val="1572715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3088"/>
        <c:crosses val="autoZero"/>
        <c:lblAlgn val="ctr"/>
        <c:lblOffset val="100"/>
        <c:tickMarkSkip val="1"/>
      </c:catAx>
      <c:valAx>
        <c:axId val="157273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1552"/>
        <c:crosses val="autoZero"/>
        <c:crossBetween val="between"/>
      </c:valAx>
      <c:catAx>
        <c:axId val="156832512"/>
        <c:scaling>
          <c:orientation val="minMax"/>
        </c:scaling>
        <c:delete val="1"/>
        <c:axPos val="b"/>
        <c:numFmt formatCode="[$-409]d\-mmm\-yy;@" sourceLinked="1"/>
        <c:tickLblPos val="none"/>
        <c:crossAx val="156834048"/>
        <c:crosses val="autoZero"/>
        <c:lblAlgn val="ctr"/>
        <c:lblOffset val="100"/>
      </c:catAx>
      <c:valAx>
        <c:axId val="1568340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325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6870912"/>
        <c:axId val="156889088"/>
      </c:lineChart>
      <c:catAx>
        <c:axId val="15687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89088"/>
        <c:crosses val="autoZero"/>
        <c:auto val="1"/>
        <c:lblAlgn val="ctr"/>
        <c:lblOffset val="100"/>
      </c:catAx>
      <c:valAx>
        <c:axId val="1568890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7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7319168"/>
        <c:axId val="157320704"/>
      </c:lineChart>
      <c:catAx>
        <c:axId val="15731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20704"/>
        <c:crosses val="autoZero"/>
        <c:auto val="1"/>
        <c:lblAlgn val="ctr"/>
        <c:lblOffset val="100"/>
      </c:catAx>
      <c:valAx>
        <c:axId val="1573207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1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7360128"/>
        <c:axId val="1573616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7363200"/>
        <c:axId val="157377280"/>
      </c:lineChart>
      <c:catAx>
        <c:axId val="1573601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1664"/>
        <c:crosses val="autoZero"/>
        <c:lblAlgn val="ctr"/>
        <c:lblOffset val="100"/>
        <c:tickMarkSkip val="1"/>
      </c:catAx>
      <c:valAx>
        <c:axId val="15736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0128"/>
        <c:crosses val="autoZero"/>
        <c:crossBetween val="between"/>
      </c:valAx>
      <c:catAx>
        <c:axId val="157363200"/>
        <c:scaling>
          <c:orientation val="minMax"/>
        </c:scaling>
        <c:delete val="1"/>
        <c:axPos val="b"/>
        <c:numFmt formatCode="General" sourceLinked="1"/>
        <c:tickLblPos val="none"/>
        <c:crossAx val="157377280"/>
        <c:crosses val="autoZero"/>
        <c:lblAlgn val="ctr"/>
        <c:lblOffset val="100"/>
      </c:catAx>
      <c:valAx>
        <c:axId val="1573772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3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9515392"/>
        <c:axId val="159516928"/>
      </c:lineChart>
      <c:catAx>
        <c:axId val="15951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6928"/>
        <c:crosses val="autoZero"/>
        <c:auto val="1"/>
        <c:lblAlgn val="ctr"/>
        <c:lblOffset val="100"/>
      </c:catAx>
      <c:valAx>
        <c:axId val="15951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1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7341952"/>
        <c:axId val="159559680"/>
      </c:lineChart>
      <c:catAx>
        <c:axId val="15734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9680"/>
        <c:crosses val="autoZero"/>
        <c:auto val="1"/>
        <c:lblAlgn val="ctr"/>
        <c:lblOffset val="100"/>
      </c:catAx>
      <c:valAx>
        <c:axId val="15955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4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2662912"/>
        <c:axId val="8266444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2674432"/>
        <c:axId val="82675968"/>
      </c:lineChart>
      <c:catAx>
        <c:axId val="826629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4448"/>
        <c:crosses val="autoZero"/>
        <c:lblAlgn val="ctr"/>
        <c:lblOffset val="100"/>
        <c:tickMarkSkip val="1"/>
      </c:catAx>
      <c:valAx>
        <c:axId val="82664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62912"/>
        <c:crosses val="autoZero"/>
        <c:crossBetween val="between"/>
      </c:valAx>
      <c:catAx>
        <c:axId val="82674432"/>
        <c:scaling>
          <c:orientation val="minMax"/>
        </c:scaling>
        <c:delete val="1"/>
        <c:axPos val="b"/>
        <c:numFmt formatCode="[$-409]d\-mmm\-yy;@" sourceLinked="1"/>
        <c:tickLblPos val="none"/>
        <c:crossAx val="82675968"/>
        <c:crosses val="autoZero"/>
        <c:lblAlgn val="ctr"/>
        <c:lblOffset val="100"/>
      </c:catAx>
      <c:valAx>
        <c:axId val="826759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4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9780864"/>
        <c:axId val="1597824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9783936"/>
        <c:axId val="159802112"/>
      </c:lineChart>
      <c:catAx>
        <c:axId val="1597808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82400"/>
        <c:crosses val="autoZero"/>
        <c:lblAlgn val="ctr"/>
        <c:lblOffset val="100"/>
        <c:tickMarkSkip val="1"/>
      </c:catAx>
      <c:valAx>
        <c:axId val="15978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80864"/>
        <c:crosses val="autoZero"/>
        <c:crossBetween val="between"/>
      </c:valAx>
      <c:catAx>
        <c:axId val="159783936"/>
        <c:scaling>
          <c:orientation val="minMax"/>
        </c:scaling>
        <c:delete val="1"/>
        <c:axPos val="b"/>
        <c:numFmt formatCode="General" sourceLinked="1"/>
        <c:tickLblPos val="none"/>
        <c:crossAx val="159802112"/>
        <c:crosses val="autoZero"/>
        <c:lblAlgn val="ctr"/>
        <c:lblOffset val="100"/>
      </c:catAx>
      <c:valAx>
        <c:axId val="159802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83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4065280"/>
        <c:axId val="840670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4068608"/>
        <c:axId val="84078592"/>
      </c:lineChart>
      <c:catAx>
        <c:axId val="840652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7072"/>
        <c:crosses val="autoZero"/>
        <c:lblAlgn val="ctr"/>
        <c:lblOffset val="100"/>
        <c:tickMarkSkip val="1"/>
      </c:catAx>
      <c:valAx>
        <c:axId val="840670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5280"/>
        <c:crosses val="autoZero"/>
        <c:crossBetween val="between"/>
      </c:valAx>
      <c:catAx>
        <c:axId val="84068608"/>
        <c:scaling>
          <c:orientation val="minMax"/>
        </c:scaling>
        <c:delete val="1"/>
        <c:axPos val="b"/>
        <c:numFmt formatCode="[$-409]d\-mmm\-yy;@" sourceLinked="1"/>
        <c:tickLblPos val="none"/>
        <c:crossAx val="84078592"/>
        <c:crosses val="autoZero"/>
        <c:lblAlgn val="ctr"/>
        <c:lblOffset val="100"/>
      </c:catAx>
      <c:valAx>
        <c:axId val="840785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86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4121088"/>
        <c:axId val="841226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4124416"/>
        <c:axId val="84125952"/>
      </c:lineChart>
      <c:catAx>
        <c:axId val="841210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2624"/>
        <c:crosses val="autoZero"/>
        <c:lblAlgn val="ctr"/>
        <c:lblOffset val="100"/>
        <c:tickMarkSkip val="1"/>
      </c:catAx>
      <c:valAx>
        <c:axId val="8412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1088"/>
        <c:crosses val="autoZero"/>
        <c:crossBetween val="between"/>
      </c:valAx>
      <c:catAx>
        <c:axId val="84124416"/>
        <c:scaling>
          <c:orientation val="minMax"/>
        </c:scaling>
        <c:delete val="1"/>
        <c:axPos val="b"/>
        <c:numFmt formatCode="General" sourceLinked="1"/>
        <c:tickLblPos val="none"/>
        <c:crossAx val="84125952"/>
        <c:crosses val="autoZero"/>
        <c:lblAlgn val="ctr"/>
        <c:lblOffset val="100"/>
      </c:catAx>
      <c:valAx>
        <c:axId val="84125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4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5346944"/>
        <c:axId val="85365504"/>
      </c:lineChart>
      <c:catAx>
        <c:axId val="85346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65504"/>
        <c:crosses val="autoZero"/>
        <c:auto val="1"/>
        <c:lblAlgn val="ctr"/>
        <c:lblOffset val="100"/>
      </c:catAx>
      <c:valAx>
        <c:axId val="85365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469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5378176"/>
        <c:axId val="85380096"/>
      </c:lineChart>
      <c:catAx>
        <c:axId val="85378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80096"/>
        <c:crosses val="autoZero"/>
        <c:auto val="1"/>
        <c:lblAlgn val="ctr"/>
        <c:lblOffset val="100"/>
      </c:catAx>
      <c:valAx>
        <c:axId val="853800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781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5745024"/>
        <c:axId val="85759104"/>
      </c:lineChart>
      <c:catAx>
        <c:axId val="8574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59104"/>
        <c:crosses val="autoZero"/>
        <c:auto val="1"/>
        <c:lblAlgn val="ctr"/>
        <c:lblOffset val="200"/>
        <c:tickLblSkip val="1"/>
      </c:catAx>
      <c:valAx>
        <c:axId val="85759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4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</c:v>
                </c:pt>
                <c:pt idx="7">
                  <c:v>0.1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</c:v>
                </c:pt>
                <c:pt idx="11">
                  <c:v>0.13</c:v>
                </c:pt>
                <c:pt idx="12">
                  <c:v>0.17</c:v>
                </c:pt>
                <c:pt idx="13">
                  <c:v>0.14000000000000001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6258816"/>
        <c:axId val="86260352"/>
      </c:lineChart>
      <c:catAx>
        <c:axId val="8625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60352"/>
        <c:crosses val="autoZero"/>
        <c:auto val="1"/>
        <c:lblAlgn val="ctr"/>
        <c:lblOffset val="100"/>
      </c:catAx>
      <c:valAx>
        <c:axId val="862603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-332148.08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6289024"/>
        <c:axId val="86708608"/>
      </c:lineChart>
      <c:catAx>
        <c:axId val="8628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8608"/>
        <c:crosses val="autoZero"/>
        <c:auto val="1"/>
        <c:lblAlgn val="ctr"/>
        <c:lblOffset val="100"/>
      </c:catAx>
      <c:valAx>
        <c:axId val="86708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8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6749568"/>
        <c:axId val="86751488"/>
      </c:lineChart>
      <c:catAx>
        <c:axId val="86749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51488"/>
        <c:crosses val="autoZero"/>
        <c:auto val="1"/>
        <c:lblAlgn val="ctr"/>
        <c:lblOffset val="100"/>
      </c:catAx>
      <c:valAx>
        <c:axId val="867514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495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7304832"/>
        <c:axId val="87339776"/>
      </c:lineChart>
      <c:catAx>
        <c:axId val="87304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39776"/>
        <c:crosses val="autoZero"/>
        <c:auto val="1"/>
        <c:lblAlgn val="ctr"/>
        <c:lblOffset val="100"/>
      </c:catAx>
      <c:valAx>
        <c:axId val="87339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04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7762048"/>
        <c:axId val="87763584"/>
      </c:lineChart>
      <c:catAx>
        <c:axId val="877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63584"/>
        <c:crosses val="autoZero"/>
        <c:auto val="1"/>
        <c:lblAlgn val="ctr"/>
        <c:lblOffset val="200"/>
        <c:tickLblSkip val="1"/>
      </c:catAx>
      <c:valAx>
        <c:axId val="87763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</c:v>
                </c:pt>
                <c:pt idx="7">
                  <c:v>0.1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</c:v>
                </c:pt>
                <c:pt idx="11">
                  <c:v>0.13</c:v>
                </c:pt>
                <c:pt idx="12">
                  <c:v>0.17</c:v>
                </c:pt>
                <c:pt idx="13">
                  <c:v>0.14000000000000001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7796352"/>
        <c:axId val="87806336"/>
      </c:lineChart>
      <c:catAx>
        <c:axId val="877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06336"/>
        <c:crosses val="autoZero"/>
        <c:auto val="1"/>
        <c:lblAlgn val="ctr"/>
        <c:lblOffset val="100"/>
      </c:catAx>
      <c:valAx>
        <c:axId val="878063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-332148.08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88437120"/>
        <c:axId val="88438656"/>
      </c:lineChart>
      <c:catAx>
        <c:axId val="884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38656"/>
        <c:crosses val="autoZero"/>
        <c:auto val="1"/>
        <c:lblAlgn val="ctr"/>
        <c:lblOffset val="100"/>
      </c:catAx>
      <c:valAx>
        <c:axId val="8843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88872832"/>
        <c:axId val="88887296"/>
      </c:lineChart>
      <c:catAx>
        <c:axId val="88872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87296"/>
        <c:crosses val="autoZero"/>
        <c:auto val="1"/>
        <c:lblAlgn val="ctr"/>
        <c:lblOffset val="100"/>
      </c:catAx>
      <c:valAx>
        <c:axId val="888872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72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88924544"/>
        <c:axId val="88926464"/>
      </c:lineChart>
      <c:catAx>
        <c:axId val="88924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26464"/>
        <c:crosses val="autoZero"/>
        <c:auto val="1"/>
        <c:lblAlgn val="ctr"/>
        <c:lblOffset val="100"/>
      </c:catAx>
      <c:valAx>
        <c:axId val="889264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24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89217664"/>
        <c:axId val="89231744"/>
      </c:lineChart>
      <c:catAx>
        <c:axId val="8921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31744"/>
        <c:crosses val="autoZero"/>
        <c:auto val="1"/>
        <c:lblAlgn val="ctr"/>
        <c:lblOffset val="200"/>
        <c:tickLblSkip val="1"/>
      </c:catAx>
      <c:valAx>
        <c:axId val="892317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1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89256320"/>
        <c:axId val="89257856"/>
      </c:lineChart>
      <c:catAx>
        <c:axId val="8925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57856"/>
        <c:crosses val="autoZero"/>
        <c:auto val="1"/>
        <c:lblAlgn val="ctr"/>
        <c:lblOffset val="100"/>
      </c:catAx>
      <c:valAx>
        <c:axId val="8925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5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89610112"/>
        <c:axId val="89611648"/>
      </c:lineChart>
      <c:catAx>
        <c:axId val="8961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11648"/>
        <c:crosses val="autoZero"/>
        <c:auto val="1"/>
        <c:lblAlgn val="ctr"/>
        <c:lblOffset val="100"/>
      </c:catAx>
      <c:valAx>
        <c:axId val="8961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1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89652608"/>
        <c:axId val="89810432"/>
      </c:lineChart>
      <c:catAx>
        <c:axId val="89652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10432"/>
        <c:crosses val="autoZero"/>
        <c:auto val="1"/>
        <c:lblAlgn val="ctr"/>
        <c:lblOffset val="100"/>
      </c:catAx>
      <c:valAx>
        <c:axId val="89810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526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89986944"/>
        <c:axId val="90005504"/>
      </c:lineChart>
      <c:catAx>
        <c:axId val="89986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05504"/>
        <c:crosses val="autoZero"/>
        <c:auto val="1"/>
        <c:lblAlgn val="ctr"/>
        <c:lblOffset val="100"/>
      </c:catAx>
      <c:valAx>
        <c:axId val="900055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86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0030464"/>
        <c:axId val="90032000"/>
      </c:lineChart>
      <c:catAx>
        <c:axId val="9003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2000"/>
        <c:crosses val="autoZero"/>
        <c:auto val="1"/>
        <c:lblAlgn val="ctr"/>
        <c:lblOffset val="200"/>
        <c:tickLblSkip val="1"/>
      </c:catAx>
      <c:valAx>
        <c:axId val="90032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0318720"/>
        <c:axId val="90320256"/>
      </c:lineChart>
      <c:catAx>
        <c:axId val="9031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20256"/>
        <c:crosses val="autoZero"/>
        <c:auto val="1"/>
        <c:lblAlgn val="ctr"/>
        <c:lblOffset val="100"/>
      </c:catAx>
      <c:valAx>
        <c:axId val="9032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3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0340736"/>
        <c:axId val="90371200"/>
      </c:lineChart>
      <c:catAx>
        <c:axId val="9034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71200"/>
        <c:crosses val="autoZero"/>
        <c:auto val="1"/>
        <c:lblAlgn val="ctr"/>
        <c:lblOffset val="100"/>
      </c:catAx>
      <c:valAx>
        <c:axId val="9037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4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9" sqref="E39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3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3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3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3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3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3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3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3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3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3</v>
      </c>
      <c r="D11" s="416">
        <v>2021</v>
      </c>
      <c r="E11" s="417">
        <f>'UTILITY REPORT 1'!F12</f>
        <v>2712</v>
      </c>
      <c r="F11" s="418">
        <f>('UTILITY REPORT 1'!E12*'UTILITY REPORT 1'!D12)/'UTILITY REPORT 1'!F12</f>
        <v>0.41823377581120946</v>
      </c>
      <c r="G11" s="418">
        <f>IF('Utility summery'!M15&lt;0,"0",'Utility summery'!M15)</f>
        <v>93.94000000002562</v>
      </c>
      <c r="H11" s="423">
        <v>0</v>
      </c>
      <c r="I11" s="418">
        <f>IF('UTILITY REPORT 1'!G12&lt;0,"0",'UTILITY REPORT 1'!G12)</f>
        <v>27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3</v>
      </c>
      <c r="D12" s="416">
        <v>2021</v>
      </c>
      <c r="E12" s="417">
        <f>'UTILITY REPORT 1'!F13</f>
        <v>3220</v>
      </c>
      <c r="F12" s="418">
        <f>('UTILITY REPORT 1'!E13*'UTILITY REPORT 1'!D13)/'UTILITY REPORT 1'!F13</f>
        <v>0.39892236024844718</v>
      </c>
      <c r="G12" s="418">
        <f>IF('Utility summery'!M16&lt;0,"0",'Utility summery'!M16)</f>
        <v>104.58799999995391</v>
      </c>
      <c r="H12" s="423">
        <v>0</v>
      </c>
      <c r="I12" s="418">
        <f>IF('UTILITY REPORT 1'!G13&lt;0,"0",'UTILITY REPORT 1'!G13)</f>
        <v>60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3</v>
      </c>
      <c r="D13" s="416">
        <v>2021</v>
      </c>
      <c r="E13" s="417">
        <f>'UTILITY REPORT 1'!F14</f>
        <v>3248</v>
      </c>
      <c r="F13" s="418">
        <f>('UTILITY REPORT 1'!E14*'UTILITY REPORT 1'!D14)/'UTILITY REPORT 1'!F14</f>
        <v>0.40176416256157638</v>
      </c>
      <c r="G13" s="418">
        <f>IF('Utility summery'!M17&lt;0,"0",'Utility summery'!M17)</f>
        <v>84.568000000005128</v>
      </c>
      <c r="H13" s="423">
        <v>0</v>
      </c>
      <c r="I13" s="418">
        <f>IF('UTILITY REPORT 1'!G14&lt;0,"0",'UTILITY REPORT 1'!G14)</f>
        <v>65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3</v>
      </c>
      <c r="D14" s="416">
        <v>2021</v>
      </c>
      <c r="E14" s="417">
        <f>'UTILITY REPORT 1'!F15</f>
        <v>3154</v>
      </c>
      <c r="F14" s="418">
        <f>('UTILITY REPORT 1'!E15*'UTILITY REPORT 1'!D15)/'UTILITY REPORT 1'!F15</f>
        <v>0.41139822447685476</v>
      </c>
      <c r="G14" s="418">
        <f>IF('Utility summery'!M18&lt;0,"0",'Utility summery'!M18)</f>
        <v>79.464000000053787</v>
      </c>
      <c r="H14" s="423">
        <v>0</v>
      </c>
      <c r="I14" s="418">
        <f>IF('UTILITY REPORT 1'!G15&lt;0,"0",'UTILITY REPORT 1'!G15)</f>
        <v>75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3</v>
      </c>
      <c r="D15" s="416">
        <v>2021</v>
      </c>
      <c r="E15" s="417">
        <f>'UTILITY REPORT 1'!F16</f>
        <v>3356</v>
      </c>
      <c r="F15" s="418">
        <f>('UTILITY REPORT 1'!E16*'UTILITY REPORT 1'!D16)/'UTILITY REPORT 1'!F16</f>
        <v>0.40690107270560189</v>
      </c>
      <c r="G15" s="418">
        <f>IF('Utility summery'!M19&lt;0,"0",'Utility summery'!M19)</f>
        <v>79.023999999964147</v>
      </c>
      <c r="H15" s="423">
        <v>0</v>
      </c>
      <c r="I15" s="418">
        <f>IF('UTILITY REPORT 1'!G16&lt;0,"0",'UTILITY REPORT 1'!G16)</f>
        <v>74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3</v>
      </c>
      <c r="D16" s="416">
        <v>2021</v>
      </c>
      <c r="E16" s="417">
        <f>'UTILITY REPORT 1'!F17</f>
        <v>3251</v>
      </c>
      <c r="F16" s="418">
        <f>('UTILITY REPORT 1'!E17*'UTILITY REPORT 1'!D17)/'UTILITY REPORT 1'!F17</f>
        <v>0.40051984004921559</v>
      </c>
      <c r="G16" s="418">
        <f>IF('Utility summery'!M20&lt;0,"0",'Utility summery'!M20)</f>
        <v>88.660000000038423</v>
      </c>
      <c r="H16" s="423">
        <v>0</v>
      </c>
      <c r="I16" s="418">
        <f>IF('UTILITY REPORT 1'!G17&lt;0,"0",'UTILITY REPORT 1'!G17)</f>
        <v>74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3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64.371999999956472</v>
      </c>
      <c r="H17" s="423">
        <v>0</v>
      </c>
      <c r="I17" s="418" t="str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3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 t="str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3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3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3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3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3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3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3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3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3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3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3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3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3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3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36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119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285.27</v>
      </c>
      <c r="F11" s="456">
        <f>'UTILITY REPORT 1'!E12</f>
        <v>1134.25</v>
      </c>
      <c r="G11" s="457">
        <f>'UTILITY REPORT 1'!F12</f>
        <v>2712</v>
      </c>
      <c r="H11" s="456">
        <f>IF('Kit report'!F13&lt;0,"0",'Kit report'!F13)</f>
        <v>263.99999999986903</v>
      </c>
      <c r="I11" s="456">
        <f>IF('Kit report'!X13&lt;0,"0",'Kit report'!X13)</f>
        <v>220.00000000007276</v>
      </c>
      <c r="J11" s="456">
        <f>IF('Utility summery'!H15&lt;0,"0",'Utility summery'!H15)</f>
        <v>40</v>
      </c>
      <c r="K11" s="457">
        <f>IF('UTILITY REPORT 1'!H12&lt;0,"0",'UTILITY REPORT 1'!H12)</f>
        <v>93</v>
      </c>
      <c r="L11" s="456">
        <f>'Water-Meter'!K15</f>
        <v>2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27</v>
      </c>
      <c r="Q11" s="242">
        <f>IF('Water-Meter'!U15&lt;0,"0",'Water-Meter'!U15)</f>
        <v>83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16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125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32.85</v>
      </c>
      <c r="F12" s="456">
        <f>'UTILITY REPORT 1'!E13</f>
        <v>1284.53</v>
      </c>
      <c r="G12" s="457">
        <f>'UTILITY REPORT 1'!F13</f>
        <v>3220</v>
      </c>
      <c r="H12" s="456">
        <f>IF('Kit report'!F14&lt;0,"0",'Kit report'!F14)</f>
        <v>252.00000000004366</v>
      </c>
      <c r="I12" s="456">
        <f>IF('Kit report'!X14&lt;0,"0",'Kit report'!X14)</f>
        <v>239.99999999996362</v>
      </c>
      <c r="J12" s="456">
        <f>IF('Utility summery'!H16&lt;0,"0",'Utility summery'!H16)</f>
        <v>70</v>
      </c>
      <c r="K12" s="457">
        <f>IF('UTILITY REPORT 1'!H13&lt;0,"0",'UTILITY REPORT 1'!H13)</f>
        <v>33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60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14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124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357.62</v>
      </c>
      <c r="F13" s="456">
        <f>'UTILITY REPORT 1'!E14</f>
        <v>1304.93</v>
      </c>
      <c r="G13" s="457">
        <f>'UTILITY REPORT 1'!F14</f>
        <v>3248</v>
      </c>
      <c r="H13" s="456">
        <f>IF('Kit report'!F15&lt;0,"0",'Kit report'!F15)</f>
        <v>252.00000000004366</v>
      </c>
      <c r="I13" s="456">
        <f>IF('Kit report'!X15&lt;0,"0",'Kit report'!X15)</f>
        <v>319.99999999989086</v>
      </c>
      <c r="J13" s="456">
        <f>IF('Utility summery'!H17&lt;0,"0",'Utility summery'!H17)</f>
        <v>51</v>
      </c>
      <c r="K13" s="457">
        <f>IF('UTILITY REPORT 1'!H14&lt;0,"0",'UTILITY REPORT 1'!H14)</f>
        <v>31</v>
      </c>
      <c r="L13" s="456">
        <f>'Water-Meter'!K17</f>
        <v>2</v>
      </c>
      <c r="M13" s="457">
        <f>'Water-Meter'!H17</f>
        <v>0</v>
      </c>
      <c r="N13" s="457">
        <f>'Water-Meter'!Q17</f>
        <v>2</v>
      </c>
      <c r="O13" s="456" t="e">
        <f>K13*E13+H13*I13+#REF!*#REF!+J13*L13</f>
        <v>#REF!</v>
      </c>
      <c r="P13" s="462">
        <f>'Water-Meter'!E17</f>
        <v>65</v>
      </c>
      <c r="Q13" s="242">
        <f>IF('Water-Meter'!U17&lt;0,"0",'Water-Meter'!U17)</f>
        <v>82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27</v>
      </c>
      <c r="W13" s="30">
        <f>'Water-Meter'!AN17</f>
        <v>125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124.03</v>
      </c>
      <c r="F14" s="456">
        <f>'UTILITY REPORT 1'!E15</f>
        <v>1297.55</v>
      </c>
      <c r="G14" s="457">
        <f>'UTILITY REPORT 1'!F15</f>
        <v>3154</v>
      </c>
      <c r="H14" s="456">
        <f>IF('Kit report'!F16&lt;0,"0",'Kit report'!F16)</f>
        <v>252.00000000004366</v>
      </c>
      <c r="I14" s="456">
        <f>IF('Kit report'!X16&lt;0,"0",'Kit report'!X16)</f>
        <v>220.00000000007276</v>
      </c>
      <c r="J14" s="456">
        <f>IF('Utility summery'!H18&lt;0,"0",'Utility summery'!H18)</f>
        <v>72</v>
      </c>
      <c r="K14" s="457">
        <f>IF('UTILITY REPORT 1'!H15&lt;0,"0",'UTILITY REPORT 1'!H15)</f>
        <v>25</v>
      </c>
      <c r="L14" s="456">
        <f>'Water-Meter'!K18</f>
        <v>2</v>
      </c>
      <c r="M14" s="457">
        <f>'Water-Meter'!H18</f>
        <v>0</v>
      </c>
      <c r="N14" s="457">
        <f>'Water-Meter'!Q18</f>
        <v>6</v>
      </c>
      <c r="O14" s="456" t="e">
        <f>K14*E14+H14*I14+#REF!*#REF!+J14*L14</f>
        <v>#REF!</v>
      </c>
      <c r="P14" s="462">
        <f>'Water-Meter'!E18</f>
        <v>75</v>
      </c>
      <c r="Q14" s="242">
        <f>IF('Water-Meter'!U18&lt;0,"0",'Water-Meter'!U18)</f>
        <v>83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28</v>
      </c>
      <c r="W14" s="30">
        <f>'Water-Meter'!AN18</f>
        <v>128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86.06</v>
      </c>
      <c r="F15" s="456">
        <f>'UTILITY REPORT 1'!E16</f>
        <v>1365.56</v>
      </c>
      <c r="G15" s="457">
        <f>'UTILITY REPORT 1'!F16</f>
        <v>3356</v>
      </c>
      <c r="H15" s="456">
        <f>IF('Kit report'!F17&lt;0,"0",'Kit report'!F17)</f>
        <v>275.99999999991269</v>
      </c>
      <c r="I15" s="456">
        <f>IF('Kit report'!X17&lt;0,"0",'Kit report'!X17)</f>
        <v>360.00000000003638</v>
      </c>
      <c r="J15" s="456">
        <f>IF('Utility summery'!H19&lt;0,"0",'Utility summery'!H19)</f>
        <v>65</v>
      </c>
      <c r="K15" s="457">
        <f>IF('UTILITY REPORT 1'!H16&lt;0,"0",'UTILITY REPORT 1'!H16)</f>
        <v>0</v>
      </c>
      <c r="L15" s="456">
        <f>'Water-Meter'!K19</f>
        <v>2</v>
      </c>
      <c r="M15" s="457">
        <f>'Water-Meter'!H19</f>
        <v>0</v>
      </c>
      <c r="N15" s="457">
        <f>'Water-Meter'!Q19</f>
        <v>6</v>
      </c>
      <c r="O15" s="456" t="e">
        <f>K15*E15+H15*I15+#REF!*#REF!+J15*L15</f>
        <v>#REF!</v>
      </c>
      <c r="P15" s="462">
        <f>'Water-Meter'!E19</f>
        <v>74</v>
      </c>
      <c r="Q15" s="242">
        <f>IF('Water-Meter'!U19&lt;0,"0",'Water-Meter'!U19)</f>
        <v>41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16</v>
      </c>
      <c r="U15" s="242">
        <f>IF('Water-Meter'!AG19&lt;0,"0",'Water-Meter'!AG19)</f>
        <v>0</v>
      </c>
      <c r="V15" s="242">
        <f>IF('Water-Meter'!AJ19&lt;0,"0",'Water-Meter'!AJ19)</f>
        <v>25</v>
      </c>
      <c r="W15" s="30">
        <f>'Water-Meter'!AN19</f>
        <v>82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164.56</v>
      </c>
      <c r="F16" s="456">
        <f>'UTILITY REPORT 1'!E17</f>
        <v>1302.0899999999999</v>
      </c>
      <c r="G16" s="457">
        <f>'UTILITY REPORT 1'!F17</f>
        <v>3251</v>
      </c>
      <c r="H16" s="456">
        <f>IF('Kit report'!F18&lt;0,"0",'Kit report'!F18)</f>
        <v>252.00000000004366</v>
      </c>
      <c r="I16" s="456">
        <f>IF('Kit report'!X18&lt;0,"0",'Kit report'!X18)</f>
        <v>400</v>
      </c>
      <c r="J16" s="456">
        <f>IF('Utility summery'!H20&lt;0,"0",'Utility summery'!H20)</f>
        <v>65</v>
      </c>
      <c r="K16" s="457" t="str">
        <f>IF('UTILITY REPORT 1'!H17&lt;0,"0",'UTILITY REPORT 1'!H17)</f>
        <v>0</v>
      </c>
      <c r="L16" s="456">
        <f>'Water-Meter'!K20</f>
        <v>4</v>
      </c>
      <c r="M16" s="457">
        <f>'Water-Meter'!H20</f>
        <v>0</v>
      </c>
      <c r="N16" s="457">
        <f>'Water-Meter'!Q20</f>
        <v>6</v>
      </c>
      <c r="O16" s="456" t="e">
        <f>K16*E16+H16*I16+#REF!*#REF!+J16*L16</f>
        <v>#REF!</v>
      </c>
      <c r="P16" s="462">
        <f>'Water-Meter'!E20</f>
        <v>74</v>
      </c>
      <c r="Q16" s="242">
        <f>IF('Water-Meter'!U20&lt;0,"0",'Water-Meter'!U20)</f>
        <v>0</v>
      </c>
      <c r="R16" s="242" t="str">
        <f>IF('Water-Meter'!X20&lt;0,"0",'Water-Meter'!X20)</f>
        <v>0</v>
      </c>
      <c r="S16" s="242" t="str">
        <f>IF('Water-Meter'!AA20&lt;0,"0",'Water-Meter'!AA20)</f>
        <v>0</v>
      </c>
      <c r="T16" s="242">
        <f>IF('Water-Meter'!AD20&lt;0,"0",'Water-Meter'!AD20)</f>
        <v>16</v>
      </c>
      <c r="U16" s="242" t="str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42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 t="str">
        <f>IF('Kit report'!F19&lt;0,"0",'Kit report'!F19)</f>
        <v>0</v>
      </c>
      <c r="I17" s="456" t="str">
        <f>IF('Kit report'!X19&lt;0,"0",'Kit report'!X19)</f>
        <v>0</v>
      </c>
      <c r="J17" s="456" t="str">
        <f>IF('Utility summery'!H21&lt;0,"0",'Utility summery'!H21)</f>
        <v>0</v>
      </c>
      <c r="K17" s="457">
        <f>IF('UTILITY REPORT 1'!H18&lt;0,"0",'UTILITY REPORT 1'!H18)</f>
        <v>0</v>
      </c>
      <c r="L17" s="456" t="str">
        <f>'Water-Meter'!K21</f>
        <v>0</v>
      </c>
      <c r="M17" s="457">
        <f>'Water-Meter'!H21</f>
        <v>0</v>
      </c>
      <c r="N17" s="457" t="str">
        <f>'Water-Meter'!Q21</f>
        <v>0</v>
      </c>
      <c r="O17" s="456" t="e">
        <f>K17*E17+H17*I17+#REF!*#REF!+J17*L17</f>
        <v>#REF!</v>
      </c>
      <c r="P17" s="462" t="str">
        <f>'Water-Meter'!E21</f>
        <v>0</v>
      </c>
      <c r="Q17" s="242" t="str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 t="str">
        <f>IF('Water-Meter'!AD21&lt;0,"0",'Water-Meter'!AD21)</f>
        <v>0</v>
      </c>
      <c r="U17" s="242">
        <f>IF('Water-Meter'!AG21&lt;0,"0",'Water-Meter'!AG21)</f>
        <v>0</v>
      </c>
      <c r="V17" s="242" t="str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4" t="s">
        <v>314</v>
      </c>
      <c r="B1" s="854"/>
      <c r="C1" s="854"/>
      <c r="D1" s="854"/>
      <c r="E1" s="854"/>
      <c r="F1" s="854"/>
      <c r="G1" s="854"/>
      <c r="H1" s="854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0.01</v>
      </c>
      <c r="C4" s="405">
        <f>'Summery Report'!E6</f>
        <v>0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0.01</v>
      </c>
      <c r="C5" s="405">
        <f>'Summery Report'!E7</f>
        <v>0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3.9E-2</v>
      </c>
      <c r="C6" s="405">
        <f>'Summery Report'!E8</f>
        <v>0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0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0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0.1</v>
      </c>
      <c r="C9" s="405">
        <f>'Summery Report'!E11</f>
        <v>0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0.1</v>
      </c>
      <c r="C10" s="405">
        <f>'Summery Report'!E12</f>
        <v>0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0.13</v>
      </c>
      <c r="C11" s="405">
        <f>'Summery Report'!E13</f>
        <v>0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0.14000000000000001</v>
      </c>
      <c r="C12" s="405">
        <f>'Summery Report'!E14</f>
        <v>0</v>
      </c>
      <c r="D12" s="406">
        <v>1</v>
      </c>
      <c r="E12" s="405">
        <f>Gen!S20</f>
        <v>1134.25</v>
      </c>
      <c r="F12" s="405">
        <f>Gen!T20</f>
        <v>2712</v>
      </c>
      <c r="G12" s="405">
        <f>'Water-Meter'!E15</f>
        <v>27</v>
      </c>
      <c r="H12" s="405">
        <f>'Utility report '!AC15</f>
        <v>93</v>
      </c>
      <c r="I12" s="405">
        <f>Gen!AJ20</f>
        <v>285.27</v>
      </c>
    </row>
    <row r="13" spans="1:9" ht="13.5">
      <c r="A13" s="402">
        <f>Gen!A21</f>
        <v>44266</v>
      </c>
      <c r="B13" s="404">
        <f>Gen!B21</f>
        <v>0.1</v>
      </c>
      <c r="C13" s="405">
        <f>'Summery Report'!E15</f>
        <v>0</v>
      </c>
      <c r="D13" s="406">
        <v>1</v>
      </c>
      <c r="E13" s="405">
        <f>Gen!S21</f>
        <v>1284.53</v>
      </c>
      <c r="F13" s="405">
        <f>Gen!T21</f>
        <v>3220</v>
      </c>
      <c r="G13" s="405">
        <f>'Water-Meter'!E16</f>
        <v>60</v>
      </c>
      <c r="H13" s="405">
        <f>'Utility report '!AC16</f>
        <v>33</v>
      </c>
      <c r="I13" s="405">
        <f>Gen!AJ21</f>
        <v>32.85</v>
      </c>
    </row>
    <row r="14" spans="1:9" ht="13.5">
      <c r="A14" s="402">
        <f>Gen!A22</f>
        <v>44267</v>
      </c>
      <c r="B14" s="404">
        <f>Gen!B22</f>
        <v>0.13</v>
      </c>
      <c r="C14" s="405">
        <f>'Summery Report'!E16</f>
        <v>0</v>
      </c>
      <c r="D14" s="406">
        <v>1</v>
      </c>
      <c r="E14" s="405">
        <f>Gen!S22</f>
        <v>1304.93</v>
      </c>
      <c r="F14" s="405">
        <f>Gen!T22</f>
        <v>3248</v>
      </c>
      <c r="G14" s="405">
        <f>'Water-Meter'!E17</f>
        <v>65</v>
      </c>
      <c r="H14" s="405">
        <f>'Utility report '!AC17</f>
        <v>31</v>
      </c>
      <c r="I14" s="405">
        <f>Gen!AJ22</f>
        <v>357.62</v>
      </c>
    </row>
    <row r="15" spans="1:9" ht="13.5">
      <c r="A15" s="402">
        <f>Gen!A23</f>
        <v>44268</v>
      </c>
      <c r="B15" s="404">
        <f>Gen!B23</f>
        <v>0.17</v>
      </c>
      <c r="C15" s="405">
        <f>'Summery Report'!E17</f>
        <v>0</v>
      </c>
      <c r="D15" s="406">
        <v>1</v>
      </c>
      <c r="E15" s="405">
        <f>Gen!S23</f>
        <v>1297.55</v>
      </c>
      <c r="F15" s="405">
        <f>Gen!T23</f>
        <v>3154</v>
      </c>
      <c r="G15" s="405">
        <f>'Water-Meter'!E18</f>
        <v>75</v>
      </c>
      <c r="H15" s="405">
        <f>'Utility report '!AC18</f>
        <v>25</v>
      </c>
      <c r="I15" s="405">
        <f>Gen!AJ23</f>
        <v>124.03</v>
      </c>
    </row>
    <row r="16" spans="1:9" ht="13.5">
      <c r="A16" s="402">
        <f>Gen!A24</f>
        <v>44269</v>
      </c>
      <c r="B16" s="404">
        <f>Gen!B24</f>
        <v>0.14000000000000001</v>
      </c>
      <c r="C16" s="405">
        <f>'Summery Report'!E18</f>
        <v>0</v>
      </c>
      <c r="D16" s="406">
        <v>1</v>
      </c>
      <c r="E16" s="405">
        <f>Gen!S24</f>
        <v>1365.56</v>
      </c>
      <c r="F16" s="405">
        <f>Gen!T24</f>
        <v>3356</v>
      </c>
      <c r="G16" s="405">
        <f>'Water-Meter'!E19</f>
        <v>74</v>
      </c>
      <c r="H16" s="405">
        <f>'Utility report '!AC19</f>
        <v>0</v>
      </c>
      <c r="I16" s="405">
        <f>Gen!AJ24</f>
        <v>86.06</v>
      </c>
    </row>
    <row r="17" spans="1:9" ht="13.5">
      <c r="A17" s="402">
        <f>Gen!A25</f>
        <v>44270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1302.0899999999999</v>
      </c>
      <c r="F17" s="405">
        <f>Gen!T25</f>
        <v>3251</v>
      </c>
      <c r="G17" s="405">
        <f>'Water-Meter'!E20</f>
        <v>74</v>
      </c>
      <c r="H17" s="405">
        <f>'Utility report '!AC20</f>
        <v>-48088</v>
      </c>
      <c r="I17" s="405">
        <f>Gen!AJ25</f>
        <v>164.56</v>
      </c>
    </row>
    <row r="18" spans="1:9" ht="13.5">
      <c r="A18" s="402">
        <f>Gen!A26</f>
        <v>44271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 t="str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5" t="s">
        <v>135</v>
      </c>
      <c r="E4" s="855"/>
      <c r="F4" s="855"/>
      <c r="G4" s="856" t="s">
        <v>20</v>
      </c>
      <c r="H4" s="856"/>
      <c r="I4" s="856"/>
      <c r="J4" s="857" t="s">
        <v>54</v>
      </c>
      <c r="K4" s="857"/>
      <c r="L4" s="857"/>
      <c r="M4" s="857"/>
      <c r="N4" s="858" t="s">
        <v>143</v>
      </c>
      <c r="O4" s="858"/>
      <c r="P4" s="858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0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0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0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0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0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0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0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0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0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36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0</v>
      </c>
      <c r="C15" s="6">
        <f>Gen!U20</f>
        <v>0.41823377581120946</v>
      </c>
      <c r="D15" s="152">
        <f>Gen!T20</f>
        <v>2712</v>
      </c>
      <c r="E15" s="152">
        <f>Gen!AK20</f>
        <v>0</v>
      </c>
      <c r="F15" s="152">
        <f>Gen!AS20</f>
        <v>0</v>
      </c>
      <c r="G15" s="153">
        <f>'Utility report '!AC15</f>
        <v>93</v>
      </c>
      <c r="H15" s="153">
        <f>'Utility report '!AE15</f>
        <v>40</v>
      </c>
      <c r="I15" s="296">
        <f>'Water-Meter'!E15</f>
        <v>27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3796.7999999999997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0</v>
      </c>
      <c r="C16" s="6">
        <f>Gen!U21</f>
        <v>0.39892236024844718</v>
      </c>
      <c r="D16" s="152">
        <f>Gen!T21</f>
        <v>3220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70</v>
      </c>
      <c r="I16" s="296">
        <f>'Water-Meter'!E16</f>
        <v>60</v>
      </c>
      <c r="J16" s="154">
        <f>'Lpg (2)'!B20</f>
        <v>12</v>
      </c>
      <c r="K16" s="154">
        <f>'Lpg (2)'!C20</f>
        <v>85</v>
      </c>
      <c r="L16" s="154">
        <f>'Lpg (2)'!D20</f>
        <v>85</v>
      </c>
      <c r="M16" s="449">
        <f>'Lpg (2)'!G20</f>
        <v>104.58799999995391</v>
      </c>
      <c r="N16" s="151">
        <f t="shared" si="2"/>
        <v>4508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0</v>
      </c>
      <c r="C17" s="6">
        <f>Gen!U22</f>
        <v>0.40176416256157638</v>
      </c>
      <c r="D17" s="152">
        <f>Gen!T22</f>
        <v>3248</v>
      </c>
      <c r="E17" s="152">
        <f>Gen!AK22</f>
        <v>0</v>
      </c>
      <c r="F17" s="152">
        <f>Gen!AS22</f>
        <v>0</v>
      </c>
      <c r="G17" s="153">
        <f>'Utility report '!AC17</f>
        <v>31</v>
      </c>
      <c r="H17" s="153">
        <f>'Utility report '!AE17</f>
        <v>51</v>
      </c>
      <c r="I17" s="296">
        <f>'Water-Meter'!E17</f>
        <v>65</v>
      </c>
      <c r="J17" s="154">
        <f>'Lpg (2)'!B21</f>
        <v>10</v>
      </c>
      <c r="K17" s="154">
        <f>'Lpg (2)'!C22</f>
        <v>85</v>
      </c>
      <c r="L17" s="154">
        <f>'Lpg (2)'!D21</f>
        <v>85</v>
      </c>
      <c r="M17" s="449">
        <f>'Lpg (2)'!G21</f>
        <v>84.568000000005128</v>
      </c>
      <c r="N17" s="151">
        <f t="shared" si="2"/>
        <v>4547.2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0</v>
      </c>
      <c r="C18" s="6">
        <f>Gen!U23</f>
        <v>0.41139822447685476</v>
      </c>
      <c r="D18" s="152">
        <f>Gen!T23</f>
        <v>3154</v>
      </c>
      <c r="E18" s="152">
        <f>Gen!AK23</f>
        <v>0</v>
      </c>
      <c r="F18" s="152">
        <f>Gen!AS23</f>
        <v>0</v>
      </c>
      <c r="G18" s="153">
        <f>'Utility report '!AC18</f>
        <v>25</v>
      </c>
      <c r="H18" s="153">
        <f>'Utility report '!AE18</f>
        <v>72</v>
      </c>
      <c r="I18" s="296">
        <f>'Water-Meter'!E18</f>
        <v>75</v>
      </c>
      <c r="J18" s="154">
        <f>'Lpg (2)'!B22</f>
        <v>8</v>
      </c>
      <c r="K18" s="154">
        <f>'Lpg (2)'!C23</f>
        <v>85</v>
      </c>
      <c r="L18" s="154">
        <f>'Lpg (2)'!D22</f>
        <v>85</v>
      </c>
      <c r="M18" s="449">
        <f>'Lpg (2)'!G22</f>
        <v>79.464000000053787</v>
      </c>
      <c r="N18" s="151">
        <f t="shared" si="2"/>
        <v>4415.5999999999995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0</v>
      </c>
      <c r="C19" s="6">
        <f>Gen!U24</f>
        <v>0.40690107270560189</v>
      </c>
      <c r="D19" s="152">
        <f>Gen!T24</f>
        <v>3356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65</v>
      </c>
      <c r="I19" s="296">
        <f>'Water-Meter'!E19</f>
        <v>74</v>
      </c>
      <c r="J19" s="154">
        <f>'Lpg (2)'!B23</f>
        <v>5</v>
      </c>
      <c r="K19" s="154">
        <f>'Lpg (2)'!C24</f>
        <v>85</v>
      </c>
      <c r="L19" s="154">
        <f>'Lpg (2)'!D23</f>
        <v>85</v>
      </c>
      <c r="M19" s="449">
        <f>'Lpg (2)'!G23</f>
        <v>79.023999999964147</v>
      </c>
      <c r="N19" s="151">
        <f t="shared" si="2"/>
        <v>4698.3999999999996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0</v>
      </c>
      <c r="C20" s="6">
        <f>Gen!U25</f>
        <v>0.40051984004921559</v>
      </c>
      <c r="D20" s="152">
        <f>Gen!T25</f>
        <v>3251</v>
      </c>
      <c r="E20" s="152">
        <f>Gen!AK25</f>
        <v>0</v>
      </c>
      <c r="F20" s="152">
        <f>Gen!AS25</f>
        <v>0</v>
      </c>
      <c r="G20" s="153">
        <f>'Utility report '!AC20</f>
        <v>-48088</v>
      </c>
      <c r="H20" s="153">
        <f>'Utility report '!AE20</f>
        <v>65</v>
      </c>
      <c r="I20" s="296">
        <f>'Water-Meter'!E20</f>
        <v>74</v>
      </c>
      <c r="J20" s="154">
        <f>'Lpg (2)'!B24</f>
        <v>4</v>
      </c>
      <c r="K20" s="154">
        <f>'Lpg (2)'!C25</f>
        <v>85</v>
      </c>
      <c r="L20" s="154">
        <f>'Lpg (2)'!D24</f>
        <v>85</v>
      </c>
      <c r="M20" s="449">
        <f>'Lpg (2)'!G24</f>
        <v>88.660000000038423</v>
      </c>
      <c r="N20" s="151">
        <f t="shared" si="2"/>
        <v>4551.3999999999996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-212981</v>
      </c>
      <c r="I21" s="296" t="str">
        <f>'Water-Meter'!E21</f>
        <v>0</v>
      </c>
      <c r="J21" s="154">
        <f>'Lpg (2)'!B25</f>
        <v>2</v>
      </c>
      <c r="K21" s="154">
        <f>'Lpg (2)'!C25</f>
        <v>85</v>
      </c>
      <c r="L21" s="154">
        <f>'Lpg (2)'!D25</f>
        <v>85</v>
      </c>
      <c r="M21" s="449">
        <f>'Lpg (2)'!G25</f>
        <v>64.371999999956472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-332148.08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40816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812</v>
      </c>
      <c r="J39" s="453">
        <f t="shared" si="3"/>
        <v>230</v>
      </c>
      <c r="K39" s="453">
        <f t="shared" si="3"/>
        <v>1275</v>
      </c>
      <c r="L39" s="453">
        <f t="shared" si="3"/>
        <v>1275</v>
      </c>
      <c r="M39" s="453">
        <f t="shared" si="3"/>
        <v>-331007.60000000003</v>
      </c>
      <c r="N39" s="453">
        <f t="shared" si="3"/>
        <v>57142.400000000001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2" zoomScalePageLayoutView="85" workbookViewId="0">
      <pane xSplit="1" topLeftCell="M1" activePane="topRight" state="frozen"/>
      <selection pane="topRight" activeCell="AD21" sqref="AD2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6">
        <f>A6</f>
        <v>44256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867"/>
      <c r="AD1" s="867"/>
      <c r="AE1" s="867"/>
      <c r="AF1" s="867"/>
      <c r="AG1" s="867"/>
      <c r="AH1" s="867"/>
      <c r="AI1" s="867"/>
      <c r="AJ1" s="867"/>
      <c r="AK1" s="868"/>
    </row>
    <row r="2" spans="1:37" ht="61.5" customHeight="1" thickBot="1">
      <c r="A2" s="137" t="s">
        <v>98</v>
      </c>
      <c r="B2" s="869" t="s">
        <v>99</v>
      </c>
      <c r="C2" s="870"/>
      <c r="D2" s="871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9" t="s">
        <v>103</v>
      </c>
      <c r="P2" s="859"/>
      <c r="Q2" s="859"/>
      <c r="R2" s="859"/>
      <c r="S2" s="859"/>
      <c r="T2" s="859"/>
      <c r="U2" s="859"/>
      <c r="V2" s="859"/>
      <c r="W2" s="859"/>
      <c r="X2" s="859"/>
      <c r="Y2" s="859"/>
      <c r="Z2" s="859"/>
      <c r="AA2" s="284" t="s">
        <v>104</v>
      </c>
      <c r="AB2" s="869" t="s">
        <v>164</v>
      </c>
      <c r="AC2" s="871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2">
        <f>SUM(D3/B3)</f>
        <v>1.3262195121951219</v>
      </c>
      <c r="G3" s="873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9" t="s">
        <v>112</v>
      </c>
      <c r="P3" s="859"/>
      <c r="Q3" s="859"/>
      <c r="R3" s="859"/>
      <c r="S3" s="860" t="s">
        <v>113</v>
      </c>
      <c r="T3" s="861"/>
      <c r="U3" s="861"/>
      <c r="V3" s="862"/>
      <c r="W3" s="863" t="s">
        <v>114</v>
      </c>
      <c r="X3" s="864"/>
      <c r="Y3" s="864"/>
      <c r="Z3" s="865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0</v>
      </c>
      <c r="C6" s="763">
        <f>Gen!B11</f>
        <v>0.01</v>
      </c>
      <c r="D6" s="725">
        <f>'Summery Report'!E5</f>
        <v>0</v>
      </c>
      <c r="E6" s="725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0</v>
      </c>
      <c r="C7" s="763">
        <f>Gen!B12</f>
        <v>0.01</v>
      </c>
      <c r="D7" s="725">
        <f>'Summery Report'!E6</f>
        <v>0</v>
      </c>
      <c r="E7" s="725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0</v>
      </c>
      <c r="C8" s="763">
        <f>Gen!B13</f>
        <v>0.01</v>
      </c>
      <c r="D8" s="725">
        <f>'Summery Report'!E7</f>
        <v>0</v>
      </c>
      <c r="E8" s="725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5">
        <f>Gen!C13</f>
        <v>42443.15</v>
      </c>
      <c r="I8" s="725">
        <f>Gen!E13</f>
        <v>18000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0</v>
      </c>
      <c r="C9" s="763">
        <f>Gen!B14</f>
        <v>3.9E-2</v>
      </c>
      <c r="D9" s="725">
        <f>'Summery Report'!E8</f>
        <v>0</v>
      </c>
      <c r="E9" s="725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0</v>
      </c>
      <c r="C10" s="763">
        <f>Gen!B15</f>
        <v>6.5000000000000002E-2</v>
      </c>
      <c r="D10" s="725">
        <f>'Summery Report'!E9</f>
        <v>0</v>
      </c>
      <c r="E10" s="725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0</v>
      </c>
      <c r="C11" s="763">
        <f>Gen!B16</f>
        <v>5.1999999999999998E-2</v>
      </c>
      <c r="D11" s="725">
        <f>'Summery Report'!E10</f>
        <v>0</v>
      </c>
      <c r="E11" s="725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0</v>
      </c>
      <c r="C12" s="763">
        <f>Gen!B17</f>
        <v>0.1</v>
      </c>
      <c r="D12" s="725">
        <f>'Summery Report'!E11</f>
        <v>0</v>
      </c>
      <c r="E12" s="725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0</v>
      </c>
      <c r="C13" s="763">
        <f>Gen!B18</f>
        <v>0.1</v>
      </c>
      <c r="D13" s="725">
        <f>'Summery Report'!E12</f>
        <v>0</v>
      </c>
      <c r="E13" s="725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0</v>
      </c>
      <c r="C14" s="763">
        <f>Gen!B19</f>
        <v>0.13</v>
      </c>
      <c r="D14" s="725">
        <f>'Summery Report'!E13</f>
        <v>0</v>
      </c>
      <c r="E14" s="725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212618</v>
      </c>
      <c r="AE14" s="178">
        <f t="shared" si="15"/>
        <v>36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0</v>
      </c>
      <c r="C15" s="763">
        <f>Gen!B20</f>
        <v>0.14000000000000001</v>
      </c>
      <c r="D15" s="725">
        <f>'Summery Report'!E14</f>
        <v>0</v>
      </c>
      <c r="E15" s="725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5">
        <f>Gen!C20</f>
        <v>33773.240000000005</v>
      </c>
      <c r="I15" s="725">
        <f>Gen!E20</f>
        <v>0</v>
      </c>
      <c r="J15" s="764">
        <f>Gen!T20</f>
        <v>2712</v>
      </c>
      <c r="K15" s="769">
        <f>Gen!AK20</f>
        <v>0</v>
      </c>
      <c r="L15" s="760">
        <f t="shared" si="17"/>
        <v>2712</v>
      </c>
      <c r="M15" s="448">
        <f>'Water-Meter'!K55</f>
        <v>506.95842558617028</v>
      </c>
      <c r="N15" s="720">
        <f>'Water-Meter'!E15</f>
        <v>27</v>
      </c>
      <c r="O15" s="711"/>
      <c r="P15" s="718">
        <v>19032</v>
      </c>
      <c r="Q15" s="730">
        <f t="shared" si="2"/>
        <v>0</v>
      </c>
      <c r="R15" s="426">
        <f t="shared" si="5"/>
        <v>0</v>
      </c>
      <c r="S15" s="706">
        <v>6.3</v>
      </c>
      <c r="T15" s="707">
        <v>17762</v>
      </c>
      <c r="U15" s="730">
        <f t="shared" si="6"/>
        <v>18</v>
      </c>
      <c r="V15" s="427">
        <f t="shared" si="16"/>
        <v>113.39999999999999</v>
      </c>
      <c r="W15" s="706"/>
      <c r="X15" s="712">
        <v>27443</v>
      </c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>
        <v>47999</v>
      </c>
      <c r="AC15" s="695">
        <f t="shared" si="11"/>
        <v>93</v>
      </c>
      <c r="AD15" s="697">
        <v>212658</v>
      </c>
      <c r="AE15" s="178">
        <f>AD15-AD14</f>
        <v>40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0</v>
      </c>
      <c r="C16" s="763">
        <f>Gen!B21</f>
        <v>0.1</v>
      </c>
      <c r="D16" s="725">
        <f>'Summery Report'!E15</f>
        <v>0</v>
      </c>
      <c r="E16" s="725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5">
        <f>Gen!C21</f>
        <v>32353.720000000005</v>
      </c>
      <c r="I16" s="725">
        <f>Gen!E21</f>
        <v>0</v>
      </c>
      <c r="J16" s="764">
        <f>Gen!T21</f>
        <v>3220</v>
      </c>
      <c r="K16" s="769">
        <f>Gen!AK21</f>
        <v>0</v>
      </c>
      <c r="L16" s="760">
        <f t="shared" si="17"/>
        <v>3220</v>
      </c>
      <c r="M16" s="448">
        <f>'Water-Meter'!K56</f>
        <v>559.10394057425685</v>
      </c>
      <c r="N16" s="720">
        <f>'Water-Meter'!E16</f>
        <v>60</v>
      </c>
      <c r="O16" s="711"/>
      <c r="P16" s="718">
        <v>19032</v>
      </c>
      <c r="Q16" s="730">
        <f t="shared" si="2"/>
        <v>0</v>
      </c>
      <c r="R16" s="426">
        <f t="shared" si="5"/>
        <v>0</v>
      </c>
      <c r="S16" s="706">
        <v>6.3</v>
      </c>
      <c r="T16" s="707">
        <v>17764</v>
      </c>
      <c r="U16" s="730">
        <f t="shared" si="6"/>
        <v>2</v>
      </c>
      <c r="V16" s="427">
        <f t="shared" si="16"/>
        <v>12.6</v>
      </c>
      <c r="W16" s="706"/>
      <c r="X16" s="712">
        <v>27443</v>
      </c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>
        <v>48032</v>
      </c>
      <c r="AC16" s="695">
        <f t="shared" si="11"/>
        <v>33</v>
      </c>
      <c r="AD16" s="697">
        <v>212728</v>
      </c>
      <c r="AE16" s="178">
        <f t="shared" si="15"/>
        <v>70</v>
      </c>
      <c r="AF16" s="724">
        <f>'Lpg (2)'!B20*2000/85</f>
        <v>282.35294117647061</v>
      </c>
      <c r="AG16" s="266">
        <f>'Lpg (2)'!C20*1000/85</f>
        <v>1000</v>
      </c>
      <c r="AH16" s="737">
        <f>'Lpg (2)'!D20*1000/85</f>
        <v>1000</v>
      </c>
      <c r="AI16" s="727">
        <f t="shared" si="18"/>
        <v>2564705.8823529412</v>
      </c>
      <c r="AJ16" s="428">
        <f t="shared" si="4"/>
        <v>141176.47058823518</v>
      </c>
      <c r="AK16" s="132"/>
    </row>
    <row r="17" spans="1:37" ht="18.75">
      <c r="A17" s="758">
        <f>Gen!A22</f>
        <v>44267</v>
      </c>
      <c r="B17" s="425">
        <f>'Summery Report'!E16</f>
        <v>0</v>
      </c>
      <c r="C17" s="763">
        <f>Gen!B22</f>
        <v>0.13</v>
      </c>
      <c r="D17" s="725">
        <f>'Summery Report'!E16</f>
        <v>0</v>
      </c>
      <c r="E17" s="725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5">
        <f>Gen!C22</f>
        <v>31036.340000000004</v>
      </c>
      <c r="I17" s="725">
        <f>Gen!E22</f>
        <v>0</v>
      </c>
      <c r="J17" s="764">
        <f>Gen!T22</f>
        <v>3248</v>
      </c>
      <c r="K17" s="769">
        <f>Gen!AK22</f>
        <v>0</v>
      </c>
      <c r="L17" s="760">
        <f t="shared" si="17"/>
        <v>3248</v>
      </c>
      <c r="M17" s="448">
        <f>'Water-Meter'!K57</f>
        <v>523.37468773931766</v>
      </c>
      <c r="N17" s="720">
        <f>'Water-Meter'!E17</f>
        <v>65</v>
      </c>
      <c r="O17" s="711"/>
      <c r="P17" s="718">
        <v>19032</v>
      </c>
      <c r="Q17" s="730">
        <f>SUM(P18-P16)</f>
        <v>0</v>
      </c>
      <c r="R17" s="426">
        <f t="shared" si="5"/>
        <v>0</v>
      </c>
      <c r="S17" s="706"/>
      <c r="T17" s="707">
        <v>17764</v>
      </c>
      <c r="U17" s="730">
        <f t="shared" si="6"/>
        <v>0</v>
      </c>
      <c r="V17" s="427">
        <f t="shared" ref="V17:V36" si="19">SUM(U17*S17)</f>
        <v>0</v>
      </c>
      <c r="W17" s="706">
        <v>1.3</v>
      </c>
      <c r="X17" s="712">
        <v>27454</v>
      </c>
      <c r="Y17" s="730">
        <f t="shared" si="8"/>
        <v>11</v>
      </c>
      <c r="Z17" s="710">
        <f t="shared" si="9"/>
        <v>14.3</v>
      </c>
      <c r="AA17" s="717">
        <f t="shared" si="10"/>
        <v>393107</v>
      </c>
      <c r="AB17" s="714">
        <v>48063</v>
      </c>
      <c r="AC17" s="695">
        <f t="shared" si="11"/>
        <v>31</v>
      </c>
      <c r="AD17" s="697">
        <v>212779</v>
      </c>
      <c r="AE17" s="178">
        <f t="shared" si="15"/>
        <v>51</v>
      </c>
      <c r="AF17" s="724">
        <f>'Lpg (2)'!B21*2000/85</f>
        <v>235.29411764705881</v>
      </c>
      <c r="AG17" s="266">
        <f>'Lpg (2)'!C21*1000/85</f>
        <v>1000</v>
      </c>
      <c r="AH17" s="737">
        <f>'Lpg (2)'!D21*1000/85</f>
        <v>1000</v>
      </c>
      <c r="AI17" s="727">
        <f t="shared" si="18"/>
        <v>2470588.2352941176</v>
      </c>
      <c r="AJ17" s="428">
        <f t="shared" si="4"/>
        <v>94117.647058823612</v>
      </c>
      <c r="AK17" s="132"/>
    </row>
    <row r="18" spans="1:37" ht="18.75">
      <c r="A18" s="758">
        <f>Gen!A23</f>
        <v>44268</v>
      </c>
      <c r="B18" s="425">
        <f>'Summery Report'!E17</f>
        <v>0</v>
      </c>
      <c r="C18" s="763">
        <f>Gen!B23</f>
        <v>0.17</v>
      </c>
      <c r="D18" s="725">
        <f>'Summery Report'!E17</f>
        <v>0</v>
      </c>
      <c r="E18" s="725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5">
        <f>Gen!C23</f>
        <v>44373.790000000008</v>
      </c>
      <c r="I18" s="725">
        <f>Gen!E23</f>
        <v>0</v>
      </c>
      <c r="J18" s="764">
        <f>Gen!T23</f>
        <v>3154</v>
      </c>
      <c r="K18" s="769">
        <f>Gen!AK23</f>
        <v>0</v>
      </c>
      <c r="L18" s="760">
        <f t="shared" si="17"/>
        <v>3154</v>
      </c>
      <c r="M18" s="448">
        <f>'Water-Meter'!K58</f>
        <v>586.18582218192705</v>
      </c>
      <c r="N18" s="720">
        <f>'Water-Meter'!E18</f>
        <v>75</v>
      </c>
      <c r="O18" s="711"/>
      <c r="P18" s="718">
        <v>19032</v>
      </c>
      <c r="Q18" s="730"/>
      <c r="R18" s="426">
        <f t="shared" si="5"/>
        <v>0</v>
      </c>
      <c r="S18" s="706"/>
      <c r="T18" s="707">
        <v>17764</v>
      </c>
      <c r="U18" s="730">
        <f t="shared" si="6"/>
        <v>0</v>
      </c>
      <c r="V18" s="427">
        <f t="shared" si="19"/>
        <v>0</v>
      </c>
      <c r="W18" s="706"/>
      <c r="X18" s="712">
        <v>27478.87</v>
      </c>
      <c r="Y18" s="730">
        <f t="shared" si="8"/>
        <v>24.869999999998981</v>
      </c>
      <c r="Z18" s="710">
        <f t="shared" si="9"/>
        <v>0</v>
      </c>
      <c r="AA18" s="717">
        <f t="shared" si="10"/>
        <v>0</v>
      </c>
      <c r="AB18" s="714">
        <v>48088</v>
      </c>
      <c r="AC18" s="695">
        <f t="shared" si="11"/>
        <v>25</v>
      </c>
      <c r="AD18" s="697">
        <v>212851</v>
      </c>
      <c r="AE18" s="178">
        <f t="shared" si="15"/>
        <v>72</v>
      </c>
      <c r="AF18" s="724">
        <f>'Lpg (2)'!B22*2000/85</f>
        <v>188.23529411764707</v>
      </c>
      <c r="AG18" s="266">
        <f>'Lpg (2)'!C22*1000/85</f>
        <v>1000</v>
      </c>
      <c r="AH18" s="737">
        <f>'Lpg (2)'!D22*1000/85</f>
        <v>1000</v>
      </c>
      <c r="AI18" s="727">
        <f t="shared" si="18"/>
        <v>2376470.5882352944</v>
      </c>
      <c r="AJ18" s="428">
        <f t="shared" si="4"/>
        <v>94117.647058823146</v>
      </c>
      <c r="AK18" s="132"/>
    </row>
    <row r="19" spans="1:37" ht="18.75">
      <c r="A19" s="758">
        <f>Gen!A24</f>
        <v>44269</v>
      </c>
      <c r="B19" s="425">
        <f>'Summery Report'!E18</f>
        <v>0</v>
      </c>
      <c r="C19" s="763">
        <f>Gen!B24</f>
        <v>0.14000000000000001</v>
      </c>
      <c r="D19" s="725">
        <f>'Summery Report'!E18</f>
        <v>0</v>
      </c>
      <c r="E19" s="725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5">
        <f>Gen!C24</f>
        <v>42952.210000000006</v>
      </c>
      <c r="I19" s="725">
        <f>Gen!E24</f>
        <v>15000</v>
      </c>
      <c r="J19" s="764">
        <f>Gen!T24</f>
        <v>3356</v>
      </c>
      <c r="K19" s="769">
        <f>Gen!AK24</f>
        <v>0</v>
      </c>
      <c r="L19" s="760">
        <f t="shared" si="17"/>
        <v>3356</v>
      </c>
      <c r="M19" s="448">
        <f>'Water-Meter'!K59</f>
        <v>553.78373340908115</v>
      </c>
      <c r="N19" s="720">
        <f>'Water-Meter'!E19</f>
        <v>74</v>
      </c>
      <c r="O19" s="711"/>
      <c r="P19" s="718">
        <v>19032</v>
      </c>
      <c r="Q19" s="730"/>
      <c r="R19" s="426">
        <f t="shared" si="5"/>
        <v>0</v>
      </c>
      <c r="S19" s="706">
        <v>7.1</v>
      </c>
      <c r="T19" s="707">
        <v>17776</v>
      </c>
      <c r="U19" s="730">
        <f t="shared" si="6"/>
        <v>12</v>
      </c>
      <c r="V19" s="427">
        <f t="shared" si="19"/>
        <v>85.199999999999989</v>
      </c>
      <c r="W19" s="706">
        <v>1.8</v>
      </c>
      <c r="X19" s="712">
        <v>27490</v>
      </c>
      <c r="Y19" s="730">
        <f t="shared" si="8"/>
        <v>11.130000000001019</v>
      </c>
      <c r="Z19" s="710">
        <f t="shared" si="9"/>
        <v>20.034000000001836</v>
      </c>
      <c r="AA19" s="717">
        <f t="shared" si="10"/>
        <v>0</v>
      </c>
      <c r="AB19" s="714">
        <v>48088</v>
      </c>
      <c r="AC19" s="695">
        <f t="shared" si="11"/>
        <v>0</v>
      </c>
      <c r="AD19" s="697">
        <v>212916</v>
      </c>
      <c r="AE19" s="178">
        <f t="shared" si="15"/>
        <v>65</v>
      </c>
      <c r="AF19" s="724">
        <f>'Lpg (2)'!B23*2000/85</f>
        <v>117.64705882352941</v>
      </c>
      <c r="AG19" s="266">
        <f>'Lpg (2)'!C23*1000/85</f>
        <v>1000</v>
      </c>
      <c r="AH19" s="737">
        <f>'Lpg (2)'!D23*1000/85</f>
        <v>1000</v>
      </c>
      <c r="AI19" s="727">
        <f t="shared" si="18"/>
        <v>2235294.1176470588</v>
      </c>
      <c r="AJ19" s="428">
        <f t="shared" si="4"/>
        <v>141176.47058823565</v>
      </c>
      <c r="AK19" s="132"/>
    </row>
    <row r="20" spans="1:37" ht="18.75">
      <c r="A20" s="758">
        <f>Gen!A25</f>
        <v>44270</v>
      </c>
      <c r="B20" s="425">
        <f>'Summery Report'!E19</f>
        <v>0</v>
      </c>
      <c r="C20" s="763">
        <f>Gen!B25</f>
        <v>0</v>
      </c>
      <c r="D20" s="725">
        <f>'Summery Report'!E19</f>
        <v>0</v>
      </c>
      <c r="E20" s="725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5">
        <f>Gen!C25</f>
        <v>41500.590000000004</v>
      </c>
      <c r="I20" s="725">
        <f>Gen!E25</f>
        <v>0</v>
      </c>
      <c r="J20" s="764">
        <f>Gen!T25</f>
        <v>3251</v>
      </c>
      <c r="K20" s="769">
        <f>Gen!AK25</f>
        <v>0</v>
      </c>
      <c r="L20" s="760">
        <f t="shared" si="17"/>
        <v>3251</v>
      </c>
      <c r="M20" s="448">
        <f>'Water-Meter'!K60</f>
        <v>516.39445118293941</v>
      </c>
      <c r="N20" s="720">
        <f>'Water-Meter'!E20</f>
        <v>74</v>
      </c>
      <c r="O20" s="711"/>
      <c r="P20" s="718">
        <v>19032</v>
      </c>
      <c r="Q20" s="730">
        <f t="shared" si="2"/>
        <v>0</v>
      </c>
      <c r="R20" s="426">
        <f t="shared" si="5"/>
        <v>0</v>
      </c>
      <c r="S20" s="706">
        <v>6.8</v>
      </c>
      <c r="T20" s="707">
        <v>17799</v>
      </c>
      <c r="U20" s="730">
        <f t="shared" si="6"/>
        <v>23</v>
      </c>
      <c r="V20" s="427">
        <f t="shared" si="19"/>
        <v>156.4</v>
      </c>
      <c r="W20" s="706"/>
      <c r="X20" s="712">
        <v>27490</v>
      </c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/>
      <c r="AC20" s="695">
        <f t="shared" si="11"/>
        <v>-48088</v>
      </c>
      <c r="AD20" s="697">
        <v>212981</v>
      </c>
      <c r="AE20" s="178">
        <f t="shared" si="15"/>
        <v>65</v>
      </c>
      <c r="AF20" s="724">
        <f>'Lpg (2)'!B24*2000/85</f>
        <v>94.117647058823536</v>
      </c>
      <c r="AG20" s="266">
        <f>'Lpg (2)'!C24*1000/85</f>
        <v>1000</v>
      </c>
      <c r="AH20" s="737">
        <f>'Lpg (2)'!D24*1000/85</f>
        <v>1000</v>
      </c>
      <c r="AI20" s="727">
        <f t="shared" si="18"/>
        <v>2188235.2941176472</v>
      </c>
      <c r="AJ20" s="428">
        <f t="shared" si="4"/>
        <v>47058.823529411573</v>
      </c>
      <c r="AK20" s="132"/>
    </row>
    <row r="21" spans="1:37" ht="18.75">
      <c r="A21" s="758">
        <f>Gen!A26</f>
        <v>44271</v>
      </c>
      <c r="B21" s="425">
        <f>'Summery Report'!E20</f>
        <v>0</v>
      </c>
      <c r="C21" s="763">
        <f>Gen!B26</f>
        <v>0</v>
      </c>
      <c r="D21" s="725">
        <f>'Summery Report'!E20</f>
        <v>0</v>
      </c>
      <c r="E21" s="725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5">
        <f>Gen!C26</f>
        <v>40033.94</v>
      </c>
      <c r="I21" s="725">
        <f>Gen!E26</f>
        <v>0</v>
      </c>
      <c r="J21" s="764">
        <f>Gen!T26</f>
        <v>0</v>
      </c>
      <c r="K21" s="769">
        <f>Gen!AK26</f>
        <v>0</v>
      </c>
      <c r="L21" s="760">
        <f t="shared" si="17"/>
        <v>0</v>
      </c>
      <c r="M21" s="448">
        <f>'Water-Meter'!K61</f>
        <v>354.39996628590768</v>
      </c>
      <c r="N21" s="720" t="str">
        <f>'Water-Meter'!E21</f>
        <v>0</v>
      </c>
      <c r="O21" s="711"/>
      <c r="P21" s="718"/>
      <c r="Q21" s="730">
        <f t="shared" si="2"/>
        <v>-19032</v>
      </c>
      <c r="R21" s="426">
        <f t="shared" si="5"/>
        <v>0</v>
      </c>
      <c r="S21" s="706"/>
      <c r="T21" s="707"/>
      <c r="U21" s="730">
        <f>T22-T20</f>
        <v>-17799</v>
      </c>
      <c r="V21" s="427">
        <f t="shared" si="19"/>
        <v>0</v>
      </c>
      <c r="W21" s="706"/>
      <c r="X21" s="712"/>
      <c r="Y21" s="730">
        <f t="shared" si="8"/>
        <v>-27490</v>
      </c>
      <c r="Z21" s="710">
        <f t="shared" si="9"/>
        <v>0</v>
      </c>
      <c r="AA21" s="717">
        <f t="shared" si="10"/>
        <v>0</v>
      </c>
      <c r="AB21" s="714"/>
      <c r="AC21" s="695">
        <f t="shared" si="11"/>
        <v>0</v>
      </c>
      <c r="AD21" s="697"/>
      <c r="AE21" s="178">
        <f t="shared" si="15"/>
        <v>-212981</v>
      </c>
      <c r="AF21" s="724">
        <f>'Lpg (2)'!B25*2000/85</f>
        <v>47.058823529411768</v>
      </c>
      <c r="AG21" s="266">
        <f>'Lpg (2)'!C25*1000/85</f>
        <v>1000</v>
      </c>
      <c r="AH21" s="737">
        <f>'Lpg (2)'!D25*1000/85</f>
        <v>1000</v>
      </c>
      <c r="AI21" s="727">
        <f t="shared" si="18"/>
        <v>2094117.6470588236</v>
      </c>
      <c r="AJ21" s="428">
        <f t="shared" si="4"/>
        <v>94117.647058823612</v>
      </c>
      <c r="AK21" s="132"/>
    </row>
    <row r="22" spans="1:37" ht="18.75">
      <c r="A22" s="758">
        <f>Gen!A27</f>
        <v>44272</v>
      </c>
      <c r="B22" s="425">
        <f>'Summery Report'!E21</f>
        <v>0</v>
      </c>
      <c r="C22" s="763">
        <f>Gen!B27</f>
        <v>0</v>
      </c>
      <c r="D22" s="725">
        <f>'Summery Report'!E21</f>
        <v>0</v>
      </c>
      <c r="E22" s="725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5">
        <f>Gen!C27</f>
        <v>40033.94</v>
      </c>
      <c r="I22" s="725">
        <f>Gen!E27</f>
        <v>0</v>
      </c>
      <c r="J22" s="764">
        <f>Gen!T27</f>
        <v>0</v>
      </c>
      <c r="K22" s="769">
        <f>Gen!AK27</f>
        <v>0</v>
      </c>
      <c r="L22" s="760">
        <f t="shared" si="17"/>
        <v>0</v>
      </c>
      <c r="M22" s="448">
        <f>'Water-Meter'!K62</f>
        <v>0</v>
      </c>
      <c r="N22" s="720">
        <f>'Water-Meter'!E22</f>
        <v>0</v>
      </c>
      <c r="O22" s="711"/>
      <c r="P22" s="718"/>
      <c r="Q22" s="730">
        <f t="shared" si="2"/>
        <v>0</v>
      </c>
      <c r="R22" s="426">
        <f t="shared" si="5"/>
        <v>0</v>
      </c>
      <c r="S22" s="706"/>
      <c r="T22" s="707"/>
      <c r="U22" s="730">
        <f t="shared" ref="U22:U23" si="20">T23-T21</f>
        <v>0</v>
      </c>
      <c r="V22" s="427">
        <f t="shared" si="19"/>
        <v>0</v>
      </c>
      <c r="W22" s="706"/>
      <c r="X22" s="712"/>
      <c r="Y22" s="730">
        <f t="shared" si="8"/>
        <v>0</v>
      </c>
      <c r="Z22" s="710">
        <f t="shared" si="9"/>
        <v>0</v>
      </c>
      <c r="AA22" s="717">
        <f t="shared" si="10"/>
        <v>0</v>
      </c>
      <c r="AB22" s="714"/>
      <c r="AC22" s="695">
        <f t="shared" si="11"/>
        <v>0</v>
      </c>
      <c r="AD22" s="697"/>
      <c r="AE22" s="178">
        <f t="shared" si="15"/>
        <v>0</v>
      </c>
      <c r="AF22" s="724">
        <f>'Lpg (2)'!B26*2000/85</f>
        <v>0</v>
      </c>
      <c r="AG22" s="266">
        <f>'Lpg (2)'!C26*1000/85</f>
        <v>0</v>
      </c>
      <c r="AH22" s="737">
        <f>'Lpg (2)'!D26*1000/85</f>
        <v>0</v>
      </c>
      <c r="AI22" s="727">
        <f t="shared" si="18"/>
        <v>0</v>
      </c>
      <c r="AJ22" s="428">
        <f t="shared" si="4"/>
        <v>2094117.6470588236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40033.94</v>
      </c>
      <c r="I23" s="725">
        <f>Gen!E28</f>
        <v>0</v>
      </c>
      <c r="J23" s="764">
        <f>Gen!T28</f>
        <v>0</v>
      </c>
      <c r="K23" s="769">
        <f>Gen!AK28</f>
        <v>0</v>
      </c>
      <c r="L23" s="760">
        <f t="shared" si="17"/>
        <v>0</v>
      </c>
      <c r="M23" s="448">
        <f>'Water-Meter'!K63</f>
        <v>0</v>
      </c>
      <c r="N23" s="720">
        <f>'Water-Meter'!E23</f>
        <v>0</v>
      </c>
      <c r="O23" s="711"/>
      <c r="P23" s="718"/>
      <c r="Q23" s="730">
        <f t="shared" si="2"/>
        <v>0</v>
      </c>
      <c r="R23" s="426">
        <f t="shared" si="5"/>
        <v>0</v>
      </c>
      <c r="S23" s="706"/>
      <c r="T23" s="707"/>
      <c r="U23" s="730">
        <f t="shared" si="20"/>
        <v>0</v>
      </c>
      <c r="V23" s="427">
        <f t="shared" si="19"/>
        <v>0</v>
      </c>
      <c r="W23" s="706"/>
      <c r="X23" s="712"/>
      <c r="Y23" s="730">
        <f t="shared" si="8"/>
        <v>0</v>
      </c>
      <c r="Z23" s="710">
        <f t="shared" si="9"/>
        <v>0</v>
      </c>
      <c r="AA23" s="717">
        <f t="shared" si="10"/>
        <v>0</v>
      </c>
      <c r="AB23" s="714"/>
      <c r="AC23" s="695">
        <f t="shared" si="11"/>
        <v>0</v>
      </c>
      <c r="AD23" s="698"/>
      <c r="AE23" s="178">
        <f t="shared" si="15"/>
        <v>0</v>
      </c>
      <c r="AF23" s="724">
        <f>'Lpg (2)'!B27*2000/85</f>
        <v>0</v>
      </c>
      <c r="AG23" s="266">
        <f>'Lpg (2)'!C27*1000/85</f>
        <v>0</v>
      </c>
      <c r="AH23" s="737">
        <f>'Lpg (2)'!D27*1000/85</f>
        <v>0</v>
      </c>
      <c r="AI23" s="727">
        <f t="shared" si="18"/>
        <v>0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40033.94</v>
      </c>
      <c r="I24" s="725">
        <f>Gen!E29</f>
        <v>0</v>
      </c>
      <c r="J24" s="764">
        <f>Gen!T29</f>
        <v>0</v>
      </c>
      <c r="K24" s="769">
        <f>Gen!AK29</f>
        <v>0</v>
      </c>
      <c r="L24" s="760">
        <f t="shared" si="17"/>
        <v>0</v>
      </c>
      <c r="M24" s="448">
        <f>'Water-Meter'!K64</f>
        <v>0</v>
      </c>
      <c r="N24" s="720">
        <f>'Water-Meter'!E24</f>
        <v>0</v>
      </c>
      <c r="O24" s="711"/>
      <c r="P24" s="718"/>
      <c r="Q24" s="730">
        <f t="shared" si="2"/>
        <v>0</v>
      </c>
      <c r="R24" s="426">
        <f t="shared" si="5"/>
        <v>0</v>
      </c>
      <c r="S24" s="706"/>
      <c r="T24" s="707"/>
      <c r="U24" s="730">
        <f t="shared" si="6"/>
        <v>0</v>
      </c>
      <c r="V24" s="427">
        <f t="shared" si="19"/>
        <v>0</v>
      </c>
      <c r="W24" s="706"/>
      <c r="X24" s="712"/>
      <c r="Y24" s="730">
        <f t="shared" si="8"/>
        <v>0</v>
      </c>
      <c r="Z24" s="710">
        <f t="shared" si="9"/>
        <v>0</v>
      </c>
      <c r="AA24" s="717">
        <f t="shared" si="10"/>
        <v>0</v>
      </c>
      <c r="AB24" s="714"/>
      <c r="AC24" s="695">
        <f t="shared" si="11"/>
        <v>0</v>
      </c>
      <c r="AD24" s="698"/>
      <c r="AE24" s="178">
        <f t="shared" si="15"/>
        <v>0</v>
      </c>
      <c r="AF24" s="724">
        <f>'Lpg (2)'!B28*2000/85</f>
        <v>0</v>
      </c>
      <c r="AG24" s="266">
        <f>'Lpg (2)'!C28*1000/85</f>
        <v>0</v>
      </c>
      <c r="AH24" s="737">
        <f>'Lpg (2)'!D28*1000/85</f>
        <v>0</v>
      </c>
      <c r="AI24" s="727">
        <f t="shared" si="18"/>
        <v>0</v>
      </c>
      <c r="AJ24" s="428">
        <f t="shared" si="4"/>
        <v>0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40033.94</v>
      </c>
      <c r="I25" s="725">
        <f>Gen!E30</f>
        <v>0</v>
      </c>
      <c r="J25" s="764">
        <f>Gen!T30</f>
        <v>0</v>
      </c>
      <c r="K25" s="769">
        <f>Gen!AK30</f>
        <v>0</v>
      </c>
      <c r="L25" s="760">
        <f t="shared" si="17"/>
        <v>0</v>
      </c>
      <c r="M25" s="448">
        <f>'Water-Meter'!K65</f>
        <v>0</v>
      </c>
      <c r="N25" s="720">
        <f>'Water-Meter'!E25</f>
        <v>0</v>
      </c>
      <c r="O25" s="711"/>
      <c r="P25" s="718"/>
      <c r="Q25" s="730">
        <f t="shared" si="2"/>
        <v>0</v>
      </c>
      <c r="R25" s="426">
        <f t="shared" si="5"/>
        <v>0</v>
      </c>
      <c r="S25" s="706"/>
      <c r="T25" s="707"/>
      <c r="U25" s="730">
        <f t="shared" si="6"/>
        <v>0</v>
      </c>
      <c r="V25" s="427">
        <f t="shared" si="19"/>
        <v>0</v>
      </c>
      <c r="W25" s="706"/>
      <c r="X25" s="712"/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/>
      <c r="AC25" s="695">
        <f t="shared" si="11"/>
        <v>0</v>
      </c>
      <c r="AD25" s="698"/>
      <c r="AE25" s="178">
        <f t="shared" si="15"/>
        <v>0</v>
      </c>
      <c r="AF25" s="724">
        <f>'Lpg (2)'!B29*2000/85</f>
        <v>0</v>
      </c>
      <c r="AG25" s="266">
        <f>'Lpg (2)'!C29*1000/85</f>
        <v>0</v>
      </c>
      <c r="AH25" s="737">
        <f>'Lpg (2)'!D29*1000/85</f>
        <v>0</v>
      </c>
      <c r="AI25" s="727">
        <f t="shared" si="18"/>
        <v>0</v>
      </c>
      <c r="AJ25" s="428">
        <f t="shared" si="4"/>
        <v>0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40033.94</v>
      </c>
      <c r="I26" s="725">
        <f>Gen!E31</f>
        <v>0</v>
      </c>
      <c r="J26" s="764">
        <f>Gen!T31</f>
        <v>0</v>
      </c>
      <c r="K26" s="769">
        <f>Gen!AK31</f>
        <v>0</v>
      </c>
      <c r="L26" s="760">
        <f t="shared" si="17"/>
        <v>0</v>
      </c>
      <c r="M26" s="448">
        <f>'Water-Meter'!K66</f>
        <v>0</v>
      </c>
      <c r="N26" s="720">
        <f>'Water-Meter'!E26</f>
        <v>0</v>
      </c>
      <c r="O26" s="711"/>
      <c r="P26" s="718"/>
      <c r="Q26" s="730">
        <f t="shared" si="2"/>
        <v>0</v>
      </c>
      <c r="R26" s="426">
        <f t="shared" si="5"/>
        <v>0</v>
      </c>
      <c r="S26" s="706"/>
      <c r="T26" s="707"/>
      <c r="U26" s="730">
        <f t="shared" si="6"/>
        <v>0</v>
      </c>
      <c r="V26" s="427">
        <f t="shared" si="19"/>
        <v>0</v>
      </c>
      <c r="W26" s="706"/>
      <c r="X26" s="712"/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/>
      <c r="AC26" s="695">
        <f t="shared" si="11"/>
        <v>0</v>
      </c>
      <c r="AD26" s="698"/>
      <c r="AE26" s="178">
        <f t="shared" si="15"/>
        <v>0</v>
      </c>
      <c r="AF26" s="724">
        <f>'Lpg (2)'!B30*2000/85</f>
        <v>0</v>
      </c>
      <c r="AG26" s="266">
        <f>'Lpg (2)'!C30*1000/85</f>
        <v>0</v>
      </c>
      <c r="AH26" s="737">
        <f>'Lpg (2)'!D30*1000/85</f>
        <v>0</v>
      </c>
      <c r="AI26" s="727">
        <f t="shared" si="18"/>
        <v>0</v>
      </c>
      <c r="AJ26" s="428">
        <f t="shared" si="4"/>
        <v>0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40033.94</v>
      </c>
      <c r="I27" s="725">
        <f>Gen!E32</f>
        <v>0</v>
      </c>
      <c r="J27" s="764">
        <f>Gen!T32</f>
        <v>0</v>
      </c>
      <c r="K27" s="769">
        <f>Gen!AK32</f>
        <v>0</v>
      </c>
      <c r="L27" s="760">
        <f t="shared" si="17"/>
        <v>0</v>
      </c>
      <c r="M27" s="448">
        <f>'Water-Meter'!K67</f>
        <v>0</v>
      </c>
      <c r="N27" s="720">
        <f>'Water-Meter'!E27</f>
        <v>0</v>
      </c>
      <c r="O27" s="711"/>
      <c r="P27" s="718"/>
      <c r="Q27" s="730">
        <f t="shared" si="2"/>
        <v>0</v>
      </c>
      <c r="R27" s="426">
        <f t="shared" si="5"/>
        <v>0</v>
      </c>
      <c r="S27" s="706"/>
      <c r="T27" s="707"/>
      <c r="U27" s="730">
        <f t="shared" si="6"/>
        <v>0</v>
      </c>
      <c r="V27" s="427">
        <f t="shared" si="19"/>
        <v>0</v>
      </c>
      <c r="W27" s="706"/>
      <c r="X27" s="712"/>
      <c r="Y27" s="730">
        <f t="shared" si="8"/>
        <v>0</v>
      </c>
      <c r="Z27" s="710">
        <f t="shared" si="9"/>
        <v>0</v>
      </c>
      <c r="AA27" s="717">
        <f t="shared" si="10"/>
        <v>0</v>
      </c>
      <c r="AB27" s="714"/>
      <c r="AC27" s="695">
        <f t="shared" si="11"/>
        <v>0</v>
      </c>
      <c r="AD27" s="698"/>
      <c r="AE27" s="178">
        <f t="shared" si="15"/>
        <v>0</v>
      </c>
      <c r="AF27" s="724">
        <f>'Lpg (2)'!B31*2000/85</f>
        <v>0</v>
      </c>
      <c r="AG27" s="266">
        <f>'Lpg (2)'!C31*1000/85</f>
        <v>0</v>
      </c>
      <c r="AH27" s="737">
        <f>'Lpg (2)'!D31*1000/85</f>
        <v>0</v>
      </c>
      <c r="AI27" s="727">
        <f t="shared" si="18"/>
        <v>0</v>
      </c>
      <c r="AJ27" s="428">
        <f t="shared" si="4"/>
        <v>0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40033.94</v>
      </c>
      <c r="I28" s="725">
        <f>Gen!E33</f>
        <v>0</v>
      </c>
      <c r="J28" s="764">
        <f>Gen!T33</f>
        <v>0</v>
      </c>
      <c r="K28" s="769">
        <f>Gen!AK33</f>
        <v>0</v>
      </c>
      <c r="L28" s="760">
        <f t="shared" si="17"/>
        <v>0</v>
      </c>
      <c r="M28" s="448">
        <f>'Water-Meter'!K68</f>
        <v>0</v>
      </c>
      <c r="N28" s="720">
        <f>'Water-Meter'!E28</f>
        <v>0</v>
      </c>
      <c r="O28" s="711"/>
      <c r="P28" s="718"/>
      <c r="Q28" s="730">
        <f t="shared" si="2"/>
        <v>0</v>
      </c>
      <c r="R28" s="426">
        <f t="shared" si="5"/>
        <v>0</v>
      </c>
      <c r="S28" s="706"/>
      <c r="T28" s="707"/>
      <c r="U28" s="730">
        <f t="shared" si="6"/>
        <v>0</v>
      </c>
      <c r="V28" s="427">
        <f t="shared" si="19"/>
        <v>0</v>
      </c>
      <c r="W28" s="706"/>
      <c r="X28" s="712"/>
      <c r="Y28" s="730">
        <f t="shared" si="8"/>
        <v>0</v>
      </c>
      <c r="Z28" s="710">
        <f t="shared" si="9"/>
        <v>0</v>
      </c>
      <c r="AA28" s="717">
        <f t="shared" si="10"/>
        <v>0</v>
      </c>
      <c r="AB28" s="714"/>
      <c r="AC28" s="695">
        <f t="shared" ref="AC28:AC37" si="21">SUM(AB28-AB27)</f>
        <v>0</v>
      </c>
      <c r="AD28" s="698"/>
      <c r="AE28" s="178">
        <f t="shared" si="15"/>
        <v>0</v>
      </c>
      <c r="AF28" s="724">
        <f>'Lpg (2)'!B32*2000/85</f>
        <v>0</v>
      </c>
      <c r="AG28" s="266">
        <f>'Lpg (2)'!C32*1000/85</f>
        <v>0</v>
      </c>
      <c r="AH28" s="737">
        <f>'Lpg (2)'!D32*1000/85</f>
        <v>0</v>
      </c>
      <c r="AI28" s="727">
        <f t="shared" si="18"/>
        <v>0</v>
      </c>
      <c r="AJ28" s="428">
        <f t="shared" si="4"/>
        <v>0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40033.94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0</v>
      </c>
      <c r="N29" s="720">
        <f>'Water-Meter'!E29</f>
        <v>0</v>
      </c>
      <c r="O29" s="711"/>
      <c r="P29" s="718"/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0</v>
      </c>
      <c r="V29" s="427">
        <f t="shared" si="19"/>
        <v>0</v>
      </c>
      <c r="W29" s="706"/>
      <c r="X29" s="712"/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0</v>
      </c>
      <c r="AD29" s="698"/>
      <c r="AE29" s="178">
        <f t="shared" si="15"/>
        <v>0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0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40033.94</v>
      </c>
      <c r="I30" s="725">
        <f>Gen!E35</f>
        <v>18000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/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40033.94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/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40033.94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/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40033.94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/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40033.94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/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40033.94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/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40033.94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/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43429</v>
      </c>
      <c r="K37" s="775"/>
      <c r="L37" s="761">
        <f t="shared" si="17"/>
        <v>43429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0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2" sqref="W2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4" t="s">
        <v>150</v>
      </c>
      <c r="C1" s="875"/>
      <c r="D1" s="875"/>
      <c r="E1" s="875"/>
      <c r="F1" s="876"/>
      <c r="G1" s="157"/>
      <c r="H1" s="874" t="s">
        <v>151</v>
      </c>
      <c r="I1" s="875"/>
      <c r="J1" s="875"/>
      <c r="K1" s="875"/>
      <c r="L1" s="876"/>
      <c r="M1" s="874" t="s">
        <v>170</v>
      </c>
      <c r="N1" s="875"/>
      <c r="O1" s="875"/>
      <c r="P1" s="875"/>
      <c r="Q1" s="876"/>
      <c r="R1" s="157"/>
      <c r="T1" s="874" t="s">
        <v>166</v>
      </c>
      <c r="U1" s="875"/>
      <c r="V1" s="875"/>
      <c r="W1" s="875"/>
      <c r="X1" s="876"/>
      <c r="Y1" s="874" t="s">
        <v>169</v>
      </c>
      <c r="Z1" s="875"/>
      <c r="AA1" s="875"/>
      <c r="AB1" s="875"/>
      <c r="AC1" s="876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7" t="s">
        <v>156</v>
      </c>
      <c r="C3" s="878"/>
      <c r="D3" s="166"/>
      <c r="E3" s="578">
        <v>9136.6</v>
      </c>
      <c r="F3" s="585" t="s">
        <v>157</v>
      </c>
      <c r="G3" s="586"/>
      <c r="H3" s="877" t="s">
        <v>156</v>
      </c>
      <c r="I3" s="878"/>
      <c r="J3" s="612">
        <f>'Water-Meter'!G5</f>
        <v>0</v>
      </c>
      <c r="K3" s="587">
        <f>'Water-Meter'!G5</f>
        <v>0</v>
      </c>
      <c r="L3" s="241"/>
      <c r="M3" s="877" t="s">
        <v>156</v>
      </c>
      <c r="N3" s="878"/>
      <c r="O3" s="166"/>
      <c r="P3" s="588">
        <f>'Water-Meter'!J5</f>
        <v>8294</v>
      </c>
      <c r="Q3" s="165"/>
      <c r="R3" s="241"/>
      <c r="S3" s="641"/>
      <c r="T3" s="877" t="s">
        <v>156</v>
      </c>
      <c r="U3" s="878"/>
      <c r="V3" s="166"/>
      <c r="W3" s="579">
        <v>8028.6</v>
      </c>
      <c r="X3" s="589">
        <f t="shared" ref="X3:X35" si="0">(W3-V3)*200</f>
        <v>1605720</v>
      </c>
      <c r="Y3" s="877" t="s">
        <v>156</v>
      </c>
      <c r="Z3" s="878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0.01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0.01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3.9E-2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0.1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0.1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0.13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0.14000000000000001</v>
      </c>
      <c r="B13" s="593">
        <f>Gen!A20</f>
        <v>44265</v>
      </c>
      <c r="C13" s="577"/>
      <c r="D13" s="582">
        <f t="shared" si="1"/>
        <v>9155.6</v>
      </c>
      <c r="E13" s="578">
        <v>9157.7999999999993</v>
      </c>
      <c r="F13" s="582">
        <f t="shared" si="2"/>
        <v>263.99999999986903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8316</v>
      </c>
      <c r="Q13" s="577">
        <f t="shared" si="8"/>
        <v>0</v>
      </c>
      <c r="R13" s="627">
        <f t="shared" si="4"/>
        <v>0</v>
      </c>
      <c r="S13" s="628">
        <f>Gen!T20</f>
        <v>2712</v>
      </c>
      <c r="T13" s="629">
        <f t="shared" si="9"/>
        <v>44265</v>
      </c>
      <c r="U13" s="577"/>
      <c r="V13" s="582">
        <f t="shared" si="5"/>
        <v>8040.5</v>
      </c>
      <c r="W13" s="579">
        <v>8041.6</v>
      </c>
      <c r="X13" s="582">
        <f t="shared" si="0"/>
        <v>220.00000000007276</v>
      </c>
      <c r="Y13" s="624">
        <f t="shared" si="10"/>
        <v>44265</v>
      </c>
      <c r="Z13" s="577"/>
      <c r="AA13" s="577"/>
      <c r="AB13" s="581">
        <f>'Water-Meter'!P15</f>
        <v>21032</v>
      </c>
      <c r="AC13" s="634">
        <f t="shared" si="11"/>
        <v>-21028</v>
      </c>
    </row>
    <row r="14" spans="1:29" ht="19.5" thickBot="1">
      <c r="A14" s="643">
        <f>Gen!B21</f>
        <v>0.1</v>
      </c>
      <c r="B14" s="593">
        <f>Gen!A21</f>
        <v>44266</v>
      </c>
      <c r="C14" s="577"/>
      <c r="D14" s="582">
        <f t="shared" si="1"/>
        <v>9157.7999999999993</v>
      </c>
      <c r="E14" s="578">
        <v>9159.9</v>
      </c>
      <c r="F14" s="582">
        <f t="shared" si="2"/>
        <v>252.00000000004366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8318</v>
      </c>
      <c r="Q14" s="577">
        <v>8095</v>
      </c>
      <c r="R14" s="627">
        <f t="shared" si="4"/>
        <v>5.0123839009287927</v>
      </c>
      <c r="S14" s="628">
        <f>Gen!T21</f>
        <v>3220</v>
      </c>
      <c r="T14" s="629">
        <f t="shared" si="9"/>
        <v>44266</v>
      </c>
      <c r="U14" s="577"/>
      <c r="V14" s="582">
        <f t="shared" si="5"/>
        <v>8041.6</v>
      </c>
      <c r="W14" s="579">
        <v>8042.8</v>
      </c>
      <c r="X14" s="582">
        <f t="shared" si="0"/>
        <v>239.99999999996362</v>
      </c>
      <c r="Y14" s="624">
        <f t="shared" si="10"/>
        <v>44266</v>
      </c>
      <c r="Z14" s="577"/>
      <c r="AA14" s="577"/>
      <c r="AB14" s="581">
        <f>'Water-Meter'!P16</f>
        <v>21035</v>
      </c>
      <c r="AC14" s="634">
        <v>20490</v>
      </c>
    </row>
    <row r="15" spans="1:29" ht="19.5" thickBot="1">
      <c r="A15" s="643">
        <f>Gen!B22</f>
        <v>0.13</v>
      </c>
      <c r="B15" s="593">
        <f>Gen!A22</f>
        <v>44267</v>
      </c>
      <c r="C15" s="577"/>
      <c r="D15" s="582">
        <f t="shared" si="1"/>
        <v>9159.9</v>
      </c>
      <c r="E15" s="578">
        <v>9162</v>
      </c>
      <c r="F15" s="582">
        <f t="shared" si="2"/>
        <v>252.00000000004366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8320</v>
      </c>
      <c r="Q15" s="577">
        <f t="shared" si="8"/>
        <v>0</v>
      </c>
      <c r="R15" s="627">
        <f t="shared" si="4"/>
        <v>0</v>
      </c>
      <c r="S15" s="628">
        <f>Gen!T22</f>
        <v>3248</v>
      </c>
      <c r="T15" s="629">
        <f t="shared" si="9"/>
        <v>44267</v>
      </c>
      <c r="U15" s="577"/>
      <c r="V15" s="582">
        <f t="shared" si="5"/>
        <v>8042.8</v>
      </c>
      <c r="W15" s="579">
        <v>8044.4</v>
      </c>
      <c r="X15" s="582">
        <f t="shared" si="0"/>
        <v>319.99999999989086</v>
      </c>
      <c r="Y15" s="624">
        <f t="shared" si="10"/>
        <v>44267</v>
      </c>
      <c r="Z15" s="577"/>
      <c r="AA15" s="577"/>
      <c r="AB15" s="581">
        <f>'Water-Meter'!P17</f>
        <v>21037</v>
      </c>
      <c r="AC15" s="634">
        <f t="shared" si="11"/>
        <v>-21035</v>
      </c>
    </row>
    <row r="16" spans="1:29" ht="19.5" thickBot="1">
      <c r="A16" s="643">
        <f>Gen!B23</f>
        <v>0.17</v>
      </c>
      <c r="B16" s="593">
        <f>Gen!A23</f>
        <v>44268</v>
      </c>
      <c r="C16" s="577"/>
      <c r="D16" s="582">
        <f t="shared" si="1"/>
        <v>9162</v>
      </c>
      <c r="E16" s="578">
        <v>9164.1</v>
      </c>
      <c r="F16" s="582">
        <f>SUM(E16-D16)*120</f>
        <v>252.00000000004366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8322</v>
      </c>
      <c r="Q16" s="577">
        <f t="shared" si="8"/>
        <v>0</v>
      </c>
      <c r="R16" s="627">
        <f t="shared" si="4"/>
        <v>0</v>
      </c>
      <c r="S16" s="628">
        <f>Gen!T23</f>
        <v>3154</v>
      </c>
      <c r="T16" s="629">
        <f t="shared" si="9"/>
        <v>44268</v>
      </c>
      <c r="U16" s="577"/>
      <c r="V16" s="582">
        <f t="shared" si="5"/>
        <v>8044.4</v>
      </c>
      <c r="W16" s="579">
        <v>8045.5</v>
      </c>
      <c r="X16" s="582">
        <f t="shared" si="0"/>
        <v>220.00000000007276</v>
      </c>
      <c r="Y16" s="624">
        <f t="shared" si="10"/>
        <v>44268</v>
      </c>
      <c r="Z16" s="577"/>
      <c r="AA16" s="577"/>
      <c r="AB16" s="581">
        <f>'Water-Meter'!P18</f>
        <v>21043</v>
      </c>
      <c r="AC16" s="634">
        <f t="shared" si="11"/>
        <v>-21037</v>
      </c>
    </row>
    <row r="17" spans="1:29" ht="19.5" thickBot="1">
      <c r="A17" s="643">
        <f>Gen!B24</f>
        <v>0.14000000000000001</v>
      </c>
      <c r="B17" s="593">
        <f>Gen!A24</f>
        <v>44269</v>
      </c>
      <c r="C17" s="577"/>
      <c r="D17" s="582">
        <f t="shared" si="1"/>
        <v>9164.1</v>
      </c>
      <c r="E17" s="578">
        <v>9166.4</v>
      </c>
      <c r="F17" s="582">
        <f>SUM(E17-D17)*120</f>
        <v>275.99999999991269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8324</v>
      </c>
      <c r="Q17" s="577">
        <f t="shared" si="8"/>
        <v>0</v>
      </c>
      <c r="R17" s="627">
        <f t="shared" si="4"/>
        <v>0</v>
      </c>
      <c r="S17" s="628">
        <f>Gen!T24</f>
        <v>3356</v>
      </c>
      <c r="T17" s="629">
        <f t="shared" si="9"/>
        <v>44269</v>
      </c>
      <c r="U17" s="577"/>
      <c r="V17" s="582">
        <f t="shared" si="5"/>
        <v>8045.5</v>
      </c>
      <c r="W17" s="579">
        <v>8047.3</v>
      </c>
      <c r="X17" s="582">
        <f t="shared" si="0"/>
        <v>360.00000000003638</v>
      </c>
      <c r="Y17" s="624">
        <f t="shared" si="10"/>
        <v>44269</v>
      </c>
      <c r="Z17" s="577"/>
      <c r="AA17" s="577"/>
      <c r="AB17" s="581">
        <f>'Water-Meter'!P19</f>
        <v>21049</v>
      </c>
      <c r="AC17" s="634">
        <f t="shared" si="11"/>
        <v>-21043</v>
      </c>
    </row>
    <row r="18" spans="1:29" ht="19.5" thickBot="1">
      <c r="A18" s="643">
        <f>Gen!B25</f>
        <v>0</v>
      </c>
      <c r="B18" s="593">
        <f>Gen!A25</f>
        <v>44270</v>
      </c>
      <c r="C18" s="577"/>
      <c r="D18" s="582">
        <f t="shared" si="1"/>
        <v>9166.4</v>
      </c>
      <c r="E18" s="578">
        <v>9168.5</v>
      </c>
      <c r="F18" s="582">
        <f t="shared" ref="F18:F22" si="12">SUM(E18-D18)*120</f>
        <v>252.00000000004366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8328</v>
      </c>
      <c r="P18" s="581">
        <f>'Water-Meter'!J20</f>
        <v>8328</v>
      </c>
      <c r="Q18" s="577">
        <f t="shared" si="8"/>
        <v>0</v>
      </c>
      <c r="R18" s="627">
        <f t="shared" si="4"/>
        <v>0</v>
      </c>
      <c r="S18" s="628">
        <f>Gen!T25</f>
        <v>3251</v>
      </c>
      <c r="T18" s="629">
        <f t="shared" si="9"/>
        <v>44270</v>
      </c>
      <c r="U18" s="577"/>
      <c r="V18" s="582">
        <f t="shared" si="5"/>
        <v>8047.3</v>
      </c>
      <c r="W18" s="579">
        <v>8049.3</v>
      </c>
      <c r="X18" s="582">
        <f t="shared" si="0"/>
        <v>400</v>
      </c>
      <c r="Y18" s="624">
        <f t="shared" si="10"/>
        <v>44270</v>
      </c>
      <c r="Z18" s="577"/>
      <c r="AA18" s="577"/>
      <c r="AB18" s="581">
        <f>'Water-Meter'!P20</f>
        <v>21055</v>
      </c>
      <c r="AC18" s="634">
        <f t="shared" si="11"/>
        <v>-21049</v>
      </c>
    </row>
    <row r="19" spans="1:29" ht="19.5" thickBot="1">
      <c r="A19" s="643">
        <f>Gen!B26</f>
        <v>0</v>
      </c>
      <c r="B19" s="593">
        <f>Gen!A26</f>
        <v>44271</v>
      </c>
      <c r="C19" s="580"/>
      <c r="D19" s="582">
        <f t="shared" si="1"/>
        <v>9168.5</v>
      </c>
      <c r="E19" s="578"/>
      <c r="F19" s="582">
        <f t="shared" si="12"/>
        <v>-1100220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0</v>
      </c>
      <c r="P19" s="581">
        <f>'Water-Meter'!J21</f>
        <v>0</v>
      </c>
      <c r="Q19" s="577">
        <f t="shared" si="8"/>
        <v>-8328</v>
      </c>
      <c r="R19" s="627">
        <f t="shared" si="4"/>
        <v>-5.1566563467492257</v>
      </c>
      <c r="S19" s="628">
        <f>Gen!T26</f>
        <v>0</v>
      </c>
      <c r="T19" s="629">
        <f t="shared" si="9"/>
        <v>44271</v>
      </c>
      <c r="U19" s="580"/>
      <c r="V19" s="582">
        <f t="shared" si="5"/>
        <v>8049.3</v>
      </c>
      <c r="W19" s="579"/>
      <c r="X19" s="582">
        <f t="shared" si="0"/>
        <v>-1609860</v>
      </c>
      <c r="Y19" s="624">
        <f t="shared" si="10"/>
        <v>44271</v>
      </c>
      <c r="Z19" s="580"/>
      <c r="AA19" s="577"/>
      <c r="AB19" s="581">
        <f>'Water-Meter'!P21</f>
        <v>0</v>
      </c>
      <c r="AC19" s="634">
        <f t="shared" si="11"/>
        <v>-21055</v>
      </c>
    </row>
    <row r="20" spans="1:29" ht="19.5" thickBot="1">
      <c r="A20" s="643">
        <f>Gen!B27</f>
        <v>0</v>
      </c>
      <c r="B20" s="593">
        <f>Gen!A27</f>
        <v>44272</v>
      </c>
      <c r="C20" s="580"/>
      <c r="D20" s="582">
        <f t="shared" si="1"/>
        <v>0</v>
      </c>
      <c r="E20" s="578"/>
      <c r="F20" s="582">
        <f t="shared" si="12"/>
        <v>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0</v>
      </c>
      <c r="P20" s="581">
        <f>'Water-Meter'!J22</f>
        <v>0</v>
      </c>
      <c r="Q20" s="577">
        <f t="shared" si="8"/>
        <v>0</v>
      </c>
      <c r="R20" s="627">
        <f t="shared" si="4"/>
        <v>0</v>
      </c>
      <c r="S20" s="628">
        <f>Gen!T27</f>
        <v>0</v>
      </c>
      <c r="T20" s="629">
        <f t="shared" si="9"/>
        <v>44272</v>
      </c>
      <c r="U20" s="580"/>
      <c r="V20" s="582">
        <f t="shared" si="5"/>
        <v>0</v>
      </c>
      <c r="W20" s="579"/>
      <c r="X20" s="582">
        <f t="shared" si="0"/>
        <v>0</v>
      </c>
      <c r="Y20" s="624">
        <f t="shared" si="10"/>
        <v>44272</v>
      </c>
      <c r="Z20" s="580"/>
      <c r="AA20" s="577"/>
      <c r="AB20" s="581">
        <f>'Water-Meter'!P22</f>
        <v>0</v>
      </c>
      <c r="AC20" s="634">
        <f t="shared" si="11"/>
        <v>0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0</v>
      </c>
      <c r="E21" s="578"/>
      <c r="F21" s="582">
        <f t="shared" si="12"/>
        <v>0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0</v>
      </c>
      <c r="P21" s="581">
        <f>'Water-Meter'!J23</f>
        <v>0</v>
      </c>
      <c r="Q21" s="577">
        <f t="shared" ref="Q21:Q35" si="13">N21-O20</f>
        <v>0</v>
      </c>
      <c r="R21" s="627">
        <f t="shared" ref="R21:R35" si="14">SUM(Q21/1615)</f>
        <v>0</v>
      </c>
      <c r="S21" s="628">
        <f>Gen!T28</f>
        <v>0</v>
      </c>
      <c r="T21" s="629">
        <f t="shared" si="9"/>
        <v>44273</v>
      </c>
      <c r="U21" s="580"/>
      <c r="V21" s="582">
        <f t="shared" si="5"/>
        <v>0</v>
      </c>
      <c r="W21" s="579"/>
      <c r="X21" s="582">
        <f t="shared" si="0"/>
        <v>0</v>
      </c>
      <c r="Y21" s="624">
        <f t="shared" si="10"/>
        <v>44273</v>
      </c>
      <c r="Z21" s="580"/>
      <c r="AA21" s="577"/>
      <c r="AB21" s="581">
        <f>'Water-Meter'!P23</f>
        <v>0</v>
      </c>
      <c r="AC21" s="634">
        <f t="shared" si="11"/>
        <v>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0</v>
      </c>
      <c r="E22" s="578"/>
      <c r="F22" s="582">
        <f t="shared" si="12"/>
        <v>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0</v>
      </c>
      <c r="P22" s="581">
        <f>'Water-Meter'!J24</f>
        <v>0</v>
      </c>
      <c r="Q22" s="577">
        <f t="shared" si="13"/>
        <v>0</v>
      </c>
      <c r="R22" s="627">
        <f t="shared" si="14"/>
        <v>0</v>
      </c>
      <c r="S22" s="628">
        <f>Gen!T29</f>
        <v>0</v>
      </c>
      <c r="T22" s="629">
        <f t="shared" si="9"/>
        <v>44274</v>
      </c>
      <c r="U22" s="577"/>
      <c r="V22" s="582">
        <f t="shared" si="5"/>
        <v>0</v>
      </c>
      <c r="W22" s="579"/>
      <c r="X22" s="582">
        <f t="shared" si="0"/>
        <v>0</v>
      </c>
      <c r="Y22" s="624">
        <f t="shared" si="10"/>
        <v>44274</v>
      </c>
      <c r="Z22" s="577"/>
      <c r="AA22" s="577"/>
      <c r="AB22" s="581">
        <f>'Water-Meter'!P24</f>
        <v>0</v>
      </c>
      <c r="AC22" s="634">
        <f t="shared" si="11"/>
        <v>0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0</v>
      </c>
      <c r="E23" s="578"/>
      <c r="F23" s="582">
        <f t="shared" ref="F23:F34" si="15">SUM(E23-D23)*120</f>
        <v>0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0</v>
      </c>
      <c r="P23" s="581">
        <f>'Water-Meter'!J25</f>
        <v>0</v>
      </c>
      <c r="Q23" s="577">
        <f t="shared" si="13"/>
        <v>0</v>
      </c>
      <c r="R23" s="627">
        <f t="shared" si="14"/>
        <v>0</v>
      </c>
      <c r="S23" s="628">
        <f>Gen!T30</f>
        <v>0</v>
      </c>
      <c r="T23" s="629">
        <f t="shared" si="9"/>
        <v>44275</v>
      </c>
      <c r="U23" s="580"/>
      <c r="V23" s="582">
        <f t="shared" si="5"/>
        <v>0</v>
      </c>
      <c r="W23" s="579"/>
      <c r="X23" s="582">
        <f t="shared" si="0"/>
        <v>0</v>
      </c>
      <c r="Y23" s="624">
        <f t="shared" si="10"/>
        <v>44275</v>
      </c>
      <c r="Z23" s="580"/>
      <c r="AA23" s="577"/>
      <c r="AB23" s="581">
        <f>'Water-Meter'!P25</f>
        <v>0</v>
      </c>
      <c r="AC23" s="634">
        <f t="shared" si="11"/>
        <v>0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0</v>
      </c>
      <c r="E24" s="578"/>
      <c r="F24" s="582">
        <f t="shared" si="15"/>
        <v>0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0</v>
      </c>
      <c r="P24" s="581">
        <f>'Water-Meter'!J26</f>
        <v>0</v>
      </c>
      <c r="Q24" s="577">
        <f t="shared" si="13"/>
        <v>0</v>
      </c>
      <c r="R24" s="627">
        <f t="shared" si="14"/>
        <v>0</v>
      </c>
      <c r="S24" s="628">
        <f>Gen!T31</f>
        <v>0</v>
      </c>
      <c r="T24" s="629">
        <f t="shared" si="9"/>
        <v>44276</v>
      </c>
      <c r="U24" s="580"/>
      <c r="V24" s="582">
        <f t="shared" si="5"/>
        <v>0</v>
      </c>
      <c r="W24" s="579"/>
      <c r="X24" s="582">
        <f t="shared" si="0"/>
        <v>0</v>
      </c>
      <c r="Y24" s="624">
        <f t="shared" si="10"/>
        <v>44276</v>
      </c>
      <c r="Z24" s="580"/>
      <c r="AA24" s="577"/>
      <c r="AB24" s="581">
        <f>'Water-Meter'!P26</f>
        <v>0</v>
      </c>
      <c r="AC24" s="634">
        <f t="shared" si="11"/>
        <v>0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0</v>
      </c>
      <c r="E25" s="578"/>
      <c r="F25" s="582">
        <f t="shared" si="15"/>
        <v>0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0</v>
      </c>
      <c r="P25" s="581">
        <f>'Water-Meter'!J27</f>
        <v>0</v>
      </c>
      <c r="Q25" s="577">
        <f t="shared" si="13"/>
        <v>0</v>
      </c>
      <c r="R25" s="627">
        <f t="shared" si="14"/>
        <v>0</v>
      </c>
      <c r="S25" s="628">
        <f>Gen!T32</f>
        <v>0</v>
      </c>
      <c r="T25" s="629">
        <f t="shared" si="9"/>
        <v>44277</v>
      </c>
      <c r="U25" s="580"/>
      <c r="V25" s="582">
        <f t="shared" si="5"/>
        <v>0</v>
      </c>
      <c r="W25" s="579"/>
      <c r="X25" s="582">
        <f t="shared" si="0"/>
        <v>0</v>
      </c>
      <c r="Y25" s="624">
        <f t="shared" si="10"/>
        <v>44277</v>
      </c>
      <c r="Z25" s="580"/>
      <c r="AA25" s="577"/>
      <c r="AB25" s="581">
        <f>'Water-Meter'!P27</f>
        <v>0</v>
      </c>
      <c r="AC25" s="634">
        <f t="shared" si="11"/>
        <v>0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0</v>
      </c>
      <c r="E26" s="578"/>
      <c r="F26" s="582">
        <f t="shared" si="15"/>
        <v>0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0</v>
      </c>
      <c r="P26" s="581">
        <f>'Water-Meter'!J28</f>
        <v>0</v>
      </c>
      <c r="Q26" s="577">
        <f t="shared" si="13"/>
        <v>0</v>
      </c>
      <c r="R26" s="627">
        <f t="shared" si="14"/>
        <v>0</v>
      </c>
      <c r="S26" s="628">
        <f>Gen!T33</f>
        <v>0</v>
      </c>
      <c r="T26" s="629">
        <f t="shared" si="9"/>
        <v>44278</v>
      </c>
      <c r="U26" s="580"/>
      <c r="V26" s="582">
        <f t="shared" si="5"/>
        <v>0</v>
      </c>
      <c r="W26" s="579"/>
      <c r="X26" s="582">
        <f t="shared" si="0"/>
        <v>0</v>
      </c>
      <c r="Y26" s="624">
        <f t="shared" si="10"/>
        <v>44278</v>
      </c>
      <c r="Z26" s="580"/>
      <c r="AA26" s="577"/>
      <c r="AB26" s="581">
        <f>'Water-Meter'!P28</f>
        <v>0</v>
      </c>
      <c r="AC26" s="634">
        <f t="shared" si="11"/>
        <v>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0</v>
      </c>
      <c r="E27" s="578"/>
      <c r="F27" s="582">
        <f t="shared" si="15"/>
        <v>0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0</v>
      </c>
      <c r="R27" s="627">
        <f t="shared" si="14"/>
        <v>0</v>
      </c>
      <c r="S27" s="628">
        <f>Gen!T34</f>
        <v>0</v>
      </c>
      <c r="T27" s="629">
        <f t="shared" si="9"/>
        <v>44279</v>
      </c>
      <c r="U27" s="580"/>
      <c r="V27" s="582">
        <f t="shared" si="5"/>
        <v>0</v>
      </c>
      <c r="W27" s="579"/>
      <c r="X27" s="582">
        <f t="shared" si="0"/>
        <v>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0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9">
        <f>A5</f>
        <v>44256</v>
      </c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879"/>
    </row>
    <row r="2" spans="1:13">
      <c r="A2" s="880"/>
      <c r="B2" s="880"/>
      <c r="C2" s="880"/>
      <c r="D2" s="880"/>
      <c r="E2" s="880"/>
      <c r="F2" s="880"/>
      <c r="G2" s="880"/>
      <c r="H2" s="880"/>
      <c r="I2" s="880"/>
      <c r="J2" s="880"/>
      <c r="K2" s="880"/>
      <c r="L2" s="880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0</v>
      </c>
      <c r="E5" s="648"/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0.01</v>
      </c>
      <c r="D6" s="434">
        <f t="shared" si="0"/>
        <v>0</v>
      </c>
      <c r="E6" s="74"/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0.01</v>
      </c>
      <c r="D7" s="434">
        <f t="shared" si="0"/>
        <v>0</v>
      </c>
      <c r="E7" s="74"/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3.9E-2</v>
      </c>
      <c r="D8" s="434">
        <f>E8</f>
        <v>0</v>
      </c>
      <c r="E8" s="74"/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0</v>
      </c>
      <c r="E9" s="74"/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0</v>
      </c>
      <c r="E10" s="74"/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0.1</v>
      </c>
      <c r="D11" s="434">
        <f t="shared" si="0"/>
        <v>0</v>
      </c>
      <c r="E11" s="74"/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0.1</v>
      </c>
      <c r="D12" s="434">
        <f t="shared" si="0"/>
        <v>0</v>
      </c>
      <c r="E12" s="74"/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>
        <f>'Daily report Gen'!Z14</f>
        <v>25</v>
      </c>
      <c r="C13" s="87">
        <f>Gen!B19</f>
        <v>0.13</v>
      </c>
      <c r="D13" s="434">
        <f t="shared" si="0"/>
        <v>0</v>
      </c>
      <c r="E13" s="74"/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0.14000000000000001</v>
      </c>
      <c r="D14" s="434">
        <f t="shared" si="0"/>
        <v>0</v>
      </c>
      <c r="E14" s="74"/>
      <c r="F14" s="70">
        <f>Gen!U20</f>
        <v>0.41823377581120946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>
        <f>'Water-Meter'!E15</f>
        <v>27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25</v>
      </c>
      <c r="C15" s="87">
        <f>Gen!B21</f>
        <v>0.1</v>
      </c>
      <c r="D15" s="434">
        <f t="shared" si="0"/>
        <v>0</v>
      </c>
      <c r="E15" s="74"/>
      <c r="F15" s="70">
        <f>Gen!U21</f>
        <v>0.39892236024844718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32353.720000000005</v>
      </c>
      <c r="K15" s="295">
        <f>'Water-Meter'!E16</f>
        <v>60</v>
      </c>
      <c r="L15" s="654">
        <f>'Lpg (2)'!G20</f>
        <v>104.58799999995391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24</v>
      </c>
      <c r="C16" s="87">
        <f>Gen!B22</f>
        <v>0.13</v>
      </c>
      <c r="D16" s="434">
        <f t="shared" si="0"/>
        <v>0</v>
      </c>
      <c r="E16" s="74"/>
      <c r="F16" s="70">
        <f>Gen!U22</f>
        <v>0.40176416256157638</v>
      </c>
      <c r="G16" s="85">
        <f>Gen!T20</f>
        <v>2712</v>
      </c>
      <c r="H16" s="85">
        <f>Gen!AK22</f>
        <v>0</v>
      </c>
      <c r="I16" s="85">
        <f t="shared" si="1"/>
        <v>2712</v>
      </c>
      <c r="J16" s="446">
        <f>Gen!C22</f>
        <v>31036.340000000004</v>
      </c>
      <c r="K16" s="295">
        <f>'Water-Meter'!E17</f>
        <v>65</v>
      </c>
      <c r="L16" s="654">
        <f>'Lpg (2)'!G21</f>
        <v>84.568000000005128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23</v>
      </c>
      <c r="C17" s="87">
        <f>Gen!B23</f>
        <v>0.17</v>
      </c>
      <c r="D17" s="434">
        <f t="shared" si="0"/>
        <v>0</v>
      </c>
      <c r="E17" s="74"/>
      <c r="F17" s="70">
        <f>Gen!U23</f>
        <v>0.41139822447685476</v>
      </c>
      <c r="G17" s="85">
        <f>Gen!T21</f>
        <v>3220</v>
      </c>
      <c r="H17" s="85">
        <f>Gen!AK23</f>
        <v>0</v>
      </c>
      <c r="I17" s="85">
        <f t="shared" si="1"/>
        <v>3220</v>
      </c>
      <c r="J17" s="446">
        <f>Gen!C23</f>
        <v>44373.790000000008</v>
      </c>
      <c r="K17" s="295">
        <f>'Water-Meter'!E18</f>
        <v>75</v>
      </c>
      <c r="L17" s="654">
        <f>'Lpg (2)'!G22</f>
        <v>79.464000000053787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25</v>
      </c>
      <c r="C18" s="87">
        <f>Gen!B24</f>
        <v>0.14000000000000001</v>
      </c>
      <c r="D18" s="434">
        <f t="shared" si="0"/>
        <v>0</v>
      </c>
      <c r="E18" s="74"/>
      <c r="F18" s="70">
        <f>Gen!U24</f>
        <v>0.40690107270560189</v>
      </c>
      <c r="G18" s="85">
        <f>Gen!T22</f>
        <v>3248</v>
      </c>
      <c r="H18" s="85">
        <f>Gen!AK24</f>
        <v>0</v>
      </c>
      <c r="I18" s="85">
        <f t="shared" si="1"/>
        <v>3248</v>
      </c>
      <c r="J18" s="446">
        <f>Gen!C24</f>
        <v>42952.210000000006</v>
      </c>
      <c r="K18" s="295">
        <f>'Water-Meter'!E19</f>
        <v>74</v>
      </c>
      <c r="L18" s="654">
        <f>'Lpg (2)'!G23</f>
        <v>79.023999999964147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25</v>
      </c>
      <c r="C19" s="87">
        <f>Gen!B25</f>
        <v>0</v>
      </c>
      <c r="D19" s="434">
        <f t="shared" si="0"/>
        <v>0</v>
      </c>
      <c r="E19" s="74"/>
      <c r="F19" s="70">
        <f>Gen!U25</f>
        <v>0.40051984004921559</v>
      </c>
      <c r="G19" s="85">
        <f>Gen!T23</f>
        <v>3154</v>
      </c>
      <c r="H19" s="85">
        <f>Gen!AK25</f>
        <v>0</v>
      </c>
      <c r="I19" s="85">
        <f t="shared" si="1"/>
        <v>3154</v>
      </c>
      <c r="J19" s="446">
        <f>Gen!C25</f>
        <v>41500.590000000004</v>
      </c>
      <c r="K19" s="295">
        <f>'Water-Meter'!E20</f>
        <v>74</v>
      </c>
      <c r="L19" s="654">
        <f>'Lpg (2)'!G24</f>
        <v>88.660000000038423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-158525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3356</v>
      </c>
      <c r="H20" s="85">
        <f>Gen!AK26</f>
        <v>0</v>
      </c>
      <c r="I20" s="85">
        <f t="shared" si="1"/>
        <v>3356</v>
      </c>
      <c r="J20" s="446">
        <f>Gen!C26</f>
        <v>40033.94</v>
      </c>
      <c r="K20" s="295" t="str">
        <f>'Water-Meter'!E21</f>
        <v>0</v>
      </c>
      <c r="L20" s="654">
        <f>'Lpg (2)'!G25</f>
        <v>64.371999999956472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3251</v>
      </c>
      <c r="H21" s="85">
        <f>Gen!AK27</f>
        <v>0</v>
      </c>
      <c r="I21" s="85">
        <f t="shared" si="1"/>
        <v>3251</v>
      </c>
      <c r="J21" s="446">
        <f>Gen!C27</f>
        <v>40033.94</v>
      </c>
      <c r="K21" s="295">
        <f>'Water-Meter'!E22</f>
        <v>0</v>
      </c>
      <c r="L21" s="654">
        <f>'Lpg (2)'!G26</f>
        <v>-332148.08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40033.94</v>
      </c>
      <c r="K22" s="295">
        <f>'Water-Meter'!E23</f>
        <v>0</v>
      </c>
      <c r="L22" s="654">
        <f>'Lpg (2)'!G27</f>
        <v>0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40033.94</v>
      </c>
      <c r="K23" s="295">
        <f>'Water-Meter'!E24</f>
        <v>0</v>
      </c>
      <c r="L23" s="654">
        <f>'Lpg (2)'!G28</f>
        <v>0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40033.94</v>
      </c>
      <c r="K24" s="295">
        <f>'Water-Meter'!E25</f>
        <v>0</v>
      </c>
      <c r="L24" s="654">
        <f>'Lpg (2)'!G29</f>
        <v>0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40033.94</v>
      </c>
      <c r="K25" s="295">
        <f>'Water-Meter'!E26</f>
        <v>0</v>
      </c>
      <c r="L25" s="654">
        <f>'Lpg (2)'!G30</f>
        <v>0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40033.94</v>
      </c>
      <c r="K26" s="295">
        <f>'Water-Meter'!E27</f>
        <v>0</v>
      </c>
      <c r="L26" s="654">
        <f>'Lpg (2)'!G31</f>
        <v>0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40033.94</v>
      </c>
      <c r="K27" s="295">
        <f>'Water-Meter'!E28</f>
        <v>0</v>
      </c>
      <c r="L27" s="654">
        <f>'Lpg (2)'!G32</f>
        <v>0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40033.94</v>
      </c>
      <c r="K28" s="295">
        <f>'Water-Meter'!E29</f>
        <v>0</v>
      </c>
      <c r="L28" s="654">
        <f>'Lpg (2)'!G33</f>
        <v>0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40033.94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40033.94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40033.94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40033.94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40033.94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40033.94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40033.94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40033.94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6" sqref="AB2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1">
        <f>A6</f>
        <v>44256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  <c r="P1" s="882"/>
      <c r="Q1" s="882"/>
      <c r="R1" s="882"/>
      <c r="S1" s="882"/>
      <c r="T1" s="882"/>
      <c r="U1" s="882"/>
      <c r="V1" s="882"/>
      <c r="W1" s="882"/>
      <c r="X1" s="882"/>
      <c r="Y1" s="882"/>
      <c r="Z1" s="882"/>
      <c r="AA1" s="882"/>
      <c r="AB1" s="882"/>
      <c r="AC1" s="19"/>
    </row>
    <row r="2" spans="1:29" ht="12" customHeight="1" thickBot="1">
      <c r="A2" s="882"/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3" t="s">
        <v>298</v>
      </c>
      <c r="L3" s="884"/>
      <c r="M3" s="885"/>
      <c r="N3" s="883" t="s">
        <v>299</v>
      </c>
      <c r="O3" s="884"/>
      <c r="P3" s="885"/>
      <c r="Q3" s="883" t="s">
        <v>300</v>
      </c>
      <c r="R3" s="884"/>
      <c r="S3" s="885"/>
      <c r="T3" s="883" t="s">
        <v>301</v>
      </c>
      <c r="U3" s="884"/>
      <c r="V3" s="885"/>
      <c r="W3" s="883" t="s">
        <v>302</v>
      </c>
      <c r="X3" s="884"/>
      <c r="Y3" s="885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8" t="s">
        <v>191</v>
      </c>
      <c r="R4" s="339" t="s">
        <v>192</v>
      </c>
      <c r="S4" s="829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7">
        <v>30832</v>
      </c>
      <c r="P5" s="686"/>
      <c r="Q5" s="675"/>
      <c r="R5" s="305">
        <v>36102</v>
      </c>
      <c r="S5" s="686"/>
      <c r="T5" s="675"/>
      <c r="U5" s="827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7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7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7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>
        <f t="shared" ref="P14:P15" si="11">O15-N14</f>
        <v>0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>
        <f t="shared" si="10"/>
        <v>25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 thickBo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>
        <v>285.27</v>
      </c>
      <c r="H15" s="305"/>
      <c r="I15" s="305">
        <v>31740.400000000001</v>
      </c>
      <c r="J15" s="678">
        <v>21143.1</v>
      </c>
      <c r="K15" s="688">
        <f t="shared" si="0"/>
        <v>35947</v>
      </c>
      <c r="L15" s="305">
        <v>35971</v>
      </c>
      <c r="M15" s="304">
        <f t="shared" si="1"/>
        <v>24</v>
      </c>
      <c r="N15" s="306" t="e">
        <f>#REF!</f>
        <v>#REF!</v>
      </c>
      <c r="O15" s="125">
        <v>30857</v>
      </c>
      <c r="P15" s="304" t="e">
        <f t="shared" si="11"/>
        <v>#REF!</v>
      </c>
      <c r="Q15" s="304">
        <f t="shared" si="4"/>
        <v>36150</v>
      </c>
      <c r="R15" s="125">
        <v>36150</v>
      </c>
      <c r="S15" s="304">
        <f t="shared" si="5"/>
        <v>0</v>
      </c>
      <c r="T15" s="304">
        <f t="shared" si="6"/>
        <v>33391</v>
      </c>
      <c r="U15" s="305">
        <v>33391</v>
      </c>
      <c r="V15" s="304">
        <f t="shared" si="7"/>
        <v>0</v>
      </c>
      <c r="W15" s="306">
        <f t="shared" si="8"/>
        <v>22034</v>
      </c>
      <c r="X15" s="305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160</v>
      </c>
      <c r="AC15" s="689">
        <f>Gen!AR20</f>
        <v>1419.52</v>
      </c>
    </row>
    <row r="16" spans="1:29" ht="20.100000000000001" customHeight="1" thickBot="1">
      <c r="A16" s="682">
        <f>Gen!A21</f>
        <v>44266</v>
      </c>
      <c r="B16" s="677"/>
      <c r="C16" s="793">
        <v>10080.719999999999</v>
      </c>
      <c r="D16" s="675">
        <v>22273</v>
      </c>
      <c r="E16" s="491"/>
      <c r="F16" s="305"/>
      <c r="G16" s="305">
        <v>32.85</v>
      </c>
      <c r="H16" s="305"/>
      <c r="I16" s="305">
        <v>31744.799999999999</v>
      </c>
      <c r="J16" s="678">
        <v>21146.7</v>
      </c>
      <c r="K16" s="688">
        <f t="shared" si="0"/>
        <v>35971</v>
      </c>
      <c r="L16" s="305">
        <v>35971</v>
      </c>
      <c r="M16" s="304">
        <f>L16-K16</f>
        <v>0</v>
      </c>
      <c r="N16" s="306">
        <f t="shared" si="2"/>
        <v>30857</v>
      </c>
      <c r="O16" s="125">
        <v>30882</v>
      </c>
      <c r="P16" s="304">
        <f t="shared" si="3"/>
        <v>25</v>
      </c>
      <c r="Q16" s="304">
        <f t="shared" si="4"/>
        <v>36150</v>
      </c>
      <c r="R16" s="125">
        <v>36150</v>
      </c>
      <c r="S16" s="304">
        <f t="shared" si="5"/>
        <v>0</v>
      </c>
      <c r="T16" s="304">
        <f t="shared" si="6"/>
        <v>33391</v>
      </c>
      <c r="U16" s="305">
        <v>33391</v>
      </c>
      <c r="V16" s="304">
        <f t="shared" si="7"/>
        <v>0</v>
      </c>
      <c r="W16" s="306">
        <f t="shared" si="8"/>
        <v>22034</v>
      </c>
      <c r="X16" s="305">
        <v>22034</v>
      </c>
      <c r="Y16" s="304">
        <f t="shared" si="9"/>
        <v>0</v>
      </c>
      <c r="Z16" s="307">
        <f t="shared" si="10"/>
        <v>25</v>
      </c>
      <c r="AA16" s="125">
        <v>255</v>
      </c>
      <c r="AB16" s="125">
        <v>155</v>
      </c>
      <c r="AC16" s="689">
        <f>Gen!AR21</f>
        <v>1317.3799999999999</v>
      </c>
    </row>
    <row r="17" spans="1:29" ht="20.100000000000001" customHeight="1" thickBot="1">
      <c r="A17" s="682">
        <f>Gen!A22</f>
        <v>44267</v>
      </c>
      <c r="B17" s="677"/>
      <c r="C17" s="793">
        <v>8763.34</v>
      </c>
      <c r="D17" s="675">
        <v>22273</v>
      </c>
      <c r="E17" s="491"/>
      <c r="F17" s="305"/>
      <c r="G17" s="305">
        <v>357.62</v>
      </c>
      <c r="H17" s="305"/>
      <c r="I17" s="305">
        <v>31749.200000000001</v>
      </c>
      <c r="J17" s="678">
        <v>21151.3</v>
      </c>
      <c r="K17" s="688">
        <f>L16</f>
        <v>35971</v>
      </c>
      <c r="L17" s="305">
        <v>35971</v>
      </c>
      <c r="M17" s="304">
        <f>L17-K17</f>
        <v>0</v>
      </c>
      <c r="N17" s="306">
        <f t="shared" si="2"/>
        <v>30882</v>
      </c>
      <c r="O17" s="125">
        <v>30882</v>
      </c>
      <c r="P17" s="304">
        <f t="shared" si="3"/>
        <v>0</v>
      </c>
      <c r="Q17" s="304">
        <f t="shared" si="4"/>
        <v>36150</v>
      </c>
      <c r="R17" s="125">
        <v>36174</v>
      </c>
      <c r="S17" s="304">
        <f t="shared" si="5"/>
        <v>24</v>
      </c>
      <c r="T17" s="304">
        <f t="shared" si="6"/>
        <v>33391</v>
      </c>
      <c r="U17" s="305">
        <v>33391</v>
      </c>
      <c r="V17" s="304">
        <f t="shared" si="7"/>
        <v>0</v>
      </c>
      <c r="W17" s="306">
        <f t="shared" si="8"/>
        <v>22034</v>
      </c>
      <c r="X17" s="305">
        <v>22034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160</v>
      </c>
      <c r="AC17" s="689">
        <f>Gen!AR22</f>
        <v>1662.5500000000002</v>
      </c>
    </row>
    <row r="18" spans="1:29" ht="20.100000000000001" customHeight="1" thickBot="1">
      <c r="A18" s="682">
        <f>Gen!A23</f>
        <v>44268</v>
      </c>
      <c r="B18" s="677"/>
      <c r="C18" s="793">
        <v>22102.75</v>
      </c>
      <c r="D18" s="675">
        <v>22273</v>
      </c>
      <c r="E18" s="305"/>
      <c r="F18" s="305"/>
      <c r="G18" s="305">
        <v>124.03</v>
      </c>
      <c r="H18" s="305"/>
      <c r="I18" s="305">
        <v>31754</v>
      </c>
      <c r="J18" s="678">
        <v>21155.8</v>
      </c>
      <c r="K18" s="688">
        <f>L17</f>
        <v>35971</v>
      </c>
      <c r="L18" s="305">
        <v>35971</v>
      </c>
      <c r="M18" s="304">
        <f t="shared" si="1"/>
        <v>0</v>
      </c>
      <c r="N18" s="306">
        <f t="shared" si="2"/>
        <v>30882</v>
      </c>
      <c r="O18" s="125">
        <v>30905</v>
      </c>
      <c r="P18" s="304">
        <f t="shared" si="3"/>
        <v>23</v>
      </c>
      <c r="Q18" s="304">
        <f t="shared" si="4"/>
        <v>36174</v>
      </c>
      <c r="R18" s="125">
        <v>36174</v>
      </c>
      <c r="S18" s="304">
        <f t="shared" si="5"/>
        <v>0</v>
      </c>
      <c r="T18" s="304">
        <f t="shared" si="6"/>
        <v>33391</v>
      </c>
      <c r="U18" s="305">
        <v>33391</v>
      </c>
      <c r="V18" s="304">
        <f t="shared" si="7"/>
        <v>0</v>
      </c>
      <c r="W18" s="306">
        <f t="shared" si="8"/>
        <v>22034</v>
      </c>
      <c r="X18" s="305">
        <v>22034</v>
      </c>
      <c r="Y18" s="304">
        <f t="shared" si="9"/>
        <v>0</v>
      </c>
      <c r="Z18" s="307">
        <f t="shared" si="10"/>
        <v>23</v>
      </c>
      <c r="AA18" s="125">
        <v>230</v>
      </c>
      <c r="AB18" s="125">
        <v>135</v>
      </c>
      <c r="AC18" s="689">
        <f>Gen!AR23</f>
        <v>1421.58</v>
      </c>
    </row>
    <row r="19" spans="1:29" ht="20.100000000000001" customHeight="1" thickBot="1">
      <c r="A19" s="682">
        <f>Gen!A24</f>
        <v>44269</v>
      </c>
      <c r="B19" s="677"/>
      <c r="C19" s="793">
        <v>20679.21</v>
      </c>
      <c r="D19" s="675">
        <v>22273</v>
      </c>
      <c r="E19" s="305"/>
      <c r="F19" s="305"/>
      <c r="G19" s="305">
        <v>86.05</v>
      </c>
      <c r="H19" s="305"/>
      <c r="I19" s="305">
        <v>31758.5</v>
      </c>
      <c r="J19" s="678">
        <v>21160.6</v>
      </c>
      <c r="K19" s="688">
        <f t="shared" si="0"/>
        <v>35971</v>
      </c>
      <c r="L19" s="305">
        <v>35971</v>
      </c>
      <c r="M19" s="304">
        <f t="shared" si="1"/>
        <v>0</v>
      </c>
      <c r="N19" s="306">
        <f t="shared" si="2"/>
        <v>30905</v>
      </c>
      <c r="O19" s="125">
        <v>30905</v>
      </c>
      <c r="P19" s="304">
        <f t="shared" si="3"/>
        <v>0</v>
      </c>
      <c r="Q19" s="304">
        <f t="shared" si="4"/>
        <v>36174</v>
      </c>
      <c r="R19" s="125">
        <v>36174</v>
      </c>
      <c r="S19" s="304">
        <f t="shared" si="5"/>
        <v>0</v>
      </c>
      <c r="T19" s="304">
        <f t="shared" si="6"/>
        <v>33391</v>
      </c>
      <c r="U19" s="305">
        <v>33416</v>
      </c>
      <c r="V19" s="304">
        <f t="shared" si="7"/>
        <v>25</v>
      </c>
      <c r="W19" s="306">
        <f t="shared" si="8"/>
        <v>22034</v>
      </c>
      <c r="X19" s="305">
        <v>22034</v>
      </c>
      <c r="Y19" s="304">
        <f t="shared" si="9"/>
        <v>0</v>
      </c>
      <c r="Z19" s="307">
        <f t="shared" si="10"/>
        <v>25</v>
      </c>
      <c r="AA19" s="125">
        <v>260</v>
      </c>
      <c r="AB19" s="125">
        <v>160</v>
      </c>
      <c r="AC19" s="689">
        <f>Gen!AR24</f>
        <v>1451.62</v>
      </c>
    </row>
    <row r="20" spans="1:29" ht="20.100000000000001" customHeight="1" thickBot="1">
      <c r="A20" s="682">
        <f>Gen!A25</f>
        <v>44270</v>
      </c>
      <c r="B20" s="677"/>
      <c r="C20" s="793">
        <v>19227.59</v>
      </c>
      <c r="D20" s="675">
        <v>22273</v>
      </c>
      <c r="E20" s="305"/>
      <c r="F20" s="305"/>
      <c r="G20" s="305">
        <v>164.56</v>
      </c>
      <c r="H20" s="305"/>
      <c r="I20" s="305">
        <v>31763.5</v>
      </c>
      <c r="J20" s="678">
        <v>21165.4</v>
      </c>
      <c r="K20" s="688">
        <f t="shared" si="0"/>
        <v>35971</v>
      </c>
      <c r="L20" s="305">
        <v>35996</v>
      </c>
      <c r="M20" s="304">
        <f t="shared" si="1"/>
        <v>25</v>
      </c>
      <c r="N20" s="306">
        <f t="shared" si="2"/>
        <v>30905</v>
      </c>
      <c r="O20" s="125">
        <v>30905</v>
      </c>
      <c r="P20" s="304">
        <f t="shared" si="3"/>
        <v>0</v>
      </c>
      <c r="Q20" s="304">
        <f t="shared" si="4"/>
        <v>36174</v>
      </c>
      <c r="R20" s="125">
        <v>36174</v>
      </c>
      <c r="S20" s="304">
        <f t="shared" si="5"/>
        <v>0</v>
      </c>
      <c r="T20" s="304">
        <f t="shared" si="6"/>
        <v>33416</v>
      </c>
      <c r="U20" s="305">
        <v>33416</v>
      </c>
      <c r="V20" s="304">
        <f t="shared" si="7"/>
        <v>0</v>
      </c>
      <c r="W20" s="306">
        <f t="shared" si="8"/>
        <v>22034</v>
      </c>
      <c r="X20" s="305">
        <v>22034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150</v>
      </c>
      <c r="AC20" s="689">
        <f>Gen!AR25</f>
        <v>1466.6499999999999</v>
      </c>
    </row>
    <row r="21" spans="1:29" ht="20.100000000000001" customHeight="1">
      <c r="A21" s="682">
        <f>Gen!A26</f>
        <v>44271</v>
      </c>
      <c r="B21" s="677"/>
      <c r="C21" s="793">
        <v>17760.939999999999</v>
      </c>
      <c r="D21" s="675">
        <v>22273</v>
      </c>
      <c r="E21" s="305"/>
      <c r="F21" s="305"/>
      <c r="G21" s="305"/>
      <c r="H21" s="305"/>
      <c r="I21" s="305">
        <v>31768.2</v>
      </c>
      <c r="J21" s="678">
        <v>21170.1</v>
      </c>
      <c r="K21" s="688">
        <f t="shared" si="0"/>
        <v>35996</v>
      </c>
      <c r="L21" s="305"/>
      <c r="M21" s="304">
        <f t="shared" si="1"/>
        <v>-35996</v>
      </c>
      <c r="N21" s="306">
        <f t="shared" si="2"/>
        <v>30905</v>
      </c>
      <c r="O21" s="125"/>
      <c r="P21" s="304">
        <f t="shared" si="3"/>
        <v>-30905</v>
      </c>
      <c r="Q21" s="304">
        <f t="shared" si="4"/>
        <v>36174</v>
      </c>
      <c r="R21" s="125"/>
      <c r="S21" s="304">
        <f t="shared" si="5"/>
        <v>-36174</v>
      </c>
      <c r="T21" s="304">
        <f t="shared" si="6"/>
        <v>33416</v>
      </c>
      <c r="U21" s="305"/>
      <c r="V21" s="304">
        <f t="shared" si="7"/>
        <v>-33416</v>
      </c>
      <c r="W21" s="306">
        <f t="shared" si="8"/>
        <v>22034</v>
      </c>
      <c r="X21" s="305"/>
      <c r="Y21" s="304">
        <f t="shared" si="9"/>
        <v>-22034</v>
      </c>
      <c r="Z21" s="307">
        <f t="shared" si="10"/>
        <v>-158525</v>
      </c>
      <c r="AA21" s="125"/>
      <c r="AB21" s="125"/>
      <c r="AC21" s="689">
        <f>Gen!AR26</f>
        <v>0</v>
      </c>
    </row>
    <row r="22" spans="1:29" ht="18.75" customHeight="1">
      <c r="A22" s="682">
        <f>Gen!A27</f>
        <v>44272</v>
      </c>
      <c r="B22" s="677"/>
      <c r="C22" s="793"/>
      <c r="D22" s="794"/>
      <c r="E22" s="305"/>
      <c r="F22" s="305"/>
      <c r="G22" s="305"/>
      <c r="H22" s="305"/>
      <c r="I22" s="305"/>
      <c r="J22" s="678"/>
      <c r="K22" s="68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9">
        <f>Gen!AR27</f>
        <v>0</v>
      </c>
    </row>
    <row r="23" spans="1:29" ht="20.100000000000001" customHeight="1">
      <c r="A23" s="682">
        <f>Gen!A28</f>
        <v>44273</v>
      </c>
      <c r="B23" s="677"/>
      <c r="C23" s="793"/>
      <c r="D23" s="794"/>
      <c r="E23" s="491"/>
      <c r="F23" s="305"/>
      <c r="G23" s="305"/>
      <c r="H23" s="305"/>
      <c r="I23" s="305"/>
      <c r="J23" s="678"/>
      <c r="K23" s="68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9">
        <f>Gen!AR28</f>
        <v>0</v>
      </c>
    </row>
    <row r="24" spans="1:29" ht="20.100000000000001" customHeight="1">
      <c r="A24" s="682">
        <f>Gen!A29</f>
        <v>44274</v>
      </c>
      <c r="B24" s="677"/>
      <c r="C24" s="793"/>
      <c r="D24" s="794"/>
      <c r="E24" s="305"/>
      <c r="F24" s="305"/>
      <c r="G24" s="305"/>
      <c r="H24" s="305"/>
      <c r="I24" s="305"/>
      <c r="J24" s="678"/>
      <c r="K24" s="68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9">
        <f>Gen!AR29</f>
        <v>0</v>
      </c>
    </row>
    <row r="25" spans="1:29" ht="18.75" customHeight="1">
      <c r="A25" s="682">
        <f>Gen!A30</f>
        <v>44275</v>
      </c>
      <c r="B25" s="677"/>
      <c r="C25" s="793"/>
      <c r="D25" s="794"/>
      <c r="E25" s="305"/>
      <c r="F25" s="305"/>
      <c r="G25" s="305"/>
      <c r="H25" s="305"/>
      <c r="I25" s="305"/>
      <c r="J25" s="678"/>
      <c r="K25" s="68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9">
        <f>Gen!AR30</f>
        <v>0</v>
      </c>
    </row>
    <row r="26" spans="1:29" ht="20.100000000000001" customHeight="1">
      <c r="A26" s="682">
        <f>Gen!A31</f>
        <v>44276</v>
      </c>
      <c r="B26" s="677"/>
      <c r="C26" s="793"/>
      <c r="D26" s="794"/>
      <c r="E26" s="305"/>
      <c r="F26" s="305"/>
      <c r="G26" s="305"/>
      <c r="H26" s="305"/>
      <c r="I26" s="305"/>
      <c r="J26" s="678"/>
      <c r="K26" s="68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9">
        <f>Gen!AR31</f>
        <v>0</v>
      </c>
    </row>
    <row r="27" spans="1:29" ht="20.100000000000001" customHeight="1">
      <c r="A27" s="682">
        <f>Gen!A32</f>
        <v>44277</v>
      </c>
      <c r="B27" s="677"/>
      <c r="C27" s="793"/>
      <c r="D27" s="794"/>
      <c r="E27" s="305"/>
      <c r="F27" s="305"/>
      <c r="G27" s="305"/>
      <c r="H27" s="305"/>
      <c r="I27" s="305"/>
      <c r="J27" s="678"/>
      <c r="K27" s="68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9">
        <f>Gen!AR32</f>
        <v>0</v>
      </c>
    </row>
    <row r="28" spans="1:29" ht="20.100000000000001" customHeight="1">
      <c r="A28" s="682">
        <f>Gen!A33</f>
        <v>44278</v>
      </c>
      <c r="B28" s="677"/>
      <c r="C28" s="793"/>
      <c r="D28" s="794"/>
      <c r="E28" s="305"/>
      <c r="F28" s="305"/>
      <c r="G28" s="305"/>
      <c r="H28" s="305"/>
      <c r="I28" s="305"/>
      <c r="J28" s="678"/>
      <c r="K28" s="68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9">
        <f>Gen!AR33</f>
        <v>0</v>
      </c>
    </row>
    <row r="29" spans="1:29" ht="20.100000000000001" customHeight="1">
      <c r="A29" s="682">
        <f>Gen!A34</f>
        <v>44279</v>
      </c>
      <c r="B29" s="677"/>
      <c r="C29" s="793"/>
      <c r="D29" s="794"/>
      <c r="E29" s="305"/>
      <c r="F29" s="305"/>
      <c r="G29" s="305"/>
      <c r="H29" s="305"/>
      <c r="I29" s="305"/>
      <c r="J29" s="678"/>
      <c r="K29" s="688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2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37" workbookViewId="0">
      <pane xSplit="1" topLeftCell="B1" activePane="topRight" state="frozen"/>
      <selection pane="topRight" activeCell="F60" sqref="F60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5"/>
      <c r="B1" s="895"/>
    </row>
    <row r="2" spans="1:46" ht="26.25">
      <c r="A2" s="895"/>
      <c r="B2" s="895"/>
      <c r="D2" s="896">
        <f>A11</f>
        <v>44256</v>
      </c>
      <c r="E2" s="896"/>
      <c r="F2" s="897"/>
      <c r="G2" s="897"/>
      <c r="H2" s="897"/>
      <c r="I2" s="897"/>
      <c r="J2" s="897"/>
      <c r="K2" s="897"/>
      <c r="L2" s="897"/>
      <c r="M2" s="897"/>
      <c r="N2" s="897"/>
      <c r="O2" s="897"/>
      <c r="P2" s="897"/>
      <c r="Q2" s="897"/>
      <c r="R2" s="897"/>
      <c r="S2" s="897"/>
      <c r="T2" s="897"/>
      <c r="U2" s="897"/>
      <c r="V2" s="897"/>
      <c r="W2" s="897"/>
      <c r="X2" s="897"/>
      <c r="Y2" s="897"/>
      <c r="Z2" s="897"/>
      <c r="AA2" s="897"/>
      <c r="AB2" s="897"/>
      <c r="AC2" s="897"/>
      <c r="AD2" s="897"/>
      <c r="AE2" s="897"/>
      <c r="AF2" s="897"/>
      <c r="AG2" s="897"/>
      <c r="AH2" s="897"/>
      <c r="AI2" s="897"/>
      <c r="AJ2" s="897"/>
      <c r="AK2" s="897"/>
      <c r="AL2" s="897"/>
      <c r="AM2" s="897"/>
      <c r="AN2" s="897"/>
      <c r="AO2" s="897"/>
      <c r="AP2" s="897"/>
      <c r="AQ2" s="897"/>
      <c r="AR2" s="897"/>
      <c r="AS2" s="897"/>
      <c r="AT2" s="897"/>
    </row>
    <row r="3" spans="1:46" ht="12.75" customHeight="1">
      <c r="A3" s="895"/>
      <c r="B3" s="895"/>
      <c r="H3" s="898"/>
      <c r="I3" s="898"/>
      <c r="J3" s="898"/>
      <c r="K3" s="181"/>
      <c r="Q3" s="181"/>
    </row>
    <row r="4" spans="1:46" ht="11.25" customHeight="1">
      <c r="A4" s="895"/>
      <c r="B4" s="895"/>
      <c r="H4" s="898"/>
      <c r="I4" s="898"/>
      <c r="J4" s="898"/>
      <c r="K4" s="181"/>
      <c r="Q4" s="181"/>
    </row>
    <row r="5" spans="1:46" ht="12" thickBot="1">
      <c r="A5" s="895"/>
      <c r="B5" s="895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5"/>
      <c r="B6" s="895"/>
      <c r="C6" s="186"/>
      <c r="F6" s="899" t="s">
        <v>57</v>
      </c>
      <c r="G6" s="900"/>
      <c r="H6" s="900"/>
      <c r="I6" s="900"/>
      <c r="J6" s="900"/>
      <c r="K6" s="900"/>
      <c r="L6" s="901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6"/>
      <c r="AT6" s="847"/>
    </row>
    <row r="7" spans="1:46" ht="21" thickBot="1">
      <c r="C7" s="188"/>
      <c r="D7" s="188"/>
      <c r="E7" s="188"/>
      <c r="F7" s="902" t="s">
        <v>201</v>
      </c>
      <c r="G7" s="903"/>
      <c r="H7" s="903"/>
      <c r="I7" s="903"/>
      <c r="J7" s="903"/>
      <c r="K7" s="903"/>
      <c r="L7" s="904"/>
      <c r="M7" s="905" t="s">
        <v>40</v>
      </c>
      <c r="N7" s="906"/>
      <c r="O7" s="906"/>
      <c r="P7" s="906"/>
      <c r="Q7" s="906"/>
      <c r="R7" s="907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8"/>
      <c r="AT7" s="84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0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1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2">
        <v>0.01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3">
        <v>0.01</v>
      </c>
      <c r="C13" s="807">
        <f t="shared" si="6"/>
        <v>42443.15</v>
      </c>
      <c r="D13" s="808"/>
      <c r="E13" s="805">
        <v>18000</v>
      </c>
      <c r="F13" s="825" t="s">
        <v>317</v>
      </c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3">
        <v>3.9E-2</v>
      </c>
      <c r="C14" s="807">
        <f t="shared" si="6"/>
        <v>41374.35</v>
      </c>
      <c r="D14" s="808"/>
      <c r="E14" s="805"/>
      <c r="F14" s="809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3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3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53">
        <v>0.1</v>
      </c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53">
        <v>0.1</v>
      </c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53">
        <v>0.13</v>
      </c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53">
        <v>0.14000000000000001</v>
      </c>
      <c r="C20" s="807">
        <f t="shared" si="6"/>
        <v>33773.240000000005</v>
      </c>
      <c r="D20" s="808"/>
      <c r="E20" s="805"/>
      <c r="F20" s="809"/>
      <c r="G20" s="806">
        <v>1134.25</v>
      </c>
      <c r="H20" s="219"/>
      <c r="I20" s="223"/>
      <c r="J20" s="204"/>
      <c r="K20" s="204"/>
      <c r="L20" s="526"/>
      <c r="M20" s="298">
        <v>2712</v>
      </c>
      <c r="N20" s="206"/>
      <c r="O20" s="206"/>
      <c r="P20" s="206"/>
      <c r="Q20" s="206"/>
      <c r="R20" s="564"/>
      <c r="S20" s="571">
        <f t="shared" si="0"/>
        <v>1134.25</v>
      </c>
      <c r="T20" s="218">
        <f t="shared" si="1"/>
        <v>2712</v>
      </c>
      <c r="U20" s="572">
        <f t="shared" si="4"/>
        <v>0.41823377581120946</v>
      </c>
      <c r="V20" s="211"/>
      <c r="W20" s="219"/>
      <c r="X20" s="197">
        <v>55.02</v>
      </c>
      <c r="Y20" s="219">
        <v>124</v>
      </c>
      <c r="Z20" s="204">
        <v>39.03</v>
      </c>
      <c r="AA20" s="273"/>
      <c r="AB20" s="219">
        <v>67.22</v>
      </c>
      <c r="AC20" s="219"/>
      <c r="AD20" s="219"/>
      <c r="AE20" s="219"/>
      <c r="AF20" s="219"/>
      <c r="AG20" s="219"/>
      <c r="AH20" s="219"/>
      <c r="AI20" s="386"/>
      <c r="AJ20" s="271">
        <f t="shared" si="3"/>
        <v>285.27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1419.52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53">
        <v>0.1</v>
      </c>
      <c r="C21" s="807">
        <f t="shared" si="6"/>
        <v>32353.720000000005</v>
      </c>
      <c r="D21" s="808"/>
      <c r="E21" s="805"/>
      <c r="F21" s="809"/>
      <c r="G21" s="806"/>
      <c r="H21" s="219">
        <v>1284.53</v>
      </c>
      <c r="I21" s="223"/>
      <c r="J21" s="204"/>
      <c r="K21" s="204"/>
      <c r="L21" s="495"/>
      <c r="M21" s="298"/>
      <c r="N21" s="298">
        <v>3220</v>
      </c>
      <c r="O21" s="206"/>
      <c r="P21" s="206"/>
      <c r="Q21" s="206"/>
      <c r="R21" s="563"/>
      <c r="S21" s="571">
        <f t="shared" si="0"/>
        <v>1284.53</v>
      </c>
      <c r="T21" s="218">
        <f t="shared" si="1"/>
        <v>3220</v>
      </c>
      <c r="U21" s="572">
        <f t="shared" si="4"/>
        <v>0.39892236024844718</v>
      </c>
      <c r="V21" s="211"/>
      <c r="W21" s="219"/>
      <c r="X21" s="197"/>
      <c r="Y21" s="219"/>
      <c r="Z21" s="204">
        <v>15.03</v>
      </c>
      <c r="AA21" s="273"/>
      <c r="AB21" s="219">
        <v>17.82</v>
      </c>
      <c r="AC21" s="219"/>
      <c r="AD21" s="219"/>
      <c r="AE21" s="219"/>
      <c r="AF21" s="219"/>
      <c r="AG21" s="219"/>
      <c r="AH21" s="219"/>
      <c r="AI21" s="386"/>
      <c r="AJ21" s="271">
        <f t="shared" si="3"/>
        <v>32.85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1317.3799999999999</v>
      </c>
      <c r="AS21" s="221">
        <f t="shared" si="7"/>
        <v>0</v>
      </c>
      <c r="AT21" s="283">
        <f t="shared" si="5"/>
        <v>32353.720000000005</v>
      </c>
    </row>
    <row r="22" spans="1:46" ht="15.75">
      <c r="A22" s="576">
        <v>44267</v>
      </c>
      <c r="B22" s="853">
        <v>0.13</v>
      </c>
      <c r="C22" s="807">
        <f t="shared" si="6"/>
        <v>31036.340000000004</v>
      </c>
      <c r="D22" s="808"/>
      <c r="E22" s="805"/>
      <c r="F22" s="810"/>
      <c r="G22" s="806"/>
      <c r="H22" s="204"/>
      <c r="I22" s="223"/>
      <c r="J22" s="204">
        <v>1304.93</v>
      </c>
      <c r="K22" s="204"/>
      <c r="L22" s="526"/>
      <c r="M22" s="298"/>
      <c r="N22" s="298"/>
      <c r="O22" s="206"/>
      <c r="P22" s="206">
        <v>3248</v>
      </c>
      <c r="Q22" s="206"/>
      <c r="R22" s="563"/>
      <c r="S22" s="571">
        <f t="shared" si="0"/>
        <v>1304.93</v>
      </c>
      <c r="T22" s="218">
        <f t="shared" si="1"/>
        <v>3248</v>
      </c>
      <c r="U22" s="572">
        <f t="shared" si="4"/>
        <v>0.40176416256157638</v>
      </c>
      <c r="V22" s="211"/>
      <c r="W22" s="219"/>
      <c r="X22" s="197">
        <v>46.18</v>
      </c>
      <c r="Y22" s="219"/>
      <c r="Z22" s="204">
        <v>69.44</v>
      </c>
      <c r="AA22" s="273"/>
      <c r="AB22" s="219"/>
      <c r="AC22" s="219"/>
      <c r="AD22" s="219"/>
      <c r="AE22" s="219"/>
      <c r="AF22" s="219"/>
      <c r="AG22" s="219"/>
      <c r="AH22" s="219">
        <v>242</v>
      </c>
      <c r="AI22" s="386"/>
      <c r="AJ22" s="271">
        <f t="shared" si="3"/>
        <v>357.62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1662.5500000000002</v>
      </c>
      <c r="AS22" s="221">
        <f t="shared" si="7"/>
        <v>0</v>
      </c>
      <c r="AT22" s="283">
        <f t="shared" si="5"/>
        <v>31036.340000000004</v>
      </c>
    </row>
    <row r="23" spans="1:46" ht="13.5" customHeight="1">
      <c r="A23" s="576">
        <v>44268</v>
      </c>
      <c r="B23" s="853">
        <v>0.17</v>
      </c>
      <c r="C23" s="807">
        <f t="shared" si="6"/>
        <v>44373.790000000008</v>
      </c>
      <c r="D23" s="808">
        <v>15000</v>
      </c>
      <c r="E23" s="805"/>
      <c r="F23" s="810"/>
      <c r="G23" s="806"/>
      <c r="H23" s="219">
        <v>1297.55</v>
      </c>
      <c r="I23" s="223"/>
      <c r="J23" s="204"/>
      <c r="K23" s="204"/>
      <c r="L23" s="526"/>
      <c r="M23" s="298">
        <v>3154</v>
      </c>
      <c r="N23" s="206"/>
      <c r="O23" s="206"/>
      <c r="P23" s="206"/>
      <c r="Q23" s="206"/>
      <c r="R23" s="563"/>
      <c r="S23" s="571">
        <f t="shared" si="0"/>
        <v>1297.55</v>
      </c>
      <c r="T23" s="218">
        <f t="shared" si="1"/>
        <v>3154</v>
      </c>
      <c r="U23" s="572">
        <f t="shared" si="4"/>
        <v>0.41139822447685476</v>
      </c>
      <c r="V23" s="211"/>
      <c r="W23" s="219"/>
      <c r="X23" s="197">
        <v>49.03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75</v>
      </c>
      <c r="AI23" s="386"/>
      <c r="AJ23" s="271">
        <f t="shared" si="3"/>
        <v>124.03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1421.58</v>
      </c>
      <c r="AS23" s="221">
        <f t="shared" si="7"/>
        <v>0</v>
      </c>
      <c r="AT23" s="283">
        <f t="shared" si="5"/>
        <v>44373.790000000008</v>
      </c>
    </row>
    <row r="24" spans="1:46" ht="15.75">
      <c r="A24" s="576">
        <v>44269</v>
      </c>
      <c r="B24" s="853">
        <v>0.14000000000000001</v>
      </c>
      <c r="C24" s="807">
        <f t="shared" si="6"/>
        <v>42952.210000000006</v>
      </c>
      <c r="D24" s="811"/>
      <c r="E24" s="805">
        <v>15000</v>
      </c>
      <c r="F24" s="826" t="s">
        <v>318</v>
      </c>
      <c r="G24" s="806"/>
      <c r="H24" s="204"/>
      <c r="I24" s="223"/>
      <c r="J24" s="204"/>
      <c r="K24" s="204">
        <v>1365.56</v>
      </c>
      <c r="L24" s="526"/>
      <c r="M24" s="298"/>
      <c r="N24" s="298"/>
      <c r="O24" s="206"/>
      <c r="P24" s="206"/>
      <c r="Q24" s="206">
        <v>3356</v>
      </c>
      <c r="R24" s="563"/>
      <c r="S24" s="571">
        <f t="shared" si="0"/>
        <v>1365.56</v>
      </c>
      <c r="T24" s="218">
        <f t="shared" si="1"/>
        <v>3356</v>
      </c>
      <c r="U24" s="572">
        <f t="shared" si="4"/>
        <v>0.40690107270560189</v>
      </c>
      <c r="V24" s="211"/>
      <c r="W24" s="219"/>
      <c r="X24" s="197">
        <v>9.19</v>
      </c>
      <c r="Y24" s="219"/>
      <c r="Z24" s="204"/>
      <c r="AA24" s="273"/>
      <c r="AB24" s="219"/>
      <c r="AC24" s="219">
        <v>76.87</v>
      </c>
      <c r="AD24" s="219"/>
      <c r="AE24" s="219"/>
      <c r="AF24" s="219"/>
      <c r="AG24" s="219"/>
      <c r="AH24" s="219"/>
      <c r="AI24" s="386"/>
      <c r="AJ24" s="271">
        <f t="shared" si="3"/>
        <v>86.06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1451.62</v>
      </c>
      <c r="AS24" s="221">
        <f t="shared" si="7"/>
        <v>0</v>
      </c>
      <c r="AT24" s="283">
        <f t="shared" si="5"/>
        <v>42952.210000000006</v>
      </c>
    </row>
    <row r="25" spans="1:46" ht="15.75">
      <c r="A25" s="576">
        <v>44270</v>
      </c>
      <c r="B25" s="833"/>
      <c r="C25" s="807">
        <f t="shared" si="6"/>
        <v>41500.590000000004</v>
      </c>
      <c r="D25" s="808"/>
      <c r="E25" s="805"/>
      <c r="F25" s="809"/>
      <c r="G25" s="806">
        <v>1302.0899999999999</v>
      </c>
      <c r="H25" s="219"/>
      <c r="I25" s="223"/>
      <c r="J25" s="204"/>
      <c r="K25" s="204"/>
      <c r="L25" s="526"/>
      <c r="M25" s="298">
        <v>3251</v>
      </c>
      <c r="N25" s="206"/>
      <c r="O25" s="206"/>
      <c r="P25" s="206"/>
      <c r="Q25" s="206"/>
      <c r="R25" s="563"/>
      <c r="S25" s="571">
        <f t="shared" si="0"/>
        <v>1302.0899999999999</v>
      </c>
      <c r="T25" s="218">
        <f t="shared" si="1"/>
        <v>3251</v>
      </c>
      <c r="U25" s="572">
        <f t="shared" si="4"/>
        <v>0.40051984004921559</v>
      </c>
      <c r="V25" s="211"/>
      <c r="W25" s="219"/>
      <c r="X25" s="197"/>
      <c r="Y25" s="219"/>
      <c r="Z25" s="204">
        <v>40.56</v>
      </c>
      <c r="AA25" s="273"/>
      <c r="AB25" s="219"/>
      <c r="AC25" s="219"/>
      <c r="AD25" s="219"/>
      <c r="AE25" s="219"/>
      <c r="AF25" s="219"/>
      <c r="AG25" s="219"/>
      <c r="AH25" s="219">
        <v>124</v>
      </c>
      <c r="AI25" s="386"/>
      <c r="AJ25" s="271">
        <f t="shared" si="3"/>
        <v>164.56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1466.6499999999999</v>
      </c>
      <c r="AS25" s="221">
        <f t="shared" si="7"/>
        <v>0</v>
      </c>
      <c r="AT25" s="283">
        <f t="shared" si="5"/>
        <v>41500.590000000004</v>
      </c>
    </row>
    <row r="26" spans="1:46" ht="15.75">
      <c r="A26" s="576">
        <v>44271</v>
      </c>
      <c r="B26" s="833"/>
      <c r="C26" s="807">
        <f t="shared" si="6"/>
        <v>40033.94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40033.94</v>
      </c>
    </row>
    <row r="27" spans="1:46" ht="15.75">
      <c r="A27" s="576">
        <v>44272</v>
      </c>
      <c r="B27" s="833"/>
      <c r="C27" s="807">
        <f t="shared" si="6"/>
        <v>40033.94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40033.94</v>
      </c>
    </row>
    <row r="28" spans="1:46" ht="15.75">
      <c r="A28" s="576">
        <v>44273</v>
      </c>
      <c r="B28" s="833"/>
      <c r="C28" s="807">
        <f t="shared" si="6"/>
        <v>40033.94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40033.94</v>
      </c>
    </row>
    <row r="29" spans="1:46" ht="15.75">
      <c r="A29" s="576">
        <v>44274</v>
      </c>
      <c r="B29" s="833"/>
      <c r="C29" s="807">
        <f t="shared" si="6"/>
        <v>40033.94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40033.94</v>
      </c>
    </row>
    <row r="30" spans="1:46" ht="15.75">
      <c r="A30" s="576">
        <v>44275</v>
      </c>
      <c r="B30" s="833"/>
      <c r="C30" s="807">
        <f t="shared" si="6"/>
        <v>40033.94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40033.94</v>
      </c>
    </row>
    <row r="31" spans="1:46" ht="15.75">
      <c r="A31" s="576">
        <v>44276</v>
      </c>
      <c r="B31" s="833"/>
      <c r="C31" s="807">
        <f t="shared" si="6"/>
        <v>40033.94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40033.94</v>
      </c>
    </row>
    <row r="32" spans="1:46" ht="15.75">
      <c r="A32" s="576">
        <v>44277</v>
      </c>
      <c r="B32" s="833"/>
      <c r="C32" s="807">
        <f t="shared" si="6"/>
        <v>40033.94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40033.94</v>
      </c>
    </row>
    <row r="33" spans="1:46" ht="15.75">
      <c r="A33" s="576">
        <v>44278</v>
      </c>
      <c r="B33" s="833"/>
      <c r="C33" s="807">
        <f t="shared" si="6"/>
        <v>40033.94</v>
      </c>
      <c r="D33" s="808"/>
      <c r="E33" s="805"/>
      <c r="F33" s="809"/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40033.94</v>
      </c>
    </row>
    <row r="34" spans="1:46" ht="15.75">
      <c r="A34" s="576">
        <v>44279</v>
      </c>
      <c r="B34" s="833"/>
      <c r="C34" s="807">
        <f t="shared" si="6"/>
        <v>40033.94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40033.94</v>
      </c>
    </row>
    <row r="35" spans="1:46" ht="15.75">
      <c r="A35" s="576">
        <v>44280</v>
      </c>
      <c r="B35" s="833"/>
      <c r="C35" s="807">
        <f t="shared" si="6"/>
        <v>40033.94</v>
      </c>
      <c r="D35" s="808"/>
      <c r="E35" s="805">
        <v>18000</v>
      </c>
      <c r="F35" s="825" t="s">
        <v>317</v>
      </c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40033.94</v>
      </c>
    </row>
    <row r="36" spans="1:46" ht="15.75">
      <c r="A36" s="576">
        <v>44281</v>
      </c>
      <c r="B36" s="833"/>
      <c r="C36" s="807">
        <f t="shared" si="6"/>
        <v>40033.94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40033.94</v>
      </c>
    </row>
    <row r="37" spans="1:46" ht="15.75">
      <c r="A37" s="576">
        <v>44282</v>
      </c>
      <c r="B37" s="833"/>
      <c r="C37" s="807">
        <f t="shared" si="6"/>
        <v>40033.94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40033.94</v>
      </c>
    </row>
    <row r="38" spans="1:46" ht="15.75">
      <c r="A38" s="576">
        <v>44283</v>
      </c>
      <c r="B38" s="833"/>
      <c r="C38" s="807">
        <f t="shared" si="6"/>
        <v>40033.94</v>
      </c>
      <c r="D38" s="808"/>
      <c r="E38" s="805">
        <v>15000</v>
      </c>
      <c r="F38" s="826" t="s">
        <v>318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40033.94</v>
      </c>
    </row>
    <row r="39" spans="1:46" ht="15.75">
      <c r="A39" s="576">
        <v>44284</v>
      </c>
      <c r="B39" s="833"/>
      <c r="C39" s="807">
        <f t="shared" si="6"/>
        <v>40033.94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40033.94</v>
      </c>
    </row>
    <row r="40" spans="1:46" ht="15.75">
      <c r="A40" s="576">
        <v>44285</v>
      </c>
      <c r="B40" s="833"/>
      <c r="C40" s="807">
        <f t="shared" si="6"/>
        <v>40033.94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40033.94</v>
      </c>
    </row>
    <row r="41" spans="1:46" ht="15.75">
      <c r="A41" s="576">
        <v>44286</v>
      </c>
      <c r="B41" s="833"/>
      <c r="C41" s="807">
        <f t="shared" si="6"/>
        <v>40033.94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40033.94</v>
      </c>
    </row>
    <row r="42" spans="1:46" ht="14.25">
      <c r="A42" s="576"/>
      <c r="B42" s="575"/>
      <c r="C42" s="807">
        <f t="shared" si="6"/>
        <v>40033.94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40033.94</v>
      </c>
    </row>
    <row r="43" spans="1:46" ht="14.25">
      <c r="A43" s="496" t="s">
        <v>25</v>
      </c>
      <c r="B43" s="469">
        <f>AVERAGE(B11:B42)</f>
        <v>8.5428571428571437E-2</v>
      </c>
      <c r="C43" s="803">
        <f t="shared" si="6"/>
        <v>40033.94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40033.94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15000</v>
      </c>
      <c r="E45" s="313">
        <f>SUM(E11:E42)</f>
        <v>66000</v>
      </c>
      <c r="F45" s="819">
        <f t="shared" ref="F45:O45" si="8">SUM(F11:F44)</f>
        <v>0</v>
      </c>
      <c r="G45" s="313">
        <f t="shared" si="8"/>
        <v>4596.97</v>
      </c>
      <c r="H45" s="308">
        <f t="shared" si="8"/>
        <v>3729.63</v>
      </c>
      <c r="I45" s="313">
        <f t="shared" si="8"/>
        <v>0</v>
      </c>
      <c r="J45" s="308">
        <f t="shared" si="8"/>
        <v>3422.34</v>
      </c>
      <c r="K45" s="313">
        <f t="shared" si="8"/>
        <v>3519.9599999999996</v>
      </c>
      <c r="L45" s="308">
        <f t="shared" si="8"/>
        <v>2346.5299999999997</v>
      </c>
      <c r="M45" s="313">
        <f t="shared" si="8"/>
        <v>14443</v>
      </c>
      <c r="N45" s="554">
        <f t="shared" si="8"/>
        <v>6125</v>
      </c>
      <c r="O45" s="313">
        <f t="shared" si="8"/>
        <v>0</v>
      </c>
      <c r="P45" s="308">
        <f>SUM(P11:P43)</f>
        <v>8397</v>
      </c>
      <c r="Q45" s="313">
        <f>SUM(Q11:Q44)</f>
        <v>8674</v>
      </c>
      <c r="R45" s="308">
        <f>SUM(R11:R44)</f>
        <v>5790</v>
      </c>
      <c r="S45" s="552">
        <f>SUM(G45:L45)</f>
        <v>17615.43</v>
      </c>
      <c r="T45" s="308">
        <f>SUM(M45:R45)</f>
        <v>43429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84.47</v>
      </c>
      <c r="X45" s="547">
        <f t="shared" si="9"/>
        <v>282.18</v>
      </c>
      <c r="Y45" s="234">
        <f t="shared" si="9"/>
        <v>124</v>
      </c>
      <c r="Z45" s="547">
        <f t="shared" si="9"/>
        <v>250.57</v>
      </c>
      <c r="AA45" s="234">
        <f t="shared" si="9"/>
        <v>0</v>
      </c>
      <c r="AB45" s="547">
        <f t="shared" si="9"/>
        <v>119.41999999999999</v>
      </c>
      <c r="AC45" s="234">
        <f>SUM(AC10:AC44)</f>
        <v>133.75</v>
      </c>
      <c r="AD45" s="547">
        <f>SUM(AD10:AD44)</f>
        <v>136.86000000000001</v>
      </c>
      <c r="AE45" s="234">
        <f>SUM(AE9:AE44)</f>
        <v>0</v>
      </c>
      <c r="AF45" s="547">
        <f>SUM(AF9:AF44)</f>
        <v>0</v>
      </c>
      <c r="AG45" s="234">
        <f>SUM(AG9:AG44)</f>
        <v>601.89</v>
      </c>
      <c r="AH45" s="547">
        <f>SUM(AH9:AH43)</f>
        <v>507</v>
      </c>
      <c r="AI45" s="234">
        <f>SUM(AI9:AI39)</f>
        <v>0</v>
      </c>
      <c r="AJ45" s="547">
        <f>SUM(AJ9:AJ44)</f>
        <v>2240.1400000000003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19855.570000000003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568.23967741935473</v>
      </c>
      <c r="T47" s="316">
        <f>S45*2315</f>
        <v>40779720.450000003</v>
      </c>
      <c r="U47" s="317" t="s">
        <v>244</v>
      </c>
      <c r="AR47" s="523">
        <f>AR45*2143</f>
        <v>42550486.510000005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17815.517889908257</v>
      </c>
      <c r="U48" s="317" t="s">
        <v>245</v>
      </c>
      <c r="W48" s="191"/>
      <c r="X48" s="191"/>
      <c r="Y48" s="191"/>
      <c r="Z48" s="191"/>
      <c r="AA48" s="191"/>
      <c r="AR48" s="316">
        <f>AR47/2289</f>
        <v>18589.115993883795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8" t="s">
        <v>241</v>
      </c>
      <c r="C50" s="909"/>
      <c r="D50" s="909"/>
      <c r="E50" s="909"/>
      <c r="F50" s="910"/>
      <c r="H50" s="886" t="s">
        <v>213</v>
      </c>
      <c r="I50" s="887"/>
      <c r="J50" s="887"/>
      <c r="K50" s="887"/>
      <c r="L50" s="888"/>
      <c r="N50" s="889" t="s">
        <v>309</v>
      </c>
      <c r="O50" s="890"/>
      <c r="P50" s="890"/>
      <c r="Q50" s="890"/>
      <c r="R50" s="891"/>
      <c r="T50" s="892" t="s">
        <v>226</v>
      </c>
      <c r="U50" s="893"/>
      <c r="V50" s="893"/>
      <c r="W50" s="893"/>
      <c r="X50" s="893"/>
      <c r="Y50" s="894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321</v>
      </c>
      <c r="D52" s="501">
        <v>66</v>
      </c>
      <c r="E52" s="500" t="s">
        <v>322</v>
      </c>
      <c r="F52" s="527" t="s">
        <v>323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>
        <v>44267</v>
      </c>
      <c r="C53" s="499" t="s">
        <v>324</v>
      </c>
      <c r="D53" s="501">
        <v>51</v>
      </c>
      <c r="E53" s="500" t="s">
        <v>325</v>
      </c>
      <c r="F53" s="527" t="s">
        <v>323</v>
      </c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>
        <v>44267</v>
      </c>
      <c r="C54" s="499" t="s">
        <v>326</v>
      </c>
      <c r="D54" s="501">
        <v>69</v>
      </c>
      <c r="E54" s="500" t="s">
        <v>325</v>
      </c>
      <c r="F54" s="527" t="s">
        <v>323</v>
      </c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>
        <v>44267</v>
      </c>
      <c r="C55" s="302" t="s">
        <v>327</v>
      </c>
      <c r="D55" s="382">
        <v>122</v>
      </c>
      <c r="E55" s="302" t="s">
        <v>328</v>
      </c>
      <c r="F55" s="527" t="s">
        <v>323</v>
      </c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>
        <v>44268</v>
      </c>
      <c r="C56" s="302" t="s">
        <v>321</v>
      </c>
      <c r="D56" s="382">
        <v>75</v>
      </c>
      <c r="E56" s="302" t="s">
        <v>322</v>
      </c>
      <c r="F56" s="527" t="s">
        <v>323</v>
      </c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>
        <v>44270</v>
      </c>
      <c r="C57" s="302" t="s">
        <v>329</v>
      </c>
      <c r="D57" s="382">
        <v>124</v>
      </c>
      <c r="E57" s="302" t="s">
        <v>330</v>
      </c>
      <c r="F57" s="527" t="s">
        <v>323</v>
      </c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0" sqref="F3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3"/>
      <c r="D6" s="914"/>
      <c r="E6" s="915"/>
      <c r="F6" s="915"/>
      <c r="G6" s="48" t="s">
        <v>4</v>
      </c>
      <c r="H6" s="46" t="s">
        <v>14</v>
      </c>
      <c r="I6" s="41"/>
      <c r="J6" s="113"/>
    </row>
    <row r="7" spans="1:15" ht="18" customHeight="1">
      <c r="A7" s="916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7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50">
        <f>SUM(F10/H10)</f>
        <v>977000</v>
      </c>
      <c r="J10" s="851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50">
        <f t="shared" ref="I11:I41" si="2">SUM(F11/H11)</f>
        <v>826854.17582417582</v>
      </c>
      <c r="J11" s="851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50">
        <f t="shared" si="2"/>
        <v>5789131.538461539</v>
      </c>
      <c r="J12" s="851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50">
        <f t="shared" si="2"/>
        <v>5790208.461538462</v>
      </c>
      <c r="J13" s="851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50">
        <f t="shared" si="2"/>
        <v>7528838</v>
      </c>
      <c r="J14" s="851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50">
        <f t="shared" si="2"/>
        <v>7530328</v>
      </c>
      <c r="J15" s="851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50">
        <f t="shared" si="2"/>
        <v>7531732.0000000009</v>
      </c>
      <c r="J16" s="851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50">
        <f t="shared" si="2"/>
        <v>7533436</v>
      </c>
      <c r="J17" s="851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50">
        <f t="shared" si="2"/>
        <v>7535306</v>
      </c>
      <c r="J18" s="851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50">
        <f t="shared" si="2"/>
        <v>7537441</v>
      </c>
      <c r="J19" s="851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>
        <v>12</v>
      </c>
      <c r="C20" s="268">
        <v>85</v>
      </c>
      <c r="D20" s="268">
        <v>85</v>
      </c>
      <c r="E20" s="268"/>
      <c r="F20" s="268">
        <v>75398.179999999993</v>
      </c>
      <c r="G20" s="268">
        <f t="shared" si="0"/>
        <v>104.58799999995391</v>
      </c>
      <c r="H20" s="111">
        <f>[4]Gen!B21</f>
        <v>0.01</v>
      </c>
      <c r="I20" s="850">
        <f t="shared" si="2"/>
        <v>7539817.9999999991</v>
      </c>
      <c r="J20" s="851">
        <f t="shared" si="1"/>
        <v>1.3871422360586677E-5</v>
      </c>
    </row>
    <row r="21" spans="1:14" ht="18.75">
      <c r="A21" s="94">
        <f>Gen!A22</f>
        <v>44267</v>
      </c>
      <c r="B21" s="268">
        <v>10</v>
      </c>
      <c r="C21" s="268">
        <v>85</v>
      </c>
      <c r="D21" s="268">
        <v>85</v>
      </c>
      <c r="E21" s="268"/>
      <c r="F21" s="268">
        <v>75417.399999999994</v>
      </c>
      <c r="G21" s="268">
        <f t="shared" si="0"/>
        <v>84.568000000005128</v>
      </c>
      <c r="H21" s="111">
        <f>[4]Gen!B22</f>
        <v>0.03</v>
      </c>
      <c r="I21" s="850">
        <f t="shared" si="2"/>
        <v>2513913.333333333</v>
      </c>
      <c r="J21" s="851">
        <f t="shared" si="1"/>
        <v>3.363998228525717E-5</v>
      </c>
    </row>
    <row r="22" spans="1:14" ht="18.75">
      <c r="A22" s="94">
        <f>Gen!A23</f>
        <v>44268</v>
      </c>
      <c r="B22" s="268">
        <v>8</v>
      </c>
      <c r="C22" s="268">
        <v>85</v>
      </c>
      <c r="D22" s="268">
        <v>85</v>
      </c>
      <c r="E22" s="268"/>
      <c r="F22" s="268">
        <v>75435.460000000006</v>
      </c>
      <c r="G22" s="268">
        <f t="shared" si="0"/>
        <v>79.464000000053787</v>
      </c>
      <c r="H22" s="111">
        <f>[4]Gen!B23</f>
        <v>0.22</v>
      </c>
      <c r="I22" s="850">
        <f t="shared" si="2"/>
        <v>342888.45454545459</v>
      </c>
      <c r="J22" s="851">
        <f t="shared" si="1"/>
        <v>2.3174883536220009E-4</v>
      </c>
    </row>
    <row r="23" spans="1:14" ht="18.75">
      <c r="A23" s="94">
        <f>Gen!A24</f>
        <v>44269</v>
      </c>
      <c r="B23" s="268">
        <v>5</v>
      </c>
      <c r="C23" s="268">
        <v>85</v>
      </c>
      <c r="D23" s="268">
        <v>85</v>
      </c>
      <c r="E23" s="268"/>
      <c r="F23" s="268">
        <v>75453.42</v>
      </c>
      <c r="G23" s="268">
        <f>(F23-F22)*4.4</f>
        <v>79.023999999964147</v>
      </c>
      <c r="H23" s="111">
        <f>[4]Gen!B24</f>
        <v>0.23</v>
      </c>
      <c r="I23" s="850">
        <f t="shared" si="2"/>
        <v>328058.34782608692</v>
      </c>
      <c r="J23" s="851">
        <f t="shared" si="1"/>
        <v>2.4088397848622047E-4</v>
      </c>
    </row>
    <row r="24" spans="1:14" ht="18.75">
      <c r="A24" s="94">
        <f>Gen!A25</f>
        <v>44270</v>
      </c>
      <c r="B24" s="268">
        <v>4</v>
      </c>
      <c r="C24" s="268">
        <v>85</v>
      </c>
      <c r="D24" s="268">
        <v>85</v>
      </c>
      <c r="E24" s="268"/>
      <c r="F24" s="268">
        <v>75473.570000000007</v>
      </c>
      <c r="G24" s="268">
        <f t="shared" si="0"/>
        <v>88.660000000038423</v>
      </c>
      <c r="H24" s="111">
        <f>[4]Gen!B25</f>
        <v>0.21</v>
      </c>
      <c r="I24" s="850">
        <f t="shared" si="2"/>
        <v>359397.95238095243</v>
      </c>
      <c r="J24" s="851">
        <f t="shared" si="1"/>
        <v>2.4669033146316078E-4</v>
      </c>
    </row>
    <row r="25" spans="1:14" ht="18.75">
      <c r="A25" s="94">
        <f>Gen!A26</f>
        <v>44271</v>
      </c>
      <c r="B25" s="268">
        <v>2</v>
      </c>
      <c r="C25" s="268">
        <v>85</v>
      </c>
      <c r="D25" s="268">
        <v>85</v>
      </c>
      <c r="E25" s="268"/>
      <c r="F25" s="268">
        <v>75488.2</v>
      </c>
      <c r="G25" s="268">
        <f t="shared" si="0"/>
        <v>64.371999999956472</v>
      </c>
      <c r="H25" s="111">
        <f>[4]Gen!B26</f>
        <v>0.03</v>
      </c>
      <c r="I25" s="850">
        <f t="shared" si="2"/>
        <v>2516273.3333333335</v>
      </c>
      <c r="J25" s="851">
        <f t="shared" si="1"/>
        <v>2.558227643524013E-5</v>
      </c>
    </row>
    <row r="26" spans="1:14" ht="18.75">
      <c r="A26" s="94">
        <f>Gen!A27</f>
        <v>44272</v>
      </c>
      <c r="B26" s="268"/>
      <c r="C26" s="268"/>
      <c r="D26" s="268"/>
      <c r="E26" s="268"/>
      <c r="F26" s="268"/>
      <c r="G26" s="268">
        <f t="shared" si="0"/>
        <v>-332148.08</v>
      </c>
      <c r="H26" s="111">
        <f>[4]Gen!B27</f>
        <v>0.06</v>
      </c>
      <c r="I26" s="850">
        <f t="shared" si="2"/>
        <v>0</v>
      </c>
      <c r="J26" s="851" t="e">
        <f t="shared" si="1"/>
        <v>#DIV/0!</v>
      </c>
    </row>
    <row r="27" spans="1:14" ht="18.75">
      <c r="A27" s="94">
        <f>Gen!A28</f>
        <v>44273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850">
        <f t="shared" si="2"/>
        <v>0</v>
      </c>
      <c r="J27" s="851" t="e">
        <f t="shared" si="1"/>
        <v>#DIV/0!</v>
      </c>
    </row>
    <row r="28" spans="1:14" ht="18.75">
      <c r="A28" s="94">
        <f>Gen!A29</f>
        <v>44274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50">
        <f t="shared" si="2"/>
        <v>0</v>
      </c>
      <c r="J28" s="851" t="e">
        <f t="shared" si="1"/>
        <v>#DIV/0!</v>
      </c>
    </row>
    <row r="29" spans="1:14" ht="18.75">
      <c r="A29" s="94">
        <f>Gen!A30</f>
        <v>44275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50">
        <f t="shared" si="2"/>
        <v>0</v>
      </c>
      <c r="J29" s="851" t="e">
        <f t="shared" si="1"/>
        <v>#DIV/0!</v>
      </c>
    </row>
    <row r="30" spans="1:14" ht="18.75">
      <c r="A30" s="94">
        <f>Gen!A31</f>
        <v>44276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50">
        <f t="shared" si="2"/>
        <v>0</v>
      </c>
      <c r="J30" s="851" t="e">
        <f t="shared" si="1"/>
        <v>#DIV/0!</v>
      </c>
    </row>
    <row r="31" spans="1:14" ht="18.75">
      <c r="A31" s="94">
        <f>Gen!A32</f>
        <v>44277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50">
        <f t="shared" si="2"/>
        <v>0</v>
      </c>
      <c r="J31" s="851" t="e">
        <f t="shared" si="1"/>
        <v>#DIV/0!</v>
      </c>
    </row>
    <row r="32" spans="1:14" ht="18.75">
      <c r="A32" s="94">
        <f>Gen!A33</f>
        <v>44278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50">
        <f t="shared" si="2"/>
        <v>0</v>
      </c>
      <c r="J32" s="851" t="e">
        <f t="shared" si="1"/>
        <v>#DIV/0!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50">
        <f t="shared" si="2"/>
        <v>0</v>
      </c>
      <c r="J33" s="851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50">
        <f t="shared" si="2"/>
        <v>0</v>
      </c>
      <c r="J34" s="851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50">
        <f t="shared" si="2"/>
        <v>0</v>
      </c>
      <c r="J35" s="851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50">
        <f t="shared" si="2"/>
        <v>0</v>
      </c>
      <c r="J36" s="851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50">
        <f t="shared" si="2"/>
        <v>0</v>
      </c>
      <c r="J37" s="851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50">
        <f t="shared" si="2"/>
        <v>0</v>
      </c>
      <c r="J38" s="851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50">
        <f t="shared" si="2"/>
        <v>0</v>
      </c>
      <c r="J39" s="851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50">
        <f t="shared" si="2"/>
        <v>0</v>
      </c>
      <c r="J40" s="851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50" t="e">
        <f t="shared" si="2"/>
        <v>#DIV/0!</v>
      </c>
      <c r="J41" s="852"/>
    </row>
    <row r="42" spans="1:10" ht="17.25">
      <c r="A42" s="94"/>
      <c r="B42" s="5"/>
      <c r="C42" s="912" t="s">
        <v>6</v>
      </c>
      <c r="D42" s="912"/>
      <c r="E42" s="2">
        <f t="shared" ref="E42" si="4">SUM(E10:E40)</f>
        <v>0</v>
      </c>
      <c r="F42" s="2">
        <f>SUM(F10:F41)</f>
        <v>1205641.1900000002</v>
      </c>
      <c r="G42" s="101">
        <f>SUM(G10:G40)</f>
        <v>-330941.60000000003</v>
      </c>
      <c r="H42" s="111">
        <f>[4]Gen!B43</f>
        <v>0.18598064516129031</v>
      </c>
      <c r="I42" s="850"/>
      <c r="J42" s="851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1"/>
      <c r="C45" s="911"/>
      <c r="D45" s="911"/>
      <c r="E45" s="911"/>
      <c r="F45" s="911"/>
      <c r="G45" s="911"/>
      <c r="H45" s="911"/>
      <c r="I45" s="838"/>
      <c r="J45" s="845"/>
    </row>
    <row r="46" spans="1:10">
      <c r="A46" s="19"/>
      <c r="B46" s="911"/>
      <c r="C46" s="911"/>
      <c r="D46" s="911"/>
      <c r="E46" s="911"/>
      <c r="F46" s="911"/>
      <c r="G46" s="911"/>
      <c r="H46" s="911"/>
      <c r="I46" s="838"/>
      <c r="J46" s="845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5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5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5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5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5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5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5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5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4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" zoomScale="94" zoomScaleNormal="94" workbookViewId="0">
      <pane xSplit="1" topLeftCell="I1" activePane="topRight" state="frozen"/>
      <selection pane="topRight" activeCell="AC22" sqref="AC2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2" t="s">
        <v>315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  <c r="P1" s="923"/>
      <c r="Q1" s="923"/>
      <c r="R1" s="923"/>
      <c r="S1" s="923"/>
      <c r="T1" s="923"/>
      <c r="U1" s="923"/>
      <c r="V1" s="923"/>
      <c r="W1" s="923"/>
      <c r="X1" s="923"/>
      <c r="Y1" s="923"/>
      <c r="Z1" s="923"/>
      <c r="AA1" s="923"/>
      <c r="AB1" s="923"/>
      <c r="AC1" s="923"/>
      <c r="AD1" s="923"/>
      <c r="AE1" s="923"/>
      <c r="AF1" s="923"/>
      <c r="AG1" s="923"/>
      <c r="AH1" s="923"/>
      <c r="AI1" s="923"/>
      <c r="AJ1" s="923"/>
      <c r="AK1" s="923"/>
      <c r="AL1" s="923"/>
      <c r="AM1" s="923"/>
      <c r="AN1" s="923"/>
    </row>
    <row r="2" spans="1:40" ht="13.5" customHeight="1" thickTop="1">
      <c r="A2" s="29"/>
      <c r="B2" s="29"/>
      <c r="C2" s="919" t="s">
        <v>52</v>
      </c>
      <c r="D2" s="919"/>
      <c r="E2" s="919"/>
      <c r="F2" s="919" t="s">
        <v>17</v>
      </c>
      <c r="G2" s="919"/>
      <c r="H2" s="919"/>
      <c r="I2" s="919" t="s">
        <v>131</v>
      </c>
      <c r="J2" s="919"/>
      <c r="K2" s="919"/>
      <c r="L2" s="919" t="s">
        <v>134</v>
      </c>
      <c r="M2" s="919"/>
      <c r="N2" s="919"/>
      <c r="O2" s="919" t="s">
        <v>132</v>
      </c>
      <c r="P2" s="919"/>
      <c r="Q2" s="919"/>
      <c r="R2" s="252"/>
      <c r="S2" s="930" t="s">
        <v>181</v>
      </c>
      <c r="T2" s="931"/>
      <c r="U2" s="932"/>
      <c r="V2" s="930" t="s">
        <v>182</v>
      </c>
      <c r="W2" s="931"/>
      <c r="X2" s="932"/>
      <c r="Y2" s="930" t="s">
        <v>183</v>
      </c>
      <c r="Z2" s="931"/>
      <c r="AA2" s="932"/>
      <c r="AB2" s="930" t="s">
        <v>184</v>
      </c>
      <c r="AC2" s="931"/>
      <c r="AD2" s="932"/>
      <c r="AE2" s="924" t="s">
        <v>239</v>
      </c>
      <c r="AF2" s="925"/>
      <c r="AG2" s="936"/>
      <c r="AH2" s="924" t="s">
        <v>243</v>
      </c>
      <c r="AI2" s="925"/>
      <c r="AJ2" s="936"/>
      <c r="AK2" s="924" t="s">
        <v>240</v>
      </c>
      <c r="AL2" s="925"/>
      <c r="AM2" s="925"/>
      <c r="AN2" s="928" t="s">
        <v>189</v>
      </c>
    </row>
    <row r="3" spans="1:40" ht="21.75" customHeight="1" thickBot="1">
      <c r="A3" s="920" t="s">
        <v>7</v>
      </c>
      <c r="B3" s="29"/>
      <c r="C3" s="919" t="s">
        <v>133</v>
      </c>
      <c r="D3" s="919" t="s">
        <v>15</v>
      </c>
      <c r="E3" s="919" t="s">
        <v>16</v>
      </c>
      <c r="F3" s="919" t="s">
        <v>133</v>
      </c>
      <c r="G3" s="919" t="s">
        <v>15</v>
      </c>
      <c r="H3" s="919" t="s">
        <v>16</v>
      </c>
      <c r="I3" s="919" t="s">
        <v>133</v>
      </c>
      <c r="J3" s="919" t="s">
        <v>15</v>
      </c>
      <c r="K3" s="919" t="s">
        <v>16</v>
      </c>
      <c r="L3" s="919" t="s">
        <v>133</v>
      </c>
      <c r="M3" s="919" t="s">
        <v>15</v>
      </c>
      <c r="N3" s="919" t="s">
        <v>16</v>
      </c>
      <c r="O3" s="919" t="s">
        <v>133</v>
      </c>
      <c r="P3" s="919" t="s">
        <v>15</v>
      </c>
      <c r="Q3" s="919" t="s">
        <v>16</v>
      </c>
      <c r="R3" s="938" t="s">
        <v>185</v>
      </c>
      <c r="S3" s="933"/>
      <c r="T3" s="934"/>
      <c r="U3" s="935"/>
      <c r="V3" s="933"/>
      <c r="W3" s="934"/>
      <c r="X3" s="935"/>
      <c r="Y3" s="933"/>
      <c r="Z3" s="934"/>
      <c r="AA3" s="935"/>
      <c r="AB3" s="933"/>
      <c r="AC3" s="934"/>
      <c r="AD3" s="935"/>
      <c r="AE3" s="926"/>
      <c r="AF3" s="927"/>
      <c r="AG3" s="937"/>
      <c r="AH3" s="926"/>
      <c r="AI3" s="927"/>
      <c r="AJ3" s="937"/>
      <c r="AK3" s="926"/>
      <c r="AL3" s="927"/>
      <c r="AM3" s="927"/>
      <c r="AN3" s="929"/>
    </row>
    <row r="4" spans="1:40" ht="15.75" thickTop="1">
      <c r="A4" s="921"/>
      <c r="B4" s="244"/>
      <c r="C4" s="919"/>
      <c r="D4" s="919"/>
      <c r="E4" s="919"/>
      <c r="F4" s="919"/>
      <c r="G4" s="919"/>
      <c r="H4" s="919"/>
      <c r="I4" s="919"/>
      <c r="J4" s="919"/>
      <c r="K4" s="919"/>
      <c r="L4" s="919"/>
      <c r="M4" s="919"/>
      <c r="N4" s="919"/>
      <c r="O4" s="919"/>
      <c r="P4" s="919"/>
      <c r="Q4" s="919"/>
      <c r="R4" s="938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18420</v>
      </c>
      <c r="AD14" s="610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119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>
        <v>251356</v>
      </c>
      <c r="E15" s="58">
        <f t="shared" si="1"/>
        <v>27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>
        <v>8316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>
        <v>21032</v>
      </c>
      <c r="Q15" s="474">
        <f t="shared" si="7"/>
        <v>4</v>
      </c>
      <c r="R15" s="250"/>
      <c r="S15" s="245">
        <f t="shared" si="15"/>
        <v>65980</v>
      </c>
      <c r="T15" s="384">
        <v>66063</v>
      </c>
      <c r="U15" s="475">
        <f t="shared" si="16"/>
        <v>83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89838</v>
      </c>
      <c r="Z15" s="384">
        <v>89838</v>
      </c>
      <c r="AA15" s="475">
        <f t="shared" si="18"/>
        <v>0</v>
      </c>
      <c r="AB15" s="607">
        <f t="shared" si="22"/>
        <v>18420</v>
      </c>
      <c r="AC15" s="611">
        <v>18436</v>
      </c>
      <c r="AD15" s="610">
        <f t="shared" si="23"/>
        <v>16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29721</v>
      </c>
      <c r="AI15" s="385">
        <v>29747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125</v>
      </c>
    </row>
    <row r="16" spans="1:40" ht="23.1" customHeight="1">
      <c r="A16" s="57">
        <f>Gen!A21</f>
        <v>44266</v>
      </c>
      <c r="B16" s="4"/>
      <c r="C16" s="95">
        <f t="shared" si="0"/>
        <v>251356</v>
      </c>
      <c r="D16" s="1">
        <v>251416</v>
      </c>
      <c r="E16" s="58">
        <f>IF((D16-D15)&lt;0,"0",(D16-D15))</f>
        <v>60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8316</v>
      </c>
      <c r="J16" s="1">
        <v>8318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21032</v>
      </c>
      <c r="P16" s="383">
        <v>21035</v>
      </c>
      <c r="Q16" s="474">
        <f t="shared" si="7"/>
        <v>3</v>
      </c>
      <c r="R16" s="250"/>
      <c r="S16" s="245">
        <f t="shared" si="15"/>
        <v>66063</v>
      </c>
      <c r="T16" s="384">
        <v>66147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89838</v>
      </c>
      <c r="Z16" s="384">
        <v>89838</v>
      </c>
      <c r="AA16" s="475">
        <f t="shared" si="18"/>
        <v>0</v>
      </c>
      <c r="AB16" s="607">
        <f t="shared" si="22"/>
        <v>18436</v>
      </c>
      <c r="AC16" s="611">
        <v>18450</v>
      </c>
      <c r="AD16" s="610">
        <f t="shared" si="23"/>
        <v>14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29747</v>
      </c>
      <c r="AI16" s="385">
        <v>29773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124</v>
      </c>
    </row>
    <row r="17" spans="1:40" ht="23.1" customHeight="1">
      <c r="A17" s="57">
        <f>Gen!A22</f>
        <v>44267</v>
      </c>
      <c r="B17" s="4"/>
      <c r="C17" s="95">
        <f t="shared" si="0"/>
        <v>251416</v>
      </c>
      <c r="D17" s="1">
        <v>251481</v>
      </c>
      <c r="E17" s="474">
        <f>IF((D17-D16)&lt;0,"0",(D17-D16))</f>
        <v>65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8318</v>
      </c>
      <c r="J17" s="1">
        <v>8320</v>
      </c>
      <c r="K17" s="474">
        <f t="shared" si="28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21035</v>
      </c>
      <c r="P17" s="383">
        <v>21037</v>
      </c>
      <c r="Q17" s="474">
        <f t="shared" si="7"/>
        <v>2</v>
      </c>
      <c r="R17" s="250"/>
      <c r="S17" s="245">
        <f t="shared" si="15"/>
        <v>66147</v>
      </c>
      <c r="T17" s="384">
        <v>66229</v>
      </c>
      <c r="U17" s="475">
        <f t="shared" si="16"/>
        <v>82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89838</v>
      </c>
      <c r="Z17" s="384">
        <v>89838</v>
      </c>
      <c r="AA17" s="475">
        <f>IF((Z17-Z16)&lt;0,"0",(Z17-Z16))</f>
        <v>0</v>
      </c>
      <c r="AB17" s="607">
        <f t="shared" si="22"/>
        <v>18450</v>
      </c>
      <c r="AC17" s="611">
        <v>18466</v>
      </c>
      <c r="AD17" s="610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29773</v>
      </c>
      <c r="AI17" s="385">
        <v>29800</v>
      </c>
      <c r="AJ17" s="475">
        <f t="shared" si="20"/>
        <v>27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125</v>
      </c>
    </row>
    <row r="18" spans="1:40" ht="23.1" customHeight="1">
      <c r="A18" s="57">
        <f>Gen!A23</f>
        <v>44268</v>
      </c>
      <c r="B18" s="4"/>
      <c r="C18" s="95">
        <f t="shared" si="0"/>
        <v>251481</v>
      </c>
      <c r="D18" s="1">
        <v>251556</v>
      </c>
      <c r="E18" s="474">
        <f t="shared" ref="E18:E37" si="29">IF((D18-D17)&lt;0,"0",(D18-D17))</f>
        <v>75</v>
      </c>
      <c r="F18" s="95">
        <f t="shared" si="2"/>
        <v>0</v>
      </c>
      <c r="G18" s="387"/>
      <c r="H18" s="474">
        <f t="shared" si="13"/>
        <v>0</v>
      </c>
      <c r="I18" s="95"/>
      <c r="J18" s="1">
        <v>8322</v>
      </c>
      <c r="K18" s="474">
        <f t="shared" si="28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21037</v>
      </c>
      <c r="P18" s="383">
        <v>21043</v>
      </c>
      <c r="Q18" s="474">
        <f t="shared" si="7"/>
        <v>6</v>
      </c>
      <c r="R18" s="250"/>
      <c r="S18" s="245">
        <f t="shared" si="15"/>
        <v>66229</v>
      </c>
      <c r="T18" s="384">
        <v>66312</v>
      </c>
      <c r="U18" s="475">
        <f t="shared" si="16"/>
        <v>83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89838</v>
      </c>
      <c r="Z18" s="384">
        <v>89838</v>
      </c>
      <c r="AA18" s="475">
        <f t="shared" si="18"/>
        <v>0</v>
      </c>
      <c r="AB18" s="607">
        <f t="shared" si="22"/>
        <v>18466</v>
      </c>
      <c r="AC18" s="611">
        <v>18483</v>
      </c>
      <c r="AD18" s="610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29800</v>
      </c>
      <c r="AI18" s="385">
        <v>29828</v>
      </c>
      <c r="AJ18" s="475">
        <f t="shared" si="20"/>
        <v>28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128</v>
      </c>
    </row>
    <row r="19" spans="1:40" ht="23.1" customHeight="1">
      <c r="A19" s="57">
        <f>Gen!A24</f>
        <v>44269</v>
      </c>
      <c r="B19" s="4"/>
      <c r="C19" s="95">
        <f t="shared" si="0"/>
        <v>251556</v>
      </c>
      <c r="D19" s="1">
        <v>251630</v>
      </c>
      <c r="E19" s="474">
        <f t="shared" si="29"/>
        <v>74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8322</v>
      </c>
      <c r="J19" s="1">
        <v>8324</v>
      </c>
      <c r="K19" s="474">
        <f t="shared" si="28"/>
        <v>2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21043</v>
      </c>
      <c r="P19" s="383">
        <v>21049</v>
      </c>
      <c r="Q19" s="474">
        <f t="shared" si="7"/>
        <v>6</v>
      </c>
      <c r="R19" s="250"/>
      <c r="S19" s="245">
        <f t="shared" si="15"/>
        <v>66312</v>
      </c>
      <c r="T19" s="384">
        <v>66353</v>
      </c>
      <c r="U19" s="475">
        <f t="shared" si="16"/>
        <v>41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89838</v>
      </c>
      <c r="Z19" s="384">
        <v>89838</v>
      </c>
      <c r="AA19" s="475">
        <f t="shared" si="18"/>
        <v>0</v>
      </c>
      <c r="AB19" s="607">
        <f t="shared" si="22"/>
        <v>18483</v>
      </c>
      <c r="AC19" s="611">
        <v>18499</v>
      </c>
      <c r="AD19" s="610">
        <f t="shared" si="23"/>
        <v>16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29828</v>
      </c>
      <c r="AI19" s="385">
        <v>29853</v>
      </c>
      <c r="AJ19" s="475">
        <f t="shared" si="20"/>
        <v>25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82</v>
      </c>
    </row>
    <row r="20" spans="1:40" ht="23.1" customHeight="1">
      <c r="A20" s="57">
        <f>Gen!A25</f>
        <v>44270</v>
      </c>
      <c r="B20" s="4"/>
      <c r="C20" s="95">
        <f t="shared" si="0"/>
        <v>251630</v>
      </c>
      <c r="D20" s="1">
        <v>251704</v>
      </c>
      <c r="E20" s="474">
        <f t="shared" si="29"/>
        <v>74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8324</v>
      </c>
      <c r="J20" s="1">
        <v>8328</v>
      </c>
      <c r="K20" s="474">
        <f t="shared" si="28"/>
        <v>4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21049</v>
      </c>
      <c r="P20" s="383">
        <v>21055</v>
      </c>
      <c r="Q20" s="474">
        <f t="shared" si="7"/>
        <v>6</v>
      </c>
      <c r="R20" s="250"/>
      <c r="S20" s="245">
        <f t="shared" si="15"/>
        <v>66353</v>
      </c>
      <c r="T20" s="384">
        <v>66353</v>
      </c>
      <c r="U20" s="475">
        <f t="shared" si="16"/>
        <v>0</v>
      </c>
      <c r="V20" s="245">
        <f t="shared" si="8"/>
        <v>73031</v>
      </c>
      <c r="W20" s="384"/>
      <c r="X20" s="475" t="str">
        <f t="shared" si="17"/>
        <v>0</v>
      </c>
      <c r="Y20" s="245">
        <f t="shared" si="9"/>
        <v>89838</v>
      </c>
      <c r="Z20" s="384"/>
      <c r="AA20" s="475" t="str">
        <f t="shared" si="18"/>
        <v>0</v>
      </c>
      <c r="AB20" s="607">
        <f t="shared" si="22"/>
        <v>18499</v>
      </c>
      <c r="AC20" s="611">
        <v>18515</v>
      </c>
      <c r="AD20" s="610">
        <f t="shared" si="23"/>
        <v>16</v>
      </c>
      <c r="AE20" s="245">
        <f t="shared" si="27"/>
        <v>0</v>
      </c>
      <c r="AF20" s="385"/>
      <c r="AG20" s="475" t="str">
        <f t="shared" si="19"/>
        <v>0</v>
      </c>
      <c r="AH20" s="245">
        <f t="shared" si="11"/>
        <v>29853</v>
      </c>
      <c r="AI20" s="385">
        <v>29879</v>
      </c>
      <c r="AJ20" s="475">
        <f t="shared" si="20"/>
        <v>26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42</v>
      </c>
    </row>
    <row r="21" spans="1:40" ht="23.1" customHeight="1">
      <c r="A21" s="57">
        <f>Gen!A26</f>
        <v>44271</v>
      </c>
      <c r="B21" s="4"/>
      <c r="C21" s="95">
        <f t="shared" si="0"/>
        <v>251704</v>
      </c>
      <c r="D21" s="1"/>
      <c r="E21" s="474" t="str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8328</v>
      </c>
      <c r="J21" s="1"/>
      <c r="K21" s="474" t="str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21055</v>
      </c>
      <c r="P21" s="383"/>
      <c r="Q21" s="474" t="str">
        <f t="shared" si="7"/>
        <v>0</v>
      </c>
      <c r="R21" s="250"/>
      <c r="S21" s="245">
        <f t="shared" si="15"/>
        <v>66353</v>
      </c>
      <c r="T21" s="384"/>
      <c r="U21" s="475" t="str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7">
        <f t="shared" si="22"/>
        <v>18515</v>
      </c>
      <c r="AC21" s="611"/>
      <c r="AD21" s="610" t="str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29879</v>
      </c>
      <c r="AI21" s="385"/>
      <c r="AJ21" s="475" t="str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44272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7">
        <f t="shared" si="22"/>
        <v>0</v>
      </c>
      <c r="AC22" s="611"/>
      <c r="AD22" s="610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44273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7">
        <f t="shared" si="22"/>
        <v>0</v>
      </c>
      <c r="AC23" s="608"/>
      <c r="AD23" s="610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44274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7">
        <f t="shared" si="22"/>
        <v>0</v>
      </c>
      <c r="AC24" s="608"/>
      <c r="AD24" s="610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44275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7">
        <f t="shared" si="22"/>
        <v>0</v>
      </c>
      <c r="AC25" s="608"/>
      <c r="AD25" s="610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44276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7">
        <f t="shared" si="22"/>
        <v>0</v>
      </c>
      <c r="AC26" s="608"/>
      <c r="AD26" s="610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44277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7">
        <f t="shared" si="22"/>
        <v>0</v>
      </c>
      <c r="AC27" s="608"/>
      <c r="AD27" s="610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44278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7">
        <f t="shared" si="22"/>
        <v>0</v>
      </c>
      <c r="AC28" s="608"/>
      <c r="AD28" s="610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44279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7">
        <f t="shared" si="22"/>
        <v>0</v>
      </c>
      <c r="AC29" s="608"/>
      <c r="AD29" s="610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1041</v>
      </c>
    </row>
    <row r="38" spans="1:41" ht="18.75">
      <c r="A38" s="57"/>
      <c r="B38" s="21"/>
      <c r="C38" s="918" t="s">
        <v>6</v>
      </c>
      <c r="D38" s="918"/>
      <c r="E38" s="22">
        <f>SUM(E6:E36)</f>
        <v>876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34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876</v>
      </c>
      <c r="S38" s="247"/>
      <c r="T38" s="247"/>
      <c r="U38" s="257">
        <f>SUM(U6:U37)</f>
        <v>1041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1041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4"/>
      <c r="B42" s="277"/>
      <c r="C42" s="941" t="s">
        <v>222</v>
      </c>
      <c r="D42" s="942"/>
      <c r="E42" s="942"/>
      <c r="F42" s="942"/>
      <c r="G42" s="942"/>
      <c r="H42" s="942"/>
      <c r="I42" s="942"/>
      <c r="J42" s="942"/>
      <c r="K42" s="943"/>
      <c r="R42" s="19"/>
    </row>
    <row r="43" spans="1:41" ht="24.75" customHeight="1">
      <c r="A43" s="945"/>
      <c r="B43" s="19"/>
      <c r="C43" s="947" t="s">
        <v>216</v>
      </c>
      <c r="D43" s="948"/>
      <c r="E43" s="949" t="s">
        <v>237</v>
      </c>
      <c r="F43" s="950"/>
      <c r="G43" s="951" t="s">
        <v>217</v>
      </c>
      <c r="H43" s="952"/>
      <c r="I43" s="951" t="s">
        <v>238</v>
      </c>
      <c r="J43" s="952"/>
      <c r="K43" s="93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5"/>
      <c r="B44" s="19"/>
      <c r="C44" s="953" t="s">
        <v>218</v>
      </c>
      <c r="D44" s="954"/>
      <c r="E44" s="953" t="s">
        <v>219</v>
      </c>
      <c r="F44" s="954"/>
      <c r="G44" s="953" t="s">
        <v>220</v>
      </c>
      <c r="H44" s="954"/>
      <c r="I44" s="953" t="s">
        <v>221</v>
      </c>
      <c r="J44" s="954"/>
      <c r="K44" s="94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>
        <v>300</v>
      </c>
      <c r="D56" s="325">
        <f t="shared" si="49"/>
        <v>217</v>
      </c>
      <c r="E56" s="6">
        <v>290</v>
      </c>
      <c r="F56" s="325">
        <f t="shared" si="50"/>
        <v>87.47540983606558</v>
      </c>
      <c r="G56" s="477">
        <v>160</v>
      </c>
      <c r="H56" s="325">
        <f t="shared" si="51"/>
        <v>60.992167101827675</v>
      </c>
      <c r="I56" s="6">
        <v>280</v>
      </c>
      <c r="J56" s="325">
        <f t="shared" si="52"/>
        <v>193.63636363636363</v>
      </c>
      <c r="K56" s="331">
        <f t="shared" si="53"/>
        <v>559.10394057425685</v>
      </c>
    </row>
    <row r="57" spans="1:15" ht="13.5">
      <c r="A57" s="293">
        <f>Gen!A22</f>
        <v>44267</v>
      </c>
      <c r="B57" s="19"/>
      <c r="C57" s="62">
        <v>220</v>
      </c>
      <c r="D57" s="325">
        <f t="shared" si="49"/>
        <v>159.13333333333333</v>
      </c>
      <c r="E57" s="6">
        <v>175</v>
      </c>
      <c r="F57" s="325">
        <f t="shared" si="50"/>
        <v>52.786885245901637</v>
      </c>
      <c r="G57" s="477">
        <v>300</v>
      </c>
      <c r="H57" s="325">
        <f t="shared" si="51"/>
        <v>114.36031331592689</v>
      </c>
      <c r="I57" s="6">
        <v>285</v>
      </c>
      <c r="J57" s="325">
        <f t="shared" si="52"/>
        <v>197.09415584415584</v>
      </c>
      <c r="K57" s="331">
        <f t="shared" si="53"/>
        <v>523.37468773931766</v>
      </c>
    </row>
    <row r="58" spans="1:15" ht="13.5">
      <c r="A58" s="293">
        <f>Gen!A23</f>
        <v>44268</v>
      </c>
      <c r="B58" s="19"/>
      <c r="C58" s="62">
        <v>300</v>
      </c>
      <c r="D58" s="325">
        <f t="shared" si="49"/>
        <v>217</v>
      </c>
      <c r="E58" s="6">
        <v>285</v>
      </c>
      <c r="F58" s="325">
        <f t="shared" si="50"/>
        <v>85.967213114754102</v>
      </c>
      <c r="G58" s="477">
        <v>235</v>
      </c>
      <c r="H58" s="325">
        <f t="shared" si="51"/>
        <v>89.582245430809394</v>
      </c>
      <c r="I58" s="6">
        <v>280</v>
      </c>
      <c r="J58" s="325">
        <f t="shared" si="52"/>
        <v>193.63636363636363</v>
      </c>
      <c r="K58" s="331">
        <f t="shared" si="53"/>
        <v>586.18582218192705</v>
      </c>
    </row>
    <row r="59" spans="1:15" ht="13.5">
      <c r="A59" s="293">
        <f>Gen!A24</f>
        <v>44269</v>
      </c>
      <c r="B59" s="19"/>
      <c r="C59" s="62">
        <v>300</v>
      </c>
      <c r="D59" s="325">
        <f t="shared" si="49"/>
        <v>217</v>
      </c>
      <c r="E59" s="6">
        <v>285</v>
      </c>
      <c r="F59" s="325">
        <f t="shared" si="50"/>
        <v>85.967213114754102</v>
      </c>
      <c r="G59" s="477">
        <v>150</v>
      </c>
      <c r="H59" s="325">
        <f t="shared" si="51"/>
        <v>57.180156657963444</v>
      </c>
      <c r="I59" s="6">
        <v>280</v>
      </c>
      <c r="J59" s="325">
        <f t="shared" si="52"/>
        <v>193.63636363636363</v>
      </c>
      <c r="K59" s="331">
        <f t="shared" si="53"/>
        <v>553.78373340908115</v>
      </c>
    </row>
    <row r="60" spans="1:15" ht="13.5">
      <c r="A60" s="293">
        <f>Gen!A25</f>
        <v>44270</v>
      </c>
      <c r="B60" s="19"/>
      <c r="C60" s="62">
        <v>240</v>
      </c>
      <c r="D60" s="325">
        <f t="shared" si="49"/>
        <v>173.6</v>
      </c>
      <c r="E60" s="6">
        <v>205</v>
      </c>
      <c r="F60" s="325">
        <f t="shared" si="50"/>
        <v>61.83606557377049</v>
      </c>
      <c r="G60" s="477">
        <v>220</v>
      </c>
      <c r="H60" s="325">
        <f t="shared" si="51"/>
        <v>83.86422976501305</v>
      </c>
      <c r="I60" s="6">
        <v>285</v>
      </c>
      <c r="J60" s="325">
        <f t="shared" si="52"/>
        <v>197.09415584415584</v>
      </c>
      <c r="K60" s="331">
        <f t="shared" si="53"/>
        <v>516.39445118293941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>
        <v>45</v>
      </c>
      <c r="D61" s="325">
        <f t="shared" si="49"/>
        <v>32.549999999999997</v>
      </c>
      <c r="E61" s="6">
        <v>23</v>
      </c>
      <c r="F61" s="325">
        <f t="shared" si="50"/>
        <v>6.9377049180327868</v>
      </c>
      <c r="G61" s="477">
        <v>300</v>
      </c>
      <c r="H61" s="325">
        <f t="shared" si="51"/>
        <v>114.36031331592689</v>
      </c>
      <c r="I61" s="6">
        <v>290</v>
      </c>
      <c r="J61" s="325">
        <f t="shared" si="52"/>
        <v>200.55194805194805</v>
      </c>
      <c r="K61" s="331">
        <f t="shared" si="53"/>
        <v>354.39996628590768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477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44273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44274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44275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44276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44277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44278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44279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44280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44281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44282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5" t="s">
        <v>316</v>
      </c>
      <c r="B2" s="956"/>
      <c r="C2" s="956"/>
      <c r="D2" s="956"/>
      <c r="E2" s="95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0.01</v>
      </c>
      <c r="D6" s="434">
        <f t="shared" ref="D6:D35" si="2">SUM(77*C6)</f>
        <v>0.77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0.01</v>
      </c>
      <c r="D7" s="434">
        <f t="shared" si="2"/>
        <v>0.77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3.9E-2</v>
      </c>
      <c r="D8" s="434">
        <f t="shared" si="2"/>
        <v>3.0030000000000001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0.1</v>
      </c>
      <c r="D11" s="434">
        <f t="shared" si="2"/>
        <v>7.7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>
        <f t="shared" si="3"/>
        <v>526.07504148629141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0.1</v>
      </c>
      <c r="D12" s="434">
        <f t="shared" si="2"/>
        <v>7.7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0.13</v>
      </c>
      <c r="D13" s="434">
        <f t="shared" si="2"/>
        <v>10.01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0.14000000000000001</v>
      </c>
      <c r="D14" s="434">
        <f t="shared" si="2"/>
        <v>10.780000000000001</v>
      </c>
      <c r="E14" s="74"/>
      <c r="F14" s="70">
        <f>Gen!U20</f>
        <v>0.41823377581120946</v>
      </c>
      <c r="G14" s="85">
        <f>Gen!T20</f>
        <v>2712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27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1.7386363636363635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0.1</v>
      </c>
      <c r="D15" s="434">
        <f t="shared" si="2"/>
        <v>7.7</v>
      </c>
      <c r="E15" s="74"/>
      <c r="F15" s="70">
        <f>Gen!U21</f>
        <v>0.39892236024844718</v>
      </c>
      <c r="G15" s="85">
        <f>Gen!T21</f>
        <v>3220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60</v>
      </c>
      <c r="L15" s="447">
        <f>'Lpg (2)'!G20</f>
        <v>104.58799999995391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3.8636363636363638</v>
      </c>
      <c r="U15" s="122">
        <f t="shared" si="6"/>
        <v>129.61252777772066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0.13</v>
      </c>
      <c r="D16" s="434">
        <f t="shared" si="2"/>
        <v>10.01</v>
      </c>
      <c r="E16" s="74"/>
      <c r="F16" s="70">
        <f>Gen!U22</f>
        <v>0.40176416256157638</v>
      </c>
      <c r="G16" s="85">
        <f>Gen!T22</f>
        <v>3248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65</v>
      </c>
      <c r="L16" s="447">
        <f>'Lpg (2)'!G21</f>
        <v>84.568000000005128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4.1856060606060606</v>
      </c>
      <c r="U16" s="122">
        <f t="shared" si="6"/>
        <v>104.80238888889524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0.17</v>
      </c>
      <c r="D17" s="434">
        <f t="shared" si="2"/>
        <v>13.090000000000002</v>
      </c>
      <c r="E17" s="74"/>
      <c r="F17" s="70">
        <f>Gen!U23</f>
        <v>0.41139822447685476</v>
      </c>
      <c r="G17" s="85">
        <f>Gen!T23</f>
        <v>3154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75</v>
      </c>
      <c r="L17" s="447">
        <f>'Lpg (2)'!G22</f>
        <v>79.464000000053787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4.8295454545454541</v>
      </c>
      <c r="U17" s="122">
        <f t="shared" si="6"/>
        <v>98.477166666733325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0.14000000000000001</v>
      </c>
      <c r="D18" s="434">
        <f t="shared" si="2"/>
        <v>10.780000000000001</v>
      </c>
      <c r="E18" s="74"/>
      <c r="F18" s="70">
        <f>Gen!U24</f>
        <v>0.40690107270560189</v>
      </c>
      <c r="G18" s="85">
        <f>Gen!T24</f>
        <v>3356</v>
      </c>
      <c r="H18" s="85">
        <f>[1]Gen!AJ27</f>
        <v>597.9</v>
      </c>
      <c r="I18" s="85">
        <f t="shared" si="0"/>
        <v>3953.9</v>
      </c>
      <c r="J18" s="85">
        <f>[1]Gen!AT24</f>
        <v>29915.45000000003</v>
      </c>
      <c r="K18" s="69">
        <f>'Water-Meter'!E19</f>
        <v>74</v>
      </c>
      <c r="L18" s="447">
        <f>'Lpg (2)'!G23</f>
        <v>79.023999999964147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8737525.9149999991</v>
      </c>
      <c r="R18" s="76">
        <f t="shared" si="3"/>
        <v>511.69896524381096</v>
      </c>
      <c r="S18" s="438" t="e">
        <f t="shared" si="4"/>
        <v>#DIV/0!</v>
      </c>
      <c r="T18" s="76">
        <f t="shared" si="5"/>
        <v>4.7651515151515156</v>
      </c>
      <c r="U18" s="122">
        <f t="shared" si="6"/>
        <v>97.931888888844455</v>
      </c>
      <c r="V18" s="17">
        <f t="shared" si="7"/>
        <v>8737628.6120404042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0.40051984004921559</v>
      </c>
      <c r="G19" s="85">
        <f>Gen!T25</f>
        <v>3251</v>
      </c>
      <c r="H19" s="85">
        <f>[1]Gen!AJ28</f>
        <v>227.73000000000002</v>
      </c>
      <c r="I19" s="85">
        <f t="shared" si="0"/>
        <v>3478.73</v>
      </c>
      <c r="J19" s="85">
        <f>[1]Gen!AT25</f>
        <v>42248.240000000034</v>
      </c>
      <c r="K19" s="69">
        <f>'Water-Meter'!E20</f>
        <v>74</v>
      </c>
      <c r="L19" s="447">
        <f>'Lpg (2)'!G24</f>
        <v>88.660000000038423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7687471.4904999994</v>
      </c>
      <c r="R19" s="76" t="e">
        <f t="shared" si="3"/>
        <v>#DIV/0!</v>
      </c>
      <c r="S19" s="438" t="e">
        <f t="shared" si="4"/>
        <v>#DIV/0!</v>
      </c>
      <c r="T19" s="76">
        <f t="shared" si="5"/>
        <v>4.7651515151515156</v>
      </c>
      <c r="U19" s="122">
        <f t="shared" si="6"/>
        <v>109.87347222226984</v>
      </c>
      <c r="V19" s="17">
        <f t="shared" si="7"/>
        <v>7687586.1291237371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 t="str">
        <f>'Water-Meter'!E21</f>
        <v>0</v>
      </c>
      <c r="L20" s="447">
        <f>'Lpg (2)'!G25</f>
        <v>64.371999999956472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79.774138888834941</v>
      </c>
      <c r="V20" s="17">
        <f t="shared" si="7"/>
        <v>195187.43063888882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-332148.08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-411620.37944444449</v>
      </c>
      <c r="V21" s="17">
        <f t="shared" si="7"/>
        <v>1320725.2325555552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876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8" t="s">
        <v>180</v>
      </c>
      <c r="B1" s="959"/>
      <c r="C1" s="959"/>
      <c r="D1" s="959"/>
      <c r="E1" s="959"/>
      <c r="F1" s="959"/>
      <c r="G1" s="960"/>
    </row>
    <row r="2" spans="1:7" ht="13.5" thickBot="1">
      <c r="A2" s="300"/>
      <c r="B2" s="961" t="s">
        <v>175</v>
      </c>
      <c r="C2" s="962"/>
      <c r="D2" s="963"/>
      <c r="E2" s="961" t="s">
        <v>176</v>
      </c>
      <c r="F2" s="962"/>
      <c r="G2" s="963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9"/>
      <c r="C77" s="277"/>
      <c r="D77" s="840"/>
      <c r="E77" s="277"/>
      <c r="F77" s="277"/>
      <c r="G77" s="840"/>
    </row>
    <row r="78" spans="1:7">
      <c r="A78" s="19"/>
      <c r="B78" s="834"/>
      <c r="C78" s="19"/>
      <c r="D78" s="835"/>
      <c r="E78" s="19"/>
      <c r="F78" s="19"/>
      <c r="G78" s="835"/>
    </row>
    <row r="79" spans="1:7">
      <c r="A79" s="19"/>
      <c r="B79" s="834"/>
      <c r="C79" s="19"/>
      <c r="D79" s="835"/>
      <c r="E79" s="19"/>
      <c r="F79" s="19"/>
      <c r="G79" s="835"/>
    </row>
    <row r="80" spans="1:7">
      <c r="A80" s="19"/>
      <c r="B80" s="834"/>
      <c r="C80" s="19"/>
      <c r="D80" s="835"/>
      <c r="E80" s="19"/>
      <c r="F80" s="19"/>
      <c r="G80" s="835"/>
    </row>
    <row r="81" spans="1:7">
      <c r="A81" s="19"/>
      <c r="B81" s="834"/>
      <c r="C81" s="19"/>
      <c r="D81" s="835"/>
      <c r="E81" s="19"/>
      <c r="F81" s="19"/>
      <c r="G81" s="835"/>
    </row>
    <row r="82" spans="1:7">
      <c r="A82" s="19"/>
      <c r="B82" s="834"/>
      <c r="C82" s="19"/>
      <c r="D82" s="835"/>
      <c r="E82" s="19"/>
      <c r="F82" s="19"/>
      <c r="G82" s="835"/>
    </row>
    <row r="83" spans="1:7">
      <c r="A83" s="19"/>
      <c r="B83" s="834"/>
      <c r="C83" s="19"/>
      <c r="D83" s="835"/>
      <c r="E83" s="19"/>
      <c r="F83" s="19"/>
      <c r="G83" s="835"/>
    </row>
    <row r="84" spans="1:7">
      <c r="A84" s="19"/>
      <c r="B84" s="834"/>
      <c r="C84" s="19"/>
      <c r="D84" s="835"/>
      <c r="E84" s="19"/>
      <c r="F84" s="19"/>
      <c r="G84" s="835"/>
    </row>
    <row r="85" spans="1:7">
      <c r="A85" s="19"/>
      <c r="B85" s="834"/>
      <c r="C85" s="19"/>
      <c r="D85" s="835"/>
      <c r="E85" s="19"/>
      <c r="F85" s="19"/>
      <c r="G85" s="835"/>
    </row>
    <row r="86" spans="1:7">
      <c r="A86" s="19"/>
      <c r="B86" s="834"/>
      <c r="C86" s="19"/>
      <c r="D86" s="835"/>
      <c r="E86" s="19"/>
      <c r="F86" s="19"/>
      <c r="G86" s="835"/>
    </row>
    <row r="87" spans="1:7">
      <c r="A87" s="19"/>
      <c r="B87" s="834"/>
      <c r="C87" s="19"/>
      <c r="D87" s="835"/>
      <c r="E87" s="19"/>
      <c r="F87" s="19"/>
      <c r="G87" s="835"/>
    </row>
    <row r="88" spans="1:7" ht="13.5" thickBot="1">
      <c r="B88" s="836"/>
      <c r="C88" s="251"/>
      <c r="D88" s="837"/>
      <c r="E88" s="251"/>
      <c r="F88" s="251"/>
      <c r="G88" s="837"/>
    </row>
    <row r="89" spans="1:7" ht="13.5" thickBot="1">
      <c r="B89" s="841" t="s">
        <v>319</v>
      </c>
      <c r="C89" s="842"/>
      <c r="D89" s="843"/>
      <c r="E89" s="841" t="s">
        <v>320</v>
      </c>
      <c r="F89" s="842"/>
      <c r="G89" s="84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8" t="s">
        <v>230</v>
      </c>
      <c r="B1" s="959"/>
      <c r="C1" s="959"/>
      <c r="D1" s="959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4"/>
      <c r="C76" s="965"/>
      <c r="D76" s="965"/>
      <c r="E76" s="966"/>
      <c r="H76" s="964"/>
      <c r="I76" s="965"/>
      <c r="J76" s="965"/>
      <c r="K76" s="965"/>
      <c r="L76" s="966"/>
    </row>
    <row r="77" spans="1:12">
      <c r="B77" s="967"/>
      <c r="C77" s="968"/>
      <c r="D77" s="968"/>
      <c r="E77" s="969"/>
      <c r="H77" s="967"/>
      <c r="I77" s="968"/>
      <c r="J77" s="968"/>
      <c r="K77" s="968"/>
      <c r="L77" s="969"/>
    </row>
    <row r="78" spans="1:12">
      <c r="B78" s="967"/>
      <c r="C78" s="968"/>
      <c r="D78" s="968"/>
      <c r="E78" s="969"/>
      <c r="H78" s="967"/>
      <c r="I78" s="968"/>
      <c r="J78" s="968"/>
      <c r="K78" s="968"/>
      <c r="L78" s="969"/>
    </row>
    <row r="79" spans="1:12">
      <c r="B79" s="967"/>
      <c r="C79" s="968"/>
      <c r="D79" s="968"/>
      <c r="E79" s="969"/>
      <c r="H79" s="967"/>
      <c r="I79" s="968"/>
      <c r="J79" s="968"/>
      <c r="K79" s="968"/>
      <c r="L79" s="969"/>
    </row>
    <row r="80" spans="1:12">
      <c r="B80" s="967"/>
      <c r="C80" s="968"/>
      <c r="D80" s="968"/>
      <c r="E80" s="969"/>
      <c r="H80" s="967"/>
      <c r="I80" s="968"/>
      <c r="J80" s="968"/>
      <c r="K80" s="968"/>
      <c r="L80" s="969"/>
    </row>
    <row r="81" spans="2:12">
      <c r="B81" s="967"/>
      <c r="C81" s="968"/>
      <c r="D81" s="968"/>
      <c r="E81" s="969"/>
      <c r="H81" s="967"/>
      <c r="I81" s="968"/>
      <c r="J81" s="968"/>
      <c r="K81" s="968"/>
      <c r="L81" s="969"/>
    </row>
    <row r="82" spans="2:12">
      <c r="B82" s="967"/>
      <c r="C82" s="968"/>
      <c r="D82" s="968"/>
      <c r="E82" s="969"/>
      <c r="H82" s="967"/>
      <c r="I82" s="968"/>
      <c r="J82" s="968"/>
      <c r="K82" s="968"/>
      <c r="L82" s="969"/>
    </row>
    <row r="83" spans="2:12">
      <c r="B83" s="967"/>
      <c r="C83" s="968"/>
      <c r="D83" s="968"/>
      <c r="E83" s="969"/>
      <c r="H83" s="967"/>
      <c r="I83" s="968"/>
      <c r="J83" s="968"/>
      <c r="K83" s="968"/>
      <c r="L83" s="969"/>
    </row>
    <row r="84" spans="2:12">
      <c r="B84" s="967"/>
      <c r="C84" s="968"/>
      <c r="D84" s="968"/>
      <c r="E84" s="969"/>
      <c r="H84" s="967"/>
      <c r="I84" s="968"/>
      <c r="J84" s="968"/>
      <c r="K84" s="968"/>
      <c r="L84" s="969"/>
    </row>
    <row r="85" spans="2:12">
      <c r="B85" s="967"/>
      <c r="C85" s="968"/>
      <c r="D85" s="968"/>
      <c r="E85" s="969"/>
      <c r="H85" s="967"/>
      <c r="I85" s="968"/>
      <c r="J85" s="968"/>
      <c r="K85" s="968"/>
      <c r="L85" s="969"/>
    </row>
    <row r="86" spans="2:12">
      <c r="B86" s="967"/>
      <c r="C86" s="968"/>
      <c r="D86" s="968"/>
      <c r="E86" s="969"/>
      <c r="H86" s="967"/>
      <c r="I86" s="968"/>
      <c r="J86" s="968"/>
      <c r="K86" s="968"/>
      <c r="L86" s="969"/>
    </row>
    <row r="87" spans="2:12">
      <c r="B87" s="967"/>
      <c r="C87" s="968"/>
      <c r="D87" s="968"/>
      <c r="E87" s="969"/>
      <c r="H87" s="967"/>
      <c r="I87" s="968"/>
      <c r="J87" s="968"/>
      <c r="K87" s="968"/>
      <c r="L87" s="969"/>
    </row>
    <row r="88" spans="2:12">
      <c r="B88" s="967"/>
      <c r="C88" s="968"/>
      <c r="D88" s="968"/>
      <c r="E88" s="969"/>
      <c r="H88" s="967"/>
      <c r="I88" s="968"/>
      <c r="J88" s="968"/>
      <c r="K88" s="968"/>
      <c r="L88" s="969"/>
    </row>
    <row r="89" spans="2:12">
      <c r="B89" s="967"/>
      <c r="C89" s="968"/>
      <c r="D89" s="968"/>
      <c r="E89" s="969"/>
      <c r="H89" s="967"/>
      <c r="I89" s="968"/>
      <c r="J89" s="968"/>
      <c r="K89" s="968"/>
      <c r="L89" s="969"/>
    </row>
    <row r="90" spans="2:12" ht="13.5" thickBot="1">
      <c r="B90" s="970"/>
      <c r="C90" s="971"/>
      <c r="D90" s="971"/>
      <c r="E90" s="972"/>
      <c r="H90" s="970"/>
      <c r="I90" s="971"/>
      <c r="J90" s="971"/>
      <c r="K90" s="971"/>
      <c r="L90" s="972"/>
    </row>
    <row r="91" spans="2:12">
      <c r="B91" s="973" t="s">
        <v>312</v>
      </c>
      <c r="C91" s="974"/>
      <c r="D91" s="974"/>
      <c r="E91" s="975"/>
      <c r="H91" s="973" t="s">
        <v>313</v>
      </c>
      <c r="I91" s="974"/>
      <c r="J91" s="974"/>
      <c r="K91" s="974"/>
      <c r="L91" s="975"/>
    </row>
    <row r="92" spans="2:12">
      <c r="B92" s="976"/>
      <c r="C92" s="977"/>
      <c r="D92" s="977"/>
      <c r="E92" s="978"/>
      <c r="H92" s="976"/>
      <c r="I92" s="977"/>
      <c r="J92" s="977"/>
      <c r="K92" s="977"/>
      <c r="L92" s="978"/>
    </row>
    <row r="93" spans="2:12" ht="13.5" thickBot="1">
      <c r="B93" s="979"/>
      <c r="C93" s="980"/>
      <c r="D93" s="980"/>
      <c r="E93" s="981"/>
      <c r="H93" s="979"/>
      <c r="I93" s="980"/>
      <c r="J93" s="980"/>
      <c r="K93" s="980"/>
      <c r="L93" s="98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2" t="s">
        <v>254</v>
      </c>
      <c r="B1" s="982"/>
      <c r="C1" s="982"/>
      <c r="D1" s="982"/>
      <c r="E1" s="982"/>
      <c r="F1" s="982"/>
      <c r="G1" s="982"/>
      <c r="H1" s="982"/>
      <c r="I1" s="982"/>
      <c r="J1" s="982"/>
    </row>
    <row r="2" spans="1:10" ht="19.5" thickBot="1">
      <c r="A2" s="991">
        <f>A5</f>
        <v>44256</v>
      </c>
      <c r="B2" s="992"/>
      <c r="C2" s="992"/>
      <c r="D2" s="992"/>
      <c r="E2" s="992"/>
      <c r="F2" s="992"/>
      <c r="G2" s="992"/>
      <c r="H2" s="992"/>
      <c r="I2" s="992"/>
      <c r="J2" s="992"/>
    </row>
    <row r="3" spans="1:10" ht="15.75" thickBot="1">
      <c r="A3" s="983" t="s">
        <v>7</v>
      </c>
      <c r="B3" s="985" t="s">
        <v>255</v>
      </c>
      <c r="C3" s="440"/>
      <c r="D3" s="987" t="s">
        <v>256</v>
      </c>
      <c r="E3" s="988"/>
      <c r="F3" s="989" t="s">
        <v>257</v>
      </c>
      <c r="G3" s="990"/>
      <c r="H3" s="988"/>
      <c r="I3" s="989" t="s">
        <v>258</v>
      </c>
      <c r="J3" s="988"/>
    </row>
    <row r="4" spans="1:10" ht="30.75" thickBot="1">
      <c r="A4" s="984"/>
      <c r="B4" s="986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0.01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0.01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3.9E-2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0.1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0.1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0.13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119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0.14000000000000001</v>
      </c>
      <c r="C14" s="443">
        <f>Gen!AJ20</f>
        <v>285.27</v>
      </c>
      <c r="D14" s="444">
        <f>Gen!S20</f>
        <v>1134.25</v>
      </c>
      <c r="E14" s="395">
        <f>Gen!C20</f>
        <v>33773.240000000005</v>
      </c>
      <c r="F14" s="396">
        <f>'Water-Meter'!E15</f>
        <v>27</v>
      </c>
      <c r="G14" s="397">
        <f>'Water-Meter'!AN15</f>
        <v>125</v>
      </c>
      <c r="H14" s="395">
        <f>'Utility report '!AC15</f>
        <v>93</v>
      </c>
      <c r="I14" s="394">
        <f>'Kit report'!F13</f>
        <v>263.99999999986903</v>
      </c>
      <c r="J14" s="395">
        <f>'Kit report'!X13</f>
        <v>220.00000000007276</v>
      </c>
    </row>
    <row r="15" spans="1:10" ht="17.100000000000001" customHeight="1" thickBot="1">
      <c r="A15" s="217">
        <f>Gen!A21</f>
        <v>44266</v>
      </c>
      <c r="B15" s="399">
        <f>Gen!B21</f>
        <v>0.1</v>
      </c>
      <c r="C15" s="443">
        <f>Gen!AJ21</f>
        <v>32.85</v>
      </c>
      <c r="D15" s="444">
        <f>Gen!S21</f>
        <v>1284.53</v>
      </c>
      <c r="E15" s="395">
        <f>Gen!C21</f>
        <v>32353.720000000005</v>
      </c>
      <c r="F15" s="396">
        <f>'Water-Meter'!E16</f>
        <v>60</v>
      </c>
      <c r="G15" s="397">
        <f>'Water-Meter'!AN16</f>
        <v>124</v>
      </c>
      <c r="H15" s="395">
        <f>'Utility report '!AC16</f>
        <v>33</v>
      </c>
      <c r="I15" s="394">
        <f>'Kit report'!F14</f>
        <v>252.00000000004366</v>
      </c>
      <c r="J15" s="395">
        <f>'Kit report'!X14</f>
        <v>239.99999999996362</v>
      </c>
    </row>
    <row r="16" spans="1:10" ht="17.100000000000001" customHeight="1" thickBot="1">
      <c r="A16" s="217">
        <f>Gen!A22</f>
        <v>44267</v>
      </c>
      <c r="B16" s="399">
        <f>Gen!B22</f>
        <v>0.13</v>
      </c>
      <c r="C16" s="443">
        <f>Gen!AJ22</f>
        <v>357.62</v>
      </c>
      <c r="D16" s="444">
        <f>Gen!S22</f>
        <v>1304.93</v>
      </c>
      <c r="E16" s="395">
        <f>Gen!C22</f>
        <v>31036.340000000004</v>
      </c>
      <c r="F16" s="396">
        <f>'Water-Meter'!E17</f>
        <v>65</v>
      </c>
      <c r="G16" s="397">
        <f>'Water-Meter'!AN17</f>
        <v>125</v>
      </c>
      <c r="H16" s="395">
        <f>'Utility report '!AC17</f>
        <v>31</v>
      </c>
      <c r="I16" s="394">
        <f>'Kit report'!F15</f>
        <v>252.00000000004366</v>
      </c>
      <c r="J16" s="395">
        <f>'Kit report'!X15</f>
        <v>319.99999999989086</v>
      </c>
    </row>
    <row r="17" spans="1:10" ht="17.100000000000001" customHeight="1" thickBot="1">
      <c r="A17" s="217">
        <f>Gen!A23</f>
        <v>44268</v>
      </c>
      <c r="B17" s="399">
        <f>Gen!B23</f>
        <v>0.17</v>
      </c>
      <c r="C17" s="443">
        <f>Gen!AJ23</f>
        <v>124.03</v>
      </c>
      <c r="D17" s="444">
        <f>Gen!S23</f>
        <v>1297.55</v>
      </c>
      <c r="E17" s="395">
        <f>Gen!C23</f>
        <v>44373.790000000008</v>
      </c>
      <c r="F17" s="396">
        <f>'Water-Meter'!E18</f>
        <v>75</v>
      </c>
      <c r="G17" s="397">
        <f>'Water-Meter'!AN18</f>
        <v>128</v>
      </c>
      <c r="H17" s="395">
        <f>'Utility report '!AC18</f>
        <v>25</v>
      </c>
      <c r="I17" s="394">
        <f>'Kit report'!F16</f>
        <v>252.00000000004366</v>
      </c>
      <c r="J17" s="395">
        <f>'Kit report'!X16</f>
        <v>220.00000000007276</v>
      </c>
    </row>
    <row r="18" spans="1:10" ht="17.100000000000001" customHeight="1" thickBot="1">
      <c r="A18" s="217">
        <f>Gen!A24</f>
        <v>44269</v>
      </c>
      <c r="B18" s="399">
        <f>Gen!B24</f>
        <v>0.14000000000000001</v>
      </c>
      <c r="C18" s="443">
        <f>Gen!AJ24</f>
        <v>86.06</v>
      </c>
      <c r="D18" s="444">
        <f>Gen!S24</f>
        <v>1365.56</v>
      </c>
      <c r="E18" s="395">
        <f>Gen!C24</f>
        <v>42952.210000000006</v>
      </c>
      <c r="F18" s="396">
        <f>'Water-Meter'!E19</f>
        <v>74</v>
      </c>
      <c r="G18" s="397">
        <f>'Water-Meter'!AN19</f>
        <v>82</v>
      </c>
      <c r="H18" s="395">
        <f>'Utility report '!AC19</f>
        <v>0</v>
      </c>
      <c r="I18" s="394">
        <f>'Kit report'!F17</f>
        <v>275.99999999991269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44270</v>
      </c>
      <c r="B19" s="399">
        <f>Gen!B25</f>
        <v>0</v>
      </c>
      <c r="C19" s="443">
        <f>Gen!AJ25</f>
        <v>164.56</v>
      </c>
      <c r="D19" s="444">
        <f>Gen!S25</f>
        <v>1302.0899999999999</v>
      </c>
      <c r="E19" s="395">
        <f>Gen!C25</f>
        <v>41500.590000000004</v>
      </c>
      <c r="F19" s="396">
        <f>'Water-Meter'!E20</f>
        <v>74</v>
      </c>
      <c r="G19" s="397">
        <f>'Water-Meter'!AN20</f>
        <v>42</v>
      </c>
      <c r="H19" s="395">
        <f>'Utility report '!AC20</f>
        <v>-48088</v>
      </c>
      <c r="I19" s="394">
        <f>'Kit report'!F18</f>
        <v>252.00000000004366</v>
      </c>
      <c r="J19" s="395">
        <f>'Kit report'!X18</f>
        <v>400</v>
      </c>
    </row>
    <row r="20" spans="1:10" ht="17.100000000000001" customHeight="1" thickBot="1">
      <c r="A20" s="217">
        <f>Gen!A26</f>
        <v>44271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40033.94</v>
      </c>
      <c r="F20" s="396" t="str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-1100220</v>
      </c>
      <c r="J20" s="395">
        <f>'Kit report'!X19</f>
        <v>-1609860</v>
      </c>
    </row>
    <row r="21" spans="1:10" ht="15.75" thickBot="1">
      <c r="A21" s="217">
        <f>Gen!A27</f>
        <v>44272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40033.94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40033.94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40033.94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40033.94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40033.94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40033.94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40033.94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40033.94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40033.94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40033.94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40033.94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40033.94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40033.94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40033.94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40033.94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40033.94</v>
      </c>
      <c r="F36" s="396">
        <f>'Water-Meter'!E37</f>
        <v>0</v>
      </c>
      <c r="G36" s="397">
        <f>'Water-Meter'!AN37</f>
        <v>1041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2021-03-16T05:48:26Z</dcterms:modified>
</cp:coreProperties>
</file>