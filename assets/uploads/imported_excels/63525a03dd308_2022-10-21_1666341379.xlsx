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2" sheetId="5" r:id="rId3"/>
  </sheets>
  <definedNames>
    <definedName name="_xlnm.Print_Area" localSheetId="2">'10 - 2022'!$A$1:$J$35</definedName>
  </definedNames>
  <calcPr calcId="162913"/>
</workbook>
</file>

<file path=xl/calcChain.xml><?xml version="1.0" encoding="utf-8"?>
<calcChain xmlns="http://schemas.openxmlformats.org/spreadsheetml/2006/main"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B39" i="5" l="1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5" i="2" l="1"/>
  <c r="I5" i="2"/>
  <c r="H5" i="2"/>
  <c r="F5" i="2"/>
  <c r="E5" i="2"/>
  <c r="L5" i="3"/>
  <c r="K5" i="3"/>
  <c r="I5" i="3"/>
  <c r="G5" i="3"/>
  <c r="E5" i="3"/>
  <c r="L4" i="3" l="1"/>
  <c r="K4" i="3"/>
  <c r="I4" i="3"/>
  <c r="G4" i="3"/>
  <c r="E4" i="3"/>
  <c r="K39" i="5" l="1"/>
  <c r="J39" i="5"/>
  <c r="I39" i="5"/>
  <c r="I40" i="5" s="1"/>
  <c r="H39" i="5"/>
  <c r="H40" i="5" s="1"/>
  <c r="G39" i="5"/>
  <c r="F39" i="5"/>
  <c r="E39" i="5"/>
  <c r="C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l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E24" i="2" l="1"/>
  <c r="L24" i="3"/>
  <c r="K24" i="3"/>
  <c r="I24" i="3"/>
  <c r="G24" i="3"/>
  <c r="J24" i="2"/>
  <c r="I24" i="2"/>
  <c r="H24" i="2"/>
  <c r="F24" i="2"/>
  <c r="E24" i="3" l="1"/>
  <c r="L18" i="3" l="1"/>
  <c r="K23" i="3"/>
  <c r="L17" i="3" l="1"/>
  <c r="K17" i="3"/>
  <c r="I17" i="3"/>
  <c r="G17" i="3"/>
  <c r="E17" i="3"/>
  <c r="J17" i="2"/>
  <c r="I17" i="2"/>
  <c r="H17" i="2"/>
  <c r="F17" i="2"/>
  <c r="E17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4" i="2" l="1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L27" i="3" l="1"/>
  <c r="K27" i="3"/>
  <c r="I27" i="3"/>
  <c r="G27" i="3"/>
  <c r="E27" i="3"/>
  <c r="L26" i="3" l="1"/>
  <c r="K26" i="3"/>
  <c r="I26" i="3"/>
  <c r="G26" i="3"/>
  <c r="E26" i="3"/>
  <c r="K18" i="3" l="1"/>
  <c r="I18" i="3"/>
  <c r="G18" i="3"/>
  <c r="E18" i="3"/>
  <c r="J18" i="2"/>
  <c r="I18" i="2"/>
  <c r="H18" i="2"/>
  <c r="F18" i="2"/>
  <c r="E18" i="2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<sst xmlns="http://schemas.openxmlformats.org/spreadsheetml/2006/main" count="108" uniqueCount="39">
  <si>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</si>
  <si>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</si>
  <si>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</si>
  <si>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</si>
  <si>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</si>
  <si>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</si>
  <si>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</si>
  <si>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</si>
  <si>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</si>
  <si>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</si>
  <si>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</si>
  <si>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</si>
  <si>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</si>
  <si>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</si>
  <si>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</si>
  <si>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</si>
  <si>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</si>
  <si>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</si>
  <si>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</si>
  <si>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</si>
  <si>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</si>
  <si>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</si>
  <si>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</si>
  <si>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</si>
  <si>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</si>
  <si>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</si>
  <si>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</si>
  <si>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</si>
  <si>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</si>
  <si>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</si>
  <si>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</si>
  <si>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</si>
  <si>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</si>
  <si>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</si>
  <si>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</si>
  <si>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</si>
  <si>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</si>
  <si>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2022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</si>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</sst>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43" fontId="10" fillId="0" borderId="15" xfId="2" applyFont="1" applyFill="1" applyBorder="1" applyAlignment="1" applyProtection="1">
      <alignment horizontal="center" vertical="center"/>
      <protection locked="0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3" xfId="2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4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/>
    </xf>
    <xf numFmtId="43" fontId="5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0" fillId="0" borderId="14" xfId="2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R7" sqref="R7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10</v>
      </c>
      <c r="D2" s="13">
        <v>2022</v>
      </c>
      <c r="E2" s="15">
        <f>'10 - 2022'!B8-'10 - 2022'!B7+'10 - 2022'!C8-'10 - 2022'!C7</f>
        <v>10457</v>
      </c>
      <c r="F2" s="13">
        <v>0.11799999999999999</v>
      </c>
      <c r="G2" s="15">
        <f>'10 - 2022'!D8-'10 - 2022'!D7+'10 - 2022'!E8-'10 - 2022'!E7</f>
        <v>26.449999999998909</v>
      </c>
      <c r="H2" s="13">
        <v>0.99</v>
      </c>
      <c r="I2" s="15">
        <f>'10 - 2022'!J8-'10 - 2022'!J7</f>
        <v>36706</v>
      </c>
      <c r="J2" s="13">
        <v>8.1000000000000003E-2</v>
      </c>
      <c r="K2" s="21">
        <f>'10 - 2022'!H8-'10 - 2022'!H7</f>
        <v>0</v>
      </c>
      <c r="L2" s="15">
        <f>'10 - 2022'!I8-'10 - 2022'!I7</f>
        <v>114</v>
      </c>
      <c r="M2" s="14">
        <v>4.393629424766913</v>
      </c>
      <c r="N2" s="16">
        <v>71</v>
      </c>
    </row>
    <row r="3" spans="1:2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'10 - 2022'!B9-'10 - 2022'!B8+'10 - 2022'!C9-'10 - 2022'!C8</f>
        <v>10011</v>
      </c>
      <c r="F3" s="13">
        <v>0.11799999999999999</v>
      </c>
      <c r="G3" s="15">
        <f>'10 - 2022'!D9-'10 - 2022'!D8+'10 - 2022'!E9-'10 - 2022'!E8</f>
        <v>24.930000000000291</v>
      </c>
      <c r="H3" s="13">
        <v>0.99</v>
      </c>
      <c r="I3" s="15">
        <f>'10 - 2022'!J9-'10 - 2022'!J8</f>
        <v>36658</v>
      </c>
      <c r="J3" s="13">
        <v>8.1000000000000003E-2</v>
      </c>
      <c r="K3" s="21">
        <f>'10 - 2022'!H9-'10 - 2022'!H8</f>
        <v>0</v>
      </c>
      <c r="L3" s="15">
        <f>'10 - 2022'!I9-'10 - 2022'!I8</f>
        <v>124</v>
      </c>
      <c r="M3" s="14">
        <v>4.393629424766913</v>
      </c>
      <c r="N3" s="40">
        <v>51</v>
      </c>
    </row>
    <row r="4" spans="1:2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'10 - 2022'!B10-'10 - 2022'!B9+'10 - 2022'!C10-'10 - 2022'!C9</f>
        <v>10082</v>
      </c>
      <c r="F4" s="13">
        <v>0.11799999999999999</v>
      </c>
      <c r="G4" s="15">
        <f>'10 - 2022'!D10-'10 - 2022'!D9+'10 - 2022'!E10-'10 - 2022'!E9</f>
        <v>22.789999999999964</v>
      </c>
      <c r="H4" s="13">
        <v>0.99</v>
      </c>
      <c r="I4" s="15">
        <f>'10 - 2022'!J10-'10 - 2022'!J9</f>
        <v>36816</v>
      </c>
      <c r="J4" s="13">
        <v>8.1000000000000003E-2</v>
      </c>
      <c r="K4" s="21">
        <f>'10 - 2022'!H10-'10 - 2022'!H9</f>
        <v>0</v>
      </c>
      <c r="L4" s="15">
        <f>'10 - 2022'!I10-'10 - 2022'!I9</f>
        <v>113</v>
      </c>
      <c r="M4" s="14">
        <v>4.393629424766913</v>
      </c>
      <c r="N4" s="16">
        <v>55</v>
      </c>
    </row>
    <row r="5" spans="1:2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'10 - 2022'!B11-'10 - 2022'!B10+'10 - 2022'!C11-'10 - 2022'!C10</f>
        <v>10097</v>
      </c>
      <c r="F5" s="13">
        <v>0.11799999999999999</v>
      </c>
      <c r="G5" s="15">
        <f>'10 - 2022'!D11-'10 - 2022'!D10+'10 - 2022'!E11-'10 - 2022'!E10</f>
        <v>26.170000000000073</v>
      </c>
      <c r="H5" s="13">
        <v>0.99</v>
      </c>
      <c r="I5" s="15">
        <f>'10 - 2022'!J11-'10 - 2022'!J10</f>
        <v>36661</v>
      </c>
      <c r="J5" s="13">
        <v>8.1000000000000003E-2</v>
      </c>
      <c r="K5" s="21">
        <f>'10 - 2022'!H11-'10 - 2022'!H10</f>
        <v>0</v>
      </c>
      <c r="L5" s="15">
        <f>'10 - 2022'!I11-'10 - 2022'!I10</f>
        <v>104</v>
      </c>
      <c r="M5" s="14">
        <v>4.393629424766913</v>
      </c>
      <c r="N5" s="16">
        <v>68</v>
      </c>
      <c r="R5" s="13"/>
    </row>
    <row r="6" spans="1:2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'10 - 2022'!B12-'10 - 2022'!B11+'10 - 2022'!C12-'10 - 2022'!C11</f>
        <v>10078</v>
      </c>
      <c r="F6" s="13">
        <v>0.11799999999999999</v>
      </c>
      <c r="G6" s="15">
        <f>'10 - 2022'!D12-'10 - 2022'!D11+'10 - 2022'!E12-'10 - 2022'!E11</f>
        <v>25.590000000000146</v>
      </c>
      <c r="H6" s="13">
        <v>0.99</v>
      </c>
      <c r="I6" s="15">
        <f>'10 - 2022'!J12-'10 - 2022'!J11</f>
        <v>31980</v>
      </c>
      <c r="J6" s="13">
        <v>8.1000000000000003E-2</v>
      </c>
      <c r="K6" s="21">
        <f>'10 - 2022'!H12-'10 - 2022'!H11</f>
        <v>0</v>
      </c>
      <c r="L6" s="15">
        <f>'10 - 2022'!I12-'10 - 2022'!I11</f>
        <v>113</v>
      </c>
      <c r="M6" s="14">
        <v>4.393629424766913</v>
      </c>
      <c r="N6" s="16">
        <v>83</v>
      </c>
    </row>
    <row r="7" spans="1:2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'10 - 2022'!B13-'10 - 2022'!B12+'10 - 2022'!C13-'10 - 2022'!C12</f>
        <v>10408</v>
      </c>
      <c r="F7" s="13">
        <v>0.11799999999999999</v>
      </c>
      <c r="G7" s="15">
        <f>'10 - 2022'!D13-'10 - 2022'!D12+'10 - 2022'!E13-'10 - 2022'!E12</f>
        <v>24.710000000000036</v>
      </c>
      <c r="H7" s="13">
        <v>0.99</v>
      </c>
      <c r="I7" s="15">
        <f>'10 - 2022'!J13-'10 - 2022'!J12</f>
        <v>35946</v>
      </c>
      <c r="J7" s="13">
        <v>8.1000000000000003E-2</v>
      </c>
      <c r="K7" s="21">
        <f>'10 - 2022'!H13-'10 - 2022'!H12</f>
        <v>0</v>
      </c>
      <c r="L7" s="15">
        <f>'10 - 2022'!I13-'10 - 2022'!I12</f>
        <v>101</v>
      </c>
      <c r="M7" s="14">
        <v>4.393629424766913</v>
      </c>
      <c r="N7" s="16">
        <v>86</v>
      </c>
    </row>
    <row r="8" spans="1:2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'10 - 2022'!B14-'10 - 2022'!B13+'10 - 2022'!C14-'10 - 2022'!C13</f>
        <v>10329</v>
      </c>
      <c r="F8" s="13">
        <v>0.11799999999999999</v>
      </c>
      <c r="G8" s="15">
        <f>'10 - 2022'!D14-'10 - 2022'!D13+'10 - 2022'!E14-'10 - 2022'!E13</f>
        <v>28.069999999999709</v>
      </c>
      <c r="H8" s="13">
        <v>0.99</v>
      </c>
      <c r="I8" s="15">
        <f>'10 - 2022'!J14-'10 - 2022'!J13</f>
        <v>38376</v>
      </c>
      <c r="J8" s="13">
        <v>8.1000000000000003E-2</v>
      </c>
      <c r="K8" s="21">
        <f>'10 - 2022'!H14-'10 - 2022'!H13</f>
        <v>0</v>
      </c>
      <c r="L8" s="15">
        <f>'10 - 2022'!I14-'10 - 2022'!I13</f>
        <v>118</v>
      </c>
      <c r="M8" s="14">
        <v>4.393629424766913</v>
      </c>
      <c r="N8" s="16">
        <v>93</v>
      </c>
      <c r="O8" s="15"/>
    </row>
    <row r="9" spans="1:2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'10 - 2022'!B15-'10 - 2022'!B14+'10 - 2022'!C15-'10 - 2022'!C14</f>
        <v>10341</v>
      </c>
      <c r="F9" s="13">
        <v>0.11799999999999999</v>
      </c>
      <c r="G9" s="15">
        <f>'10 - 2022'!D15-'10 - 2022'!D14+'10 - 2022'!E15-'10 - 2022'!E14</f>
        <v>27.070000000000618</v>
      </c>
      <c r="H9" s="13">
        <v>0.99</v>
      </c>
      <c r="I9" s="15">
        <f>'10 - 2022'!J15-'10 - 2022'!J14</f>
        <v>30779</v>
      </c>
      <c r="J9" s="13">
        <v>8.1000000000000003E-2</v>
      </c>
      <c r="K9" s="21">
        <f>'10 - 2022'!H15-'10 - 2022'!H14</f>
        <v>0</v>
      </c>
      <c r="L9" s="15">
        <f>'10 - 2022'!I15-'10 - 2022'!I14</f>
        <v>114</v>
      </c>
      <c r="M9" s="14">
        <v>4.393629424766913</v>
      </c>
      <c r="N9" s="16">
        <v>75</v>
      </c>
    </row>
    <row r="10" spans="1:2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'10 - 2022'!B16-'10 - 2022'!B15+'10 - 2022'!C16-'10 - 2022'!C15</f>
        <v>10133</v>
      </c>
      <c r="F10" s="13">
        <v>0.11799999999999999</v>
      </c>
      <c r="G10" s="15">
        <f>'10 - 2022'!D16-'10 - 2022'!D15+'10 - 2022'!E16-'10 - 2022'!E15</f>
        <v>26.880000000000109</v>
      </c>
      <c r="H10" s="13">
        <v>0.99</v>
      </c>
      <c r="I10" s="15">
        <f>'10 - 2022'!J16-'10 - 2022'!J15</f>
        <v>28242</v>
      </c>
      <c r="J10" s="13">
        <v>8.1000000000000003E-2</v>
      </c>
      <c r="K10" s="21">
        <f>'10 - 2022'!H16-'10 - 2022'!H15</f>
        <v>0</v>
      </c>
      <c r="L10" s="15">
        <f>'10 - 2022'!I16-'10 - 2022'!I15</f>
        <v>125</v>
      </c>
      <c r="M10" s="14">
        <v>4.393629424766913</v>
      </c>
      <c r="N10" s="16">
        <v>76</v>
      </c>
    </row>
    <row r="11" spans="1:2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'10 - 2022'!B17-'10 - 2022'!B16+'10 - 2022'!C17-'10 - 2022'!C16</f>
        <v>10009</v>
      </c>
      <c r="F11" s="13">
        <v>0.11799999999999999</v>
      </c>
      <c r="G11" s="15">
        <f>'10 - 2022'!D17-'10 - 2022'!D16+'10 - 2022'!E17-'10 - 2022'!E16</f>
        <v>25.1899999999996</v>
      </c>
      <c r="H11" s="13">
        <v>0.99</v>
      </c>
      <c r="I11" s="15">
        <f>'10 - 2022'!J17-'10 - 2022'!J16</f>
        <v>29193</v>
      </c>
      <c r="J11" s="13">
        <v>8.1000000000000003E-2</v>
      </c>
      <c r="K11" s="21">
        <f>'10 - 2022'!H17-'10 - 2022'!H16</f>
        <v>0</v>
      </c>
      <c r="L11" s="15">
        <f>'10 - 2022'!I17-'10 - 2022'!I16</f>
        <v>112</v>
      </c>
      <c r="M11" s="14">
        <v>4.393629424766913</v>
      </c>
      <c r="N11" s="16">
        <v>84</v>
      </c>
    </row>
    <row r="12" spans="1:2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'10 - 2022'!B18-'10 - 2022'!B17+'10 - 2022'!C18-'10 - 2022'!C17</f>
        <v>10195</v>
      </c>
      <c r="F12" s="13">
        <v>0.11799999999999999</v>
      </c>
      <c r="G12" s="15">
        <f>'10 - 2022'!D18-'10 - 2022'!D17+'10 - 2022'!E18-'10 - 2022'!E17</f>
        <v>28.090000000001055</v>
      </c>
      <c r="H12" s="13">
        <v>0.99</v>
      </c>
      <c r="I12" s="15">
        <f>'10 - 2022'!J18-'10 - 2022'!J17</f>
        <v>30500</v>
      </c>
      <c r="J12" s="13">
        <v>8.1000000000000003E-2</v>
      </c>
      <c r="K12" s="21">
        <f>'10 - 2022'!H18-'10 - 2022'!H17</f>
        <v>0</v>
      </c>
      <c r="L12" s="15">
        <f>'10 - 2022'!I18-'10 - 2022'!I17</f>
        <v>123</v>
      </c>
      <c r="M12" s="14">
        <v>4.393629424766913</v>
      </c>
      <c r="N12" s="16">
        <v>96</v>
      </c>
      <c r="W12" s="13"/>
    </row>
    <row r="13" spans="1:2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'10 - 2022'!B19-'10 - 2022'!B18+'10 - 2022'!C19-'10 - 2022'!C18</f>
        <v>10190</v>
      </c>
      <c r="F13" s="13">
        <v>0.11799999999999999</v>
      </c>
      <c r="G13" s="15">
        <f>'10 - 2022'!D19-'10 - 2022'!D18+'10 - 2022'!E19-'10 - 2022'!E18</f>
        <v>26.699999999999818</v>
      </c>
      <c r="H13" s="13">
        <v>0.99</v>
      </c>
      <c r="I13" s="15">
        <f>'10 - 2022'!J19-'10 - 2022'!J18</f>
        <v>34180</v>
      </c>
      <c r="J13" s="13">
        <v>8.1000000000000003E-2</v>
      </c>
      <c r="K13" s="21">
        <f>'10 - 2022'!H19-'10 - 2022'!H18</f>
        <v>0</v>
      </c>
      <c r="L13" s="15">
        <f>'10 - 2022'!I19-'10 - 2022'!I18</f>
        <v>119</v>
      </c>
      <c r="M13" s="14">
        <v>4.393629424766913</v>
      </c>
      <c r="N13" s="16">
        <v>96</v>
      </c>
    </row>
    <row r="14" spans="1:2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'10 - 2022'!B20-'10 - 2022'!B19+'10 - 2022'!C20-'10 - 2022'!C19</f>
        <v>10308</v>
      </c>
      <c r="F14" s="13">
        <v>0.11799999999999999</v>
      </c>
      <c r="G14" s="15">
        <f>'10 - 2022'!D20-'10 - 2022'!D19+'10 - 2022'!E20-'10 - 2022'!E19</f>
        <v>26.739999999998872</v>
      </c>
      <c r="H14" s="13">
        <v>0.99</v>
      </c>
      <c r="I14" s="15">
        <f>'10 - 2022'!J20-'10 - 2022'!J19</f>
        <v>33534</v>
      </c>
      <c r="J14" s="13">
        <v>8.1000000000000003E-2</v>
      </c>
      <c r="K14" s="21">
        <f>'10 - 2022'!H20-'10 - 2022'!H19</f>
        <v>0</v>
      </c>
      <c r="L14" s="15">
        <f>'10 - 2022'!I20-'10 - 2022'!I19</f>
        <v>120</v>
      </c>
      <c r="M14" s="14">
        <v>4.393629424766913</v>
      </c>
      <c r="N14" s="16">
        <v>101</v>
      </c>
      <c r="O14" s="15"/>
    </row>
    <row r="15" spans="1:2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'10 - 2022'!B21-'10 - 2022'!B20+'10 - 2022'!C21-'10 - 2022'!C20</f>
        <v>10255</v>
      </c>
      <c r="F15" s="13">
        <v>0.11799999999999999</v>
      </c>
      <c r="G15" s="15">
        <f>'10 - 2022'!D21-'10 - 2022'!D20+'10 - 2022'!E21-'10 - 2022'!E20</f>
        <v>27.710000000000946</v>
      </c>
      <c r="H15" s="13">
        <v>0.99</v>
      </c>
      <c r="I15" s="15">
        <f>'10 - 2022'!J21-'10 - 2022'!J20</f>
        <v>29886</v>
      </c>
      <c r="J15" s="13">
        <v>8.1000000000000003E-2</v>
      </c>
      <c r="K15" s="21">
        <f>'10 - 2022'!H21-'10 - 2022'!H20</f>
        <v>0</v>
      </c>
      <c r="L15" s="15">
        <f>'10 - 2022'!I21-'10 - 2022'!I20</f>
        <v>123</v>
      </c>
      <c r="M15" s="14">
        <v>4.393629424766913</v>
      </c>
      <c r="N15" s="16">
        <v>106</v>
      </c>
      <c r="R15" s="13"/>
    </row>
    <row r="16" spans="1:2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'10 - 2022'!B22-'10 - 2022'!B21+'10 - 2022'!C22-'10 - 2022'!C21</f>
        <v>10213</v>
      </c>
      <c r="F16" s="13">
        <v>0.11799999999999999</v>
      </c>
      <c r="G16" s="15">
        <f>'10 - 2022'!D22-'10 - 2022'!D21+'10 - 2022'!E22-'10 - 2022'!E21</f>
        <v>24.049999999999272</v>
      </c>
      <c r="H16" s="13">
        <v>0.99</v>
      </c>
      <c r="I16" s="15">
        <f>'10 - 2022'!J22-'10 - 2022'!J21</f>
        <v>28590</v>
      </c>
      <c r="J16" s="13">
        <v>8.1000000000000003E-2</v>
      </c>
      <c r="K16" s="21">
        <f>'10 - 2022'!H22-'10 - 2022'!H21</f>
        <v>0</v>
      </c>
      <c r="L16" s="15">
        <f>'10 - 2022'!I22-'10 - 2022'!I21</f>
        <v>127</v>
      </c>
      <c r="M16" s="14">
        <v>4.393629424766913</v>
      </c>
      <c r="N16" s="16">
        <v>95</v>
      </c>
      <c r="U16" s="13"/>
    </row>
    <row r="17" spans="1:17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'10 - 2022'!B23-'10 - 2022'!B22+'10 - 2022'!C23-'10 - 2022'!C22</f>
        <v>10080</v>
      </c>
      <c r="F17" s="13">
        <v>0.11799999999999999</v>
      </c>
      <c r="G17" s="15">
        <f>'10 - 2022'!D23-'10 - 2022'!D22+'10 - 2022'!E23-'10 - 2022'!E22</f>
        <v>27.070000000000618</v>
      </c>
      <c r="H17" s="13">
        <v>0.99</v>
      </c>
      <c r="I17" s="15">
        <f>'10 - 2022'!J23-'10 - 2022'!J22</f>
        <v>29438</v>
      </c>
      <c r="J17" s="13">
        <v>8.1000000000000003E-2</v>
      </c>
      <c r="K17" s="21">
        <f>'10 - 2022'!H23-'10 - 2022'!H22</f>
        <v>0</v>
      </c>
      <c r="L17" s="15">
        <f>'10 - 2022'!I23-'10 - 2022'!I22</f>
        <v>116</v>
      </c>
      <c r="M17" s="14">
        <v>4.393629424766913</v>
      </c>
      <c r="N17" s="16">
        <v>65</v>
      </c>
      <c r="O17" s="13"/>
    </row>
    <row r="18" spans="1:17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'10 - 2022'!B24-'10 - 2022'!B23+'10 - 2022'!C24-'10 - 2022'!C23</f>
        <v>9902</v>
      </c>
      <c r="F18" s="13">
        <v>0.11799999999999999</v>
      </c>
      <c r="G18" s="15">
        <f>'10 - 2022'!D24-'10 - 2022'!D23+'10 - 2022'!E24-'10 - 2022'!E23</f>
        <v>26.119999999998981</v>
      </c>
      <c r="H18" s="13">
        <v>0.99</v>
      </c>
      <c r="I18" s="15">
        <f>'10 - 2022'!J24-'10 - 2022'!J23</f>
        <v>32435</v>
      </c>
      <c r="J18" s="13">
        <v>8.1000000000000003E-2</v>
      </c>
      <c r="K18" s="21">
        <f>'10 - 2022'!H24-'10 - 2022'!H23</f>
        <v>0</v>
      </c>
      <c r="L18" s="15">
        <f>'10 - 2022'!I24-'10 - 2022'!I23</f>
        <v>114</v>
      </c>
      <c r="M18" s="14">
        <v>4.393629424766913</v>
      </c>
      <c r="N18" s="16">
        <v>60</v>
      </c>
      <c r="Q18" s="13"/>
    </row>
    <row r="19" spans="1:17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'10 - 2022'!B25-'10 - 2022'!B24+'10 - 2022'!C25-'10 - 2022'!C24</f>
        <v>9843</v>
      </c>
      <c r="F19" s="13">
        <v>0.11799999999999999</v>
      </c>
      <c r="G19" s="15">
        <f>'10 - 2022'!D25-'10 - 2022'!D24+'10 - 2022'!E25-'10 - 2022'!E24</f>
        <v>24.590000000000146</v>
      </c>
      <c r="H19" s="13">
        <v>0.99</v>
      </c>
      <c r="I19" s="15">
        <f>'10 - 2022'!J25-'10 - 2022'!J24</f>
        <v>32551</v>
      </c>
      <c r="J19" s="13">
        <v>8.1000000000000003E-2</v>
      </c>
      <c r="K19" s="21">
        <f>'10 - 2022'!H25-'10 - 2022'!H24</f>
        <v>0</v>
      </c>
      <c r="L19" s="15">
        <f>'10 - 2022'!I25-'10 - 2022'!I24</f>
        <v>94</v>
      </c>
      <c r="M19" s="14">
        <v>4.393629424766913</v>
      </c>
      <c r="N19" s="16">
        <v>74</v>
      </c>
    </row>
    <row r="20" spans="1:17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'10 - 2022'!B26-'10 - 2022'!B25+'10 - 2022'!C26-'10 - 2022'!C25</f>
        <v>9866</v>
      </c>
      <c r="F20" s="13">
        <v>0.11799999999999999</v>
      </c>
      <c r="G20" s="15">
        <f>'10 - 2022'!D26-'10 - 2022'!D25+'10 - 2022'!E26-'10 - 2022'!E25</f>
        <v>26.130000000000109</v>
      </c>
      <c r="H20" s="13">
        <v>0.99</v>
      </c>
      <c r="I20" s="15">
        <f>'10 - 2022'!J26-'10 - 2022'!J25</f>
        <v>32218</v>
      </c>
      <c r="J20" s="13">
        <v>8.1000000000000003E-2</v>
      </c>
      <c r="K20" s="21">
        <f>'10 - 2022'!H26-'10 - 2022'!H25</f>
        <v>0</v>
      </c>
      <c r="L20" s="15">
        <f>'10 - 2022'!I26-'10 - 2022'!I25</f>
        <v>120</v>
      </c>
      <c r="M20" s="14">
        <v>4.393629424766913</v>
      </c>
      <c r="N20" s="16">
        <v>77</v>
      </c>
    </row>
    <row r="21" spans="1:17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'10 - 2022'!B27-'10 - 2022'!B26+'10 - 2022'!C27-'10 - 2022'!C26</f>
        <v>9983</v>
      </c>
      <c r="F21" s="13">
        <v>0.11799999999999999</v>
      </c>
      <c r="G21" s="15">
        <f>'10 - 2022'!D27-'10 - 2022'!D26+'10 - 2022'!E27-'10 - 2022'!E26</f>
        <v>27.550000000000182</v>
      </c>
      <c r="H21" s="13">
        <v>0.99</v>
      </c>
      <c r="I21" s="15">
        <f>'10 - 2022'!J27-'10 - 2022'!J26</f>
        <v>36000</v>
      </c>
      <c r="J21" s="13">
        <v>8.1000000000000003E-2</v>
      </c>
      <c r="K21" s="21">
        <f>'10 - 2022'!H27-'10 - 2022'!H26</f>
        <v>0</v>
      </c>
      <c r="L21" s="15">
        <f>'10 - 2022'!I27-'10 - 2022'!I26</f>
        <v>114</v>
      </c>
      <c r="M21" s="14">
        <v>4.393629424766913</v>
      </c>
      <c r="N21" s="40">
        <v>91</v>
      </c>
    </row>
    <row r="22" spans="1:17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'10 - 2022'!B28-'10 - 2022'!B27+'10 - 2022'!C28-'10 - 2022'!C27</f>
        <v>10294</v>
      </c>
      <c r="F22" s="13">
        <v>0.11799999999999999</v>
      </c>
      <c r="G22" s="15">
        <f>'10 - 2022'!D28-'10 - 2022'!D27+'10 - 2022'!E28-'10 - 2022'!E27</f>
        <v>27.960000000000036</v>
      </c>
      <c r="H22" s="13">
        <v>0.99</v>
      </c>
      <c r="I22" s="15">
        <f>'10 - 2022'!J28-'10 - 2022'!J27</f>
        <v>33196</v>
      </c>
      <c r="J22" s="13">
        <v>8.1000000000000003E-2</v>
      </c>
      <c r="K22" s="21">
        <f>'10 - 2022'!H28-'10 - 2022'!H27</f>
        <v>0</v>
      </c>
      <c r="L22" s="15">
        <f>'10 - 2022'!I28-'10 - 2022'!I27</f>
        <v>120</v>
      </c>
      <c r="M22" s="14">
        <v>4.393629424766913</v>
      </c>
      <c r="N22" s="16">
        <v>95</v>
      </c>
    </row>
    <row r="23" spans="1:17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v>0</v>
      </c>
      <c r="F23" s="13">
        <v>0.11799999999999999</v>
      </c>
      <c r="G23" s="15">
        <v>0</v>
      </c>
      <c r="H23" s="13">
        <v>0.99</v>
      </c>
      <c r="I23" s="15">
        <v>0</v>
      </c>
      <c r="J23" s="13">
        <v>8.1000000000000003E-2</v>
      </c>
      <c r="K23" s="21">
        <f>'10 - 2022'!H29-'10 - 2022'!H28</f>
        <v>0</v>
      </c>
      <c r="L23" s="15"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'10 - 2022'!B30-'10 - 2022'!B29+'10 - 2022'!C30-'10 - 2022'!C29</f>
        <v>0</v>
      </c>
      <c r="F24" s="13">
        <v>0.11799999999999999</v>
      </c>
      <c r="G24" s="15">
        <f>'10 - 2022'!D30-'10 - 2022'!D29+'10 - 2022'!E30-'10 - 2022'!E29</f>
        <v>0</v>
      </c>
      <c r="H24" s="13">
        <v>0.99</v>
      </c>
      <c r="I24" s="15">
        <f>'10 - 2022'!J30-'10 - 2022'!J29</f>
        <v>0</v>
      </c>
      <c r="J24" s="13">
        <v>8.1000000000000003E-2</v>
      </c>
      <c r="K24" s="21">
        <f>'10 - 2022'!H30-'10 - 2022'!H29</f>
        <v>0</v>
      </c>
      <c r="L24" s="15">
        <f>'10 - 2022'!I30-'10 - 2022'!I29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'10 - 2022'!B31-'10 - 2022'!B30+'10 - 2022'!C31-'10 - 2022'!C30</f>
        <v>0</v>
      </c>
      <c r="F25" s="13">
        <v>0.11799999999999999</v>
      </c>
      <c r="G25" s="15">
        <f>'10 - 2022'!D31-'10 - 2022'!D30+'10 - 2022'!E31-'10 - 2022'!E30</f>
        <v>0</v>
      </c>
      <c r="H25" s="13">
        <v>0.99</v>
      </c>
      <c r="I25" s="15">
        <f>'10 - 2022'!J31-'10 - 2022'!J30</f>
        <v>0</v>
      </c>
      <c r="J25" s="13">
        <v>8.1000000000000003E-2</v>
      </c>
      <c r="K25" s="21">
        <f>'10 - 2022'!H31-'10 - 2022'!H30</f>
        <v>0</v>
      </c>
      <c r="L25" s="15">
        <f>'10 - 2022'!I31-'10 - 2022'!I30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'10 - 2022'!B32-'10 - 2022'!B31+'10 - 2022'!C32-'10 - 2022'!C31</f>
        <v>0</v>
      </c>
      <c r="F26" s="13">
        <v>0.11799999999999999</v>
      </c>
      <c r="G26" s="15">
        <f>'10 - 2022'!D32-'10 - 2022'!D31+'10 - 2022'!E32-'10 - 2022'!E31</f>
        <v>0</v>
      </c>
      <c r="H26" s="13">
        <v>0.99</v>
      </c>
      <c r="I26" s="15">
        <f>'10 - 2022'!J32-'10 - 2022'!J31</f>
        <v>0</v>
      </c>
      <c r="J26" s="13">
        <v>8.1000000000000003E-2</v>
      </c>
      <c r="K26" s="21">
        <f>'10 - 2022'!H32-'10 - 2022'!H31</f>
        <v>0</v>
      </c>
      <c r="L26" s="15">
        <f>'10 - 2022'!I32-'10 - 2022'!I31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'10 - 2022'!B33-'10 - 2022'!B32+'10 - 2022'!C33-'10 - 2022'!C32</f>
        <v>0</v>
      </c>
      <c r="F27" s="13">
        <v>0.11799999999999999</v>
      </c>
      <c r="G27" s="15">
        <f>'10 - 2022'!D33-'10 - 2022'!D32+'10 - 2022'!E33-'10 - 2022'!E32</f>
        <v>0</v>
      </c>
      <c r="H27" s="13">
        <v>0.99</v>
      </c>
      <c r="I27" s="15">
        <f>'10 - 2022'!J33-'10 - 2022'!J32</f>
        <v>0</v>
      </c>
      <c r="J27" s="13">
        <v>8.1000000000000003E-2</v>
      </c>
      <c r="K27" s="21">
        <f>'10 - 2022'!H33-'10 - 2022'!H32</f>
        <v>0</v>
      </c>
      <c r="L27" s="15">
        <f>'10 - 2022'!I33-'10 - 2022'!I32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'10 - 2022'!B34-'10 - 2022'!B33+'10 - 2022'!C34-'10 - 2022'!C33</f>
        <v>0</v>
      </c>
      <c r="F28" s="13">
        <v>0.11799999999999999</v>
      </c>
      <c r="G28" s="15">
        <f>'10 - 2022'!D34-'10 - 2022'!D33+'10 - 2022'!E34-'10 - 2022'!E33</f>
        <v>0</v>
      </c>
      <c r="H28" s="13">
        <v>0.99</v>
      </c>
      <c r="I28" s="15">
        <f>'10 - 2022'!J34-'10 - 2022'!J33</f>
        <v>0</v>
      </c>
      <c r="J28" s="13">
        <v>8.1000000000000003E-2</v>
      </c>
      <c r="K28" s="21">
        <f>'10 - 2022'!H34-'10 - 2022'!H33</f>
        <v>0</v>
      </c>
      <c r="L28" s="15">
        <f>'10 - 2022'!I34-'10 - 2022'!I33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'10 - 2022'!B35-'10 - 2022'!B34+'10 - 2022'!C35-'10 - 2022'!C34</f>
        <v>0</v>
      </c>
      <c r="F29" s="13">
        <v>0.11799999999999999</v>
      </c>
      <c r="G29" s="15">
        <f>'10 - 2022'!D35-'10 - 2022'!D34+'10 - 2022'!E35-'10 - 2022'!E34</f>
        <v>0</v>
      </c>
      <c r="H29" s="13">
        <v>0.99</v>
      </c>
      <c r="I29" s="15">
        <f>'10 - 2022'!J35-'10 - 2022'!J34</f>
        <v>0</v>
      </c>
      <c r="J29" s="13">
        <v>8.1000000000000003E-2</v>
      </c>
      <c r="K29" s="21">
        <f>'10 - 2022'!H35-'10 - 2022'!H34</f>
        <v>0</v>
      </c>
      <c r="L29" s="15">
        <f>'10 - 2022'!I35-'10 - 2022'!I34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'10 - 2022'!B36-'10 - 2022'!B35+'10 - 2022'!C36-'10 - 2022'!C35</f>
        <v>0</v>
      </c>
      <c r="F30" s="13">
        <v>0.11799999999999999</v>
      </c>
      <c r="G30" s="15">
        <f>'10 - 2022'!D36-'10 - 2022'!D35+'10 - 2022'!E36-'10 - 2022'!E35</f>
        <v>0</v>
      </c>
      <c r="H30" s="13">
        <v>0.99</v>
      </c>
      <c r="I30" s="15">
        <f>'10 - 2022'!J36-'10 - 2022'!J35</f>
        <v>0</v>
      </c>
      <c r="J30" s="13">
        <v>8.1000000000000003E-2</v>
      </c>
      <c r="K30" s="21">
        <f>'10 - 2022'!H36-'10 - 2022'!H35</f>
        <v>0</v>
      </c>
      <c r="L30" s="15">
        <f>'10 - 2022'!I36-'10 - 2022'!I35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'10 - 2022'!B37-'10 - 2022'!B36+'10 - 2022'!C37-'10 - 2022'!C36</f>
        <v>0</v>
      </c>
      <c r="F31" s="13">
        <v>0.11799999999999999</v>
      </c>
      <c r="G31" s="15">
        <f>'10 - 2022'!D37-'10 - 2022'!D36+'10 - 2022'!E37-'10 - 2022'!E36</f>
        <v>0</v>
      </c>
      <c r="H31" s="13">
        <v>0.99</v>
      </c>
      <c r="I31" s="15">
        <f>'10 - 2022'!J37-'10 - 2022'!J36</f>
        <v>0</v>
      </c>
      <c r="J31" s="13">
        <v>8.1000000000000003E-2</v>
      </c>
      <c r="K31" s="21">
        <f>'10 - 2022'!H37-'10 - 2022'!H36</f>
        <v>0</v>
      </c>
      <c r="L31" s="15">
        <f>'10 - 2022'!I37-'10 - 2022'!I36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'10 - 2022'!B38-'10 - 2022'!B37+'10 - 2022'!C38-'10 - 2022'!C37</f>
        <v>0</v>
      </c>
      <c r="F32" s="13">
        <v>0.11799999999999999</v>
      </c>
      <c r="G32" s="15">
        <f>'10 - 2022'!D38-'10 - 2022'!D37+'10 - 2022'!E38-'10 - 2022'!E37</f>
        <v>0</v>
      </c>
      <c r="H32" s="13">
        <v>0.99</v>
      </c>
      <c r="I32" s="15">
        <f>'10 - 2022'!J38-'10 - 2022'!J37</f>
        <v>0</v>
      </c>
      <c r="J32" s="13">
        <v>8.1000000000000003E-2</v>
      </c>
      <c r="K32" s="21">
        <f>'10 - 2022'!H38-'10 - 2022'!H37</f>
        <v>0</v>
      </c>
      <c r="L32" s="15">
        <f>'10 - 2022'!I38-'10 - 2022'!I37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3" sqref="K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10</v>
      </c>
      <c r="D2">
        <v>2022</v>
      </c>
      <c r="E2" s="15">
        <f>'10 - 2022'!B8-'10 - 2022'!B7</f>
        <v>4191</v>
      </c>
      <c r="F2" s="15">
        <f>'10 - 2022'!C8-'10 - 2022'!C7</f>
        <v>6266</v>
      </c>
      <c r="G2" s="13">
        <v>0.11799999999999999</v>
      </c>
      <c r="H2" s="15">
        <f>'10 - 2022'!E8-'10 - 2022'!E7</f>
        <v>26.509999999999309</v>
      </c>
      <c r="I2" s="15">
        <f>'10 - 2022'!F8-'10 - 2022'!F7</f>
        <v>10.789999999999964</v>
      </c>
      <c r="J2" s="15">
        <f>'10 - 2022'!G8-'10 - 2022'!G7</f>
        <v>33.319999999999709</v>
      </c>
      <c r="K2" s="13">
        <v>0.74</v>
      </c>
      <c r="L2" s="16">
        <v>71</v>
      </c>
      <c r="M2" s="10"/>
    </row>
    <row r="3" spans="1:1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</f>
        <v>3981</v>
      </c>
      <c r="F3" s="15">
        <f>'10 - 2022'!C9-'10 - 2022'!C8</f>
        <v>6030</v>
      </c>
      <c r="G3" s="13">
        <v>0.11799999999999999</v>
      </c>
      <c r="H3" s="15">
        <f>'10 - 2022'!E9-'10 - 2022'!E8</f>
        <v>25.010000000000218</v>
      </c>
      <c r="I3" s="15">
        <f>'10 - 2022'!F9-'10 - 2022'!F8</f>
        <v>9.0700000000001637</v>
      </c>
      <c r="J3" s="15">
        <f>'10 - 2022'!G9-'10 - 2022'!G8</f>
        <v>26.860000000000582</v>
      </c>
      <c r="K3" s="13">
        <v>0.74</v>
      </c>
      <c r="L3" s="40">
        <v>51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</f>
        <v>4030</v>
      </c>
      <c r="F4" s="15">
        <f>'10 - 2022'!C10-'10 - 2022'!C9</f>
        <v>6052</v>
      </c>
      <c r="G4" s="13">
        <v>0.11799999999999999</v>
      </c>
      <c r="H4" s="15">
        <f>'10 - 2022'!E10-'10 - 2022'!E9</f>
        <v>22.869999999999891</v>
      </c>
      <c r="I4" s="15">
        <f>'10 - 2022'!F10-'10 - 2022'!F9</f>
        <v>10.309999999999945</v>
      </c>
      <c r="J4" s="15">
        <f>'10 - 2022'!G10-'10 - 2022'!G9</f>
        <v>27.930000000000291</v>
      </c>
      <c r="K4" s="13">
        <v>0.74</v>
      </c>
      <c r="L4" s="16">
        <v>55</v>
      </c>
      <c r="M4" s="10"/>
    </row>
    <row r="5" spans="1:1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</f>
        <v>4118</v>
      </c>
      <c r="F5" s="15">
        <f>'10 - 2022'!C11-'10 - 2022'!C10</f>
        <v>5979</v>
      </c>
      <c r="G5" s="13">
        <v>0.11799999999999999</v>
      </c>
      <c r="H5" s="15">
        <f>'10 - 2022'!E11-'10 - 2022'!E10</f>
        <v>25.730000000000473</v>
      </c>
      <c r="I5" s="15">
        <f>'10 - 2022'!F11-'10 - 2022'!F10</f>
        <v>9.5399999999999636</v>
      </c>
      <c r="J5" s="15">
        <f>'10 - 2022'!G11-'10 - 2022'!G10</f>
        <v>28.080000000001746</v>
      </c>
      <c r="K5" s="13">
        <v>0.74</v>
      </c>
      <c r="L5" s="16">
        <v>68</v>
      </c>
      <c r="M5" s="10"/>
    </row>
    <row r="6" spans="1:1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</f>
        <v>4166</v>
      </c>
      <c r="F6" s="15">
        <f>'10 - 2022'!C12-'10 - 2022'!C11</f>
        <v>5912</v>
      </c>
      <c r="G6" s="13">
        <v>0.11799999999999999</v>
      </c>
      <c r="H6" s="15">
        <f>'10 - 2022'!E12-'10 - 2022'!E11</f>
        <v>25.659999999999854</v>
      </c>
      <c r="I6" s="15">
        <f>'10 - 2022'!F12-'10 - 2022'!F11</f>
        <v>11.549999999999727</v>
      </c>
      <c r="J6" s="15">
        <f>'10 - 2022'!G12-'10 - 2022'!G11</f>
        <v>31.569999999999709</v>
      </c>
      <c r="K6" s="13">
        <v>0.74</v>
      </c>
      <c r="L6" s="16">
        <v>83</v>
      </c>
      <c r="M6" s="11"/>
    </row>
    <row r="7" spans="1:1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</f>
        <v>4299</v>
      </c>
      <c r="F7" s="15">
        <f>'10 - 2022'!C13-'10 - 2022'!C12</f>
        <v>6109</v>
      </c>
      <c r="G7" s="13">
        <v>0.11799999999999999</v>
      </c>
      <c r="H7" s="15">
        <f>'10 - 2022'!E13-'10 - 2022'!E12</f>
        <v>24.779999999999745</v>
      </c>
      <c r="I7" s="15">
        <f>'10 - 2022'!F13-'10 - 2022'!F12</f>
        <v>11.440000000000055</v>
      </c>
      <c r="J7" s="15">
        <f>'10 - 2022'!G13-'10 - 2022'!G12</f>
        <v>29.599999999998545</v>
      </c>
      <c r="K7" s="13">
        <v>0.74</v>
      </c>
      <c r="L7" s="16">
        <v>86</v>
      </c>
      <c r="M7" s="11"/>
    </row>
    <row r="8" spans="1:1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</f>
        <v>4194</v>
      </c>
      <c r="F8" s="15">
        <f>'10 - 2022'!C14-'10 - 2022'!C13</f>
        <v>6135</v>
      </c>
      <c r="G8" s="13">
        <v>0.11799999999999999</v>
      </c>
      <c r="H8" s="15">
        <f>'10 - 2022'!E14-'10 - 2022'!E13</f>
        <v>28.159999999999854</v>
      </c>
      <c r="I8" s="15">
        <f>'10 - 2022'!F14-'10 - 2022'!F13</f>
        <v>10.610000000000127</v>
      </c>
      <c r="J8" s="15">
        <f>'10 - 2022'!G14-'10 - 2022'!G13</f>
        <v>31.05000000000291</v>
      </c>
      <c r="K8" s="13">
        <v>0.74</v>
      </c>
      <c r="L8" s="16">
        <v>93</v>
      </c>
      <c r="M8" s="11"/>
    </row>
    <row r="9" spans="1:1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</f>
        <v>4226</v>
      </c>
      <c r="F9" s="15">
        <f>'10 - 2022'!C15-'10 - 2022'!C14</f>
        <v>6115</v>
      </c>
      <c r="G9" s="13">
        <v>0.11799999999999999</v>
      </c>
      <c r="H9" s="15">
        <f>'10 - 2022'!E15-'10 - 2022'!E14</f>
        <v>27.150000000000546</v>
      </c>
      <c r="I9" s="15">
        <f>'10 - 2022'!F15-'10 - 2022'!F14</f>
        <v>10.940000000000055</v>
      </c>
      <c r="J9" s="15">
        <f>'10 - 2022'!G15-'10 - 2022'!G14</f>
        <v>30.879999999997381</v>
      </c>
      <c r="K9" s="13">
        <v>0.74</v>
      </c>
      <c r="L9" s="16">
        <v>75</v>
      </c>
      <c r="M9" s="11"/>
    </row>
    <row r="10" spans="1:1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</f>
        <v>4145</v>
      </c>
      <c r="F10" s="15">
        <f>'10 - 2022'!C16-'10 - 2022'!C15</f>
        <v>5988</v>
      </c>
      <c r="G10" s="13">
        <v>0.11799999999999999</v>
      </c>
      <c r="H10" s="15">
        <f>'10 - 2022'!E16-'10 - 2022'!E15</f>
        <v>26.960000000000036</v>
      </c>
      <c r="I10" s="15">
        <f>'10 - 2022'!F16-'10 - 2022'!F15</f>
        <v>10.509999999999764</v>
      </c>
      <c r="J10" s="15">
        <f>'10 - 2022'!G16-'10 - 2022'!G15</f>
        <v>29.870000000002619</v>
      </c>
      <c r="K10" s="13">
        <v>0.74</v>
      </c>
      <c r="L10" s="16">
        <v>76</v>
      </c>
      <c r="M10" s="11"/>
    </row>
    <row r="11" spans="1:1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</f>
        <v>4156</v>
      </c>
      <c r="F11" s="15">
        <f>'10 - 2022'!C17-'10 - 2022'!C16</f>
        <v>5853</v>
      </c>
      <c r="G11" s="13">
        <v>0.11799999999999999</v>
      </c>
      <c r="H11" s="15">
        <f>'10 - 2022'!E17-'10 - 2022'!E16</f>
        <v>25.259999999999309</v>
      </c>
      <c r="I11" s="15">
        <f>'10 - 2022'!F17-'10 - 2022'!F16</f>
        <v>10.700000000000273</v>
      </c>
      <c r="J11" s="15">
        <f>'10 - 2022'!G17-'10 - 2022'!G16</f>
        <v>29.57999999999447</v>
      </c>
      <c r="K11" s="13">
        <v>0.74</v>
      </c>
      <c r="L11" s="16">
        <v>84</v>
      </c>
      <c r="M11" s="11"/>
    </row>
    <row r="12" spans="1:1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</f>
        <v>4168</v>
      </c>
      <c r="F12" s="15">
        <f>'10 - 2022'!C18-'10 - 2022'!C17</f>
        <v>6027</v>
      </c>
      <c r="G12" s="13">
        <v>0.11799999999999999</v>
      </c>
      <c r="H12" s="15">
        <f>'10 - 2022'!E18-'10 - 2022'!E17</f>
        <v>27.490000000000691</v>
      </c>
      <c r="I12" s="15">
        <f>'10 - 2022'!F18-'10 - 2022'!F17</f>
        <v>10.789999999999964</v>
      </c>
      <c r="J12" s="15">
        <f>'10 - 2022'!G18-'10 - 2022'!G17</f>
        <v>30.870000000002619</v>
      </c>
      <c r="K12" s="13">
        <v>0.74</v>
      </c>
      <c r="L12" s="16">
        <v>96</v>
      </c>
      <c r="M12" s="11"/>
    </row>
    <row r="13" spans="1:1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</f>
        <v>4156</v>
      </c>
      <c r="F13" s="15">
        <f>'10 - 2022'!C19-'10 - 2022'!C18</f>
        <v>6034</v>
      </c>
      <c r="G13" s="13">
        <v>0.11799999999999999</v>
      </c>
      <c r="H13" s="15">
        <f>'10 - 2022'!E19-'10 - 2022'!E18</f>
        <v>26.789999999999964</v>
      </c>
      <c r="I13" s="15">
        <f>'10 - 2022'!F19-'10 - 2022'!F18</f>
        <v>11.610000000000127</v>
      </c>
      <c r="J13" s="15">
        <f>'10 - 2022'!G19-'10 - 2022'!G18</f>
        <v>32.110000000000582</v>
      </c>
      <c r="K13" s="13">
        <v>0.74</v>
      </c>
      <c r="L13" s="16">
        <v>96</v>
      </c>
      <c r="M13" s="11"/>
    </row>
    <row r="14" spans="1:1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</f>
        <v>4125</v>
      </c>
      <c r="F14" s="15">
        <f>'10 - 2022'!C20-'10 - 2022'!C19</f>
        <v>6183</v>
      </c>
      <c r="G14" s="13">
        <v>0.11799999999999999</v>
      </c>
      <c r="H14" s="15">
        <f>'10 - 2022'!E20-'10 - 2022'!E19</f>
        <v>26.839999999999236</v>
      </c>
      <c r="I14" s="15">
        <f>'10 - 2022'!F20-'10 - 2022'!F19</f>
        <v>9.7399999999997817</v>
      </c>
      <c r="J14" s="15">
        <f>'10 - 2022'!G20-'10 - 2022'!G19</f>
        <v>32.830000000001746</v>
      </c>
      <c r="K14" s="13">
        <v>0.74</v>
      </c>
      <c r="L14" s="16">
        <v>101</v>
      </c>
      <c r="M14" s="11"/>
    </row>
    <row r="15" spans="1:1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</f>
        <v>4097</v>
      </c>
      <c r="F15" s="15">
        <f>'10 - 2022'!C21-'10 - 2022'!C20</f>
        <v>6158</v>
      </c>
      <c r="G15" s="13">
        <v>0.11799999999999999</v>
      </c>
      <c r="H15" s="15">
        <f>'10 - 2022'!E21-'10 - 2022'!E20</f>
        <v>27.790000000000873</v>
      </c>
      <c r="I15" s="15">
        <f>'10 - 2022'!F21-'10 - 2022'!F20</f>
        <v>10.510000000000218</v>
      </c>
      <c r="J15" s="15">
        <f>'10 - 2022'!G21-'10 - 2022'!G20</f>
        <v>34.119999999995343</v>
      </c>
      <c r="K15" s="13">
        <v>0.74</v>
      </c>
      <c r="L15" s="16">
        <v>106</v>
      </c>
      <c r="M15" s="11"/>
    </row>
    <row r="16" spans="1:1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</f>
        <v>4131</v>
      </c>
      <c r="F16" s="15">
        <f>'10 - 2022'!C22-'10 - 2022'!C21</f>
        <v>6082</v>
      </c>
      <c r="G16" s="13">
        <v>0.11799999999999999</v>
      </c>
      <c r="H16" s="15">
        <f>'10 - 2022'!E22-'10 - 2022'!E21</f>
        <v>24.089999999999236</v>
      </c>
      <c r="I16" s="15">
        <f>'10 - 2022'!F22-'10 - 2022'!F21</f>
        <v>10.869999999999891</v>
      </c>
      <c r="J16" s="15">
        <f>'10 - 2022'!G22-'10 - 2022'!G21</f>
        <v>32.620000000002619</v>
      </c>
      <c r="K16" s="13">
        <v>0.74</v>
      </c>
      <c r="L16" s="16">
        <v>95</v>
      </c>
      <c r="M16" s="11"/>
    </row>
    <row r="17" spans="1:13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</f>
        <v>3997</v>
      </c>
      <c r="F17" s="15">
        <f>'10 - 2022'!C23-'10 - 2022'!C22</f>
        <v>6083</v>
      </c>
      <c r="G17" s="13">
        <v>0.11799999999999999</v>
      </c>
      <c r="H17" s="15">
        <f>'10 - 2022'!E23-'10 - 2022'!E22</f>
        <v>27.150000000000546</v>
      </c>
      <c r="I17" s="15">
        <f>'10 - 2022'!F23-'10 - 2022'!F22</f>
        <v>9.8299999999999272</v>
      </c>
      <c r="J17" s="15">
        <f>'10 - 2022'!G23-'10 - 2022'!G22</f>
        <v>31.870000000002619</v>
      </c>
      <c r="K17" s="13">
        <v>0.74</v>
      </c>
      <c r="L17" s="16">
        <v>65</v>
      </c>
      <c r="M17" s="11"/>
    </row>
    <row r="18" spans="1:13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</f>
        <v>3872</v>
      </c>
      <c r="F18" s="15">
        <f>'10 - 2022'!C24-'10 - 2022'!C23</f>
        <v>6030</v>
      </c>
      <c r="G18" s="13">
        <v>0.11799999999999999</v>
      </c>
      <c r="H18" s="15">
        <f>'10 - 2022'!E24-'10 - 2022'!E23</f>
        <v>26.219999999999345</v>
      </c>
      <c r="I18" s="15">
        <f>'10 - 2022'!F24-'10 - 2022'!F23</f>
        <v>9.3600000000001273</v>
      </c>
      <c r="J18" s="15">
        <f>'10 - 2022'!G24-'10 - 2022'!G23</f>
        <v>28.57999999999447</v>
      </c>
      <c r="K18" s="13">
        <v>0.74</v>
      </c>
      <c r="L18" s="16">
        <v>60</v>
      </c>
      <c r="M18" s="11"/>
    </row>
    <row r="19" spans="1:13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</f>
        <v>3924</v>
      </c>
      <c r="F19" s="15">
        <f>'10 - 2022'!C25-'10 - 2022'!C24</f>
        <v>5919</v>
      </c>
      <c r="G19" s="13">
        <v>0.11799999999999999</v>
      </c>
      <c r="H19" s="15">
        <f>'10 - 2022'!E25-'10 - 2022'!E24</f>
        <v>24.640000000000327</v>
      </c>
      <c r="I19" s="15">
        <f>'10 - 2022'!F25-'10 - 2022'!F24</f>
        <v>10.279999999999745</v>
      </c>
      <c r="J19" s="15">
        <f>'10 - 2022'!G25-'10 - 2022'!G24</f>
        <v>27</v>
      </c>
      <c r="K19" s="13">
        <v>0.74</v>
      </c>
      <c r="L19" s="16">
        <v>74</v>
      </c>
      <c r="M19" s="11"/>
    </row>
    <row r="20" spans="1:13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</f>
        <v>4019</v>
      </c>
      <c r="F20" s="15">
        <f>'10 - 2022'!C26-'10 - 2022'!C25</f>
        <v>5847</v>
      </c>
      <c r="G20" s="13">
        <v>0.11799999999999999</v>
      </c>
      <c r="H20" s="15">
        <f>'10 - 2022'!E26-'10 - 2022'!E25</f>
        <v>26.199999999999818</v>
      </c>
      <c r="I20" s="15">
        <f>'10 - 2022'!F26-'10 - 2022'!F25</f>
        <v>10.630000000000109</v>
      </c>
      <c r="J20" s="15">
        <f>'10 - 2022'!G26-'10 - 2022'!G25</f>
        <v>30.130000000004657</v>
      </c>
      <c r="K20" s="13">
        <v>0.74</v>
      </c>
      <c r="L20" s="16">
        <v>77</v>
      </c>
      <c r="M20" s="11"/>
    </row>
    <row r="21" spans="1:13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</f>
        <v>3969</v>
      </c>
      <c r="F21" s="15">
        <f>'10 - 2022'!C27-'10 - 2022'!C26</f>
        <v>6014</v>
      </c>
      <c r="G21" s="13">
        <v>0.11799999999999999</v>
      </c>
      <c r="H21" s="15">
        <f>'10 - 2022'!E27-'10 - 2022'!E26</f>
        <v>27.079999999999927</v>
      </c>
      <c r="I21" s="15">
        <f>'10 - 2022'!F27-'10 - 2022'!F26</f>
        <v>10.619999999999891</v>
      </c>
      <c r="J21" s="15">
        <f>'10 - 2022'!G27-'10 - 2022'!G26</f>
        <v>31.639999999999418</v>
      </c>
      <c r="K21" s="13">
        <v>0.74</v>
      </c>
      <c r="L21" s="40">
        <v>91</v>
      </c>
      <c r="M21" s="11"/>
    </row>
    <row r="22" spans="1:13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</f>
        <v>4078</v>
      </c>
      <c r="F22" s="15">
        <f>'10 - 2022'!C28-'10 - 2022'!C27</f>
        <v>6216</v>
      </c>
      <c r="G22" s="13">
        <v>0.11799999999999999</v>
      </c>
      <c r="H22" s="15">
        <f>'10 - 2022'!E28-'10 - 2022'!E27</f>
        <v>28.050000000000182</v>
      </c>
      <c r="I22" s="15">
        <f>'10 - 2022'!F28-'10 - 2022'!F27</f>
        <v>12.350000000000364</v>
      </c>
      <c r="J22" s="15">
        <f>'10 - 2022'!G28-'10 - 2022'!G27</f>
        <v>35</v>
      </c>
      <c r="K22" s="13">
        <v>0.74</v>
      </c>
      <c r="L22" s="16">
        <v>95</v>
      </c>
      <c r="M22" s="11"/>
    </row>
    <row r="23" spans="1:13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v>0</v>
      </c>
      <c r="F23" s="15">
        <v>0</v>
      </c>
      <c r="G23" s="13">
        <v>0.11799999999999999</v>
      </c>
      <c r="H23" s="15">
        <v>0</v>
      </c>
      <c r="I23" s="15">
        <v>0</v>
      </c>
      <c r="J23" s="15"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</f>
        <v>0</v>
      </c>
      <c r="F24" s="15">
        <f>'10 - 2022'!C30-'10 - 2022'!C29</f>
        <v>0</v>
      </c>
      <c r="G24" s="13">
        <v>0.11799999999999999</v>
      </c>
      <c r="H24" s="15">
        <f>'10 - 2022'!E30-'10 - 2022'!E29</f>
        <v>0</v>
      </c>
      <c r="I24" s="15">
        <f>'10 - 2022'!F30-'10 - 2022'!F29</f>
        <v>0</v>
      </c>
      <c r="J24" s="15">
        <f>'10 - 2022'!G30-'10 - 2022'!G29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</f>
        <v>0</v>
      </c>
      <c r="F25" s="15">
        <f>'10 - 2022'!C31-'10 - 2022'!C30</f>
        <v>0</v>
      </c>
      <c r="G25" s="13">
        <v>0.11799999999999999</v>
      </c>
      <c r="H25" s="15">
        <f>'10 - 2022'!E31-'10 - 2022'!E30</f>
        <v>0</v>
      </c>
      <c r="I25" s="15">
        <f>'10 - 2022'!F31-'10 - 2022'!F30</f>
        <v>0</v>
      </c>
      <c r="J25" s="15">
        <f>'10 - 2022'!G31-'10 - 2022'!G30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</f>
        <v>0</v>
      </c>
      <c r="F26" s="15">
        <f>'10 - 2022'!C32-'10 - 2022'!C31</f>
        <v>0</v>
      </c>
      <c r="G26" s="13">
        <v>0.11799999999999999</v>
      </c>
      <c r="H26" s="15">
        <f>'10 - 2022'!E32-'10 - 2022'!E31</f>
        <v>0</v>
      </c>
      <c r="I26" s="15">
        <f>'10 - 2022'!F32-'10 - 2022'!F31</f>
        <v>0</v>
      </c>
      <c r="J26" s="15">
        <f>'10 - 2022'!G32-'10 - 2022'!G31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</f>
        <v>0</v>
      </c>
      <c r="F27" s="15">
        <f>'10 - 2022'!C33-'10 - 2022'!C32</f>
        <v>0</v>
      </c>
      <c r="G27" s="13">
        <v>0.11799999999999999</v>
      </c>
      <c r="H27" s="15">
        <f>'10 - 2022'!E33-'10 - 2022'!E32</f>
        <v>0</v>
      </c>
      <c r="I27" s="15">
        <f>'10 - 2022'!F33-'10 - 2022'!F32</f>
        <v>0</v>
      </c>
      <c r="J27" s="15">
        <f>'10 - 2022'!G33-'10 - 2022'!G32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</f>
        <v>0</v>
      </c>
      <c r="F28" s="15">
        <f>'10 - 2022'!C34-'10 - 2022'!C33</f>
        <v>0</v>
      </c>
      <c r="G28" s="13">
        <v>0.11799999999999999</v>
      </c>
      <c r="H28" s="15">
        <f>'10 - 2022'!E34-'10 - 2022'!E33</f>
        <v>0</v>
      </c>
      <c r="I28" s="15">
        <f>'10 - 2022'!F34-'10 - 2022'!F33</f>
        <v>0</v>
      </c>
      <c r="J28" s="15">
        <f>'10 - 2022'!G34-'10 - 2022'!G33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</f>
        <v>0</v>
      </c>
      <c r="F29" s="15">
        <f>'10 - 2022'!C35-'10 - 2022'!C34</f>
        <v>0</v>
      </c>
      <c r="G29" s="13">
        <v>0.11799999999999999</v>
      </c>
      <c r="H29" s="15">
        <f>'10 - 2022'!E35-'10 - 2022'!E34</f>
        <v>0</v>
      </c>
      <c r="I29" s="15">
        <f>'10 - 2022'!F35-'10 - 2022'!F34</f>
        <v>0</v>
      </c>
      <c r="J29" s="15">
        <f>'10 - 2022'!G35-'10 - 2022'!G34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</f>
        <v>0</v>
      </c>
      <c r="F30" s="15">
        <f>'10 - 2022'!C36-'10 - 2022'!C35</f>
        <v>0</v>
      </c>
      <c r="G30" s="13">
        <v>0.11799999999999999</v>
      </c>
      <c r="H30" s="15">
        <f>'10 - 2022'!E36-'10 - 2022'!E35</f>
        <v>0</v>
      </c>
      <c r="I30" s="15">
        <f>'10 - 2022'!F36-'10 - 2022'!F35</f>
        <v>0</v>
      </c>
      <c r="J30" s="15">
        <f>'10 - 2022'!G36-'10 - 2022'!G35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</f>
        <v>0</v>
      </c>
      <c r="F31" s="15">
        <f>'10 - 2022'!C37-'10 - 2022'!C36</f>
        <v>0</v>
      </c>
      <c r="G31" s="13">
        <v>0.11799999999999999</v>
      </c>
      <c r="H31" s="15">
        <f>'10 - 2022'!E37-'10 - 2022'!E36</f>
        <v>0</v>
      </c>
      <c r="I31" s="15">
        <f>'10 - 2022'!F37-'10 - 2022'!F36</f>
        <v>0</v>
      </c>
      <c r="J31" s="15">
        <f>'10 - 2022'!G37-'10 - 2022'!G36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</f>
        <v>0</v>
      </c>
      <c r="F32" s="15">
        <f>'10 - 2022'!C38-'10 - 2022'!C37</f>
        <v>0</v>
      </c>
      <c r="G32" s="13">
        <v>0.11799999999999999</v>
      </c>
      <c r="H32" s="15">
        <f>'10 - 2022'!E38-'10 - 2022'!E37</f>
        <v>0</v>
      </c>
      <c r="I32" s="15">
        <f>'10 - 2022'!F38-'10 - 2022'!F37</f>
        <v>0</v>
      </c>
      <c r="J32" s="15">
        <f>'10 - 2022'!G38-'10 - 2022'!G37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F31" sqref="F31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  <c r="K3" s="55"/>
      <c r="L3" s="55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  <c r="K4" s="55"/>
      <c r="L4" s="55"/>
    </row>
    <row r="5" spans="1:17" ht="16.5" thickBot="1" x14ac:dyDescent="0.3">
      <c r="A5" s="56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25" t="s">
        <v>2</v>
      </c>
      <c r="K5" s="56"/>
      <c r="L5" s="55"/>
    </row>
    <row r="6" spans="1:17" ht="12" customHeight="1" x14ac:dyDescent="0.25">
      <c r="A6" s="57" t="s">
        <v>3</v>
      </c>
      <c r="B6" s="58" t="s">
        <v>33</v>
      </c>
      <c r="C6" s="59" t="s">
        <v>34</v>
      </c>
      <c r="D6" s="59" t="s">
        <v>4</v>
      </c>
      <c r="E6" s="59" t="s">
        <v>5</v>
      </c>
      <c r="F6" s="59" t="s">
        <v>6</v>
      </c>
      <c r="G6" s="60" t="s">
        <v>7</v>
      </c>
      <c r="H6" s="59" t="s">
        <v>28</v>
      </c>
      <c r="I6" s="59" t="s">
        <v>29</v>
      </c>
      <c r="J6" s="59" t="s">
        <v>8</v>
      </c>
      <c r="K6" s="61" t="s">
        <v>31</v>
      </c>
      <c r="L6" s="62" t="s">
        <v>32</v>
      </c>
    </row>
    <row r="7" spans="1:17" s="27" customFormat="1" ht="12.95" customHeight="1" x14ac:dyDescent="0.25">
      <c r="A7" s="63">
        <v>44469</v>
      </c>
      <c r="B7" s="46">
        <v>607535</v>
      </c>
      <c r="C7" s="52">
        <v>619102</v>
      </c>
      <c r="D7" s="45">
        <v>0.43</v>
      </c>
      <c r="E7" s="54">
        <v>4899.5200000000004</v>
      </c>
      <c r="F7" s="44">
        <v>3353.46</v>
      </c>
      <c r="G7" s="44">
        <v>46094</v>
      </c>
      <c r="H7" s="46">
        <v>14528</v>
      </c>
      <c r="I7" s="46">
        <v>172426</v>
      </c>
      <c r="J7" s="46">
        <v>60150987</v>
      </c>
      <c r="K7" s="64"/>
      <c r="L7" s="30"/>
      <c r="M7" s="26"/>
    </row>
    <row r="8" spans="1:17" s="29" customFormat="1" ht="12.95" customHeight="1" x14ac:dyDescent="0.25">
      <c r="A8" s="65">
        <f>A7+1</f>
        <v>44470</v>
      </c>
      <c r="B8" s="66">
        <v>611726</v>
      </c>
      <c r="C8" s="66">
        <v>625368</v>
      </c>
      <c r="D8" s="41">
        <v>0.37</v>
      </c>
      <c r="E8" s="67">
        <v>4926.03</v>
      </c>
      <c r="F8" s="42">
        <v>3364.25</v>
      </c>
      <c r="G8" s="66">
        <v>46127.32</v>
      </c>
      <c r="H8" s="46">
        <v>14528</v>
      </c>
      <c r="I8" s="66">
        <v>172540</v>
      </c>
      <c r="J8" s="66">
        <v>60187693</v>
      </c>
      <c r="K8" s="68"/>
      <c r="L8" s="69"/>
      <c r="M8" s="28"/>
    </row>
    <row r="9" spans="1:17" s="29" customFormat="1" ht="12.95" customHeight="1" x14ac:dyDescent="0.25">
      <c r="A9" s="65">
        <f t="shared" ref="A9:A37" si="0">A8+1</f>
        <v>44471</v>
      </c>
      <c r="B9" s="46">
        <v>615707</v>
      </c>
      <c r="C9" s="44">
        <v>631398</v>
      </c>
      <c r="D9" s="45">
        <v>0.28999999999999998</v>
      </c>
      <c r="E9" s="67">
        <v>4951.04</v>
      </c>
      <c r="F9" s="44">
        <v>3373.32</v>
      </c>
      <c r="G9" s="44">
        <v>46154.18</v>
      </c>
      <c r="H9" s="46">
        <v>14528</v>
      </c>
      <c r="I9" s="46">
        <v>172664</v>
      </c>
      <c r="J9" s="46">
        <v>60224351</v>
      </c>
      <c r="K9" s="64"/>
      <c r="L9" s="70"/>
      <c r="M9" s="28"/>
    </row>
    <row r="10" spans="1:17" s="29" customFormat="1" ht="12.95" customHeight="1" x14ac:dyDescent="0.25">
      <c r="A10" s="65">
        <f t="shared" si="0"/>
        <v>44472</v>
      </c>
      <c r="B10" s="46">
        <v>619737</v>
      </c>
      <c r="C10" s="46">
        <v>637450</v>
      </c>
      <c r="D10" s="45">
        <v>0.21</v>
      </c>
      <c r="E10" s="71">
        <v>4973.91</v>
      </c>
      <c r="F10" s="44">
        <v>3383.63</v>
      </c>
      <c r="G10" s="44">
        <v>46182.11</v>
      </c>
      <c r="H10" s="46">
        <v>14528</v>
      </c>
      <c r="I10" s="46">
        <v>172777</v>
      </c>
      <c r="J10" s="47">
        <v>60261167</v>
      </c>
      <c r="K10" s="64"/>
      <c r="L10" s="72"/>
      <c r="M10" s="28"/>
    </row>
    <row r="11" spans="1:17" s="29" customFormat="1" ht="12.95" customHeight="1" x14ac:dyDescent="0.25">
      <c r="A11" s="65">
        <f t="shared" si="0"/>
        <v>44473</v>
      </c>
      <c r="B11" s="46">
        <v>623855</v>
      </c>
      <c r="C11" s="46">
        <v>643429</v>
      </c>
      <c r="D11" s="45">
        <v>0.65</v>
      </c>
      <c r="E11" s="44">
        <v>4999.6400000000003</v>
      </c>
      <c r="F11" s="44">
        <v>3393.17</v>
      </c>
      <c r="G11" s="44">
        <v>46210.19</v>
      </c>
      <c r="H11" s="46">
        <v>14528</v>
      </c>
      <c r="I11" s="46">
        <v>172881</v>
      </c>
      <c r="J11" s="46">
        <v>60297828</v>
      </c>
      <c r="K11" s="64"/>
      <c r="L11" s="72"/>
      <c r="M11" s="28"/>
    </row>
    <row r="12" spans="1:17" s="29" customFormat="1" ht="12.95" customHeight="1" x14ac:dyDescent="0.2">
      <c r="A12" s="65">
        <f t="shared" si="0"/>
        <v>44474</v>
      </c>
      <c r="B12" s="43">
        <v>628021</v>
      </c>
      <c r="C12" s="43">
        <v>649341</v>
      </c>
      <c r="D12" s="45">
        <v>0.57999999999999996</v>
      </c>
      <c r="E12" s="73">
        <v>5025.3</v>
      </c>
      <c r="F12" s="43">
        <v>3404.72</v>
      </c>
      <c r="G12" s="43">
        <v>46241.760000000002</v>
      </c>
      <c r="H12" s="46">
        <v>14528</v>
      </c>
      <c r="I12" s="43">
        <v>172994</v>
      </c>
      <c r="J12" s="43">
        <v>60329808</v>
      </c>
      <c r="K12" s="64"/>
      <c r="L12" s="72"/>
      <c r="M12" s="28"/>
      <c r="N12" s="31"/>
    </row>
    <row r="13" spans="1:17" s="29" customFormat="1" ht="12.95" customHeight="1" x14ac:dyDescent="0.25">
      <c r="A13" s="65">
        <f t="shared" si="0"/>
        <v>44475</v>
      </c>
      <c r="B13" s="48">
        <v>632320</v>
      </c>
      <c r="C13" s="44">
        <v>655450</v>
      </c>
      <c r="D13" s="45">
        <v>0.51</v>
      </c>
      <c r="E13" s="71">
        <v>5050.08</v>
      </c>
      <c r="F13" s="44">
        <v>3416.16</v>
      </c>
      <c r="G13" s="44">
        <v>46271.360000000001</v>
      </c>
      <c r="H13" s="46">
        <v>14528</v>
      </c>
      <c r="I13" s="44">
        <v>173095</v>
      </c>
      <c r="J13" s="44">
        <v>60365754</v>
      </c>
      <c r="K13" s="64"/>
      <c r="L13" s="74"/>
      <c r="M13" s="28"/>
      <c r="N13" s="32"/>
      <c r="O13" s="32"/>
      <c r="P13" s="32"/>
      <c r="Q13" s="32"/>
    </row>
    <row r="14" spans="1:17" s="29" customFormat="1" ht="12.95" customHeight="1" x14ac:dyDescent="0.25">
      <c r="A14" s="65">
        <f t="shared" si="0"/>
        <v>44476</v>
      </c>
      <c r="B14" s="46">
        <v>636514</v>
      </c>
      <c r="C14" s="46">
        <v>661585</v>
      </c>
      <c r="D14" s="45">
        <v>0.42</v>
      </c>
      <c r="E14" s="71">
        <v>5078.24</v>
      </c>
      <c r="F14" s="44">
        <v>3426.77</v>
      </c>
      <c r="G14" s="44">
        <v>46302.41</v>
      </c>
      <c r="H14" s="46">
        <v>14528</v>
      </c>
      <c r="I14" s="46">
        <v>173213</v>
      </c>
      <c r="J14" s="46">
        <v>60404130</v>
      </c>
      <c r="K14" s="64"/>
      <c r="L14" s="72"/>
      <c r="M14" s="28"/>
      <c r="N14" s="32"/>
      <c r="O14" s="32"/>
      <c r="P14" s="32"/>
      <c r="Q14" s="32"/>
    </row>
    <row r="15" spans="1:17" s="29" customFormat="1" ht="12.95" customHeight="1" x14ac:dyDescent="0.25">
      <c r="A15" s="65">
        <f t="shared" si="0"/>
        <v>44477</v>
      </c>
      <c r="B15" s="46">
        <v>640740</v>
      </c>
      <c r="C15" s="46">
        <v>667700</v>
      </c>
      <c r="D15" s="45">
        <v>0.34</v>
      </c>
      <c r="E15" s="44">
        <v>5105.3900000000003</v>
      </c>
      <c r="F15" s="75">
        <v>3437.71</v>
      </c>
      <c r="G15" s="44">
        <v>46333.29</v>
      </c>
      <c r="H15" s="46">
        <v>14528</v>
      </c>
      <c r="I15" s="46">
        <v>173327</v>
      </c>
      <c r="J15" s="46">
        <v>60434909</v>
      </c>
      <c r="K15" s="64"/>
      <c r="L15" s="72"/>
      <c r="M15" s="28"/>
      <c r="N15" s="32"/>
      <c r="O15" s="32"/>
      <c r="P15" s="32"/>
      <c r="Q15" s="32"/>
    </row>
    <row r="16" spans="1:17" s="29" customFormat="1" ht="12.95" customHeight="1" x14ac:dyDescent="0.25">
      <c r="A16" s="65">
        <f t="shared" si="0"/>
        <v>44478</v>
      </c>
      <c r="B16" s="76">
        <v>644885</v>
      </c>
      <c r="C16" s="46">
        <v>673688</v>
      </c>
      <c r="D16" s="45">
        <v>0.26</v>
      </c>
      <c r="E16" s="44">
        <v>5132.3500000000004</v>
      </c>
      <c r="F16" s="75">
        <v>3448.22</v>
      </c>
      <c r="G16" s="44">
        <v>46363.16</v>
      </c>
      <c r="H16" s="46">
        <v>14528</v>
      </c>
      <c r="I16" s="46">
        <v>173452</v>
      </c>
      <c r="J16" s="46">
        <v>60463151</v>
      </c>
      <c r="K16" s="64"/>
      <c r="L16" s="72"/>
      <c r="M16" s="28"/>
      <c r="N16" s="32"/>
      <c r="O16" s="32"/>
      <c r="P16" s="32"/>
      <c r="Q16" s="32"/>
    </row>
    <row r="17" spans="1:19" s="29" customFormat="1" ht="12.95" customHeight="1" x14ac:dyDescent="0.25">
      <c r="A17" s="65">
        <f t="shared" si="0"/>
        <v>44479</v>
      </c>
      <c r="B17" s="44">
        <v>649041</v>
      </c>
      <c r="C17" s="44">
        <v>679541</v>
      </c>
      <c r="D17" s="45">
        <v>0.19</v>
      </c>
      <c r="E17" s="44">
        <v>5157.6099999999997</v>
      </c>
      <c r="F17" s="75">
        <v>3458.92</v>
      </c>
      <c r="G17" s="44">
        <v>46392.74</v>
      </c>
      <c r="H17" s="46">
        <v>14528</v>
      </c>
      <c r="I17" s="44">
        <v>173564</v>
      </c>
      <c r="J17" s="44">
        <v>60492344</v>
      </c>
      <c r="K17" s="64"/>
      <c r="L17" s="72"/>
      <c r="M17" s="28"/>
      <c r="N17" s="32"/>
      <c r="O17" s="32"/>
      <c r="P17" s="32"/>
      <c r="Q17" s="32"/>
    </row>
    <row r="18" spans="1:19" s="29" customFormat="1" ht="12.95" customHeight="1" x14ac:dyDescent="0.25">
      <c r="A18" s="65">
        <f t="shared" si="0"/>
        <v>44480</v>
      </c>
      <c r="B18" s="46">
        <v>653209</v>
      </c>
      <c r="C18" s="46">
        <v>685568</v>
      </c>
      <c r="D18" s="45">
        <v>0.79</v>
      </c>
      <c r="E18" s="44">
        <v>5185.1000000000004</v>
      </c>
      <c r="F18" s="44">
        <v>3469.71</v>
      </c>
      <c r="G18" s="44">
        <v>46423.61</v>
      </c>
      <c r="H18" s="46">
        <v>14528</v>
      </c>
      <c r="I18" s="46">
        <v>173687</v>
      </c>
      <c r="J18" s="46">
        <v>60522844</v>
      </c>
      <c r="K18" s="64"/>
      <c r="L18" s="72"/>
      <c r="M18" s="28"/>
      <c r="N18" s="32"/>
      <c r="O18" s="22"/>
      <c r="P18" s="32"/>
      <c r="Q18" s="32"/>
    </row>
    <row r="19" spans="1:19" s="29" customFormat="1" ht="12.95" customHeight="1" x14ac:dyDescent="0.25">
      <c r="A19" s="65">
        <f t="shared" si="0"/>
        <v>44481</v>
      </c>
      <c r="B19" s="50">
        <v>657365</v>
      </c>
      <c r="C19" s="50">
        <v>691602</v>
      </c>
      <c r="D19" s="45">
        <v>0.7</v>
      </c>
      <c r="E19" s="44">
        <v>5211.8900000000003</v>
      </c>
      <c r="F19" s="44">
        <v>3481.32</v>
      </c>
      <c r="G19" s="51">
        <v>46455.72</v>
      </c>
      <c r="H19" s="46">
        <v>14528</v>
      </c>
      <c r="I19" s="50">
        <v>173806</v>
      </c>
      <c r="J19" s="50">
        <v>60557024</v>
      </c>
      <c r="K19" s="64"/>
      <c r="L19" s="72"/>
      <c r="M19" s="28"/>
      <c r="N19" s="32"/>
      <c r="O19" s="22"/>
      <c r="P19" s="32"/>
      <c r="Q19" s="32"/>
    </row>
    <row r="20" spans="1:19" s="29" customFormat="1" ht="12.95" customHeight="1" x14ac:dyDescent="0.25">
      <c r="A20" s="65">
        <f t="shared" si="0"/>
        <v>44482</v>
      </c>
      <c r="B20" s="50">
        <v>661490</v>
      </c>
      <c r="C20" s="50">
        <v>697785</v>
      </c>
      <c r="D20" s="45">
        <v>0.6</v>
      </c>
      <c r="E20" s="46">
        <v>5238.7299999999996</v>
      </c>
      <c r="F20" s="46">
        <v>3491.06</v>
      </c>
      <c r="G20" s="51">
        <v>46488.55</v>
      </c>
      <c r="H20" s="46">
        <v>14528</v>
      </c>
      <c r="I20" s="50">
        <v>173926</v>
      </c>
      <c r="J20" s="50">
        <v>60590558</v>
      </c>
      <c r="K20" s="64"/>
      <c r="L20" s="77"/>
      <c r="M20" s="28"/>
      <c r="N20" s="33"/>
      <c r="O20" s="32"/>
      <c r="P20" s="32"/>
      <c r="Q20" s="32"/>
    </row>
    <row r="21" spans="1:19" s="29" customFormat="1" ht="12.95" customHeight="1" x14ac:dyDescent="0.25">
      <c r="A21" s="65">
        <f t="shared" si="0"/>
        <v>44483</v>
      </c>
      <c r="B21" s="50">
        <v>665587</v>
      </c>
      <c r="C21" s="50">
        <v>703943</v>
      </c>
      <c r="D21" s="45">
        <v>0.52</v>
      </c>
      <c r="E21" s="51">
        <v>5266.52</v>
      </c>
      <c r="F21" s="44">
        <v>3501.57</v>
      </c>
      <c r="G21" s="51">
        <v>46522.67</v>
      </c>
      <c r="H21" s="46">
        <v>14528</v>
      </c>
      <c r="I21" s="50">
        <v>174049</v>
      </c>
      <c r="J21" s="50">
        <v>60620444</v>
      </c>
      <c r="K21" s="64"/>
      <c r="L21" s="77"/>
      <c r="M21" s="28"/>
      <c r="N21" s="33"/>
      <c r="O21" s="33"/>
      <c r="P21" s="34"/>
      <c r="Q21" s="34"/>
      <c r="S21" s="31"/>
    </row>
    <row r="22" spans="1:19" s="29" customFormat="1" ht="12.95" customHeight="1" x14ac:dyDescent="0.25">
      <c r="A22" s="65">
        <f t="shared" si="0"/>
        <v>44484</v>
      </c>
      <c r="B22" s="46">
        <v>669718</v>
      </c>
      <c r="C22" s="76">
        <v>710025</v>
      </c>
      <c r="D22" s="45">
        <v>0.48</v>
      </c>
      <c r="E22" s="44">
        <v>5290.61</v>
      </c>
      <c r="F22" s="44">
        <v>3512.44</v>
      </c>
      <c r="G22" s="51">
        <v>46555.29</v>
      </c>
      <c r="H22" s="46">
        <v>14528</v>
      </c>
      <c r="I22" s="51">
        <v>174176</v>
      </c>
      <c r="J22" s="50">
        <v>60649034</v>
      </c>
      <c r="K22" s="64"/>
      <c r="L22" s="77"/>
      <c r="M22" s="28"/>
      <c r="N22" s="33"/>
      <c r="O22" s="33"/>
      <c r="P22" s="32"/>
      <c r="Q22" s="32"/>
    </row>
    <row r="23" spans="1:19" s="29" customFormat="1" ht="12.95" customHeight="1" x14ac:dyDescent="0.25">
      <c r="A23" s="65">
        <f t="shared" si="0"/>
        <v>44485</v>
      </c>
      <c r="B23" s="50">
        <v>673715</v>
      </c>
      <c r="C23" s="50">
        <v>716108</v>
      </c>
      <c r="D23" s="45">
        <v>0.4</v>
      </c>
      <c r="E23" s="51">
        <v>5317.76</v>
      </c>
      <c r="F23" s="44">
        <v>3522.27</v>
      </c>
      <c r="G23" s="51">
        <v>46587.16</v>
      </c>
      <c r="H23" s="46">
        <v>14528</v>
      </c>
      <c r="I23" s="50">
        <v>174292</v>
      </c>
      <c r="J23" s="50">
        <v>60678472</v>
      </c>
      <c r="K23" s="64"/>
      <c r="L23" s="77"/>
      <c r="M23" s="28"/>
      <c r="N23" s="33"/>
      <c r="O23" s="32"/>
      <c r="P23" s="32"/>
      <c r="Q23" s="32"/>
    </row>
    <row r="24" spans="1:19" s="29" customFormat="1" ht="12.95" customHeight="1" x14ac:dyDescent="0.25">
      <c r="A24" s="65">
        <f t="shared" si="0"/>
        <v>44486</v>
      </c>
      <c r="B24" s="50">
        <v>677587</v>
      </c>
      <c r="C24" s="50">
        <v>722138</v>
      </c>
      <c r="D24" s="45">
        <v>0.3</v>
      </c>
      <c r="E24" s="51">
        <v>5343.98</v>
      </c>
      <c r="F24" s="44">
        <v>3531.63</v>
      </c>
      <c r="G24" s="51">
        <v>46615.74</v>
      </c>
      <c r="H24" s="46">
        <v>14528</v>
      </c>
      <c r="I24" s="50">
        <v>174406</v>
      </c>
      <c r="J24" s="50">
        <v>60710907</v>
      </c>
      <c r="K24" s="64"/>
      <c r="L24" s="78"/>
      <c r="M24" s="28"/>
      <c r="N24" s="33"/>
      <c r="O24" s="33"/>
      <c r="P24" s="32"/>
      <c r="Q24" s="32"/>
    </row>
    <row r="25" spans="1:19" s="29" customFormat="1" ht="12.95" customHeight="1" x14ac:dyDescent="0.25">
      <c r="A25" s="65">
        <f t="shared" si="0"/>
        <v>44487</v>
      </c>
      <c r="B25" s="51">
        <v>681511</v>
      </c>
      <c r="C25" s="51">
        <v>728057</v>
      </c>
      <c r="D25" s="45">
        <v>0.25</v>
      </c>
      <c r="E25" s="51">
        <v>5368.62</v>
      </c>
      <c r="F25" s="44">
        <v>3541.91</v>
      </c>
      <c r="G25" s="51">
        <v>46642.74</v>
      </c>
      <c r="H25" s="46">
        <v>14528</v>
      </c>
      <c r="I25" s="50">
        <v>174500</v>
      </c>
      <c r="J25" s="50">
        <v>60743458</v>
      </c>
      <c r="K25" s="79"/>
      <c r="L25" s="78"/>
      <c r="M25" s="28"/>
      <c r="N25" s="33"/>
      <c r="O25" s="33"/>
      <c r="P25" s="32"/>
      <c r="Q25" s="32"/>
    </row>
    <row r="26" spans="1:19" s="29" customFormat="1" ht="12.95" customHeight="1" x14ac:dyDescent="0.2">
      <c r="A26" s="65">
        <f t="shared" si="0"/>
        <v>44488</v>
      </c>
      <c r="B26" s="51">
        <v>685530</v>
      </c>
      <c r="C26" s="51">
        <v>733904</v>
      </c>
      <c r="D26" s="49">
        <v>0.18</v>
      </c>
      <c r="E26" s="51">
        <v>5394.82</v>
      </c>
      <c r="F26" s="44">
        <v>3552.54</v>
      </c>
      <c r="G26" s="51">
        <v>46672.87</v>
      </c>
      <c r="H26" s="46">
        <v>14528</v>
      </c>
      <c r="I26" s="50">
        <v>174620</v>
      </c>
      <c r="J26" s="50">
        <v>60775676</v>
      </c>
      <c r="K26" s="64"/>
      <c r="L26" s="78"/>
      <c r="M26" s="28"/>
      <c r="N26" s="33"/>
      <c r="O26" s="33"/>
      <c r="P26" s="32"/>
      <c r="Q26" s="32"/>
    </row>
    <row r="27" spans="1:19" s="29" customFormat="1" ht="12.95" customHeight="1" x14ac:dyDescent="0.25">
      <c r="A27" s="65">
        <f t="shared" si="0"/>
        <v>44489</v>
      </c>
      <c r="B27" s="50">
        <v>689499</v>
      </c>
      <c r="C27" s="50">
        <v>739918</v>
      </c>
      <c r="D27" s="45">
        <v>0.65</v>
      </c>
      <c r="E27" s="51">
        <v>5421.9</v>
      </c>
      <c r="F27" s="44">
        <v>3563.16</v>
      </c>
      <c r="G27" s="51">
        <v>46704.51</v>
      </c>
      <c r="H27" s="46">
        <v>14528</v>
      </c>
      <c r="I27" s="50">
        <v>174734</v>
      </c>
      <c r="J27" s="50">
        <v>60811676</v>
      </c>
      <c r="K27" s="80"/>
      <c r="L27" s="77"/>
      <c r="M27" s="28"/>
    </row>
    <row r="28" spans="1:19" s="29" customFormat="1" ht="12.95" customHeight="1" x14ac:dyDescent="0.25">
      <c r="A28" s="65">
        <f t="shared" si="0"/>
        <v>44490</v>
      </c>
      <c r="B28" s="50">
        <v>693577</v>
      </c>
      <c r="C28" s="50">
        <v>746134</v>
      </c>
      <c r="D28" s="45">
        <v>0.56000000000000005</v>
      </c>
      <c r="E28" s="51">
        <v>5449.95</v>
      </c>
      <c r="F28" s="44">
        <v>3575.51</v>
      </c>
      <c r="G28" s="51">
        <v>46739.51</v>
      </c>
      <c r="H28" s="46">
        <v>14528</v>
      </c>
      <c r="I28" s="50">
        <v>174854</v>
      </c>
      <c r="J28" s="50">
        <v>60844872</v>
      </c>
      <c r="K28" s="64"/>
      <c r="L28" s="77"/>
      <c r="M28" s="28"/>
    </row>
    <row r="29" spans="1:19" s="29" customFormat="1" ht="12.95" customHeight="1" x14ac:dyDescent="0.25">
      <c r="A29" s="65">
        <f t="shared" si="0"/>
        <v>44491</v>
      </c>
      <c r="B29" s="50"/>
      <c r="C29" s="50"/>
      <c r="D29" s="45"/>
      <c r="E29" s="51"/>
      <c r="F29" s="44"/>
      <c r="G29" s="51"/>
      <c r="H29" s="46">
        <v>14528</v>
      </c>
      <c r="I29" s="50"/>
      <c r="J29" s="50"/>
      <c r="K29" s="64"/>
      <c r="L29" s="77"/>
      <c r="M29" s="28"/>
      <c r="N29" s="31"/>
    </row>
    <row r="30" spans="1:19" s="29" customFormat="1" ht="12.95" customHeight="1" x14ac:dyDescent="0.25">
      <c r="A30" s="65">
        <f t="shared" si="0"/>
        <v>44492</v>
      </c>
      <c r="B30" s="50"/>
      <c r="C30" s="50"/>
      <c r="D30" s="45"/>
      <c r="E30" s="51"/>
      <c r="F30" s="44"/>
      <c r="G30" s="51"/>
      <c r="H30" s="46">
        <v>14528</v>
      </c>
      <c r="I30" s="50"/>
      <c r="J30" s="50"/>
      <c r="K30" s="64"/>
      <c r="L30" s="77"/>
      <c r="M30" s="28"/>
    </row>
    <row r="31" spans="1:19" s="29" customFormat="1" ht="12.95" customHeight="1" x14ac:dyDescent="0.25">
      <c r="A31" s="65">
        <f t="shared" si="0"/>
        <v>44493</v>
      </c>
      <c r="B31" s="50"/>
      <c r="C31" s="50"/>
      <c r="D31" s="45"/>
      <c r="E31" s="51"/>
      <c r="F31" s="44"/>
      <c r="G31" s="51"/>
      <c r="H31" s="46">
        <v>14528</v>
      </c>
      <c r="I31" s="50"/>
      <c r="J31" s="50"/>
      <c r="K31" s="64"/>
      <c r="L31" s="77"/>
      <c r="M31" s="28"/>
      <c r="N31" s="31"/>
      <c r="O31" s="31"/>
    </row>
    <row r="32" spans="1:19" s="29" customFormat="1" ht="12.95" customHeight="1" x14ac:dyDescent="0.25">
      <c r="A32" s="65">
        <f t="shared" si="0"/>
        <v>44494</v>
      </c>
      <c r="B32" s="50"/>
      <c r="C32" s="50"/>
      <c r="D32" s="45"/>
      <c r="E32" s="51"/>
      <c r="F32" s="44"/>
      <c r="G32" s="51"/>
      <c r="H32" s="46">
        <v>14528</v>
      </c>
      <c r="I32" s="50"/>
      <c r="J32" s="50"/>
      <c r="K32" s="64"/>
      <c r="L32" s="77"/>
      <c r="M32" s="28"/>
      <c r="N32" s="31"/>
      <c r="O32" s="31"/>
    </row>
    <row r="33" spans="1:16" s="29" customFormat="1" ht="12.95" customHeight="1" x14ac:dyDescent="0.25">
      <c r="A33" s="65">
        <f t="shared" si="0"/>
        <v>44495</v>
      </c>
      <c r="B33" s="50"/>
      <c r="C33" s="50"/>
      <c r="D33" s="45"/>
      <c r="E33" s="51"/>
      <c r="F33" s="44"/>
      <c r="G33" s="51"/>
      <c r="H33" s="46">
        <v>14528</v>
      </c>
      <c r="I33" s="50"/>
      <c r="J33" s="50"/>
      <c r="K33" s="64"/>
      <c r="L33" s="77"/>
      <c r="M33" s="35"/>
      <c r="N33" s="31"/>
      <c r="O33" s="31"/>
    </row>
    <row r="34" spans="1:16" s="29" customFormat="1" ht="12.95" customHeight="1" x14ac:dyDescent="0.25">
      <c r="A34" s="65">
        <f t="shared" si="0"/>
        <v>44496</v>
      </c>
      <c r="B34" s="50"/>
      <c r="C34" s="50"/>
      <c r="D34" s="45"/>
      <c r="E34" s="51"/>
      <c r="F34" s="44"/>
      <c r="G34" s="51"/>
      <c r="H34" s="46">
        <v>14528</v>
      </c>
      <c r="I34" s="51"/>
      <c r="J34" s="51"/>
      <c r="K34" s="64"/>
      <c r="L34" s="81"/>
      <c r="M34" s="35"/>
      <c r="N34" s="31"/>
      <c r="P34" s="31"/>
    </row>
    <row r="35" spans="1:16" s="29" customFormat="1" ht="12.95" customHeight="1" x14ac:dyDescent="0.25">
      <c r="A35" s="65">
        <f>A34+1</f>
        <v>44497</v>
      </c>
      <c r="B35" s="46"/>
      <c r="C35" s="52"/>
      <c r="D35" s="45"/>
      <c r="E35" s="51"/>
      <c r="F35" s="44"/>
      <c r="G35" s="44"/>
      <c r="H35" s="46">
        <v>14528</v>
      </c>
      <c r="I35" s="46"/>
      <c r="J35" s="46"/>
      <c r="K35" s="64"/>
      <c r="L35" s="77"/>
      <c r="M35" s="28"/>
      <c r="N35" s="31"/>
      <c r="O35" s="31"/>
    </row>
    <row r="36" spans="1:16" s="29" customFormat="1" ht="12.95" customHeight="1" x14ac:dyDescent="0.25">
      <c r="A36" s="63">
        <f t="shared" si="0"/>
        <v>44498</v>
      </c>
      <c r="B36" s="46"/>
      <c r="C36" s="52"/>
      <c r="D36" s="45"/>
      <c r="E36" s="54"/>
      <c r="F36" s="44"/>
      <c r="G36" s="44"/>
      <c r="H36" s="46">
        <v>14528</v>
      </c>
      <c r="I36" s="46"/>
      <c r="J36" s="46"/>
      <c r="K36" s="64"/>
      <c r="L36" s="82"/>
      <c r="M36" s="28"/>
      <c r="N36" s="31"/>
      <c r="O36" s="31"/>
    </row>
    <row r="37" spans="1:16" s="29" customFormat="1" ht="12.95" customHeight="1" x14ac:dyDescent="0.25">
      <c r="A37" s="63">
        <f t="shared" si="0"/>
        <v>44499</v>
      </c>
      <c r="B37" s="46"/>
      <c r="C37" s="52"/>
      <c r="D37" s="45"/>
      <c r="E37" s="54"/>
      <c r="F37" s="44"/>
      <c r="G37" s="44"/>
      <c r="H37" s="46">
        <v>14528</v>
      </c>
      <c r="I37" s="46"/>
      <c r="J37" s="46"/>
      <c r="K37" s="64"/>
      <c r="L37" s="77"/>
      <c r="M37" s="28"/>
      <c r="N37" s="31"/>
      <c r="O37" s="31"/>
    </row>
    <row r="38" spans="1:16" s="29" customFormat="1" ht="12.95" customHeight="1" thickBot="1" x14ac:dyDescent="0.3">
      <c r="A38" s="83">
        <f>A37+1</f>
        <v>44500</v>
      </c>
      <c r="B38" s="84"/>
      <c r="C38" s="85"/>
      <c r="D38" s="86"/>
      <c r="E38" s="53"/>
      <c r="F38" s="87"/>
      <c r="G38" s="87"/>
      <c r="H38" s="84">
        <v>14528</v>
      </c>
      <c r="I38" s="84"/>
      <c r="J38" s="84"/>
      <c r="K38" s="88"/>
      <c r="L38" s="89"/>
      <c r="M38" s="23"/>
      <c r="N38" s="31"/>
      <c r="O38" s="31"/>
    </row>
    <row r="39" spans="1:16" s="39" customFormat="1" x14ac:dyDescent="0.25">
      <c r="A39" s="36" t="s">
        <v>35</v>
      </c>
      <c r="B39" s="37">
        <f>B38-B7</f>
        <v>-607535</v>
      </c>
      <c r="C39" s="37">
        <f>C38-C7</f>
        <v>-619102</v>
      </c>
      <c r="D39" s="37"/>
      <c r="E39" s="37">
        <f t="shared" ref="E39:J39" si="1">E38-E7</f>
        <v>-4899.5200000000004</v>
      </c>
      <c r="F39" s="37">
        <f t="shared" si="1"/>
        <v>-3353.46</v>
      </c>
      <c r="G39" s="37">
        <f t="shared" si="1"/>
        <v>-46094</v>
      </c>
      <c r="H39" s="37">
        <f t="shared" si="1"/>
        <v>0</v>
      </c>
      <c r="I39" s="37">
        <f t="shared" si="1"/>
        <v>-172426</v>
      </c>
      <c r="J39" s="37">
        <f t="shared" si="1"/>
        <v>-60150987</v>
      </c>
      <c r="K39" s="37">
        <f>SUM(K7:K38)</f>
        <v>0</v>
      </c>
      <c r="L39" s="55"/>
      <c r="M39" s="23"/>
    </row>
    <row r="40" spans="1:16" s="39" customFormat="1" x14ac:dyDescent="0.25">
      <c r="A40" s="55"/>
      <c r="B40" s="55"/>
      <c r="C40" s="37"/>
      <c r="D40" s="55"/>
      <c r="E40" s="90"/>
      <c r="F40" s="90"/>
      <c r="G40" s="90"/>
      <c r="H40" s="38">
        <f>H39*219.969</f>
        <v>0</v>
      </c>
      <c r="I40" s="37">
        <f>I39*219.969</f>
        <v>-37928374.794</v>
      </c>
      <c r="J40" s="90"/>
      <c r="K40" s="55"/>
      <c r="L40" s="55"/>
    </row>
    <row r="41" spans="1:16" x14ac:dyDescent="0.25">
      <c r="A41" s="55"/>
      <c r="B41" s="55"/>
      <c r="C41" s="55"/>
      <c r="D41" s="55"/>
      <c r="E41" s="55"/>
      <c r="F41" s="55"/>
      <c r="G41" s="55"/>
      <c r="H41" s="91" t="s">
        <v>38</v>
      </c>
      <c r="I41" s="55"/>
      <c r="J41" s="55"/>
      <c r="K41" s="55"/>
      <c r="L41" s="5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10 - 2022</vt:lpstr>
      <vt:lpstr>'10 - 2022'!Print_Area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2022-10-21T08:24:05Z</dcterms:modified>
</cp:coreProperties>
</file>