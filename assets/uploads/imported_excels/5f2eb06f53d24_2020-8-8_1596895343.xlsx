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2" i="3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G5"/>
  <c r="J3" i="18" s="1"/>
  <c r="I3" i="1"/>
  <c r="F12" i="10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12"/>
  <c r="L13"/>
  <c r="L14"/>
  <c r="L15"/>
  <c r="L16"/>
  <c r="L17"/>
  <c r="L20"/>
  <c r="L21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8"/>
  <c r="Q9"/>
  <c r="Q10"/>
  <c r="Q12"/>
  <c r="Q13"/>
  <c r="Q14"/>
  <c r="Q15"/>
  <c r="Q16"/>
  <c r="Q17"/>
  <c r="Q18"/>
  <c r="Q19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5" i="3"/>
  <c r="N8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G35"/>
  <c r="U36" i="1"/>
  <c r="U35"/>
  <c r="F30" i="3"/>
  <c r="G32" i="15"/>
  <c r="F29" i="3"/>
  <c r="F28" l="1"/>
  <c r="F27"/>
  <c r="H26"/>
  <c r="AE20"/>
  <c r="AE19"/>
  <c r="H18" i="23"/>
  <c r="AE18" i="3"/>
  <c r="AE17"/>
  <c r="AE16"/>
  <c r="AE15"/>
  <c r="AD29"/>
  <c r="AD36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B30"/>
  <c r="AD30" s="1"/>
  <c r="AB31"/>
  <c r="AD31" s="1"/>
  <c r="AB32"/>
  <c r="AD32" s="1"/>
  <c r="AB33"/>
  <c r="AD33" s="1"/>
  <c r="AB34"/>
  <c r="AD34" s="1"/>
  <c r="AB35"/>
  <c r="AD35" s="1"/>
  <c r="AB36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H19" i="23" s="1"/>
  <c r="AC21" i="13"/>
  <c r="H20" i="23" s="1"/>
  <c r="AC22" i="13"/>
  <c r="H21" i="23" s="1"/>
  <c r="AC23" i="13"/>
  <c r="H22" i="23" s="1"/>
  <c r="M37" i="12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5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AK18"/>
  <c r="C12" i="23" s="1"/>
  <c r="U19" i="1"/>
  <c r="V19" s="1"/>
  <c r="AK19"/>
  <c r="C13" i="23" s="1"/>
  <c r="U20" i="1"/>
  <c r="AK20"/>
  <c r="C14" i="23" s="1"/>
  <c r="U21" i="1"/>
  <c r="AK21"/>
  <c r="U22"/>
  <c r="AK22"/>
  <c r="C16" i="23" s="1"/>
  <c r="U23" i="1"/>
  <c r="V23" s="1"/>
  <c r="AK23"/>
  <c r="C17" i="23" s="1"/>
  <c r="U24" i="1"/>
  <c r="AK24"/>
  <c r="C18" i="23" s="1"/>
  <c r="U25" i="1"/>
  <c r="AK25"/>
  <c r="C19" i="23" s="1"/>
  <c r="U26" i="1"/>
  <c r="AK26"/>
  <c r="C20" i="23" s="1"/>
  <c r="U27" i="1"/>
  <c r="V27" s="1"/>
  <c r="AK27"/>
  <c r="C21" i="23" s="1"/>
  <c r="U28" i="1"/>
  <c r="AK28"/>
  <c r="C22" i="23" s="1"/>
  <c r="U29" i="1"/>
  <c r="V29" s="1"/>
  <c r="AK29"/>
  <c r="U30"/>
  <c r="V30" s="1"/>
  <c r="AK30"/>
  <c r="C24" i="23" s="1"/>
  <c r="U31" i="1"/>
  <c r="V31" s="1"/>
  <c r="AK31"/>
  <c r="C25" i="23" s="1"/>
  <c r="U32" i="1"/>
  <c r="V32" s="1"/>
  <c r="AK32"/>
  <c r="C26" i="23" s="1"/>
  <c r="U33" i="1"/>
  <c r="V33" s="1"/>
  <c r="AK33"/>
  <c r="C27" i="23" s="1"/>
  <c r="U34" i="1"/>
  <c r="V34" s="1"/>
  <c r="AK34"/>
  <c r="C28" i="23" s="1"/>
  <c r="AK35" i="1"/>
  <c r="C29" i="23" s="1"/>
  <c r="AK36" i="1"/>
  <c r="U37"/>
  <c r="V37" s="1"/>
  <c r="AK37"/>
  <c r="C31" i="23" s="1"/>
  <c r="U38" i="1"/>
  <c r="V38" s="1"/>
  <c r="AK38"/>
  <c r="C32" i="23" s="1"/>
  <c r="U39" i="1"/>
  <c r="AK39"/>
  <c r="C33" i="23" s="1"/>
  <c r="U40" i="1"/>
  <c r="AK40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16" l="1"/>
  <c r="F10" i="10"/>
  <c r="V14" i="1"/>
  <c r="F8" i="10"/>
  <c r="V13" i="1"/>
  <c r="F7" i="10"/>
  <c r="V12" i="1"/>
  <c r="F6" i="10"/>
  <c r="V11" i="1"/>
  <c r="F5" i="10"/>
  <c r="AS40" i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J17" s="1"/>
  <c r="G18"/>
  <c r="J18" s="1"/>
  <c r="G19"/>
  <c r="J19" s="1"/>
  <c r="G20"/>
  <c r="J20" s="1"/>
  <c r="G21"/>
  <c r="J21" s="1"/>
  <c r="G22"/>
  <c r="J22" s="1"/>
  <c r="G23"/>
  <c r="G24"/>
  <c r="G25"/>
  <c r="J25" s="1"/>
  <c r="G26"/>
  <c r="J26" s="1"/>
  <c r="G27"/>
  <c r="J27" s="1"/>
  <c r="G28"/>
  <c r="J28" s="1"/>
  <c r="G29"/>
  <c r="G30"/>
  <c r="G31"/>
  <c r="G33"/>
  <c r="G36"/>
  <c r="G37"/>
  <c r="G38"/>
  <c r="G39"/>
  <c r="G40"/>
  <c r="J16" l="1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E11"/>
  <c r="E12"/>
  <c r="E13"/>
  <c r="F13" i="23"/>
  <c r="F14"/>
  <c r="F15"/>
  <c r="E17" i="3"/>
  <c r="F16" i="23" s="1"/>
  <c r="F12" l="1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J35" i="23" s="1"/>
  <c r="D34" i="18"/>
  <c r="F34" s="1"/>
  <c r="H34"/>
  <c r="M34" s="1"/>
  <c r="T34" s="1"/>
  <c r="Y34" s="1"/>
  <c r="V33"/>
  <c r="J34" i="23" s="1"/>
  <c r="D33" i="18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J33" i="23" l="1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J16"/>
  <c r="X15" i="18"/>
  <c r="X26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V13" s="1"/>
  <c r="W13" s="1"/>
  <c r="S13"/>
  <c r="Z13" s="1"/>
  <c r="R13"/>
  <c r="V12"/>
  <c r="W12" s="1"/>
  <c r="F12" i="13"/>
  <c r="E13"/>
  <c r="G12"/>
  <c r="AT41" i="1" l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<sst xmlns="http://schemas.openxmlformats.org/spreadsheetml/2006/main" count="534" uniqueCount="321">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</sst>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8625664"/>
        <c:axId val="1286315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8633088"/>
        <c:axId val="86773760"/>
      </c:lineChart>
      <c:catAx>
        <c:axId val="12862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1552"/>
        <c:crosses val="autoZero"/>
        <c:auto val="1"/>
        <c:lblAlgn val="ctr"/>
        <c:lblOffset val="100"/>
      </c:catAx>
      <c:valAx>
        <c:axId val="1286315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25664"/>
        <c:crosses val="autoZero"/>
        <c:crossBetween val="between"/>
        <c:majorUnit val="200"/>
      </c:valAx>
      <c:catAx>
        <c:axId val="128633088"/>
        <c:scaling>
          <c:orientation val="minMax"/>
        </c:scaling>
        <c:delete val="1"/>
        <c:axPos val="b"/>
        <c:tickLblPos val="none"/>
        <c:crossAx val="86773760"/>
        <c:crosses val="autoZero"/>
        <c:auto val="1"/>
        <c:lblAlgn val="ctr"/>
        <c:lblOffset val="100"/>
      </c:catAx>
      <c:valAx>
        <c:axId val="86773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3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6807680"/>
        <c:axId val="868092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6815104"/>
        <c:axId val="86816640"/>
      </c:lineChart>
      <c:catAx>
        <c:axId val="8680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9216"/>
        <c:crosses val="autoZero"/>
        <c:auto val="1"/>
        <c:lblAlgn val="ctr"/>
        <c:lblOffset val="100"/>
      </c:catAx>
      <c:valAx>
        <c:axId val="8680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7680"/>
        <c:crosses val="autoZero"/>
        <c:crossBetween val="between"/>
        <c:majorUnit val="200"/>
      </c:valAx>
      <c:catAx>
        <c:axId val="86815104"/>
        <c:scaling>
          <c:orientation val="minMax"/>
        </c:scaling>
        <c:delete val="1"/>
        <c:axPos val="b"/>
        <c:tickLblPos val="none"/>
        <c:crossAx val="86816640"/>
        <c:crosses val="autoZero"/>
        <c:auto val="1"/>
        <c:lblAlgn val="ctr"/>
        <c:lblOffset val="100"/>
      </c:catAx>
      <c:valAx>
        <c:axId val="868166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15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7402752"/>
        <c:axId val="87519232"/>
      </c:lineChart>
      <c:catAx>
        <c:axId val="8740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9232"/>
        <c:crosses val="autoZero"/>
        <c:auto val="1"/>
        <c:lblAlgn val="ctr"/>
        <c:lblOffset val="200"/>
        <c:tickLblSkip val="1"/>
      </c:catAx>
      <c:valAx>
        <c:axId val="87519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7130112"/>
        <c:axId val="87131648"/>
      </c:lineChart>
      <c:catAx>
        <c:axId val="8713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31648"/>
        <c:crosses val="autoZero"/>
        <c:auto val="1"/>
        <c:lblAlgn val="ctr"/>
        <c:lblOffset val="100"/>
      </c:catAx>
      <c:valAx>
        <c:axId val="87131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413696"/>
        <c:axId val="88415616"/>
      </c:lineChart>
      <c:catAx>
        <c:axId val="88413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15616"/>
        <c:crosses val="autoZero"/>
        <c:auto val="1"/>
        <c:lblAlgn val="ctr"/>
        <c:lblOffset val="100"/>
      </c:catAx>
      <c:valAx>
        <c:axId val="88415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13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7691264"/>
        <c:axId val="87693184"/>
      </c:lineChart>
      <c:catAx>
        <c:axId val="87691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3184"/>
        <c:crosses val="autoZero"/>
        <c:auto val="1"/>
        <c:lblAlgn val="ctr"/>
        <c:lblOffset val="100"/>
      </c:catAx>
      <c:valAx>
        <c:axId val="87693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1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65.647999999992322</c:v>
                </c:pt>
                <c:pt idx="3">
                  <c:v>22.703999999951339</c:v>
                </c:pt>
                <c:pt idx="4">
                  <c:v>31.240000000025614</c:v>
                </c:pt>
                <c:pt idx="5">
                  <c:v>8.4479999999923177</c:v>
                </c:pt>
                <c:pt idx="6">
                  <c:v>-316026.96400000004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7709952"/>
        <c:axId val="87736320"/>
      </c:lineChart>
      <c:catAx>
        <c:axId val="8770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36320"/>
        <c:crosses val="autoZero"/>
        <c:auto val="1"/>
        <c:lblAlgn val="ctr"/>
        <c:lblOffset val="100"/>
      </c:catAx>
      <c:valAx>
        <c:axId val="87736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0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9469696"/>
        <c:axId val="89471232"/>
      </c:lineChart>
      <c:catAx>
        <c:axId val="8946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71232"/>
        <c:crosses val="autoZero"/>
        <c:auto val="1"/>
        <c:lblAlgn val="ctr"/>
        <c:lblOffset val="100"/>
      </c:catAx>
      <c:valAx>
        <c:axId val="8947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6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9507712"/>
        <c:axId val="89509248"/>
      </c:lineChart>
      <c:catAx>
        <c:axId val="895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09248"/>
        <c:crosses val="autoZero"/>
        <c:auto val="1"/>
        <c:lblAlgn val="ctr"/>
        <c:lblOffset val="100"/>
      </c:catAx>
      <c:valAx>
        <c:axId val="895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518"/>
          <c:y val="7.47132470511117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9005440"/>
        <c:axId val="89019520"/>
      </c:lineChart>
      <c:catAx>
        <c:axId val="8900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19520"/>
        <c:crosses val="autoZero"/>
        <c:auto val="1"/>
        <c:lblAlgn val="ctr"/>
        <c:lblOffset val="200"/>
        <c:tickLblSkip val="1"/>
      </c:catAx>
      <c:valAx>
        <c:axId val="89019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0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9789952"/>
        <c:axId val="89791488"/>
      </c:lineChart>
      <c:catAx>
        <c:axId val="897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91488"/>
        <c:crosses val="autoZero"/>
        <c:auto val="1"/>
        <c:lblAlgn val="ctr"/>
        <c:lblOffset val="100"/>
      </c:catAx>
      <c:valAx>
        <c:axId val="8979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9799680"/>
        <c:axId val="90113152"/>
      </c:lineChart>
      <c:catAx>
        <c:axId val="89799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13152"/>
        <c:crosses val="autoZero"/>
        <c:auto val="1"/>
        <c:lblAlgn val="ctr"/>
        <c:lblOffset val="100"/>
      </c:catAx>
      <c:valAx>
        <c:axId val="90113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99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0154496"/>
        <c:axId val="90156416"/>
      </c:lineChart>
      <c:catAx>
        <c:axId val="9015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6416"/>
        <c:crosses val="autoZero"/>
        <c:auto val="1"/>
        <c:lblAlgn val="ctr"/>
        <c:lblOffset val="100"/>
      </c:catAx>
      <c:valAx>
        <c:axId val="90156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4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0337280"/>
        <c:axId val="90338816"/>
      </c:lineChart>
      <c:catAx>
        <c:axId val="9033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8816"/>
        <c:crosses val="autoZero"/>
        <c:auto val="1"/>
        <c:lblAlgn val="ctr"/>
        <c:lblOffset val="100"/>
      </c:catAx>
      <c:valAx>
        <c:axId val="9033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0372352"/>
        <c:axId val="90525696"/>
      </c:lineChart>
      <c:catAx>
        <c:axId val="9037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5696"/>
        <c:crosses val="autoZero"/>
        <c:auto val="1"/>
        <c:lblAlgn val="ctr"/>
        <c:lblOffset val="100"/>
      </c:catAx>
      <c:valAx>
        <c:axId val="9052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7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0537344"/>
        <c:axId val="90539136"/>
      </c:lineChart>
      <c:catAx>
        <c:axId val="9053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39136"/>
        <c:crosses val="autoZero"/>
        <c:auto val="1"/>
        <c:lblAlgn val="ctr"/>
        <c:lblOffset val="100"/>
      </c:catAx>
      <c:valAx>
        <c:axId val="9053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3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3773"/>
          <c:y val="7.471324705111215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1055616"/>
        <c:axId val="9105715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1075328"/>
        <c:axId val="91076864"/>
      </c:lineChart>
      <c:catAx>
        <c:axId val="910556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57152"/>
        <c:crosses val="autoZero"/>
        <c:lblAlgn val="ctr"/>
        <c:lblOffset val="100"/>
        <c:tickMarkSkip val="1"/>
      </c:catAx>
      <c:valAx>
        <c:axId val="91057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55616"/>
        <c:crosses val="autoZero"/>
        <c:crossBetween val="between"/>
      </c:valAx>
      <c:catAx>
        <c:axId val="91075328"/>
        <c:scaling>
          <c:orientation val="minMax"/>
        </c:scaling>
        <c:delete val="1"/>
        <c:axPos val="b"/>
        <c:numFmt formatCode="[$-409]d\-mmm\-yy;@" sourceLinked="1"/>
        <c:tickLblPos val="none"/>
        <c:crossAx val="91076864"/>
        <c:crosses val="autoZero"/>
        <c:lblAlgn val="ctr"/>
        <c:lblOffset val="100"/>
      </c:catAx>
      <c:valAx>
        <c:axId val="9107686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75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547264"/>
        <c:axId val="85561344"/>
      </c:lineChart>
      <c:catAx>
        <c:axId val="8554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61344"/>
        <c:crosses val="autoZero"/>
        <c:auto val="1"/>
        <c:lblAlgn val="ctr"/>
        <c:lblOffset val="100"/>
      </c:catAx>
      <c:valAx>
        <c:axId val="85561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4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585920"/>
        <c:axId val="85587456"/>
      </c:lineChart>
      <c:catAx>
        <c:axId val="8558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87456"/>
        <c:crosses val="autoZero"/>
        <c:auto val="1"/>
        <c:lblAlgn val="ctr"/>
        <c:lblOffset val="100"/>
      </c:catAx>
      <c:valAx>
        <c:axId val="855874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8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2463104"/>
        <c:axId val="924646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2466176"/>
        <c:axId val="93258496"/>
      </c:lineChart>
      <c:catAx>
        <c:axId val="924631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4640"/>
        <c:crosses val="autoZero"/>
        <c:lblAlgn val="ctr"/>
        <c:lblOffset val="100"/>
        <c:tickMarkSkip val="1"/>
      </c:catAx>
      <c:valAx>
        <c:axId val="924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3104"/>
        <c:crosses val="autoZero"/>
        <c:crossBetween val="between"/>
      </c:valAx>
      <c:catAx>
        <c:axId val="92466176"/>
        <c:scaling>
          <c:orientation val="minMax"/>
        </c:scaling>
        <c:delete val="1"/>
        <c:axPos val="b"/>
        <c:numFmt formatCode="General" sourceLinked="1"/>
        <c:tickLblPos val="none"/>
        <c:crossAx val="93258496"/>
        <c:crosses val="autoZero"/>
        <c:lblAlgn val="ctr"/>
        <c:lblOffset val="100"/>
      </c:catAx>
      <c:valAx>
        <c:axId val="93258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6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3307264"/>
        <c:axId val="93308800"/>
      </c:lineChart>
      <c:catAx>
        <c:axId val="933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8800"/>
        <c:crosses val="autoZero"/>
        <c:auto val="1"/>
        <c:lblAlgn val="ctr"/>
        <c:lblOffset val="100"/>
      </c:catAx>
      <c:valAx>
        <c:axId val="9330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464448"/>
        <c:axId val="93465984"/>
      </c:lineChart>
      <c:catAx>
        <c:axId val="9346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5984"/>
        <c:crosses val="autoZero"/>
        <c:auto val="1"/>
        <c:lblAlgn val="ctr"/>
        <c:lblOffset val="100"/>
      </c:catAx>
      <c:valAx>
        <c:axId val="9346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7295488"/>
        <c:axId val="872970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7315200"/>
        <c:axId val="87316736"/>
      </c:lineChart>
      <c:catAx>
        <c:axId val="872954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7024"/>
        <c:crosses val="autoZero"/>
        <c:lblAlgn val="ctr"/>
        <c:lblOffset val="100"/>
        <c:tickMarkSkip val="1"/>
      </c:catAx>
      <c:valAx>
        <c:axId val="87297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5488"/>
        <c:crosses val="autoZero"/>
        <c:crossBetween val="between"/>
      </c:valAx>
      <c:catAx>
        <c:axId val="87315200"/>
        <c:scaling>
          <c:orientation val="minMax"/>
        </c:scaling>
        <c:delete val="1"/>
        <c:axPos val="b"/>
        <c:numFmt formatCode="[$-409]d\-mmm\-yy;@" sourceLinked="1"/>
        <c:tickLblPos val="none"/>
        <c:crossAx val="87316736"/>
        <c:crosses val="autoZero"/>
        <c:lblAlgn val="ctr"/>
        <c:lblOffset val="100"/>
      </c:catAx>
      <c:valAx>
        <c:axId val="873167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9830912"/>
        <c:axId val="129832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9833984"/>
        <c:axId val="129839872"/>
      </c:lineChart>
      <c:catAx>
        <c:axId val="1298309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32448"/>
        <c:crosses val="autoZero"/>
        <c:lblAlgn val="ctr"/>
        <c:lblOffset val="100"/>
        <c:tickMarkSkip val="1"/>
      </c:catAx>
      <c:valAx>
        <c:axId val="12983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30912"/>
        <c:crosses val="autoZero"/>
        <c:crossBetween val="between"/>
      </c:valAx>
      <c:catAx>
        <c:axId val="129833984"/>
        <c:scaling>
          <c:orientation val="minMax"/>
        </c:scaling>
        <c:delete val="1"/>
        <c:axPos val="b"/>
        <c:numFmt formatCode="General" sourceLinked="1"/>
        <c:tickLblPos val="none"/>
        <c:crossAx val="129839872"/>
        <c:crosses val="autoZero"/>
        <c:lblAlgn val="ctr"/>
        <c:lblOffset val="100"/>
      </c:catAx>
      <c:valAx>
        <c:axId val="129839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33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0509824"/>
        <c:axId val="1305157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0517248"/>
        <c:axId val="130531328"/>
      </c:lineChart>
      <c:catAx>
        <c:axId val="130509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5712"/>
        <c:crosses val="autoZero"/>
        <c:lblAlgn val="ctr"/>
        <c:lblOffset val="100"/>
        <c:tickMarkSkip val="1"/>
      </c:catAx>
      <c:valAx>
        <c:axId val="130515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9824"/>
        <c:crosses val="autoZero"/>
        <c:crossBetween val="between"/>
      </c:valAx>
      <c:catAx>
        <c:axId val="130517248"/>
        <c:scaling>
          <c:orientation val="minMax"/>
        </c:scaling>
        <c:delete val="1"/>
        <c:axPos val="b"/>
        <c:numFmt formatCode="[$-409]d\-mmm\-yy;@" sourceLinked="1"/>
        <c:tickLblPos val="none"/>
        <c:crossAx val="130531328"/>
        <c:crosses val="autoZero"/>
        <c:lblAlgn val="ctr"/>
        <c:lblOffset val="100"/>
      </c:catAx>
      <c:valAx>
        <c:axId val="1305313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7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1298816"/>
        <c:axId val="1313003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1302144"/>
        <c:axId val="131303680"/>
      </c:lineChart>
      <c:catAx>
        <c:axId val="131298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00352"/>
        <c:crosses val="autoZero"/>
        <c:lblAlgn val="ctr"/>
        <c:lblOffset val="100"/>
        <c:tickMarkSkip val="1"/>
      </c:catAx>
      <c:valAx>
        <c:axId val="13130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8816"/>
        <c:crosses val="autoZero"/>
        <c:crossBetween val="between"/>
      </c:valAx>
      <c:catAx>
        <c:axId val="131302144"/>
        <c:scaling>
          <c:orientation val="minMax"/>
        </c:scaling>
        <c:delete val="1"/>
        <c:axPos val="b"/>
        <c:numFmt formatCode="General" sourceLinked="1"/>
        <c:tickLblPos val="none"/>
        <c:crossAx val="131303680"/>
        <c:crosses val="autoZero"/>
        <c:lblAlgn val="ctr"/>
        <c:lblOffset val="100"/>
      </c:catAx>
      <c:valAx>
        <c:axId val="131303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02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3536384"/>
        <c:axId val="133559040"/>
      </c:lineChart>
      <c:catAx>
        <c:axId val="13353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59040"/>
        <c:crosses val="autoZero"/>
        <c:auto val="1"/>
        <c:lblAlgn val="ctr"/>
        <c:lblOffset val="100"/>
      </c:catAx>
      <c:valAx>
        <c:axId val="133559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6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0557056"/>
        <c:axId val="130558976"/>
      </c:lineChart>
      <c:catAx>
        <c:axId val="130557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8976"/>
        <c:crosses val="autoZero"/>
        <c:auto val="1"/>
        <c:lblAlgn val="ctr"/>
        <c:lblOffset val="100"/>
      </c:catAx>
      <c:valAx>
        <c:axId val="1305589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7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0592128"/>
        <c:axId val="130610304"/>
      </c:lineChart>
      <c:catAx>
        <c:axId val="13059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0304"/>
        <c:crosses val="autoZero"/>
        <c:auto val="1"/>
        <c:lblAlgn val="ctr"/>
        <c:lblOffset val="200"/>
        <c:tickLblSkip val="1"/>
      </c:catAx>
      <c:valAx>
        <c:axId val="1306103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3727360"/>
        <c:axId val="133728896"/>
      </c:lineChart>
      <c:catAx>
        <c:axId val="1337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28896"/>
        <c:crosses val="autoZero"/>
        <c:auto val="1"/>
        <c:lblAlgn val="ctr"/>
        <c:lblOffset val="100"/>
      </c:catAx>
      <c:valAx>
        <c:axId val="1337288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73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65.647999999992322</c:v>
                </c:pt>
                <c:pt idx="3">
                  <c:v>22.703999999951339</c:v>
                </c:pt>
                <c:pt idx="4">
                  <c:v>31.240000000025614</c:v>
                </c:pt>
                <c:pt idx="5">
                  <c:v>8.4479999999923177</c:v>
                </c:pt>
                <c:pt idx="6">
                  <c:v>-316026.96400000004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3749376"/>
        <c:axId val="133898624"/>
      </c:lineChart>
      <c:catAx>
        <c:axId val="13374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98624"/>
        <c:crosses val="autoZero"/>
        <c:auto val="1"/>
        <c:lblAlgn val="ctr"/>
        <c:lblOffset val="100"/>
      </c:catAx>
      <c:valAx>
        <c:axId val="133898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4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7903616"/>
        <c:axId val="167905536"/>
      </c:lineChart>
      <c:catAx>
        <c:axId val="16790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05536"/>
        <c:crosses val="autoZero"/>
        <c:auto val="1"/>
        <c:lblAlgn val="ctr"/>
        <c:lblOffset val="100"/>
      </c:catAx>
      <c:valAx>
        <c:axId val="167905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03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7938688"/>
        <c:axId val="168174336"/>
      </c:lineChart>
      <c:catAx>
        <c:axId val="16793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74336"/>
        <c:crosses val="autoZero"/>
        <c:auto val="1"/>
        <c:lblAlgn val="ctr"/>
        <c:lblOffset val="100"/>
      </c:catAx>
      <c:valAx>
        <c:axId val="168174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38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8187008"/>
        <c:axId val="168188544"/>
      </c:lineChart>
      <c:catAx>
        <c:axId val="1681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8544"/>
        <c:crosses val="autoZero"/>
        <c:auto val="1"/>
        <c:lblAlgn val="ctr"/>
        <c:lblOffset val="200"/>
        <c:tickLblSkip val="1"/>
      </c:catAx>
      <c:valAx>
        <c:axId val="168188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8217216"/>
        <c:axId val="168227200"/>
      </c:lineChart>
      <c:catAx>
        <c:axId val="1682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27200"/>
        <c:crosses val="autoZero"/>
        <c:auto val="1"/>
        <c:lblAlgn val="ctr"/>
        <c:lblOffset val="100"/>
      </c:catAx>
      <c:valAx>
        <c:axId val="168227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73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65.647999999992322</c:v>
                </c:pt>
                <c:pt idx="3">
                  <c:v>22.703999999951339</c:v>
                </c:pt>
                <c:pt idx="4">
                  <c:v>31.240000000025614</c:v>
                </c:pt>
                <c:pt idx="5">
                  <c:v>8.4479999999923177</c:v>
                </c:pt>
                <c:pt idx="6">
                  <c:v>-316026.96400000004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8649088"/>
        <c:axId val="168650624"/>
      </c:lineChart>
      <c:catAx>
        <c:axId val="16864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50624"/>
        <c:crosses val="autoZero"/>
        <c:auto val="1"/>
        <c:lblAlgn val="ctr"/>
        <c:lblOffset val="100"/>
      </c:catAx>
      <c:valAx>
        <c:axId val="16865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9764736"/>
        <c:axId val="169775104"/>
      </c:lineChart>
      <c:catAx>
        <c:axId val="169764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75104"/>
        <c:crosses val="autoZero"/>
        <c:auto val="1"/>
        <c:lblAlgn val="ctr"/>
        <c:lblOffset val="100"/>
      </c:catAx>
      <c:valAx>
        <c:axId val="169775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64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9947520"/>
        <c:axId val="169949440"/>
      </c:lineChart>
      <c:catAx>
        <c:axId val="169947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49440"/>
        <c:crosses val="autoZero"/>
        <c:auto val="1"/>
        <c:lblAlgn val="ctr"/>
        <c:lblOffset val="100"/>
      </c:catAx>
      <c:valAx>
        <c:axId val="169949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47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9966208"/>
        <c:axId val="169988480"/>
      </c:lineChart>
      <c:catAx>
        <c:axId val="16996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88480"/>
        <c:crosses val="autoZero"/>
        <c:auto val="1"/>
        <c:lblAlgn val="ctr"/>
        <c:lblOffset val="200"/>
        <c:tickLblSkip val="1"/>
      </c:catAx>
      <c:valAx>
        <c:axId val="169988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9308544"/>
        <c:axId val="169310080"/>
      </c:lineChart>
      <c:catAx>
        <c:axId val="1693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10080"/>
        <c:crosses val="autoZero"/>
        <c:auto val="1"/>
        <c:lblAlgn val="ctr"/>
        <c:lblOffset val="100"/>
      </c:catAx>
      <c:valAx>
        <c:axId val="16931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98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9326464"/>
        <c:axId val="169328000"/>
      </c:lineChart>
      <c:catAx>
        <c:axId val="16932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28000"/>
        <c:crosses val="autoZero"/>
        <c:auto val="1"/>
        <c:lblAlgn val="ctr"/>
        <c:lblOffset val="100"/>
      </c:catAx>
      <c:valAx>
        <c:axId val="16932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2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0274176"/>
        <c:axId val="170309120"/>
      </c:lineChart>
      <c:catAx>
        <c:axId val="17027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9120"/>
        <c:crosses val="autoZero"/>
        <c:auto val="1"/>
        <c:lblAlgn val="ctr"/>
        <c:lblOffset val="100"/>
      </c:catAx>
      <c:valAx>
        <c:axId val="170309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4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0805120"/>
        <c:axId val="170823680"/>
      </c:lineChart>
      <c:catAx>
        <c:axId val="17080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23680"/>
        <c:crosses val="autoZero"/>
        <c:auto val="1"/>
        <c:lblAlgn val="ctr"/>
        <c:lblOffset val="100"/>
      </c:catAx>
      <c:valAx>
        <c:axId val="170823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05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0594688"/>
        <c:axId val="170596224"/>
      </c:lineChart>
      <c:catAx>
        <c:axId val="17059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96224"/>
        <c:crosses val="autoZero"/>
        <c:auto val="1"/>
        <c:lblAlgn val="ctr"/>
        <c:lblOffset val="200"/>
        <c:tickLblSkip val="1"/>
      </c:catAx>
      <c:valAx>
        <c:axId val="170596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9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0620800"/>
        <c:axId val="170622336"/>
      </c:lineChart>
      <c:catAx>
        <c:axId val="17062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22336"/>
        <c:crosses val="autoZero"/>
        <c:auto val="1"/>
        <c:lblAlgn val="ctr"/>
        <c:lblOffset val="100"/>
      </c:catAx>
      <c:valAx>
        <c:axId val="17062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2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598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0634624"/>
        <c:axId val="171447424"/>
      </c:lineChart>
      <c:catAx>
        <c:axId val="17063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47424"/>
        <c:crosses val="autoZero"/>
        <c:auto val="1"/>
        <c:lblAlgn val="ctr"/>
        <c:lblOffset val="100"/>
      </c:catAx>
      <c:valAx>
        <c:axId val="17144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3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65.647999999992322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22.703999999951339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31.240000000025614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8.4479999999923177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 t="str">
        <f>IF('Utility summery'!M12&lt;0,"0",'Utility summery'!M12)</f>
        <v>0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0</v>
      </c>
      <c r="F9" s="484" t="e">
        <f>('UTILITY REPORT 1'!E10*'UTILITY REPORT 1'!D10)/'UTILITY REPORT 1'!F10</f>
        <v>#DIV/0!</v>
      </c>
      <c r="G9" s="484">
        <f>IF('Utility summery'!M13&lt;0,"0",'Utility summery'!M13)</f>
        <v>0</v>
      </c>
      <c r="H9" s="492">
        <v>0</v>
      </c>
      <c r="I9" s="484" t="str">
        <f>IF('UTILITY REPORT 1'!G10&lt;0,"0",'UTILITY REPORT 1'!G10)</f>
        <v>0</v>
      </c>
      <c r="J9" s="492">
        <v>0</v>
      </c>
      <c r="K9" s="483">
        <f>'UTILITY REPORT 1'!C10</f>
        <v>0</v>
      </c>
      <c r="L9" s="485" t="e">
        <f>E9*F9+G9*H9+#REF!*#REF!+I9*J9</f>
        <v>#DIV/0!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0</v>
      </c>
      <c r="F10" s="484" t="e">
        <f>('UTILITY REPORT 1'!E11*'UTILITY REPORT 1'!D11)/'UTILITY REPORT 1'!F11</f>
        <v>#DIV/0!</v>
      </c>
      <c r="G10" s="484">
        <f>IF('Utility summery'!M14&lt;0,"0",'Utility summery'!M14)</f>
        <v>0</v>
      </c>
      <c r="H10" s="492">
        <v>0</v>
      </c>
      <c r="I10" s="484">
        <f>IF('UTILITY REPORT 1'!G11&lt;0,"0",'UTILITY REPORT 1'!G11)</f>
        <v>0</v>
      </c>
      <c r="J10" s="492">
        <v>0</v>
      </c>
      <c r="K10" s="483">
        <f>'UTILITY REPORT 1'!C11</f>
        <v>0</v>
      </c>
      <c r="L10" s="485" t="e">
        <f>E10*F10+G10*H10+#REF!*#REF!+I10*J10</f>
        <v>#DIV/0!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0</v>
      </c>
      <c r="F11" s="484" t="e">
        <f>('UTILITY REPORT 1'!E12*'UTILITY REPORT 1'!D12)/'UTILITY REPORT 1'!F12</f>
        <v>#DIV/0!</v>
      </c>
      <c r="G11" s="484">
        <f>IF('Utility summery'!M15&lt;0,"0",'Utility summery'!M15)</f>
        <v>0</v>
      </c>
      <c r="H11" s="492">
        <v>0</v>
      </c>
      <c r="I11" s="484">
        <f>IF('UTILITY REPORT 1'!G12&lt;0,"0",'UTILITY REPORT 1'!G12)</f>
        <v>0</v>
      </c>
      <c r="J11" s="492">
        <v>0</v>
      </c>
      <c r="K11" s="483">
        <f>'UTILITY REPORT 1'!C12</f>
        <v>0</v>
      </c>
      <c r="L11" s="485" t="e">
        <f>E11*F11+G11*H11+#REF!*#REF!+I11*J11</f>
        <v>#DIV/0!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>
        <f>IF('Utility summery'!M16&lt;0,"0",'Utility summery'!M16)</f>
        <v>0</v>
      </c>
      <c r="H12" s="492">
        <v>0</v>
      </c>
      <c r="I12" s="484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40.000000000145519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 t="str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0</v>
      </c>
      <c r="F9" s="540">
        <f>'UTILITY REPORT 1'!E10</f>
        <v>0</v>
      </c>
      <c r="G9" s="541">
        <f>'UTILITY REPORT 1'!F10</f>
        <v>0</v>
      </c>
      <c r="H9" s="540" t="str">
        <f>IF('Kit report'!F11&lt;0,"0",'Kit report'!F11)</f>
        <v>0</v>
      </c>
      <c r="I9" s="540" t="str">
        <f>IF('Kit report'!X11&lt;0,"0",'Kit report'!X11)</f>
        <v>0</v>
      </c>
      <c r="J9" s="540" t="str">
        <f>IF('Utility summery'!H13&lt;0,"0",'Utility summery'!H13)</f>
        <v>0</v>
      </c>
      <c r="K9" s="541" t="str">
        <f>IF('UTILITY REPORT 1'!H10&lt;0,"0",'UTILITY REPORT 1'!H10)</f>
        <v>0</v>
      </c>
      <c r="L9" s="540" t="str">
        <f>'Water-Meter'!K13</f>
        <v>0</v>
      </c>
      <c r="M9" s="541" t="str">
        <f>'Water-Meter'!H13</f>
        <v>0</v>
      </c>
      <c r="N9" s="541" t="str">
        <f>'Water-Meter'!Q13</f>
        <v>0</v>
      </c>
      <c r="O9" s="540" t="e">
        <f>K9*E9+H9*I9+#REF!*#REF!+J9*L9</f>
        <v>#REF!</v>
      </c>
      <c r="P9" s="547" t="str">
        <f>'Water-Meter'!E13</f>
        <v>0</v>
      </c>
      <c r="Q9" s="289" t="str">
        <f>IF('Water-Meter'!U13&lt;0,"0",'Water-Meter'!U13)</f>
        <v>0</v>
      </c>
      <c r="R9" s="289" t="str">
        <f>IF('Water-Meter'!X13&lt;0,"0",'Water-Meter'!X13)</f>
        <v>0</v>
      </c>
      <c r="S9" s="289" t="str">
        <f>IF('Water-Meter'!AA13&lt;0,"0",'Water-Meter'!AA13)</f>
        <v>0</v>
      </c>
      <c r="T9" s="289" t="str">
        <f>IF('Water-Meter'!AD13&lt;0,"0",'Water-Meter'!AD13)</f>
        <v>0</v>
      </c>
      <c r="U9" s="289" t="str">
        <f>IF('Water-Meter'!AG13&lt;0,"0",'Water-Meter'!AG13)</f>
        <v>0</v>
      </c>
      <c r="V9" s="289" t="str">
        <f>IF('Water-Meter'!AJ13&lt;0,"0",'Water-Meter'!AJ13)</f>
        <v>0</v>
      </c>
      <c r="W9" s="31">
        <f>'Water-Meter'!AN13</f>
        <v>-14679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0</v>
      </c>
      <c r="F10" s="540">
        <f>'UTILITY REPORT 1'!E11</f>
        <v>0</v>
      </c>
      <c r="G10" s="541">
        <f>'UTILITY REPORT 1'!F11</f>
        <v>0</v>
      </c>
      <c r="H10" s="540">
        <f>IF('Kit report'!F12&lt;0,"0",'Kit report'!F12)</f>
        <v>0</v>
      </c>
      <c r="I10" s="540">
        <f>IF('Kit report'!X12&lt;0,"0",'Kit report'!X12)</f>
        <v>0</v>
      </c>
      <c r="J10" s="540">
        <f>IF('Utility summery'!H14&lt;0,"0",'Utility summery'!H14)</f>
        <v>0</v>
      </c>
      <c r="K10" s="541">
        <f>IF('UTILITY REPORT 1'!H11&lt;0,"0",'UTILITY REPORT 1'!H11)</f>
        <v>0</v>
      </c>
      <c r="L10" s="540">
        <f>'Water-Meter'!K14</f>
        <v>0</v>
      </c>
      <c r="M10" s="541">
        <f>'Water-Meter'!H14</f>
        <v>0</v>
      </c>
      <c r="N10" s="541">
        <f>'Water-Meter'!Q14</f>
        <v>0</v>
      </c>
      <c r="O10" s="540" t="e">
        <f>K10*E10+H10*I10+#REF!*#REF!+J10*L10</f>
        <v>#REF!</v>
      </c>
      <c r="P10" s="547">
        <f>'Water-Meter'!E14</f>
        <v>0</v>
      </c>
      <c r="Q10" s="289">
        <f>IF('Water-Meter'!U14&lt;0,"0",'Water-Meter'!U14)</f>
        <v>0</v>
      </c>
      <c r="R10" s="289">
        <f>IF('Water-Meter'!X14&lt;0,"0",'Water-Meter'!X14)</f>
        <v>0</v>
      </c>
      <c r="S10" s="289">
        <f>IF('Water-Meter'!AA14&lt;0,"0",'Water-Meter'!AA14)</f>
        <v>0</v>
      </c>
      <c r="T10" s="289">
        <f>IF('Water-Meter'!AD14&lt;0,"0",'Water-Meter'!AD14)</f>
        <v>0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0</v>
      </c>
      <c r="X10" s="558">
        <f>Total!K10</f>
        <v>0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0</v>
      </c>
      <c r="F11" s="540">
        <f>'UTILITY REPORT 1'!E12</f>
        <v>0</v>
      </c>
      <c r="G11" s="541">
        <f>'UTILITY REPORT 1'!F12</f>
        <v>0</v>
      </c>
      <c r="H11" s="540">
        <f>IF('Kit report'!F13&lt;0,"0",'Kit report'!F13)</f>
        <v>0</v>
      </c>
      <c r="I11" s="540">
        <f>IF('Kit report'!X13&lt;0,"0",'Kit report'!X13)</f>
        <v>0</v>
      </c>
      <c r="J11" s="540">
        <f>IF('Utility summery'!H15&lt;0,"0",'Utility summery'!H15)</f>
        <v>0</v>
      </c>
      <c r="K11" s="541">
        <f>IF('UTILITY REPORT 1'!H12&lt;0,"0",'UTILITY REPORT 1'!H12)</f>
        <v>0</v>
      </c>
      <c r="L11" s="540">
        <f>'Water-Meter'!K15</f>
        <v>0</v>
      </c>
      <c r="M11" s="541">
        <f>'Water-Meter'!H15</f>
        <v>0</v>
      </c>
      <c r="N11" s="541">
        <f>'Water-Meter'!Q15</f>
        <v>0</v>
      </c>
      <c r="O11" s="540" t="e">
        <f>K11*E11+H11*I11+#REF!*#REF!+J11*L11</f>
        <v>#REF!</v>
      </c>
      <c r="P11" s="547">
        <f>'Water-Meter'!E15</f>
        <v>0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0</v>
      </c>
      <c r="T11" s="289">
        <f>IF('Water-Meter'!AD15&lt;0,"0",'Water-Meter'!AD15)</f>
        <v>0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0</v>
      </c>
      <c r="X11" s="558">
        <f>Total!K11</f>
        <v>0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>
        <f>IF('Kit report'!F14&lt;0,"0",'Kit report'!F14)</f>
        <v>0</v>
      </c>
      <c r="I12" s="540">
        <f>IF('Kit report'!X14&lt;0,"0",'Kit report'!X14)</f>
        <v>0</v>
      </c>
      <c r="J12" s="540">
        <f>IF('Utility summery'!H16&lt;0,"0",'Utility summery'!H16)</f>
        <v>0</v>
      </c>
      <c r="K12" s="541">
        <f>IF('UTILITY REPORT 1'!H13&lt;0,"0",'UTILITY REPORT 1'!H13)</f>
        <v>0</v>
      </c>
      <c r="L12" s="540">
        <f>'Water-Meter'!K16</f>
        <v>0</v>
      </c>
      <c r="M12" s="541">
        <f>'Water-Meter'!H16</f>
        <v>0</v>
      </c>
      <c r="N12" s="541">
        <f>'Water-Meter'!Q16</f>
        <v>0</v>
      </c>
      <c r="O12" s="540" t="e">
        <f>K12*E12+H12*I12+#REF!*#REF!+J12*L12</f>
        <v>#REF!</v>
      </c>
      <c r="P12" s="547">
        <f>'Water-Meter'!E16</f>
        <v>0</v>
      </c>
      <c r="Q12" s="289">
        <f>IF('Water-Meter'!U16&lt;0,"0",'Water-Meter'!U16)</f>
        <v>0</v>
      </c>
      <c r="R12" s="289">
        <f>IF('Water-Meter'!X16&lt;0,"0",'Water-Meter'!X16)</f>
        <v>0</v>
      </c>
      <c r="S12" s="289">
        <f>IF('Water-Meter'!AA16&lt;0,"0",'Water-Meter'!AA16)</f>
        <v>0</v>
      </c>
      <c r="T12" s="289">
        <f>IF('Water-Meter'!AD16&lt;0,"0",'Water-Meter'!AD16)</f>
        <v>0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20" sqref="E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4" t="s">
        <v>317</v>
      </c>
      <c r="B1" s="764"/>
      <c r="C1" s="764"/>
      <c r="D1" s="764"/>
      <c r="E1" s="764"/>
      <c r="F1" s="764"/>
      <c r="G1" s="764"/>
      <c r="H1" s="764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0</v>
      </c>
      <c r="F10" s="471">
        <f>Gen!U18</f>
        <v>0</v>
      </c>
      <c r="G10" s="471" t="str">
        <f>'Water-Meter'!E13</f>
        <v>0</v>
      </c>
      <c r="H10" s="471">
        <f>'Utility report '!AC13</f>
        <v>-36392</v>
      </c>
      <c r="I10" s="471">
        <f>Gen!AK18</f>
        <v>0</v>
      </c>
    </row>
    <row r="11" spans="1:9" ht="13.5">
      <c r="A11" s="468">
        <f>Gen!B19</f>
        <v>44052</v>
      </c>
      <c r="B11" s="470">
        <f>Gen!C19</f>
        <v>0</v>
      </c>
      <c r="C11" s="471">
        <f>'Summery Report'!E13</f>
        <v>0</v>
      </c>
      <c r="D11" s="472">
        <v>1</v>
      </c>
      <c r="E11" s="471">
        <f>Gen!T19</f>
        <v>0</v>
      </c>
      <c r="F11" s="471">
        <f>Gen!U19</f>
        <v>0</v>
      </c>
      <c r="G11" s="471">
        <f>'Water-Meter'!E14</f>
        <v>0</v>
      </c>
      <c r="H11" s="471">
        <f>'Utility report '!AC14</f>
        <v>0</v>
      </c>
      <c r="I11" s="471">
        <f>Gen!AK19</f>
        <v>0</v>
      </c>
    </row>
    <row r="12" spans="1:9" ht="13.5">
      <c r="A12" s="468">
        <f>Gen!B20</f>
        <v>44053</v>
      </c>
      <c r="B12" s="470">
        <f>Gen!C20</f>
        <v>0</v>
      </c>
      <c r="C12" s="471">
        <f>'Summery Report'!E14</f>
        <v>0</v>
      </c>
      <c r="D12" s="472">
        <v>1</v>
      </c>
      <c r="E12" s="471">
        <f>Gen!T20</f>
        <v>0</v>
      </c>
      <c r="F12" s="471">
        <f>Gen!U20</f>
        <v>0</v>
      </c>
      <c r="G12" s="471">
        <f>'Water-Meter'!E15</f>
        <v>0</v>
      </c>
      <c r="H12" s="471">
        <f>'Utility report '!AC15</f>
        <v>0</v>
      </c>
      <c r="I12" s="471">
        <f>Gen!AK20</f>
        <v>0</v>
      </c>
    </row>
    <row r="13" spans="1:9" ht="13.5">
      <c r="A13" s="468">
        <f>Gen!B21</f>
        <v>44054</v>
      </c>
      <c r="B13" s="470">
        <f>Gen!C21</f>
        <v>0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>
        <f>'Water-Meter'!E16</f>
        <v>0</v>
      </c>
      <c r="H13" s="471">
        <f>'Utility report '!AC16</f>
        <v>0</v>
      </c>
      <c r="I13" s="471">
        <f>Gen!AK21</f>
        <v>0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44066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44067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5" t="s">
        <v>135</v>
      </c>
      <c r="E4" s="765"/>
      <c r="F4" s="765"/>
      <c r="G4" s="766" t="s">
        <v>20</v>
      </c>
      <c r="H4" s="766"/>
      <c r="I4" s="766"/>
      <c r="J4" s="767" t="s">
        <v>54</v>
      </c>
      <c r="K4" s="767"/>
      <c r="L4" s="767"/>
      <c r="M4" s="767"/>
      <c r="N4" s="768" t="s">
        <v>143</v>
      </c>
      <c r="O4" s="768"/>
      <c r="P4" s="768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65.647999999992322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22.703999999951339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84</v>
      </c>
      <c r="M10" s="528">
        <f>'Lpg (2)'!G14</f>
        <v>31.240000000025614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83</v>
      </c>
      <c r="M11" s="528">
        <f>'Lpg (2)'!G15</f>
        <v>8.4479999999923177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-316026.96400000004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0</v>
      </c>
      <c r="D13" s="177">
        <f>Gen!T18</f>
        <v>0</v>
      </c>
      <c r="E13" s="177">
        <f>Gen!AK18</f>
        <v>0</v>
      </c>
      <c r="F13" s="177">
        <f>Gen!AS18</f>
        <v>0</v>
      </c>
      <c r="G13" s="180">
        <f>'Utility report '!AC13</f>
        <v>-36392</v>
      </c>
      <c r="H13" s="180">
        <f>'Utility report '!AE13</f>
        <v>-203604</v>
      </c>
      <c r="I13" s="348" t="str">
        <f>'Water-Meter'!E13</f>
        <v>0</v>
      </c>
      <c r="J13" s="182">
        <f>'Lpg (2)'!B17</f>
        <v>0</v>
      </c>
      <c r="K13" s="182">
        <f>'Lpg (2)'!C17</f>
        <v>0</v>
      </c>
      <c r="L13" s="182">
        <f>'Lpg (2)'!D17</f>
        <v>0</v>
      </c>
      <c r="M13" s="528">
        <f>'Lpg (2)'!G17</f>
        <v>0</v>
      </c>
      <c r="N13" s="175">
        <f t="shared" si="2"/>
        <v>0</v>
      </c>
      <c r="O13" s="175">
        <f t="shared" si="2"/>
        <v>0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0</v>
      </c>
      <c r="C14" s="6">
        <f>Gen!U19</f>
        <v>0</v>
      </c>
      <c r="D14" s="177">
        <f>Gen!T19</f>
        <v>0</v>
      </c>
      <c r="E14" s="177">
        <f>Gen!AK19</f>
        <v>0</v>
      </c>
      <c r="F14" s="177">
        <f>Gen!AS19</f>
        <v>0</v>
      </c>
      <c r="G14" s="180">
        <f>'Utility report '!AC14</f>
        <v>0</v>
      </c>
      <c r="H14" s="180">
        <f>'Utility report '!AE14</f>
        <v>0</v>
      </c>
      <c r="I14" s="348">
        <f>'Water-Meter'!E14</f>
        <v>0</v>
      </c>
      <c r="J14" s="182">
        <f>'Lpg (2)'!B18</f>
        <v>0</v>
      </c>
      <c r="K14" s="182">
        <f>'Lpg (2)'!C18</f>
        <v>0</v>
      </c>
      <c r="L14" s="182">
        <f>'Lpg (2)'!D18</f>
        <v>0</v>
      </c>
      <c r="M14" s="528">
        <f>'Lpg (2)'!G18</f>
        <v>0</v>
      </c>
      <c r="N14" s="175">
        <f t="shared" si="2"/>
        <v>0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 t="e">
        <f t="shared" si="0"/>
        <v>#DIV/0!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0</v>
      </c>
      <c r="C15" s="6">
        <f>Gen!U20</f>
        <v>0</v>
      </c>
      <c r="D15" s="177">
        <f>Gen!T20</f>
        <v>0</v>
      </c>
      <c r="E15" s="177">
        <f>Gen!AK20</f>
        <v>0</v>
      </c>
      <c r="F15" s="177">
        <f>Gen!AS20</f>
        <v>0</v>
      </c>
      <c r="G15" s="180">
        <f>'Utility report '!AC15</f>
        <v>0</v>
      </c>
      <c r="H15" s="180">
        <f>'Utility report '!AE15</f>
        <v>0</v>
      </c>
      <c r="I15" s="348">
        <f>'Water-Meter'!E15</f>
        <v>0</v>
      </c>
      <c r="J15" s="182">
        <f>'Lpg (2)'!B19</f>
        <v>0</v>
      </c>
      <c r="K15" s="182">
        <f>'Lpg (2)'!C19</f>
        <v>0</v>
      </c>
      <c r="L15" s="182">
        <f>'Lpg (2)'!D19</f>
        <v>0</v>
      </c>
      <c r="M15" s="528">
        <f>'Lpg (2)'!G19</f>
        <v>0</v>
      </c>
      <c r="N15" s="175">
        <f t="shared" si="2"/>
        <v>0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 t="e">
        <f t="shared" si="0"/>
        <v>#DIV/0!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0</v>
      </c>
      <c r="H16" s="180">
        <f>'Utility report '!AE16</f>
        <v>0</v>
      </c>
      <c r="I16" s="348">
        <f>'Water-Meter'!E16</f>
        <v>0</v>
      </c>
      <c r="J16" s="182">
        <f>'Lpg (2)'!B20</f>
        <v>0</v>
      </c>
      <c r="K16" s="182">
        <f>'Lpg (2)'!C20</f>
        <v>0</v>
      </c>
      <c r="L16" s="182">
        <f>'Lpg (2)'!D20</f>
        <v>0</v>
      </c>
      <c r="M16" s="528">
        <f>'Lpg (2)'!G20</f>
        <v>0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0</v>
      </c>
      <c r="C39" s="537">
        <f>SUM(C7:C35)</f>
        <v>11326</v>
      </c>
      <c r="D39" s="537">
        <f>SUM(D7:D35)</f>
        <v>4689.92</v>
      </c>
      <c r="E39" s="537">
        <f t="shared" ref="E39:S39" si="3">SUM(E7:E35)</f>
        <v>315.08000000000004</v>
      </c>
      <c r="F39" s="537">
        <f t="shared" si="3"/>
        <v>5004.9999999999991</v>
      </c>
      <c r="G39" s="537">
        <f t="shared" si="3"/>
        <v>-36020</v>
      </c>
      <c r="H39" s="537">
        <f t="shared" si="3"/>
        <v>-203368</v>
      </c>
      <c r="I39" s="537">
        <f t="shared" si="3"/>
        <v>328</v>
      </c>
      <c r="J39" s="537">
        <f t="shared" si="3"/>
        <v>510</v>
      </c>
      <c r="K39" s="537">
        <f t="shared" si="3"/>
        <v>510</v>
      </c>
      <c r="L39" s="537">
        <f t="shared" si="3"/>
        <v>420</v>
      </c>
      <c r="M39" s="537">
        <f t="shared" si="3"/>
        <v>-315873.14000000007</v>
      </c>
      <c r="N39" s="537">
        <f t="shared" si="3"/>
        <v>6565.8879999999999</v>
      </c>
      <c r="O39" s="537">
        <f t="shared" si="3"/>
        <v>441.11199999999997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B1" activePane="topRight" state="frozen"/>
      <selection pane="topRight" activeCell="AA10" sqref="AA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7" t="s">
        <v>315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9"/>
    </row>
    <row r="2" spans="1:37" ht="61.5" customHeight="1" thickBot="1">
      <c r="A2" s="148" t="s">
        <v>98</v>
      </c>
      <c r="B2" s="780" t="s">
        <v>99</v>
      </c>
      <c r="C2" s="781"/>
      <c r="D2" s="782"/>
      <c r="E2" s="149"/>
      <c r="F2" s="149"/>
      <c r="G2" s="149"/>
      <c r="H2" s="146" t="s">
        <v>124</v>
      </c>
      <c r="I2" s="335" t="s">
        <v>100</v>
      </c>
      <c r="J2" s="785" t="s">
        <v>122</v>
      </c>
      <c r="K2" s="487"/>
      <c r="L2" s="787" t="s">
        <v>123</v>
      </c>
      <c r="M2" s="486" t="s">
        <v>101</v>
      </c>
      <c r="N2" s="785" t="s">
        <v>102</v>
      </c>
      <c r="O2" s="769" t="s">
        <v>103</v>
      </c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336" t="s">
        <v>104</v>
      </c>
      <c r="AB2" s="780" t="s">
        <v>164</v>
      </c>
      <c r="AC2" s="782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3">
        <f>SUM(D3/B3)</f>
        <v>1.3262195121951219</v>
      </c>
      <c r="G3" s="784"/>
      <c r="H3" s="129">
        <f>Gen!D11</f>
        <v>41431.87000000001</v>
      </c>
      <c r="I3" s="139"/>
      <c r="J3" s="785"/>
      <c r="K3" s="487" t="s">
        <v>165</v>
      </c>
      <c r="L3" s="787"/>
      <c r="M3" s="337" t="s">
        <v>111</v>
      </c>
      <c r="N3" s="785"/>
      <c r="O3" s="769" t="s">
        <v>112</v>
      </c>
      <c r="P3" s="770"/>
      <c r="Q3" s="770"/>
      <c r="R3" s="770"/>
      <c r="S3" s="771" t="s">
        <v>113</v>
      </c>
      <c r="T3" s="772"/>
      <c r="U3" s="772"/>
      <c r="V3" s="773"/>
      <c r="W3" s="774" t="s">
        <v>114</v>
      </c>
      <c r="X3" s="775"/>
      <c r="Y3" s="775"/>
      <c r="Z3" s="776"/>
      <c r="AA3" s="338" t="s">
        <v>115</v>
      </c>
      <c r="AB3" s="128" t="s">
        <v>111</v>
      </c>
      <c r="AC3" s="128" t="s">
        <v>116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5"/>
      <c r="K4" s="487"/>
      <c r="L4" s="787"/>
      <c r="M4" s="141"/>
      <c r="N4" s="786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988.23529411764707</v>
      </c>
      <c r="AI10" s="504">
        <f t="shared" si="12"/>
        <v>5988235.2941176472</v>
      </c>
      <c r="AJ10" s="503">
        <f t="shared" si="4"/>
        <v>0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0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976.47058823529414</v>
      </c>
      <c r="AI11" s="504">
        <f t="shared" si="12"/>
        <v>5976470.5882352944</v>
      </c>
      <c r="AJ11" s="503">
        <f t="shared" si="4"/>
        <v>11764.705882352777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0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976470.58823529445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0</v>
      </c>
      <c r="K13" s="140">
        <f>Gen!AK18</f>
        <v>0</v>
      </c>
      <c r="L13" s="140">
        <f t="shared" si="1"/>
        <v>0</v>
      </c>
      <c r="M13" s="527">
        <f>'Water-Meter'!K53</f>
        <v>574.56424271700564</v>
      </c>
      <c r="N13" s="201" t="str">
        <f>'Water-Meter'!E13</f>
        <v>0</v>
      </c>
      <c r="O13" s="212"/>
      <c r="P13" s="753"/>
      <c r="Q13" s="499">
        <f t="shared" si="2"/>
        <v>0</v>
      </c>
      <c r="R13" s="500">
        <f t="shared" si="5"/>
        <v>0</v>
      </c>
      <c r="S13" s="446"/>
      <c r="T13" s="565"/>
      <c r="U13" s="499">
        <f t="shared" si="6"/>
        <v>-16749</v>
      </c>
      <c r="V13" s="501">
        <f t="shared" si="16"/>
        <v>0</v>
      </c>
      <c r="W13" s="446"/>
      <c r="X13" s="563"/>
      <c r="Y13" s="499">
        <f t="shared" si="8"/>
        <v>-24676</v>
      </c>
      <c r="Z13" s="501">
        <f t="shared" si="9"/>
        <v>0</v>
      </c>
      <c r="AA13" s="501">
        <f t="shared" si="10"/>
        <v>0</v>
      </c>
      <c r="AB13" s="564"/>
      <c r="AC13" s="136">
        <f t="shared" si="11"/>
        <v>-36392</v>
      </c>
      <c r="AD13" s="564"/>
      <c r="AE13" s="219">
        <f t="shared" si="15"/>
        <v>-203604</v>
      </c>
      <c r="AF13" s="314">
        <f>'Lpg (2)'!B17*2000/85</f>
        <v>0</v>
      </c>
      <c r="AG13" s="315">
        <f>'Lpg (2)'!C17*1000/85</f>
        <v>0</v>
      </c>
      <c r="AH13" s="316">
        <f>'Lpg (2)'!D17*1000/85</f>
        <v>0</v>
      </c>
      <c r="AI13" s="504">
        <f t="shared" si="12"/>
        <v>4000000</v>
      </c>
      <c r="AJ13" s="503">
        <f t="shared" si="4"/>
        <v>1000000</v>
      </c>
      <c r="AK13" s="143"/>
    </row>
    <row r="14" spans="1:37" ht="19.5" thickBot="1">
      <c r="A14" s="94">
        <f>Gen!B19</f>
        <v>44052</v>
      </c>
      <c r="B14" s="494">
        <f>'Summery Report'!E13</f>
        <v>0</v>
      </c>
      <c r="C14" s="156">
        <f>Gen!C19</f>
        <v>0</v>
      </c>
      <c r="D14" s="495">
        <f>'Summery Report'!E13</f>
        <v>0</v>
      </c>
      <c r="E14" s="496">
        <f t="shared" si="13"/>
        <v>1.3262195121951219</v>
      </c>
      <c r="F14" s="497" t="e">
        <f t="shared" si="14"/>
        <v>#DIV/0!</v>
      </c>
      <c r="G14" s="497" t="e">
        <f t="shared" si="0"/>
        <v>#DIV/0!</v>
      </c>
      <c r="H14" s="496">
        <f>Gen!D19</f>
        <v>35668.600000000013</v>
      </c>
      <c r="I14" s="498">
        <f>Gen!F19</f>
        <v>0</v>
      </c>
      <c r="J14" s="140">
        <f>Gen!T19</f>
        <v>0</v>
      </c>
      <c r="K14" s="140">
        <f>Gen!AK19</f>
        <v>0</v>
      </c>
      <c r="L14" s="140">
        <f t="shared" si="1"/>
        <v>0</v>
      </c>
      <c r="M14" s="527">
        <f>'Water-Meter'!K54</f>
        <v>0</v>
      </c>
      <c r="N14" s="201">
        <f>'Water-Meter'!E14</f>
        <v>0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/>
      <c r="U14" s="499">
        <f t="shared" si="6"/>
        <v>0</v>
      </c>
      <c r="V14" s="501">
        <f t="shared" si="16"/>
        <v>0</v>
      </c>
      <c r="W14" s="446"/>
      <c r="X14" s="563"/>
      <c r="Y14" s="499">
        <f t="shared" si="8"/>
        <v>0</v>
      </c>
      <c r="Z14" s="501">
        <f t="shared" si="9"/>
        <v>0</v>
      </c>
      <c r="AA14" s="501">
        <f t="shared" si="10"/>
        <v>0</v>
      </c>
      <c r="AB14" s="564"/>
      <c r="AC14" s="136">
        <f t="shared" si="11"/>
        <v>0</v>
      </c>
      <c r="AD14" s="564"/>
      <c r="AE14" s="219">
        <f t="shared" si="15"/>
        <v>0</v>
      </c>
      <c r="AF14" s="314">
        <f>'Lpg (2)'!B18*2000/85</f>
        <v>0</v>
      </c>
      <c r="AG14" s="315">
        <f>'Lpg (2)'!C18*1000/85</f>
        <v>0</v>
      </c>
      <c r="AH14" s="316">
        <f>'Lpg (2)'!D18*1000/85</f>
        <v>0</v>
      </c>
      <c r="AI14" s="504">
        <f t="shared" si="12"/>
        <v>0</v>
      </c>
      <c r="AJ14" s="503">
        <f t="shared" si="4"/>
        <v>4000000</v>
      </c>
      <c r="AK14" s="142"/>
    </row>
    <row r="15" spans="1:37" ht="19.5" thickBot="1">
      <c r="A15" s="94">
        <f>Gen!B20</f>
        <v>44053</v>
      </c>
      <c r="B15" s="494">
        <f>'Summery Report'!E14</f>
        <v>0</v>
      </c>
      <c r="C15" s="156">
        <f>Gen!C20</f>
        <v>0</v>
      </c>
      <c r="D15" s="495">
        <f>'Summery Report'!E14</f>
        <v>0</v>
      </c>
      <c r="E15" s="496">
        <f t="shared" si="13"/>
        <v>1.3262195121951219</v>
      </c>
      <c r="F15" s="497" t="e">
        <f t="shared" si="14"/>
        <v>#DIV/0!</v>
      </c>
      <c r="G15" s="497" t="e">
        <f t="shared" si="0"/>
        <v>#DIV/0!</v>
      </c>
      <c r="H15" s="496">
        <f>Gen!D20</f>
        <v>35668.600000000013</v>
      </c>
      <c r="I15" s="498">
        <f>Gen!F20</f>
        <v>0</v>
      </c>
      <c r="J15" s="140">
        <f>Gen!T20</f>
        <v>0</v>
      </c>
      <c r="K15" s="140">
        <f>Gen!AK20</f>
        <v>0</v>
      </c>
      <c r="L15" s="140">
        <f t="shared" si="1"/>
        <v>0</v>
      </c>
      <c r="M15" s="527">
        <f>'Water-Meter'!K55</f>
        <v>0</v>
      </c>
      <c r="N15" s="201">
        <f>'Water-Meter'!E15</f>
        <v>0</v>
      </c>
      <c r="O15" s="212"/>
      <c r="P15" s="753"/>
      <c r="Q15" s="499">
        <f t="shared" si="2"/>
        <v>0</v>
      </c>
      <c r="R15" s="500">
        <f t="shared" si="5"/>
        <v>0</v>
      </c>
      <c r="S15" s="446"/>
      <c r="T15" s="565"/>
      <c r="U15" s="499">
        <f t="shared" si="6"/>
        <v>0</v>
      </c>
      <c r="V15" s="501">
        <f t="shared" si="16"/>
        <v>0</v>
      </c>
      <c r="W15" s="446"/>
      <c r="X15" s="563"/>
      <c r="Y15" s="499">
        <f t="shared" si="8"/>
        <v>0</v>
      </c>
      <c r="Z15" s="501">
        <f t="shared" si="9"/>
        <v>0</v>
      </c>
      <c r="AA15" s="501">
        <f t="shared" si="10"/>
        <v>0</v>
      </c>
      <c r="AB15" s="564"/>
      <c r="AC15" s="136">
        <f t="shared" si="11"/>
        <v>0</v>
      </c>
      <c r="AD15" s="564"/>
      <c r="AE15" s="219">
        <f>AD15-AD14</f>
        <v>0</v>
      </c>
      <c r="AF15" s="314">
        <f>'Lpg (2)'!B19*2000/85</f>
        <v>0</v>
      </c>
      <c r="AG15" s="315">
        <f>'Lpg (2)'!C19*1000/85</f>
        <v>0</v>
      </c>
      <c r="AH15" s="316">
        <f>'Lpg (2)'!D19*1000/85</f>
        <v>0</v>
      </c>
      <c r="AI15" s="504">
        <f t="shared" ref="AI15:AI35" si="17">SUM(AF15*2000)+(AG15*1000)+(AH15*1000)</f>
        <v>0</v>
      </c>
      <c r="AJ15" s="503">
        <f t="shared" si="4"/>
        <v>0</v>
      </c>
      <c r="AK15" s="142"/>
    </row>
    <row r="16" spans="1:37" ht="19.5" thickBot="1">
      <c r="A16" s="94">
        <f>Gen!B21</f>
        <v>44054</v>
      </c>
      <c r="B16" s="494">
        <f>'Summery Report'!E15</f>
        <v>0</v>
      </c>
      <c r="C16" s="156">
        <f>Gen!C21</f>
        <v>0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35668.600000000013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0</v>
      </c>
      <c r="N16" s="201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0</v>
      </c>
      <c r="V16" s="501">
        <f t="shared" si="16"/>
        <v>0</v>
      </c>
      <c r="W16" s="446"/>
      <c r="X16" s="563"/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0</v>
      </c>
      <c r="AD16" s="564"/>
      <c r="AE16" s="219">
        <f t="shared" si="15"/>
        <v>0</v>
      </c>
      <c r="AF16" s="314">
        <f>'Lpg (2)'!B20*2000/85</f>
        <v>0</v>
      </c>
      <c r="AG16" s="315">
        <f>'Lpg (2)'!C20*1000/85</f>
        <v>0</v>
      </c>
      <c r="AH16" s="316">
        <f>'Lpg (2)'!D20*1000/85</f>
        <v>0</v>
      </c>
      <c r="AI16" s="504">
        <f t="shared" si="17"/>
        <v>0</v>
      </c>
      <c r="AJ16" s="503">
        <f t="shared" si="4"/>
        <v>0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35668.600000000013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0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35668.600000000013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35668.600000000013</v>
      </c>
      <c r="I19" s="498">
        <f>Gen!F24</f>
        <v>18000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/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35668.600000000013</v>
      </c>
      <c r="I20" s="498">
        <f>Gen!F25</f>
        <v>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35668.600000000013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35668.600000000013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35668.600000000013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35668.600000000013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35668.600000000013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35668.600000000013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44065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35668.600000000013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35668.600000000013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35668.600000000013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35668.600000000013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35668.600000000013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35668.600000000013</v>
      </c>
      <c r="I32" s="498">
        <f>Gen!F37</f>
        <v>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35668.600000000013</v>
      </c>
      <c r="I33" s="498">
        <f>Gen!F38</f>
        <v>10000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35668.600000000013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35668.600000000013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35668.600000000013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5431.34</v>
      </c>
      <c r="K37" s="163"/>
      <c r="L37" s="140">
        <f t="shared" si="1"/>
        <v>5431.34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88" t="s">
        <v>150</v>
      </c>
      <c r="C1" s="789"/>
      <c r="D1" s="789"/>
      <c r="E1" s="789"/>
      <c r="F1" s="790"/>
      <c r="G1" s="187"/>
      <c r="H1" s="788" t="s">
        <v>151</v>
      </c>
      <c r="I1" s="789"/>
      <c r="J1" s="789"/>
      <c r="K1" s="789"/>
      <c r="L1" s="790"/>
      <c r="M1" s="788" t="s">
        <v>170</v>
      </c>
      <c r="N1" s="789"/>
      <c r="O1" s="789"/>
      <c r="P1" s="789"/>
      <c r="Q1" s="790"/>
      <c r="R1" s="187"/>
      <c r="T1" s="788" t="s">
        <v>166</v>
      </c>
      <c r="U1" s="789"/>
      <c r="V1" s="789"/>
      <c r="W1" s="789"/>
      <c r="X1" s="790"/>
      <c r="Y1" s="788" t="s">
        <v>169</v>
      </c>
      <c r="Z1" s="789"/>
      <c r="AA1" s="789"/>
      <c r="AB1" s="789"/>
      <c r="AC1" s="790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1" t="s">
        <v>156</v>
      </c>
      <c r="C3" s="792"/>
      <c r="D3" s="196"/>
      <c r="E3" s="699">
        <v>8750.7000000000007</v>
      </c>
      <c r="F3" s="706" t="s">
        <v>157</v>
      </c>
      <c r="G3" s="707"/>
      <c r="H3" s="791" t="s">
        <v>156</v>
      </c>
      <c r="I3" s="792"/>
      <c r="J3" s="763">
        <f>'Water-Meter'!G5</f>
        <v>38000</v>
      </c>
      <c r="K3" s="708">
        <f>'Water-Meter'!G5</f>
        <v>38000</v>
      </c>
      <c r="L3" s="288"/>
      <c r="M3" s="791" t="s">
        <v>156</v>
      </c>
      <c r="N3" s="792"/>
      <c r="O3" s="196">
        <f>'Water-Meter'!J5</f>
        <v>7991</v>
      </c>
      <c r="P3" s="709">
        <f>'Water-Meter'!J5</f>
        <v>7991</v>
      </c>
      <c r="Q3" s="195"/>
      <c r="R3" s="696"/>
      <c r="S3" s="697"/>
      <c r="T3" s="791" t="s">
        <v>156</v>
      </c>
      <c r="U3" s="792"/>
      <c r="V3" s="196"/>
      <c r="W3" s="700">
        <v>7812.1</v>
      </c>
      <c r="X3" s="710">
        <f t="shared" ref="X3:X35" si="0">(W3-V3)*200</f>
        <v>1562420</v>
      </c>
      <c r="Y3" s="791" t="s">
        <v>156</v>
      </c>
      <c r="Z3" s="792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7813.1</v>
      </c>
      <c r="X10" s="736">
        <f t="shared" si="0"/>
        <v>40.000000000145519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/>
      <c r="F11" s="703">
        <f t="shared" si="2"/>
        <v>-1051188</v>
      </c>
      <c r="G11" s="698"/>
      <c r="H11" s="720">
        <f t="shared" si="6"/>
        <v>44051</v>
      </c>
      <c r="I11" s="713"/>
      <c r="J11" s="763">
        <f>'Water-Meter'!G13</f>
        <v>0</v>
      </c>
      <c r="K11" s="739">
        <f>'Water-Meter'!G13</f>
        <v>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0</v>
      </c>
      <c r="P11" s="702">
        <f>'Water-Meter'!J13</f>
        <v>0</v>
      </c>
      <c r="Q11" s="740">
        <f t="shared" si="8"/>
        <v>-7997</v>
      </c>
      <c r="R11" s="746">
        <f t="shared" si="4"/>
        <v>-4.9517027863777088</v>
      </c>
      <c r="S11" s="747">
        <f>Gen!T18</f>
        <v>0</v>
      </c>
      <c r="T11" s="735">
        <f t="shared" si="9"/>
        <v>44051</v>
      </c>
      <c r="U11" s="698"/>
      <c r="V11" s="703">
        <f t="shared" si="5"/>
        <v>7813.1</v>
      </c>
      <c r="W11" s="700"/>
      <c r="X11" s="736">
        <f t="shared" si="0"/>
        <v>-1562620</v>
      </c>
      <c r="Y11" s="730">
        <f t="shared" si="10"/>
        <v>44051</v>
      </c>
      <c r="Z11" s="698"/>
      <c r="AA11" s="698"/>
      <c r="AB11" s="728">
        <f>'Water-Meter'!P13</f>
        <v>0</v>
      </c>
      <c r="AC11" s="729">
        <f t="shared" si="11"/>
        <v>-20211</v>
      </c>
    </row>
    <row r="12" spans="1:29" ht="19.5" thickBot="1">
      <c r="A12" s="712">
        <f>Gen!C19</f>
        <v>0</v>
      </c>
      <c r="B12" s="719">
        <f>Gen!B19</f>
        <v>44052</v>
      </c>
      <c r="C12" s="698"/>
      <c r="D12" s="703">
        <f t="shared" si="1"/>
        <v>0</v>
      </c>
      <c r="E12" s="699"/>
      <c r="F12" s="703">
        <f t="shared" si="2"/>
        <v>0</v>
      </c>
      <c r="G12" s="698"/>
      <c r="H12" s="720">
        <f t="shared" si="6"/>
        <v>44052</v>
      </c>
      <c r="I12" s="713"/>
      <c r="J12" s="763">
        <f>'Water-Meter'!G14</f>
        <v>0</v>
      </c>
      <c r="K12" s="739">
        <f>'Water-Meter'!G14</f>
        <v>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0</v>
      </c>
      <c r="P12" s="702">
        <f>'Water-Meter'!J14</f>
        <v>0</v>
      </c>
      <c r="Q12" s="740">
        <f t="shared" si="8"/>
        <v>0</v>
      </c>
      <c r="R12" s="746">
        <f t="shared" si="4"/>
        <v>0</v>
      </c>
      <c r="S12" s="747">
        <f>Gen!T19</f>
        <v>0</v>
      </c>
      <c r="T12" s="735">
        <f t="shared" si="9"/>
        <v>44052</v>
      </c>
      <c r="U12" s="698"/>
      <c r="V12" s="703">
        <f t="shared" si="5"/>
        <v>0</v>
      </c>
      <c r="W12" s="700"/>
      <c r="X12" s="736">
        <f t="shared" si="0"/>
        <v>0</v>
      </c>
      <c r="Y12" s="730">
        <f t="shared" si="10"/>
        <v>44052</v>
      </c>
      <c r="Z12" s="698"/>
      <c r="AA12" s="698"/>
      <c r="AB12" s="728">
        <f>'Water-Meter'!P14</f>
        <v>0</v>
      </c>
      <c r="AC12" s="729">
        <f t="shared" si="11"/>
        <v>0</v>
      </c>
    </row>
    <row r="13" spans="1:29" ht="19.5" thickBot="1">
      <c r="A13" s="712">
        <f>Gen!C20</f>
        <v>0</v>
      </c>
      <c r="B13" s="719">
        <f>Gen!B20</f>
        <v>44053</v>
      </c>
      <c r="C13" s="698"/>
      <c r="D13" s="703">
        <f t="shared" si="1"/>
        <v>0</v>
      </c>
      <c r="E13" s="699"/>
      <c r="F13" s="703">
        <f t="shared" si="2"/>
        <v>0</v>
      </c>
      <c r="G13" s="698"/>
      <c r="H13" s="720">
        <f t="shared" si="6"/>
        <v>44053</v>
      </c>
      <c r="I13" s="713"/>
      <c r="J13" s="763">
        <f>'Water-Meter'!G15</f>
        <v>0</v>
      </c>
      <c r="K13" s="739">
        <f>'Water-Meter'!G15</f>
        <v>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0</v>
      </c>
      <c r="P13" s="702">
        <f>'Water-Meter'!J15</f>
        <v>0</v>
      </c>
      <c r="Q13" s="740">
        <f t="shared" si="8"/>
        <v>0</v>
      </c>
      <c r="R13" s="746">
        <f t="shared" si="4"/>
        <v>0</v>
      </c>
      <c r="S13" s="747">
        <f>Gen!T20</f>
        <v>0</v>
      </c>
      <c r="T13" s="735">
        <f t="shared" si="9"/>
        <v>44053</v>
      </c>
      <c r="U13" s="698"/>
      <c r="V13" s="703">
        <f t="shared" si="5"/>
        <v>0</v>
      </c>
      <c r="W13" s="700"/>
      <c r="X13" s="736">
        <f t="shared" si="0"/>
        <v>0</v>
      </c>
      <c r="Y13" s="730">
        <f t="shared" si="10"/>
        <v>44053</v>
      </c>
      <c r="Z13" s="698"/>
      <c r="AA13" s="698"/>
      <c r="AB13" s="728">
        <f>'Water-Meter'!P15</f>
        <v>0</v>
      </c>
      <c r="AC13" s="729">
        <f t="shared" si="11"/>
        <v>0</v>
      </c>
    </row>
    <row r="14" spans="1:29" ht="19.5" thickBot="1">
      <c r="A14" s="712">
        <f>Gen!C21</f>
        <v>0</v>
      </c>
      <c r="B14" s="719">
        <f>Gen!B21</f>
        <v>44054</v>
      </c>
      <c r="C14" s="698"/>
      <c r="D14" s="703">
        <f t="shared" si="1"/>
        <v>0</v>
      </c>
      <c r="E14" s="699"/>
      <c r="F14" s="703">
        <f t="shared" si="2"/>
        <v>0</v>
      </c>
      <c r="G14" s="698"/>
      <c r="H14" s="720">
        <f t="shared" si="6"/>
        <v>44054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0</v>
      </c>
      <c r="R14" s="746">
        <f t="shared" si="4"/>
        <v>0</v>
      </c>
      <c r="S14" s="747">
        <f>Gen!T21</f>
        <v>0</v>
      </c>
      <c r="T14" s="735">
        <f t="shared" si="9"/>
        <v>44054</v>
      </c>
      <c r="U14" s="698"/>
      <c r="V14" s="703">
        <f t="shared" si="5"/>
        <v>0</v>
      </c>
      <c r="W14" s="700"/>
      <c r="X14" s="736">
        <f t="shared" si="0"/>
        <v>0</v>
      </c>
      <c r="Y14" s="730">
        <f t="shared" si="10"/>
        <v>44054</v>
      </c>
      <c r="Z14" s="698"/>
      <c r="AA14" s="698"/>
      <c r="AB14" s="728">
        <f>'Water-Meter'!P16</f>
        <v>0</v>
      </c>
      <c r="AC14" s="729">
        <f t="shared" si="11"/>
        <v>0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44055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44055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44055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44056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44056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44056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44057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44057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44057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44058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44058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44058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44059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44059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44059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44060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44060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44060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44061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44061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44061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44062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44062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44062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44063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44063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44063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44064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44065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44065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44065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44065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44066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44066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44066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44066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44066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44067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44067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44067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44067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44068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44068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44068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44069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44069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44069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44070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44070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44070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44071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44071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44071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44072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44072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44073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44073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44073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" sqref="F2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3" t="s">
        <v>316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65.647999999992322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22.703999999951339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31.240000000025614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8.4479999999923177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-316026.96400000004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0</v>
      </c>
      <c r="I12" s="86">
        <f t="shared" si="1"/>
        <v>778.12</v>
      </c>
      <c r="J12" s="525">
        <f>Gen!D18</f>
        <v>35668.600000000013</v>
      </c>
      <c r="K12" s="347" t="str">
        <f>'Water-Meter'!E13</f>
        <v>0</v>
      </c>
      <c r="L12" s="526">
        <f>'Lpg (2)'!G17</f>
        <v>0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-153055</v>
      </c>
      <c r="C13" s="88">
        <f>Gen!C19</f>
        <v>0</v>
      </c>
      <c r="D13" s="512">
        <f t="shared" si="0"/>
        <v>0</v>
      </c>
      <c r="E13" s="75"/>
      <c r="F13" s="71">
        <f>Gen!U17</f>
        <v>1882</v>
      </c>
      <c r="G13" s="86">
        <f>Gen!T17</f>
        <v>771.7</v>
      </c>
      <c r="H13" s="86">
        <f>Gen!AK19</f>
        <v>0</v>
      </c>
      <c r="I13" s="86">
        <f t="shared" si="1"/>
        <v>771.7</v>
      </c>
      <c r="J13" s="525">
        <f>Gen!D19</f>
        <v>35668.600000000013</v>
      </c>
      <c r="K13" s="347">
        <f>'Water-Meter'!E14</f>
        <v>0</v>
      </c>
      <c r="L13" s="526">
        <f>'Lpg (2)'!G18</f>
        <v>0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0</v>
      </c>
      <c r="C14" s="88">
        <f>Gen!C20</f>
        <v>0</v>
      </c>
      <c r="D14" s="512">
        <f t="shared" si="0"/>
        <v>0</v>
      </c>
      <c r="E14" s="75"/>
      <c r="F14" s="71">
        <f>Gen!U18</f>
        <v>0</v>
      </c>
      <c r="G14" s="86">
        <f>Gen!T18</f>
        <v>0</v>
      </c>
      <c r="H14" s="86">
        <f>Gen!AK20</f>
        <v>0</v>
      </c>
      <c r="I14" s="86">
        <f t="shared" si="1"/>
        <v>0</v>
      </c>
      <c r="J14" s="525">
        <f>Gen!D20</f>
        <v>35668.600000000013</v>
      </c>
      <c r="K14" s="347">
        <f>'Water-Meter'!E15</f>
        <v>0</v>
      </c>
      <c r="L14" s="526">
        <f>'Lpg (2)'!G19</f>
        <v>0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0</v>
      </c>
      <c r="C15" s="88">
        <f>Gen!C21</f>
        <v>0</v>
      </c>
      <c r="D15" s="512">
        <f t="shared" si="0"/>
        <v>0</v>
      </c>
      <c r="E15" s="75"/>
      <c r="F15" s="71">
        <f>Gen!U19</f>
        <v>0</v>
      </c>
      <c r="G15" s="86">
        <f>Gen!T19</f>
        <v>0</v>
      </c>
      <c r="H15" s="86">
        <f>Gen!AK21</f>
        <v>0</v>
      </c>
      <c r="I15" s="86">
        <f t="shared" si="1"/>
        <v>0</v>
      </c>
      <c r="J15" s="525">
        <f>Gen!D21</f>
        <v>35668.600000000013</v>
      </c>
      <c r="K15" s="347">
        <f>'Water-Meter'!E16</f>
        <v>0</v>
      </c>
      <c r="L15" s="526">
        <f>'Lpg (2)'!G20</f>
        <v>0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0</v>
      </c>
      <c r="G16" s="86">
        <f>Gen!T20</f>
        <v>0</v>
      </c>
      <c r="H16" s="86">
        <f>Gen!AK22</f>
        <v>0</v>
      </c>
      <c r="I16" s="86">
        <f t="shared" si="1"/>
        <v>0</v>
      </c>
      <c r="J16" s="525">
        <f>Gen!D22</f>
        <v>35668.600000000013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35668.600000000013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35668.600000000013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35668.600000000013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35668.600000000013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35668.600000000013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35668.600000000013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35668.600000000013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35668.600000000013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35668.600000000013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35668.600000000013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35668.600000000013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35668.600000000013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35668.600000000013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35668.600000000013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35668.600000000013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35668.600000000013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35668.600000000013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35668.600000000013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35668.600000000013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35668.600000000013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B20" sqref="AB2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6">
        <f>A6</f>
        <v>44044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20"/>
    </row>
    <row r="2" spans="1:29" ht="12" customHeight="1" thickBo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8" t="s">
        <v>298</v>
      </c>
      <c r="L3" s="799"/>
      <c r="M3" s="800"/>
      <c r="N3" s="798" t="s">
        <v>299</v>
      </c>
      <c r="O3" s="799"/>
      <c r="P3" s="800"/>
      <c r="Q3" s="798" t="s">
        <v>300</v>
      </c>
      <c r="R3" s="799"/>
      <c r="S3" s="800"/>
      <c r="T3" s="798" t="s">
        <v>301</v>
      </c>
      <c r="U3" s="799"/>
      <c r="V3" s="800"/>
      <c r="W3" s="798" t="s">
        <v>302</v>
      </c>
      <c r="X3" s="799"/>
      <c r="Y3" s="800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/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0</v>
      </c>
    </row>
    <row r="14" spans="1:29" ht="20.100000000000001" customHeight="1">
      <c r="A14" s="308">
        <f>Gen!B19</f>
        <v>44052</v>
      </c>
      <c r="B14" s="392"/>
      <c r="C14" s="360"/>
      <c r="D14" s="360"/>
      <c r="E14" s="360"/>
      <c r="F14" s="360"/>
      <c r="G14" s="360"/>
      <c r="H14" s="360"/>
      <c r="I14" s="360"/>
      <c r="J14" s="360"/>
      <c r="K14" s="359">
        <f t="shared" si="0"/>
        <v>34829</v>
      </c>
      <c r="L14" s="360"/>
      <c r="M14" s="359">
        <f t="shared" si="1"/>
        <v>-34829</v>
      </c>
      <c r="N14" s="361">
        <f t="shared" si="2"/>
        <v>29937</v>
      </c>
      <c r="O14" s="360"/>
      <c r="P14" s="359">
        <f t="shared" si="3"/>
        <v>-29937</v>
      </c>
      <c r="Q14" s="359">
        <f t="shared" si="4"/>
        <v>35451</v>
      </c>
      <c r="R14" s="360"/>
      <c r="S14" s="359">
        <f t="shared" si="5"/>
        <v>-35451</v>
      </c>
      <c r="T14" s="359">
        <f t="shared" si="6"/>
        <v>32182</v>
      </c>
      <c r="U14" s="360"/>
      <c r="V14" s="359">
        <f t="shared" si="7"/>
        <v>-32182</v>
      </c>
      <c r="W14" s="361">
        <f t="shared" si="8"/>
        <v>20656</v>
      </c>
      <c r="X14" s="360"/>
      <c r="Y14" s="359">
        <f t="shared" si="9"/>
        <v>-20656</v>
      </c>
      <c r="Z14" s="362">
        <f t="shared" si="10"/>
        <v>-153055</v>
      </c>
      <c r="AA14" s="127"/>
      <c r="AB14" s="127"/>
      <c r="AC14" s="312">
        <f>Gen!T19</f>
        <v>0</v>
      </c>
    </row>
    <row r="15" spans="1:29" ht="20.100000000000001" customHeight="1">
      <c r="A15" s="308">
        <f>Gen!B20</f>
        <v>44053</v>
      </c>
      <c r="B15" s="392"/>
      <c r="C15" s="360"/>
      <c r="D15" s="360"/>
      <c r="E15" s="360"/>
      <c r="F15" s="360"/>
      <c r="G15" s="360"/>
      <c r="H15" s="360"/>
      <c r="I15" s="360"/>
      <c r="J15" s="360"/>
      <c r="K15" s="359">
        <f t="shared" si="0"/>
        <v>0</v>
      </c>
      <c r="L15" s="360"/>
      <c r="M15" s="359">
        <f t="shared" si="1"/>
        <v>0</v>
      </c>
      <c r="N15" s="361">
        <f t="shared" si="2"/>
        <v>0</v>
      </c>
      <c r="O15" s="360"/>
      <c r="P15" s="359">
        <f t="shared" si="3"/>
        <v>0</v>
      </c>
      <c r="Q15" s="359">
        <f t="shared" si="4"/>
        <v>0</v>
      </c>
      <c r="R15" s="360"/>
      <c r="S15" s="359">
        <f t="shared" si="5"/>
        <v>0</v>
      </c>
      <c r="T15" s="359">
        <f t="shared" si="6"/>
        <v>0</v>
      </c>
      <c r="U15" s="360"/>
      <c r="V15" s="359">
        <f t="shared" si="7"/>
        <v>0</v>
      </c>
      <c r="W15" s="361">
        <f t="shared" si="8"/>
        <v>0</v>
      </c>
      <c r="X15" s="360"/>
      <c r="Y15" s="359">
        <f t="shared" si="9"/>
        <v>0</v>
      </c>
      <c r="Z15" s="362">
        <f t="shared" si="10"/>
        <v>0</v>
      </c>
      <c r="AA15" s="127"/>
      <c r="AB15" s="127"/>
      <c r="AC15" s="312">
        <f>Gen!T20</f>
        <v>0</v>
      </c>
    </row>
    <row r="16" spans="1:29" ht="20.100000000000001" customHeight="1">
      <c r="A16" s="308">
        <f>Gen!B21</f>
        <v>44054</v>
      </c>
      <c r="B16" s="392"/>
      <c r="C16" s="360"/>
      <c r="D16" s="360"/>
      <c r="E16" s="360"/>
      <c r="F16" s="360"/>
      <c r="G16" s="360"/>
      <c r="H16" s="360"/>
      <c r="I16" s="360"/>
      <c r="J16" s="360"/>
      <c r="K16" s="359">
        <f t="shared" si="0"/>
        <v>0</v>
      </c>
      <c r="L16" s="360"/>
      <c r="M16" s="359">
        <f t="shared" si="1"/>
        <v>0</v>
      </c>
      <c r="N16" s="361">
        <f t="shared" si="2"/>
        <v>0</v>
      </c>
      <c r="O16" s="360"/>
      <c r="P16" s="359">
        <f t="shared" si="3"/>
        <v>0</v>
      </c>
      <c r="Q16" s="359">
        <f t="shared" si="4"/>
        <v>0</v>
      </c>
      <c r="R16" s="360"/>
      <c r="S16" s="359">
        <f t="shared" si="5"/>
        <v>0</v>
      </c>
      <c r="T16" s="359">
        <f t="shared" si="6"/>
        <v>0</v>
      </c>
      <c r="U16" s="360"/>
      <c r="V16" s="359">
        <f t="shared" si="7"/>
        <v>0</v>
      </c>
      <c r="W16" s="361">
        <f t="shared" si="8"/>
        <v>0</v>
      </c>
      <c r="X16" s="360"/>
      <c r="Y16" s="359">
        <f t="shared" si="9"/>
        <v>0</v>
      </c>
      <c r="Z16" s="362">
        <f t="shared" si="10"/>
        <v>0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44055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 t="shared" si="0"/>
        <v>0</v>
      </c>
      <c r="L17" s="360"/>
      <c r="M17" s="359">
        <f t="shared" si="1"/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44056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 t="shared" si="0"/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44057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44058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44059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44060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44061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44062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44063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44064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44065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44066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44067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44068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44069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44070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44071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44072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44073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44074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abSelected="1" zoomScale="110" zoomScaleNormal="110" workbookViewId="0">
      <pane xSplit="2" topLeftCell="C1" activePane="topRight" state="frozen"/>
      <selection pane="topRight" activeCell="N22" sqref="N22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07"/>
      <c r="C1" s="807"/>
    </row>
    <row r="2" spans="2:47" ht="26.25">
      <c r="B2" s="807"/>
      <c r="C2" s="807"/>
      <c r="E2" s="808" t="s">
        <v>320</v>
      </c>
      <c r="F2" s="808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</row>
    <row r="3" spans="2:47" ht="12.75" customHeight="1">
      <c r="B3" s="807"/>
      <c r="C3" s="807"/>
      <c r="I3" s="825">
        <f>'Daily report Gen'!A6</f>
        <v>44044</v>
      </c>
      <c r="J3" s="825"/>
      <c r="K3" s="825"/>
      <c r="L3" s="224"/>
      <c r="R3" s="224"/>
    </row>
    <row r="4" spans="2:47">
      <c r="B4" s="807"/>
      <c r="C4" s="807"/>
      <c r="I4" s="825"/>
      <c r="J4" s="825"/>
      <c r="K4" s="825"/>
      <c r="L4" s="224"/>
      <c r="R4" s="224"/>
    </row>
    <row r="5" spans="2:47" ht="12" thickBot="1">
      <c r="B5" s="807"/>
      <c r="C5" s="807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07"/>
      <c r="C6" s="807"/>
      <c r="D6" s="229"/>
      <c r="G6" s="816" t="s">
        <v>57</v>
      </c>
      <c r="H6" s="817"/>
      <c r="I6" s="817"/>
      <c r="J6" s="817"/>
      <c r="K6" s="817"/>
      <c r="L6" s="817"/>
      <c r="M6" s="818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0" t="s">
        <v>201</v>
      </c>
      <c r="H7" s="811"/>
      <c r="I7" s="811"/>
      <c r="J7" s="811"/>
      <c r="K7" s="811"/>
      <c r="L7" s="811"/>
      <c r="M7" s="812"/>
      <c r="N7" s="813" t="s">
        <v>40</v>
      </c>
      <c r="O7" s="814"/>
      <c r="P7" s="814"/>
      <c r="Q7" s="814"/>
      <c r="R7" s="814"/>
      <c r="S7" s="815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/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/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/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/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/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/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/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/>
      <c r="D18" s="691">
        <f t="shared" si="6"/>
        <v>35668.600000000013</v>
      </c>
      <c r="E18" s="269"/>
      <c r="F18" s="690"/>
      <c r="G18" s="685"/>
      <c r="H18" s="665"/>
      <c r="I18" s="250"/>
      <c r="J18" s="270"/>
      <c r="K18" s="250"/>
      <c r="L18" s="250"/>
      <c r="M18" s="351"/>
      <c r="N18" s="350"/>
      <c r="O18" s="252"/>
      <c r="P18" s="252"/>
      <c r="Q18" s="252"/>
      <c r="R18" s="252"/>
      <c r="S18" s="670"/>
      <c r="T18" s="678">
        <f t="shared" si="0"/>
        <v>0</v>
      </c>
      <c r="U18" s="264">
        <f t="shared" si="1"/>
        <v>0</v>
      </c>
      <c r="V18" s="679" t="e">
        <f t="shared" si="4"/>
        <v>#DIV/0!</v>
      </c>
      <c r="W18" s="257"/>
      <c r="X18" s="265"/>
      <c r="Y18" s="241"/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0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0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/>
      <c r="D19" s="691">
        <f t="shared" si="6"/>
        <v>35668.600000000013</v>
      </c>
      <c r="E19" s="269"/>
      <c r="F19" s="690"/>
      <c r="G19" s="685"/>
      <c r="H19" s="665"/>
      <c r="I19" s="250"/>
      <c r="J19" s="270"/>
      <c r="K19" s="250"/>
      <c r="L19" s="250"/>
      <c r="M19" s="351"/>
      <c r="N19" s="350"/>
      <c r="O19" s="252"/>
      <c r="P19" s="252"/>
      <c r="Q19" s="252"/>
      <c r="R19" s="252"/>
      <c r="S19" s="670"/>
      <c r="T19" s="678">
        <f t="shared" si="0"/>
        <v>0</v>
      </c>
      <c r="U19" s="264">
        <f t="shared" si="1"/>
        <v>0</v>
      </c>
      <c r="V19" s="679" t="e">
        <f t="shared" si="4"/>
        <v>#DIV/0!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265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0</v>
      </c>
      <c r="AT19" s="267">
        <f t="shared" si="7"/>
        <v>0</v>
      </c>
      <c r="AU19" s="334">
        <f t="shared" si="5"/>
        <v>35668.600000000013</v>
      </c>
    </row>
    <row r="20" spans="2:47" ht="14.25">
      <c r="B20" s="695">
        <v>44053</v>
      </c>
      <c r="C20" s="683"/>
      <c r="D20" s="691">
        <f t="shared" si="6"/>
        <v>35668.600000000013</v>
      </c>
      <c r="E20" s="269"/>
      <c r="F20" s="690"/>
      <c r="G20" s="685"/>
      <c r="H20" s="665"/>
      <c r="I20" s="265"/>
      <c r="J20" s="270"/>
      <c r="K20" s="250"/>
      <c r="L20" s="250"/>
      <c r="M20" s="628"/>
      <c r="N20" s="350"/>
      <c r="O20" s="252"/>
      <c r="P20" s="252"/>
      <c r="Q20" s="252"/>
      <c r="R20" s="252"/>
      <c r="S20" s="671"/>
      <c r="T20" s="678">
        <f t="shared" si="0"/>
        <v>0</v>
      </c>
      <c r="U20" s="264">
        <f t="shared" si="1"/>
        <v>0</v>
      </c>
      <c r="V20" s="679" t="e">
        <f t="shared" si="4"/>
        <v>#DIV/0!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0</v>
      </c>
      <c r="AT20" s="267">
        <f t="shared" si="7"/>
        <v>0</v>
      </c>
      <c r="AU20" s="334">
        <f t="shared" si="5"/>
        <v>35668.600000000013</v>
      </c>
    </row>
    <row r="21" spans="2:47" ht="14.25">
      <c r="B21" s="695">
        <v>44054</v>
      </c>
      <c r="C21" s="683"/>
      <c r="D21" s="691">
        <f t="shared" si="6"/>
        <v>35668.600000000013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35668.600000000013</v>
      </c>
    </row>
    <row r="22" spans="2:47" ht="14.25">
      <c r="B22" s="695">
        <v>44055</v>
      </c>
      <c r="C22" s="683"/>
      <c r="D22" s="691">
        <f t="shared" si="6"/>
        <v>35668.600000000013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35668.600000000013</v>
      </c>
    </row>
    <row r="23" spans="2:47" ht="14.25">
      <c r="B23" s="695">
        <v>44056</v>
      </c>
      <c r="C23" s="683"/>
      <c r="D23" s="691">
        <f t="shared" si="6"/>
        <v>35668.600000000013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35668.600000000013</v>
      </c>
    </row>
    <row r="24" spans="2:47" ht="14.25">
      <c r="B24" s="695">
        <v>44057</v>
      </c>
      <c r="C24" s="683"/>
      <c r="D24" s="691">
        <f t="shared" si="6"/>
        <v>35668.600000000013</v>
      </c>
      <c r="E24" s="249"/>
      <c r="F24" s="690">
        <v>18000</v>
      </c>
      <c r="G24" s="754" t="s">
        <v>310</v>
      </c>
      <c r="H24" s="665"/>
      <c r="I24" s="2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35668.600000000013</v>
      </c>
    </row>
    <row r="25" spans="2:47" ht="14.25">
      <c r="B25" s="695">
        <v>44058</v>
      </c>
      <c r="C25" s="683"/>
      <c r="D25" s="691">
        <f t="shared" si="6"/>
        <v>35668.600000000013</v>
      </c>
      <c r="E25" s="269"/>
      <c r="F25" s="690"/>
      <c r="G25" s="685"/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35668.600000000013</v>
      </c>
    </row>
    <row r="26" spans="2:47" ht="14.25">
      <c r="B26" s="695">
        <v>44059</v>
      </c>
      <c r="C26" s="683"/>
      <c r="D26" s="691">
        <f t="shared" si="6"/>
        <v>35668.600000000013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35668.600000000013</v>
      </c>
    </row>
    <row r="27" spans="2:47" ht="14.25">
      <c r="B27" s="695">
        <v>44060</v>
      </c>
      <c r="C27" s="683"/>
      <c r="D27" s="691">
        <f t="shared" si="6"/>
        <v>35668.600000000013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35668.600000000013</v>
      </c>
    </row>
    <row r="28" spans="2:47" ht="14.25">
      <c r="B28" s="695">
        <v>44061</v>
      </c>
      <c r="C28" s="683"/>
      <c r="D28" s="691">
        <f t="shared" si="6"/>
        <v>35668.600000000013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35668.600000000013</v>
      </c>
    </row>
    <row r="29" spans="2:47" ht="14.25">
      <c r="B29" s="695">
        <v>44062</v>
      </c>
      <c r="C29" s="683"/>
      <c r="D29" s="691">
        <f t="shared" si="6"/>
        <v>35668.600000000013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35668.600000000013</v>
      </c>
    </row>
    <row r="30" spans="2:47" ht="14.25">
      <c r="B30" s="695">
        <v>44063</v>
      </c>
      <c r="C30" s="683"/>
      <c r="D30" s="691">
        <f t="shared" si="6"/>
        <v>35668.600000000013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35668.600000000013</v>
      </c>
    </row>
    <row r="31" spans="2:47" ht="14.25">
      <c r="B31" s="695">
        <v>44064</v>
      </c>
      <c r="C31" s="683"/>
      <c r="D31" s="691">
        <f t="shared" si="6"/>
        <v>35668.600000000013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35668.600000000013</v>
      </c>
    </row>
    <row r="32" spans="2:47" ht="14.25">
      <c r="B32" s="695">
        <v>44065</v>
      </c>
      <c r="C32" s="683"/>
      <c r="D32" s="691">
        <f t="shared" si="6"/>
        <v>35668.600000000013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35668.600000000013</v>
      </c>
    </row>
    <row r="33" spans="2:47" ht="14.25">
      <c r="B33" s="695">
        <v>44066</v>
      </c>
      <c r="C33" s="683"/>
      <c r="D33" s="691">
        <f t="shared" si="6"/>
        <v>35668.600000000013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35668.600000000013</v>
      </c>
    </row>
    <row r="34" spans="2:47" ht="14.25">
      <c r="B34" s="695">
        <v>44067</v>
      </c>
      <c r="C34" s="683"/>
      <c r="D34" s="691">
        <f t="shared" si="6"/>
        <v>35668.600000000013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35668.600000000013</v>
      </c>
    </row>
    <row r="35" spans="2:47" ht="14.25">
      <c r="B35" s="695">
        <v>44068</v>
      </c>
      <c r="C35" s="683"/>
      <c r="D35" s="691">
        <f t="shared" si="6"/>
        <v>35668.600000000013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35668.600000000013</v>
      </c>
    </row>
    <row r="36" spans="2:47" ht="14.25">
      <c r="B36" s="695">
        <v>44069</v>
      </c>
      <c r="C36" s="683"/>
      <c r="D36" s="691">
        <f t="shared" si="6"/>
        <v>35668.600000000013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35668.600000000013</v>
      </c>
    </row>
    <row r="37" spans="2:47" ht="14.25">
      <c r="B37" s="695">
        <v>44070</v>
      </c>
      <c r="C37" s="683"/>
      <c r="D37" s="691">
        <f t="shared" si="6"/>
        <v>35668.600000000013</v>
      </c>
      <c r="E37" s="269"/>
      <c r="F37" s="690"/>
      <c r="G37" s="628"/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35668.600000000013</v>
      </c>
    </row>
    <row r="38" spans="2:47" ht="14.25">
      <c r="B38" s="695">
        <v>44071</v>
      </c>
      <c r="C38" s="683"/>
      <c r="D38" s="691">
        <f t="shared" si="6"/>
        <v>35668.600000000013</v>
      </c>
      <c r="E38" s="269"/>
      <c r="F38" s="690">
        <v>10000</v>
      </c>
      <c r="G38" s="754" t="s">
        <v>310</v>
      </c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35668.600000000013</v>
      </c>
    </row>
    <row r="39" spans="2:47" ht="14.25">
      <c r="B39" s="695">
        <v>44072</v>
      </c>
      <c r="C39" s="683"/>
      <c r="D39" s="691">
        <f t="shared" si="6"/>
        <v>35668.600000000013</v>
      </c>
      <c r="E39" s="269"/>
      <c r="F39" s="690"/>
      <c r="G39" s="351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35668.600000000013</v>
      </c>
    </row>
    <row r="40" spans="2:47" ht="14.25">
      <c r="B40" s="695">
        <v>44073</v>
      </c>
      <c r="C40" s="683"/>
      <c r="D40" s="691">
        <f t="shared" si="6"/>
        <v>35668.600000000013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35668.600000000013</v>
      </c>
    </row>
    <row r="41" spans="2:47" ht="14.25">
      <c r="B41" s="695">
        <v>44074</v>
      </c>
      <c r="C41" s="683"/>
      <c r="D41" s="691">
        <f t="shared" si="6"/>
        <v>35668.600000000013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35668.600000000013</v>
      </c>
    </row>
    <row r="42" spans="2:47" ht="14.25">
      <c r="B42" s="695"/>
      <c r="C42" s="684"/>
      <c r="D42" s="691">
        <f t="shared" si="6"/>
        <v>35668.600000000013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35668.600000000013</v>
      </c>
    </row>
    <row r="43" spans="2:47" ht="14.25">
      <c r="B43" s="591" t="s">
        <v>25</v>
      </c>
      <c r="C43" s="554" t="e">
        <f>AVERAGE(C11:C42)</f>
        <v>#DIV/0!</v>
      </c>
      <c r="D43" s="689">
        <f t="shared" si="6"/>
        <v>35668.600000000013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35668.600000000013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1585.4099999999999</v>
      </c>
      <c r="I45" s="363">
        <f t="shared" si="8"/>
        <v>1457.64</v>
      </c>
      <c r="J45" s="368">
        <f t="shared" si="8"/>
        <v>0</v>
      </c>
      <c r="K45" s="363">
        <f t="shared" si="8"/>
        <v>880.9</v>
      </c>
      <c r="L45" s="368">
        <f t="shared" si="8"/>
        <v>0</v>
      </c>
      <c r="M45" s="363">
        <f t="shared" si="8"/>
        <v>1507.3899999999999</v>
      </c>
      <c r="N45" s="368">
        <f t="shared" si="8"/>
        <v>3888</v>
      </c>
      <c r="O45" s="658">
        <f t="shared" si="8"/>
        <v>3670</v>
      </c>
      <c r="P45" s="368">
        <f t="shared" si="8"/>
        <v>0</v>
      </c>
      <c r="Q45" s="363">
        <f>SUM(Q11:Q43)</f>
        <v>2079</v>
      </c>
      <c r="R45" s="368">
        <f>SUM(R11:R44)</f>
        <v>0</v>
      </c>
      <c r="S45" s="363">
        <f>SUM(S11:S44)</f>
        <v>3561</v>
      </c>
      <c r="T45" s="655">
        <f t="shared" si="0"/>
        <v>5431.34</v>
      </c>
      <c r="U45" s="363">
        <f>SUM(N45:S45)</f>
        <v>13198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87.31</v>
      </c>
      <c r="Y45" s="650">
        <f t="shared" si="9"/>
        <v>94.759999999999991</v>
      </c>
      <c r="Z45" s="281">
        <f t="shared" si="9"/>
        <v>0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0</v>
      </c>
      <c r="AJ45" s="281">
        <f>SUM(AJ9:AJ39)</f>
        <v>0</v>
      </c>
      <c r="AK45" s="650">
        <f>SUM(AK9:AK44)</f>
        <v>331.93000000000006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5763.2699999999995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339.45875000000001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12573552.1</v>
      </c>
      <c r="V47" s="373" t="s">
        <v>244</v>
      </c>
      <c r="AS47" s="618">
        <f>AS45*2143</f>
        <v>12350687.609999999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5493.032809086937</v>
      </c>
      <c r="V48" s="373" t="s">
        <v>245</v>
      </c>
      <c r="X48" s="234"/>
      <c r="Y48" s="234"/>
      <c r="Z48" s="234"/>
      <c r="AA48" s="234"/>
      <c r="AB48" s="234"/>
      <c r="AS48" s="372">
        <f>AS47/2289</f>
        <v>5395.6695543905635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1" t="s">
        <v>241</v>
      </c>
      <c r="D50" s="802"/>
      <c r="E50" s="802"/>
      <c r="F50" s="802"/>
      <c r="G50" s="803"/>
      <c r="H50" s="629"/>
      <c r="I50" s="804" t="s">
        <v>213</v>
      </c>
      <c r="J50" s="805"/>
      <c r="K50" s="805"/>
      <c r="L50" s="805"/>
      <c r="M50" s="806"/>
      <c r="N50" s="629"/>
      <c r="O50" s="819" t="s">
        <v>309</v>
      </c>
      <c r="P50" s="820"/>
      <c r="Q50" s="820"/>
      <c r="R50" s="820"/>
      <c r="S50" s="821"/>
      <c r="U50" s="822" t="s">
        <v>226</v>
      </c>
      <c r="V50" s="823"/>
      <c r="W50" s="823"/>
      <c r="X50" s="823"/>
      <c r="Y50" s="823"/>
      <c r="Z50" s="824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/>
      <c r="D52" s="595"/>
      <c r="E52" s="596"/>
      <c r="F52" s="595"/>
      <c r="G52" s="630"/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2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27"/>
      <c r="D6" s="828"/>
      <c r="E6" s="829"/>
      <c r="F6" s="829"/>
      <c r="G6" s="49" t="s">
        <v>4</v>
      </c>
      <c r="H6" s="47" t="s">
        <v>14</v>
      </c>
      <c r="I6" s="42"/>
      <c r="J6" s="115"/>
    </row>
    <row r="7" spans="1:15" ht="18" customHeight="1">
      <c r="A7" s="830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1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71810.13</v>
      </c>
      <c r="G12" s="318">
        <f t="shared" si="0"/>
        <v>65.647999999992322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71815.289999999994</v>
      </c>
      <c r="G13" s="318">
        <f t="shared" si="0"/>
        <v>22.703999999951339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84</v>
      </c>
      <c r="E14" s="318"/>
      <c r="F14" s="318">
        <v>71822.39</v>
      </c>
      <c r="G14" s="318">
        <f t="shared" si="0"/>
        <v>31.240000000025614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83</v>
      </c>
      <c r="E15" s="318"/>
      <c r="F15" s="318">
        <v>71824.31</v>
      </c>
      <c r="G15" s="318">
        <f t="shared" si="0"/>
        <v>8.4479999999923177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/>
      <c r="E16" s="318"/>
      <c r="F16" s="318"/>
      <c r="G16" s="318">
        <f t="shared" si="0"/>
        <v>-316026.96400000004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/>
      <c r="C17" s="318"/>
      <c r="D17" s="318"/>
      <c r="E17" s="318"/>
      <c r="F17" s="318"/>
      <c r="G17" s="318">
        <f t="shared" si="0"/>
        <v>0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/>
      <c r="C18" s="318"/>
      <c r="D18" s="318"/>
      <c r="E18" s="318"/>
      <c r="F18" s="318"/>
      <c r="G18" s="318">
        <f t="shared" si="0"/>
        <v>0</v>
      </c>
      <c r="H18" s="113">
        <f>Gen!C19</f>
        <v>0</v>
      </c>
      <c r="I18" s="6" t="e">
        <f t="shared" si="2"/>
        <v>#DIV/0!</v>
      </c>
      <c r="J18" s="118" t="e">
        <f t="shared" si="1"/>
        <v>#DIV/0!</v>
      </c>
      <c r="M18" s="186"/>
      <c r="N18" s="186"/>
    </row>
    <row r="19" spans="1:14" ht="18.75">
      <c r="A19" s="96">
        <f>Gen!B20</f>
        <v>44053</v>
      </c>
      <c r="B19" s="318"/>
      <c r="C19" s="318"/>
      <c r="D19" s="318"/>
      <c r="E19" s="318"/>
      <c r="F19" s="318"/>
      <c r="G19" s="318">
        <f t="shared" si="0"/>
        <v>0</v>
      </c>
      <c r="H19" s="113">
        <f>Gen!C20</f>
        <v>0</v>
      </c>
      <c r="I19" s="6" t="e">
        <f t="shared" si="2"/>
        <v>#DIV/0!</v>
      </c>
      <c r="J19" s="118" t="e">
        <f t="shared" si="1"/>
        <v>#DIV/0!</v>
      </c>
      <c r="M19" s="186"/>
      <c r="N19" s="186"/>
    </row>
    <row r="20" spans="1:14" ht="18.75">
      <c r="A20" s="96">
        <f>Gen!B21</f>
        <v>44054</v>
      </c>
      <c r="B20" s="318"/>
      <c r="C20" s="318"/>
      <c r="D20" s="318"/>
      <c r="E20" s="318"/>
      <c r="F20" s="318"/>
      <c r="G20" s="318">
        <f t="shared" si="0"/>
        <v>0</v>
      </c>
      <c r="H20" s="113">
        <f>Gen!C21</f>
        <v>0</v>
      </c>
      <c r="I20" s="6" t="e">
        <f t="shared" si="2"/>
        <v>#DIV/0!</v>
      </c>
      <c r="J20" s="118" t="e">
        <f t="shared" si="1"/>
        <v>#DIV/0!</v>
      </c>
    </row>
    <row r="21" spans="1:14" ht="18.75">
      <c r="A21" s="96">
        <f>Gen!B22</f>
        <v>44055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44066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44067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44068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26" t="s">
        <v>6</v>
      </c>
      <c r="D42" s="826"/>
      <c r="E42" s="2">
        <f t="shared" ref="E42:F42" si="4">SUM(E10:E40)</f>
        <v>0</v>
      </c>
      <c r="F42" s="2">
        <f t="shared" si="4"/>
        <v>430856.68</v>
      </c>
      <c r="G42" s="103">
        <f>SUM(G10:G40)</f>
        <v>0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1" zoomScale="94" zoomScaleNormal="94" workbookViewId="0">
      <pane xSplit="1" topLeftCell="B1" activePane="topRight" state="frozen"/>
      <selection pane="topRight" activeCell="I55" sqref="I5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6" t="s">
        <v>318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7"/>
      <c r="AL1" s="837"/>
      <c r="AM1" s="837"/>
      <c r="AN1" s="837"/>
    </row>
    <row r="2" spans="1:40" ht="13.5" customHeight="1" thickTop="1">
      <c r="A2" s="30"/>
      <c r="B2" s="30"/>
      <c r="C2" s="833" t="s">
        <v>52</v>
      </c>
      <c r="D2" s="833"/>
      <c r="E2" s="833"/>
      <c r="F2" s="833" t="s">
        <v>17</v>
      </c>
      <c r="G2" s="833"/>
      <c r="H2" s="833"/>
      <c r="I2" s="833" t="s">
        <v>131</v>
      </c>
      <c r="J2" s="833"/>
      <c r="K2" s="833"/>
      <c r="L2" s="833" t="s">
        <v>134</v>
      </c>
      <c r="M2" s="833"/>
      <c r="N2" s="833"/>
      <c r="O2" s="833" t="s">
        <v>132</v>
      </c>
      <c r="P2" s="833"/>
      <c r="Q2" s="833"/>
      <c r="R2" s="299"/>
      <c r="S2" s="844" t="s">
        <v>181</v>
      </c>
      <c r="T2" s="845"/>
      <c r="U2" s="846"/>
      <c r="V2" s="844" t="s">
        <v>182</v>
      </c>
      <c r="W2" s="845"/>
      <c r="X2" s="846"/>
      <c r="Y2" s="844" t="s">
        <v>183</v>
      </c>
      <c r="Z2" s="845"/>
      <c r="AA2" s="846"/>
      <c r="AB2" s="844" t="s">
        <v>184</v>
      </c>
      <c r="AC2" s="845"/>
      <c r="AD2" s="846"/>
      <c r="AE2" s="838" t="s">
        <v>239</v>
      </c>
      <c r="AF2" s="839"/>
      <c r="AG2" s="850"/>
      <c r="AH2" s="838" t="s">
        <v>243</v>
      </c>
      <c r="AI2" s="839"/>
      <c r="AJ2" s="850"/>
      <c r="AK2" s="838" t="s">
        <v>240</v>
      </c>
      <c r="AL2" s="839"/>
      <c r="AM2" s="839"/>
      <c r="AN2" s="842" t="s">
        <v>189</v>
      </c>
    </row>
    <row r="3" spans="1:40" ht="21.75" customHeight="1" thickBot="1">
      <c r="A3" s="834" t="s">
        <v>7</v>
      </c>
      <c r="B3" s="30"/>
      <c r="C3" s="833" t="s">
        <v>133</v>
      </c>
      <c r="D3" s="833" t="s">
        <v>15</v>
      </c>
      <c r="E3" s="833" t="s">
        <v>16</v>
      </c>
      <c r="F3" s="833" t="s">
        <v>133</v>
      </c>
      <c r="G3" s="833" t="s">
        <v>15</v>
      </c>
      <c r="H3" s="833" t="s">
        <v>16</v>
      </c>
      <c r="I3" s="833" t="s">
        <v>133</v>
      </c>
      <c r="J3" s="833" t="s">
        <v>15</v>
      </c>
      <c r="K3" s="833" t="s">
        <v>16</v>
      </c>
      <c r="L3" s="833" t="s">
        <v>133</v>
      </c>
      <c r="M3" s="833" t="s">
        <v>15</v>
      </c>
      <c r="N3" s="833" t="s">
        <v>16</v>
      </c>
      <c r="O3" s="833" t="s">
        <v>133</v>
      </c>
      <c r="P3" s="833" t="s">
        <v>15</v>
      </c>
      <c r="Q3" s="833" t="s">
        <v>16</v>
      </c>
      <c r="R3" s="852" t="s">
        <v>185</v>
      </c>
      <c r="S3" s="847"/>
      <c r="T3" s="848"/>
      <c r="U3" s="849"/>
      <c r="V3" s="847"/>
      <c r="W3" s="848"/>
      <c r="X3" s="849"/>
      <c r="Y3" s="847"/>
      <c r="Z3" s="848"/>
      <c r="AA3" s="849"/>
      <c r="AB3" s="847"/>
      <c r="AC3" s="848"/>
      <c r="AD3" s="849"/>
      <c r="AE3" s="840"/>
      <c r="AF3" s="841"/>
      <c r="AG3" s="851"/>
      <c r="AH3" s="840"/>
      <c r="AI3" s="841"/>
      <c r="AJ3" s="851"/>
      <c r="AK3" s="840"/>
      <c r="AL3" s="841"/>
      <c r="AM3" s="841"/>
      <c r="AN3" s="843"/>
    </row>
    <row r="4" spans="1:40" ht="15.75" thickTop="1">
      <c r="A4" s="835"/>
      <c r="B4" s="291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  <c r="R4" s="852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 t="str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/>
      <c r="E13" s="59" t="str">
        <f t="shared" si="1"/>
        <v>0</v>
      </c>
      <c r="F13" s="97">
        <f t="shared" si="2"/>
        <v>38000</v>
      </c>
      <c r="G13" s="452"/>
      <c r="H13" s="559" t="str">
        <f t="shared" si="3"/>
        <v>0</v>
      </c>
      <c r="I13" s="97">
        <f t="shared" si="4"/>
        <v>7997</v>
      </c>
      <c r="J13" s="1"/>
      <c r="K13" s="559" t="str">
        <f t="shared" si="5"/>
        <v>0</v>
      </c>
      <c r="L13" s="97">
        <f t="shared" si="6"/>
        <v>12366</v>
      </c>
      <c r="M13" s="1"/>
      <c r="N13" s="559" t="str">
        <f t="shared" si="7"/>
        <v>0</v>
      </c>
      <c r="O13" s="97">
        <f t="shared" si="8"/>
        <v>20211</v>
      </c>
      <c r="P13" s="448"/>
      <c r="Q13" s="559" t="str">
        <f t="shared" si="9"/>
        <v>0</v>
      </c>
      <c r="R13" s="297"/>
      <c r="S13" s="292">
        <f t="shared" si="16"/>
        <v>56469</v>
      </c>
      <c r="T13" s="449"/>
      <c r="U13" s="560" t="str">
        <f t="shared" si="17"/>
        <v>0</v>
      </c>
      <c r="V13" s="292">
        <f t="shared" si="10"/>
        <v>73030</v>
      </c>
      <c r="W13" s="449"/>
      <c r="X13" s="560" t="str">
        <f t="shared" si="18"/>
        <v>0</v>
      </c>
      <c r="Y13" s="292">
        <f t="shared" si="11"/>
        <v>82517</v>
      </c>
      <c r="Z13" s="449"/>
      <c r="AA13" s="560" t="str">
        <f t="shared" si="19"/>
        <v>0</v>
      </c>
      <c r="AB13" s="758">
        <f t="shared" si="23"/>
        <v>14679</v>
      </c>
      <c r="AC13" s="759"/>
      <c r="AD13" s="761">
        <f t="shared" si="24"/>
        <v>-14679</v>
      </c>
      <c r="AE13" s="292">
        <f t="shared" si="28"/>
        <v>0</v>
      </c>
      <c r="AF13" s="450"/>
      <c r="AG13" s="560" t="str">
        <f t="shared" si="27"/>
        <v>0</v>
      </c>
      <c r="AH13" s="292">
        <f t="shared" si="14"/>
        <v>25335</v>
      </c>
      <c r="AI13" s="450"/>
      <c r="AJ13" s="560" t="str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-14679</v>
      </c>
    </row>
    <row r="14" spans="1:40" ht="23.1" customHeight="1">
      <c r="A14" s="58">
        <f>Gen!B19</f>
        <v>44052</v>
      </c>
      <c r="B14" s="4"/>
      <c r="C14" s="97">
        <f t="shared" si="0"/>
        <v>0</v>
      </c>
      <c r="D14" s="1"/>
      <c r="E14" s="59">
        <f t="shared" si="1"/>
        <v>0</v>
      </c>
      <c r="F14" s="97">
        <f t="shared" si="2"/>
        <v>0</v>
      </c>
      <c r="G14" s="452"/>
      <c r="H14" s="559">
        <f t="shared" si="3"/>
        <v>0</v>
      </c>
      <c r="I14" s="97">
        <f t="shared" si="4"/>
        <v>0</v>
      </c>
      <c r="J14" s="1"/>
      <c r="K14" s="559">
        <f t="shared" si="5"/>
        <v>0</v>
      </c>
      <c r="L14" s="97">
        <f t="shared" si="6"/>
        <v>0</v>
      </c>
      <c r="M14" s="1"/>
      <c r="N14" s="559">
        <f t="shared" si="7"/>
        <v>0</v>
      </c>
      <c r="O14" s="97">
        <f t="shared" si="8"/>
        <v>0</v>
      </c>
      <c r="P14" s="448"/>
      <c r="Q14" s="559">
        <f t="shared" si="9"/>
        <v>0</v>
      </c>
      <c r="R14" s="297"/>
      <c r="S14" s="292">
        <f t="shared" si="16"/>
        <v>0</v>
      </c>
      <c r="T14" s="449"/>
      <c r="U14" s="560">
        <f t="shared" si="17"/>
        <v>0</v>
      </c>
      <c r="V14" s="292">
        <f t="shared" si="10"/>
        <v>0</v>
      </c>
      <c r="W14" s="449"/>
      <c r="X14" s="560">
        <f t="shared" si="18"/>
        <v>0</v>
      </c>
      <c r="Y14" s="292">
        <f t="shared" si="11"/>
        <v>0</v>
      </c>
      <c r="Z14" s="449"/>
      <c r="AA14" s="560">
        <f t="shared" si="19"/>
        <v>0</v>
      </c>
      <c r="AB14" s="758">
        <f t="shared" si="23"/>
        <v>0</v>
      </c>
      <c r="AC14" s="762"/>
      <c r="AD14" s="761">
        <f t="shared" si="24"/>
        <v>0</v>
      </c>
      <c r="AE14" s="292">
        <f t="shared" si="28"/>
        <v>0</v>
      </c>
      <c r="AF14" s="450"/>
      <c r="AG14" s="560">
        <f t="shared" si="27"/>
        <v>0</v>
      </c>
      <c r="AH14" s="292">
        <f t="shared" si="14"/>
        <v>0</v>
      </c>
      <c r="AI14" s="450"/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0</v>
      </c>
    </row>
    <row r="15" spans="1:40" ht="23.1" customHeight="1">
      <c r="A15" s="58">
        <f>Gen!B20</f>
        <v>44053</v>
      </c>
      <c r="B15" s="4"/>
      <c r="C15" s="97">
        <f t="shared" si="0"/>
        <v>0</v>
      </c>
      <c r="D15" s="1"/>
      <c r="E15" s="59">
        <f t="shared" si="1"/>
        <v>0</v>
      </c>
      <c r="F15" s="97">
        <f t="shared" si="2"/>
        <v>0</v>
      </c>
      <c r="G15" s="452"/>
      <c r="H15" s="559">
        <f t="shared" si="3"/>
        <v>0</v>
      </c>
      <c r="I15" s="97">
        <f t="shared" si="4"/>
        <v>0</v>
      </c>
      <c r="J15" s="1"/>
      <c r="K15" s="559">
        <f t="shared" si="5"/>
        <v>0</v>
      </c>
      <c r="L15" s="97">
        <f t="shared" si="6"/>
        <v>0</v>
      </c>
      <c r="M15" s="1"/>
      <c r="N15" s="559">
        <f t="shared" si="7"/>
        <v>0</v>
      </c>
      <c r="O15" s="97">
        <f t="shared" si="8"/>
        <v>0</v>
      </c>
      <c r="P15" s="448"/>
      <c r="Q15" s="559">
        <f t="shared" si="9"/>
        <v>0</v>
      </c>
      <c r="R15" s="297"/>
      <c r="S15" s="292">
        <f t="shared" si="16"/>
        <v>0</v>
      </c>
      <c r="T15" s="449"/>
      <c r="U15" s="560">
        <f t="shared" si="17"/>
        <v>0</v>
      </c>
      <c r="V15" s="292">
        <f t="shared" si="10"/>
        <v>0</v>
      </c>
      <c r="W15" s="449"/>
      <c r="X15" s="560">
        <f t="shared" si="18"/>
        <v>0</v>
      </c>
      <c r="Y15" s="292">
        <f t="shared" si="11"/>
        <v>0</v>
      </c>
      <c r="Z15" s="449"/>
      <c r="AA15" s="560">
        <f t="shared" si="19"/>
        <v>0</v>
      </c>
      <c r="AB15" s="758">
        <f t="shared" si="23"/>
        <v>0</v>
      </c>
      <c r="AC15" s="762"/>
      <c r="AD15" s="761">
        <f t="shared" si="24"/>
        <v>0</v>
      </c>
      <c r="AE15" s="292">
        <f t="shared" si="28"/>
        <v>0</v>
      </c>
      <c r="AF15" s="450"/>
      <c r="AG15" s="560">
        <f t="shared" si="27"/>
        <v>0</v>
      </c>
      <c r="AH15" s="292">
        <f t="shared" si="14"/>
        <v>0</v>
      </c>
      <c r="AI15" s="450"/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0</v>
      </c>
    </row>
    <row r="16" spans="1:40" ht="23.1" customHeight="1">
      <c r="A16" s="58">
        <f>Gen!B21</f>
        <v>44054</v>
      </c>
      <c r="B16" s="4"/>
      <c r="C16" s="97">
        <f t="shared" si="0"/>
        <v>0</v>
      </c>
      <c r="D16" s="1"/>
      <c r="E16" s="59">
        <f>IF((D16-D15)&lt;0,"0",(D16-D15))</f>
        <v>0</v>
      </c>
      <c r="F16" s="97">
        <f t="shared" si="2"/>
        <v>0</v>
      </c>
      <c r="G16" s="452"/>
      <c r="H16" s="559">
        <f t="shared" si="3"/>
        <v>0</v>
      </c>
      <c r="I16" s="97">
        <f t="shared" si="4"/>
        <v>0</v>
      </c>
      <c r="J16" s="1"/>
      <c r="K16" s="559">
        <f t="shared" si="5"/>
        <v>0</v>
      </c>
      <c r="L16" s="97"/>
      <c r="M16" s="1"/>
      <c r="N16" s="559">
        <f t="shared" si="7"/>
        <v>0</v>
      </c>
      <c r="O16" s="97">
        <f t="shared" si="8"/>
        <v>0</v>
      </c>
      <c r="P16" s="448"/>
      <c r="Q16" s="559">
        <f t="shared" si="9"/>
        <v>0</v>
      </c>
      <c r="R16" s="297"/>
      <c r="S16" s="292">
        <f t="shared" si="16"/>
        <v>0</v>
      </c>
      <c r="T16" s="449"/>
      <c r="U16" s="560">
        <f t="shared" si="17"/>
        <v>0</v>
      </c>
      <c r="V16" s="292">
        <f t="shared" si="10"/>
        <v>0</v>
      </c>
      <c r="W16" s="449"/>
      <c r="X16" s="560">
        <f t="shared" si="18"/>
        <v>0</v>
      </c>
      <c r="Y16" s="292">
        <f t="shared" si="11"/>
        <v>0</v>
      </c>
      <c r="Z16" s="449"/>
      <c r="AA16" s="560">
        <f t="shared" si="19"/>
        <v>0</v>
      </c>
      <c r="AB16" s="758">
        <f t="shared" si="23"/>
        <v>0</v>
      </c>
      <c r="AC16" s="762"/>
      <c r="AD16" s="761">
        <f t="shared" si="24"/>
        <v>0</v>
      </c>
      <c r="AE16" s="292">
        <f t="shared" si="28"/>
        <v>0</v>
      </c>
      <c r="AF16" s="450"/>
      <c r="AG16" s="560">
        <f t="shared" si="27"/>
        <v>0</v>
      </c>
      <c r="AH16" s="292">
        <f t="shared" si="14"/>
        <v>0</v>
      </c>
      <c r="AI16" s="450"/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0</v>
      </c>
    </row>
    <row r="17" spans="1:40" ht="23.1" customHeight="1">
      <c r="A17" s="58">
        <f>Gen!B22</f>
        <v>44055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2"/>
        <v>0</v>
      </c>
      <c r="G17" s="452"/>
      <c r="H17" s="559">
        <f t="shared" si="3"/>
        <v>0</v>
      </c>
      <c r="I17" s="97">
        <f t="shared" si="4"/>
        <v>0</v>
      </c>
      <c r="J17" s="1"/>
      <c r="K17" s="559">
        <f t="shared" si="5"/>
        <v>0</v>
      </c>
      <c r="L17" s="97"/>
      <c r="M17" s="1"/>
      <c r="N17" s="559">
        <f t="shared" si="7"/>
        <v>0</v>
      </c>
      <c r="O17" s="97">
        <f t="shared" si="8"/>
        <v>0</v>
      </c>
      <c r="P17" s="448"/>
      <c r="Q17" s="559">
        <f t="shared" si="9"/>
        <v>0</v>
      </c>
      <c r="R17" s="297"/>
      <c r="S17" s="292">
        <f t="shared" si="16"/>
        <v>0</v>
      </c>
      <c r="T17" s="449"/>
      <c r="U17" s="560">
        <f t="shared" si="17"/>
        <v>0</v>
      </c>
      <c r="V17" s="292">
        <f t="shared" si="10"/>
        <v>0</v>
      </c>
      <c r="W17" s="449"/>
      <c r="X17" s="560">
        <f>IF((W17-W16)&lt;0,"0",(W17-W16))</f>
        <v>0</v>
      </c>
      <c r="Y17" s="292">
        <f t="shared" si="11"/>
        <v>0</v>
      </c>
      <c r="Z17" s="449"/>
      <c r="AA17" s="560">
        <f>IF((Z17-Z16)&lt;0,"0",(Z17-Z16))</f>
        <v>0</v>
      </c>
      <c r="AB17" s="758">
        <f t="shared" si="23"/>
        <v>0</v>
      </c>
      <c r="AC17" s="762"/>
      <c r="AD17" s="761">
        <f t="shared" si="24"/>
        <v>0</v>
      </c>
      <c r="AE17" s="292">
        <f t="shared" si="28"/>
        <v>0</v>
      </c>
      <c r="AF17" s="450"/>
      <c r="AG17" s="560">
        <f t="shared" si="27"/>
        <v>0</v>
      </c>
      <c r="AH17" s="292">
        <f t="shared" si="14"/>
        <v>0</v>
      </c>
      <c r="AI17" s="450"/>
      <c r="AJ17" s="560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0</v>
      </c>
    </row>
    <row r="18" spans="1:40" ht="23.1" customHeight="1">
      <c r="A18" s="58">
        <f>Gen!B23</f>
        <v>44056</v>
      </c>
      <c r="B18" s="4"/>
      <c r="C18" s="97">
        <f t="shared" si="0"/>
        <v>0</v>
      </c>
      <c r="D18" s="1"/>
      <c r="E18" s="559">
        <f t="shared" ref="E18:E37" si="29">IF((D18-D17)&lt;0,"0",(D18-D17))</f>
        <v>0</v>
      </c>
      <c r="F18" s="97">
        <f t="shared" si="2"/>
        <v>0</v>
      </c>
      <c r="G18" s="452"/>
      <c r="H18" s="559">
        <f t="shared" si="3"/>
        <v>0</v>
      </c>
      <c r="I18" s="97"/>
      <c r="J18" s="1"/>
      <c r="K18" s="559">
        <f t="shared" si="5"/>
        <v>0</v>
      </c>
      <c r="L18" s="97">
        <f t="shared" si="6"/>
        <v>0</v>
      </c>
      <c r="M18" s="1"/>
      <c r="N18" s="559">
        <f t="shared" si="7"/>
        <v>0</v>
      </c>
      <c r="O18" s="97">
        <f t="shared" si="8"/>
        <v>0</v>
      </c>
      <c r="P18" s="448"/>
      <c r="Q18" s="559">
        <f t="shared" si="9"/>
        <v>0</v>
      </c>
      <c r="R18" s="297"/>
      <c r="S18" s="292">
        <f t="shared" si="16"/>
        <v>0</v>
      </c>
      <c r="T18" s="449"/>
      <c r="U18" s="560">
        <f t="shared" si="17"/>
        <v>0</v>
      </c>
      <c r="V18" s="292">
        <f t="shared" si="10"/>
        <v>0</v>
      </c>
      <c r="W18" s="449"/>
      <c r="X18" s="560">
        <f t="shared" si="18"/>
        <v>0</v>
      </c>
      <c r="Y18" s="292">
        <f t="shared" si="11"/>
        <v>0</v>
      </c>
      <c r="Z18" s="449"/>
      <c r="AA18" s="560">
        <f t="shared" si="19"/>
        <v>0</v>
      </c>
      <c r="AB18" s="758">
        <f t="shared" si="23"/>
        <v>0</v>
      </c>
      <c r="AC18" s="762"/>
      <c r="AD18" s="761">
        <f t="shared" si="24"/>
        <v>0</v>
      </c>
      <c r="AE18" s="292">
        <f t="shared" si="28"/>
        <v>0</v>
      </c>
      <c r="AF18" s="450"/>
      <c r="AG18" s="560">
        <f t="shared" si="20"/>
        <v>0</v>
      </c>
      <c r="AH18" s="292">
        <f>AI17</f>
        <v>0</v>
      </c>
      <c r="AI18" s="450"/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0</v>
      </c>
    </row>
    <row r="19" spans="1:40" ht="23.1" customHeight="1">
      <c r="A19" s="58">
        <f>Gen!B24</f>
        <v>44057</v>
      </c>
      <c r="B19" s="4"/>
      <c r="C19" s="97">
        <f t="shared" si="0"/>
        <v>0</v>
      </c>
      <c r="D19" s="1"/>
      <c r="E19" s="559">
        <f t="shared" si="29"/>
        <v>0</v>
      </c>
      <c r="F19" s="97">
        <f t="shared" si="2"/>
        <v>0</v>
      </c>
      <c r="G19" s="452"/>
      <c r="H19" s="559">
        <f t="shared" si="3"/>
        <v>0</v>
      </c>
      <c r="I19" s="97">
        <f t="shared" si="4"/>
        <v>0</v>
      </c>
      <c r="J19" s="1"/>
      <c r="K19" s="559">
        <f t="shared" si="5"/>
        <v>0</v>
      </c>
      <c r="L19" s="97">
        <f t="shared" si="6"/>
        <v>0</v>
      </c>
      <c r="M19" s="1"/>
      <c r="N19" s="559">
        <f t="shared" si="7"/>
        <v>0</v>
      </c>
      <c r="O19" s="97">
        <f t="shared" si="8"/>
        <v>0</v>
      </c>
      <c r="P19" s="448"/>
      <c r="Q19" s="559">
        <f t="shared" si="9"/>
        <v>0</v>
      </c>
      <c r="R19" s="297"/>
      <c r="S19" s="292">
        <f t="shared" si="16"/>
        <v>0</v>
      </c>
      <c r="T19" s="449"/>
      <c r="U19" s="560">
        <f t="shared" si="17"/>
        <v>0</v>
      </c>
      <c r="V19" s="292">
        <f t="shared" si="10"/>
        <v>0</v>
      </c>
      <c r="W19" s="449"/>
      <c r="X19" s="560">
        <f t="shared" si="18"/>
        <v>0</v>
      </c>
      <c r="Y19" s="292">
        <f t="shared" si="11"/>
        <v>0</v>
      </c>
      <c r="Z19" s="449"/>
      <c r="AA19" s="560">
        <f t="shared" si="19"/>
        <v>0</v>
      </c>
      <c r="AB19" s="758">
        <f t="shared" si="23"/>
        <v>0</v>
      </c>
      <c r="AC19" s="762"/>
      <c r="AD19" s="761">
        <f t="shared" si="24"/>
        <v>0</v>
      </c>
      <c r="AE19" s="292">
        <f t="shared" si="28"/>
        <v>0</v>
      </c>
      <c r="AF19" s="450"/>
      <c r="AG19" s="560">
        <f t="shared" si="20"/>
        <v>0</v>
      </c>
      <c r="AH19" s="292">
        <f>AI18</f>
        <v>0</v>
      </c>
      <c r="AI19" s="450"/>
      <c r="AJ19" s="560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0</v>
      </c>
    </row>
    <row r="20" spans="1:40" ht="23.1" customHeight="1">
      <c r="A20" s="58">
        <f>Gen!B25</f>
        <v>44058</v>
      </c>
      <c r="B20" s="4"/>
      <c r="C20" s="97">
        <f t="shared" si="0"/>
        <v>0</v>
      </c>
      <c r="D20" s="1"/>
      <c r="E20" s="559">
        <f t="shared" si="29"/>
        <v>0</v>
      </c>
      <c r="F20" s="97">
        <f t="shared" si="2"/>
        <v>0</v>
      </c>
      <c r="G20" s="452"/>
      <c r="H20" s="559">
        <f t="shared" si="3"/>
        <v>0</v>
      </c>
      <c r="I20" s="97">
        <f t="shared" si="4"/>
        <v>0</v>
      </c>
      <c r="J20" s="1"/>
      <c r="K20" s="559">
        <f t="shared" si="5"/>
        <v>0</v>
      </c>
      <c r="L20" s="97">
        <f t="shared" si="6"/>
        <v>0</v>
      </c>
      <c r="M20" s="1"/>
      <c r="N20" s="559">
        <f t="shared" si="7"/>
        <v>0</v>
      </c>
      <c r="O20" s="97">
        <f t="shared" si="8"/>
        <v>0</v>
      </c>
      <c r="P20" s="448"/>
      <c r="Q20" s="559">
        <f t="shared" si="9"/>
        <v>0</v>
      </c>
      <c r="R20" s="297"/>
      <c r="S20" s="292">
        <f t="shared" si="16"/>
        <v>0</v>
      </c>
      <c r="T20" s="449"/>
      <c r="U20" s="560">
        <f t="shared" si="17"/>
        <v>0</v>
      </c>
      <c r="V20" s="292">
        <f t="shared" si="10"/>
        <v>0</v>
      </c>
      <c r="W20" s="449"/>
      <c r="X20" s="560">
        <f t="shared" si="18"/>
        <v>0</v>
      </c>
      <c r="Y20" s="292">
        <f t="shared" si="11"/>
        <v>0</v>
      </c>
      <c r="Z20" s="449"/>
      <c r="AA20" s="560">
        <f t="shared" si="19"/>
        <v>0</v>
      </c>
      <c r="AB20" s="758">
        <f t="shared" si="23"/>
        <v>0</v>
      </c>
      <c r="AC20" s="762"/>
      <c r="AD20" s="761">
        <f t="shared" si="24"/>
        <v>0</v>
      </c>
      <c r="AE20" s="292">
        <f t="shared" si="28"/>
        <v>0</v>
      </c>
      <c r="AF20" s="450"/>
      <c r="AG20" s="560">
        <f t="shared" si="20"/>
        <v>0</v>
      </c>
      <c r="AH20" s="292">
        <f t="shared" si="14"/>
        <v>0</v>
      </c>
      <c r="AI20" s="450"/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0</v>
      </c>
    </row>
    <row r="21" spans="1:40" ht="23.1" customHeight="1">
      <c r="A21" s="58">
        <f>Gen!B26</f>
        <v>44059</v>
      </c>
      <c r="B21" s="4"/>
      <c r="C21" s="97">
        <f t="shared" si="0"/>
        <v>0</v>
      </c>
      <c r="D21" s="1"/>
      <c r="E21" s="559">
        <f t="shared" si="29"/>
        <v>0</v>
      </c>
      <c r="F21" s="97">
        <f t="shared" si="2"/>
        <v>0</v>
      </c>
      <c r="G21" s="452"/>
      <c r="H21" s="559">
        <f t="shared" si="3"/>
        <v>0</v>
      </c>
      <c r="I21" s="97">
        <f t="shared" si="4"/>
        <v>0</v>
      </c>
      <c r="J21" s="1"/>
      <c r="K21" s="559">
        <f t="shared" si="5"/>
        <v>0</v>
      </c>
      <c r="L21" s="97">
        <f t="shared" si="6"/>
        <v>0</v>
      </c>
      <c r="M21" s="1"/>
      <c r="N21" s="559">
        <f t="shared" si="7"/>
        <v>0</v>
      </c>
      <c r="O21" s="97">
        <f t="shared" si="8"/>
        <v>0</v>
      </c>
      <c r="P21" s="448"/>
      <c r="Q21" s="559">
        <f t="shared" si="9"/>
        <v>0</v>
      </c>
      <c r="R21" s="297"/>
      <c r="S21" s="292">
        <f t="shared" si="16"/>
        <v>0</v>
      </c>
      <c r="T21" s="449"/>
      <c r="U21" s="560">
        <f t="shared" si="17"/>
        <v>0</v>
      </c>
      <c r="V21" s="292">
        <f t="shared" ref="V21:V37" si="31">W20</f>
        <v>0</v>
      </c>
      <c r="W21" s="449"/>
      <c r="X21" s="560">
        <f t="shared" si="18"/>
        <v>0</v>
      </c>
      <c r="Y21" s="292">
        <f t="shared" si="11"/>
        <v>0</v>
      </c>
      <c r="Z21" s="449"/>
      <c r="AA21" s="560">
        <f t="shared" si="19"/>
        <v>0</v>
      </c>
      <c r="AB21" s="758">
        <f t="shared" si="23"/>
        <v>0</v>
      </c>
      <c r="AC21" s="762"/>
      <c r="AD21" s="761">
        <f t="shared" si="24"/>
        <v>0</v>
      </c>
      <c r="AE21" s="292">
        <f t="shared" si="13"/>
        <v>0</v>
      </c>
      <c r="AF21" s="450"/>
      <c r="AG21" s="560">
        <f t="shared" si="20"/>
        <v>0</v>
      </c>
      <c r="AH21" s="292">
        <f t="shared" si="14"/>
        <v>0</v>
      </c>
      <c r="AI21" s="450"/>
      <c r="AJ21" s="560">
        <f t="shared" si="21"/>
        <v>0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0</v>
      </c>
    </row>
    <row r="22" spans="1:40" ht="23.1" customHeight="1">
      <c r="A22" s="58">
        <f>Gen!B27</f>
        <v>44060</v>
      </c>
      <c r="B22" s="4"/>
      <c r="C22" s="97">
        <f t="shared" si="0"/>
        <v>0</v>
      </c>
      <c r="D22" s="1"/>
      <c r="E22" s="559">
        <f t="shared" si="29"/>
        <v>0</v>
      </c>
      <c r="F22" s="97">
        <f t="shared" si="2"/>
        <v>0</v>
      </c>
      <c r="G22" s="452"/>
      <c r="H22" s="559">
        <f t="shared" si="3"/>
        <v>0</v>
      </c>
      <c r="I22" s="97">
        <f t="shared" si="4"/>
        <v>0</v>
      </c>
      <c r="J22" s="1"/>
      <c r="K22" s="559">
        <f t="shared" si="5"/>
        <v>0</v>
      </c>
      <c r="L22" s="97">
        <f t="shared" si="6"/>
        <v>0</v>
      </c>
      <c r="M22" s="1"/>
      <c r="N22" s="559">
        <f t="shared" si="7"/>
        <v>0</v>
      </c>
      <c r="O22" s="97">
        <f t="shared" si="8"/>
        <v>0</v>
      </c>
      <c r="P22" s="448"/>
      <c r="Q22" s="559">
        <f t="shared" si="9"/>
        <v>0</v>
      </c>
      <c r="R22" s="297"/>
      <c r="S22" s="292">
        <f t="shared" si="16"/>
        <v>0</v>
      </c>
      <c r="T22" s="449"/>
      <c r="U22" s="560">
        <f t="shared" si="17"/>
        <v>0</v>
      </c>
      <c r="V22" s="292">
        <f t="shared" si="31"/>
        <v>0</v>
      </c>
      <c r="W22" s="449"/>
      <c r="X22" s="560">
        <f t="shared" si="18"/>
        <v>0</v>
      </c>
      <c r="Y22" s="292">
        <f t="shared" si="11"/>
        <v>0</v>
      </c>
      <c r="Z22" s="449"/>
      <c r="AA22" s="560">
        <f t="shared" si="19"/>
        <v>0</v>
      </c>
      <c r="AB22" s="758">
        <f t="shared" si="23"/>
        <v>0</v>
      </c>
      <c r="AC22" s="762"/>
      <c r="AD22" s="761">
        <f t="shared" si="24"/>
        <v>0</v>
      </c>
      <c r="AE22" s="292">
        <f t="shared" si="13"/>
        <v>0</v>
      </c>
      <c r="AF22" s="450"/>
      <c r="AG22" s="560">
        <f t="shared" si="20"/>
        <v>0</v>
      </c>
      <c r="AH22" s="292">
        <f t="shared" si="14"/>
        <v>0</v>
      </c>
      <c r="AI22" s="450"/>
      <c r="AJ22" s="560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0</v>
      </c>
    </row>
    <row r="23" spans="1:40" ht="23.1" customHeight="1">
      <c r="A23" s="58">
        <f>Gen!B28</f>
        <v>44061</v>
      </c>
      <c r="B23" s="4"/>
      <c r="C23" s="97">
        <f t="shared" si="0"/>
        <v>0</v>
      </c>
      <c r="D23" s="1"/>
      <c r="E23" s="559">
        <f t="shared" si="29"/>
        <v>0</v>
      </c>
      <c r="F23" s="97">
        <f t="shared" si="2"/>
        <v>0</v>
      </c>
      <c r="G23" s="452"/>
      <c r="H23" s="559">
        <f t="shared" si="3"/>
        <v>0</v>
      </c>
      <c r="I23" s="97">
        <f t="shared" si="4"/>
        <v>0</v>
      </c>
      <c r="J23" s="1"/>
      <c r="K23" s="559">
        <f t="shared" si="5"/>
        <v>0</v>
      </c>
      <c r="L23" s="97">
        <f t="shared" si="6"/>
        <v>0</v>
      </c>
      <c r="M23" s="1"/>
      <c r="N23" s="559">
        <f t="shared" si="7"/>
        <v>0</v>
      </c>
      <c r="O23" s="97">
        <f t="shared" si="8"/>
        <v>0</v>
      </c>
      <c r="P23" s="448"/>
      <c r="Q23" s="559">
        <f t="shared" si="9"/>
        <v>0</v>
      </c>
      <c r="R23" s="297"/>
      <c r="S23" s="292">
        <f t="shared" si="16"/>
        <v>0</v>
      </c>
      <c r="T23" s="449"/>
      <c r="U23" s="560">
        <f t="shared" si="17"/>
        <v>0</v>
      </c>
      <c r="V23" s="292">
        <f t="shared" si="31"/>
        <v>0</v>
      </c>
      <c r="W23" s="449"/>
      <c r="X23" s="560">
        <f t="shared" si="18"/>
        <v>0</v>
      </c>
      <c r="Y23" s="292">
        <f t="shared" si="11"/>
        <v>0</v>
      </c>
      <c r="Z23" s="449"/>
      <c r="AA23" s="560">
        <f t="shared" si="19"/>
        <v>0</v>
      </c>
      <c r="AB23" s="758">
        <f t="shared" si="23"/>
        <v>0</v>
      </c>
      <c r="AC23" s="759"/>
      <c r="AD23" s="761">
        <f t="shared" si="24"/>
        <v>0</v>
      </c>
      <c r="AE23" s="292">
        <f t="shared" si="13"/>
        <v>0</v>
      </c>
      <c r="AF23" s="450"/>
      <c r="AG23" s="560">
        <f t="shared" si="20"/>
        <v>0</v>
      </c>
      <c r="AH23" s="292">
        <f t="shared" si="14"/>
        <v>0</v>
      </c>
      <c r="AI23" s="450"/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0</v>
      </c>
    </row>
    <row r="24" spans="1:40" ht="23.1" customHeight="1">
      <c r="A24" s="58">
        <f>Gen!B29</f>
        <v>44062</v>
      </c>
      <c r="B24" s="4"/>
      <c r="C24" s="97">
        <f t="shared" si="0"/>
        <v>0</v>
      </c>
      <c r="D24" s="1"/>
      <c r="E24" s="559">
        <f t="shared" si="29"/>
        <v>0</v>
      </c>
      <c r="F24" s="97">
        <f t="shared" si="2"/>
        <v>0</v>
      </c>
      <c r="G24" s="452"/>
      <c r="H24" s="559">
        <f t="shared" si="3"/>
        <v>0</v>
      </c>
      <c r="I24" s="97">
        <f t="shared" si="4"/>
        <v>0</v>
      </c>
      <c r="J24" s="1"/>
      <c r="K24" s="559">
        <f t="shared" si="5"/>
        <v>0</v>
      </c>
      <c r="L24" s="97">
        <f t="shared" si="6"/>
        <v>0</v>
      </c>
      <c r="M24" s="1"/>
      <c r="N24" s="559">
        <f t="shared" si="7"/>
        <v>0</v>
      </c>
      <c r="O24" s="97">
        <f t="shared" si="8"/>
        <v>0</v>
      </c>
      <c r="P24" s="448"/>
      <c r="Q24" s="559">
        <f t="shared" si="9"/>
        <v>0</v>
      </c>
      <c r="R24" s="297"/>
      <c r="S24" s="292">
        <f t="shared" si="16"/>
        <v>0</v>
      </c>
      <c r="T24" s="449"/>
      <c r="U24" s="560">
        <f t="shared" si="17"/>
        <v>0</v>
      </c>
      <c r="V24" s="292">
        <f t="shared" si="31"/>
        <v>0</v>
      </c>
      <c r="W24" s="449"/>
      <c r="X24" s="560">
        <f t="shared" si="18"/>
        <v>0</v>
      </c>
      <c r="Y24" s="292">
        <f t="shared" si="11"/>
        <v>0</v>
      </c>
      <c r="Z24" s="449"/>
      <c r="AA24" s="560">
        <f t="shared" si="19"/>
        <v>0</v>
      </c>
      <c r="AB24" s="758">
        <f t="shared" si="23"/>
        <v>0</v>
      </c>
      <c r="AC24" s="759"/>
      <c r="AD24" s="761">
        <f t="shared" si="24"/>
        <v>0</v>
      </c>
      <c r="AE24" s="292">
        <f t="shared" si="13"/>
        <v>0</v>
      </c>
      <c r="AF24" s="450"/>
      <c r="AG24" s="560">
        <f t="shared" si="20"/>
        <v>0</v>
      </c>
      <c r="AH24" s="292">
        <f t="shared" si="14"/>
        <v>0</v>
      </c>
      <c r="AI24" s="450"/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0</v>
      </c>
    </row>
    <row r="25" spans="1:40" ht="23.1" customHeight="1">
      <c r="A25" s="58">
        <f>Gen!B30</f>
        <v>44063</v>
      </c>
      <c r="B25" s="4"/>
      <c r="C25" s="97">
        <f>D24</f>
        <v>0</v>
      </c>
      <c r="D25" s="1"/>
      <c r="E25" s="559">
        <f t="shared" si="29"/>
        <v>0</v>
      </c>
      <c r="F25" s="97">
        <f t="shared" si="2"/>
        <v>0</v>
      </c>
      <c r="G25" s="452"/>
      <c r="H25" s="559">
        <f>IF((G26-G24)&lt;0,"0",(G26-G24))</f>
        <v>0</v>
      </c>
      <c r="I25" s="97">
        <f t="shared" ref="I25:I37" si="32">J24</f>
        <v>0</v>
      </c>
      <c r="J25" s="1"/>
      <c r="K25" s="559">
        <f t="shared" si="5"/>
        <v>0</v>
      </c>
      <c r="L25" s="97">
        <f t="shared" ref="L25:L37" si="33">M24</f>
        <v>0</v>
      </c>
      <c r="M25" s="1"/>
      <c r="N25" s="559">
        <f t="shared" ref="N25:N37" si="34">IF((M25-M24)&lt;0,"0",(M25-M24))</f>
        <v>0</v>
      </c>
      <c r="O25" s="97">
        <f t="shared" si="8"/>
        <v>0</v>
      </c>
      <c r="P25" s="448"/>
      <c r="Q25" s="559">
        <f t="shared" si="9"/>
        <v>0</v>
      </c>
      <c r="R25" s="297"/>
      <c r="S25" s="292">
        <f t="shared" ref="S25:S37" si="35">T24</f>
        <v>0</v>
      </c>
      <c r="T25" s="449"/>
      <c r="U25" s="560">
        <f t="shared" ref="U25:U37" si="36">IF((T25-T24)&lt;0,"0",(T25-T24))</f>
        <v>0</v>
      </c>
      <c r="V25" s="292">
        <f t="shared" si="31"/>
        <v>0</v>
      </c>
      <c r="W25" s="449"/>
      <c r="X25" s="560">
        <f t="shared" si="18"/>
        <v>0</v>
      </c>
      <c r="Y25" s="292">
        <f t="shared" si="11"/>
        <v>0</v>
      </c>
      <c r="Z25" s="449"/>
      <c r="AA25" s="560">
        <f t="shared" si="19"/>
        <v>0</v>
      </c>
      <c r="AB25" s="758">
        <f t="shared" si="23"/>
        <v>0</v>
      </c>
      <c r="AC25" s="759"/>
      <c r="AD25" s="761">
        <f t="shared" si="24"/>
        <v>0</v>
      </c>
      <c r="AE25" s="292">
        <f t="shared" si="13"/>
        <v>0</v>
      </c>
      <c r="AF25" s="450"/>
      <c r="AG25" s="560">
        <f t="shared" si="20"/>
        <v>0</v>
      </c>
      <c r="AH25" s="292">
        <f t="shared" si="14"/>
        <v>0</v>
      </c>
      <c r="AI25" s="450"/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0</v>
      </c>
    </row>
    <row r="26" spans="1:40" ht="23.1" customHeight="1">
      <c r="A26" s="58">
        <f>Gen!B31</f>
        <v>44064</v>
      </c>
      <c r="B26" s="4"/>
      <c r="C26" s="97">
        <f>D25</f>
        <v>0</v>
      </c>
      <c r="D26" s="1"/>
      <c r="E26" s="559">
        <f t="shared" si="29"/>
        <v>0</v>
      </c>
      <c r="F26" s="97">
        <f>G26</f>
        <v>0</v>
      </c>
      <c r="G26" s="452"/>
      <c r="H26" s="559">
        <f t="shared" ref="H26:H27" si="37">IF((G27-G25)&lt;0,"0",(G27-G25))</f>
        <v>0</v>
      </c>
      <c r="I26" s="97">
        <f t="shared" si="32"/>
        <v>0</v>
      </c>
      <c r="J26" s="1"/>
      <c r="K26" s="559">
        <f t="shared" si="5"/>
        <v>0</v>
      </c>
      <c r="L26" s="97">
        <f t="shared" si="33"/>
        <v>0</v>
      </c>
      <c r="M26" s="1"/>
      <c r="N26" s="559">
        <f t="shared" si="34"/>
        <v>0</v>
      </c>
      <c r="O26" s="97">
        <f t="shared" ref="O26:O37" si="38">P25</f>
        <v>0</v>
      </c>
      <c r="P26" s="448"/>
      <c r="Q26" s="559">
        <f t="shared" si="9"/>
        <v>0</v>
      </c>
      <c r="R26" s="297"/>
      <c r="S26" s="292">
        <f t="shared" si="35"/>
        <v>0</v>
      </c>
      <c r="T26" s="449"/>
      <c r="U26" s="560">
        <f t="shared" si="36"/>
        <v>0</v>
      </c>
      <c r="V26" s="292">
        <f t="shared" si="31"/>
        <v>0</v>
      </c>
      <c r="W26" s="449"/>
      <c r="X26" s="560">
        <f t="shared" si="18"/>
        <v>0</v>
      </c>
      <c r="Y26" s="292">
        <f t="shared" si="11"/>
        <v>0</v>
      </c>
      <c r="Z26" s="449"/>
      <c r="AA26" s="560">
        <f t="shared" si="19"/>
        <v>0</v>
      </c>
      <c r="AB26" s="758">
        <f t="shared" si="23"/>
        <v>0</v>
      </c>
      <c r="AC26" s="759"/>
      <c r="AD26" s="761">
        <f t="shared" si="24"/>
        <v>0</v>
      </c>
      <c r="AE26" s="292">
        <f t="shared" si="13"/>
        <v>0</v>
      </c>
      <c r="AF26" s="450"/>
      <c r="AG26" s="560">
        <f t="shared" si="20"/>
        <v>0</v>
      </c>
      <c r="AH26" s="292">
        <f t="shared" si="14"/>
        <v>0</v>
      </c>
      <c r="AI26" s="450"/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0</v>
      </c>
    </row>
    <row r="27" spans="1:40" ht="23.1" customHeight="1">
      <c r="A27" s="58">
        <f>Gen!B32</f>
        <v>44065</v>
      </c>
      <c r="B27" s="4"/>
      <c r="C27" s="97">
        <f>D26</f>
        <v>0</v>
      </c>
      <c r="D27" s="1"/>
      <c r="E27" s="559">
        <f t="shared" si="29"/>
        <v>0</v>
      </c>
      <c r="F27" s="97">
        <f t="shared" ref="F27:F31" si="39">G27</f>
        <v>0</v>
      </c>
      <c r="G27" s="452"/>
      <c r="H27" s="559">
        <f t="shared" si="37"/>
        <v>0</v>
      </c>
      <c r="I27" s="97">
        <f t="shared" si="32"/>
        <v>0</v>
      </c>
      <c r="J27" s="1"/>
      <c r="K27" s="559">
        <f t="shared" si="5"/>
        <v>0</v>
      </c>
      <c r="L27" s="97">
        <f t="shared" si="33"/>
        <v>0</v>
      </c>
      <c r="M27" s="1"/>
      <c r="N27" s="559">
        <f t="shared" si="34"/>
        <v>0</v>
      </c>
      <c r="O27" s="97">
        <f t="shared" si="38"/>
        <v>0</v>
      </c>
      <c r="P27" s="448"/>
      <c r="Q27" s="559">
        <f t="shared" si="9"/>
        <v>0</v>
      </c>
      <c r="R27" s="297"/>
      <c r="S27" s="292">
        <f t="shared" si="35"/>
        <v>0</v>
      </c>
      <c r="T27" s="449"/>
      <c r="U27" s="560">
        <f t="shared" si="36"/>
        <v>0</v>
      </c>
      <c r="V27" s="292">
        <f t="shared" si="31"/>
        <v>0</v>
      </c>
      <c r="W27" s="449"/>
      <c r="X27" s="560">
        <f t="shared" si="18"/>
        <v>0</v>
      </c>
      <c r="Y27" s="292">
        <f t="shared" si="11"/>
        <v>0</v>
      </c>
      <c r="Z27" s="449"/>
      <c r="AA27" s="560">
        <f t="shared" si="19"/>
        <v>0</v>
      </c>
      <c r="AB27" s="758">
        <f t="shared" si="23"/>
        <v>0</v>
      </c>
      <c r="AC27" s="759"/>
      <c r="AD27" s="761">
        <f t="shared" si="24"/>
        <v>0</v>
      </c>
      <c r="AE27" s="292">
        <f t="shared" si="13"/>
        <v>0</v>
      </c>
      <c r="AF27" s="450"/>
      <c r="AG27" s="560">
        <f t="shared" si="20"/>
        <v>0</v>
      </c>
      <c r="AH27" s="292">
        <f t="shared" si="14"/>
        <v>0</v>
      </c>
      <c r="AI27" s="450"/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0</v>
      </c>
    </row>
    <row r="28" spans="1:40" ht="23.1" customHeight="1">
      <c r="A28" s="58">
        <f>Gen!B33</f>
        <v>44066</v>
      </c>
      <c r="B28" s="4"/>
      <c r="C28" s="97">
        <f t="shared" ref="C28:C37" si="40">D27</f>
        <v>0</v>
      </c>
      <c r="D28" s="1"/>
      <c r="E28" s="559">
        <f t="shared" si="29"/>
        <v>0</v>
      </c>
      <c r="F28" s="97">
        <f t="shared" si="39"/>
        <v>0</v>
      </c>
      <c r="G28" s="452"/>
      <c r="H28" s="559">
        <f t="shared" ref="H28:H37" si="41">IF((G28-G27)&lt;0,"0",(G28-G27))</f>
        <v>0</v>
      </c>
      <c r="I28" s="97">
        <f t="shared" si="32"/>
        <v>0</v>
      </c>
      <c r="J28" s="1"/>
      <c r="K28" s="559">
        <f>IF((J28-J27)&lt;0,"0",(J28-J27))</f>
        <v>0</v>
      </c>
      <c r="L28" s="97">
        <f t="shared" si="33"/>
        <v>0</v>
      </c>
      <c r="M28" s="1"/>
      <c r="N28" s="559">
        <f t="shared" si="34"/>
        <v>0</v>
      </c>
      <c r="O28" s="97">
        <f t="shared" si="38"/>
        <v>0</v>
      </c>
      <c r="P28" s="448"/>
      <c r="Q28" s="559">
        <f t="shared" ref="Q28:Q37" si="42">IF((P28-P27)&lt;0,"0",(P28-P27))</f>
        <v>0</v>
      </c>
      <c r="R28" s="297"/>
      <c r="S28" s="292">
        <f t="shared" si="35"/>
        <v>0</v>
      </c>
      <c r="T28" s="449"/>
      <c r="U28" s="560">
        <f t="shared" si="36"/>
        <v>0</v>
      </c>
      <c r="V28" s="292">
        <f t="shared" si="31"/>
        <v>0</v>
      </c>
      <c r="W28" s="449"/>
      <c r="X28" s="560">
        <f t="shared" si="18"/>
        <v>0</v>
      </c>
      <c r="Y28" s="292">
        <f t="shared" si="11"/>
        <v>0</v>
      </c>
      <c r="Z28" s="449"/>
      <c r="AA28" s="560">
        <f t="shared" si="19"/>
        <v>0</v>
      </c>
      <c r="AB28" s="758">
        <f t="shared" si="23"/>
        <v>0</v>
      </c>
      <c r="AC28" s="759"/>
      <c r="AD28" s="761">
        <f t="shared" si="24"/>
        <v>0</v>
      </c>
      <c r="AE28" s="292">
        <f t="shared" si="13"/>
        <v>0</v>
      </c>
      <c r="AF28" s="450"/>
      <c r="AG28" s="560">
        <f t="shared" si="20"/>
        <v>0</v>
      </c>
      <c r="AH28" s="292">
        <f t="shared" si="14"/>
        <v>0</v>
      </c>
      <c r="AI28" s="450"/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0</v>
      </c>
    </row>
    <row r="29" spans="1:40" ht="23.1" customHeight="1">
      <c r="A29" s="58">
        <f>Gen!B34</f>
        <v>44067</v>
      </c>
      <c r="B29" s="4"/>
      <c r="C29" s="97">
        <f t="shared" si="40"/>
        <v>0</v>
      </c>
      <c r="D29" s="1"/>
      <c r="E29" s="559">
        <f t="shared" si="29"/>
        <v>0</v>
      </c>
      <c r="F29" s="97">
        <f t="shared" si="39"/>
        <v>0</v>
      </c>
      <c r="G29" s="452"/>
      <c r="H29" s="559">
        <f t="shared" si="41"/>
        <v>0</v>
      </c>
      <c r="I29" s="97">
        <f t="shared" si="32"/>
        <v>0</v>
      </c>
      <c r="J29" s="1"/>
      <c r="K29" s="559">
        <f t="shared" ref="K29:K37" si="43">IF((J29-J28)&lt;0,"0",(J29-J28))</f>
        <v>0</v>
      </c>
      <c r="L29" s="97">
        <f t="shared" si="33"/>
        <v>0</v>
      </c>
      <c r="M29" s="1"/>
      <c r="N29" s="559">
        <f t="shared" si="34"/>
        <v>0</v>
      </c>
      <c r="O29" s="97">
        <f t="shared" si="38"/>
        <v>0</v>
      </c>
      <c r="P29" s="448"/>
      <c r="Q29" s="559">
        <f t="shared" si="42"/>
        <v>0</v>
      </c>
      <c r="R29" s="297"/>
      <c r="S29" s="292">
        <f t="shared" si="35"/>
        <v>0</v>
      </c>
      <c r="T29" s="449"/>
      <c r="U29" s="560">
        <f t="shared" si="36"/>
        <v>0</v>
      </c>
      <c r="V29" s="292">
        <f t="shared" si="31"/>
        <v>0</v>
      </c>
      <c r="W29" s="449"/>
      <c r="X29" s="560">
        <f t="shared" si="18"/>
        <v>0</v>
      </c>
      <c r="Y29" s="292">
        <f t="shared" si="11"/>
        <v>0</v>
      </c>
      <c r="Z29" s="449"/>
      <c r="AA29" s="560">
        <f t="shared" si="19"/>
        <v>0</v>
      </c>
      <c r="AB29" s="758">
        <f t="shared" si="23"/>
        <v>0</v>
      </c>
      <c r="AC29" s="759"/>
      <c r="AD29" s="761">
        <f t="shared" si="24"/>
        <v>0</v>
      </c>
      <c r="AE29" s="292">
        <f t="shared" si="13"/>
        <v>0</v>
      </c>
      <c r="AF29" s="450"/>
      <c r="AG29" s="560">
        <f t="shared" si="20"/>
        <v>0</v>
      </c>
      <c r="AH29" s="292">
        <f t="shared" si="14"/>
        <v>0</v>
      </c>
      <c r="AI29" s="450"/>
      <c r="AJ29" s="560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0</v>
      </c>
    </row>
    <row r="30" spans="1:40" ht="23.1" customHeight="1">
      <c r="A30" s="58">
        <f>Gen!B35</f>
        <v>44068</v>
      </c>
      <c r="B30" s="4"/>
      <c r="C30" s="97">
        <f t="shared" si="40"/>
        <v>0</v>
      </c>
      <c r="D30" s="1"/>
      <c r="E30" s="559">
        <f t="shared" si="29"/>
        <v>0</v>
      </c>
      <c r="F30" s="97">
        <f t="shared" si="39"/>
        <v>0</v>
      </c>
      <c r="G30" s="452"/>
      <c r="H30" s="559">
        <f t="shared" si="41"/>
        <v>0</v>
      </c>
      <c r="I30" s="97">
        <f t="shared" si="32"/>
        <v>0</v>
      </c>
      <c r="J30" s="1"/>
      <c r="K30" s="559">
        <f t="shared" si="43"/>
        <v>0</v>
      </c>
      <c r="L30" s="97">
        <f t="shared" si="33"/>
        <v>0</v>
      </c>
      <c r="M30" s="1"/>
      <c r="N30" s="559">
        <f t="shared" si="34"/>
        <v>0</v>
      </c>
      <c r="O30" s="97">
        <f t="shared" si="38"/>
        <v>0</v>
      </c>
      <c r="P30" s="448"/>
      <c r="Q30" s="559">
        <f t="shared" si="42"/>
        <v>0</v>
      </c>
      <c r="R30" s="297"/>
      <c r="S30" s="292">
        <f t="shared" si="35"/>
        <v>0</v>
      </c>
      <c r="T30" s="449"/>
      <c r="U30" s="560">
        <f t="shared" si="36"/>
        <v>0</v>
      </c>
      <c r="V30" s="292">
        <f t="shared" si="31"/>
        <v>0</v>
      </c>
      <c r="W30" s="449"/>
      <c r="X30" s="560">
        <f t="shared" si="18"/>
        <v>0</v>
      </c>
      <c r="Y30" s="292">
        <f t="shared" si="11"/>
        <v>0</v>
      </c>
      <c r="Z30" s="449"/>
      <c r="AA30" s="560">
        <f t="shared" si="19"/>
        <v>0</v>
      </c>
      <c r="AB30" s="758">
        <f t="shared" si="23"/>
        <v>0</v>
      </c>
      <c r="AC30" s="759"/>
      <c r="AD30" s="761">
        <f t="shared" si="24"/>
        <v>0</v>
      </c>
      <c r="AE30" s="292">
        <f t="shared" si="13"/>
        <v>0</v>
      </c>
      <c r="AF30" s="450"/>
      <c r="AG30" s="560">
        <f t="shared" si="20"/>
        <v>0</v>
      </c>
      <c r="AH30" s="292">
        <f t="shared" si="14"/>
        <v>0</v>
      </c>
      <c r="AI30" s="450"/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0</v>
      </c>
    </row>
    <row r="31" spans="1:40" ht="23.1" customHeight="1">
      <c r="A31" s="58">
        <f>Gen!B36</f>
        <v>44069</v>
      </c>
      <c r="B31" s="4"/>
      <c r="C31" s="97">
        <f t="shared" si="40"/>
        <v>0</v>
      </c>
      <c r="D31" s="1"/>
      <c r="E31" s="559">
        <f t="shared" si="29"/>
        <v>0</v>
      </c>
      <c r="F31" s="97">
        <f t="shared" si="39"/>
        <v>0</v>
      </c>
      <c r="G31" s="452"/>
      <c r="H31" s="559">
        <f t="shared" si="41"/>
        <v>0</v>
      </c>
      <c r="I31" s="97">
        <f t="shared" si="32"/>
        <v>0</v>
      </c>
      <c r="J31" s="1"/>
      <c r="K31" s="559">
        <f t="shared" si="43"/>
        <v>0</v>
      </c>
      <c r="L31" s="97">
        <f t="shared" si="33"/>
        <v>0</v>
      </c>
      <c r="M31" s="1"/>
      <c r="N31" s="559">
        <f t="shared" si="34"/>
        <v>0</v>
      </c>
      <c r="O31" s="97">
        <f t="shared" si="38"/>
        <v>0</v>
      </c>
      <c r="P31" s="448"/>
      <c r="Q31" s="559">
        <f t="shared" si="42"/>
        <v>0</v>
      </c>
      <c r="R31" s="297"/>
      <c r="S31" s="292">
        <f t="shared" si="35"/>
        <v>0</v>
      </c>
      <c r="T31" s="449"/>
      <c r="U31" s="560">
        <f t="shared" si="36"/>
        <v>0</v>
      </c>
      <c r="V31" s="292">
        <f t="shared" si="31"/>
        <v>0</v>
      </c>
      <c r="W31" s="449"/>
      <c r="X31" s="560">
        <f t="shared" si="18"/>
        <v>0</v>
      </c>
      <c r="Y31" s="292">
        <f t="shared" si="11"/>
        <v>0</v>
      </c>
      <c r="Z31" s="449"/>
      <c r="AA31" s="560">
        <f t="shared" si="19"/>
        <v>0</v>
      </c>
      <c r="AB31" s="758">
        <f t="shared" si="23"/>
        <v>0</v>
      </c>
      <c r="AC31" s="759"/>
      <c r="AD31" s="761">
        <f t="shared" si="24"/>
        <v>0</v>
      </c>
      <c r="AE31" s="292">
        <f t="shared" si="13"/>
        <v>0</v>
      </c>
      <c r="AF31" s="450"/>
      <c r="AG31" s="560">
        <f t="shared" si="20"/>
        <v>0</v>
      </c>
      <c r="AH31" s="292">
        <f t="shared" si="14"/>
        <v>0</v>
      </c>
      <c r="AI31" s="450"/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0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0</v>
      </c>
      <c r="D32" s="1"/>
      <c r="E32" s="559">
        <f t="shared" si="29"/>
        <v>0</v>
      </c>
      <c r="F32" s="97">
        <f t="shared" si="2"/>
        <v>0</v>
      </c>
      <c r="G32" s="452"/>
      <c r="H32" s="559">
        <f t="shared" si="41"/>
        <v>0</v>
      </c>
      <c r="I32" s="97">
        <f t="shared" si="32"/>
        <v>0</v>
      </c>
      <c r="J32" s="1"/>
      <c r="K32" s="559">
        <f t="shared" si="43"/>
        <v>0</v>
      </c>
      <c r="L32" s="97">
        <f t="shared" si="33"/>
        <v>0</v>
      </c>
      <c r="M32" s="1"/>
      <c r="N32" s="559">
        <f t="shared" si="34"/>
        <v>0</v>
      </c>
      <c r="O32" s="97">
        <f t="shared" si="38"/>
        <v>0</v>
      </c>
      <c r="P32" s="448"/>
      <c r="Q32" s="559">
        <f t="shared" si="42"/>
        <v>0</v>
      </c>
      <c r="R32" s="297"/>
      <c r="S32" s="292">
        <f t="shared" si="35"/>
        <v>0</v>
      </c>
      <c r="T32" s="449"/>
      <c r="U32" s="560">
        <f t="shared" si="36"/>
        <v>0</v>
      </c>
      <c r="V32" s="292">
        <f t="shared" si="31"/>
        <v>0</v>
      </c>
      <c r="W32" s="449"/>
      <c r="X32" s="560">
        <f t="shared" si="18"/>
        <v>0</v>
      </c>
      <c r="Y32" s="292">
        <f t="shared" si="11"/>
        <v>0</v>
      </c>
      <c r="Z32" s="449"/>
      <c r="AA32" s="560">
        <f t="shared" si="19"/>
        <v>0</v>
      </c>
      <c r="AB32" s="758">
        <f t="shared" si="23"/>
        <v>0</v>
      </c>
      <c r="AC32" s="759"/>
      <c r="AD32" s="761">
        <f t="shared" si="24"/>
        <v>0</v>
      </c>
      <c r="AE32" s="292">
        <f t="shared" si="13"/>
        <v>0</v>
      </c>
      <c r="AF32" s="450"/>
      <c r="AG32" s="560">
        <f t="shared" si="20"/>
        <v>0</v>
      </c>
      <c r="AH32" s="292">
        <f t="shared" si="14"/>
        <v>0</v>
      </c>
      <c r="AI32" s="450"/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0</v>
      </c>
    </row>
    <row r="33" spans="1:41" ht="23.1" customHeight="1">
      <c r="A33" s="58">
        <f>Gen!B38</f>
        <v>44071</v>
      </c>
      <c r="B33" s="4"/>
      <c r="C33" s="97">
        <f t="shared" si="40"/>
        <v>0</v>
      </c>
      <c r="D33" s="1"/>
      <c r="E33" s="559">
        <f t="shared" si="29"/>
        <v>0</v>
      </c>
      <c r="F33" s="97">
        <f t="shared" si="2"/>
        <v>0</v>
      </c>
      <c r="G33" s="452"/>
      <c r="H33" s="559">
        <f t="shared" si="41"/>
        <v>0</v>
      </c>
      <c r="I33" s="97">
        <f t="shared" si="32"/>
        <v>0</v>
      </c>
      <c r="J33" s="1"/>
      <c r="K33" s="559">
        <f t="shared" si="43"/>
        <v>0</v>
      </c>
      <c r="L33" s="97">
        <f t="shared" si="33"/>
        <v>0</v>
      </c>
      <c r="M33" s="1"/>
      <c r="N33" s="559">
        <f t="shared" si="34"/>
        <v>0</v>
      </c>
      <c r="O33" s="97">
        <f t="shared" si="38"/>
        <v>0</v>
      </c>
      <c r="P33" s="448"/>
      <c r="Q33" s="559">
        <f t="shared" si="42"/>
        <v>0</v>
      </c>
      <c r="R33" s="297"/>
      <c r="S33" s="292">
        <f t="shared" si="35"/>
        <v>0</v>
      </c>
      <c r="T33" s="449"/>
      <c r="U33" s="560">
        <f t="shared" si="36"/>
        <v>0</v>
      </c>
      <c r="V33" s="292">
        <f t="shared" si="31"/>
        <v>0</v>
      </c>
      <c r="W33" s="449"/>
      <c r="X33" s="560">
        <f t="shared" si="18"/>
        <v>0</v>
      </c>
      <c r="Y33" s="292">
        <f t="shared" si="11"/>
        <v>0</v>
      </c>
      <c r="Z33" s="449"/>
      <c r="AA33" s="560">
        <f t="shared" si="19"/>
        <v>0</v>
      </c>
      <c r="AB33" s="758">
        <f t="shared" si="23"/>
        <v>0</v>
      </c>
      <c r="AC33" s="293"/>
      <c r="AD33" s="761">
        <f t="shared" si="24"/>
        <v>0</v>
      </c>
      <c r="AE33" s="292">
        <f t="shared" si="13"/>
        <v>0</v>
      </c>
      <c r="AF33" s="450"/>
      <c r="AG33" s="560">
        <f t="shared" si="20"/>
        <v>0</v>
      </c>
      <c r="AH33" s="292">
        <f t="shared" si="14"/>
        <v>0</v>
      </c>
      <c r="AI33" s="450"/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0</v>
      </c>
    </row>
    <row r="34" spans="1:41" ht="23.1" customHeight="1">
      <c r="A34" s="58">
        <f>Gen!B39</f>
        <v>44072</v>
      </c>
      <c r="B34" s="169"/>
      <c r="C34" s="97">
        <f t="shared" si="40"/>
        <v>0</v>
      </c>
      <c r="D34" s="1"/>
      <c r="E34" s="559">
        <f t="shared" si="29"/>
        <v>0</v>
      </c>
      <c r="F34" s="97">
        <f t="shared" si="2"/>
        <v>0</v>
      </c>
      <c r="G34" s="452"/>
      <c r="H34" s="559">
        <f t="shared" si="41"/>
        <v>0</v>
      </c>
      <c r="I34" s="97">
        <f t="shared" si="32"/>
        <v>0</v>
      </c>
      <c r="J34" s="1"/>
      <c r="K34" s="559">
        <f t="shared" si="43"/>
        <v>0</v>
      </c>
      <c r="L34" s="97">
        <f t="shared" si="33"/>
        <v>0</v>
      </c>
      <c r="M34" s="1"/>
      <c r="N34" s="559">
        <f t="shared" si="34"/>
        <v>0</v>
      </c>
      <c r="O34" s="97">
        <f t="shared" si="38"/>
        <v>0</v>
      </c>
      <c r="P34" s="448"/>
      <c r="Q34" s="559">
        <f t="shared" si="42"/>
        <v>0</v>
      </c>
      <c r="R34" s="297"/>
      <c r="S34" s="292">
        <f t="shared" si="35"/>
        <v>0</v>
      </c>
      <c r="T34" s="449"/>
      <c r="U34" s="560">
        <f t="shared" si="36"/>
        <v>0</v>
      </c>
      <c r="V34" s="292">
        <f t="shared" si="31"/>
        <v>0</v>
      </c>
      <c r="W34" s="449"/>
      <c r="X34" s="560">
        <f t="shared" si="18"/>
        <v>0</v>
      </c>
      <c r="Y34" s="292">
        <f t="shared" si="11"/>
        <v>0</v>
      </c>
      <c r="Z34" s="449"/>
      <c r="AA34" s="560">
        <f t="shared" si="19"/>
        <v>0</v>
      </c>
      <c r="AB34" s="758">
        <f t="shared" si="23"/>
        <v>0</v>
      </c>
      <c r="AC34" s="293"/>
      <c r="AD34" s="761">
        <f t="shared" si="24"/>
        <v>0</v>
      </c>
      <c r="AE34" s="292">
        <f t="shared" si="13"/>
        <v>0</v>
      </c>
      <c r="AF34" s="450"/>
      <c r="AG34" s="560">
        <f t="shared" si="20"/>
        <v>0</v>
      </c>
      <c r="AH34" s="292">
        <f t="shared" si="14"/>
        <v>0</v>
      </c>
      <c r="AI34" s="450"/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0</v>
      </c>
    </row>
    <row r="35" spans="1:41" ht="23.1" customHeight="1">
      <c r="A35" s="58">
        <f>Gen!B40</f>
        <v>44073</v>
      </c>
      <c r="B35" s="169"/>
      <c r="C35" s="97">
        <f t="shared" si="40"/>
        <v>0</v>
      </c>
      <c r="D35" s="1"/>
      <c r="E35" s="559">
        <f t="shared" si="29"/>
        <v>0</v>
      </c>
      <c r="F35" s="97">
        <f t="shared" si="2"/>
        <v>0</v>
      </c>
      <c r="G35" s="452"/>
      <c r="H35" s="559">
        <f t="shared" si="41"/>
        <v>0</v>
      </c>
      <c r="I35" s="97">
        <f t="shared" si="32"/>
        <v>0</v>
      </c>
      <c r="J35" s="1"/>
      <c r="K35" s="559">
        <f t="shared" si="43"/>
        <v>0</v>
      </c>
      <c r="L35" s="97">
        <f t="shared" si="33"/>
        <v>0</v>
      </c>
      <c r="M35" s="1"/>
      <c r="N35" s="559">
        <f t="shared" si="34"/>
        <v>0</v>
      </c>
      <c r="O35" s="97">
        <f t="shared" si="38"/>
        <v>0</v>
      </c>
      <c r="P35" s="448"/>
      <c r="Q35" s="559">
        <f t="shared" si="42"/>
        <v>0</v>
      </c>
      <c r="R35" s="297"/>
      <c r="S35" s="292">
        <f t="shared" si="35"/>
        <v>0</v>
      </c>
      <c r="T35" s="449"/>
      <c r="U35" s="560">
        <f t="shared" si="36"/>
        <v>0</v>
      </c>
      <c r="V35" s="292">
        <f t="shared" si="31"/>
        <v>0</v>
      </c>
      <c r="W35" s="449"/>
      <c r="X35" s="560">
        <f t="shared" si="18"/>
        <v>0</v>
      </c>
      <c r="Y35" s="292">
        <f t="shared" si="11"/>
        <v>0</v>
      </c>
      <c r="Z35" s="449"/>
      <c r="AA35" s="560">
        <f t="shared" si="19"/>
        <v>0</v>
      </c>
      <c r="AB35" s="758">
        <f t="shared" si="23"/>
        <v>0</v>
      </c>
      <c r="AC35" s="293"/>
      <c r="AD35" s="761">
        <f t="shared" si="24"/>
        <v>0</v>
      </c>
      <c r="AE35" s="292">
        <f t="shared" si="13"/>
        <v>0</v>
      </c>
      <c r="AF35" s="450"/>
      <c r="AG35" s="560">
        <f t="shared" si="20"/>
        <v>0</v>
      </c>
      <c r="AH35" s="292">
        <f t="shared" si="14"/>
        <v>0</v>
      </c>
      <c r="AI35" s="450"/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0</v>
      </c>
    </row>
    <row r="36" spans="1:41" ht="23.1" customHeight="1">
      <c r="A36" s="58">
        <f>Gen!B41</f>
        <v>44074</v>
      </c>
      <c r="B36" s="170"/>
      <c r="C36" s="97">
        <f t="shared" si="40"/>
        <v>0</v>
      </c>
      <c r="D36" s="1"/>
      <c r="E36" s="559">
        <f t="shared" si="29"/>
        <v>0</v>
      </c>
      <c r="F36" s="97">
        <f t="shared" si="2"/>
        <v>0</v>
      </c>
      <c r="G36" s="452"/>
      <c r="H36" s="559">
        <f t="shared" si="41"/>
        <v>0</v>
      </c>
      <c r="I36" s="97">
        <f t="shared" si="32"/>
        <v>0</v>
      </c>
      <c r="J36" s="1"/>
      <c r="K36" s="559">
        <f t="shared" si="43"/>
        <v>0</v>
      </c>
      <c r="L36" s="97">
        <f t="shared" si="33"/>
        <v>0</v>
      </c>
      <c r="M36" s="1"/>
      <c r="N36" s="559">
        <f t="shared" si="34"/>
        <v>0</v>
      </c>
      <c r="O36" s="97">
        <f t="shared" si="38"/>
        <v>0</v>
      </c>
      <c r="P36" s="448"/>
      <c r="Q36" s="559">
        <f t="shared" si="42"/>
        <v>0</v>
      </c>
      <c r="R36" s="297"/>
      <c r="S36" s="292">
        <f t="shared" si="35"/>
        <v>0</v>
      </c>
      <c r="T36" s="449"/>
      <c r="U36" s="560">
        <f t="shared" si="36"/>
        <v>0</v>
      </c>
      <c r="V36" s="292">
        <f t="shared" si="31"/>
        <v>0</v>
      </c>
      <c r="W36" s="449"/>
      <c r="X36" s="560">
        <f t="shared" si="18"/>
        <v>0</v>
      </c>
      <c r="Y36" s="292">
        <f t="shared" si="11"/>
        <v>0</v>
      </c>
      <c r="Z36" s="449"/>
      <c r="AA36" s="560">
        <f t="shared" si="19"/>
        <v>0</v>
      </c>
      <c r="AB36" s="758">
        <f t="shared" si="23"/>
        <v>0</v>
      </c>
      <c r="AC36" s="293"/>
      <c r="AD36" s="761">
        <f t="shared" si="24"/>
        <v>0</v>
      </c>
      <c r="AE36" s="292">
        <f t="shared" si="13"/>
        <v>0</v>
      </c>
      <c r="AF36" s="450"/>
      <c r="AG36" s="560">
        <f t="shared" si="20"/>
        <v>0</v>
      </c>
      <c r="AH36" s="292">
        <f t="shared" si="14"/>
        <v>0</v>
      </c>
      <c r="AI36" s="450"/>
      <c r="AJ36" s="560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0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610</v>
      </c>
    </row>
    <row r="38" spans="1:41" ht="18.75">
      <c r="A38" s="58"/>
      <c r="B38" s="22"/>
      <c r="C38" s="832" t="s">
        <v>6</v>
      </c>
      <c r="D38" s="832"/>
      <c r="E38" s="23">
        <f>SUM(E6:E36)</f>
        <v>379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379</v>
      </c>
      <c r="S38" s="294"/>
      <c r="T38" s="294"/>
      <c r="U38" s="304">
        <f>SUM(U6:U37)</f>
        <v>610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610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58"/>
      <c r="B42" s="328"/>
      <c r="C42" s="855" t="s">
        <v>222</v>
      </c>
      <c r="D42" s="856"/>
      <c r="E42" s="856"/>
      <c r="F42" s="856"/>
      <c r="G42" s="856"/>
      <c r="H42" s="856"/>
      <c r="I42" s="856"/>
      <c r="J42" s="856"/>
      <c r="K42" s="857"/>
      <c r="R42" s="20"/>
    </row>
    <row r="43" spans="1:41" ht="24.75" customHeight="1">
      <c r="A43" s="859"/>
      <c r="B43" s="20"/>
      <c r="C43" s="861" t="s">
        <v>216</v>
      </c>
      <c r="D43" s="862"/>
      <c r="E43" s="863" t="s">
        <v>237</v>
      </c>
      <c r="F43" s="864"/>
      <c r="G43" s="865" t="s">
        <v>217</v>
      </c>
      <c r="H43" s="866"/>
      <c r="I43" s="865" t="s">
        <v>238</v>
      </c>
      <c r="J43" s="866"/>
      <c r="K43" s="853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59"/>
      <c r="B44" s="20"/>
      <c r="C44" s="867" t="s">
        <v>218</v>
      </c>
      <c r="D44" s="868"/>
      <c r="E44" s="867" t="s">
        <v>219</v>
      </c>
      <c r="F44" s="868"/>
      <c r="G44" s="867" t="s">
        <v>220</v>
      </c>
      <c r="H44" s="868"/>
      <c r="I44" s="867" t="s">
        <v>221</v>
      </c>
      <c r="J44" s="868"/>
      <c r="K44" s="854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0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/>
      <c r="D54" s="382">
        <f t="shared" si="49"/>
        <v>0</v>
      </c>
      <c r="E54" s="6"/>
      <c r="F54" s="382">
        <f t="shared" si="50"/>
        <v>0</v>
      </c>
      <c r="G54" s="562"/>
      <c r="H54" s="382">
        <f t="shared" si="51"/>
        <v>0</v>
      </c>
      <c r="I54" s="6"/>
      <c r="J54" s="382">
        <f t="shared" si="52"/>
        <v>0</v>
      </c>
      <c r="K54" s="388">
        <f t="shared" si="53"/>
        <v>0</v>
      </c>
    </row>
    <row r="55" spans="1:15" ht="13.5">
      <c r="A55" s="345">
        <f>Gen!B20</f>
        <v>44053</v>
      </c>
      <c r="B55" s="20"/>
      <c r="C55" s="63"/>
      <c r="D55" s="382">
        <f t="shared" si="49"/>
        <v>0</v>
      </c>
      <c r="E55" s="6"/>
      <c r="F55" s="382">
        <f t="shared" si="50"/>
        <v>0</v>
      </c>
      <c r="G55" s="562"/>
      <c r="H55" s="382">
        <f t="shared" si="51"/>
        <v>0</v>
      </c>
      <c r="I55" s="6"/>
      <c r="J55" s="382">
        <f t="shared" si="52"/>
        <v>0</v>
      </c>
      <c r="K55" s="388">
        <f t="shared" si="53"/>
        <v>0</v>
      </c>
    </row>
    <row r="56" spans="1:15" ht="13.5">
      <c r="A56" s="345">
        <f>Gen!B21</f>
        <v>44054</v>
      </c>
      <c r="B56" s="20"/>
      <c r="C56" s="63"/>
      <c r="D56" s="382">
        <f t="shared" si="49"/>
        <v>0</v>
      </c>
      <c r="E56" s="6"/>
      <c r="F56" s="382">
        <f t="shared" si="50"/>
        <v>0</v>
      </c>
      <c r="G56" s="562"/>
      <c r="H56" s="382">
        <f t="shared" si="51"/>
        <v>0</v>
      </c>
      <c r="I56" s="6"/>
      <c r="J56" s="382">
        <f t="shared" si="52"/>
        <v>0</v>
      </c>
      <c r="K56" s="388">
        <f t="shared" si="53"/>
        <v>0</v>
      </c>
    </row>
    <row r="57" spans="1:15" ht="13.5">
      <c r="A57" s="345">
        <f>Gen!B22</f>
        <v>44055</v>
      </c>
      <c r="B57" s="20"/>
      <c r="C57" s="63"/>
      <c r="D57" s="382">
        <f t="shared" si="49"/>
        <v>0</v>
      </c>
      <c r="E57" s="6"/>
      <c r="F57" s="382">
        <f t="shared" si="50"/>
        <v>0</v>
      </c>
      <c r="G57" s="562"/>
      <c r="H57" s="382">
        <f t="shared" si="51"/>
        <v>0</v>
      </c>
      <c r="I57" s="6"/>
      <c r="J57" s="382">
        <f t="shared" si="52"/>
        <v>0</v>
      </c>
      <c r="K57" s="388">
        <f t="shared" si="53"/>
        <v>0</v>
      </c>
    </row>
    <row r="58" spans="1:15" ht="13.5">
      <c r="A58" s="345">
        <f>Gen!B23</f>
        <v>44056</v>
      </c>
      <c r="B58" s="20"/>
      <c r="C58" s="63"/>
      <c r="D58" s="382">
        <f t="shared" si="49"/>
        <v>0</v>
      </c>
      <c r="E58" s="6"/>
      <c r="F58" s="382">
        <f t="shared" si="50"/>
        <v>0</v>
      </c>
      <c r="G58" s="562"/>
      <c r="H58" s="382">
        <f t="shared" si="51"/>
        <v>0</v>
      </c>
      <c r="I58" s="6"/>
      <c r="J58" s="382">
        <f t="shared" si="52"/>
        <v>0</v>
      </c>
      <c r="K58" s="388">
        <f t="shared" si="53"/>
        <v>0</v>
      </c>
    </row>
    <row r="59" spans="1:15" ht="13.5">
      <c r="A59" s="345">
        <f>Gen!B24</f>
        <v>44057</v>
      </c>
      <c r="B59" s="20"/>
      <c r="C59" s="63"/>
      <c r="D59" s="382">
        <f t="shared" si="49"/>
        <v>0</v>
      </c>
      <c r="E59" s="6"/>
      <c r="F59" s="382">
        <f t="shared" si="50"/>
        <v>0</v>
      </c>
      <c r="G59" s="562"/>
      <c r="H59" s="382">
        <f t="shared" si="51"/>
        <v>0</v>
      </c>
      <c r="I59" s="6"/>
      <c r="J59" s="382">
        <f t="shared" si="52"/>
        <v>0</v>
      </c>
      <c r="K59" s="388">
        <f t="shared" si="53"/>
        <v>0</v>
      </c>
    </row>
    <row r="60" spans="1:15" ht="13.5">
      <c r="A60" s="345">
        <f>Gen!B25</f>
        <v>44058</v>
      </c>
      <c r="B60" s="20"/>
      <c r="C60" s="63"/>
      <c r="D60" s="382">
        <f t="shared" si="49"/>
        <v>0</v>
      </c>
      <c r="E60" s="6"/>
      <c r="F60" s="382">
        <f t="shared" si="50"/>
        <v>0</v>
      </c>
      <c r="G60" s="562"/>
      <c r="H60" s="382">
        <f t="shared" si="51"/>
        <v>0</v>
      </c>
      <c r="I60" s="6"/>
      <c r="J60" s="382">
        <f t="shared" si="52"/>
        <v>0</v>
      </c>
      <c r="K60" s="388">
        <f t="shared" si="53"/>
        <v>0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/>
      <c r="D61" s="382">
        <f t="shared" si="49"/>
        <v>0</v>
      </c>
      <c r="E61" s="6"/>
      <c r="F61" s="382">
        <f t="shared" si="50"/>
        <v>0</v>
      </c>
      <c r="G61" s="562"/>
      <c r="H61" s="382">
        <f t="shared" si="51"/>
        <v>0</v>
      </c>
      <c r="I61" s="6"/>
      <c r="J61" s="382">
        <f t="shared" si="52"/>
        <v>0</v>
      </c>
      <c r="K61" s="388">
        <f t="shared" si="53"/>
        <v>0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/>
      <c r="D62" s="382">
        <f t="shared" si="49"/>
        <v>0</v>
      </c>
      <c r="E62" s="6"/>
      <c r="F62" s="382">
        <f t="shared" si="50"/>
        <v>0</v>
      </c>
      <c r="G62" s="562"/>
      <c r="H62" s="382">
        <f t="shared" si="51"/>
        <v>0</v>
      </c>
      <c r="I62" s="6"/>
      <c r="J62" s="382">
        <f t="shared" si="52"/>
        <v>0</v>
      </c>
      <c r="K62" s="388">
        <f t="shared" si="53"/>
        <v>0</v>
      </c>
    </row>
    <row r="63" spans="1:15" ht="13.5">
      <c r="A63" s="345">
        <f>Gen!B28</f>
        <v>44061</v>
      </c>
      <c r="B63" s="20"/>
      <c r="C63" s="63"/>
      <c r="D63" s="382">
        <f t="shared" si="49"/>
        <v>0</v>
      </c>
      <c r="E63" s="6"/>
      <c r="F63" s="382">
        <f t="shared" si="50"/>
        <v>0</v>
      </c>
      <c r="G63" s="562"/>
      <c r="H63" s="382">
        <f t="shared" si="51"/>
        <v>0</v>
      </c>
      <c r="I63" s="6"/>
      <c r="J63" s="382">
        <f t="shared" si="52"/>
        <v>0</v>
      </c>
      <c r="K63" s="388">
        <f t="shared" si="53"/>
        <v>0</v>
      </c>
    </row>
    <row r="64" spans="1:15" ht="13.5">
      <c r="A64" s="345">
        <f>Gen!B29</f>
        <v>44062</v>
      </c>
      <c r="B64" s="20"/>
      <c r="C64" s="63"/>
      <c r="D64" s="382">
        <f t="shared" si="49"/>
        <v>0</v>
      </c>
      <c r="E64" s="6"/>
      <c r="F64" s="382">
        <f t="shared" si="50"/>
        <v>0</v>
      </c>
      <c r="G64" s="562"/>
      <c r="H64" s="382">
        <f t="shared" si="51"/>
        <v>0</v>
      </c>
      <c r="I64" s="6"/>
      <c r="J64" s="382">
        <f t="shared" si="52"/>
        <v>0</v>
      </c>
      <c r="K64" s="388">
        <f t="shared" si="53"/>
        <v>0</v>
      </c>
    </row>
    <row r="65" spans="1:11" ht="13.5">
      <c r="A65" s="345">
        <f>Gen!B30</f>
        <v>44063</v>
      </c>
      <c r="B65" s="20"/>
      <c r="C65" s="63"/>
      <c r="D65" s="382">
        <f t="shared" si="49"/>
        <v>0</v>
      </c>
      <c r="E65" s="6"/>
      <c r="F65" s="382">
        <f t="shared" si="50"/>
        <v>0</v>
      </c>
      <c r="G65" s="562"/>
      <c r="H65" s="382">
        <f t="shared" si="51"/>
        <v>0</v>
      </c>
      <c r="I65" s="6"/>
      <c r="J65" s="382">
        <f t="shared" si="52"/>
        <v>0</v>
      </c>
      <c r="K65" s="388">
        <f t="shared" si="53"/>
        <v>0</v>
      </c>
    </row>
    <row r="66" spans="1:11" ht="13.5">
      <c r="A66" s="345">
        <f>Gen!B31</f>
        <v>44064</v>
      </c>
      <c r="B66" s="20"/>
      <c r="C66" s="63"/>
      <c r="D66" s="382">
        <f t="shared" si="49"/>
        <v>0</v>
      </c>
      <c r="E66" s="6"/>
      <c r="F66" s="382">
        <f t="shared" si="50"/>
        <v>0</v>
      </c>
      <c r="G66" s="562"/>
      <c r="H66" s="382">
        <f t="shared" si="51"/>
        <v>0</v>
      </c>
      <c r="I66" s="6"/>
      <c r="J66" s="382">
        <f t="shared" si="52"/>
        <v>0</v>
      </c>
      <c r="K66" s="388">
        <f t="shared" si="53"/>
        <v>0</v>
      </c>
    </row>
    <row r="67" spans="1:11" ht="13.5">
      <c r="A67" s="345">
        <f>Gen!B32</f>
        <v>44065</v>
      </c>
      <c r="B67" s="20"/>
      <c r="C67" s="63"/>
      <c r="D67" s="382">
        <f t="shared" si="49"/>
        <v>0</v>
      </c>
      <c r="E67" s="6"/>
      <c r="F67" s="382">
        <f t="shared" si="50"/>
        <v>0</v>
      </c>
      <c r="G67" s="562"/>
      <c r="H67" s="382">
        <f t="shared" si="51"/>
        <v>0</v>
      </c>
      <c r="I67" s="6"/>
      <c r="J67" s="382">
        <f t="shared" si="52"/>
        <v>0</v>
      </c>
      <c r="K67" s="388">
        <f t="shared" si="53"/>
        <v>0</v>
      </c>
    </row>
    <row r="68" spans="1:11" ht="13.5">
      <c r="A68" s="345">
        <f>Gen!B33</f>
        <v>44066</v>
      </c>
      <c r="B68" s="20"/>
      <c r="C68" s="63"/>
      <c r="D68" s="382">
        <f t="shared" si="49"/>
        <v>0</v>
      </c>
      <c r="E68" s="6"/>
      <c r="F68" s="382">
        <f t="shared" si="50"/>
        <v>0</v>
      </c>
      <c r="G68" s="562"/>
      <c r="H68" s="382">
        <f t="shared" si="51"/>
        <v>0</v>
      </c>
      <c r="I68" s="6"/>
      <c r="J68" s="382">
        <f t="shared" si="52"/>
        <v>0</v>
      </c>
      <c r="K68" s="388">
        <f t="shared" si="53"/>
        <v>0</v>
      </c>
    </row>
    <row r="69" spans="1:11" ht="13.5">
      <c r="A69" s="345">
        <f>Gen!B34</f>
        <v>44067</v>
      </c>
      <c r="B69" s="20"/>
      <c r="C69" s="63"/>
      <c r="D69" s="382">
        <f t="shared" si="49"/>
        <v>0</v>
      </c>
      <c r="E69" s="6"/>
      <c r="F69" s="382">
        <f t="shared" si="50"/>
        <v>0</v>
      </c>
      <c r="G69" s="562"/>
      <c r="H69" s="382">
        <f t="shared" si="51"/>
        <v>0</v>
      </c>
      <c r="I69" s="6"/>
      <c r="J69" s="382">
        <f t="shared" si="52"/>
        <v>0</v>
      </c>
      <c r="K69" s="388">
        <f t="shared" si="53"/>
        <v>0</v>
      </c>
    </row>
    <row r="70" spans="1:11" ht="13.5">
      <c r="A70" s="345">
        <f>Gen!B35</f>
        <v>44068</v>
      </c>
      <c r="B70" s="20"/>
      <c r="C70" s="63"/>
      <c r="D70" s="382">
        <f t="shared" si="49"/>
        <v>0</v>
      </c>
      <c r="E70" s="6"/>
      <c r="F70" s="382">
        <f t="shared" si="50"/>
        <v>0</v>
      </c>
      <c r="G70" s="562"/>
      <c r="H70" s="382">
        <f t="shared" si="51"/>
        <v>0</v>
      </c>
      <c r="I70" s="6"/>
      <c r="J70" s="382">
        <f t="shared" si="52"/>
        <v>0</v>
      </c>
      <c r="K70" s="388">
        <f t="shared" si="53"/>
        <v>0</v>
      </c>
    </row>
    <row r="71" spans="1:11" ht="13.5">
      <c r="A71" s="345">
        <f>Gen!B36</f>
        <v>44069</v>
      </c>
      <c r="B71" s="20"/>
      <c r="C71" s="63"/>
      <c r="D71" s="382">
        <f t="shared" si="49"/>
        <v>0</v>
      </c>
      <c r="E71" s="6"/>
      <c r="F71" s="382">
        <f t="shared" si="50"/>
        <v>0</v>
      </c>
      <c r="G71" s="562"/>
      <c r="H71" s="382">
        <f t="shared" si="51"/>
        <v>0</v>
      </c>
      <c r="I71" s="6"/>
      <c r="J71" s="382">
        <f t="shared" si="52"/>
        <v>0</v>
      </c>
      <c r="K71" s="388">
        <f t="shared" si="53"/>
        <v>0</v>
      </c>
    </row>
    <row r="72" spans="1:11" ht="13.5">
      <c r="A72" s="345">
        <f>Gen!B37</f>
        <v>44070</v>
      </c>
      <c r="B72" s="20"/>
      <c r="C72" s="63"/>
      <c r="D72" s="382">
        <f t="shared" si="49"/>
        <v>0</v>
      </c>
      <c r="E72" s="6"/>
      <c r="F72" s="382">
        <f t="shared" si="50"/>
        <v>0</v>
      </c>
      <c r="G72" s="562"/>
      <c r="H72" s="382">
        <f t="shared" si="51"/>
        <v>0</v>
      </c>
      <c r="I72" s="6"/>
      <c r="J72" s="382">
        <f t="shared" si="52"/>
        <v>0</v>
      </c>
      <c r="K72" s="388">
        <f t="shared" si="53"/>
        <v>0</v>
      </c>
    </row>
    <row r="73" spans="1:11" ht="13.5">
      <c r="A73" s="345">
        <f>Gen!B38</f>
        <v>44071</v>
      </c>
      <c r="B73" s="20"/>
      <c r="C73" s="63"/>
      <c r="D73" s="382">
        <f t="shared" si="49"/>
        <v>0</v>
      </c>
      <c r="E73" s="6"/>
      <c r="F73" s="382">
        <f t="shared" si="50"/>
        <v>0</v>
      </c>
      <c r="G73" s="562"/>
      <c r="H73" s="382">
        <f t="shared" si="51"/>
        <v>0</v>
      </c>
      <c r="I73" s="6"/>
      <c r="J73" s="382">
        <f t="shared" si="52"/>
        <v>0</v>
      </c>
      <c r="K73" s="388">
        <f t="shared" si="53"/>
        <v>0</v>
      </c>
    </row>
    <row r="74" spans="1:11" ht="13.5">
      <c r="A74" s="345">
        <f>Gen!B39</f>
        <v>44072</v>
      </c>
      <c r="B74" s="20"/>
      <c r="C74" s="63"/>
      <c r="D74" s="382">
        <f t="shared" si="49"/>
        <v>0</v>
      </c>
      <c r="E74" s="6"/>
      <c r="F74" s="382">
        <f t="shared" si="50"/>
        <v>0</v>
      </c>
      <c r="G74" s="562"/>
      <c r="H74" s="382">
        <f t="shared" si="51"/>
        <v>0</v>
      </c>
      <c r="I74" s="6"/>
      <c r="J74" s="382">
        <f t="shared" si="52"/>
        <v>0</v>
      </c>
      <c r="K74" s="388">
        <f t="shared" si="53"/>
        <v>0</v>
      </c>
    </row>
    <row r="75" spans="1:11" ht="14.25" thickBot="1">
      <c r="A75" s="345">
        <f>Gen!B40</f>
        <v>44073</v>
      </c>
      <c r="B75" s="298"/>
      <c r="C75" s="63"/>
      <c r="D75" s="382">
        <f t="shared" si="49"/>
        <v>0</v>
      </c>
      <c r="E75" s="6"/>
      <c r="F75" s="382">
        <f t="shared" si="50"/>
        <v>0</v>
      </c>
      <c r="G75" s="562"/>
      <c r="H75" s="382">
        <f t="shared" si="51"/>
        <v>0</v>
      </c>
      <c r="I75" s="6"/>
      <c r="J75" s="382">
        <f t="shared" si="52"/>
        <v>0</v>
      </c>
      <c r="K75" s="388">
        <f t="shared" si="53"/>
        <v>0</v>
      </c>
    </row>
    <row r="76" spans="1:11" ht="13.5">
      <c r="A76" s="345">
        <f>Gen!B41</f>
        <v>44074</v>
      </c>
      <c r="C76" s="63"/>
      <c r="D76" s="382">
        <f t="shared" si="49"/>
        <v>0</v>
      </c>
      <c r="E76" s="6"/>
      <c r="F76" s="382">
        <f t="shared" si="50"/>
        <v>0</v>
      </c>
      <c r="G76" s="562"/>
      <c r="H76" s="382">
        <f t="shared" si="51"/>
        <v>0</v>
      </c>
      <c r="I76" s="6"/>
      <c r="J76" s="382">
        <f t="shared" si="52"/>
        <v>0</v>
      </c>
      <c r="K76" s="388">
        <f t="shared" si="53"/>
        <v>0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3" t="s">
        <v>319</v>
      </c>
      <c r="B2" s="794"/>
      <c r="C2" s="794"/>
      <c r="D2" s="794"/>
      <c r="E2" s="795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65.647999999992322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81.355444444434923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22.703999999951339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28.136333333273029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31.240000000025614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38.714722222253961</v>
      </c>
      <c r="V9" s="18">
        <f t="shared" si="7"/>
        <v>1714929.6670252522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8.4479999999923177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10.469333333323814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-316026.96400000004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-391642.00147222221</v>
      </c>
      <c r="V11" s="18">
        <f t="shared" si="7"/>
        <v>1491728.043618687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0</v>
      </c>
      <c r="G12" s="86">
        <f>Gen!T18</f>
        <v>0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 t="str">
        <f>'Water-Meter'!E13</f>
        <v>0</v>
      </c>
      <c r="L12" s="526">
        <f>'Lpg (2)'!G17</f>
        <v>0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0</v>
      </c>
      <c r="U12" s="124">
        <f t="shared" si="6"/>
        <v>0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0</v>
      </c>
      <c r="D13" s="512">
        <f t="shared" si="2"/>
        <v>0</v>
      </c>
      <c r="E13" s="75"/>
      <c r="F13" s="71">
        <f>Gen!U19</f>
        <v>0</v>
      </c>
      <c r="G13" s="86">
        <f>Gen!T19</f>
        <v>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0</v>
      </c>
      <c r="L13" s="526">
        <f>'Lpg (2)'!G18</f>
        <v>0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0</v>
      </c>
      <c r="U13" s="124">
        <f t="shared" si="6"/>
        <v>0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0</v>
      </c>
      <c r="D14" s="512">
        <f t="shared" si="2"/>
        <v>0</v>
      </c>
      <c r="E14" s="75"/>
      <c r="F14" s="71">
        <f>Gen!U20</f>
        <v>0</v>
      </c>
      <c r="G14" s="86">
        <f>Gen!T20</f>
        <v>0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0</v>
      </c>
      <c r="L14" s="526">
        <f>'Lpg (2)'!G19</f>
        <v>0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0</v>
      </c>
      <c r="U14" s="124">
        <f t="shared" si="6"/>
        <v>0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</v>
      </c>
      <c r="D15" s="512">
        <f t="shared" si="2"/>
        <v>0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0</v>
      </c>
      <c r="L15" s="526">
        <f>'Lpg (2)'!G20</f>
        <v>0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0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379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9" t="s">
        <v>180</v>
      </c>
      <c r="B1" s="870"/>
      <c r="C1" s="870"/>
      <c r="D1" s="870"/>
      <c r="E1" s="870"/>
      <c r="F1" s="870"/>
      <c r="G1" s="871"/>
    </row>
    <row r="2" spans="1:7" ht="13.5" thickBot="1">
      <c r="A2" s="354"/>
      <c r="B2" s="872" t="s">
        <v>175</v>
      </c>
      <c r="C2" s="873"/>
      <c r="D2" s="874"/>
      <c r="E2" s="872" t="s">
        <v>176</v>
      </c>
      <c r="F2" s="873"/>
      <c r="G2" s="874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6" sqref="C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9" t="s">
        <v>230</v>
      </c>
      <c r="B1" s="870"/>
      <c r="C1" s="870"/>
      <c r="D1" s="870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5"/>
      <c r="C79" s="876"/>
      <c r="D79" s="876"/>
      <c r="E79" s="877"/>
      <c r="H79" s="875"/>
      <c r="I79" s="876"/>
      <c r="J79" s="876"/>
      <c r="K79" s="876"/>
      <c r="L79" s="877"/>
    </row>
    <row r="80" spans="1:12">
      <c r="B80" s="878"/>
      <c r="C80" s="879"/>
      <c r="D80" s="879"/>
      <c r="E80" s="880"/>
      <c r="H80" s="878"/>
      <c r="I80" s="879"/>
      <c r="J80" s="879"/>
      <c r="K80" s="879"/>
      <c r="L80" s="880"/>
    </row>
    <row r="81" spans="2:12">
      <c r="B81" s="878"/>
      <c r="C81" s="879"/>
      <c r="D81" s="879"/>
      <c r="E81" s="880"/>
      <c r="H81" s="878"/>
      <c r="I81" s="879"/>
      <c r="J81" s="879"/>
      <c r="K81" s="879"/>
      <c r="L81" s="880"/>
    </row>
    <row r="82" spans="2:12">
      <c r="B82" s="878"/>
      <c r="C82" s="879"/>
      <c r="D82" s="879"/>
      <c r="E82" s="880"/>
      <c r="H82" s="878"/>
      <c r="I82" s="879"/>
      <c r="J82" s="879"/>
      <c r="K82" s="879"/>
      <c r="L82" s="880"/>
    </row>
    <row r="83" spans="2:12">
      <c r="B83" s="878"/>
      <c r="C83" s="879"/>
      <c r="D83" s="879"/>
      <c r="E83" s="880"/>
      <c r="H83" s="878"/>
      <c r="I83" s="879"/>
      <c r="J83" s="879"/>
      <c r="K83" s="879"/>
      <c r="L83" s="880"/>
    </row>
    <row r="84" spans="2:12">
      <c r="B84" s="878"/>
      <c r="C84" s="879"/>
      <c r="D84" s="879"/>
      <c r="E84" s="880"/>
      <c r="H84" s="878"/>
      <c r="I84" s="879"/>
      <c r="J84" s="879"/>
      <c r="K84" s="879"/>
      <c r="L84" s="880"/>
    </row>
    <row r="85" spans="2:12">
      <c r="B85" s="878"/>
      <c r="C85" s="879"/>
      <c r="D85" s="879"/>
      <c r="E85" s="880"/>
      <c r="H85" s="878"/>
      <c r="I85" s="879"/>
      <c r="J85" s="879"/>
      <c r="K85" s="879"/>
      <c r="L85" s="880"/>
    </row>
    <row r="86" spans="2:12">
      <c r="B86" s="878"/>
      <c r="C86" s="879"/>
      <c r="D86" s="879"/>
      <c r="E86" s="880"/>
      <c r="H86" s="878"/>
      <c r="I86" s="879"/>
      <c r="J86" s="879"/>
      <c r="K86" s="879"/>
      <c r="L86" s="880"/>
    </row>
    <row r="87" spans="2:12">
      <c r="B87" s="878"/>
      <c r="C87" s="879"/>
      <c r="D87" s="879"/>
      <c r="E87" s="880"/>
      <c r="H87" s="878"/>
      <c r="I87" s="879"/>
      <c r="J87" s="879"/>
      <c r="K87" s="879"/>
      <c r="L87" s="880"/>
    </row>
    <row r="88" spans="2:12">
      <c r="B88" s="878"/>
      <c r="C88" s="879"/>
      <c r="D88" s="879"/>
      <c r="E88" s="880"/>
      <c r="H88" s="878"/>
      <c r="I88" s="879"/>
      <c r="J88" s="879"/>
      <c r="K88" s="879"/>
      <c r="L88" s="880"/>
    </row>
    <row r="89" spans="2:12">
      <c r="B89" s="878"/>
      <c r="C89" s="879"/>
      <c r="D89" s="879"/>
      <c r="E89" s="880"/>
      <c r="H89" s="878"/>
      <c r="I89" s="879"/>
      <c r="J89" s="879"/>
      <c r="K89" s="879"/>
      <c r="L89" s="880"/>
    </row>
    <row r="90" spans="2:12">
      <c r="B90" s="878"/>
      <c r="C90" s="879"/>
      <c r="D90" s="879"/>
      <c r="E90" s="880"/>
      <c r="H90" s="878"/>
      <c r="I90" s="879"/>
      <c r="J90" s="879"/>
      <c r="K90" s="879"/>
      <c r="L90" s="880"/>
    </row>
    <row r="91" spans="2:12">
      <c r="B91" s="878"/>
      <c r="C91" s="879"/>
      <c r="D91" s="879"/>
      <c r="E91" s="880"/>
      <c r="H91" s="878"/>
      <c r="I91" s="879"/>
      <c r="J91" s="879"/>
      <c r="K91" s="879"/>
      <c r="L91" s="880"/>
    </row>
    <row r="92" spans="2:12">
      <c r="B92" s="878"/>
      <c r="C92" s="879"/>
      <c r="D92" s="879"/>
      <c r="E92" s="880"/>
      <c r="H92" s="878"/>
      <c r="I92" s="879"/>
      <c r="J92" s="879"/>
      <c r="K92" s="879"/>
      <c r="L92" s="880"/>
    </row>
    <row r="93" spans="2:12" ht="13.5" thickBot="1">
      <c r="B93" s="881"/>
      <c r="C93" s="882"/>
      <c r="D93" s="882"/>
      <c r="E93" s="883"/>
      <c r="H93" s="881"/>
      <c r="I93" s="882"/>
      <c r="J93" s="882"/>
      <c r="K93" s="882"/>
      <c r="L93" s="883"/>
    </row>
    <row r="94" spans="2:12">
      <c r="B94" s="884" t="s">
        <v>313</v>
      </c>
      <c r="C94" s="885"/>
      <c r="D94" s="885"/>
      <c r="E94" s="886"/>
      <c r="H94" s="884" t="s">
        <v>314</v>
      </c>
      <c r="I94" s="885"/>
      <c r="J94" s="885"/>
      <c r="K94" s="885"/>
      <c r="L94" s="886"/>
    </row>
    <row r="95" spans="2:12">
      <c r="B95" s="887"/>
      <c r="C95" s="888"/>
      <c r="D95" s="888"/>
      <c r="E95" s="889"/>
      <c r="H95" s="887"/>
      <c r="I95" s="888"/>
      <c r="J95" s="888"/>
      <c r="K95" s="888"/>
      <c r="L95" s="889"/>
    </row>
    <row r="96" spans="2:12" ht="13.5" thickBot="1">
      <c r="B96" s="890"/>
      <c r="C96" s="891"/>
      <c r="D96" s="891"/>
      <c r="E96" s="892"/>
      <c r="H96" s="890"/>
      <c r="I96" s="891"/>
      <c r="J96" s="891"/>
      <c r="K96" s="891"/>
      <c r="L96" s="892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15" sqref="G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ht="19.5" thickBot="1">
      <c r="A2" s="902">
        <f>A5</f>
        <v>44044</v>
      </c>
      <c r="B2" s="903"/>
      <c r="C2" s="903"/>
      <c r="D2" s="903"/>
      <c r="E2" s="903"/>
      <c r="F2" s="903"/>
      <c r="G2" s="903"/>
      <c r="H2" s="903"/>
      <c r="I2" s="903"/>
      <c r="J2" s="903"/>
    </row>
    <row r="3" spans="1:10" ht="15.75" thickBot="1">
      <c r="A3" s="894" t="s">
        <v>7</v>
      </c>
      <c r="B3" s="896" t="s">
        <v>255</v>
      </c>
      <c r="C3" s="518"/>
      <c r="D3" s="898" t="s">
        <v>256</v>
      </c>
      <c r="E3" s="899"/>
      <c r="F3" s="900" t="s">
        <v>257</v>
      </c>
      <c r="G3" s="901"/>
      <c r="H3" s="899"/>
      <c r="I3" s="900" t="s">
        <v>258</v>
      </c>
      <c r="J3" s="899"/>
    </row>
    <row r="4" spans="1:10" ht="30.75" thickBot="1">
      <c r="A4" s="895"/>
      <c r="B4" s="897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40.000000000145519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0</v>
      </c>
      <c r="D12" s="523">
        <f>Gen!T18</f>
        <v>0</v>
      </c>
      <c r="E12" s="460">
        <f>Gen!D18</f>
        <v>35668.600000000013</v>
      </c>
      <c r="F12" s="461" t="str">
        <f>'Water-Meter'!E13</f>
        <v>0</v>
      </c>
      <c r="G12" s="462">
        <f>'Water-Meter'!AN13</f>
        <v>-14679</v>
      </c>
      <c r="H12" s="460">
        <f>'Utility report '!AC13</f>
        <v>-36392</v>
      </c>
      <c r="I12" s="459">
        <f>'Kit report'!F11</f>
        <v>-1051188</v>
      </c>
      <c r="J12" s="460">
        <f>'Kit report'!X11</f>
        <v>-1562620</v>
      </c>
    </row>
    <row r="13" spans="1:10" ht="17.100000000000001" customHeight="1">
      <c r="A13" s="263">
        <f>Gen!B19</f>
        <v>44052</v>
      </c>
      <c r="B13" s="464">
        <f>Gen!C19</f>
        <v>0</v>
      </c>
      <c r="C13" s="522">
        <f>Gen!AK19</f>
        <v>0</v>
      </c>
      <c r="D13" s="523">
        <f>Gen!T19</f>
        <v>0</v>
      </c>
      <c r="E13" s="460">
        <f>Gen!D19</f>
        <v>35668.600000000013</v>
      </c>
      <c r="F13" s="461">
        <f>'Water-Meter'!E14</f>
        <v>0</v>
      </c>
      <c r="G13" s="462">
        <f>'Water-Meter'!AN14</f>
        <v>0</v>
      </c>
      <c r="H13" s="460">
        <f>'Utility report '!AC14</f>
        <v>0</v>
      </c>
      <c r="I13" s="459">
        <f>'Kit report'!F12</f>
        <v>0</v>
      </c>
      <c r="J13" s="460">
        <f>'Kit report'!X12</f>
        <v>0</v>
      </c>
    </row>
    <row r="14" spans="1:10" ht="17.100000000000001" customHeight="1">
      <c r="A14" s="263">
        <f>Gen!B20</f>
        <v>44053</v>
      </c>
      <c r="B14" s="464">
        <f>Gen!C20</f>
        <v>0</v>
      </c>
      <c r="C14" s="522">
        <f>Gen!AK20</f>
        <v>0</v>
      </c>
      <c r="D14" s="523">
        <f>Gen!T20</f>
        <v>0</v>
      </c>
      <c r="E14" s="460">
        <f>Gen!D20</f>
        <v>35668.600000000013</v>
      </c>
      <c r="F14" s="461">
        <f>'Water-Meter'!E15</f>
        <v>0</v>
      </c>
      <c r="G14" s="462">
        <f>'Water-Meter'!AN15</f>
        <v>0</v>
      </c>
      <c r="H14" s="460">
        <f>'Utility report '!AC15</f>
        <v>0</v>
      </c>
      <c r="I14" s="459">
        <f>'Kit report'!F13</f>
        <v>0</v>
      </c>
      <c r="J14" s="460">
        <f>'Kit report'!X13</f>
        <v>0</v>
      </c>
    </row>
    <row r="15" spans="1:10" ht="17.100000000000001" customHeight="1">
      <c r="A15" s="263">
        <f>Gen!B21</f>
        <v>44054</v>
      </c>
      <c r="B15" s="464">
        <f>Gen!C21</f>
        <v>0</v>
      </c>
      <c r="C15" s="522">
        <f>Gen!AK21</f>
        <v>0</v>
      </c>
      <c r="D15" s="523">
        <f>Gen!T21</f>
        <v>0</v>
      </c>
      <c r="E15" s="460">
        <f>Gen!D21</f>
        <v>35668.600000000013</v>
      </c>
      <c r="F15" s="461">
        <f>'Water-Meter'!E16</f>
        <v>0</v>
      </c>
      <c r="G15" s="462">
        <f>'Water-Meter'!AN16</f>
        <v>0</v>
      </c>
      <c r="H15" s="460">
        <f>'Utility report '!AC16</f>
        <v>0</v>
      </c>
      <c r="I15" s="459">
        <f>'Kit report'!F14</f>
        <v>0</v>
      </c>
      <c r="J15" s="460">
        <f>'Kit report'!X14</f>
        <v>0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35668.600000000013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35668.600000000013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35668.600000000013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35668.600000000013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35668.600000000013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35668.600000000013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35668.600000000013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35668.600000000013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35668.600000000013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35668.600000000013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44065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35668.600000000013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44066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35668.600000000013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35668.600000000013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35668.600000000013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35668.600000000013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35668.600000000013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35668.600000000013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35668.600000000013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35668.600000000013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35668.600000000013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35668.600000000013</v>
      </c>
      <c r="F36" s="461">
        <f>'Water-Meter'!E37</f>
        <v>0</v>
      </c>
      <c r="G36" s="462">
        <f>'Water-Meter'!AN37</f>
        <v>610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2020-08-08T05:26:21Z</dcterms:modified>
</cp:coreProperties>
</file>