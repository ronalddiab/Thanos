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637A32EB-112E-4CFA-939B-31BF0E94BB8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N3" i="4" s="1"/>
  <c r="L4" i="4"/>
  <c r="L5" i="4"/>
  <c r="L6" i="4"/>
  <c r="N6" i="4" s="1"/>
  <c r="L7" i="4"/>
  <c r="L8" i="4"/>
  <c r="L9" i="4"/>
  <c r="N9" i="4" s="1"/>
  <c r="L10" i="4"/>
  <c r="L11" i="4"/>
  <c r="L12" i="4"/>
  <c r="N12" i="4" s="1"/>
  <c r="L13" i="4"/>
  <c r="L14" i="4"/>
  <c r="L15" i="4"/>
  <c r="N15" i="4" s="1"/>
  <c r="L16" i="4"/>
  <c r="L17" i="4"/>
  <c r="L18" i="4"/>
  <c r="N18" i="4" s="1"/>
  <c r="L19" i="4"/>
  <c r="L20" i="4"/>
  <c r="L21" i="4"/>
  <c r="N21" i="4" s="1"/>
  <c r="L22" i="4"/>
  <c r="L23" i="4"/>
  <c r="L24" i="4"/>
  <c r="N24" i="4" s="1"/>
  <c r="L25" i="4"/>
  <c r="L26" i="4"/>
  <c r="L27" i="4"/>
  <c r="N27" i="4" s="1"/>
  <c r="L28" i="4"/>
  <c r="L29" i="4"/>
  <c r="L30" i="4"/>
  <c r="N30" i="4" s="1"/>
  <c r="L31" i="4"/>
  <c r="L2" i="4"/>
  <c r="N2" i="4" s="1"/>
  <c r="O2" i="4"/>
  <c r="O3" i="4" s="1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N4" i="4"/>
  <c r="N5" i="4"/>
  <c r="N7" i="4"/>
  <c r="N8" i="4"/>
  <c r="N10" i="4"/>
  <c r="N11" i="4"/>
  <c r="N13" i="4"/>
  <c r="N14" i="4"/>
  <c r="N16" i="4"/>
  <c r="N17" i="4"/>
  <c r="N19" i="4"/>
  <c r="N20" i="4"/>
  <c r="N22" i="4"/>
  <c r="N23" i="4"/>
  <c r="N25" i="4"/>
  <c r="N26" i="4"/>
  <c r="N28" i="4"/>
  <c r="N29" i="4"/>
  <c r="N31" i="4"/>
  <c r="C8" i="1" l="1"/>
  <c r="C9" i="1"/>
  <c r="C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7" i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6" i="2"/>
  <c r="E35" i="2" l="1"/>
  <c r="F35" i="2"/>
  <c r="E36" i="1"/>
  <c r="F36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9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 l="1"/>
  <c r="J30" i="4" s="1"/>
  <c r="C36" i="1"/>
  <c r="G6" i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6" i="1" l="1"/>
  <c r="I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s="1"/>
  <c r="J2" i="4" l="1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<sst xmlns="http://schemas.openxmlformats.org/spreadsheetml/2006/main" count="115" uniqueCount="45">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</sst>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O33" sqref="O33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9</v>
      </c>
      <c r="D2" s="45">
        <f>Water!D5</f>
        <v>2020</v>
      </c>
      <c r="E2" s="43">
        <f>Electricity!G6</f>
        <v>27239.999999999782</v>
      </c>
      <c r="F2" s="43">
        <f>Electricity!E6</f>
        <v>5079.9999999999272</v>
      </c>
      <c r="G2" s="43">
        <f>Electricity!F6</f>
        <v>22159.999999999854</v>
      </c>
      <c r="H2" s="47">
        <v>1553.67</v>
      </c>
      <c r="I2" s="57" t="s">
        <v>28</v>
      </c>
      <c r="J2" s="106">
        <f>Electricity!L6</f>
        <v>31585821.081599727</v>
      </c>
      <c r="K2" s="43">
        <f>J2/E2</f>
        <v>1159.5382188546248</v>
      </c>
      <c r="L2" s="58">
        <f>Water!G5</f>
        <v>347</v>
      </c>
      <c r="M2" s="58">
        <v>12550</v>
      </c>
      <c r="N2" s="106">
        <f>M2*L2</f>
        <v>4354850</v>
      </c>
      <c r="O2" s="43">
        <f>Electricity!C6</f>
        <v>164</v>
      </c>
    </row>
    <row r="3" spans="1:15" x14ac:dyDescent="0.25">
      <c r="A3" s="48" t="s">
        <v>44</v>
      </c>
      <c r="B3" s="45">
        <v>2</v>
      </c>
      <c r="C3" s="45">
        <v>9</v>
      </c>
      <c r="D3" s="45">
        <f>D2</f>
        <v>2020</v>
      </c>
      <c r="E3" s="43">
        <f>Electricity!G7</f>
        <v>27639.999999999418</v>
      </c>
      <c r="F3" s="43">
        <f>Electricity!E7</f>
        <v>5319.999999999709</v>
      </c>
      <c r="G3" s="43">
        <f>Electricity!F7</f>
        <v>22319.999999999709</v>
      </c>
      <c r="H3" s="47">
        <v>1553.67</v>
      </c>
      <c r="I3" s="57" t="s">
        <v>28</v>
      </c>
      <c r="J3" s="106">
        <f>Electricity!L7</f>
        <v>32137353.215999231</v>
      </c>
      <c r="K3" s="43">
        <f t="shared" ref="K3:K31" si="0">J3/E3</f>
        <v>1162.7117661360314</v>
      </c>
      <c r="L3" s="58">
        <f>Water!G6</f>
        <v>456</v>
      </c>
      <c r="M3" s="58">
        <v>12550</v>
      </c>
      <c r="N3" s="106">
        <f t="shared" ref="N3:N31" si="1">M3*L3</f>
        <v>5722800</v>
      </c>
      <c r="O3" s="43">
        <f>O2</f>
        <v>164</v>
      </c>
    </row>
    <row r="4" spans="1:15" x14ac:dyDescent="0.25">
      <c r="A4" s="48" t="s">
        <v>44</v>
      </c>
      <c r="B4" s="45">
        <v>3</v>
      </c>
      <c r="C4" s="45">
        <v>9</v>
      </c>
      <c r="D4" s="45">
        <f t="shared" ref="D4:D31" si="2">D3</f>
        <v>2020</v>
      </c>
      <c r="E4" s="43">
        <f>Electricity!G8</f>
        <v>27360.000000001492</v>
      </c>
      <c r="F4" s="43">
        <f>Electricity!E8</f>
        <v>4960.0000000000364</v>
      </c>
      <c r="G4" s="43">
        <f>Electricity!F8</f>
        <v>22400.000000001455</v>
      </c>
      <c r="H4" s="47">
        <v>1553.67</v>
      </c>
      <c r="I4" s="57" t="s">
        <v>28</v>
      </c>
      <c r="J4" s="106">
        <f>Electricity!L8</f>
        <v>31649459.404801596</v>
      </c>
      <c r="K4" s="43">
        <f t="shared" si="0"/>
        <v>1156.7784870175392</v>
      </c>
      <c r="L4" s="58">
        <f>Water!G7</f>
        <v>480</v>
      </c>
      <c r="M4" s="58">
        <v>12550</v>
      </c>
      <c r="N4" s="106">
        <f t="shared" si="1"/>
        <v>6024000</v>
      </c>
      <c r="O4" s="43">
        <f t="shared" ref="N4:O31" si="3">O3</f>
        <v>164</v>
      </c>
    </row>
    <row r="5" spans="1:15" x14ac:dyDescent="0.25">
      <c r="A5" s="48" t="s">
        <v>44</v>
      </c>
      <c r="B5" s="45">
        <v>4</v>
      </c>
      <c r="C5" s="45">
        <v>9</v>
      </c>
      <c r="D5" s="45">
        <f t="shared" si="2"/>
        <v>2020</v>
      </c>
      <c r="E5" s="43">
        <f>Electricity!G9</f>
        <v>27920.000000000982</v>
      </c>
      <c r="F5" s="43">
        <f>Electricity!E9</f>
        <v>5240.0000000006912</v>
      </c>
      <c r="G5" s="43">
        <f>Electricity!F9</f>
        <v>22680.000000000291</v>
      </c>
      <c r="H5" s="47">
        <v>1553.67</v>
      </c>
      <c r="I5" s="57" t="s">
        <v>28</v>
      </c>
      <c r="J5" s="106">
        <f>Electricity!L9</f>
        <v>32391906.508801408</v>
      </c>
      <c r="K5" s="43">
        <f t="shared" si="0"/>
        <v>1160.1685712321014</v>
      </c>
      <c r="L5" s="58">
        <f>Water!G8</f>
        <v>354</v>
      </c>
      <c r="M5" s="58">
        <v>12550</v>
      </c>
      <c r="N5" s="106">
        <f t="shared" si="1"/>
        <v>4442700</v>
      </c>
      <c r="O5" s="43">
        <f t="shared" si="3"/>
        <v>164</v>
      </c>
    </row>
    <row r="6" spans="1:15" x14ac:dyDescent="0.25">
      <c r="A6" s="48" t="s">
        <v>44</v>
      </c>
      <c r="B6" s="45">
        <v>5</v>
      </c>
      <c r="C6" s="45">
        <v>9</v>
      </c>
      <c r="D6" s="45">
        <f t="shared" si="2"/>
        <v>2020</v>
      </c>
      <c r="E6" s="43">
        <f>Electricity!G10</f>
        <v>27960.000000000036</v>
      </c>
      <c r="F6" s="43">
        <f>Electricity!E10</f>
        <v>5119.9999999998909</v>
      </c>
      <c r="G6" s="43">
        <f>Electricity!F10</f>
        <v>22840.000000000146</v>
      </c>
      <c r="H6" s="47">
        <v>1553.67</v>
      </c>
      <c r="I6" s="57" t="s">
        <v>28</v>
      </c>
      <c r="J6" s="106">
        <f>Electricity!L10</f>
        <v>32370693.734399978</v>
      </c>
      <c r="K6" s="43">
        <f t="shared" si="0"/>
        <v>1157.7501335622294</v>
      </c>
      <c r="L6" s="58">
        <f>Water!G9</f>
        <v>395</v>
      </c>
      <c r="M6" s="58">
        <v>12550</v>
      </c>
      <c r="N6" s="106">
        <f t="shared" si="1"/>
        <v>4957250</v>
      </c>
      <c r="O6" s="43">
        <f t="shared" si="3"/>
        <v>164</v>
      </c>
    </row>
    <row r="7" spans="1:15" x14ac:dyDescent="0.25">
      <c r="A7" s="48" t="s">
        <v>44</v>
      </c>
      <c r="B7" s="45">
        <v>6</v>
      </c>
      <c r="C7" s="45">
        <v>9</v>
      </c>
      <c r="D7" s="45">
        <f t="shared" si="2"/>
        <v>2020</v>
      </c>
      <c r="E7" s="43">
        <f>Electricity!G11</f>
        <v>27399.999999999636</v>
      </c>
      <c r="F7" s="43">
        <f>Electricity!E11</f>
        <v>5079.9999999999272</v>
      </c>
      <c r="G7" s="43">
        <f>Electricity!F11</f>
        <v>22319.999999999709</v>
      </c>
      <c r="H7" s="47">
        <v>1553.67</v>
      </c>
      <c r="I7" s="57" t="s">
        <v>28</v>
      </c>
      <c r="J7" s="106">
        <f>Electricity!L11</f>
        <v>31755523.276799574</v>
      </c>
      <c r="K7" s="43">
        <f t="shared" si="0"/>
        <v>1158.9607035328465</v>
      </c>
      <c r="L7" s="58">
        <f>Water!G10</f>
        <v>482</v>
      </c>
      <c r="M7" s="58">
        <v>12550</v>
      </c>
      <c r="N7" s="106">
        <f t="shared" si="1"/>
        <v>6049100</v>
      </c>
      <c r="O7" s="43">
        <f t="shared" si="3"/>
        <v>164</v>
      </c>
    </row>
    <row r="8" spans="1:15" x14ac:dyDescent="0.25">
      <c r="A8" s="48" t="s">
        <v>44</v>
      </c>
      <c r="B8" s="45">
        <v>7</v>
      </c>
      <c r="C8" s="45">
        <v>9</v>
      </c>
      <c r="D8" s="45">
        <f t="shared" si="2"/>
        <v>2020</v>
      </c>
      <c r="E8" s="43">
        <f>Electricity!G12</f>
        <v>26319.999999999709</v>
      </c>
      <c r="F8" s="43">
        <f>Electricity!E12</f>
        <v>5159.9999999998545</v>
      </c>
      <c r="G8" s="43">
        <f>Electricity!F12</f>
        <v>21159.999999999854</v>
      </c>
      <c r="H8" s="47">
        <v>1553.67</v>
      </c>
      <c r="I8" s="57" t="s">
        <v>28</v>
      </c>
      <c r="J8" s="106">
        <f>Electricity!L12</f>
        <v>30652459.00799961</v>
      </c>
      <c r="K8" s="43">
        <f t="shared" si="0"/>
        <v>1164.6071051671713</v>
      </c>
      <c r="L8" s="58">
        <f>Water!G11</f>
        <v>479</v>
      </c>
      <c r="M8" s="58">
        <v>12550</v>
      </c>
      <c r="N8" s="106">
        <f t="shared" si="1"/>
        <v>6011450</v>
      </c>
      <c r="O8" s="43">
        <f t="shared" si="3"/>
        <v>164</v>
      </c>
    </row>
    <row r="9" spans="1:15" x14ac:dyDescent="0.25">
      <c r="A9" s="48" t="s">
        <v>44</v>
      </c>
      <c r="B9" s="45">
        <v>8</v>
      </c>
      <c r="C9" s="45">
        <v>9</v>
      </c>
      <c r="D9" s="45">
        <f t="shared" si="2"/>
        <v>2020</v>
      </c>
      <c r="E9" s="43">
        <f>Electricity!G13</f>
        <v>25200.000000000728</v>
      </c>
      <c r="F9" s="43">
        <f>Electricity!E13</f>
        <v>2319.999999999709</v>
      </c>
      <c r="G9" s="43">
        <f>Electricity!F13</f>
        <v>22880.000000001019</v>
      </c>
      <c r="H9" s="47">
        <v>1553.67</v>
      </c>
      <c r="I9" s="57" t="s">
        <v>28</v>
      </c>
      <c r="J9" s="106">
        <f>Electricity!L13</f>
        <v>27958436.659200616</v>
      </c>
      <c r="K9" s="43">
        <f t="shared" si="0"/>
        <v>1109.4617721904685</v>
      </c>
      <c r="L9" s="58">
        <f>Water!G12</f>
        <v>370</v>
      </c>
      <c r="M9" s="58">
        <v>12550</v>
      </c>
      <c r="N9" s="106">
        <f t="shared" si="1"/>
        <v>4643500</v>
      </c>
      <c r="O9" s="43">
        <f t="shared" si="3"/>
        <v>164</v>
      </c>
    </row>
    <row r="10" spans="1:15" x14ac:dyDescent="0.25">
      <c r="A10" s="48" t="s">
        <v>44</v>
      </c>
      <c r="B10" s="45">
        <v>9</v>
      </c>
      <c r="C10" s="45">
        <v>9</v>
      </c>
      <c r="D10" s="45">
        <f t="shared" si="2"/>
        <v>2020</v>
      </c>
      <c r="E10" s="43">
        <f>Electricity!G14</f>
        <v>28440.000000000509</v>
      </c>
      <c r="F10" s="43">
        <f>Electricity!E14</f>
        <v>7760.0000000002183</v>
      </c>
      <c r="G10" s="43">
        <f>Electricity!F14</f>
        <v>20680.000000000291</v>
      </c>
      <c r="H10" s="47">
        <v>1553.67</v>
      </c>
      <c r="I10" s="57" t="s">
        <v>28</v>
      </c>
      <c r="J10" s="106">
        <f>Electricity!L14</f>
        <v>34279843.430400655</v>
      </c>
      <c r="K10" s="43">
        <f t="shared" si="0"/>
        <v>1205.339079831225</v>
      </c>
      <c r="L10" s="58">
        <f>Water!G13</f>
        <v>377</v>
      </c>
      <c r="M10" s="58">
        <v>12550</v>
      </c>
      <c r="N10" s="106">
        <f t="shared" si="1"/>
        <v>4731350</v>
      </c>
      <c r="O10" s="43">
        <f t="shared" si="3"/>
        <v>164</v>
      </c>
    </row>
    <row r="11" spans="1:15" x14ac:dyDescent="0.25">
      <c r="A11" s="48" t="s">
        <v>44</v>
      </c>
      <c r="B11" s="45">
        <v>10</v>
      </c>
      <c r="C11" s="45">
        <v>9</v>
      </c>
      <c r="D11" s="45">
        <f t="shared" si="2"/>
        <v>2020</v>
      </c>
      <c r="E11" s="43">
        <f>Electricity!G15</f>
        <v>29679.999999998472</v>
      </c>
      <c r="F11" s="43">
        <f>Electricity!E15</f>
        <v>5239.9999999997817</v>
      </c>
      <c r="G11" s="43">
        <f>Electricity!F15</f>
        <v>24439.99999999869</v>
      </c>
      <c r="H11" s="47">
        <v>1553.67</v>
      </c>
      <c r="I11" s="57" t="s">
        <v>28</v>
      </c>
      <c r="J11" s="106">
        <f>Electricity!L15</f>
        <v>34258630.655998267</v>
      </c>
      <c r="K11" s="43">
        <f t="shared" si="0"/>
        <v>1154.2665315363893</v>
      </c>
      <c r="L11" s="58">
        <f>Water!G14</f>
        <v>588</v>
      </c>
      <c r="M11" s="58">
        <v>12550</v>
      </c>
      <c r="N11" s="106">
        <f t="shared" si="1"/>
        <v>7379400</v>
      </c>
      <c r="O11" s="43">
        <f t="shared" si="3"/>
        <v>164</v>
      </c>
    </row>
    <row r="12" spans="1:15" x14ac:dyDescent="0.25">
      <c r="A12" s="48" t="s">
        <v>44</v>
      </c>
      <c r="B12" s="45">
        <v>11</v>
      </c>
      <c r="C12" s="45">
        <v>9</v>
      </c>
      <c r="D12" s="45">
        <f t="shared" si="2"/>
        <v>2020</v>
      </c>
      <c r="E12" s="43">
        <f>Electricity!G16</f>
        <v>27519.999999999527</v>
      </c>
      <c r="F12" s="43">
        <f>Electricity!E16</f>
        <v>4880.0000000001091</v>
      </c>
      <c r="G12" s="43">
        <f>Electricity!F16</f>
        <v>22639.999999999418</v>
      </c>
      <c r="H12" s="47">
        <v>1553.67</v>
      </c>
      <c r="I12" s="57" t="s">
        <v>28</v>
      </c>
      <c r="J12" s="106">
        <f>Electricity!L16</f>
        <v>31776736.051199555</v>
      </c>
      <c r="K12" s="43">
        <f t="shared" si="0"/>
        <v>1154.677908837213</v>
      </c>
      <c r="L12" s="58">
        <f>Water!G15</f>
        <v>400</v>
      </c>
      <c r="M12" s="58">
        <v>12550</v>
      </c>
      <c r="N12" s="106">
        <f t="shared" si="1"/>
        <v>5020000</v>
      </c>
      <c r="O12" s="43">
        <f t="shared" si="3"/>
        <v>164</v>
      </c>
    </row>
    <row r="13" spans="1:15" x14ac:dyDescent="0.25">
      <c r="A13" s="48" t="s">
        <v>44</v>
      </c>
      <c r="B13" s="45">
        <v>12</v>
      </c>
      <c r="C13" s="45">
        <v>9</v>
      </c>
      <c r="D13" s="45">
        <f t="shared" si="2"/>
        <v>2020</v>
      </c>
      <c r="E13" s="43">
        <f>Electricity!G17</f>
        <v>27440.000000000509</v>
      </c>
      <c r="F13" s="43">
        <f>Electricity!E17</f>
        <v>5239.9999999997817</v>
      </c>
      <c r="G13" s="43">
        <f>Electricity!F17</f>
        <v>22200.000000000728</v>
      </c>
      <c r="H13" s="47">
        <v>1553.67</v>
      </c>
      <c r="I13" s="57" t="s">
        <v>28</v>
      </c>
      <c r="J13" s="106">
        <f>Electricity!L17</f>
        <v>31882799.923200425</v>
      </c>
      <c r="K13" s="43">
        <f t="shared" si="0"/>
        <v>1161.9096181924137</v>
      </c>
      <c r="L13" s="58">
        <f>Water!G16</f>
        <v>371</v>
      </c>
      <c r="M13" s="58">
        <v>12550</v>
      </c>
      <c r="N13" s="106">
        <f t="shared" si="1"/>
        <v>4656050</v>
      </c>
      <c r="O13" s="43">
        <f t="shared" si="3"/>
        <v>164</v>
      </c>
    </row>
    <row r="14" spans="1:15" x14ac:dyDescent="0.25">
      <c r="A14" s="48" t="s">
        <v>44</v>
      </c>
      <c r="B14" s="45">
        <v>13</v>
      </c>
      <c r="C14" s="45">
        <v>9</v>
      </c>
      <c r="D14" s="45">
        <f t="shared" si="2"/>
        <v>2020</v>
      </c>
      <c r="E14" s="43">
        <f>Electricity!G18</f>
        <v>27079.999999998108</v>
      </c>
      <c r="F14" s="43">
        <f>Electricity!E18</f>
        <v>5000</v>
      </c>
      <c r="G14" s="43">
        <f>Electricity!F18</f>
        <v>22079.999999998108</v>
      </c>
      <c r="H14" s="47">
        <v>1553.67</v>
      </c>
      <c r="I14" s="57" t="s">
        <v>28</v>
      </c>
      <c r="J14" s="106">
        <f>Electricity!L18</f>
        <v>31373693.337597992</v>
      </c>
      <c r="K14" s="43">
        <f t="shared" si="0"/>
        <v>1158.5558839586479</v>
      </c>
      <c r="L14" s="58">
        <f>Water!G17</f>
        <v>391</v>
      </c>
      <c r="M14" s="58">
        <v>12550</v>
      </c>
      <c r="N14" s="106">
        <f t="shared" si="1"/>
        <v>4907050</v>
      </c>
      <c r="O14" s="43">
        <f t="shared" si="3"/>
        <v>164</v>
      </c>
    </row>
    <row r="15" spans="1:15" x14ac:dyDescent="0.25">
      <c r="A15" s="48" t="s">
        <v>44</v>
      </c>
      <c r="B15" s="45">
        <v>14</v>
      </c>
      <c r="C15" s="45">
        <v>9</v>
      </c>
      <c r="D15" s="45">
        <f t="shared" si="2"/>
        <v>2020</v>
      </c>
      <c r="E15" s="43">
        <f>Electricity!G19</f>
        <v>26080.000000000837</v>
      </c>
      <c r="F15" s="43">
        <f>Electricity!E19</f>
        <v>5080.0000000008367</v>
      </c>
      <c r="G15" s="43">
        <f>Electricity!F19</f>
        <v>21000</v>
      </c>
      <c r="H15" s="47">
        <v>1553.67</v>
      </c>
      <c r="I15" s="57" t="s">
        <v>28</v>
      </c>
      <c r="J15" s="106">
        <f>Electricity!L19</f>
        <v>30355480.16640133</v>
      </c>
      <c r="K15" s="43">
        <f t="shared" si="0"/>
        <v>1163.9371229447991</v>
      </c>
      <c r="L15" s="58">
        <f>Water!G18</f>
        <v>564</v>
      </c>
      <c r="M15" s="58">
        <v>12550</v>
      </c>
      <c r="N15" s="106">
        <f t="shared" si="1"/>
        <v>7078200</v>
      </c>
      <c r="O15" s="43">
        <f t="shared" si="3"/>
        <v>164</v>
      </c>
    </row>
    <row r="16" spans="1:15" x14ac:dyDescent="0.25">
      <c r="A16" s="48" t="s">
        <v>44</v>
      </c>
      <c r="B16" s="45">
        <v>15</v>
      </c>
      <c r="C16" s="45">
        <v>9</v>
      </c>
      <c r="D16" s="45">
        <f t="shared" si="2"/>
        <v>2020</v>
      </c>
      <c r="E16" s="43">
        <f>Electricity!G20</f>
        <v>26799.999999999272</v>
      </c>
      <c r="F16" s="43">
        <f>Electricity!E20</f>
        <v>4959.9999999991269</v>
      </c>
      <c r="G16" s="43">
        <f>Electricity!F20</f>
        <v>21840.000000000146</v>
      </c>
      <c r="H16" s="47">
        <v>1553.67</v>
      </c>
      <c r="I16" s="57" t="s">
        <v>28</v>
      </c>
      <c r="J16" s="106">
        <f>Electricity!L20</f>
        <v>31055501.721598767</v>
      </c>
      <c r="K16" s="43">
        <f t="shared" si="0"/>
        <v>1158.7873776716272</v>
      </c>
      <c r="L16" s="58">
        <f>Water!G19</f>
        <v>357</v>
      </c>
      <c r="M16" s="58">
        <v>12550</v>
      </c>
      <c r="N16" s="106">
        <f t="shared" si="1"/>
        <v>4480350</v>
      </c>
      <c r="O16" s="43">
        <f t="shared" si="3"/>
        <v>164</v>
      </c>
    </row>
    <row r="17" spans="1:15" x14ac:dyDescent="0.25">
      <c r="A17" s="48" t="s">
        <v>44</v>
      </c>
      <c r="B17" s="45">
        <v>16</v>
      </c>
      <c r="C17" s="45">
        <v>9</v>
      </c>
      <c r="D17" s="45">
        <f t="shared" si="2"/>
        <v>2020</v>
      </c>
      <c r="E17" s="43">
        <f>Electricity!G21</f>
        <v>26640.000000003056</v>
      </c>
      <c r="F17" s="43">
        <f>Electricity!E21</f>
        <v>4840.0000000001455</v>
      </c>
      <c r="G17" s="43">
        <f>Electricity!F21</f>
        <v>21800.00000000291</v>
      </c>
      <c r="H17" s="47">
        <v>1553.67</v>
      </c>
      <c r="I17" s="57" t="s">
        <v>28</v>
      </c>
      <c r="J17" s="106">
        <f>Electricity!L21</f>
        <v>30822161.203203317</v>
      </c>
      <c r="K17" s="43">
        <f t="shared" si="0"/>
        <v>1156.9880331531449</v>
      </c>
      <c r="L17" s="58">
        <f>Water!G20</f>
        <v>381</v>
      </c>
      <c r="M17" s="58">
        <v>12550</v>
      </c>
      <c r="N17" s="106">
        <f t="shared" si="1"/>
        <v>4781550</v>
      </c>
      <c r="O17" s="43">
        <f t="shared" si="3"/>
        <v>164</v>
      </c>
    </row>
    <row r="18" spans="1:15" x14ac:dyDescent="0.25">
      <c r="A18" s="48" t="s">
        <v>44</v>
      </c>
      <c r="B18" s="45">
        <v>17</v>
      </c>
      <c r="C18" s="45">
        <v>9</v>
      </c>
      <c r="D18" s="45">
        <f t="shared" si="2"/>
        <v>2020</v>
      </c>
      <c r="E18" s="43">
        <f>Electricity!G22</f>
        <v>25919.999999997344</v>
      </c>
      <c r="F18" s="43">
        <f>Electricity!E22</f>
        <v>5039.9999999999636</v>
      </c>
      <c r="G18" s="43">
        <f>Electricity!F22</f>
        <v>20879.999999997381</v>
      </c>
      <c r="H18" s="47">
        <v>1553.67</v>
      </c>
      <c r="I18" s="57" t="s">
        <v>28</v>
      </c>
      <c r="J18" s="106">
        <f>Electricity!L22</f>
        <v>30164565.196797166</v>
      </c>
      <c r="K18" s="43">
        <f t="shared" si="0"/>
        <v>1163.7563733333432</v>
      </c>
      <c r="L18" s="58">
        <f>Water!G21</f>
        <v>404</v>
      </c>
      <c r="M18" s="58">
        <v>12550</v>
      </c>
      <c r="N18" s="106">
        <f t="shared" si="1"/>
        <v>5070200</v>
      </c>
      <c r="O18" s="43">
        <f t="shared" si="3"/>
        <v>164</v>
      </c>
    </row>
    <row r="19" spans="1:15" x14ac:dyDescent="0.25">
      <c r="A19" s="48" t="s">
        <v>44</v>
      </c>
      <c r="B19" s="45">
        <v>18</v>
      </c>
      <c r="C19" s="45">
        <v>9</v>
      </c>
      <c r="D19" s="45">
        <f t="shared" si="2"/>
        <v>2020</v>
      </c>
      <c r="E19" s="43">
        <f>Electricity!G23</f>
        <v>26200.000000000728</v>
      </c>
      <c r="F19" s="43">
        <f>Electricity!E23</f>
        <v>4840.0000000001455</v>
      </c>
      <c r="G19" s="43">
        <f>Electricity!F23</f>
        <v>21360.000000000582</v>
      </c>
      <c r="H19" s="47">
        <v>1553.67</v>
      </c>
      <c r="I19" s="57" t="s">
        <v>28</v>
      </c>
      <c r="J19" s="106">
        <f>Electricity!L23</f>
        <v>30355480.16640085</v>
      </c>
      <c r="K19" s="43">
        <f t="shared" si="0"/>
        <v>1158.6061132213742</v>
      </c>
      <c r="L19" s="58">
        <f>Water!G22</f>
        <v>618</v>
      </c>
      <c r="M19" s="58">
        <v>12550</v>
      </c>
      <c r="N19" s="106">
        <f t="shared" si="1"/>
        <v>7755900</v>
      </c>
      <c r="O19" s="43">
        <f t="shared" si="3"/>
        <v>164</v>
      </c>
    </row>
    <row r="20" spans="1:15" x14ac:dyDescent="0.25">
      <c r="A20" s="48" t="s">
        <v>44</v>
      </c>
      <c r="B20" s="45">
        <v>19</v>
      </c>
      <c r="C20" s="45">
        <v>9</v>
      </c>
      <c r="D20" s="45">
        <f t="shared" si="2"/>
        <v>2020</v>
      </c>
      <c r="E20" s="43">
        <f>Electricity!G24</f>
        <v>27079.999999999927</v>
      </c>
      <c r="F20" s="43">
        <f>Electricity!E24</f>
        <v>5079.9999999999272</v>
      </c>
      <c r="G20" s="43">
        <f>Electricity!F24</f>
        <v>22000</v>
      </c>
      <c r="H20" s="47">
        <v>1553.67</v>
      </c>
      <c r="I20" s="57" t="s">
        <v>28</v>
      </c>
      <c r="J20" s="106">
        <f>Electricity!L24</f>
        <v>31416118.886399884</v>
      </c>
      <c r="K20" s="43">
        <f t="shared" si="0"/>
        <v>1160.1225585819782</v>
      </c>
      <c r="L20" s="58">
        <f>Water!G23</f>
        <v>367</v>
      </c>
      <c r="M20" s="58">
        <v>12550</v>
      </c>
      <c r="N20" s="106">
        <f t="shared" si="1"/>
        <v>4605850</v>
      </c>
      <c r="O20" s="43">
        <f t="shared" si="3"/>
        <v>164</v>
      </c>
    </row>
    <row r="21" spans="1:15" x14ac:dyDescent="0.25">
      <c r="A21" s="48" t="s">
        <v>44</v>
      </c>
      <c r="B21" s="45">
        <v>20</v>
      </c>
      <c r="C21" s="45">
        <v>9</v>
      </c>
      <c r="D21" s="45">
        <f t="shared" si="2"/>
        <v>2020</v>
      </c>
      <c r="E21" s="43">
        <f>Electricity!G25</f>
        <v>26280.000000001564</v>
      </c>
      <c r="F21" s="43">
        <f>Electricity!E25</f>
        <v>4880.0000000001091</v>
      </c>
      <c r="G21" s="43">
        <f>Electricity!F25</f>
        <v>21400.000000001455</v>
      </c>
      <c r="H21" s="47">
        <v>1553.67</v>
      </c>
      <c r="I21" s="57" t="s">
        <v>28</v>
      </c>
      <c r="J21" s="106">
        <f>Electricity!L25</f>
        <v>30461544.038401715</v>
      </c>
      <c r="K21" s="43">
        <f t="shared" si="0"/>
        <v>1159.1150699543341</v>
      </c>
      <c r="L21" s="58">
        <f>Water!G24</f>
        <v>361</v>
      </c>
      <c r="M21" s="58">
        <v>12550</v>
      </c>
      <c r="N21" s="106">
        <f t="shared" si="1"/>
        <v>4530550</v>
      </c>
      <c r="O21" s="43">
        <f t="shared" si="3"/>
        <v>164</v>
      </c>
    </row>
    <row r="22" spans="1:15" x14ac:dyDescent="0.25">
      <c r="A22" s="48" t="s">
        <v>44</v>
      </c>
      <c r="B22" s="45">
        <v>21</v>
      </c>
      <c r="C22" s="45">
        <v>9</v>
      </c>
      <c r="D22" s="45">
        <f t="shared" si="2"/>
        <v>2020</v>
      </c>
      <c r="E22" s="43">
        <f>Electricity!G26</f>
        <v>24960.000000000036</v>
      </c>
      <c r="F22" s="43">
        <f>Electricity!E26</f>
        <v>3960.0000000000364</v>
      </c>
      <c r="G22" s="43">
        <f>Electricity!F26</f>
        <v>21000</v>
      </c>
      <c r="H22" s="47">
        <v>1553.67</v>
      </c>
      <c r="I22" s="57" t="s">
        <v>28</v>
      </c>
      <c r="J22" s="106">
        <f>Electricity!L26</f>
        <v>28573607.116800055</v>
      </c>
      <c r="K22" s="43">
        <f t="shared" si="0"/>
        <v>1144.7759261538467</v>
      </c>
      <c r="L22" s="58">
        <f>Water!G25</f>
        <v>413</v>
      </c>
      <c r="M22" s="58">
        <v>12550</v>
      </c>
      <c r="N22" s="106">
        <f t="shared" si="1"/>
        <v>5183150</v>
      </c>
      <c r="O22" s="43">
        <f t="shared" si="3"/>
        <v>164</v>
      </c>
    </row>
    <row r="23" spans="1:15" x14ac:dyDescent="0.25">
      <c r="A23" s="48" t="s">
        <v>44</v>
      </c>
      <c r="B23" s="45">
        <v>22</v>
      </c>
      <c r="C23" s="45">
        <v>9</v>
      </c>
      <c r="D23" s="45">
        <f t="shared" si="2"/>
        <v>2020</v>
      </c>
      <c r="E23" s="43">
        <f>Electricity!G27</f>
        <v>26400.000000000546</v>
      </c>
      <c r="F23" s="43">
        <f>Electricity!E27</f>
        <v>5359.9999999996726</v>
      </c>
      <c r="G23" s="43">
        <f>Electricity!F27</f>
        <v>21040.000000000873</v>
      </c>
      <c r="H23" s="47">
        <v>1553.67</v>
      </c>
      <c r="I23" s="57" t="s">
        <v>28</v>
      </c>
      <c r="J23" s="106">
        <f>Electricity!L27</f>
        <v>30843373.977600403</v>
      </c>
      <c r="K23" s="43">
        <f t="shared" si="0"/>
        <v>1168.3096203636276</v>
      </c>
      <c r="L23" s="58">
        <f>Water!G26</f>
        <v>505</v>
      </c>
      <c r="M23" s="58">
        <v>12550</v>
      </c>
      <c r="N23" s="106">
        <f t="shared" si="1"/>
        <v>6337750</v>
      </c>
      <c r="O23" s="43">
        <f t="shared" si="3"/>
        <v>164</v>
      </c>
    </row>
    <row r="24" spans="1:15" x14ac:dyDescent="0.25">
      <c r="A24" s="48" t="s">
        <v>44</v>
      </c>
      <c r="B24" s="45">
        <v>23</v>
      </c>
      <c r="C24" s="45">
        <v>9</v>
      </c>
      <c r="D24" s="45">
        <f t="shared" si="2"/>
        <v>2020</v>
      </c>
      <c r="E24" s="43">
        <f>Electricity!G28</f>
        <v>25639.999999997599</v>
      </c>
      <c r="F24" s="43">
        <f>Electricity!E28</f>
        <v>4760.0000000002183</v>
      </c>
      <c r="G24" s="43">
        <f>Electricity!F28</f>
        <v>20879.999999997381</v>
      </c>
      <c r="H24" s="47">
        <v>1553.67</v>
      </c>
      <c r="I24" s="57" t="s">
        <v>28</v>
      </c>
      <c r="J24" s="106">
        <f>Electricity!L28</f>
        <v>29719096.934397567</v>
      </c>
      <c r="K24" s="43">
        <f t="shared" si="0"/>
        <v>1159.0911440873772</v>
      </c>
      <c r="L24" s="58">
        <f>Water!G27</f>
        <v>335</v>
      </c>
      <c r="M24" s="58">
        <v>12550</v>
      </c>
      <c r="N24" s="106">
        <f t="shared" si="1"/>
        <v>4204250</v>
      </c>
      <c r="O24" s="43">
        <f t="shared" si="3"/>
        <v>164</v>
      </c>
    </row>
    <row r="25" spans="1:15" x14ac:dyDescent="0.25">
      <c r="A25" s="48" t="s">
        <v>44</v>
      </c>
      <c r="B25" s="45">
        <v>24</v>
      </c>
      <c r="C25" s="45">
        <v>9</v>
      </c>
      <c r="D25" s="45">
        <f t="shared" si="2"/>
        <v>2020</v>
      </c>
      <c r="E25" s="43">
        <f>Electricity!G29</f>
        <v>26760.000000000218</v>
      </c>
      <c r="F25" s="43">
        <f>Electricity!E29</f>
        <v>4920.0000000000728</v>
      </c>
      <c r="G25" s="43">
        <f>Electricity!F29</f>
        <v>21840.000000000146</v>
      </c>
      <c r="H25" s="47">
        <v>1553.67</v>
      </c>
      <c r="I25" s="57" t="s">
        <v>28</v>
      </c>
      <c r="J25" s="106">
        <f>Electricity!L29</f>
        <v>30991863.398400273</v>
      </c>
      <c r="K25" s="43">
        <f t="shared" si="0"/>
        <v>1158.1413826008977</v>
      </c>
      <c r="L25" s="58">
        <f>Water!G28</f>
        <v>362</v>
      </c>
      <c r="M25" s="58">
        <v>12550</v>
      </c>
      <c r="N25" s="106">
        <f t="shared" si="1"/>
        <v>4543100</v>
      </c>
      <c r="O25" s="43">
        <f t="shared" si="3"/>
        <v>164</v>
      </c>
    </row>
    <row r="26" spans="1:15" x14ac:dyDescent="0.25">
      <c r="A26" s="48" t="s">
        <v>44</v>
      </c>
      <c r="B26" s="45">
        <v>25</v>
      </c>
      <c r="C26" s="45">
        <v>9</v>
      </c>
      <c r="D26" s="45">
        <f t="shared" si="2"/>
        <v>2020</v>
      </c>
      <c r="E26" s="43">
        <f>Electricity!G30</f>
        <v>26880.000000001928</v>
      </c>
      <c r="F26" s="43">
        <f>Electricity!E30</f>
        <v>5119.9999999998909</v>
      </c>
      <c r="G26" s="43">
        <f>Electricity!F30</f>
        <v>21760.000000002037</v>
      </c>
      <c r="H26" s="47">
        <v>1553.67</v>
      </c>
      <c r="I26" s="57" t="s">
        <v>28</v>
      </c>
      <c r="J26" s="106">
        <f>Electricity!L30</f>
        <v>31225203.916801985</v>
      </c>
      <c r="K26" s="43">
        <f t="shared" si="0"/>
        <v>1161.651931428562</v>
      </c>
      <c r="L26" s="58">
        <f>Water!G29</f>
        <v>398</v>
      </c>
      <c r="M26" s="58">
        <v>12550</v>
      </c>
      <c r="N26" s="106">
        <f t="shared" si="1"/>
        <v>4994900</v>
      </c>
      <c r="O26" s="43">
        <f t="shared" si="3"/>
        <v>164</v>
      </c>
    </row>
    <row r="27" spans="1:15" x14ac:dyDescent="0.25">
      <c r="A27" s="48" t="s">
        <v>44</v>
      </c>
      <c r="B27" s="45">
        <v>26</v>
      </c>
      <c r="C27" s="45">
        <v>9</v>
      </c>
      <c r="D27" s="45">
        <f t="shared" si="2"/>
        <v>2020</v>
      </c>
      <c r="E27" s="43">
        <f>Electricity!G31</f>
        <v>26920.000000000073</v>
      </c>
      <c r="F27" s="43">
        <f>Electricity!E31</f>
        <v>4920.0000000000728</v>
      </c>
      <c r="G27" s="43">
        <f>Electricity!F31</f>
        <v>22000</v>
      </c>
      <c r="H27" s="47">
        <v>1553.67</v>
      </c>
      <c r="I27" s="57" t="s">
        <v>28</v>
      </c>
      <c r="J27" s="106">
        <f>Electricity!L31</f>
        <v>31161565.593600117</v>
      </c>
      <c r="K27" s="43">
        <f t="shared" si="0"/>
        <v>1157.5618719762272</v>
      </c>
      <c r="L27" s="58">
        <f>Water!G30</f>
        <v>552</v>
      </c>
      <c r="M27" s="58">
        <v>12550</v>
      </c>
      <c r="N27" s="106">
        <f t="shared" si="1"/>
        <v>6927600</v>
      </c>
      <c r="O27" s="43">
        <f t="shared" si="3"/>
        <v>164</v>
      </c>
    </row>
    <row r="28" spans="1:15" x14ac:dyDescent="0.25">
      <c r="A28" s="48" t="s">
        <v>44</v>
      </c>
      <c r="B28" s="45">
        <v>27</v>
      </c>
      <c r="C28" s="45">
        <v>9</v>
      </c>
      <c r="D28" s="45">
        <f t="shared" si="2"/>
        <v>2020</v>
      </c>
      <c r="E28" s="43">
        <f>Electricity!G32</f>
        <v>26400.000000000546</v>
      </c>
      <c r="F28" s="43">
        <f>Electricity!E32</f>
        <v>4880.0000000001091</v>
      </c>
      <c r="G28" s="43">
        <f>Electricity!F32</f>
        <v>21520.000000000437</v>
      </c>
      <c r="H28" s="47">
        <v>1553.67</v>
      </c>
      <c r="I28" s="57" t="s">
        <v>28</v>
      </c>
      <c r="J28" s="106">
        <f>Electricity!L32</f>
        <v>30588820.684800636</v>
      </c>
      <c r="K28" s="43">
        <f t="shared" si="0"/>
        <v>1158.6674501818184</v>
      </c>
      <c r="L28" s="58">
        <f>Water!G31</f>
        <v>292</v>
      </c>
      <c r="M28" s="58">
        <v>12550</v>
      </c>
      <c r="N28" s="106">
        <f t="shared" si="1"/>
        <v>3664600</v>
      </c>
      <c r="O28" s="43">
        <f t="shared" si="3"/>
        <v>164</v>
      </c>
    </row>
    <row r="29" spans="1:15" x14ac:dyDescent="0.25">
      <c r="A29" s="48" t="s">
        <v>44</v>
      </c>
      <c r="B29" s="45">
        <v>28</v>
      </c>
      <c r="C29" s="45">
        <v>9</v>
      </c>
      <c r="D29" s="45">
        <f t="shared" si="2"/>
        <v>2020</v>
      </c>
      <c r="E29" s="43">
        <f>Electricity!G33</f>
        <v>25399.999999999636</v>
      </c>
      <c r="F29" s="43">
        <f>Electricity!E33</f>
        <v>4760.0000000002183</v>
      </c>
      <c r="G29" s="43">
        <f>Electricity!F33</f>
        <v>20639.999999999418</v>
      </c>
      <c r="H29" s="47">
        <v>1553.67</v>
      </c>
      <c r="I29" s="57" t="s">
        <v>28</v>
      </c>
      <c r="J29" s="106">
        <f>Electricity!L33</f>
        <v>29464543.641599726</v>
      </c>
      <c r="K29" s="43">
        <f t="shared" si="0"/>
        <v>1160.0214032126044</v>
      </c>
      <c r="L29" s="58">
        <f>Water!G32</f>
        <v>318</v>
      </c>
      <c r="M29" s="58">
        <v>12550</v>
      </c>
      <c r="N29" s="106">
        <f t="shared" si="1"/>
        <v>3990900</v>
      </c>
      <c r="O29" s="43">
        <f t="shared" si="3"/>
        <v>164</v>
      </c>
    </row>
    <row r="30" spans="1:15" s="43" customFormat="1" x14ac:dyDescent="0.25">
      <c r="A30" s="48" t="s">
        <v>44</v>
      </c>
      <c r="B30" s="45">
        <v>29</v>
      </c>
      <c r="C30" s="45">
        <v>9</v>
      </c>
      <c r="D30" s="45">
        <f t="shared" si="2"/>
        <v>2020</v>
      </c>
      <c r="E30" s="43">
        <f>Electricity!G34</f>
        <v>26639.999999998508</v>
      </c>
      <c r="F30" s="43">
        <f>Electricity!E34</f>
        <v>5039.9999999999636</v>
      </c>
      <c r="G30" s="43">
        <f>Electricity!F34</f>
        <v>21599.999999998545</v>
      </c>
      <c r="H30" s="47">
        <v>1553.67</v>
      </c>
      <c r="I30" s="57" t="s">
        <v>28</v>
      </c>
      <c r="J30" s="106">
        <f>Electricity!L34</f>
        <v>30928225.075198393</v>
      </c>
      <c r="K30" s="43">
        <f t="shared" si="0"/>
        <v>1160.9694097297345</v>
      </c>
      <c r="L30" s="58">
        <f>Water!G33</f>
        <v>351</v>
      </c>
      <c r="M30" s="58">
        <v>12550</v>
      </c>
      <c r="N30" s="106">
        <f t="shared" si="1"/>
        <v>4405050</v>
      </c>
      <c r="O30" s="43">
        <f t="shared" si="3"/>
        <v>164</v>
      </c>
    </row>
    <row r="31" spans="1:15" s="43" customFormat="1" x14ac:dyDescent="0.25">
      <c r="A31" s="48" t="s">
        <v>44</v>
      </c>
      <c r="B31" s="45">
        <v>30</v>
      </c>
      <c r="C31" s="45">
        <v>9</v>
      </c>
      <c r="D31" s="45">
        <f t="shared" si="2"/>
        <v>2020</v>
      </c>
      <c r="E31" s="43">
        <f>Electricity!G35</f>
        <v>22800.000000001091</v>
      </c>
      <c r="F31" s="43">
        <f>Electricity!E35</f>
        <v>1079.9999999999272</v>
      </c>
      <c r="G31" s="43">
        <f>Electricity!F35</f>
        <v>21720.000000001164</v>
      </c>
      <c r="H31" s="47">
        <v>1553.67</v>
      </c>
      <c r="I31" s="57" t="s">
        <v>28</v>
      </c>
      <c r="J31" s="106">
        <f>Electricity!L35</f>
        <v>24755307.724801116</v>
      </c>
      <c r="K31" s="43">
        <f t="shared" si="0"/>
        <v>1085.7591107368391</v>
      </c>
      <c r="L31" s="58">
        <f>Water!G34</f>
        <v>400</v>
      </c>
      <c r="M31" s="58">
        <v>12550</v>
      </c>
      <c r="N31" s="106">
        <f t="shared" si="1"/>
        <v>5020000</v>
      </c>
      <c r="O31" s="43">
        <f t="shared" si="3"/>
        <v>164</v>
      </c>
    </row>
    <row r="32" spans="1:15" s="43" customFormat="1" x14ac:dyDescent="0.25">
      <c r="A32" s="44"/>
      <c r="B32" s="46"/>
      <c r="C32" s="46"/>
      <c r="D32" s="45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44075</v>
      </c>
      <c r="C6" s="59">
        <v>164</v>
      </c>
      <c r="D6" s="87">
        <v>1035.78</v>
      </c>
      <c r="E6" s="115">
        <v>5079.9999999999272</v>
      </c>
      <c r="F6" s="115">
        <v>22159.999999999854</v>
      </c>
      <c r="G6" s="80">
        <f>F6+E6</f>
        <v>27239.999999999782</v>
      </c>
      <c r="H6" s="81">
        <f t="shared" ref="H6:H33" si="0">E6*1.5*D6</f>
        <v>7892643.5999998869</v>
      </c>
      <c r="I6" s="81">
        <f t="shared" ref="I6:I33" si="1">F6*D6</f>
        <v>22952884.799999848</v>
      </c>
      <c r="J6" s="81">
        <f t="shared" ref="J6:J30" si="2">I6+H6</f>
        <v>30845528.399999734</v>
      </c>
      <c r="K6" s="81">
        <f>J6*0.024</f>
        <v>740292.68159999361</v>
      </c>
      <c r="L6" s="104">
        <f>J6+K6</f>
        <v>31585821.081599727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44076</v>
      </c>
      <c r="C7" s="59">
        <f>C6</f>
        <v>164</v>
      </c>
      <c r="D7" s="87">
        <v>1035.78</v>
      </c>
      <c r="E7" s="115">
        <v>5319.999999999709</v>
      </c>
      <c r="F7" s="115">
        <v>22319.999999999709</v>
      </c>
      <c r="G7" s="80">
        <f t="shared" ref="G7:G33" si="3">F7+E7</f>
        <v>27639.999999999418</v>
      </c>
      <c r="H7" s="81">
        <f t="shared" si="0"/>
        <v>8265524.3999995477</v>
      </c>
      <c r="I7" s="81">
        <f t="shared" si="1"/>
        <v>23118609.5999997</v>
      </c>
      <c r="J7" s="81">
        <f t="shared" si="2"/>
        <v>31384133.999999247</v>
      </c>
      <c r="K7" s="81">
        <f t="shared" ref="K7:K35" si="4">J7*0.024</f>
        <v>753219.21599998197</v>
      </c>
      <c r="L7" s="104">
        <f>J7+K7</f>
        <v>32137353.215999231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44077</v>
      </c>
      <c r="C8" s="59">
        <f t="shared" ref="C8:C35" si="5">C7</f>
        <v>164</v>
      </c>
      <c r="D8" s="87">
        <v>1035.78</v>
      </c>
      <c r="E8" s="115">
        <v>4960.0000000000364</v>
      </c>
      <c r="F8" s="115">
        <v>22400.000000001455</v>
      </c>
      <c r="G8" s="80">
        <f t="shared" si="3"/>
        <v>27360.000000001492</v>
      </c>
      <c r="H8" s="81">
        <f t="shared" si="0"/>
        <v>7706203.2000000561</v>
      </c>
      <c r="I8" s="81">
        <f t="shared" si="1"/>
        <v>23201472.000001505</v>
      </c>
      <c r="J8" s="81">
        <f t="shared" si="2"/>
        <v>30907675.20000156</v>
      </c>
      <c r="K8" s="81">
        <f t="shared" si="4"/>
        <v>741784.20480003743</v>
      </c>
      <c r="L8" s="104">
        <f t="shared" ref="L8:L30" si="6">J8+K8</f>
        <v>31649459.404801596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44078</v>
      </c>
      <c r="C9" s="59">
        <f t="shared" si="5"/>
        <v>164</v>
      </c>
      <c r="D9" s="87">
        <v>1035.78</v>
      </c>
      <c r="E9" s="115">
        <v>5240.0000000006912</v>
      </c>
      <c r="F9" s="115">
        <v>22680.000000000291</v>
      </c>
      <c r="G9" s="80">
        <f t="shared" si="3"/>
        <v>27920.000000000982</v>
      </c>
      <c r="H9" s="81">
        <f t="shared" si="0"/>
        <v>8141230.8000010736</v>
      </c>
      <c r="I9" s="81">
        <f t="shared" si="1"/>
        <v>23491490.4000003</v>
      </c>
      <c r="J9" s="81">
        <f t="shared" si="2"/>
        <v>31632721.200001374</v>
      </c>
      <c r="K9" s="81">
        <f t="shared" si="4"/>
        <v>759185.30880003294</v>
      </c>
      <c r="L9" s="104">
        <f t="shared" si="6"/>
        <v>32391906.508801408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44079</v>
      </c>
      <c r="C10" s="59">
        <f t="shared" si="5"/>
        <v>164</v>
      </c>
      <c r="D10" s="87">
        <v>1035.78</v>
      </c>
      <c r="E10" s="115">
        <v>5119.9999999998909</v>
      </c>
      <c r="F10" s="115">
        <v>22840.000000000146</v>
      </c>
      <c r="G10" s="80">
        <f t="shared" si="3"/>
        <v>27960.000000000036</v>
      </c>
      <c r="H10" s="81">
        <f t="shared" si="0"/>
        <v>7954790.3999998299</v>
      </c>
      <c r="I10" s="81">
        <f t="shared" si="1"/>
        <v>23657215.200000148</v>
      </c>
      <c r="J10" s="81">
        <f t="shared" si="2"/>
        <v>31612005.599999979</v>
      </c>
      <c r="K10" s="81">
        <f t="shared" si="4"/>
        <v>758688.13439999952</v>
      </c>
      <c r="L10" s="104">
        <f t="shared" si="6"/>
        <v>32370693.734399978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44080</v>
      </c>
      <c r="C11" s="59">
        <f t="shared" si="5"/>
        <v>164</v>
      </c>
      <c r="D11" s="87">
        <v>1035.78</v>
      </c>
      <c r="E11" s="115">
        <v>5079.9999999999272</v>
      </c>
      <c r="F11" s="115">
        <v>22319.999999999709</v>
      </c>
      <c r="G11" s="80">
        <f t="shared" si="3"/>
        <v>27399.999999999636</v>
      </c>
      <c r="H11" s="81">
        <f t="shared" si="0"/>
        <v>7892643.5999998869</v>
      </c>
      <c r="I11" s="81">
        <f t="shared" si="1"/>
        <v>23118609.5999997</v>
      </c>
      <c r="J11" s="81">
        <f t="shared" si="2"/>
        <v>31011253.199999586</v>
      </c>
      <c r="K11" s="81">
        <f t="shared" si="4"/>
        <v>744270.07679999003</v>
      </c>
      <c r="L11" s="104">
        <f t="shared" si="6"/>
        <v>31755523.276799574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44081</v>
      </c>
      <c r="C12" s="59">
        <f t="shared" si="5"/>
        <v>164</v>
      </c>
      <c r="D12" s="87">
        <v>1035.78</v>
      </c>
      <c r="E12" s="115">
        <v>5159.9999999998545</v>
      </c>
      <c r="F12" s="115">
        <v>21159.999999999854</v>
      </c>
      <c r="G12" s="80">
        <f t="shared" si="3"/>
        <v>26319.999999999709</v>
      </c>
      <c r="H12" s="81">
        <f t="shared" si="0"/>
        <v>8016937.1999997739</v>
      </c>
      <c r="I12" s="81">
        <f t="shared" si="1"/>
        <v>21917104.799999848</v>
      </c>
      <c r="J12" s="81">
        <f t="shared" si="2"/>
        <v>29934041.99999962</v>
      </c>
      <c r="K12" s="81">
        <f t="shared" si="4"/>
        <v>718417.00799999095</v>
      </c>
      <c r="L12" s="104">
        <f t="shared" si="6"/>
        <v>30652459.00799961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44082</v>
      </c>
      <c r="C13" s="59">
        <f t="shared" si="5"/>
        <v>164</v>
      </c>
      <c r="D13" s="87">
        <v>1035.78</v>
      </c>
      <c r="E13" s="115">
        <v>2319.999999999709</v>
      </c>
      <c r="F13" s="115">
        <v>22880.000000001019</v>
      </c>
      <c r="G13" s="80">
        <f t="shared" si="3"/>
        <v>25200.000000000728</v>
      </c>
      <c r="H13" s="81">
        <f t="shared" si="0"/>
        <v>3604514.3999995477</v>
      </c>
      <c r="I13" s="81">
        <f t="shared" si="1"/>
        <v>23698646.400001053</v>
      </c>
      <c r="J13" s="81">
        <f t="shared" si="2"/>
        <v>27303160.800000601</v>
      </c>
      <c r="K13" s="81">
        <f t="shared" si="4"/>
        <v>655275.85920001438</v>
      </c>
      <c r="L13" s="104">
        <f t="shared" si="6"/>
        <v>27958436.659200616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44083</v>
      </c>
      <c r="C14" s="59">
        <f t="shared" si="5"/>
        <v>164</v>
      </c>
      <c r="D14" s="87">
        <v>1035.78</v>
      </c>
      <c r="E14" s="115">
        <v>7760.0000000002183</v>
      </c>
      <c r="F14" s="115">
        <v>20680.000000000291</v>
      </c>
      <c r="G14" s="80">
        <f t="shared" si="3"/>
        <v>28440.000000000509</v>
      </c>
      <c r="H14" s="81">
        <f t="shared" si="0"/>
        <v>12056479.200000338</v>
      </c>
      <c r="I14" s="81">
        <f t="shared" si="1"/>
        <v>21419930.4000003</v>
      </c>
      <c r="J14" s="81">
        <f t="shared" si="2"/>
        <v>33476409.600000639</v>
      </c>
      <c r="K14" s="81">
        <f t="shared" si="4"/>
        <v>803433.83040001534</v>
      </c>
      <c r="L14" s="104">
        <f t="shared" si="6"/>
        <v>34279843.430400655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44084</v>
      </c>
      <c r="C15" s="59">
        <f t="shared" si="5"/>
        <v>164</v>
      </c>
      <c r="D15" s="87">
        <v>1035.78</v>
      </c>
      <c r="E15" s="115">
        <v>5239.9999999997817</v>
      </c>
      <c r="F15" s="115">
        <v>24439.99999999869</v>
      </c>
      <c r="G15" s="80">
        <f t="shared" si="3"/>
        <v>29679.999999998472</v>
      </c>
      <c r="H15" s="81">
        <f t="shared" si="0"/>
        <v>8141230.7999996608</v>
      </c>
      <c r="I15" s="81">
        <f t="shared" si="1"/>
        <v>25314463.199998643</v>
      </c>
      <c r="J15" s="81">
        <f t="shared" si="2"/>
        <v>33455693.999998305</v>
      </c>
      <c r="K15" s="81">
        <f t="shared" si="4"/>
        <v>802936.65599995933</v>
      </c>
      <c r="L15" s="104">
        <f t="shared" si="6"/>
        <v>34258630.655998267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44085</v>
      </c>
      <c r="C16" s="59">
        <f t="shared" si="5"/>
        <v>164</v>
      </c>
      <c r="D16" s="87">
        <v>1035.78</v>
      </c>
      <c r="E16" s="115">
        <v>4880.0000000001091</v>
      </c>
      <c r="F16" s="115">
        <v>22639.999999999418</v>
      </c>
      <c r="G16" s="80">
        <f t="shared" si="3"/>
        <v>27519.999999999527</v>
      </c>
      <c r="H16" s="81">
        <f t="shared" si="0"/>
        <v>7581909.6000001691</v>
      </c>
      <c r="I16" s="81">
        <f t="shared" si="1"/>
        <v>23450059.199999396</v>
      </c>
      <c r="J16" s="81">
        <f t="shared" si="2"/>
        <v>31031968.799999565</v>
      </c>
      <c r="K16" s="81">
        <f t="shared" si="4"/>
        <v>744767.25119998958</v>
      </c>
      <c r="L16" s="104">
        <f t="shared" si="6"/>
        <v>31776736.051199555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44086</v>
      </c>
      <c r="C17" s="59">
        <f t="shared" si="5"/>
        <v>164</v>
      </c>
      <c r="D17" s="87">
        <v>1035.78</v>
      </c>
      <c r="E17" s="115">
        <v>5239.9999999997817</v>
      </c>
      <c r="F17" s="115">
        <v>22200.000000000728</v>
      </c>
      <c r="G17" s="80">
        <f t="shared" si="3"/>
        <v>27440.000000000509</v>
      </c>
      <c r="H17" s="81">
        <f t="shared" si="0"/>
        <v>8141230.7999996608</v>
      </c>
      <c r="I17" s="81">
        <f t="shared" si="1"/>
        <v>22994316.000000753</v>
      </c>
      <c r="J17" s="81">
        <f t="shared" si="2"/>
        <v>31135546.800000414</v>
      </c>
      <c r="K17" s="81">
        <f t="shared" si="4"/>
        <v>747253.12320000993</v>
      </c>
      <c r="L17" s="104">
        <f t="shared" si="6"/>
        <v>31882799.923200425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44087</v>
      </c>
      <c r="C18" s="59">
        <f t="shared" si="5"/>
        <v>164</v>
      </c>
      <c r="D18" s="87">
        <v>1035.78</v>
      </c>
      <c r="E18" s="115">
        <v>5000</v>
      </c>
      <c r="F18" s="115">
        <v>22079.999999998108</v>
      </c>
      <c r="G18" s="80">
        <f t="shared" si="3"/>
        <v>27079.999999998108</v>
      </c>
      <c r="H18" s="81">
        <f t="shared" si="0"/>
        <v>7768350</v>
      </c>
      <c r="I18" s="81">
        <f t="shared" si="1"/>
        <v>22870022.399998039</v>
      </c>
      <c r="J18" s="81">
        <f t="shared" si="2"/>
        <v>30638372.399998039</v>
      </c>
      <c r="K18" s="81">
        <f t="shared" si="4"/>
        <v>735320.93759995291</v>
      </c>
      <c r="L18" s="104">
        <f t="shared" si="6"/>
        <v>31373693.337597992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44088</v>
      </c>
      <c r="C19" s="59">
        <f t="shared" si="5"/>
        <v>164</v>
      </c>
      <c r="D19" s="87">
        <v>1035.78</v>
      </c>
      <c r="E19" s="115">
        <v>5080.0000000008367</v>
      </c>
      <c r="F19" s="115">
        <v>21000</v>
      </c>
      <c r="G19" s="80">
        <f t="shared" si="3"/>
        <v>26080.000000000837</v>
      </c>
      <c r="H19" s="81">
        <f t="shared" si="0"/>
        <v>7892643.6000012998</v>
      </c>
      <c r="I19" s="81">
        <f t="shared" si="1"/>
        <v>21751380</v>
      </c>
      <c r="J19" s="81">
        <f t="shared" si="2"/>
        <v>29644023.600001298</v>
      </c>
      <c r="K19" s="81">
        <f t="shared" si="4"/>
        <v>711456.56640003121</v>
      </c>
      <c r="L19" s="104">
        <f t="shared" si="6"/>
        <v>30355480.16640133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44089</v>
      </c>
      <c r="C20" s="59">
        <f t="shared" si="5"/>
        <v>164</v>
      </c>
      <c r="D20" s="87">
        <v>1035.78</v>
      </c>
      <c r="E20" s="115">
        <v>4959.9999999991269</v>
      </c>
      <c r="F20" s="115">
        <v>21840.000000000146</v>
      </c>
      <c r="G20" s="80">
        <f t="shared" si="3"/>
        <v>26799.999999999272</v>
      </c>
      <c r="H20" s="81">
        <f t="shared" si="0"/>
        <v>7706203.1999986432</v>
      </c>
      <c r="I20" s="81">
        <f t="shared" si="1"/>
        <v>22621435.200000152</v>
      </c>
      <c r="J20" s="81">
        <f t="shared" si="2"/>
        <v>30327638.399998795</v>
      </c>
      <c r="K20" s="81">
        <f t="shared" si="4"/>
        <v>727863.32159997115</v>
      </c>
      <c r="L20" s="104">
        <f t="shared" si="6"/>
        <v>31055501.721598767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44090</v>
      </c>
      <c r="C21" s="59">
        <f t="shared" si="5"/>
        <v>164</v>
      </c>
      <c r="D21" s="87">
        <v>1035.78</v>
      </c>
      <c r="E21" s="115">
        <v>4840.0000000001455</v>
      </c>
      <c r="F21" s="115">
        <v>21800.00000000291</v>
      </c>
      <c r="G21" s="80">
        <f t="shared" si="3"/>
        <v>26640.000000003056</v>
      </c>
      <c r="H21" s="81">
        <f t="shared" si="0"/>
        <v>7519762.8000002261</v>
      </c>
      <c r="I21" s="81">
        <f t="shared" si="1"/>
        <v>22580004.000003014</v>
      </c>
      <c r="J21" s="81">
        <f t="shared" si="2"/>
        <v>30099766.800003238</v>
      </c>
      <c r="K21" s="81">
        <f t="shared" si="4"/>
        <v>722394.40320007771</v>
      </c>
      <c r="L21" s="104">
        <f t="shared" si="6"/>
        <v>30822161.203203317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44091</v>
      </c>
      <c r="C22" s="59">
        <f t="shared" si="5"/>
        <v>164</v>
      </c>
      <c r="D22" s="87">
        <v>1035.78</v>
      </c>
      <c r="E22" s="115">
        <v>5039.9999999999636</v>
      </c>
      <c r="F22" s="115">
        <v>20879.999999997381</v>
      </c>
      <c r="G22" s="80">
        <f t="shared" si="3"/>
        <v>25919.999999997344</v>
      </c>
      <c r="H22" s="81">
        <f t="shared" si="0"/>
        <v>7830496.799999943</v>
      </c>
      <c r="I22" s="81">
        <f t="shared" si="1"/>
        <v>21627086.399997286</v>
      </c>
      <c r="J22" s="81">
        <f t="shared" si="2"/>
        <v>29457583.199997231</v>
      </c>
      <c r="K22" s="81">
        <f t="shared" si="4"/>
        <v>706981.99679993361</v>
      </c>
      <c r="L22" s="104">
        <f t="shared" si="6"/>
        <v>30164565.196797166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44092</v>
      </c>
      <c r="C23" s="59">
        <f t="shared" si="5"/>
        <v>164</v>
      </c>
      <c r="D23" s="87">
        <v>1035.78</v>
      </c>
      <c r="E23" s="115">
        <v>4840.0000000001455</v>
      </c>
      <c r="F23" s="115">
        <v>21360.000000000582</v>
      </c>
      <c r="G23" s="80">
        <f t="shared" si="3"/>
        <v>26200.000000000728</v>
      </c>
      <c r="H23" s="81">
        <f t="shared" si="0"/>
        <v>7519762.8000002261</v>
      </c>
      <c r="I23" s="81">
        <f t="shared" si="1"/>
        <v>22124260.800000601</v>
      </c>
      <c r="J23" s="81">
        <f t="shared" si="2"/>
        <v>29644023.600000829</v>
      </c>
      <c r="K23" s="81">
        <f t="shared" si="4"/>
        <v>711456.56640001992</v>
      </c>
      <c r="L23" s="104">
        <f t="shared" si="6"/>
        <v>30355480.16640085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44093</v>
      </c>
      <c r="C24" s="59">
        <f t="shared" si="5"/>
        <v>164</v>
      </c>
      <c r="D24" s="87">
        <v>1035.78</v>
      </c>
      <c r="E24" s="115">
        <v>5079.9999999999272</v>
      </c>
      <c r="F24" s="115">
        <v>22000</v>
      </c>
      <c r="G24" s="80">
        <f t="shared" si="3"/>
        <v>27079.999999999927</v>
      </c>
      <c r="H24" s="81">
        <f t="shared" si="0"/>
        <v>7892643.5999998869</v>
      </c>
      <c r="I24" s="81">
        <f t="shared" si="1"/>
        <v>22787160</v>
      </c>
      <c r="J24" s="81">
        <f t="shared" si="2"/>
        <v>30679803.599999886</v>
      </c>
      <c r="K24" s="81">
        <f t="shared" si="4"/>
        <v>736315.28639999731</v>
      </c>
      <c r="L24" s="104">
        <f t="shared" si="6"/>
        <v>31416118.886399884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44094</v>
      </c>
      <c r="C25" s="59">
        <f t="shared" si="5"/>
        <v>164</v>
      </c>
      <c r="D25" s="87">
        <v>1035.78</v>
      </c>
      <c r="E25" s="115">
        <v>4880.0000000001091</v>
      </c>
      <c r="F25" s="115">
        <v>21400.000000001455</v>
      </c>
      <c r="G25" s="80">
        <f t="shared" si="3"/>
        <v>26280.000000001564</v>
      </c>
      <c r="H25" s="81">
        <f t="shared" si="0"/>
        <v>7581909.6000001691</v>
      </c>
      <c r="I25" s="81">
        <f t="shared" si="1"/>
        <v>22165692.000001505</v>
      </c>
      <c r="J25" s="81">
        <f t="shared" si="2"/>
        <v>29747601.600001674</v>
      </c>
      <c r="K25" s="81">
        <f t="shared" si="4"/>
        <v>713942.43840004015</v>
      </c>
      <c r="L25" s="104">
        <f t="shared" si="6"/>
        <v>30461544.038401715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44095</v>
      </c>
      <c r="C26" s="59">
        <f t="shared" si="5"/>
        <v>164</v>
      </c>
      <c r="D26" s="87">
        <v>1035.78</v>
      </c>
      <c r="E26" s="115">
        <v>3960.0000000000364</v>
      </c>
      <c r="F26" s="115">
        <v>21000</v>
      </c>
      <c r="G26" s="80">
        <f t="shared" si="3"/>
        <v>24960.000000000036</v>
      </c>
      <c r="H26" s="81">
        <f t="shared" si="0"/>
        <v>6152533.2000000561</v>
      </c>
      <c r="I26" s="81">
        <f t="shared" si="1"/>
        <v>21751380</v>
      </c>
      <c r="J26" s="81">
        <f t="shared" si="2"/>
        <v>27903913.200000055</v>
      </c>
      <c r="K26" s="81">
        <f t="shared" si="4"/>
        <v>669693.91680000129</v>
      </c>
      <c r="L26" s="104">
        <f>J26+K26</f>
        <v>28573607.116800055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44096</v>
      </c>
      <c r="C27" s="59">
        <f t="shared" si="5"/>
        <v>164</v>
      </c>
      <c r="D27" s="87">
        <v>1035.78</v>
      </c>
      <c r="E27" s="115">
        <v>5359.9999999996726</v>
      </c>
      <c r="F27" s="115">
        <v>21040.000000000873</v>
      </c>
      <c r="G27" s="80">
        <f t="shared" si="3"/>
        <v>26400.000000000546</v>
      </c>
      <c r="H27" s="81">
        <f t="shared" si="0"/>
        <v>8327671.1999994908</v>
      </c>
      <c r="I27" s="81">
        <f t="shared" si="1"/>
        <v>21792811.200000905</v>
      </c>
      <c r="J27" s="81">
        <f t="shared" si="2"/>
        <v>30120482.400000393</v>
      </c>
      <c r="K27" s="81">
        <f t="shared" si="4"/>
        <v>722891.57760000951</v>
      </c>
      <c r="L27" s="104">
        <f t="shared" si="6"/>
        <v>30843373.977600403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44097</v>
      </c>
      <c r="C28" s="59">
        <f t="shared" si="5"/>
        <v>164</v>
      </c>
      <c r="D28" s="87">
        <v>1035.78</v>
      </c>
      <c r="E28" s="115">
        <v>4760.0000000002183</v>
      </c>
      <c r="F28" s="115">
        <v>20879.999999997381</v>
      </c>
      <c r="G28" s="80">
        <f t="shared" si="3"/>
        <v>25639.999999997599</v>
      </c>
      <c r="H28" s="81">
        <f t="shared" si="0"/>
        <v>7395469.2000003392</v>
      </c>
      <c r="I28" s="81">
        <f t="shared" si="1"/>
        <v>21627086.399997286</v>
      </c>
      <c r="J28" s="81">
        <f t="shared" si="2"/>
        <v>29022555.599997625</v>
      </c>
      <c r="K28" s="81">
        <f t="shared" si="4"/>
        <v>696541.33439994301</v>
      </c>
      <c r="L28" s="104">
        <f t="shared" si="6"/>
        <v>29719096.934397567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44098</v>
      </c>
      <c r="C29" s="59">
        <f t="shared" si="5"/>
        <v>164</v>
      </c>
      <c r="D29" s="87">
        <v>1035.78</v>
      </c>
      <c r="E29" s="115">
        <v>4920.0000000000728</v>
      </c>
      <c r="F29" s="115">
        <v>21840.000000000146</v>
      </c>
      <c r="G29" s="80">
        <f t="shared" si="3"/>
        <v>26760.000000000218</v>
      </c>
      <c r="H29" s="81">
        <f t="shared" si="0"/>
        <v>7644056.4000001131</v>
      </c>
      <c r="I29" s="81">
        <f t="shared" si="1"/>
        <v>22621435.200000152</v>
      </c>
      <c r="J29" s="81">
        <f t="shared" si="2"/>
        <v>30265491.600000266</v>
      </c>
      <c r="K29" s="81">
        <f t="shared" si="4"/>
        <v>726371.79840000637</v>
      </c>
      <c r="L29" s="104">
        <f t="shared" si="6"/>
        <v>30991863.398400273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44099</v>
      </c>
      <c r="C30" s="59">
        <f t="shared" si="5"/>
        <v>164</v>
      </c>
      <c r="D30" s="87">
        <v>1035.78</v>
      </c>
      <c r="E30" s="115">
        <v>5119.9999999998909</v>
      </c>
      <c r="F30" s="115">
        <v>21760.000000002037</v>
      </c>
      <c r="G30" s="80">
        <f t="shared" si="3"/>
        <v>26880.000000001928</v>
      </c>
      <c r="H30" s="81">
        <f t="shared" si="0"/>
        <v>7954790.3999998299</v>
      </c>
      <c r="I30" s="81">
        <f t="shared" si="1"/>
        <v>22538572.800002109</v>
      </c>
      <c r="J30" s="81">
        <f t="shared" si="2"/>
        <v>30493363.20000194</v>
      </c>
      <c r="K30" s="81">
        <f t="shared" si="4"/>
        <v>731840.71680004662</v>
      </c>
      <c r="L30" s="104">
        <f t="shared" si="6"/>
        <v>31225203.916801985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44100</v>
      </c>
      <c r="C31" s="59">
        <f t="shared" si="5"/>
        <v>164</v>
      </c>
      <c r="D31" s="87">
        <v>1035.78</v>
      </c>
      <c r="E31" s="115">
        <v>4920.0000000000728</v>
      </c>
      <c r="F31" s="115">
        <v>22000</v>
      </c>
      <c r="G31" s="80">
        <f t="shared" si="3"/>
        <v>26920.000000000073</v>
      </c>
      <c r="H31" s="81">
        <f t="shared" si="0"/>
        <v>7644056.4000001131</v>
      </c>
      <c r="I31" s="81">
        <f t="shared" si="1"/>
        <v>22787160</v>
      </c>
      <c r="J31" s="81">
        <f t="shared" ref="J31:J33" si="7">I31+H31</f>
        <v>30431216.400000114</v>
      </c>
      <c r="K31" s="81">
        <f t="shared" si="4"/>
        <v>730349.19360000279</v>
      </c>
      <c r="L31" s="104">
        <f t="shared" ref="L31:L33" si="8">J31+K31</f>
        <v>31161565.593600117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44101</v>
      </c>
      <c r="C32" s="59">
        <f t="shared" si="5"/>
        <v>164</v>
      </c>
      <c r="D32" s="87">
        <v>1035.78</v>
      </c>
      <c r="E32" s="115">
        <v>4880.0000000001091</v>
      </c>
      <c r="F32" s="115">
        <v>21520.000000000437</v>
      </c>
      <c r="G32" s="80">
        <f t="shared" si="3"/>
        <v>26400.000000000546</v>
      </c>
      <c r="H32" s="81">
        <f t="shared" si="0"/>
        <v>7581909.6000001691</v>
      </c>
      <c r="I32" s="81">
        <f t="shared" si="1"/>
        <v>22289985.600000452</v>
      </c>
      <c r="J32" s="81">
        <f t="shared" si="7"/>
        <v>29871895.200000621</v>
      </c>
      <c r="K32" s="81">
        <f t="shared" si="4"/>
        <v>716925.48480001488</v>
      </c>
      <c r="L32" s="104">
        <f t="shared" si="8"/>
        <v>30588820.684800636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44102</v>
      </c>
      <c r="C33" s="59">
        <f t="shared" si="5"/>
        <v>164</v>
      </c>
      <c r="D33" s="87">
        <v>1035.78</v>
      </c>
      <c r="E33" s="115">
        <v>4760.0000000002183</v>
      </c>
      <c r="F33" s="115">
        <v>20639.999999999418</v>
      </c>
      <c r="G33" s="80">
        <f t="shared" si="3"/>
        <v>25399.999999999636</v>
      </c>
      <c r="H33" s="81">
        <f t="shared" si="0"/>
        <v>7395469.2000003392</v>
      </c>
      <c r="I33" s="81">
        <f t="shared" si="1"/>
        <v>21378499.199999396</v>
      </c>
      <c r="J33" s="81">
        <f t="shared" si="7"/>
        <v>28773968.399999734</v>
      </c>
      <c r="K33" s="81">
        <f t="shared" si="4"/>
        <v>690575.24159999366</v>
      </c>
      <c r="L33" s="104">
        <f t="shared" si="8"/>
        <v>29464543.641599726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44103</v>
      </c>
      <c r="C34" s="59">
        <f t="shared" si="5"/>
        <v>164</v>
      </c>
      <c r="D34" s="87">
        <v>1035.78</v>
      </c>
      <c r="E34" s="115">
        <v>5039.9999999999636</v>
      </c>
      <c r="F34" s="115">
        <v>21599.999999998545</v>
      </c>
      <c r="G34" s="80">
        <f t="shared" ref="G34" si="9">F34+E34</f>
        <v>26639.999999998508</v>
      </c>
      <c r="H34" s="81">
        <f t="shared" ref="H34" si="10">E34*1.5*D34</f>
        <v>7830496.799999943</v>
      </c>
      <c r="I34" s="81">
        <f t="shared" ref="I34" si="11">F34*D34</f>
        <v>22372847.999998491</v>
      </c>
      <c r="J34" s="81">
        <f t="shared" ref="J34" si="12">I34+H34</f>
        <v>30203344.799998432</v>
      </c>
      <c r="K34" s="81">
        <f t="shared" si="4"/>
        <v>724880.27519996243</v>
      </c>
      <c r="L34" s="104">
        <f t="shared" ref="L34" si="13">J34+K34</f>
        <v>30928225.075198393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44104</v>
      </c>
      <c r="C35" s="59">
        <f t="shared" si="5"/>
        <v>164</v>
      </c>
      <c r="D35" s="87">
        <v>1035.78</v>
      </c>
      <c r="E35" s="115">
        <v>1079.9999999999272</v>
      </c>
      <c r="F35" s="115">
        <v>21720.000000001164</v>
      </c>
      <c r="G35" s="80">
        <f t="shared" ref="G35" si="14">F35+E35</f>
        <v>22800.000000001091</v>
      </c>
      <c r="H35" s="81">
        <f t="shared" ref="H35" si="15">E35*1.5*D35</f>
        <v>1677963.5999998869</v>
      </c>
      <c r="I35" s="81">
        <f t="shared" ref="I35" si="16">F35*D35</f>
        <v>22497141.600001205</v>
      </c>
      <c r="J35" s="81">
        <f t="shared" ref="J35" si="17">I35+H35</f>
        <v>24175105.200001091</v>
      </c>
      <c r="K35" s="81">
        <f t="shared" si="4"/>
        <v>580202.52480002621</v>
      </c>
      <c r="L35" s="104">
        <f t="shared" ref="L35" si="18">J35+K35</f>
        <v>24755307.724801116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4592</v>
      </c>
      <c r="D36" s="88"/>
      <c r="E36" s="82">
        <f t="shared" ref="E36:G36" si="19">SUM(E6:E35)</f>
        <v>145920.00000000006</v>
      </c>
      <c r="F36" s="82">
        <f t="shared" si="19"/>
        <v>655080.00000000163</v>
      </c>
      <c r="G36" s="82">
        <f t="shared" si="19"/>
        <v>801000.00000000186</v>
      </c>
      <c r="H36" s="82">
        <f>SUM(H6:H35)</f>
        <v>226711526.40000013</v>
      </c>
      <c r="I36" s="82">
        <f>SUM(I6:I35)</f>
        <v>678518762.40000188</v>
      </c>
      <c r="J36" s="82">
        <f>SUM(J6:J35)</f>
        <v>905230288.80000186</v>
      </c>
      <c r="K36" s="82">
        <f>SUM(K6:K35)</f>
        <v>21725526.931200039</v>
      </c>
      <c r="L36" s="82">
        <f>SUM(L6:L35)</f>
        <v>926955815.73120201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F36" sqref="F36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9</v>
      </c>
      <c r="D5" s="78">
        <v>2020</v>
      </c>
      <c r="E5" s="114">
        <v>59</v>
      </c>
      <c r="F5" s="108">
        <v>288</v>
      </c>
      <c r="G5" s="56">
        <f>E5+F5</f>
        <v>347</v>
      </c>
    </row>
    <row r="6" spans="1:43" ht="15.75" x14ac:dyDescent="0.25">
      <c r="B6" s="78">
        <v>2</v>
      </c>
      <c r="C6" s="78">
        <v>9</v>
      </c>
      <c r="D6" s="78">
        <f>D5</f>
        <v>2020</v>
      </c>
      <c r="E6" s="114">
        <v>77</v>
      </c>
      <c r="F6" s="109">
        <v>379</v>
      </c>
      <c r="G6" s="56">
        <f t="shared" ref="G6:G34" si="0">E6+F6</f>
        <v>456</v>
      </c>
    </row>
    <row r="7" spans="1:43" ht="15.75" x14ac:dyDescent="0.25">
      <c r="B7" s="78">
        <v>3</v>
      </c>
      <c r="C7" s="78">
        <v>9</v>
      </c>
      <c r="D7" s="78">
        <f t="shared" ref="D7:D34" si="1">D6</f>
        <v>2020</v>
      </c>
      <c r="E7" s="113">
        <v>81</v>
      </c>
      <c r="F7" s="108">
        <v>399</v>
      </c>
      <c r="G7" s="56">
        <f t="shared" si="0"/>
        <v>480</v>
      </c>
    </row>
    <row r="8" spans="1:43" ht="15.75" x14ac:dyDescent="0.25">
      <c r="B8" s="78">
        <v>4</v>
      </c>
      <c r="C8" s="78">
        <v>9</v>
      </c>
      <c r="D8" s="78">
        <f t="shared" si="1"/>
        <v>2020</v>
      </c>
      <c r="E8" s="113">
        <v>19</v>
      </c>
      <c r="F8" s="108">
        <v>335</v>
      </c>
      <c r="G8" s="56">
        <f t="shared" si="0"/>
        <v>354</v>
      </c>
    </row>
    <row r="9" spans="1:43" ht="15.75" x14ac:dyDescent="0.25">
      <c r="B9" s="78">
        <v>5</v>
      </c>
      <c r="C9" s="78">
        <v>9</v>
      </c>
      <c r="D9" s="78">
        <f t="shared" si="1"/>
        <v>2020</v>
      </c>
      <c r="E9" s="113">
        <v>25</v>
      </c>
      <c r="F9" s="108">
        <v>370</v>
      </c>
      <c r="G9" s="56">
        <f t="shared" si="0"/>
        <v>395</v>
      </c>
    </row>
    <row r="10" spans="1:43" ht="15.75" x14ac:dyDescent="0.25">
      <c r="B10" s="78">
        <v>6</v>
      </c>
      <c r="C10" s="78">
        <v>9</v>
      </c>
      <c r="D10" s="78">
        <f t="shared" si="1"/>
        <v>2020</v>
      </c>
      <c r="E10" s="113">
        <v>28</v>
      </c>
      <c r="F10" s="108">
        <v>454</v>
      </c>
      <c r="G10" s="56">
        <f t="shared" si="0"/>
        <v>482</v>
      </c>
    </row>
    <row r="11" spans="1:43" ht="15.75" x14ac:dyDescent="0.25">
      <c r="B11" s="78">
        <v>7</v>
      </c>
      <c r="C11" s="78">
        <v>9</v>
      </c>
      <c r="D11" s="78">
        <f t="shared" si="1"/>
        <v>2020</v>
      </c>
      <c r="E11" s="113">
        <v>27</v>
      </c>
      <c r="F11" s="108">
        <v>452</v>
      </c>
      <c r="G11" s="56">
        <f t="shared" si="0"/>
        <v>479</v>
      </c>
    </row>
    <row r="12" spans="1:43" ht="15.75" x14ac:dyDescent="0.25">
      <c r="B12" s="78">
        <v>8</v>
      </c>
      <c r="C12" s="78">
        <v>9</v>
      </c>
      <c r="D12" s="78">
        <f t="shared" si="1"/>
        <v>2020</v>
      </c>
      <c r="E12" s="113">
        <v>21</v>
      </c>
      <c r="F12" s="109">
        <v>349</v>
      </c>
      <c r="G12" s="56">
        <f t="shared" si="0"/>
        <v>370</v>
      </c>
    </row>
    <row r="13" spans="1:43" ht="15.75" x14ac:dyDescent="0.25">
      <c r="B13" s="78">
        <v>9</v>
      </c>
      <c r="C13" s="78">
        <v>9</v>
      </c>
      <c r="D13" s="78">
        <f t="shared" si="1"/>
        <v>2020</v>
      </c>
      <c r="E13" s="114">
        <v>21</v>
      </c>
      <c r="F13" s="109">
        <v>356</v>
      </c>
      <c r="G13" s="56">
        <f t="shared" si="0"/>
        <v>377</v>
      </c>
    </row>
    <row r="14" spans="1:43" ht="15.75" x14ac:dyDescent="0.25">
      <c r="B14" s="78">
        <v>10</v>
      </c>
      <c r="C14" s="78">
        <v>9</v>
      </c>
      <c r="D14" s="78">
        <f t="shared" si="1"/>
        <v>2020</v>
      </c>
      <c r="E14" s="113">
        <v>36</v>
      </c>
      <c r="F14" s="109">
        <v>552</v>
      </c>
      <c r="G14" s="56">
        <f t="shared" si="0"/>
        <v>588</v>
      </c>
    </row>
    <row r="15" spans="1:43" ht="15.75" x14ac:dyDescent="0.25">
      <c r="B15" s="78">
        <v>11</v>
      </c>
      <c r="C15" s="78">
        <v>9</v>
      </c>
      <c r="D15" s="78">
        <f t="shared" si="1"/>
        <v>2020</v>
      </c>
      <c r="E15" s="113">
        <v>22</v>
      </c>
      <c r="F15" s="108">
        <v>378</v>
      </c>
      <c r="G15" s="56">
        <f t="shared" si="0"/>
        <v>400</v>
      </c>
    </row>
    <row r="16" spans="1:43" ht="15.75" x14ac:dyDescent="0.25">
      <c r="B16" s="78">
        <v>12</v>
      </c>
      <c r="C16" s="78">
        <v>9</v>
      </c>
      <c r="D16" s="78">
        <f t="shared" si="1"/>
        <v>2020</v>
      </c>
      <c r="E16" s="113">
        <v>22</v>
      </c>
      <c r="F16" s="108">
        <v>349</v>
      </c>
      <c r="G16" s="56">
        <f t="shared" si="0"/>
        <v>371</v>
      </c>
    </row>
    <row r="17" spans="2:7" ht="15.75" x14ac:dyDescent="0.25">
      <c r="B17" s="78">
        <v>13</v>
      </c>
      <c r="C17" s="78">
        <v>9</v>
      </c>
      <c r="D17" s="78">
        <f t="shared" si="1"/>
        <v>2020</v>
      </c>
      <c r="E17" s="113">
        <v>22</v>
      </c>
      <c r="F17" s="108">
        <v>369</v>
      </c>
      <c r="G17" s="56">
        <f t="shared" si="0"/>
        <v>391</v>
      </c>
    </row>
    <row r="18" spans="2:7" ht="15.75" x14ac:dyDescent="0.25">
      <c r="B18" s="78">
        <v>14</v>
      </c>
      <c r="C18" s="78">
        <v>9</v>
      </c>
      <c r="D18" s="78">
        <f t="shared" si="1"/>
        <v>2020</v>
      </c>
      <c r="E18" s="113">
        <v>32</v>
      </c>
      <c r="F18" s="108">
        <v>532</v>
      </c>
      <c r="G18" s="56">
        <f t="shared" si="0"/>
        <v>564</v>
      </c>
    </row>
    <row r="19" spans="2:7" ht="15.75" x14ac:dyDescent="0.25">
      <c r="B19" s="78">
        <v>15</v>
      </c>
      <c r="C19" s="78">
        <v>9</v>
      </c>
      <c r="D19" s="78">
        <f t="shared" si="1"/>
        <v>2020</v>
      </c>
      <c r="E19" s="113">
        <v>19</v>
      </c>
      <c r="F19" s="108">
        <v>338</v>
      </c>
      <c r="G19" s="56">
        <f t="shared" si="0"/>
        <v>357</v>
      </c>
    </row>
    <row r="20" spans="2:7" ht="15.75" x14ac:dyDescent="0.25">
      <c r="B20" s="78">
        <v>16</v>
      </c>
      <c r="C20" s="78">
        <v>9</v>
      </c>
      <c r="D20" s="78">
        <f t="shared" si="1"/>
        <v>2020</v>
      </c>
      <c r="E20" s="114">
        <v>21</v>
      </c>
      <c r="F20" s="109">
        <v>360</v>
      </c>
      <c r="G20" s="56">
        <f t="shared" si="0"/>
        <v>381</v>
      </c>
    </row>
    <row r="21" spans="2:7" ht="15.75" x14ac:dyDescent="0.25">
      <c r="B21" s="78">
        <v>17</v>
      </c>
      <c r="C21" s="78">
        <v>9</v>
      </c>
      <c r="D21" s="78">
        <f t="shared" si="1"/>
        <v>2020</v>
      </c>
      <c r="E21" s="113">
        <v>22</v>
      </c>
      <c r="F21" s="108">
        <v>382</v>
      </c>
      <c r="G21" s="56">
        <f t="shared" si="0"/>
        <v>404</v>
      </c>
    </row>
    <row r="22" spans="2:7" ht="15.75" x14ac:dyDescent="0.25">
      <c r="B22" s="78">
        <v>18</v>
      </c>
      <c r="C22" s="78">
        <v>9</v>
      </c>
      <c r="D22" s="78">
        <f t="shared" si="1"/>
        <v>2020</v>
      </c>
      <c r="E22" s="113">
        <v>35</v>
      </c>
      <c r="F22" s="108">
        <v>583</v>
      </c>
      <c r="G22" s="56">
        <f t="shared" si="0"/>
        <v>618</v>
      </c>
    </row>
    <row r="23" spans="2:7" ht="15.75" x14ac:dyDescent="0.25">
      <c r="B23" s="78">
        <v>19</v>
      </c>
      <c r="C23" s="78">
        <v>9</v>
      </c>
      <c r="D23" s="78">
        <f t="shared" si="1"/>
        <v>2020</v>
      </c>
      <c r="E23" s="113">
        <v>20</v>
      </c>
      <c r="F23" s="108">
        <v>347</v>
      </c>
      <c r="G23" s="56">
        <f t="shared" si="0"/>
        <v>367</v>
      </c>
    </row>
    <row r="24" spans="2:7" ht="15.75" x14ac:dyDescent="0.25">
      <c r="B24" s="78">
        <v>20</v>
      </c>
      <c r="C24" s="78">
        <v>9</v>
      </c>
      <c r="D24" s="78">
        <f t="shared" si="1"/>
        <v>2020</v>
      </c>
      <c r="E24" s="113">
        <v>20</v>
      </c>
      <c r="F24" s="108">
        <v>341</v>
      </c>
      <c r="G24" s="56">
        <f t="shared" si="0"/>
        <v>361</v>
      </c>
    </row>
    <row r="25" spans="2:7" ht="15.75" x14ac:dyDescent="0.25">
      <c r="B25" s="78">
        <v>21</v>
      </c>
      <c r="C25" s="78">
        <v>9</v>
      </c>
      <c r="D25" s="78">
        <f t="shared" si="1"/>
        <v>2020</v>
      </c>
      <c r="E25" s="113">
        <v>24</v>
      </c>
      <c r="F25" s="108">
        <v>389</v>
      </c>
      <c r="G25" s="56">
        <f t="shared" si="0"/>
        <v>413</v>
      </c>
    </row>
    <row r="26" spans="2:7" ht="15.75" x14ac:dyDescent="0.25">
      <c r="B26" s="78">
        <v>22</v>
      </c>
      <c r="C26" s="78">
        <v>9</v>
      </c>
      <c r="D26" s="78">
        <f t="shared" si="1"/>
        <v>2020</v>
      </c>
      <c r="E26" s="113">
        <v>29</v>
      </c>
      <c r="F26" s="108">
        <v>476</v>
      </c>
      <c r="G26" s="56">
        <f t="shared" si="0"/>
        <v>505</v>
      </c>
    </row>
    <row r="27" spans="2:7" ht="15.75" x14ac:dyDescent="0.25">
      <c r="B27" s="78">
        <v>23</v>
      </c>
      <c r="C27" s="78">
        <v>9</v>
      </c>
      <c r="D27" s="78">
        <f t="shared" si="1"/>
        <v>2020</v>
      </c>
      <c r="E27" s="114">
        <v>18</v>
      </c>
      <c r="F27" s="109">
        <v>317</v>
      </c>
      <c r="G27" s="56">
        <f t="shared" si="0"/>
        <v>335</v>
      </c>
    </row>
    <row r="28" spans="2:7" ht="15.75" x14ac:dyDescent="0.25">
      <c r="B28" s="78">
        <v>24</v>
      </c>
      <c r="C28" s="78">
        <v>9</v>
      </c>
      <c r="D28" s="78">
        <f t="shared" si="1"/>
        <v>2020</v>
      </c>
      <c r="E28" s="113">
        <v>21</v>
      </c>
      <c r="F28" s="108">
        <v>341</v>
      </c>
      <c r="G28" s="56">
        <f t="shared" si="0"/>
        <v>362</v>
      </c>
    </row>
    <row r="29" spans="2:7" ht="15.75" x14ac:dyDescent="0.25">
      <c r="B29" s="78">
        <v>25</v>
      </c>
      <c r="C29" s="78">
        <v>9</v>
      </c>
      <c r="D29" s="78">
        <f t="shared" si="1"/>
        <v>2020</v>
      </c>
      <c r="E29" s="113">
        <v>22</v>
      </c>
      <c r="F29" s="108">
        <v>376</v>
      </c>
      <c r="G29" s="56">
        <f t="shared" si="0"/>
        <v>398</v>
      </c>
    </row>
    <row r="30" spans="2:7" ht="15.75" x14ac:dyDescent="0.25">
      <c r="B30" s="78">
        <v>26</v>
      </c>
      <c r="C30" s="78">
        <v>9</v>
      </c>
      <c r="D30" s="78">
        <f t="shared" si="1"/>
        <v>2020</v>
      </c>
      <c r="E30" s="113">
        <v>32</v>
      </c>
      <c r="F30" s="108">
        <v>520</v>
      </c>
      <c r="G30" s="56">
        <f t="shared" si="0"/>
        <v>552</v>
      </c>
    </row>
    <row r="31" spans="2:7" ht="15.75" x14ac:dyDescent="0.25">
      <c r="B31" s="78">
        <v>27</v>
      </c>
      <c r="C31" s="78">
        <v>9</v>
      </c>
      <c r="D31" s="78">
        <f t="shared" si="1"/>
        <v>2020</v>
      </c>
      <c r="E31" s="113">
        <v>16</v>
      </c>
      <c r="F31" s="108">
        <v>276</v>
      </c>
      <c r="G31" s="56">
        <f t="shared" si="0"/>
        <v>292</v>
      </c>
    </row>
    <row r="32" spans="2:7" ht="15.75" x14ac:dyDescent="0.25">
      <c r="B32" s="78">
        <v>28</v>
      </c>
      <c r="C32" s="78">
        <v>9</v>
      </c>
      <c r="D32" s="78">
        <f t="shared" si="1"/>
        <v>2020</v>
      </c>
      <c r="E32" s="113">
        <v>18</v>
      </c>
      <c r="F32" s="108">
        <v>300</v>
      </c>
      <c r="G32" s="56">
        <f t="shared" si="0"/>
        <v>318</v>
      </c>
    </row>
    <row r="33" spans="2:9" ht="15.75" x14ac:dyDescent="0.25">
      <c r="B33" s="78">
        <v>29</v>
      </c>
      <c r="C33" s="78">
        <v>9</v>
      </c>
      <c r="D33" s="78">
        <f t="shared" si="1"/>
        <v>2020</v>
      </c>
      <c r="E33" s="113">
        <v>20</v>
      </c>
      <c r="F33" s="108">
        <v>331</v>
      </c>
      <c r="G33" s="56">
        <f t="shared" si="0"/>
        <v>351</v>
      </c>
    </row>
    <row r="34" spans="2:9" ht="15.75" x14ac:dyDescent="0.25">
      <c r="B34" s="78">
        <v>30</v>
      </c>
      <c r="C34" s="78">
        <v>9</v>
      </c>
      <c r="D34" s="78">
        <f t="shared" si="1"/>
        <v>2020</v>
      </c>
      <c r="E34" s="113">
        <v>23</v>
      </c>
      <c r="F34" s="108">
        <v>377</v>
      </c>
      <c r="G34" s="56">
        <f t="shared" si="0"/>
        <v>400</v>
      </c>
    </row>
    <row r="35" spans="2:9" ht="21" x14ac:dyDescent="0.35">
      <c r="B35" s="64"/>
      <c r="C35" s="64"/>
      <c r="D35" s="64"/>
      <c r="E35" s="14">
        <f>SUM(E5:E34)</f>
        <v>852</v>
      </c>
      <c r="F35" s="14">
        <f>SUM(F5:F34)</f>
        <v>11616</v>
      </c>
      <c r="G35" s="14">
        <f>SUM(G5:G34)</f>
        <v>12468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12468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156473400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2023-03-14T07:29:59Z</dcterms:modified>
</cp:coreProperties>
</file>