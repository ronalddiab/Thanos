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8ED9008-71B6-411A-8F7C-E0A9E0845D1E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3" l="1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U31" i="2"/>
  <c r="U30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6" i="2" l="1"/>
  <c r="U28" i="2"/>
  <c r="U27" i="2"/>
  <c r="U29" i="2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U24" i="2" l="1"/>
  <c r="G24" i="3" s="1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F18" i="3" l="1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<sst xmlns="http://schemas.openxmlformats.org/spreadsheetml/2006/main" count="76" uniqueCount="40">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</sst>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14" workbookViewId="0">
      <selection activeCell="P31" sqref="P31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0</v>
      </c>
      <c r="F3" s="110" t="e">
        <f>('Septmeber 2025'!C3*0.27)/('Septmeber 2025'!C3+'Septmeber 2025'!E3)</f>
        <v>#DIV/0!</v>
      </c>
      <c r="G3" s="97" t="str">
        <f>'Septmeber 2025'!U3</f>
        <v>0</v>
      </c>
      <c r="H3" s="113">
        <v>0.62</v>
      </c>
      <c r="I3" s="98" t="str">
        <f>'Septmeber 2025'!W3</f>
        <v>0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0</v>
      </c>
      <c r="P3" s="100">
        <f>'Septmeber 2025'!AD3</f>
        <v>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0</v>
      </c>
      <c r="F4" s="110" t="e">
        <f>('Septmeber 2025'!C4*0.27)/('Septmeber 2025'!C4+'Septmeber 2025'!E4)</f>
        <v>#DIV/0!</v>
      </c>
      <c r="G4" s="97" t="str">
        <f>'Septmeber 2025'!U4</f>
        <v>0</v>
      </c>
      <c r="H4" s="113">
        <v>0.62</v>
      </c>
      <c r="I4" s="98">
        <f>'Septmeber 2025'!W4</f>
        <v>0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0</v>
      </c>
      <c r="P4" s="100">
        <f>'Septmeber 2025'!AD4</f>
        <v>0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0</v>
      </c>
      <c r="F5" s="110" t="e">
        <f>('Septmeber 2025'!C5*0.27)/('Septmeber 2025'!C5+'Septmeber 2025'!E5)</f>
        <v>#DIV/0!</v>
      </c>
      <c r="G5" s="97" t="str">
        <f>'Septmeber 2025'!U5</f>
        <v>0</v>
      </c>
      <c r="H5" s="113">
        <v>0.62</v>
      </c>
      <c r="I5" s="98">
        <f>'Septmeber 2025'!W5</f>
        <v>0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0</v>
      </c>
      <c r="P5" s="100">
        <f>'Septmeber 2025'!AD5</f>
        <v>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0</v>
      </c>
      <c r="F6" s="110" t="e">
        <f>('Septmeber 2025'!C6*0.27)/('Septmeber 2025'!C6+'Septmeber 2025'!E6)</f>
        <v>#DIV/0!</v>
      </c>
      <c r="G6" s="97" t="str">
        <f>'Septmeber 2025'!U6</f>
        <v>0</v>
      </c>
      <c r="H6" s="113">
        <v>0.62</v>
      </c>
      <c r="I6" s="98">
        <f>'Septmeber 2025'!W6</f>
        <v>0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0</v>
      </c>
      <c r="P6" s="100">
        <f>'Septmeber 2025'!AD6</f>
        <v>0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0</v>
      </c>
      <c r="F7" s="110" t="e">
        <f>('Septmeber 2025'!C7*0.27)/('Septmeber 2025'!C7+'Septmeber 2025'!E7)</f>
        <v>#DIV/0!</v>
      </c>
      <c r="G7" s="97" t="str">
        <f>'Septmeber 2025'!U7</f>
        <v>0</v>
      </c>
      <c r="H7" s="113">
        <v>0.62</v>
      </c>
      <c r="I7" s="98">
        <f>'Septmeber 2025'!W7</f>
        <v>0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0</v>
      </c>
      <c r="P7" s="100">
        <f>'Septmeber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0</v>
      </c>
      <c r="F8" s="110" t="e">
        <f>('Septmeber 2025'!C8*0.27)/('Septmeber 2025'!C8+'Septmeber 2025'!E8)</f>
        <v>#DIV/0!</v>
      </c>
      <c r="G8" s="97" t="str">
        <f>'Septmeber 2025'!U8</f>
        <v>0</v>
      </c>
      <c r="H8" s="113">
        <v>0.62</v>
      </c>
      <c r="I8" s="98">
        <f>'Septmeber 2025'!W8</f>
        <v>0</v>
      </c>
      <c r="J8" s="99">
        <v>2.42</v>
      </c>
      <c r="K8" s="106">
        <f>'Septmeber 2025'!AB8*5.04</f>
        <v>0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0</v>
      </c>
      <c r="P8" s="100">
        <f>'Septmeber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0</v>
      </c>
      <c r="F9" s="110" t="e">
        <f>('Septmeber 2025'!C9*0.27)/('Septmeber 2025'!C9+'Septmeber 2025'!E9)</f>
        <v>#DIV/0!</v>
      </c>
      <c r="G9" s="97" t="str">
        <f>'Septmeber 2025'!U9</f>
        <v>0</v>
      </c>
      <c r="H9" s="113">
        <v>0.62</v>
      </c>
      <c r="I9" s="98">
        <f>'Septmeber 2025'!W9</f>
        <v>0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0</v>
      </c>
      <c r="P9" s="100">
        <f>'Septmeber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0</v>
      </c>
      <c r="F10" s="110" t="e">
        <f>('Septmeber 2025'!C10*0.27)/('Septmeber 2025'!C10+'Septmeber 2025'!E10)</f>
        <v>#DIV/0!</v>
      </c>
      <c r="G10" s="97" t="str">
        <f>'Septmeber 2025'!U10</f>
        <v>0</v>
      </c>
      <c r="H10" s="113">
        <v>0.62</v>
      </c>
      <c r="I10" s="98">
        <f>'Septmeber 2025'!W10</f>
        <v>0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0</v>
      </c>
      <c r="P10" s="100">
        <f>'Septmeber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0</v>
      </c>
      <c r="F11" s="110" t="e">
        <f>('Septmeber 2025'!C11*0.27)/('Septmeber 2025'!C11+'Septmeber 2025'!E11)</f>
        <v>#DIV/0!</v>
      </c>
      <c r="G11" s="97" t="str">
        <f>'Septmeber 2025'!U11</f>
        <v>0</v>
      </c>
      <c r="H11" s="113">
        <v>0.62</v>
      </c>
      <c r="I11" s="98">
        <f>'Septmeber 2025'!W11</f>
        <v>0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0</v>
      </c>
      <c r="P11" s="100">
        <f>'Septmeber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0</v>
      </c>
      <c r="F12" s="110" t="e">
        <f>('Septmeber 2025'!C12*0.27)/('Septmeber 2025'!C12+'Septmeber 2025'!E12)</f>
        <v>#DIV/0!</v>
      </c>
      <c r="G12" s="97" t="str">
        <f>'Septmeber 2025'!U12</f>
        <v>0</v>
      </c>
      <c r="H12" s="113">
        <v>0.62</v>
      </c>
      <c r="I12" s="98">
        <f>'Septmeber 2025'!W12</f>
        <v>0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0</v>
      </c>
      <c r="P12" s="100">
        <f>'Septmeber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0</v>
      </c>
      <c r="F13" s="110" t="e">
        <f>('Septmeber 2025'!C13*0.27)/('Septmeber 2025'!C13+'Septmeber 2025'!E13)</f>
        <v>#DIV/0!</v>
      </c>
      <c r="G13" s="97" t="str">
        <f>'Septmeber 2025'!U13</f>
        <v>0</v>
      </c>
      <c r="H13" s="113">
        <v>0.62</v>
      </c>
      <c r="I13" s="98">
        <f>'Septmeber 2025'!W13</f>
        <v>0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0</v>
      </c>
      <c r="P13" s="100">
        <f>'Septmeber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0</v>
      </c>
      <c r="F14" s="110" t="e">
        <f>('Septmeber 2025'!C14*0.27)/('Septmeber 2025'!C14+'Septmeber 2025'!E14)</f>
        <v>#DIV/0!</v>
      </c>
      <c r="G14" s="97" t="str">
        <f>'Septmeber 2025'!U14</f>
        <v>0</v>
      </c>
      <c r="H14" s="113">
        <v>0.62</v>
      </c>
      <c r="I14" s="98">
        <f>'Septmeber 2025'!W14</f>
        <v>0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0</v>
      </c>
      <c r="P14" s="100">
        <f>'Septmeber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0</v>
      </c>
      <c r="F15" s="110" t="e">
        <f>('Septmeber 2025'!C15*0.27)/('Septmeber 2025'!C15+'Septmeber 2025'!E15)</f>
        <v>#DIV/0!</v>
      </c>
      <c r="G15" s="97" t="str">
        <f>'Septmeber 2025'!U15</f>
        <v>0</v>
      </c>
      <c r="H15" s="113">
        <v>0.62</v>
      </c>
      <c r="I15" s="98">
        <f>'Septmeber 2025'!W15</f>
        <v>0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0</v>
      </c>
      <c r="P15" s="100">
        <f>'Septmeber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0</v>
      </c>
      <c r="F16" s="110" t="e">
        <f>('Septmeber 2025'!C16*0.27)/('Septmeber 2025'!C16+'Septmeber 2025'!E16)</f>
        <v>#DIV/0!</v>
      </c>
      <c r="G16" s="97" t="str">
        <f>'Septmeber 2025'!U16</f>
        <v>0</v>
      </c>
      <c r="H16" s="113">
        <v>0.62</v>
      </c>
      <c r="I16" s="98">
        <f>'Septmeber 2025'!W16</f>
        <v>0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0</v>
      </c>
      <c r="P16" s="100">
        <f>'Septmeber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0</v>
      </c>
      <c r="F17" s="110" t="e">
        <f>('Septmeber 2025'!C17*0.27)/('Septmeber 2025'!C17+'Septmeber 2025'!E17)</f>
        <v>#DIV/0!</v>
      </c>
      <c r="G17" s="97" t="str">
        <f>'Septmeber 2025'!U17</f>
        <v>0</v>
      </c>
      <c r="H17" s="113">
        <v>0.62</v>
      </c>
      <c r="I17" s="98">
        <f>'Septmeber 2025'!W17</f>
        <v>0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0</v>
      </c>
      <c r="P17" s="100">
        <f>'Septmeber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0</v>
      </c>
      <c r="F18" s="110" t="e">
        <f>('Septmeber 2025'!C18*0.27)/('Septmeber 2025'!C18+'Septmeber 2025'!E18)</f>
        <v>#DIV/0!</v>
      </c>
      <c r="G18" s="97" t="str">
        <f>'Septmeber 2025'!U18</f>
        <v>0</v>
      </c>
      <c r="H18" s="113">
        <v>0.62</v>
      </c>
      <c r="I18" s="98">
        <f>'Septmeber 2025'!W18</f>
        <v>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0</v>
      </c>
      <c r="P18" s="100">
        <f>'Septmeber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0</v>
      </c>
      <c r="F19" s="110" t="e">
        <f>('Septmeber 2025'!C19*0.27)/('Septmeber 2025'!C19+'Septmeber 2025'!E19)</f>
        <v>#DIV/0!</v>
      </c>
      <c r="G19" s="97" t="str">
        <f>'Septmeber 2025'!U19</f>
        <v>0</v>
      </c>
      <c r="H19" s="113">
        <v>0.62</v>
      </c>
      <c r="I19" s="98">
        <f>'Septmeber 2025'!W19</f>
        <v>0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0</v>
      </c>
      <c r="P19" s="100">
        <f>'Septmeber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0</v>
      </c>
      <c r="F20" s="110" t="e">
        <f>('Septmeber 2025'!C20*0.27)/('Septmeber 2025'!C20+'Septmeber 2025'!E20)</f>
        <v>#DIV/0!</v>
      </c>
      <c r="G20" s="97" t="str">
        <f>'Septmeber 2025'!U20</f>
        <v>0</v>
      </c>
      <c r="H20" s="113">
        <v>0.62</v>
      </c>
      <c r="I20" s="98">
        <f>'Septmeber 2025'!W20</f>
        <v>0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0</v>
      </c>
      <c r="P20" s="100">
        <f>'Septmeber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0</v>
      </c>
      <c r="F21" s="110" t="e">
        <f>('Septmeber 2025'!C21*0.27)/('Septmeber 2025'!C21+'Septmeber 2025'!E21)</f>
        <v>#DIV/0!</v>
      </c>
      <c r="G21" s="97" t="str">
        <f>'Septmeber 2025'!U21</f>
        <v>0</v>
      </c>
      <c r="H21" s="113">
        <v>0.62</v>
      </c>
      <c r="I21" s="98">
        <f>'Septmeber 2025'!W21</f>
        <v>0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0</v>
      </c>
      <c r="P21" s="100">
        <f>'Septmeber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0</v>
      </c>
      <c r="F22" s="110" t="e">
        <f>('Septmeber 2025'!C22*0.27)/('Septmeber 2025'!C22+'Septmeber 2025'!E22)</f>
        <v>#DIV/0!</v>
      </c>
      <c r="G22" s="97" t="str">
        <f>'Septmeber 2025'!U22</f>
        <v>0</v>
      </c>
      <c r="H22" s="113">
        <v>0.62</v>
      </c>
      <c r="I22" s="98">
        <f>'Septmeber 2025'!W22</f>
        <v>0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0</v>
      </c>
      <c r="P22" s="100">
        <f>'Septmeber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0</v>
      </c>
      <c r="F23" s="110" t="e">
        <f>('Septmeber 2025'!C23*0.27)/('Septmeber 2025'!C23+'Septmeber 2025'!E23)</f>
        <v>#DIV/0!</v>
      </c>
      <c r="G23" s="97" t="str">
        <f>'Septmeber 2025'!U23</f>
        <v>0</v>
      </c>
      <c r="H23" s="113">
        <v>0.62</v>
      </c>
      <c r="I23" s="98">
        <f>'Septmeber 2025'!W23</f>
        <v>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0</v>
      </c>
      <c r="P23" s="100">
        <f>'Septmeber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0</v>
      </c>
      <c r="F24" s="110" t="e">
        <f>('Septmeber 2025'!C24*0.27)/('Septmeber 2025'!C24+'Septmeber 2025'!E24)</f>
        <v>#DIV/0!</v>
      </c>
      <c r="G24" s="97" t="str">
        <f>'Septmeber 2025'!U24</f>
        <v>0</v>
      </c>
      <c r="H24" s="113">
        <v>0.62</v>
      </c>
      <c r="I24" s="98">
        <f>'Septmeber 2025'!W24</f>
        <v>0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0</v>
      </c>
      <c r="P24" s="100">
        <f>'Septmeber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0</v>
      </c>
      <c r="F25" s="110" t="e">
        <f>('Septmeber 2025'!C25*0.27)/('Septmeber 2025'!C25+'Septmeber 2025'!E25)</f>
        <v>#DIV/0!</v>
      </c>
      <c r="G25" s="97" t="str">
        <f>'Septmeber 2025'!U25</f>
        <v>0</v>
      </c>
      <c r="H25" s="113">
        <v>0.62</v>
      </c>
      <c r="I25" s="98">
        <f>'Septmeber 2025'!W25</f>
        <v>0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0</v>
      </c>
      <c r="P25" s="100">
        <f>'Septmeber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0</v>
      </c>
      <c r="F26" s="110" t="e">
        <f>('Septmeber 2025'!C26*0.27)/('Septmeber 2025'!C26+'Septmeber 2025'!E26)</f>
        <v>#DIV/0!</v>
      </c>
      <c r="G26" s="97" t="str">
        <f>'Septmeber 2025'!U26</f>
        <v>0</v>
      </c>
      <c r="H26" s="113">
        <v>0.62</v>
      </c>
      <c r="I26" s="98">
        <f>'Septmeber 2025'!W26</f>
        <v>0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0</v>
      </c>
      <c r="P26" s="100">
        <f>'Septmeber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0</v>
      </c>
      <c r="P27" s="100">
        <f>'Septmeber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AD3" sqref="AD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-9486.6199999999953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 t="str">
        <f t="shared" ref="C3:C31" si="2">IF((B4-B3)&lt;0,"0",B4-B3)</f>
        <v>0</v>
      </c>
      <c r="D3" s="11">
        <v>911666</v>
      </c>
      <c r="E3" s="14" t="str">
        <f t="shared" ref="E3:E31" si="3">IF((D4-D3)&lt;0,"0",D4-D3)</f>
        <v>0</v>
      </c>
      <c r="F3" s="27">
        <v>1704</v>
      </c>
      <c r="G3" s="67">
        <f t="shared" ref="G3:G31" si="4">F4-F3</f>
        <v>0</v>
      </c>
      <c r="H3" s="69">
        <f t="shared" ref="H3:H30" si="5">C3+E3-G3</f>
        <v>0</v>
      </c>
      <c r="I3" s="73">
        <f t="shared" ref="I3:I30" si="6">H3-K3-M3-O3-Q3</f>
        <v>-45903.68</v>
      </c>
      <c r="J3" s="32">
        <f t="shared" si="0"/>
        <v>0.68000000000029104</v>
      </c>
      <c r="K3" s="20">
        <f t="shared" ref="K3:K32" si="7">A3</f>
        <v>45902</v>
      </c>
      <c r="L3" s="33">
        <v>7935</v>
      </c>
      <c r="M3" s="31">
        <v>0</v>
      </c>
      <c r="N3" s="32" t="str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 t="str">
        <f t="shared" ref="U3:U31" si="10">IF((S3-S4+T3)=S3,"0",(S3-S4+T3))</f>
        <v>0</v>
      </c>
      <c r="V3" s="41">
        <v>27860</v>
      </c>
      <c r="W3" s="32" t="str">
        <f t="shared" si="1"/>
        <v>0</v>
      </c>
      <c r="X3" s="43">
        <v>61265</v>
      </c>
      <c r="Y3" s="14" t="str">
        <f t="shared" ref="Y3:Y31" si="11">IF((X4-X3)&lt;0,"0",X4-X3)</f>
        <v>0</v>
      </c>
      <c r="Z3" s="46">
        <v>3630</v>
      </c>
      <c r="AA3" s="52"/>
      <c r="AB3" s="32" t="str">
        <f t="shared" ref="AB3:AB31" si="12">IF((Z3-Z4+AA3)=Z3,"0",(Z3-Z4+AA3))</f>
        <v>0</v>
      </c>
      <c r="AC3" s="13"/>
      <c r="AD3" s="18"/>
    </row>
    <row r="4" spans="1:30" ht="20.7" customHeight="1" x14ac:dyDescent="0.2">
      <c r="A4" s="19">
        <v>45903</v>
      </c>
      <c r="B4" s="10"/>
      <c r="C4" s="14">
        <f t="shared" si="2"/>
        <v>0</v>
      </c>
      <c r="D4" s="11"/>
      <c r="E4" s="14">
        <f t="shared" si="3"/>
        <v>0</v>
      </c>
      <c r="F4" s="27">
        <v>1704</v>
      </c>
      <c r="G4" s="67">
        <f t="shared" si="4"/>
        <v>0</v>
      </c>
      <c r="H4" s="69">
        <f t="shared" si="5"/>
        <v>0</v>
      </c>
      <c r="I4" s="73">
        <f t="shared" si="6"/>
        <v>-45903</v>
      </c>
      <c r="J4" s="32">
        <f t="shared" si="0"/>
        <v>-1</v>
      </c>
      <c r="K4" s="20">
        <f t="shared" si="7"/>
        <v>45903</v>
      </c>
      <c r="L4" s="33"/>
      <c r="M4" s="31">
        <v>0</v>
      </c>
      <c r="N4" s="32" t="str">
        <f t="shared" si="8"/>
        <v>0</v>
      </c>
      <c r="O4" s="85"/>
      <c r="P4" s="86"/>
      <c r="Q4" s="85"/>
      <c r="R4" s="86"/>
      <c r="S4" s="38">
        <f t="shared" si="9"/>
        <v>0</v>
      </c>
      <c r="T4" s="123"/>
      <c r="U4" s="32" t="str">
        <f t="shared" si="10"/>
        <v>0</v>
      </c>
      <c r="V4" s="41"/>
      <c r="W4" s="32">
        <f t="shared" si="1"/>
        <v>0</v>
      </c>
      <c r="X4" s="43"/>
      <c r="Y4" s="14">
        <f t="shared" si="11"/>
        <v>0</v>
      </c>
      <c r="Z4" s="46"/>
      <c r="AA4" s="52"/>
      <c r="AB4" s="32" t="str">
        <f t="shared" si="12"/>
        <v>0</v>
      </c>
      <c r="AC4" s="13"/>
      <c r="AD4" s="18"/>
    </row>
    <row r="5" spans="1:30" ht="20.7" customHeight="1" x14ac:dyDescent="0.2">
      <c r="A5" s="19">
        <v>45904</v>
      </c>
      <c r="B5" s="10"/>
      <c r="C5" s="14">
        <f t="shared" si="2"/>
        <v>0</v>
      </c>
      <c r="D5" s="11"/>
      <c r="E5" s="14">
        <f t="shared" si="3"/>
        <v>0</v>
      </c>
      <c r="F5" s="27">
        <v>1704</v>
      </c>
      <c r="G5" s="67">
        <f t="shared" si="4"/>
        <v>0</v>
      </c>
      <c r="H5" s="69">
        <f t="shared" si="5"/>
        <v>0</v>
      </c>
      <c r="I5" s="73">
        <f t="shared" si="6"/>
        <v>-45904</v>
      </c>
      <c r="J5" s="32">
        <f t="shared" si="0"/>
        <v>-1</v>
      </c>
      <c r="K5" s="20">
        <f t="shared" si="7"/>
        <v>45904</v>
      </c>
      <c r="L5" s="33"/>
      <c r="M5" s="31">
        <v>0</v>
      </c>
      <c r="N5" s="32" t="str">
        <f t="shared" si="8"/>
        <v>0</v>
      </c>
      <c r="O5" s="85"/>
      <c r="P5" s="86"/>
      <c r="Q5" s="85"/>
      <c r="R5" s="86"/>
      <c r="S5" s="38">
        <f t="shared" si="9"/>
        <v>0</v>
      </c>
      <c r="T5" s="123"/>
      <c r="U5" s="32" t="str">
        <f t="shared" si="10"/>
        <v>0</v>
      </c>
      <c r="V5" s="41"/>
      <c r="W5" s="32">
        <f t="shared" si="1"/>
        <v>0</v>
      </c>
      <c r="X5" s="43"/>
      <c r="Y5" s="14">
        <f t="shared" si="11"/>
        <v>0</v>
      </c>
      <c r="Z5" s="46"/>
      <c r="AA5" s="52"/>
      <c r="AB5" s="32" t="str">
        <f t="shared" si="12"/>
        <v>0</v>
      </c>
      <c r="AC5" s="13"/>
      <c r="AD5" s="18"/>
    </row>
    <row r="6" spans="1:30" ht="20.7" customHeight="1" x14ac:dyDescent="0.2">
      <c r="A6" s="19">
        <v>45905</v>
      </c>
      <c r="B6" s="10"/>
      <c r="C6" s="14">
        <f t="shared" si="2"/>
        <v>0</v>
      </c>
      <c r="D6" s="11"/>
      <c r="E6" s="14">
        <f t="shared" si="3"/>
        <v>0</v>
      </c>
      <c r="F6" s="27">
        <v>1704</v>
      </c>
      <c r="G6" s="67">
        <f t="shared" si="4"/>
        <v>0</v>
      </c>
      <c r="H6" s="69">
        <f t="shared" si="5"/>
        <v>0</v>
      </c>
      <c r="I6" s="73">
        <f t="shared" si="6"/>
        <v>-45905</v>
      </c>
      <c r="J6" s="32">
        <f t="shared" si="0"/>
        <v>-1</v>
      </c>
      <c r="K6" s="20">
        <f t="shared" si="7"/>
        <v>45905</v>
      </c>
      <c r="L6" s="33"/>
      <c r="M6" s="31">
        <v>0</v>
      </c>
      <c r="N6" s="32" t="str">
        <f t="shared" si="8"/>
        <v>0</v>
      </c>
      <c r="O6" s="85"/>
      <c r="P6" s="86"/>
      <c r="Q6" s="85"/>
      <c r="R6" s="86"/>
      <c r="S6" s="38">
        <f t="shared" si="9"/>
        <v>0</v>
      </c>
      <c r="T6" s="123"/>
      <c r="U6" s="32" t="str">
        <f t="shared" si="10"/>
        <v>0</v>
      </c>
      <c r="V6" s="41"/>
      <c r="W6" s="32">
        <f t="shared" si="1"/>
        <v>0</v>
      </c>
      <c r="X6" s="43"/>
      <c r="Y6" s="14">
        <f t="shared" si="11"/>
        <v>0</v>
      </c>
      <c r="Z6" s="46"/>
      <c r="AA6" s="52"/>
      <c r="AB6" s="32" t="str">
        <f t="shared" si="12"/>
        <v>0</v>
      </c>
      <c r="AC6" s="13"/>
      <c r="AD6" s="18"/>
    </row>
    <row r="7" spans="1:30" ht="20.7" customHeight="1" x14ac:dyDescent="0.2">
      <c r="A7" s="19">
        <v>45906</v>
      </c>
      <c r="B7" s="10"/>
      <c r="C7" s="14">
        <f t="shared" si="2"/>
        <v>0</v>
      </c>
      <c r="D7" s="11"/>
      <c r="E7" s="14">
        <f t="shared" si="3"/>
        <v>0</v>
      </c>
      <c r="F7" s="27">
        <v>1704</v>
      </c>
      <c r="G7" s="67">
        <f t="shared" si="4"/>
        <v>0</v>
      </c>
      <c r="H7" s="69">
        <f t="shared" si="5"/>
        <v>0</v>
      </c>
      <c r="I7" s="73">
        <f t="shared" si="6"/>
        <v>-45906</v>
      </c>
      <c r="J7" s="32">
        <f t="shared" si="0"/>
        <v>-1</v>
      </c>
      <c r="K7" s="20">
        <f t="shared" si="7"/>
        <v>45906</v>
      </c>
      <c r="L7" s="33"/>
      <c r="M7" s="31">
        <v>0</v>
      </c>
      <c r="N7" s="32" t="str">
        <f t="shared" si="8"/>
        <v>0</v>
      </c>
      <c r="O7" s="85"/>
      <c r="P7" s="86"/>
      <c r="Q7" s="85"/>
      <c r="R7" s="86"/>
      <c r="S7" s="38">
        <f t="shared" si="9"/>
        <v>0</v>
      </c>
      <c r="T7" s="123"/>
      <c r="U7" s="32" t="str">
        <f t="shared" si="10"/>
        <v>0</v>
      </c>
      <c r="V7" s="41"/>
      <c r="W7" s="32">
        <f t="shared" si="1"/>
        <v>0</v>
      </c>
      <c r="X7" s="43"/>
      <c r="Y7" s="14">
        <f t="shared" si="11"/>
        <v>0</v>
      </c>
      <c r="Z7" s="46"/>
      <c r="AA7" s="52"/>
      <c r="AB7" s="32" t="str">
        <f t="shared" si="12"/>
        <v>0</v>
      </c>
      <c r="AC7" s="13"/>
      <c r="AD7" s="18"/>
    </row>
    <row r="8" spans="1:30" ht="20.7" customHeight="1" x14ac:dyDescent="0.2">
      <c r="A8" s="19">
        <v>45907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67">
        <f t="shared" si="4"/>
        <v>0</v>
      </c>
      <c r="H8" s="69">
        <f t="shared" si="5"/>
        <v>0</v>
      </c>
      <c r="I8" s="73">
        <f t="shared" si="6"/>
        <v>-45907</v>
      </c>
      <c r="J8" s="32">
        <f t="shared" si="0"/>
        <v>-1</v>
      </c>
      <c r="K8" s="20">
        <f t="shared" si="7"/>
        <v>45907</v>
      </c>
      <c r="L8" s="33"/>
      <c r="M8" s="31">
        <v>0</v>
      </c>
      <c r="N8" s="32" t="str">
        <f t="shared" si="8"/>
        <v>0</v>
      </c>
      <c r="O8" s="85"/>
      <c r="P8" s="86"/>
      <c r="Q8" s="85"/>
      <c r="R8" s="86"/>
      <c r="S8" s="38">
        <f t="shared" si="9"/>
        <v>0</v>
      </c>
      <c r="T8" s="123"/>
      <c r="U8" s="32" t="str">
        <f t="shared" si="10"/>
        <v>0</v>
      </c>
      <c r="V8" s="41"/>
      <c r="W8" s="32">
        <f t="shared" si="1"/>
        <v>0</v>
      </c>
      <c r="X8" s="43"/>
      <c r="Y8" s="14">
        <f t="shared" si="11"/>
        <v>0</v>
      </c>
      <c r="Z8" s="46"/>
      <c r="AA8" s="52"/>
      <c r="AB8" s="32" t="str">
        <f t="shared" si="12"/>
        <v>0</v>
      </c>
      <c r="AC8" s="13"/>
      <c r="AD8" s="18"/>
    </row>
    <row r="9" spans="1:30" ht="20.7" customHeight="1" x14ac:dyDescent="0.2">
      <c r="A9" s="19">
        <v>45908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-45908</v>
      </c>
      <c r="J9" s="32">
        <f t="shared" si="0"/>
        <v>-1</v>
      </c>
      <c r="K9" s="20">
        <f t="shared" si="7"/>
        <v>45908</v>
      </c>
      <c r="L9" s="33"/>
      <c r="M9" s="31">
        <v>0</v>
      </c>
      <c r="N9" s="32" t="str">
        <f t="shared" si="8"/>
        <v>0</v>
      </c>
      <c r="O9" s="85"/>
      <c r="P9" s="86"/>
      <c r="Q9" s="85"/>
      <c r="R9" s="86"/>
      <c r="S9" s="38">
        <f t="shared" si="9"/>
        <v>0</v>
      </c>
      <c r="T9" s="123"/>
      <c r="U9" s="32" t="str">
        <f t="shared" si="10"/>
        <v>0</v>
      </c>
      <c r="V9" s="41"/>
      <c r="W9" s="32">
        <f t="shared" si="1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7" customHeight="1" x14ac:dyDescent="0.2">
      <c r="A10" s="19">
        <v>45909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-45909</v>
      </c>
      <c r="J10" s="32">
        <f t="shared" si="0"/>
        <v>-1</v>
      </c>
      <c r="K10" s="20">
        <f t="shared" si="7"/>
        <v>45909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7" customHeight="1" x14ac:dyDescent="0.2">
      <c r="A11" s="19">
        <v>45910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-45910</v>
      </c>
      <c r="J11" s="32">
        <f t="shared" si="0"/>
        <v>-1</v>
      </c>
      <c r="K11" s="20">
        <f t="shared" si="7"/>
        <v>45910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45911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-45911</v>
      </c>
      <c r="J12" s="32">
        <f t="shared" si="0"/>
        <v>-1</v>
      </c>
      <c r="K12" s="20">
        <f t="shared" si="7"/>
        <v>45911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45912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-45912</v>
      </c>
      <c r="J13" s="32">
        <f t="shared" si="0"/>
        <v>-1</v>
      </c>
      <c r="K13" s="20">
        <f t="shared" si="7"/>
        <v>45912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45913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-45913</v>
      </c>
      <c r="J14" s="32">
        <f t="shared" si="0"/>
        <v>-1</v>
      </c>
      <c r="K14" s="20">
        <f t="shared" si="7"/>
        <v>45913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45914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-45914</v>
      </c>
      <c r="J15" s="32">
        <f t="shared" si="0"/>
        <v>-1</v>
      </c>
      <c r="K15" s="20">
        <f t="shared" si="7"/>
        <v>45914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45915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-45915</v>
      </c>
      <c r="J16" s="32">
        <f t="shared" si="0"/>
        <v>-1</v>
      </c>
      <c r="K16" s="20">
        <f t="shared" si="7"/>
        <v>45915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45916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-45916</v>
      </c>
      <c r="J17" s="32">
        <f t="shared" si="0"/>
        <v>-1</v>
      </c>
      <c r="K17" s="20">
        <f t="shared" si="7"/>
        <v>45916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45917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-45917</v>
      </c>
      <c r="J18" s="32">
        <f t="shared" si="0"/>
        <v>-1</v>
      </c>
      <c r="K18" s="20">
        <f t="shared" si="7"/>
        <v>45917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45918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-45918</v>
      </c>
      <c r="J19" s="32">
        <f t="shared" si="0"/>
        <v>-1</v>
      </c>
      <c r="K19" s="20">
        <f t="shared" si="7"/>
        <v>45918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45919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-45919</v>
      </c>
      <c r="J20" s="32">
        <f t="shared" si="0"/>
        <v>-1</v>
      </c>
      <c r="K20" s="20">
        <f t="shared" si="7"/>
        <v>45919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45920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-45920</v>
      </c>
      <c r="J21" s="32">
        <f t="shared" si="0"/>
        <v>-1</v>
      </c>
      <c r="K21" s="20">
        <f t="shared" si="7"/>
        <v>45920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45921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-45921</v>
      </c>
      <c r="J22" s="32">
        <f t="shared" si="0"/>
        <v>-1</v>
      </c>
      <c r="K22" s="20">
        <f t="shared" si="7"/>
        <v>45921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45922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-45922</v>
      </c>
      <c r="J23" s="32">
        <f t="shared" si="0"/>
        <v>-1</v>
      </c>
      <c r="K23" s="20">
        <f t="shared" si="7"/>
        <v>45922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45923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-45923</v>
      </c>
      <c r="J24" s="32">
        <f t="shared" si="0"/>
        <v>-1</v>
      </c>
      <c r="K24" s="20">
        <f t="shared" si="7"/>
        <v>45923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45924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-45924</v>
      </c>
      <c r="J25" s="32">
        <f t="shared" si="0"/>
        <v>-1</v>
      </c>
      <c r="K25" s="20">
        <f t="shared" si="7"/>
        <v>45924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45925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-45925</v>
      </c>
      <c r="J26" s="32">
        <f t="shared" si="0"/>
        <v>-1</v>
      </c>
      <c r="K26" s="20">
        <f t="shared" si="7"/>
        <v>45925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45926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-45926</v>
      </c>
      <c r="J27" s="32">
        <f t="shared" si="0"/>
        <v>-1</v>
      </c>
      <c r="K27" s="20">
        <f t="shared" si="7"/>
        <v>45926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8218</v>
      </c>
      <c r="D33" s="77"/>
      <c r="E33" s="76">
        <f>SUM(E2:E32)</f>
        <v>1267</v>
      </c>
      <c r="F33" s="78"/>
      <c r="G33" s="76">
        <f>SUM(G2:G32)</f>
        <v>0</v>
      </c>
      <c r="H33" s="77">
        <f>SUM(H2:H32)</f>
        <v>9485</v>
      </c>
      <c r="I33" s="76">
        <f>SUM(I2:I31)</f>
        <v>-1367982.74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1507</v>
      </c>
      <c r="U33" s="76">
        <f>SUM(U2:U32)</f>
        <v>172</v>
      </c>
      <c r="V33" s="75"/>
      <c r="W33" s="76">
        <f>SUM(W2:W32)</f>
        <v>103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314</v>
      </c>
      <c r="AD33" s="80">
        <f>SUM(AD2:AD32)</f>
        <v>659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2025-09-02T06:14:33Z</dcterms:modified>
  <cp:category/>
  <cp:contentStatus/>
</cp:coreProperties>
</file>