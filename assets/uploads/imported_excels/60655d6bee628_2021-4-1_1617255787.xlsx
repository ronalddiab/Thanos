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2780" yWindow="60" windowWidth="14145" windowHeight="12075" tabRatio="581" firstSheet="2" activeTab="6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Sheet1" sheetId="63" state="hidden" r:id="rId9"/>
    <sheet name="Report" sheetId="65" state="hidden" r:id="rId10"/>
    <sheet name="Sheet5" sheetId="75" state="hidden" r:id="rId11"/>
    <sheet name="GEN" sheetId="3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xlnm.Print_Area" localSheetId="14">'Degree Days 2020'!$A$41:$AJ$92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K29" i="76"/>
  <c r="D31" i="73"/>
  <c r="A25" i="3"/>
  <c r="C25"/>
  <c r="F25" s="1"/>
  <c r="E25"/>
  <c r="H25"/>
  <c r="I25"/>
  <c r="J25"/>
  <c r="Q25" s="1"/>
  <c r="L25"/>
  <c r="M25"/>
  <c r="P25"/>
  <c r="Y25"/>
  <c r="X25"/>
  <c r="AD25"/>
  <c r="AI25" s="1"/>
  <c r="AJ25"/>
  <c r="S25" l="1"/>
  <c r="U25" s="1"/>
  <c r="K25"/>
  <c r="N25" s="1"/>
  <c r="AB25" s="1"/>
  <c r="AA25" l="1"/>
  <c r="T25"/>
  <c r="Z25"/>
  <c r="AC25" l="1"/>
  <c r="AK25"/>
  <c r="AE25"/>
  <c r="AF25" s="1"/>
  <c r="AG25" s="1"/>
  <c r="AH25" l="1"/>
  <c r="T23"/>
  <c r="S23"/>
  <c r="A23"/>
  <c r="B23"/>
  <c r="C23" s="1"/>
  <c r="D23"/>
  <c r="H23"/>
  <c r="I23" s="1"/>
  <c r="J23"/>
  <c r="K23" s="1"/>
  <c r="N23" s="1"/>
  <c r="L23"/>
  <c r="M23" s="1"/>
  <c r="P23"/>
  <c r="Q23" s="1"/>
  <c r="Y23"/>
  <c r="X23"/>
  <c r="AD23"/>
  <c r="AI23" s="1"/>
  <c r="AJ23"/>
  <c r="O25" i="1"/>
  <c r="A23"/>
  <c r="AE20" i="2"/>
  <c r="Y7"/>
  <c r="U7" i="3"/>
  <c r="E23" l="1"/>
  <c r="F23"/>
  <c r="AB23" s="1"/>
  <c r="U23"/>
  <c r="U4"/>
  <c r="U5"/>
  <c r="AA23" l="1"/>
  <c r="Z23"/>
  <c r="AC23" l="1"/>
  <c r="AK23"/>
  <c r="AE23"/>
  <c r="AF23" s="1"/>
  <c r="AG23" s="1"/>
  <c r="AH23" l="1"/>
  <c r="B14" i="77"/>
  <c r="I10"/>
  <c r="I8"/>
  <c r="I7"/>
  <c r="B30" i="82" l="1"/>
  <c r="B31" s="1"/>
  <c r="B32" s="1"/>
  <c r="L30"/>
  <c r="L31"/>
  <c r="L32"/>
  <c r="B30" i="81"/>
  <c r="O30"/>
  <c r="B31"/>
  <c r="O31"/>
  <c r="B32"/>
  <c r="F32"/>
  <c r="O32"/>
  <c r="J11" i="74"/>
  <c r="K11"/>
  <c r="J12"/>
  <c r="K12"/>
  <c r="J13"/>
  <c r="K13"/>
  <c r="J14"/>
  <c r="K14"/>
  <c r="J15"/>
  <c r="K15"/>
  <c r="J16"/>
  <c r="K16"/>
  <c r="J17"/>
  <c r="K17"/>
  <c r="J18"/>
  <c r="K18"/>
  <c r="J19"/>
  <c r="K19"/>
  <c r="J20"/>
  <c r="K20"/>
  <c r="J21"/>
  <c r="K21"/>
  <c r="J22"/>
  <c r="K22"/>
  <c r="J23"/>
  <c r="K23"/>
  <c r="J24"/>
  <c r="K24"/>
  <c r="J25"/>
  <c r="K25"/>
  <c r="J26"/>
  <c r="K26"/>
  <c r="J27"/>
  <c r="K27"/>
  <c r="J28"/>
  <c r="K28"/>
  <c r="J29"/>
  <c r="K29"/>
  <c r="J30"/>
  <c r="K30"/>
  <c r="J31"/>
  <c r="K31"/>
  <c r="J32"/>
  <c r="K32"/>
  <c r="J33"/>
  <c r="K33"/>
  <c r="J34"/>
  <c r="K34"/>
  <c r="J35"/>
  <c r="K35"/>
  <c r="J36"/>
  <c r="K36"/>
  <c r="J37"/>
  <c r="K37"/>
  <c r="J38"/>
  <c r="K38"/>
  <c r="J39"/>
  <c r="K39"/>
  <c r="J40"/>
  <c r="K40"/>
  <c r="K10"/>
  <c r="J10"/>
  <c r="G37"/>
  <c r="F37"/>
  <c r="G36"/>
  <c r="F36"/>
  <c r="G35"/>
  <c r="F35"/>
  <c r="G34"/>
  <c r="F34"/>
  <c r="G33"/>
  <c r="F33"/>
  <c r="G32"/>
  <c r="F32"/>
  <c r="G31"/>
  <c r="F31"/>
  <c r="G30"/>
  <c r="F30"/>
  <c r="G29"/>
  <c r="F29"/>
  <c r="G28"/>
  <c r="F28"/>
  <c r="G27"/>
  <c r="F27"/>
  <c r="G26"/>
  <c r="F26"/>
  <c r="G25"/>
  <c r="F25"/>
  <c r="G24"/>
  <c r="F24"/>
  <c r="G23"/>
  <c r="F23"/>
  <c r="G22"/>
  <c r="F22"/>
  <c r="G21"/>
  <c r="F21"/>
  <c r="G20"/>
  <c r="F20"/>
  <c r="G19"/>
  <c r="F19"/>
  <c r="G18"/>
  <c r="F18"/>
  <c r="G17"/>
  <c r="F17"/>
  <c r="G16"/>
  <c r="F16"/>
  <c r="G15"/>
  <c r="F15"/>
  <c r="G14"/>
  <c r="F14"/>
  <c r="G13"/>
  <c r="F13"/>
  <c r="G12"/>
  <c r="F12"/>
  <c r="G11"/>
  <c r="F11"/>
  <c r="G10"/>
  <c r="F10"/>
  <c r="C5" i="79"/>
  <c r="D5"/>
  <c r="E5"/>
  <c r="F5"/>
  <c r="G5"/>
  <c r="H5"/>
  <c r="H6" s="1"/>
  <c r="B5"/>
  <c r="W10" i="76"/>
  <c r="X10"/>
  <c r="Y10"/>
  <c r="Z10"/>
  <c r="W11"/>
  <c r="X11"/>
  <c r="Y11"/>
  <c r="Z11"/>
  <c r="W9"/>
  <c r="V26" s="1"/>
  <c r="X9"/>
  <c r="Y9"/>
  <c r="Z9"/>
  <c r="E3"/>
  <c r="C3"/>
  <c r="D3"/>
  <c r="F3"/>
  <c r="G3"/>
  <c r="H3"/>
  <c r="I3"/>
  <c r="J3"/>
  <c r="K3"/>
  <c r="L3"/>
  <c r="M3"/>
  <c r="N3"/>
  <c r="Q3"/>
  <c r="S3"/>
  <c r="B3"/>
  <c r="R27" i="3"/>
  <c r="R29" s="1"/>
  <c r="R30" s="1"/>
  <c r="R31" s="1"/>
  <c r="C2"/>
  <c r="D2"/>
  <c r="D3" s="1"/>
  <c r="D4" s="1"/>
  <c r="D5" s="1"/>
  <c r="D6" s="1"/>
  <c r="D7" s="1"/>
  <c r="D8" s="1"/>
  <c r="D10" s="1"/>
  <c r="D11" s="1"/>
  <c r="D12" s="1"/>
  <c r="D13" s="1"/>
  <c r="D14" s="1"/>
  <c r="D15" s="1"/>
  <c r="D16" s="1"/>
  <c r="D17" s="1"/>
  <c r="D19" s="1"/>
  <c r="D20" s="1"/>
  <c r="D21" s="1"/>
  <c r="D22" s="1"/>
  <c r="E2"/>
  <c r="F2"/>
  <c r="G2"/>
  <c r="H2"/>
  <c r="I2"/>
  <c r="O2"/>
  <c r="R2"/>
  <c r="S2"/>
  <c r="T2"/>
  <c r="U2"/>
  <c r="V2"/>
  <c r="W2"/>
  <c r="X2"/>
  <c r="Y2"/>
  <c r="AD2"/>
  <c r="AI2"/>
  <c r="AJ2"/>
  <c r="B2"/>
  <c r="B3" s="1"/>
  <c r="B4" s="1"/>
  <c r="B5" s="1"/>
  <c r="B6" s="1"/>
  <c r="B7" s="1"/>
  <c r="B8" s="1"/>
  <c r="B10" s="1"/>
  <c r="B11" s="1"/>
  <c r="B12" s="1"/>
  <c r="B13" s="1"/>
  <c r="B14" s="1"/>
  <c r="B15" s="1"/>
  <c r="B17" s="1"/>
  <c r="B19" s="1"/>
  <c r="B20" s="1"/>
  <c r="B21" s="1"/>
  <c r="B22" s="1"/>
  <c r="C5" i="7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AQ5"/>
  <c r="AR5"/>
  <c r="AS5"/>
  <c r="AT5"/>
  <c r="AU5"/>
  <c r="AW5"/>
  <c r="AX5"/>
  <c r="AY5"/>
  <c r="AZ5"/>
  <c r="BA5"/>
  <c r="BB5"/>
  <c r="B5"/>
  <c r="AX10" i="5"/>
  <c r="AX18" s="1"/>
  <c r="AX20" s="1"/>
  <c r="AV18"/>
  <c r="AV20" s="1"/>
  <c r="AT8"/>
  <c r="AT10" s="1"/>
  <c r="AT11" s="1"/>
  <c r="AT12" s="1"/>
  <c r="AT13" s="1"/>
  <c r="AT18" s="1"/>
  <c r="AT19" s="1"/>
  <c r="AT20" s="1"/>
  <c r="AT22" s="1"/>
  <c r="AT28" s="1"/>
  <c r="AT34" s="1"/>
  <c r="AG7"/>
  <c r="AG8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E7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B7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V7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7" s="1"/>
  <c r="V28" s="1"/>
  <c r="V29" s="1"/>
  <c r="V30" s="1"/>
  <c r="V32" s="1"/>
  <c r="V33" s="1"/>
  <c r="V34" s="1"/>
  <c r="G6"/>
  <c r="G7" s="1"/>
  <c r="G8" s="1"/>
  <c r="G9" s="1"/>
  <c r="G10" s="1"/>
  <c r="G11" s="1"/>
  <c r="G12" s="1"/>
  <c r="G13" s="1"/>
  <c r="G14" s="1"/>
  <c r="G16" s="1"/>
  <c r="G17" s="1"/>
  <c r="G18" s="1"/>
  <c r="G19" s="1"/>
  <c r="G20" s="1"/>
  <c r="G21" s="1"/>
  <c r="G22" s="1"/>
  <c r="G24" s="1"/>
  <c r="G26" s="1"/>
  <c r="G28" s="1"/>
  <c r="G30" s="1"/>
  <c r="G32" s="1"/>
  <c r="G34" s="1"/>
  <c r="F5"/>
  <c r="G5"/>
  <c r="H5"/>
  <c r="K5"/>
  <c r="L5"/>
  <c r="R5"/>
  <c r="S5"/>
  <c r="T5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2" s="1"/>
  <c r="T23" s="1"/>
  <c r="T25" s="1"/>
  <c r="T26" s="1"/>
  <c r="T27" s="1"/>
  <c r="T28" s="1"/>
  <c r="T29" s="1"/>
  <c r="T30" s="1"/>
  <c r="T31" s="1"/>
  <c r="T32" s="1"/>
  <c r="T33" s="1"/>
  <c r="T35" s="1"/>
  <c r="T36" s="1"/>
  <c r="U5"/>
  <c r="V5"/>
  <c r="W5"/>
  <c r="X5"/>
  <c r="X6" s="1"/>
  <c r="X7" s="1"/>
  <c r="X8" s="1"/>
  <c r="X9" s="1"/>
  <c r="X10" s="1"/>
  <c r="X11" s="1"/>
  <c r="X12" s="1"/>
  <c r="X13" s="1"/>
  <c r="X17" s="1"/>
  <c r="X18" s="1"/>
  <c r="X19" s="1"/>
  <c r="X20" s="1"/>
  <c r="X21" s="1"/>
  <c r="X22" s="1"/>
  <c r="X28" s="1"/>
  <c r="X30" s="1"/>
  <c r="X34" s="1"/>
  <c r="Y5"/>
  <c r="Z16"/>
  <c r="Z17" s="1"/>
  <c r="Z18" s="1"/>
  <c r="Z19" s="1"/>
  <c r="Z20" s="1"/>
  <c r="Z21" s="1"/>
  <c r="Z22" s="1"/>
  <c r="Z26" s="1"/>
  <c r="Z28" s="1"/>
  <c r="Z30" s="1"/>
  <c r="Z31" s="1"/>
  <c r="Z34" s="1"/>
  <c r="AA5"/>
  <c r="AE5"/>
  <c r="AG5"/>
  <c r="AJ5"/>
  <c r="AK5"/>
  <c r="AL5"/>
  <c r="AM5"/>
  <c r="AN5"/>
  <c r="AO5"/>
  <c r="AP5"/>
  <c r="AQ5"/>
  <c r="AR5"/>
  <c r="AT5"/>
  <c r="AU5"/>
  <c r="AV5"/>
  <c r="AW5"/>
  <c r="AX5"/>
  <c r="AZ5"/>
  <c r="BA5"/>
  <c r="BC5"/>
  <c r="BD5"/>
  <c r="Z7" i="1"/>
  <c r="Z8" s="1"/>
  <c r="Z9" s="1"/>
  <c r="Z10" s="1"/>
  <c r="Z11" s="1"/>
  <c r="Z12" s="1"/>
  <c r="Z13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4" s="1"/>
  <c r="Z35" s="1"/>
  <c r="X7"/>
  <c r="X8" s="1"/>
  <c r="X9" s="1"/>
  <c r="X10" s="1"/>
  <c r="X11" s="1"/>
  <c r="X12" s="1"/>
  <c r="X13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P6"/>
  <c r="P11" s="1"/>
  <c r="P15" s="1"/>
  <c r="P18" s="1"/>
  <c r="P21" s="1"/>
  <c r="P24" s="1"/>
  <c r="P27" s="1"/>
  <c r="P30" s="1"/>
  <c r="P33" s="1"/>
  <c r="Q6"/>
  <c r="Q11"/>
  <c r="Q15" s="1"/>
  <c r="Q18" s="1"/>
  <c r="Q21" s="1"/>
  <c r="Q24" s="1"/>
  <c r="Q27" s="1"/>
  <c r="Q30" s="1"/>
  <c r="Q33" s="1"/>
  <c r="H7"/>
  <c r="H13" s="1"/>
  <c r="H16" s="1"/>
  <c r="H19" s="1"/>
  <c r="H22" s="1"/>
  <c r="H25" s="1"/>
  <c r="H28" s="1"/>
  <c r="H31" s="1"/>
  <c r="F7"/>
  <c r="F10" s="1"/>
  <c r="F13" s="1"/>
  <c r="F16" s="1"/>
  <c r="F19" s="1"/>
  <c r="F22" s="1"/>
  <c r="F25" s="1"/>
  <c r="F28" s="1"/>
  <c r="F31" s="1"/>
  <c r="C4"/>
  <c r="D4"/>
  <c r="E4"/>
  <c r="F4"/>
  <c r="G4"/>
  <c r="H4"/>
  <c r="I4"/>
  <c r="J4"/>
  <c r="K4"/>
  <c r="K5" s="1"/>
  <c r="K8" s="1"/>
  <c r="K11" s="1"/>
  <c r="K14" s="1"/>
  <c r="K17" s="1"/>
  <c r="K20" s="1"/>
  <c r="K23" s="1"/>
  <c r="K26" s="1"/>
  <c r="K29" s="1"/>
  <c r="K32" s="1"/>
  <c r="L4"/>
  <c r="M4"/>
  <c r="N4"/>
  <c r="O4"/>
  <c r="P4"/>
  <c r="Q4"/>
  <c r="R4"/>
  <c r="S4"/>
  <c r="T4"/>
  <c r="U4"/>
  <c r="V4"/>
  <c r="W4"/>
  <c r="X4"/>
  <c r="Y4"/>
  <c r="Z4"/>
  <c r="AA4"/>
  <c r="AB4"/>
  <c r="AC4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D4"/>
  <c r="AE4"/>
  <c r="AE5" s="1"/>
  <c r="AE6" s="1"/>
  <c r="AE7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F4"/>
  <c r="AG4"/>
  <c r="AH4"/>
  <c r="AI4"/>
  <c r="AJ4"/>
  <c r="AK4"/>
  <c r="AL4"/>
  <c r="AM4"/>
  <c r="AV4"/>
  <c r="AW4"/>
  <c r="B4"/>
  <c r="O33"/>
  <c r="O34" s="1"/>
  <c r="O35" s="1"/>
  <c r="Y4" i="2"/>
  <c r="Y5"/>
  <c r="Y6" s="1"/>
  <c r="Y8" s="1"/>
  <c r="Y9" s="1"/>
  <c r="Y10" s="1"/>
  <c r="Y11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W4"/>
  <c r="W5" s="1"/>
  <c r="W6" s="1"/>
  <c r="W8" s="1"/>
  <c r="W9" s="1"/>
  <c r="W10" s="1"/>
  <c r="W11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O31"/>
  <c r="O32"/>
  <c r="O33"/>
  <c r="M33"/>
  <c r="E32" i="82" s="1"/>
  <c r="E2" i="2"/>
  <c r="F2"/>
  <c r="G2"/>
  <c r="H2"/>
  <c r="I2"/>
  <c r="J2"/>
  <c r="K2"/>
  <c r="L2"/>
  <c r="M2"/>
  <c r="N2"/>
  <c r="O2"/>
  <c r="P2"/>
  <c r="Q2"/>
  <c r="R2"/>
  <c r="S2"/>
  <c r="S3" s="1"/>
  <c r="S4" s="1"/>
  <c r="S5" s="1"/>
  <c r="S6" s="1"/>
  <c r="S8" s="1"/>
  <c r="S9" s="1"/>
  <c r="S10" s="1"/>
  <c r="S11" s="1"/>
  <c r="S13" s="1"/>
  <c r="S14" s="1"/>
  <c r="S15" s="1"/>
  <c r="S16" s="1"/>
  <c r="S17" s="1"/>
  <c r="S19" s="1"/>
  <c r="S20" s="1"/>
  <c r="S21" s="1"/>
  <c r="S22" s="1"/>
  <c r="S23" s="1"/>
  <c r="S24" s="1"/>
  <c r="S25" s="1"/>
  <c r="S30" s="1"/>
  <c r="S31" s="1"/>
  <c r="T2"/>
  <c r="U2"/>
  <c r="U3" s="1"/>
  <c r="U4" s="1"/>
  <c r="U5" s="1"/>
  <c r="U6" s="1"/>
  <c r="V2"/>
  <c r="W2"/>
  <c r="X2"/>
  <c r="Y2"/>
  <c r="Z2"/>
  <c r="AA2"/>
  <c r="AB2"/>
  <c r="AC2"/>
  <c r="AD2"/>
  <c r="AE2"/>
  <c r="AF2"/>
  <c r="AG2"/>
  <c r="AH2"/>
  <c r="AI2"/>
  <c r="AJ2"/>
  <c r="AK2"/>
  <c r="AL2"/>
  <c r="AM2"/>
  <c r="AN2"/>
  <c r="AO2"/>
  <c r="AP2"/>
  <c r="AQ2"/>
  <c r="AR2"/>
  <c r="AS2"/>
  <c r="AT2"/>
  <c r="AU2"/>
  <c r="AV2"/>
  <c r="AW2"/>
  <c r="AX2"/>
  <c r="AY2"/>
  <c r="AZ2"/>
  <c r="BA2"/>
  <c r="BB2"/>
  <c r="BC2"/>
  <c r="BD2"/>
  <c r="BE2"/>
  <c r="BF2"/>
  <c r="BG2"/>
  <c r="BH2"/>
  <c r="BI2"/>
  <c r="BJ2"/>
  <c r="BK2"/>
  <c r="BL2"/>
  <c r="BM2"/>
  <c r="BN2"/>
  <c r="BO2"/>
  <c r="BP2"/>
  <c r="BQ2"/>
  <c r="BR2"/>
  <c r="BS2"/>
  <c r="BT2"/>
  <c r="BU2"/>
  <c r="BV2"/>
  <c r="BW2"/>
  <c r="BX2"/>
  <c r="BY2"/>
  <c r="BZ2"/>
  <c r="CA2"/>
  <c r="CB2"/>
  <c r="CC2"/>
  <c r="CD2"/>
  <c r="CE2"/>
  <c r="CF2"/>
  <c r="CG2"/>
  <c r="CH2"/>
  <c r="CI2"/>
  <c r="CJ2"/>
  <c r="CK2"/>
  <c r="CL2"/>
  <c r="CM2"/>
  <c r="CN2"/>
  <c r="CO2"/>
  <c r="CP2"/>
  <c r="CQ2"/>
  <c r="CR2"/>
  <c r="CS2"/>
  <c r="CT2"/>
  <c r="CU2"/>
  <c r="CV2"/>
  <c r="CW2"/>
  <c r="CX2"/>
  <c r="CY2"/>
  <c r="CZ2"/>
  <c r="D2"/>
  <c r="C2"/>
  <c r="B2"/>
  <c r="A2"/>
  <c r="A34" i="79"/>
  <c r="L34"/>
  <c r="M34"/>
  <c r="O34" s="1"/>
  <c r="A35"/>
  <c r="L35" s="1"/>
  <c r="A36"/>
  <c r="L36" s="1"/>
  <c r="A31" i="76"/>
  <c r="A32"/>
  <c r="A33"/>
  <c r="A34"/>
  <c r="AC33"/>
  <c r="AB33"/>
  <c r="AZ34" i="7"/>
  <c r="BB34"/>
  <c r="AZ35"/>
  <c r="BB35"/>
  <c r="AZ36"/>
  <c r="BB36"/>
  <c r="D34" i="73"/>
  <c r="AM34" i="5" s="1"/>
  <c r="G34" i="73"/>
  <c r="K34"/>
  <c r="D35"/>
  <c r="AM35" i="5" s="1"/>
  <c r="G35" i="73"/>
  <c r="K35"/>
  <c r="D36"/>
  <c r="AM36" i="5" s="1"/>
  <c r="G36" i="73"/>
  <c r="K36"/>
  <c r="AN34" i="5"/>
  <c r="AP34"/>
  <c r="AU34"/>
  <c r="AU35" s="1"/>
  <c r="AN35"/>
  <c r="AP35"/>
  <c r="AN36"/>
  <c r="AP36"/>
  <c r="AJ31" i="3"/>
  <c r="AJ32"/>
  <c r="AJ33"/>
  <c r="A31"/>
  <c r="A32"/>
  <c r="A33"/>
  <c r="A34" i="7"/>
  <c r="A35"/>
  <c r="A36"/>
  <c r="BE36"/>
  <c r="BG36" s="1"/>
  <c r="A34" i="73"/>
  <c r="A35"/>
  <c r="A36"/>
  <c r="A34" i="5"/>
  <c r="AR34" s="1"/>
  <c r="A35"/>
  <c r="AR35" s="1"/>
  <c r="A36"/>
  <c r="AR36" s="1"/>
  <c r="A33" i="1"/>
  <c r="A34"/>
  <c r="A35"/>
  <c r="D18" i="77"/>
  <c r="U8" i="2" l="1"/>
  <c r="U9" s="1"/>
  <c r="U10" s="1"/>
  <c r="U11" s="1"/>
  <c r="U13" s="1"/>
  <c r="U14" s="1"/>
  <c r="U15" s="1"/>
  <c r="U16" s="1"/>
  <c r="U17" s="1"/>
  <c r="U19" s="1"/>
  <c r="U20" s="1"/>
  <c r="U21" s="1"/>
  <c r="U22" s="1"/>
  <c r="U23" s="1"/>
  <c r="U24" s="1"/>
  <c r="U25" s="1"/>
  <c r="U30" s="1"/>
  <c r="U31" s="1"/>
  <c r="V31" s="1"/>
  <c r="U7"/>
  <c r="H7" i="79"/>
  <c r="H8" s="1"/>
  <c r="H10" s="1"/>
  <c r="H13" s="1"/>
  <c r="H14" s="1"/>
  <c r="H15" s="1"/>
  <c r="H17" s="1"/>
  <c r="H19" s="1"/>
  <c r="H20" s="1"/>
  <c r="H21" s="1"/>
  <c r="H23" s="1"/>
  <c r="H25" s="1"/>
  <c r="H26" s="1"/>
  <c r="H27" s="1"/>
  <c r="H28" s="1"/>
  <c r="H31" s="1"/>
  <c r="H32" s="1"/>
  <c r="H34" s="1"/>
  <c r="M31" i="2"/>
  <c r="E30" i="82" s="1"/>
  <c r="M32" i="2"/>
  <c r="E31" i="82" s="1"/>
  <c r="K31" i="2"/>
  <c r="F30" i="82" s="1"/>
  <c r="I31" i="2"/>
  <c r="G30" i="82" s="1"/>
  <c r="G31" i="2"/>
  <c r="I30" i="82" s="1"/>
  <c r="E31" i="2"/>
  <c r="K31" i="76"/>
  <c r="N31" s="1"/>
  <c r="I18"/>
  <c r="G31"/>
  <c r="C31"/>
  <c r="R32" i="3"/>
  <c r="S31"/>
  <c r="U31" s="1"/>
  <c r="E31"/>
  <c r="C31"/>
  <c r="F31" s="1"/>
  <c r="BA34" i="7"/>
  <c r="BA35"/>
  <c r="BA36"/>
  <c r="BA34" i="5"/>
  <c r="AZ34"/>
  <c r="AH34"/>
  <c r="AG35"/>
  <c r="AE35"/>
  <c r="AF34"/>
  <c r="Z35"/>
  <c r="AJ34"/>
  <c r="K30" i="82" s="1"/>
  <c r="AA34" i="5"/>
  <c r="X35"/>
  <c r="Y34"/>
  <c r="J30" i="82" s="1"/>
  <c r="V35" i="5"/>
  <c r="V36" s="1"/>
  <c r="W34"/>
  <c r="G35"/>
  <c r="H34"/>
  <c r="AE34" i="1"/>
  <c r="AF33"/>
  <c r="X34"/>
  <c r="X35" s="1"/>
  <c r="Y35" s="1"/>
  <c r="Y33"/>
  <c r="AB33" s="1"/>
  <c r="S33"/>
  <c r="T33" s="1"/>
  <c r="R33"/>
  <c r="L33"/>
  <c r="H34"/>
  <c r="I33"/>
  <c r="F34"/>
  <c r="G33"/>
  <c r="D33"/>
  <c r="E33" s="1"/>
  <c r="B31" i="7"/>
  <c r="AA34" i="1"/>
  <c r="AD34"/>
  <c r="AG34" s="1"/>
  <c r="AA33"/>
  <c r="AD33"/>
  <c r="AG33" s="1"/>
  <c r="AC33" i="2"/>
  <c r="AD31"/>
  <c r="AA33"/>
  <c r="AB31"/>
  <c r="Y32"/>
  <c r="Z31"/>
  <c r="W32"/>
  <c r="X31"/>
  <c r="T31"/>
  <c r="Q31"/>
  <c r="AD31" i="3" s="1"/>
  <c r="AI31" s="1"/>
  <c r="M35" i="79"/>
  <c r="AU36" i="5"/>
  <c r="U36"/>
  <c r="U35"/>
  <c r="U34"/>
  <c r="C19" i="77"/>
  <c r="C18"/>
  <c r="C17"/>
  <c r="C16"/>
  <c r="C15"/>
  <c r="C14"/>
  <c r="V33" i="2" l="1"/>
  <c r="K34" i="5"/>
  <c r="H35" i="79"/>
  <c r="I35" s="1"/>
  <c r="I34"/>
  <c r="AL34" i="5"/>
  <c r="Y34" i="1"/>
  <c r="AB34" s="1"/>
  <c r="AF31" i="2"/>
  <c r="K33"/>
  <c r="F32" i="82" s="1"/>
  <c r="K32" i="2"/>
  <c r="F31" i="82" s="1"/>
  <c r="I33" i="2"/>
  <c r="G32" i="82" s="1"/>
  <c r="I32" i="2"/>
  <c r="G31" i="82" s="1"/>
  <c r="G33" i="2"/>
  <c r="I32" i="82" s="1"/>
  <c r="G32" i="2"/>
  <c r="I31" i="82" s="1"/>
  <c r="E33" i="2"/>
  <c r="E32"/>
  <c r="H30" i="82"/>
  <c r="N31" i="2"/>
  <c r="R31" s="1"/>
  <c r="AI31" s="1"/>
  <c r="K32" i="76"/>
  <c r="N32" s="1"/>
  <c r="I31"/>
  <c r="M31" s="1"/>
  <c r="L31"/>
  <c r="G32"/>
  <c r="C32"/>
  <c r="S32" i="3"/>
  <c r="U32" s="1"/>
  <c r="S33"/>
  <c r="E33"/>
  <c r="E32"/>
  <c r="C32"/>
  <c r="C33"/>
  <c r="BA35" i="5"/>
  <c r="BD35" s="1"/>
  <c r="BA36"/>
  <c r="AZ35"/>
  <c r="BC35" s="1"/>
  <c r="AZ36"/>
  <c r="AH35"/>
  <c r="AG36"/>
  <c r="AH36" s="1"/>
  <c r="AI34"/>
  <c r="AE36"/>
  <c r="AF36" s="1"/>
  <c r="AF35"/>
  <c r="AJ35"/>
  <c r="K31" i="82" s="1"/>
  <c r="Z36" i="5"/>
  <c r="AA35"/>
  <c r="X36"/>
  <c r="Y36" s="1"/>
  <c r="J32" i="82" s="1"/>
  <c r="Y35" i="5"/>
  <c r="G36"/>
  <c r="H36" s="1"/>
  <c r="H35"/>
  <c r="AE35" i="1"/>
  <c r="AF35" s="1"/>
  <c r="AF34"/>
  <c r="AH34" s="1"/>
  <c r="AH33"/>
  <c r="S35"/>
  <c r="T35" s="1"/>
  <c r="S34"/>
  <c r="T34" s="1"/>
  <c r="U33"/>
  <c r="R35"/>
  <c r="R34"/>
  <c r="K35"/>
  <c r="L35" s="1"/>
  <c r="L34"/>
  <c r="I35"/>
  <c r="I34"/>
  <c r="G34"/>
  <c r="G35"/>
  <c r="J33"/>
  <c r="AL33"/>
  <c r="D34"/>
  <c r="E34" s="1"/>
  <c r="Z34" i="7"/>
  <c r="B32"/>
  <c r="D31"/>
  <c r="C31"/>
  <c r="AA35" i="1"/>
  <c r="AD35"/>
  <c r="AG35" s="1"/>
  <c r="AM34"/>
  <c r="AB35"/>
  <c r="AM33"/>
  <c r="Z32" i="2"/>
  <c r="Y33"/>
  <c r="Z33" s="1"/>
  <c r="X32"/>
  <c r="W33"/>
  <c r="X33" s="1"/>
  <c r="AE31"/>
  <c r="AG31" s="1"/>
  <c r="T32"/>
  <c r="T33"/>
  <c r="Q33"/>
  <c r="Q32"/>
  <c r="AB32"/>
  <c r="AB33"/>
  <c r="AD32"/>
  <c r="AD33"/>
  <c r="O35" i="79"/>
  <c r="M36"/>
  <c r="O36" s="1"/>
  <c r="W36" i="5"/>
  <c r="W35"/>
  <c r="F33" i="3" l="1"/>
  <c r="F32"/>
  <c r="K35" i="5"/>
  <c r="L35" s="1"/>
  <c r="AK35" s="1"/>
  <c r="H36" i="79"/>
  <c r="K36" i="5" s="1"/>
  <c r="V32" i="2"/>
  <c r="AF32" s="1"/>
  <c r="J31" i="82"/>
  <c r="BD36" i="5"/>
  <c r="H32" i="82"/>
  <c r="N33" i="2"/>
  <c r="R33" s="1"/>
  <c r="AI33" s="1"/>
  <c r="H31" i="82"/>
  <c r="N32" i="2"/>
  <c r="R32" s="1"/>
  <c r="AI32" s="1"/>
  <c r="E30" i="81"/>
  <c r="S32" i="76"/>
  <c r="K34"/>
  <c r="N34" s="1"/>
  <c r="K33"/>
  <c r="N33" s="1"/>
  <c r="I32"/>
  <c r="M32" s="1"/>
  <c r="D31"/>
  <c r="E31" s="1"/>
  <c r="L32"/>
  <c r="G34"/>
  <c r="G33"/>
  <c r="C34"/>
  <c r="C33"/>
  <c r="BC36" i="5"/>
  <c r="AI36"/>
  <c r="AI35"/>
  <c r="AA36"/>
  <c r="AJ36"/>
  <c r="AL35"/>
  <c r="AH35" i="1"/>
  <c r="U34"/>
  <c r="J34"/>
  <c r="AL34"/>
  <c r="U35"/>
  <c r="J35"/>
  <c r="AL35"/>
  <c r="Z35" i="7"/>
  <c r="D35" i="1"/>
  <c r="E35" s="1"/>
  <c r="AB34" i="7"/>
  <c r="AA34"/>
  <c r="B33"/>
  <c r="D32"/>
  <c r="C32"/>
  <c r="E31"/>
  <c r="F31"/>
  <c r="AM35" i="1"/>
  <c r="AE32" i="2"/>
  <c r="AE33"/>
  <c r="AD33" i="3"/>
  <c r="AI33" s="1"/>
  <c r="AD32"/>
  <c r="AF33" i="2"/>
  <c r="W6" i="5"/>
  <c r="AG32" i="2" l="1"/>
  <c r="L36" i="5"/>
  <c r="AK36" s="1"/>
  <c r="I36" i="79"/>
  <c r="AG33" i="2"/>
  <c r="AL36" i="5"/>
  <c r="K32" i="82"/>
  <c r="E31" i="81"/>
  <c r="S33" i="76"/>
  <c r="S34"/>
  <c r="E32" i="81"/>
  <c r="I33" i="76"/>
  <c r="M33" s="1"/>
  <c r="I34"/>
  <c r="M34" s="1"/>
  <c r="D32"/>
  <c r="E32" s="1"/>
  <c r="L34"/>
  <c r="L33"/>
  <c r="E32" i="7"/>
  <c r="F32"/>
  <c r="AB35"/>
  <c r="AA35"/>
  <c r="G31"/>
  <c r="H31"/>
  <c r="D33"/>
  <c r="C33"/>
  <c r="Z36"/>
  <c r="AC34"/>
  <c r="AD34"/>
  <c r="B34"/>
  <c r="AI32" i="3"/>
  <c r="I9" i="77"/>
  <c r="H7"/>
  <c r="D33" i="76" l="1"/>
  <c r="E33" s="1"/>
  <c r="D34"/>
  <c r="E34" s="1"/>
  <c r="AD35" i="7"/>
  <c r="AC35"/>
  <c r="AF34"/>
  <c r="AE34"/>
  <c r="D34"/>
  <c r="C34"/>
  <c r="E33"/>
  <c r="F33"/>
  <c r="J31"/>
  <c r="I31"/>
  <c r="B35"/>
  <c r="AA36"/>
  <c r="AB36"/>
  <c r="H32"/>
  <c r="G32"/>
  <c r="I32" l="1"/>
  <c r="J32"/>
  <c r="K31"/>
  <c r="L31"/>
  <c r="AF35"/>
  <c r="AE35"/>
  <c r="AC36"/>
  <c r="AD36"/>
  <c r="G33"/>
  <c r="H33"/>
  <c r="D35"/>
  <c r="C35"/>
  <c r="AH34"/>
  <c r="AG34"/>
  <c r="B36"/>
  <c r="F34"/>
  <c r="E34"/>
  <c r="C36" l="1"/>
  <c r="D36"/>
  <c r="AE36"/>
  <c r="AF36"/>
  <c r="H34"/>
  <c r="G34"/>
  <c r="I33"/>
  <c r="J33"/>
  <c r="K32"/>
  <c r="L32"/>
  <c r="F35"/>
  <c r="E35"/>
  <c r="M31"/>
  <c r="N31"/>
  <c r="AJ34"/>
  <c r="AI34"/>
  <c r="AH35"/>
  <c r="AG35"/>
  <c r="H36" i="74"/>
  <c r="H35"/>
  <c r="H33"/>
  <c r="H29"/>
  <c r="H25"/>
  <c r="H21"/>
  <c r="H19"/>
  <c r="H17"/>
  <c r="H15"/>
  <c r="H13"/>
  <c r="H12"/>
  <c r="H11"/>
  <c r="T40"/>
  <c r="L40"/>
  <c r="I40"/>
  <c r="X39"/>
  <c r="T39"/>
  <c r="P39"/>
  <c r="M39"/>
  <c r="L39"/>
  <c r="I39"/>
  <c r="X38"/>
  <c r="T38"/>
  <c r="P38"/>
  <c r="M38"/>
  <c r="L38"/>
  <c r="I38"/>
  <c r="X37"/>
  <c r="T37"/>
  <c r="P37"/>
  <c r="M37"/>
  <c r="L37"/>
  <c r="I37"/>
  <c r="E37"/>
  <c r="X36"/>
  <c r="T36"/>
  <c r="P36"/>
  <c r="M36"/>
  <c r="L36"/>
  <c r="I36"/>
  <c r="E36"/>
  <c r="X35"/>
  <c r="T35"/>
  <c r="P35"/>
  <c r="M35"/>
  <c r="L35"/>
  <c r="I35"/>
  <c r="E35"/>
  <c r="X34"/>
  <c r="T34"/>
  <c r="P34"/>
  <c r="M34"/>
  <c r="L34"/>
  <c r="I34"/>
  <c r="E34"/>
  <c r="X33"/>
  <c r="T33"/>
  <c r="P33"/>
  <c r="M33"/>
  <c r="L33"/>
  <c r="I33"/>
  <c r="E33"/>
  <c r="X32"/>
  <c r="T32"/>
  <c r="P32"/>
  <c r="M32"/>
  <c r="L32"/>
  <c r="I32"/>
  <c r="H32"/>
  <c r="E32"/>
  <c r="X31"/>
  <c r="T31"/>
  <c r="P31"/>
  <c r="M31"/>
  <c r="L31"/>
  <c r="I31"/>
  <c r="E31"/>
  <c r="X30"/>
  <c r="T30"/>
  <c r="P30"/>
  <c r="M30"/>
  <c r="L30"/>
  <c r="I30"/>
  <c r="H30"/>
  <c r="E30"/>
  <c r="X29"/>
  <c r="T29"/>
  <c r="P29"/>
  <c r="M29"/>
  <c r="L29"/>
  <c r="I29"/>
  <c r="E29"/>
  <c r="X28"/>
  <c r="T28"/>
  <c r="P28"/>
  <c r="M28"/>
  <c r="L28"/>
  <c r="I28"/>
  <c r="E28"/>
  <c r="X27"/>
  <c r="T27"/>
  <c r="P27"/>
  <c r="M27"/>
  <c r="L27"/>
  <c r="I27"/>
  <c r="E27"/>
  <c r="X26"/>
  <c r="T26"/>
  <c r="P26"/>
  <c r="M26"/>
  <c r="L26"/>
  <c r="I26"/>
  <c r="H26"/>
  <c r="E26"/>
  <c r="X25"/>
  <c r="T25"/>
  <c r="P25"/>
  <c r="M25"/>
  <c r="L25"/>
  <c r="I25"/>
  <c r="E25"/>
  <c r="X24"/>
  <c r="T24"/>
  <c r="P24"/>
  <c r="M24"/>
  <c r="L24"/>
  <c r="I24"/>
  <c r="E24"/>
  <c r="X23"/>
  <c r="T23"/>
  <c r="P23"/>
  <c r="M23"/>
  <c r="L23"/>
  <c r="I23"/>
  <c r="E23"/>
  <c r="X22"/>
  <c r="T22"/>
  <c r="P22"/>
  <c r="M22"/>
  <c r="L22"/>
  <c r="I22"/>
  <c r="E22"/>
  <c r="X21"/>
  <c r="T21"/>
  <c r="P21"/>
  <c r="M21"/>
  <c r="L21"/>
  <c r="I21"/>
  <c r="E21"/>
  <c r="X20"/>
  <c r="T20"/>
  <c r="P20"/>
  <c r="M20"/>
  <c r="L20"/>
  <c r="I20"/>
  <c r="E20"/>
  <c r="X19"/>
  <c r="T19"/>
  <c r="P19"/>
  <c r="M19"/>
  <c r="L19"/>
  <c r="I19"/>
  <c r="E19"/>
  <c r="X18"/>
  <c r="T18"/>
  <c r="P18"/>
  <c r="M18"/>
  <c r="L18"/>
  <c r="I18"/>
  <c r="E18"/>
  <c r="X17"/>
  <c r="T17"/>
  <c r="P17"/>
  <c r="M17"/>
  <c r="L17"/>
  <c r="I17"/>
  <c r="E17"/>
  <c r="X16"/>
  <c r="T16"/>
  <c r="P16"/>
  <c r="M16"/>
  <c r="L16"/>
  <c r="I16"/>
  <c r="E16"/>
  <c r="X15"/>
  <c r="T15"/>
  <c r="P15"/>
  <c r="M15"/>
  <c r="L15"/>
  <c r="I15"/>
  <c r="E15"/>
  <c r="X14"/>
  <c r="T14"/>
  <c r="P14"/>
  <c r="M14"/>
  <c r="L14"/>
  <c r="I14"/>
  <c r="E14"/>
  <c r="X13"/>
  <c r="T13"/>
  <c r="P13"/>
  <c r="M13"/>
  <c r="L13"/>
  <c r="I13"/>
  <c r="E13"/>
  <c r="X12"/>
  <c r="T12"/>
  <c r="P12"/>
  <c r="M12"/>
  <c r="L12"/>
  <c r="I12"/>
  <c r="E12"/>
  <c r="X11"/>
  <c r="T11"/>
  <c r="P11"/>
  <c r="M11"/>
  <c r="L11"/>
  <c r="I11"/>
  <c r="E11"/>
  <c r="X10"/>
  <c r="T10"/>
  <c r="P10"/>
  <c r="M10"/>
  <c r="L10"/>
  <c r="I10"/>
  <c r="E10"/>
  <c r="C43"/>
  <c r="B4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I5" i="79"/>
  <c r="I7"/>
  <c r="W16" i="76"/>
  <c r="W15"/>
  <c r="W13"/>
  <c r="AA17"/>
  <c r="W26"/>
  <c r="H3" i="3"/>
  <c r="H4" s="1"/>
  <c r="H5" s="1"/>
  <c r="H6" s="1"/>
  <c r="H7" s="1"/>
  <c r="H8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4" s="1"/>
  <c r="H26" s="1"/>
  <c r="H27" s="1"/>
  <c r="H28" s="1"/>
  <c r="H29" s="1"/>
  <c r="H30" s="1"/>
  <c r="H31" s="1"/>
  <c r="M5" i="1"/>
  <c r="M8" s="1"/>
  <c r="M11" s="1"/>
  <c r="M14" s="1"/>
  <c r="M17" s="1"/>
  <c r="M20" s="1"/>
  <c r="M23" s="1"/>
  <c r="M26" s="1"/>
  <c r="M29" s="1"/>
  <c r="M32" s="1"/>
  <c r="D24" i="73"/>
  <c r="AP24" i="5"/>
  <c r="AN24"/>
  <c r="AM24"/>
  <c r="K24"/>
  <c r="H32" i="3" l="1"/>
  <c r="I31"/>
  <c r="N33" i="1"/>
  <c r="V33" s="1"/>
  <c r="AI33" s="1"/>
  <c r="AW34" i="7" s="1"/>
  <c r="H14" i="74"/>
  <c r="H18"/>
  <c r="H22"/>
  <c r="H34"/>
  <c r="AJ35" i="7"/>
  <c r="AI35"/>
  <c r="N32"/>
  <c r="M32"/>
  <c r="E36"/>
  <c r="F36"/>
  <c r="G35"/>
  <c r="H35"/>
  <c r="AG36"/>
  <c r="AH36"/>
  <c r="K33"/>
  <c r="L33"/>
  <c r="I34"/>
  <c r="J34"/>
  <c r="O31"/>
  <c r="P31"/>
  <c r="Q31" s="1"/>
  <c r="AK34"/>
  <c r="AL34"/>
  <c r="AM34" s="1"/>
  <c r="H20" i="74"/>
  <c r="H24"/>
  <c r="H27"/>
  <c r="H31"/>
  <c r="H28"/>
  <c r="H23"/>
  <c r="H37"/>
  <c r="H16"/>
  <c r="H10"/>
  <c r="I22" i="76"/>
  <c r="W27"/>
  <c r="G22"/>
  <c r="W28"/>
  <c r="C22"/>
  <c r="C21" i="3"/>
  <c r="BA24" i="5"/>
  <c r="AA24"/>
  <c r="AJ24"/>
  <c r="Y24"/>
  <c r="H24"/>
  <c r="N23" i="1"/>
  <c r="L23"/>
  <c r="I23"/>
  <c r="G23"/>
  <c r="V21" i="2"/>
  <c r="T21"/>
  <c r="Q21"/>
  <c r="M21"/>
  <c r="K21"/>
  <c r="I21"/>
  <c r="G21"/>
  <c r="E21"/>
  <c r="H33" i="3" l="1"/>
  <c r="I33" s="1"/>
  <c r="I32"/>
  <c r="AO34" i="7"/>
  <c r="AN34" s="1"/>
  <c r="R31"/>
  <c r="S31" s="1"/>
  <c r="G30" i="81"/>
  <c r="AJ33" i="1"/>
  <c r="AK33" s="1"/>
  <c r="M35"/>
  <c r="N35" s="1"/>
  <c r="V35" s="1"/>
  <c r="AI35" s="1"/>
  <c r="AW36" i="7" s="1"/>
  <c r="N34" i="1"/>
  <c r="V34" s="1"/>
  <c r="AI34" s="1"/>
  <c r="AW35" i="7" s="1"/>
  <c r="J23" i="1"/>
  <c r="I35" i="7"/>
  <c r="J35"/>
  <c r="G36"/>
  <c r="H36"/>
  <c r="AL35"/>
  <c r="AM35" s="1"/>
  <c r="AK35"/>
  <c r="K34"/>
  <c r="L34"/>
  <c r="AI36"/>
  <c r="AJ36"/>
  <c r="O32"/>
  <c r="P32"/>
  <c r="M33"/>
  <c r="N33"/>
  <c r="D23" i="1"/>
  <c r="E23" s="1"/>
  <c r="N21" i="2"/>
  <c r="R21" s="1"/>
  <c r="I22" i="1"/>
  <c r="E18" i="3"/>
  <c r="E19"/>
  <c r="G32" i="81" l="1"/>
  <c r="AJ35" i="1"/>
  <c r="AK35" s="1"/>
  <c r="AJ34"/>
  <c r="AK34" s="1"/>
  <c r="G31" i="81"/>
  <c r="AL36" i="7"/>
  <c r="AM36" s="1"/>
  <c r="AK36"/>
  <c r="L35"/>
  <c r="K35"/>
  <c r="Q32"/>
  <c r="R32"/>
  <c r="S32" s="1"/>
  <c r="I36"/>
  <c r="J36"/>
  <c r="O33"/>
  <c r="P33"/>
  <c r="N34"/>
  <c r="M34"/>
  <c r="AO35"/>
  <c r="AN35" s="1"/>
  <c r="AC17" i="76"/>
  <c r="AC18"/>
  <c r="AC19"/>
  <c r="AB12"/>
  <c r="AC12"/>
  <c r="X14"/>
  <c r="BC5" i="7"/>
  <c r="BD5"/>
  <c r="BE5"/>
  <c r="BF5"/>
  <c r="BG5"/>
  <c r="D5" i="73"/>
  <c r="E5"/>
  <c r="F5"/>
  <c r="G5"/>
  <c r="H5"/>
  <c r="I5"/>
  <c r="J5"/>
  <c r="K5"/>
  <c r="L5"/>
  <c r="M5"/>
  <c r="N5"/>
  <c r="O5"/>
  <c r="DA2" i="2"/>
  <c r="DB2"/>
  <c r="DC2"/>
  <c r="DD2"/>
  <c r="AO36" i="7" l="1"/>
  <c r="AN36" s="1"/>
  <c r="L36"/>
  <c r="K36"/>
  <c r="Q33"/>
  <c r="R33"/>
  <c r="S33" s="1"/>
  <c r="P34"/>
  <c r="O34"/>
  <c r="M35"/>
  <c r="N35"/>
  <c r="U24" i="5"/>
  <c r="R23" i="1"/>
  <c r="V23" s="1"/>
  <c r="S23"/>
  <c r="AL23" s="1"/>
  <c r="AF23"/>
  <c r="AD23"/>
  <c r="AG23" s="1"/>
  <c r="AA23"/>
  <c r="Y23"/>
  <c r="X21" i="2"/>
  <c r="Z21"/>
  <c r="I24" i="1"/>
  <c r="E20" i="3"/>
  <c r="K7" i="5"/>
  <c r="AM23" i="1" l="1"/>
  <c r="O35" i="7"/>
  <c r="P35"/>
  <c r="N36"/>
  <c r="M36"/>
  <c r="R34"/>
  <c r="Q34"/>
  <c r="AB23" i="1"/>
  <c r="T23"/>
  <c r="U23"/>
  <c r="AH23"/>
  <c r="AI23" s="1"/>
  <c r="I25"/>
  <c r="K8" i="5"/>
  <c r="Q35" i="7" l="1"/>
  <c r="R35"/>
  <c r="O36"/>
  <c r="P36"/>
  <c r="T34"/>
  <c r="S34"/>
  <c r="I26" i="1"/>
  <c r="K9" i="5"/>
  <c r="T35" i="7" l="1"/>
  <c r="S35"/>
  <c r="Q36"/>
  <c r="R36"/>
  <c r="V34"/>
  <c r="W34" s="1"/>
  <c r="U34"/>
  <c r="I27" i="1"/>
  <c r="K10" i="5"/>
  <c r="Y34" i="7" l="1"/>
  <c r="V35"/>
  <c r="W35" s="1"/>
  <c r="U35"/>
  <c r="T36"/>
  <c r="S36"/>
  <c r="I28" i="1"/>
  <c r="K11" i="5"/>
  <c r="X34" i="7" l="1"/>
  <c r="AR34"/>
  <c r="AQ34" s="1"/>
  <c r="Y35"/>
  <c r="U36"/>
  <c r="V36"/>
  <c r="W36" s="1"/>
  <c r="I29" i="1"/>
  <c r="K12" i="5"/>
  <c r="Y36" i="7" l="1"/>
  <c r="AR36" s="1"/>
  <c r="X35"/>
  <c r="AR35"/>
  <c r="AS35" s="1"/>
  <c r="AX35" s="1"/>
  <c r="I30" i="1"/>
  <c r="K13" i="5"/>
  <c r="X36" i="7" l="1"/>
  <c r="AQ35"/>
  <c r="AY35"/>
  <c r="AQ36"/>
  <c r="AS36"/>
  <c r="AX36" s="1"/>
  <c r="I31" i="1"/>
  <c r="K14" i="5"/>
  <c r="AY36" i="7" l="1"/>
  <c r="I32" i="1"/>
  <c r="K15" i="5"/>
  <c r="K16" l="1"/>
  <c r="K17" l="1"/>
  <c r="K18" l="1"/>
  <c r="K19" l="1"/>
  <c r="K20" l="1"/>
  <c r="A5"/>
  <c r="K21" l="1"/>
  <c r="K19" i="73"/>
  <c r="G19"/>
  <c r="K15" i="76"/>
  <c r="K22" i="5" l="1"/>
  <c r="D14" i="73"/>
  <c r="K23" i="5" l="1"/>
  <c r="L24" s="1"/>
  <c r="AK24" s="1"/>
  <c r="X78" i="74" l="1"/>
  <c r="Z12" i="76"/>
  <c r="P34" i="3"/>
  <c r="AK38" i="5"/>
  <c r="F37"/>
  <c r="AB21" i="2" l="1"/>
  <c r="AE21" s="1"/>
  <c r="AD21"/>
  <c r="AF21" s="1"/>
  <c r="K25" i="5"/>
  <c r="BA19"/>
  <c r="N6" i="1"/>
  <c r="L5"/>
  <c r="K26" i="5" l="1"/>
  <c r="BA20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22" i="2"/>
  <c r="C17" i="76"/>
  <c r="Q15" i="2"/>
  <c r="C12" i="76"/>
  <c r="K27" i="5" l="1"/>
  <c r="L7" i="1"/>
  <c r="BA21" i="5"/>
  <c r="N8" i="1"/>
  <c r="AS37" i="7"/>
  <c r="AU37" s="1"/>
  <c r="AT37"/>
  <c r="Q33" i="76" l="1"/>
  <c r="Q34"/>
  <c r="K28" i="5"/>
  <c r="L8" i="1"/>
  <c r="N9"/>
  <c r="K6" i="5"/>
  <c r="K29" l="1"/>
  <c r="N10" i="1"/>
  <c r="L9"/>
  <c r="K30" i="5" l="1"/>
  <c r="N11" i="1"/>
  <c r="L10"/>
  <c r="K31" i="5" l="1"/>
  <c r="N12" i="1"/>
  <c r="L11"/>
  <c r="K32" i="5" l="1"/>
  <c r="L12" i="1"/>
  <c r="N13"/>
  <c r="A21"/>
  <c r="A22"/>
  <c r="A24"/>
  <c r="A25"/>
  <c r="A26"/>
  <c r="Q14" i="2"/>
  <c r="Q13"/>
  <c r="K33" i="5" l="1"/>
  <c r="L34" s="1"/>
  <c r="AK34" s="1"/>
  <c r="N14" i="1"/>
  <c r="L13"/>
  <c r="S5" i="3"/>
  <c r="S6"/>
  <c r="U6" s="1"/>
  <c r="K11" i="73"/>
  <c r="Y7" i="5"/>
  <c r="Y8"/>
  <c r="N15" i="1" l="1"/>
  <c r="L14"/>
  <c r="N16" l="1"/>
  <c r="L15"/>
  <c r="A5" i="2"/>
  <c r="A6"/>
  <c r="A7"/>
  <c r="A8"/>
  <c r="A9"/>
  <c r="A10"/>
  <c r="A11"/>
  <c r="A12"/>
  <c r="A13"/>
  <c r="A14"/>
  <c r="A15"/>
  <c r="A16"/>
  <c r="A17"/>
  <c r="A18"/>
  <c r="A19"/>
  <c r="A20"/>
  <c r="A21"/>
  <c r="A23"/>
  <c r="A24"/>
  <c r="A25"/>
  <c r="A26"/>
  <c r="A27"/>
  <c r="A28"/>
  <c r="A29"/>
  <c r="A30"/>
  <c r="A3"/>
  <c r="B3" s="1"/>
  <c r="N17" i="1" l="1"/>
  <c r="L16"/>
  <c r="Y6" i="5"/>
  <c r="S7" i="3"/>
  <c r="G24" i="2"/>
  <c r="N18" i="1" l="1"/>
  <c r="L17"/>
  <c r="Q16" i="2"/>
  <c r="S8" i="3"/>
  <c r="D9" i="1"/>
  <c r="E9" s="1"/>
  <c r="L18" l="1"/>
  <c r="N19"/>
  <c r="Q17" i="2"/>
  <c r="S9" i="3"/>
  <c r="L19" i="1" l="1"/>
  <c r="N20"/>
  <c r="Q18" i="2"/>
  <c r="S16" i="3"/>
  <c r="U16" s="1"/>
  <c r="Y13" i="76"/>
  <c r="BH5" i="7"/>
  <c r="L20" i="1" l="1"/>
  <c r="N21"/>
  <c r="Q19" i="2"/>
  <c r="L21" i="1" l="1"/>
  <c r="N22"/>
  <c r="Q20" i="2"/>
  <c r="L22" i="1" l="1"/>
  <c r="N24" l="1"/>
  <c r="Q22" i="2"/>
  <c r="C13" i="76"/>
  <c r="N25" i="1" l="1"/>
  <c r="L24"/>
  <c r="Q23" i="2"/>
  <c r="C14" i="76"/>
  <c r="N26" i="1" l="1"/>
  <c r="L25"/>
  <c r="Q24" i="2"/>
  <c r="C15" i="76"/>
  <c r="N27" i="1" l="1"/>
  <c r="L26"/>
  <c r="Q25" i="2"/>
  <c r="C16" i="76"/>
  <c r="D12" i="73"/>
  <c r="AB7" i="2"/>
  <c r="G5" i="76"/>
  <c r="N28" i="1" l="1"/>
  <c r="L27"/>
  <c r="Q26" i="2"/>
  <c r="V28" i="76"/>
  <c r="V27"/>
  <c r="N29" i="1" l="1"/>
  <c r="L28"/>
  <c r="Q27" i="2"/>
  <c r="C18" i="76"/>
  <c r="L29" i="1" l="1"/>
  <c r="N30"/>
  <c r="Q28" i="2"/>
  <c r="C19" i="76"/>
  <c r="N31" i="1" l="1"/>
  <c r="L30"/>
  <c r="Q29" i="2"/>
  <c r="C20" i="76"/>
  <c r="C4"/>
  <c r="AB8" i="2"/>
  <c r="G14" i="76"/>
  <c r="L14" s="1"/>
  <c r="N32" i="1" l="1"/>
  <c r="L31"/>
  <c r="Q30" i="2"/>
  <c r="C21" i="76"/>
  <c r="AB9" i="2"/>
  <c r="K14" i="76"/>
  <c r="N14" s="1"/>
  <c r="I14"/>
  <c r="M14" s="1"/>
  <c r="K16"/>
  <c r="N16" s="1"/>
  <c r="K17"/>
  <c r="N17" s="1"/>
  <c r="N15"/>
  <c r="G15"/>
  <c r="L15" s="1"/>
  <c r="I15"/>
  <c r="M15" s="1"/>
  <c r="L32" i="1" l="1"/>
  <c r="AB10" i="2"/>
  <c r="D14" i="76"/>
  <c r="E14" s="1"/>
  <c r="G16"/>
  <c r="L16" s="1"/>
  <c r="I16"/>
  <c r="M16" s="1"/>
  <c r="C23" l="1"/>
  <c r="G17"/>
  <c r="L17" s="1"/>
  <c r="I17"/>
  <c r="M17" s="1"/>
  <c r="D15"/>
  <c r="E15" s="1"/>
  <c r="C24" l="1"/>
  <c r="G18"/>
  <c r="D17"/>
  <c r="E17" s="1"/>
  <c r="D16"/>
  <c r="E16" s="1"/>
  <c r="S12" i="3"/>
  <c r="U12" s="1"/>
  <c r="C25" i="76" l="1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M20"/>
  <c r="D20"/>
  <c r="E20" s="1"/>
  <c r="L20"/>
  <c r="G21"/>
  <c r="K21"/>
  <c r="N21" s="1"/>
  <c r="O5" i="79"/>
  <c r="N5"/>
  <c r="AA5" i="76"/>
  <c r="Y16"/>
  <c r="V16"/>
  <c r="V15"/>
  <c r="V14"/>
  <c r="V13"/>
  <c r="C29" l="1"/>
  <c r="M21"/>
  <c r="D21"/>
  <c r="E21" s="1"/>
  <c r="K22"/>
  <c r="L21"/>
  <c r="N22" l="1"/>
  <c r="D22"/>
  <c r="E22" s="1"/>
  <c r="C30"/>
  <c r="M22"/>
  <c r="I23"/>
  <c r="K23"/>
  <c r="N23" s="1"/>
  <c r="L22"/>
  <c r="G23"/>
  <c r="G30" i="73"/>
  <c r="D30"/>
  <c r="M23" i="76" l="1"/>
  <c r="D23"/>
  <c r="E23" s="1"/>
  <c r="I24"/>
  <c r="G24"/>
  <c r="L23"/>
  <c r="K24"/>
  <c r="N24" s="1"/>
  <c r="X20" i="2" l="1"/>
  <c r="M24" i="76"/>
  <c r="D24"/>
  <c r="E24" s="1"/>
  <c r="I25"/>
  <c r="G25"/>
  <c r="L24"/>
  <c r="K25"/>
  <c r="N25" s="1"/>
  <c r="AA8" i="1"/>
  <c r="U8" i="5"/>
  <c r="M25" i="76" l="1"/>
  <c r="D25"/>
  <c r="E25" s="1"/>
  <c r="I26"/>
  <c r="K26"/>
  <c r="N26" s="1"/>
  <c r="G26"/>
  <c r="L25"/>
  <c r="U9" i="5"/>
  <c r="M26" i="76" l="1"/>
  <c r="D26"/>
  <c r="E26" s="1"/>
  <c r="I27"/>
  <c r="G27"/>
  <c r="K27"/>
  <c r="N27" s="1"/>
  <c r="L26"/>
  <c r="U10" i="5"/>
  <c r="D27" i="76" l="1"/>
  <c r="E27" s="1"/>
  <c r="M27"/>
  <c r="I28"/>
  <c r="G28"/>
  <c r="K28"/>
  <c r="N28" s="1"/>
  <c r="L27"/>
  <c r="AB8"/>
  <c r="M28" l="1"/>
  <c r="D28"/>
  <c r="E28" s="1"/>
  <c r="I29"/>
  <c r="G29"/>
  <c r="L28"/>
  <c r="N29"/>
  <c r="I6" i="79"/>
  <c r="M29" i="76" l="1"/>
  <c r="D29"/>
  <c r="E29" s="1"/>
  <c r="I30"/>
  <c r="G30"/>
  <c r="K30"/>
  <c r="N30" s="1"/>
  <c r="L29"/>
  <c r="O6" i="7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2"/>
  <c r="E22" s="1"/>
  <c r="M30" i="76" l="1"/>
  <c r="D30"/>
  <c r="E30" s="1"/>
  <c r="L30"/>
  <c r="N35"/>
  <c r="O7" i="79"/>
  <c r="E26" i="2"/>
  <c r="M35" i="76" l="1"/>
  <c r="L35"/>
  <c r="M9" i="79"/>
  <c r="O8"/>
  <c r="D21" i="1"/>
  <c r="E21" s="1"/>
  <c r="M10" i="79" l="1"/>
  <c r="O9"/>
  <c r="I8"/>
  <c r="Q3" i="2"/>
  <c r="M11" i="79" l="1"/>
  <c r="O10"/>
  <c r="I9"/>
  <c r="I10" l="1"/>
  <c r="M12"/>
  <c r="O11"/>
  <c r="K13" i="73"/>
  <c r="A32" i="1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M13" i="79" l="1"/>
  <c r="O12"/>
  <c r="I11"/>
  <c r="D31" i="1"/>
  <c r="E31" s="1"/>
  <c r="M14" i="79" l="1"/>
  <c r="O13"/>
  <c r="I12"/>
  <c r="E24" i="3"/>
  <c r="M15" i="79" l="1"/>
  <c r="O14"/>
  <c r="I13"/>
  <c r="M16" l="1"/>
  <c r="O15"/>
  <c r="I14"/>
  <c r="E26" i="3"/>
  <c r="I15" i="79" l="1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M18"/>
  <c r="O17"/>
  <c r="W43" i="74"/>
  <c r="A10" i="3"/>
  <c r="A11"/>
  <c r="A12"/>
  <c r="A13"/>
  <c r="M19" i="79" l="1"/>
  <c r="O18"/>
  <c r="I17"/>
  <c r="A3" i="76"/>
  <c r="A5" i="7"/>
  <c r="M20" i="79" l="1"/>
  <c r="O19"/>
  <c r="I18"/>
  <c r="M21" l="1"/>
  <c r="O20"/>
  <c r="I19"/>
  <c r="M22" l="1"/>
  <c r="O21"/>
  <c r="I20"/>
  <c r="A2" i="3"/>
  <c r="A5" i="73"/>
  <c r="I21" i="79" l="1"/>
  <c r="M23"/>
  <c r="O22"/>
  <c r="I22" l="1"/>
  <c r="M24"/>
  <c r="O23"/>
  <c r="B6" i="7"/>
  <c r="F38" i="5"/>
  <c r="F39"/>
  <c r="B39"/>
  <c r="I23" i="79" l="1"/>
  <c r="M25"/>
  <c r="O24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BA24"/>
  <c r="D25" i="73"/>
  <c r="BA25" i="7" s="1"/>
  <c r="D26" i="73"/>
  <c r="BA26" i="7" s="1"/>
  <c r="D27" i="73"/>
  <c r="BA27" i="7" s="1"/>
  <c r="D28" i="73"/>
  <c r="BA28" i="7" s="1"/>
  <c r="D29" i="73"/>
  <c r="BA29" i="7" s="1"/>
  <c r="BA30"/>
  <c r="BA31"/>
  <c r="D32" i="73"/>
  <c r="BA32" i="7" s="1"/>
  <c r="D33" i="73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I24" i="79" l="1"/>
  <c r="M26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K15" i="73"/>
  <c r="G15"/>
  <c r="AP14" i="5"/>
  <c r="Y11"/>
  <c r="AD7" i="1"/>
  <c r="AB21" i="74"/>
  <c r="AA21"/>
  <c r="I4" i="76"/>
  <c r="S3" i="3"/>
  <c r="U3" s="1"/>
  <c r="T3" s="1"/>
  <c r="T4" s="1"/>
  <c r="T5" s="1"/>
  <c r="T6" s="1"/>
  <c r="I3"/>
  <c r="E3"/>
  <c r="AJ6" i="5"/>
  <c r="AL6" s="1"/>
  <c r="J2" i="82"/>
  <c r="U6" i="5"/>
  <c r="H6"/>
  <c r="D5" i="75"/>
  <c r="E5" s="1"/>
  <c r="Y5" i="1"/>
  <c r="R5"/>
  <c r="G5"/>
  <c r="AD3" i="2"/>
  <c r="AB3"/>
  <c r="Z3"/>
  <c r="V3"/>
  <c r="T3"/>
  <c r="K3"/>
  <c r="G3"/>
  <c r="I2" i="82" s="1"/>
  <c r="I13" i="76"/>
  <c r="M13" s="1"/>
  <c r="E4" i="3"/>
  <c r="AJ14" i="5"/>
  <c r="K10" i="82" s="1"/>
  <c r="H8" i="5"/>
  <c r="H10"/>
  <c r="AF13" i="1"/>
  <c r="AA6"/>
  <c r="Y6"/>
  <c r="Y15"/>
  <c r="AB15" s="1"/>
  <c r="R13"/>
  <c r="S10"/>
  <c r="T10" s="1"/>
  <c r="V4" i="2"/>
  <c r="F37" i="73"/>
  <c r="B17" i="77" s="1"/>
  <c r="J9" i="63"/>
  <c r="K9" i="73"/>
  <c r="G9"/>
  <c r="C6" i="76"/>
  <c r="K4"/>
  <c r="AS37" i="1"/>
  <c r="AW39" s="1"/>
  <c r="S6"/>
  <c r="T6" s="1"/>
  <c r="S5"/>
  <c r="B7" i="7"/>
  <c r="D7" s="1"/>
  <c r="K25" i="73"/>
  <c r="X3" i="2"/>
  <c r="M3"/>
  <c r="E2" i="82" s="1"/>
  <c r="I3" i="2"/>
  <c r="G2" i="82" s="1"/>
  <c r="J30" i="63"/>
  <c r="AP31" i="5"/>
  <c r="B8" i="77"/>
  <c r="J11" i="63"/>
  <c r="D7" i="77"/>
  <c r="AV37" i="1"/>
  <c r="AV40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9" i="1"/>
  <c r="AH38"/>
  <c r="AP9" i="5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4"/>
  <c r="AJ26"/>
  <c r="AJ27"/>
  <c r="AJ28"/>
  <c r="AJ29"/>
  <c r="AJ30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Z42" i="76"/>
  <c r="BA33" i="7"/>
  <c r="AJ7" i="5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C4"/>
  <c r="C3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D5" i="2"/>
  <c r="AB5"/>
  <c r="Z5"/>
  <c r="Z4"/>
  <c r="T5"/>
  <c r="T4"/>
  <c r="Q5"/>
  <c r="Q4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AF5" i="1"/>
  <c r="AA6" i="5"/>
  <c r="J4" i="63"/>
  <c r="K6" i="76"/>
  <c r="N6" s="1"/>
  <c r="K5"/>
  <c r="N5" s="1"/>
  <c r="AA7" i="5"/>
  <c r="M5" i="2"/>
  <c r="E4" i="82" s="1"/>
  <c r="X4" i="2"/>
  <c r="K7" i="76"/>
  <c r="N7" s="1"/>
  <c r="I7"/>
  <c r="M7" s="1"/>
  <c r="G7"/>
  <c r="L7" s="1"/>
  <c r="C7"/>
  <c r="AA8" i="5"/>
  <c r="AJ8"/>
  <c r="K4" i="82" s="1"/>
  <c r="Y9" i="5"/>
  <c r="H9"/>
  <c r="AD8" i="1"/>
  <c r="R8"/>
  <c r="S7"/>
  <c r="T7" s="1"/>
  <c r="Z8" i="7"/>
  <c r="B8"/>
  <c r="AD6" i="2"/>
  <c r="AB6"/>
  <c r="Z6"/>
  <c r="Q6"/>
  <c r="K5"/>
  <c r="F4" i="82" s="1"/>
  <c r="I6" i="2"/>
  <c r="G5" i="82" s="1"/>
  <c r="G6" i="2"/>
  <c r="G6" i="1"/>
  <c r="I6"/>
  <c r="G7"/>
  <c r="AF6"/>
  <c r="X5" i="2"/>
  <c r="E6"/>
  <c r="H5" i="82" s="1"/>
  <c r="K8" i="76"/>
  <c r="N8" s="1"/>
  <c r="I8"/>
  <c r="G8"/>
  <c r="L8" s="1"/>
  <c r="AA9" i="5"/>
  <c r="AJ9"/>
  <c r="K5" i="82" s="1"/>
  <c r="Y10" i="5"/>
  <c r="R9" i="1"/>
  <c r="S8"/>
  <c r="T8" s="1"/>
  <c r="Z9" i="7"/>
  <c r="AB9" s="1"/>
  <c r="D8" i="1"/>
  <c r="E8" s="1"/>
  <c r="B9" i="7"/>
  <c r="C9" s="1"/>
  <c r="AD7" i="2"/>
  <c r="Z7"/>
  <c r="Q7"/>
  <c r="M6"/>
  <c r="E5" i="82" s="1"/>
  <c r="K6" i="2"/>
  <c r="F5" i="82" s="1"/>
  <c r="I7" i="2"/>
  <c r="G6" i="82" s="1"/>
  <c r="G7" i="2"/>
  <c r="I6" i="82" s="1"/>
  <c r="E7" i="2"/>
  <c r="H6" i="82" s="1"/>
  <c r="I7" i="1"/>
  <c r="AF7"/>
  <c r="G8"/>
  <c r="X6" i="2"/>
  <c r="AJ10" i="5"/>
  <c r="K6" i="82" s="1"/>
  <c r="AA10" i="5"/>
  <c r="R10" i="1"/>
  <c r="Z10" i="7"/>
  <c r="AA10" s="1"/>
  <c r="B10"/>
  <c r="Z8" i="2"/>
  <c r="Q8"/>
  <c r="M7"/>
  <c r="E6" i="82" s="1"/>
  <c r="I8" i="1"/>
  <c r="G9"/>
  <c r="AF8"/>
  <c r="X7" i="2"/>
  <c r="AA11" i="5"/>
  <c r="AJ11"/>
  <c r="AD11" i="1"/>
  <c r="R11"/>
  <c r="B11" i="7"/>
  <c r="Q9" i="2"/>
  <c r="M8"/>
  <c r="E7" i="82" s="1"/>
  <c r="I9" i="1"/>
  <c r="G10"/>
  <c r="X8" i="2"/>
  <c r="D12" i="1"/>
  <c r="E12" s="1"/>
  <c r="B12" i="7"/>
  <c r="D12" s="1"/>
  <c r="I11" i="1"/>
  <c r="I10"/>
  <c r="X9" i="2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0" i="2"/>
  <c r="M9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H11" i="5"/>
  <c r="S11" i="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S10" i="3"/>
  <c r="U10" s="1"/>
  <c r="T10" s="1"/>
  <c r="H12" i="5"/>
  <c r="S12" i="1"/>
  <c r="T12" s="1"/>
  <c r="AD10" i="2"/>
  <c r="AB12"/>
  <c r="X12"/>
  <c r="X13"/>
  <c r="K10"/>
  <c r="F9" i="82" s="1"/>
  <c r="I10" i="2"/>
  <c r="G9" i="82" s="1"/>
  <c r="G10" i="2"/>
  <c r="E11"/>
  <c r="E10"/>
  <c r="H9" i="82" s="1"/>
  <c r="S11" i="3"/>
  <c r="U11" s="1"/>
  <c r="H13" i="5"/>
  <c r="S14" i="1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H14" i="5"/>
  <c r="K12" i="2"/>
  <c r="F11" i="82" s="1"/>
  <c r="I12" i="2"/>
  <c r="G11" i="82" s="1"/>
  <c r="I13" i="2"/>
  <c r="G12" i="82" s="1"/>
  <c r="V8" i="2"/>
  <c r="H16" i="5"/>
  <c r="H15"/>
  <c r="V9" i="2"/>
  <c r="T12"/>
  <c r="T14"/>
  <c r="V10"/>
  <c r="V12"/>
  <c r="V11"/>
  <c r="A35" i="76" l="1"/>
  <c r="C35" s="1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D4"/>
  <c r="E4" s="1"/>
  <c r="AZ9" i="5"/>
  <c r="BC9" s="1"/>
  <c r="M27" i="79"/>
  <c r="O26"/>
  <c r="I25"/>
  <c r="H3" i="82"/>
  <c r="N4" i="2"/>
  <c r="S5" i="76" s="1"/>
  <c r="J11" i="1"/>
  <c r="J10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AF9" i="2"/>
  <c r="B8" i="63" s="1"/>
  <c r="E5"/>
  <c r="D7" i="76"/>
  <c r="E7" s="1"/>
  <c r="AF8" i="2"/>
  <c r="H10" i="65" s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BD7" i="5"/>
  <c r="AZ10"/>
  <c r="AU11"/>
  <c r="BD9"/>
  <c r="K7" i="82"/>
  <c r="BD6" i="5"/>
  <c r="K3" i="82"/>
  <c r="AB6" i="1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N8" i="2"/>
  <c r="S9" i="76" s="1"/>
  <c r="N7" i="2"/>
  <c r="I8" i="82"/>
  <c r="I5"/>
  <c r="I3"/>
  <c r="N5" i="2"/>
  <c r="AF3"/>
  <c r="H5" i="65" s="1"/>
  <c r="E2" i="63"/>
  <c r="J21"/>
  <c r="X76" i="74"/>
  <c r="AT38" i="7"/>
  <c r="X58" i="74"/>
  <c r="X51"/>
  <c r="A28" i="65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AV39"/>
  <c r="X66" i="74"/>
  <c r="AM23" i="5"/>
  <c r="P64" i="74"/>
  <c r="X63"/>
  <c r="P62"/>
  <c r="X62"/>
  <c r="P61"/>
  <c r="X61"/>
  <c r="N3" i="2"/>
  <c r="F2" i="82"/>
  <c r="N5" i="1"/>
  <c r="AL5"/>
  <c r="D6" i="75" s="1"/>
  <c r="E6" s="1"/>
  <c r="AE3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7" i="1"/>
  <c r="G37" i="73"/>
  <c r="P58" i="74"/>
  <c r="AE12" i="2"/>
  <c r="T13"/>
  <c r="A12" i="63" s="1"/>
  <c r="AP15" i="5"/>
  <c r="P57" i="74"/>
  <c r="S13" i="3"/>
  <c r="U13" s="1"/>
  <c r="S14"/>
  <c r="U14" s="1"/>
  <c r="E14"/>
  <c r="C13"/>
  <c r="AA14" i="1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BA15" i="5"/>
  <c r="BA14"/>
  <c r="BD14" s="1"/>
  <c r="AD14" i="1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D9" i="7"/>
  <c r="X64" i="74"/>
  <c r="X52"/>
  <c r="B28" i="2"/>
  <c r="A26" i="65"/>
  <c r="J24" i="63"/>
  <c r="B19" i="2"/>
  <c r="C12" i="7"/>
  <c r="B10" i="2"/>
  <c r="B9"/>
  <c r="P76" i="74"/>
  <c r="O6" i="81" l="1"/>
  <c r="O7" i="2"/>
  <c r="L20" i="82"/>
  <c r="O21" i="2"/>
  <c r="AI3" i="3"/>
  <c r="D5" i="65" s="1"/>
  <c r="K35" i="76"/>
  <c r="I35"/>
  <c r="G35"/>
  <c r="O20" i="81"/>
  <c r="O17"/>
  <c r="L5" i="82"/>
  <c r="R11" i="2"/>
  <c r="BC10" i="5"/>
  <c r="I4" i="3"/>
  <c r="M28" i="79"/>
  <c r="O27"/>
  <c r="I26"/>
  <c r="AH14" i="1"/>
  <c r="U6"/>
  <c r="O25" i="81"/>
  <c r="L15" i="82"/>
  <c r="L26"/>
  <c r="L22"/>
  <c r="O11" i="81"/>
  <c r="O10"/>
  <c r="O11" i="2"/>
  <c r="F17" i="77"/>
  <c r="E17"/>
  <c r="C6" i="63"/>
  <c r="R7" i="2"/>
  <c r="O28" i="81"/>
  <c r="V81" i="74"/>
  <c r="AG3" i="2"/>
  <c r="B7" i="63"/>
  <c r="H6" i="65"/>
  <c r="AG4" i="2"/>
  <c r="H11" i="65"/>
  <c r="D5" i="63"/>
  <c r="O6" i="2"/>
  <c r="R9"/>
  <c r="AI9" s="1"/>
  <c r="J81" i="74"/>
  <c r="B6" i="63"/>
  <c r="B9"/>
  <c r="AI4" i="3"/>
  <c r="D6" i="65" s="1"/>
  <c r="R8" i="2"/>
  <c r="J10" i="65" s="1"/>
  <c r="F81" i="74"/>
  <c r="B81"/>
  <c r="E5" i="3"/>
  <c r="C6"/>
  <c r="AU12" i="5"/>
  <c r="AZ11"/>
  <c r="BC1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D7" i="65"/>
  <c r="L2" i="82"/>
  <c r="AD13" i="7"/>
  <c r="AE13" s="1"/>
  <c r="AD7"/>
  <c r="AE7" s="1"/>
  <c r="AD10"/>
  <c r="AF10" s="1"/>
  <c r="C81" i="74"/>
  <c r="G81"/>
  <c r="K81"/>
  <c r="L13" i="82"/>
  <c r="O13" i="81"/>
  <c r="L3" i="82"/>
  <c r="O4" i="2"/>
  <c r="D11" i="65"/>
  <c r="AD12" i="7"/>
  <c r="AE12" s="1"/>
  <c r="L6" i="82"/>
  <c r="L7"/>
  <c r="O7" i="81"/>
  <c r="O8" i="2"/>
  <c r="O14" i="81"/>
  <c r="L14" i="82"/>
  <c r="O3" i="81"/>
  <c r="L29" i="82"/>
  <c r="W81" i="74"/>
  <c r="O81"/>
  <c r="C2" i="63"/>
  <c r="D2" s="1"/>
  <c r="S4" i="76"/>
  <c r="R3" i="2"/>
  <c r="J5" i="65" s="1"/>
  <c r="E2" i="81"/>
  <c r="H3" i="63"/>
  <c r="F6" i="65"/>
  <c r="V6" i="1"/>
  <c r="O3" i="2"/>
  <c r="W3" i="7"/>
  <c r="AO3" s="1"/>
  <c r="H17" i="5"/>
  <c r="AE13" i="2"/>
  <c r="E15" i="3"/>
  <c r="F13"/>
  <c r="C14"/>
  <c r="BD15" i="5"/>
  <c r="Y16"/>
  <c r="AA16" i="1"/>
  <c r="Y16"/>
  <c r="AB16" s="1"/>
  <c r="T15" i="2"/>
  <c r="G13"/>
  <c r="I12" i="82" s="1"/>
  <c r="N81" i="74"/>
  <c r="B15" i="77" s="1"/>
  <c r="L13" i="76"/>
  <c r="D13"/>
  <c r="E13" s="1"/>
  <c r="S15" i="3"/>
  <c r="U15" s="1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O19" i="81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F14" i="3" l="1"/>
  <c r="J12" i="82"/>
  <c r="E14" i="77"/>
  <c r="C14" i="65"/>
  <c r="I5" i="3"/>
  <c r="I27" i="79"/>
  <c r="M29"/>
  <c r="O28"/>
  <c r="F5" i="3"/>
  <c r="J11" i="65"/>
  <c r="AF7" i="7"/>
  <c r="AG7" s="1"/>
  <c r="D10" i="63"/>
  <c r="AI8" i="2"/>
  <c r="AI6"/>
  <c r="E6" i="3"/>
  <c r="C7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AL7" i="1"/>
  <c r="D8" i="75" s="1"/>
  <c r="E8" s="1"/>
  <c r="J7" i="65"/>
  <c r="AI5" i="2"/>
  <c r="AE11" i="7"/>
  <c r="AF11"/>
  <c r="AF13"/>
  <c r="AH13" s="1"/>
  <c r="AF12"/>
  <c r="AH12" s="1"/>
  <c r="D12" i="65"/>
  <c r="AI11" i="3"/>
  <c r="AI12"/>
  <c r="D14" i="65" s="1"/>
  <c r="W6" i="1"/>
  <c r="AI6"/>
  <c r="AW7" i="7" s="1"/>
  <c r="B6" i="65"/>
  <c r="E6" s="1"/>
  <c r="V7" i="1"/>
  <c r="AG10" i="7"/>
  <c r="AH10"/>
  <c r="H18" i="5"/>
  <c r="E16" i="3"/>
  <c r="C15"/>
  <c r="Y17" i="5"/>
  <c r="Y17" i="1"/>
  <c r="AB17" s="1"/>
  <c r="V14" i="2"/>
  <c r="V15"/>
  <c r="T16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J13" i="82" l="1"/>
  <c r="E15" i="77"/>
  <c r="I6" i="3"/>
  <c r="M30" i="79"/>
  <c r="O2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G3" i="81"/>
  <c r="AJ6" i="1"/>
  <c r="AK6" s="1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V16" i="2"/>
  <c r="T17"/>
  <c r="S17" i="3"/>
  <c r="BA18" i="5"/>
  <c r="BD19" s="1"/>
  <c r="AJ17"/>
  <c r="AA17"/>
  <c r="U18"/>
  <c r="AF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R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F16" i="3" l="1"/>
  <c r="BD18" i="5"/>
  <c r="J14" i="82"/>
  <c r="O13" i="2"/>
  <c r="S14" i="76"/>
  <c r="I7" i="3"/>
  <c r="I29" i="79"/>
  <c r="M31"/>
  <c r="O30"/>
  <c r="AJ7" i="7"/>
  <c r="AK7" s="1"/>
  <c r="F7" i="3"/>
  <c r="AO6" i="7"/>
  <c r="E8" i="3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U9"/>
  <c r="AL9"/>
  <c r="D10" i="75" s="1"/>
  <c r="E10" s="1"/>
  <c r="AJ7" i="1"/>
  <c r="AK7" s="1"/>
  <c r="G4" i="81"/>
  <c r="AK13" i="7"/>
  <c r="AL13"/>
  <c r="AM13" s="1"/>
  <c r="AL10"/>
  <c r="AM10" s="1"/>
  <c r="AK10"/>
  <c r="H20" i="5"/>
  <c r="C17" i="3"/>
  <c r="Y19" i="5"/>
  <c r="Y19" i="1"/>
  <c r="AB19" s="1"/>
  <c r="V17" i="2"/>
  <c r="T18"/>
  <c r="S18" i="3"/>
  <c r="U18" s="1"/>
  <c r="K13" i="82"/>
  <c r="AJ18" i="5"/>
  <c r="K14" i="82" s="1"/>
  <c r="AA18" i="5"/>
  <c r="U19"/>
  <c r="AF18" i="1"/>
  <c r="R18"/>
  <c r="S19"/>
  <c r="T19" s="1"/>
  <c r="I20"/>
  <c r="J17"/>
  <c r="AL17"/>
  <c r="D18" i="75" s="1"/>
  <c r="E18" s="1"/>
  <c r="U17" i="1"/>
  <c r="G18"/>
  <c r="AL18" s="1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8"/>
  <c r="I17" i="82" s="1"/>
  <c r="J14" i="65"/>
  <c r="AI12" i="2"/>
  <c r="C12" i="63"/>
  <c r="D12" s="1"/>
  <c r="E12" i="81"/>
  <c r="E15" i="2"/>
  <c r="H13" i="82"/>
  <c r="N14" i="2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G16" i="82" l="1"/>
  <c r="J15"/>
  <c r="AN6" i="7"/>
  <c r="O14" i="2"/>
  <c r="S15" i="76"/>
  <c r="I8" i="3"/>
  <c r="I30" i="79"/>
  <c r="M32"/>
  <c r="O31"/>
  <c r="AL7" i="7"/>
  <c r="AM7" s="1"/>
  <c r="AO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U10"/>
  <c r="AL10"/>
  <c r="D11" i="75" s="1"/>
  <c r="E11" s="1"/>
  <c r="G5" i="81"/>
  <c r="AJ8" i="1"/>
  <c r="AK8" s="1"/>
  <c r="B9" i="65"/>
  <c r="E9" s="1"/>
  <c r="W9" i="1"/>
  <c r="AI9"/>
  <c r="AW10" i="7" s="1"/>
  <c r="AO12"/>
  <c r="AO13"/>
  <c r="H21" i="5"/>
  <c r="C18" i="3"/>
  <c r="F17"/>
  <c r="Y20" i="5"/>
  <c r="Y20" i="1"/>
  <c r="AB20" s="1"/>
  <c r="V18" i="2"/>
  <c r="T19"/>
  <c r="S19" i="3"/>
  <c r="U19" s="1"/>
  <c r="AA19" i="5"/>
  <c r="AJ19"/>
  <c r="U20"/>
  <c r="AF19" i="1"/>
  <c r="R19"/>
  <c r="S20"/>
  <c r="I21"/>
  <c r="G19"/>
  <c r="AL19" s="1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F18" i="3" l="1"/>
  <c r="T20" i="1"/>
  <c r="J16" i="82"/>
  <c r="S16" i="76"/>
  <c r="R15" i="2"/>
  <c r="AN7" i="7"/>
  <c r="O15" i="2"/>
  <c r="F9" i="3"/>
  <c r="I9"/>
  <c r="M33" i="79"/>
  <c r="O32"/>
  <c r="I31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U11" i="1"/>
  <c r="W10"/>
  <c r="B10" i="65"/>
  <c r="E10" s="1"/>
  <c r="AI10" i="1"/>
  <c r="AW11" i="7" s="1"/>
  <c r="G6" i="81"/>
  <c r="AJ9" i="1"/>
  <c r="AK9" s="1"/>
  <c r="H22" i="5"/>
  <c r="C19" i="3"/>
  <c r="Y21" i="5"/>
  <c r="Y21" i="1"/>
  <c r="AB21" s="1"/>
  <c r="V19" i="2"/>
  <c r="T20"/>
  <c r="S20" i="3"/>
  <c r="U20" s="1"/>
  <c r="BD21" i="5"/>
  <c r="AA20"/>
  <c r="AJ20"/>
  <c r="K16" i="82" s="1"/>
  <c r="K15"/>
  <c r="U21" i="5"/>
  <c r="AF20" i="1"/>
  <c r="R20"/>
  <c r="S21"/>
  <c r="D20" i="75"/>
  <c r="E20" s="1"/>
  <c r="J19" i="1"/>
  <c r="U19"/>
  <c r="G20"/>
  <c r="AL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N17" s="1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T21" i="1" l="1"/>
  <c r="J17" i="82"/>
  <c r="S17" i="76"/>
  <c r="R16" i="2"/>
  <c r="C12" i="65"/>
  <c r="O16" i="2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AJ10" i="1"/>
  <c r="AK10" s="1"/>
  <c r="G7" i="81"/>
  <c r="B11" i="65"/>
  <c r="E11" s="1"/>
  <c r="W11" i="1"/>
  <c r="AI11"/>
  <c r="AW12" i="7" s="1"/>
  <c r="AL12" i="1"/>
  <c r="U12"/>
  <c r="V12"/>
  <c r="AL13"/>
  <c r="D14" i="75" s="1"/>
  <c r="E14" s="1"/>
  <c r="U13" i="1"/>
  <c r="H23" i="5"/>
  <c r="E21" i="3"/>
  <c r="F19"/>
  <c r="C20"/>
  <c r="Y22" i="5"/>
  <c r="Y22" i="1"/>
  <c r="AB22" s="1"/>
  <c r="V20" i="2"/>
  <c r="S21" i="3"/>
  <c r="BA22" i="5"/>
  <c r="BD22" s="1"/>
  <c r="AA21"/>
  <c r="AJ21"/>
  <c r="U22"/>
  <c r="AF21" i="1"/>
  <c r="R21"/>
  <c r="S22"/>
  <c r="G21"/>
  <c r="AL21" s="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I20"/>
  <c r="AI15" i="2"/>
  <c r="J17" i="65"/>
  <c r="C15" i="63"/>
  <c r="D15" s="1"/>
  <c r="E15" i="81"/>
  <c r="R17" i="2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F20" i="3" l="1"/>
  <c r="T22" i="1"/>
  <c r="J18" i="82"/>
  <c r="F13" i="75"/>
  <c r="G13" s="1"/>
  <c r="D13"/>
  <c r="E13" s="1"/>
  <c r="O17" i="2"/>
  <c r="S18" i="76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V13" i="1"/>
  <c r="Y23" i="5"/>
  <c r="Y14" i="7"/>
  <c r="AR14" s="1"/>
  <c r="T22" i="2"/>
  <c r="S22" i="3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Z19"/>
  <c r="AF19" s="1"/>
  <c r="AG19" s="1"/>
  <c r="H20" i="65"/>
  <c r="B17" i="63"/>
  <c r="A19"/>
  <c r="AI18" i="3"/>
  <c r="D20" i="65" s="1"/>
  <c r="BE21" i="7"/>
  <c r="BG21" s="1"/>
  <c r="AD19" i="3"/>
  <c r="I21" i="65"/>
  <c r="E18" i="63"/>
  <c r="M20" i="2"/>
  <c r="E19" i="82" s="1"/>
  <c r="F20"/>
  <c r="G20"/>
  <c r="G22" i="2"/>
  <c r="I21" i="82" s="1"/>
  <c r="N18" i="2"/>
  <c r="R18" s="1"/>
  <c r="H17" i="82"/>
  <c r="E19" i="2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BC19" i="5" l="1"/>
  <c r="BC18"/>
  <c r="J19" i="82"/>
  <c r="O18" i="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AW14" i="7" s="1"/>
  <c r="Y7"/>
  <c r="AR7" s="1"/>
  <c r="H25" i="5"/>
  <c r="C22" i="3"/>
  <c r="E22" s="1"/>
  <c r="F21"/>
  <c r="Y24" i="1"/>
  <c r="AB24" s="1"/>
  <c r="V22" i="2"/>
  <c r="T23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B22" i="2"/>
  <c r="B18" i="63"/>
  <c r="H21" i="65"/>
  <c r="Z20" i="2"/>
  <c r="AF20" s="1"/>
  <c r="AG20" s="1"/>
  <c r="X22"/>
  <c r="A20" i="63"/>
  <c r="AD20" i="3"/>
  <c r="E19" i="63"/>
  <c r="I22" i="65"/>
  <c r="BE22" i="7"/>
  <c r="BG22" s="1"/>
  <c r="AI19" i="3"/>
  <c r="D21" i="65" s="1"/>
  <c r="E20" i="82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F22" i="3" l="1"/>
  <c r="T24" i="1"/>
  <c r="J20" i="82"/>
  <c r="AI14" i="1"/>
  <c r="AW15" i="7" s="1"/>
  <c r="O19" i="2"/>
  <c r="S20" i="76"/>
  <c r="I13" i="3"/>
  <c r="AN17" i="7"/>
  <c r="Y9"/>
  <c r="AR9" s="1"/>
  <c r="AU21" i="5"/>
  <c r="AZ21" s="1"/>
  <c r="Y11" i="7"/>
  <c r="V15" i="1"/>
  <c r="B14" i="65"/>
  <c r="E14" s="1"/>
  <c r="W14" i="1"/>
  <c r="G10" i="81"/>
  <c r="AJ13" i="1"/>
  <c r="AK13" s="1"/>
  <c r="Y8" i="7"/>
  <c r="X7"/>
  <c r="Y13"/>
  <c r="Y10"/>
  <c r="AR10" s="1"/>
  <c r="H26" i="5"/>
  <c r="Y25"/>
  <c r="Y25" i="1"/>
  <c r="AB25" s="1"/>
  <c r="AO18" i="7"/>
  <c r="Y15"/>
  <c r="V23" i="2"/>
  <c r="T24"/>
  <c r="S24" i="3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AG21"/>
  <c r="H22" i="65"/>
  <c r="B19" i="63"/>
  <c r="X23" i="2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H19"/>
  <c r="N20" i="2"/>
  <c r="R20" s="1"/>
  <c r="AI18"/>
  <c r="J20" i="65"/>
  <c r="C18" i="63"/>
  <c r="D18" s="1"/>
  <c r="E18" i="81"/>
  <c r="AQ7" i="7"/>
  <c r="X12"/>
  <c r="Y6"/>
  <c r="AR6" s="1"/>
  <c r="AR15" l="1"/>
  <c r="BC15" s="1"/>
  <c r="AR13"/>
  <c r="AS13" s="1"/>
  <c r="AR8"/>
  <c r="AS8" s="1"/>
  <c r="AR11"/>
  <c r="AS12" s="1"/>
  <c r="AX12" s="1"/>
  <c r="BJ12" s="1"/>
  <c r="AS10"/>
  <c r="T25" i="1"/>
  <c r="J21" i="82"/>
  <c r="D24" i="75"/>
  <c r="E24" s="1"/>
  <c r="AS9" i="7"/>
  <c r="AS7"/>
  <c r="O20" i="2"/>
  <c r="S21" i="76"/>
  <c r="I14" i="3"/>
  <c r="X13" i="7"/>
  <c r="X10"/>
  <c r="BC10"/>
  <c r="AN18"/>
  <c r="BC8"/>
  <c r="X9"/>
  <c r="X15"/>
  <c r="AU22" i="5"/>
  <c r="BC21"/>
  <c r="X11" i="7"/>
  <c r="U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V24" i="2"/>
  <c r="T25"/>
  <c r="BA26" i="5"/>
  <c r="BD26" s="1"/>
  <c r="AA25"/>
  <c r="AJ25"/>
  <c r="K21" i="82" s="1"/>
  <c r="U26" i="5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H20"/>
  <c r="J21" i="65"/>
  <c r="AI19" i="2"/>
  <c r="E22"/>
  <c r="C19" i="63"/>
  <c r="D19" s="1"/>
  <c r="E19" i="81"/>
  <c r="X6" i="7"/>
  <c r="AQ6"/>
  <c r="AQ9"/>
  <c r="AQ12"/>
  <c r="AS15" l="1"/>
  <c r="AX15" s="1"/>
  <c r="AS14"/>
  <c r="AX14" s="1"/>
  <c r="AS11"/>
  <c r="AX11" s="1"/>
  <c r="AQ11"/>
  <c r="BC12"/>
  <c r="AQ15"/>
  <c r="F24" i="3"/>
  <c r="T26" i="1"/>
  <c r="J22" i="82"/>
  <c r="S22" i="76"/>
  <c r="I15" i="3"/>
  <c r="AQ8" i="7"/>
  <c r="BC9"/>
  <c r="AX8"/>
  <c r="AX9"/>
  <c r="AN19"/>
  <c r="U22" i="3"/>
  <c r="AU23" i="5"/>
  <c r="AU24" s="1"/>
  <c r="AZ24" s="1"/>
  <c r="AZ22"/>
  <c r="BC22" s="1"/>
  <c r="AX10" i="7"/>
  <c r="AX13"/>
  <c r="AQ10"/>
  <c r="BC11"/>
  <c r="AQ13"/>
  <c r="BC14"/>
  <c r="BC13"/>
  <c r="G12" i="81"/>
  <c r="AJ15" i="1"/>
  <c r="AK15" s="1"/>
  <c r="B16" i="65"/>
  <c r="E16" s="1"/>
  <c r="AI16" i="1"/>
  <c r="AW17" i="7" s="1"/>
  <c r="W16" i="1"/>
  <c r="V17"/>
  <c r="H28" i="5"/>
  <c r="AO20" i="7"/>
  <c r="Y16"/>
  <c r="AR16" s="1"/>
  <c r="Y27" i="5"/>
  <c r="Y27" i="1"/>
  <c r="AB27" s="1"/>
  <c r="V25" i="2"/>
  <c r="T26"/>
  <c r="S26" i="3"/>
  <c r="U26" s="1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I22" i="3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H21" i="82"/>
  <c r="E23" i="2"/>
  <c r="J22" i="65"/>
  <c r="AI20" i="2"/>
  <c r="BC6" i="7"/>
  <c r="AX7"/>
  <c r="BJ7" s="1"/>
  <c r="AY12"/>
  <c r="Q10" i="76"/>
  <c r="Q8" l="1"/>
  <c r="BJ10" i="7"/>
  <c r="Q12" i="76"/>
  <c r="BJ14" i="7"/>
  <c r="Q11" i="76"/>
  <c r="BJ13" i="7"/>
  <c r="AY8"/>
  <c r="BJ8"/>
  <c r="Q13" i="76"/>
  <c r="BJ15" i="7"/>
  <c r="AY11"/>
  <c r="BJ11"/>
  <c r="Q7" i="76"/>
  <c r="BJ9" i="7"/>
  <c r="AY15"/>
  <c r="AY14"/>
  <c r="T27" i="1"/>
  <c r="J23" i="82"/>
  <c r="O22" i="2"/>
  <c r="S23" i="76"/>
  <c r="I16" i="3"/>
  <c r="Q6" i="76"/>
  <c r="AY9" i="7"/>
  <c r="AN20"/>
  <c r="X16"/>
  <c r="Q9" i="76"/>
  <c r="AZ23" i="5"/>
  <c r="BC23" s="1"/>
  <c r="AY10" i="7"/>
  <c r="AY13"/>
  <c r="B17" i="65"/>
  <c r="V18" i="1"/>
  <c r="AJ16"/>
  <c r="AK16" s="1"/>
  <c r="G13" i="81"/>
  <c r="AO21" i="7"/>
  <c r="Y17"/>
  <c r="AR17" s="1"/>
  <c r="H29" i="5"/>
  <c r="E27" i="3"/>
  <c r="C26"/>
  <c r="Y28" i="5"/>
  <c r="Y28" i="1"/>
  <c r="AB28" s="1"/>
  <c r="V26" i="2"/>
  <c r="T27"/>
  <c r="S27" i="3"/>
  <c r="U27" s="1"/>
  <c r="BA28" i="5"/>
  <c r="BD28" s="1"/>
  <c r="AA27"/>
  <c r="AJ27"/>
  <c r="K23" i="82" s="1"/>
  <c r="U28" i="5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D25" i="65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H22" i="82"/>
  <c r="E24" i="2"/>
  <c r="AY7" i="7"/>
  <c r="Q5" i="76"/>
  <c r="F26" i="3" l="1"/>
  <c r="T28" i="1"/>
  <c r="J24" i="82"/>
  <c r="D27" i="75"/>
  <c r="E27" s="1"/>
  <c r="O23" i="2"/>
  <c r="S24" i="76"/>
  <c r="I17" i="3"/>
  <c r="AN21" i="7"/>
  <c r="AU25" i="5"/>
  <c r="BC24"/>
  <c r="X17" i="7"/>
  <c r="B18" i="65"/>
  <c r="V19" i="1"/>
  <c r="H30" i="5"/>
  <c r="AO22" i="7"/>
  <c r="E28" i="3"/>
  <c r="C27"/>
  <c r="Y29" i="5"/>
  <c r="Y29" i="1"/>
  <c r="AB29" s="1"/>
  <c r="Y18" i="7"/>
  <c r="AR18" s="1"/>
  <c r="V27" i="2"/>
  <c r="T28"/>
  <c r="S28" i="3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I27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H23" i="82"/>
  <c r="E25" i="2"/>
  <c r="J24" i="65"/>
  <c r="AI22" i="2"/>
  <c r="E22" i="81"/>
  <c r="C22" i="63"/>
  <c r="D22" s="1"/>
  <c r="F27" i="3" l="1"/>
  <c r="T29" i="1"/>
  <c r="J25" i="82"/>
  <c r="O24" i="2"/>
  <c r="S25" i="76"/>
  <c r="I18" i="3"/>
  <c r="X18" i="7"/>
  <c r="AN22"/>
  <c r="AU26" i="5"/>
  <c r="AZ25"/>
  <c r="BC25" s="1"/>
  <c r="B19" i="65"/>
  <c r="V20" i="1"/>
  <c r="H31" i="5"/>
  <c r="E29" i="3"/>
  <c r="F29" s="1"/>
  <c r="C28"/>
  <c r="Y30" i="5"/>
  <c r="Y30" i="1"/>
  <c r="AB30" s="1"/>
  <c r="V28" i="2"/>
  <c r="T29"/>
  <c r="S29" i="3"/>
  <c r="U29" s="1"/>
  <c r="BA30" i="5"/>
  <c r="BD30" s="1"/>
  <c r="AA29"/>
  <c r="AJ29"/>
  <c r="K25" i="82" s="1"/>
  <c r="U30" i="5"/>
  <c r="AF29" i="1"/>
  <c r="S30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D27" i="65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H24" i="82"/>
  <c r="N25" i="2"/>
  <c r="R25" s="1"/>
  <c r="F28" i="3" l="1"/>
  <c r="T30" i="1"/>
  <c r="J26" i="82"/>
  <c r="S26" i="76"/>
  <c r="O25" i="2"/>
  <c r="I19" i="3"/>
  <c r="AN23" i="7"/>
  <c r="AU27" i="5"/>
  <c r="AZ26"/>
  <c r="BC26" s="1"/>
  <c r="V21" i="1"/>
  <c r="B20" i="65"/>
  <c r="AO24" i="7"/>
  <c r="H32" i="5"/>
  <c r="E30" i="3"/>
  <c r="C29"/>
  <c r="Y31" i="5"/>
  <c r="Y31" i="1"/>
  <c r="AB31" s="1"/>
  <c r="V29" i="2"/>
  <c r="T30"/>
  <c r="S30" i="3"/>
  <c r="U30" s="1"/>
  <c r="BA31" i="5"/>
  <c r="BD31" s="1"/>
  <c r="AJ30"/>
  <c r="K26" i="82" s="1"/>
  <c r="AA30" i="5"/>
  <c r="U31"/>
  <c r="AF30" i="1"/>
  <c r="R30"/>
  <c r="S31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H25" i="82"/>
  <c r="N26" i="2"/>
  <c r="R26" s="1"/>
  <c r="J26" i="65"/>
  <c r="AI24" i="2"/>
  <c r="E24" i="81"/>
  <c r="C24" i="63"/>
  <c r="D24" s="1"/>
  <c r="T31" i="1" l="1"/>
  <c r="O26" i="2"/>
  <c r="S27" i="76"/>
  <c r="I20" i="3"/>
  <c r="J27" i="82"/>
  <c r="AN24" i="7"/>
  <c r="X20"/>
  <c r="AU28" i="5"/>
  <c r="AZ27"/>
  <c r="BC27" s="1"/>
  <c r="B21" i="65"/>
  <c r="V22" i="1"/>
  <c r="H33" i="5"/>
  <c r="C30" i="3"/>
  <c r="Y32" i="5"/>
  <c r="Y32" i="1"/>
  <c r="AB32" s="1"/>
  <c r="V30" i="2"/>
  <c r="BA32" i="5"/>
  <c r="BD32" s="1"/>
  <c r="AJ31"/>
  <c r="K27" i="82" s="1"/>
  <c r="AA31" i="5"/>
  <c r="U32"/>
  <c r="AF31" i="1"/>
  <c r="R31"/>
  <c r="S32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E28" i="2"/>
  <c r="N27"/>
  <c r="R27" s="1"/>
  <c r="H26" i="82"/>
  <c r="E25" i="81"/>
  <c r="C25" i="63"/>
  <c r="D25" s="1"/>
  <c r="J27" i="65"/>
  <c r="AI25" i="2"/>
  <c r="AS21" i="7" l="1"/>
  <c r="AR21"/>
  <c r="F30" i="3"/>
  <c r="T32" i="1"/>
  <c r="O27" i="2"/>
  <c r="S28" i="76"/>
  <c r="I21" i="3"/>
  <c r="J28" i="82"/>
  <c r="AN25" i="7"/>
  <c r="AU29" i="5"/>
  <c r="AZ28"/>
  <c r="BC28" s="1"/>
  <c r="B22" i="65"/>
  <c r="Y22" i="7"/>
  <c r="AR22" s="1"/>
  <c r="Y33" i="5"/>
  <c r="X21" i="7"/>
  <c r="S35" i="3"/>
  <c r="BA33" i="5"/>
  <c r="AA32"/>
  <c r="AJ32"/>
  <c r="K28" i="82" s="1"/>
  <c r="U33" i="5"/>
  <c r="AF32" i="1"/>
  <c r="R32"/>
  <c r="G32"/>
  <c r="U32" s="1"/>
  <c r="J31"/>
  <c r="U31"/>
  <c r="D32" i="75"/>
  <c r="E32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D30" i="2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M30" i="2"/>
  <c r="E29" i="82" s="1"/>
  <c r="E29" i="2"/>
  <c r="N28"/>
  <c r="R28" s="1"/>
  <c r="H27" i="82"/>
  <c r="C26" i="63"/>
  <c r="D26" s="1"/>
  <c r="E26" i="81"/>
  <c r="J28" i="65"/>
  <c r="AI26" i="2"/>
  <c r="BD33" i="5" l="1"/>
  <c r="BD34"/>
  <c r="AL32" i="1"/>
  <c r="D33" i="75" s="1"/>
  <c r="E33" s="1"/>
  <c r="O28" i="2"/>
  <c r="S29" i="76"/>
  <c r="I22" i="3"/>
  <c r="J29" i="82"/>
  <c r="AN26" i="7"/>
  <c r="AU30" i="5"/>
  <c r="AZ29"/>
  <c r="BC29" s="1"/>
  <c r="B23" i="65"/>
  <c r="V24" i="1"/>
  <c r="X22" i="7"/>
  <c r="H37" i="5"/>
  <c r="D1"/>
  <c r="AO27" i="7"/>
  <c r="Y23"/>
  <c r="AR23" s="1"/>
  <c r="AA33" i="5"/>
  <c r="AJ33"/>
  <c r="K29" i="82" s="1"/>
  <c r="J32" i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H31" i="65"/>
  <c r="B28" i="63"/>
  <c r="Z30" i="2"/>
  <c r="AF30" s="1"/>
  <c r="AG30" s="1"/>
  <c r="A30" i="63"/>
  <c r="AI29" i="3"/>
  <c r="D31" i="65" s="1"/>
  <c r="AD30" i="3"/>
  <c r="I32" i="65"/>
  <c r="BE32" i="7"/>
  <c r="BG32" s="1"/>
  <c r="E29" i="63"/>
  <c r="J29" i="65"/>
  <c r="AI27" i="2"/>
  <c r="N29"/>
  <c r="R29" s="1"/>
  <c r="H28" i="82"/>
  <c r="E30" i="2"/>
  <c r="C27" i="63"/>
  <c r="D27" s="1"/>
  <c r="E27" i="81"/>
  <c r="C35" i="3" l="1"/>
  <c r="D34" i="75"/>
  <c r="E34" s="1"/>
  <c r="O29" i="2"/>
  <c r="S30" i="76"/>
  <c r="I24" i="3"/>
  <c r="AN27" i="7"/>
  <c r="B7" i="77"/>
  <c r="AU31" i="5"/>
  <c r="AZ30"/>
  <c r="BC30" s="1"/>
  <c r="V25" i="1"/>
  <c r="B24" i="65"/>
  <c r="Y24" i="7"/>
  <c r="AR24" s="1"/>
  <c r="Y37" i="5"/>
  <c r="X23" i="7"/>
  <c r="U37" i="5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B29" i="63"/>
  <c r="H32" i="65"/>
  <c r="A31" i="63"/>
  <c r="AI30" i="3"/>
  <c r="D32" i="65" s="1"/>
  <c r="E30" i="63"/>
  <c r="I33" i="65"/>
  <c r="BE33" i="7"/>
  <c r="BG33" s="1"/>
  <c r="C28" i="63"/>
  <c r="D28" s="1"/>
  <c r="E28" i="81"/>
  <c r="N30" i="2"/>
  <c r="H29" i="82"/>
  <c r="J30" i="65"/>
  <c r="AI28" i="2"/>
  <c r="R30" l="1"/>
  <c r="S31" i="76"/>
  <c r="I26" i="3"/>
  <c r="O30" i="2"/>
  <c r="X24" i="7"/>
  <c r="AN28"/>
  <c r="AU32" i="5"/>
  <c r="AZ31"/>
  <c r="BC31" s="1"/>
  <c r="B25" i="65"/>
  <c r="V26" i="1"/>
  <c r="AO29" i="7"/>
  <c r="Y25"/>
  <c r="AR25" s="1"/>
  <c r="J37" i="1"/>
  <c r="J1" s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AI29" i="2"/>
  <c r="J31" i="65"/>
  <c r="C29" i="63"/>
  <c r="D29" s="1"/>
  <c r="E29" i="81"/>
  <c r="AJ37" i="5" l="1"/>
  <c r="Z38" s="1"/>
  <c r="I27" i="3"/>
  <c r="D35" i="75"/>
  <c r="E35" s="1"/>
  <c r="AL37" i="1"/>
  <c r="AN29" i="7"/>
  <c r="F4" i="77"/>
  <c r="AU33" i="5"/>
  <c r="AZ32"/>
  <c r="BC32" s="1"/>
  <c r="X25" i="7"/>
  <c r="B26" i="65"/>
  <c r="V27" i="1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AI30" i="2"/>
  <c r="J32" i="65"/>
  <c r="C30" i="63"/>
  <c r="D30" s="1"/>
  <c r="I28" i="3" l="1"/>
  <c r="X26" i="7"/>
  <c r="AN30"/>
  <c r="AZ33" i="5"/>
  <c r="D38" i="73"/>
  <c r="B16" i="77" s="1"/>
  <c r="E8"/>
  <c r="G8" s="1"/>
  <c r="K36" i="76"/>
  <c r="AO31" i="7"/>
  <c r="B27" i="65"/>
  <c r="V28" i="1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BC33" i="5" l="1"/>
  <c r="BC34"/>
  <c r="I29" i="3"/>
  <c r="AN31" i="7"/>
  <c r="E16" i="77"/>
  <c r="F7"/>
  <c r="G36" i="76"/>
  <c r="AD26"/>
  <c r="I36"/>
  <c r="AD27" s="1"/>
  <c r="E9" i="77"/>
  <c r="G9" s="1"/>
  <c r="V29" i="1"/>
  <c r="B28" i="65"/>
  <c r="F8" i="77"/>
  <c r="AK33" i="7"/>
  <c r="AL33"/>
  <c r="AM33" s="1"/>
  <c r="AO32"/>
  <c r="Y28"/>
  <c r="AR28" s="1"/>
  <c r="X27"/>
  <c r="V29"/>
  <c r="W29" s="1"/>
  <c r="U29"/>
  <c r="S30"/>
  <c r="T30"/>
  <c r="AD28" i="76" l="1"/>
  <c r="C36"/>
  <c r="I30" i="3"/>
  <c r="AN32" i="7"/>
  <c r="F9" i="77"/>
  <c r="B29" i="65"/>
  <c r="V30" i="1"/>
  <c r="AO33" i="7"/>
  <c r="X28"/>
  <c r="U30"/>
  <c r="V30"/>
  <c r="W30" s="1"/>
  <c r="Y29"/>
  <c r="AR29" s="1"/>
  <c r="T31"/>
  <c r="AN33" l="1"/>
  <c r="V31" i="1"/>
  <c r="B30" i="65"/>
  <c r="Y30" i="7"/>
  <c r="AR30" s="1"/>
  <c r="T32"/>
  <c r="U31"/>
  <c r="V31"/>
  <c r="W31" s="1"/>
  <c r="X29"/>
  <c r="X30" l="1"/>
  <c r="V32" i="1"/>
  <c r="B31" i="65"/>
  <c r="Y31" i="7"/>
  <c r="AR31" s="1"/>
  <c r="T33"/>
  <c r="V32"/>
  <c r="W32" s="1"/>
  <c r="U32"/>
  <c r="B32" i="65" l="1"/>
  <c r="Y32" i="7"/>
  <c r="AR32" s="1"/>
  <c r="X31"/>
  <c r="U33"/>
  <c r="V33"/>
  <c r="W33" s="1"/>
  <c r="X32" l="1"/>
  <c r="B33" i="65"/>
  <c r="Y33" i="7"/>
  <c r="AR33" l="1"/>
  <c r="BC36" s="1"/>
  <c r="B34" i="65"/>
  <c r="X33" i="7"/>
  <c r="AS34" l="1"/>
  <c r="AX34" s="1"/>
  <c r="AY34" s="1"/>
  <c r="L11" i="5"/>
  <c r="L16"/>
  <c r="AK16" s="1"/>
  <c r="L13"/>
  <c r="AK13" s="1"/>
  <c r="L15"/>
  <c r="AK15" s="1"/>
  <c r="L12"/>
  <c r="AK12" s="1"/>
  <c r="L19"/>
  <c r="AK19" s="1"/>
  <c r="Q32" i="76" l="1"/>
  <c r="H8" i="63"/>
  <c r="AK11" i="5"/>
  <c r="L31"/>
  <c r="AK31" s="1"/>
  <c r="L10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s="1"/>
  <c r="L37" l="1"/>
  <c r="AK37" s="1"/>
  <c r="F7" i="65"/>
  <c r="H4" i="63"/>
  <c r="AA28" i="76" l="1"/>
  <c r="AB28" s="1"/>
  <c r="AE28" s="1"/>
  <c r="AF28" s="1"/>
  <c r="AA27"/>
  <c r="AB27" s="1"/>
  <c r="AA26"/>
  <c r="AB26" l="1"/>
  <c r="AB30" s="1"/>
  <c r="AA29"/>
  <c r="W39" l="1"/>
  <c r="W41"/>
  <c r="X16" l="1"/>
  <c r="R43" i="74" l="1"/>
  <c r="S43"/>
  <c r="G43" l="1"/>
  <c r="J43"/>
  <c r="K43"/>
  <c r="AB10"/>
  <c r="N43"/>
  <c r="O43"/>
  <c r="AA10"/>
  <c r="F4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AS24"/>
  <c r="BC25"/>
  <c r="AQ24"/>
  <c r="BC23"/>
  <c r="AQ22"/>
  <c r="AS23"/>
  <c r="AS28"/>
  <c r="AS22"/>
  <c r="AQ20"/>
  <c r="AS20"/>
  <c r="BC21"/>
  <c r="AS27"/>
  <c r="AS25"/>
  <c r="AS32"/>
  <c r="AS30"/>
  <c r="AS26"/>
  <c r="AS33"/>
  <c r="AS18"/>
  <c r="AS29"/>
  <c r="AS19"/>
  <c r="AS17"/>
  <c r="AX17" s="1"/>
  <c r="AS31"/>
  <c r="AS16"/>
  <c r="Q15" i="76" l="1"/>
  <c r="AY17" i="7"/>
  <c r="AX16"/>
  <c r="BJ16" s="1"/>
  <c r="AY16" l="1"/>
  <c r="Q14" i="76"/>
  <c r="AS6" i="7" l="1"/>
  <c r="AS40" l="1"/>
  <c r="AD5" i="1" l="1"/>
  <c r="I5"/>
  <c r="V5" s="1"/>
  <c r="AA5"/>
  <c r="AH5" s="1"/>
  <c r="AD17" l="1"/>
  <c r="AA17"/>
  <c r="AH17" s="1"/>
  <c r="W5"/>
  <c r="B5" i="65"/>
  <c r="V37" i="1"/>
  <c r="AG5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F19" i="75" s="1"/>
  <c r="G19" s="1"/>
  <c r="AG18" i="1"/>
  <c r="AJ17"/>
  <c r="AK17" s="1"/>
  <c r="G14" i="81"/>
  <c r="AX18" i="7"/>
  <c r="AA19" i="1"/>
  <c r="AH19" s="1"/>
  <c r="C18" i="65"/>
  <c r="E18" s="1"/>
  <c r="AI18" i="1"/>
  <c r="AW19" i="7" s="1"/>
  <c r="G2" i="81"/>
  <c r="AJ5" i="1"/>
  <c r="AK5" s="1"/>
  <c r="AX6" i="7"/>
  <c r="BJ6" s="1"/>
  <c r="AM19" i="1" l="1"/>
  <c r="F20" i="75" s="1"/>
  <c r="G20" s="1"/>
  <c r="AG19" i="1"/>
  <c r="AD20"/>
  <c r="AJ18"/>
  <c r="AK18" s="1"/>
  <c r="G15" i="81"/>
  <c r="AX19" i="7"/>
  <c r="Q16" i="76"/>
  <c r="AY18" i="7"/>
  <c r="AA20" i="1"/>
  <c r="AH20" s="1"/>
  <c r="C19" i="65"/>
  <c r="E19" s="1"/>
  <c r="AI19" i="1"/>
  <c r="AW20" i="7" s="1"/>
  <c r="Q4" i="76"/>
  <c r="AY6" i="7"/>
  <c r="AD21" i="1" l="1"/>
  <c r="AM20"/>
  <c r="F21" i="75" s="1"/>
  <c r="G21" s="1"/>
  <c r="AG20" i="1"/>
  <c r="C20" i="65"/>
  <c r="E20" s="1"/>
  <c r="AI20" i="1"/>
  <c r="AW21" i="7" s="1"/>
  <c r="AJ19" i="1"/>
  <c r="AK19" s="1"/>
  <c r="G16" i="81"/>
  <c r="AX20" i="7"/>
  <c r="Q17" i="76"/>
  <c r="AY19" i="7"/>
  <c r="AA21" i="1"/>
  <c r="AH21" s="1"/>
  <c r="AD22" l="1"/>
  <c r="AM21"/>
  <c r="F22" i="75" s="1"/>
  <c r="G22" s="1"/>
  <c r="AG21" i="1"/>
  <c r="AJ20"/>
  <c r="AK20" s="1"/>
  <c r="G17" i="81"/>
  <c r="AX21" i="7"/>
  <c r="AA22" i="1"/>
  <c r="AH22" s="1"/>
  <c r="C21" i="65"/>
  <c r="E21" s="1"/>
  <c r="AI21" i="1"/>
  <c r="AW22" i="7" s="1"/>
  <c r="Q18" i="76"/>
  <c r="AY20" i="7"/>
  <c r="AM22" i="1" l="1"/>
  <c r="F23" i="75" s="1"/>
  <c r="G23" s="1"/>
  <c r="AG22" i="1"/>
  <c r="AY21" i="7"/>
  <c r="Q19" i="76"/>
  <c r="C22" i="65"/>
  <c r="E22" s="1"/>
  <c r="AI22" i="1"/>
  <c r="AJ21"/>
  <c r="AK21" s="1"/>
  <c r="G18" i="81"/>
  <c r="AX22" i="7"/>
  <c r="AD24" i="1" l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D32" i="1" l="1"/>
  <c r="AM31"/>
  <c r="F32" i="75" s="1"/>
  <c r="G32" s="1"/>
  <c r="AG31" i="1"/>
  <c r="AA32"/>
  <c r="AH32" s="1"/>
  <c r="AJ30"/>
  <c r="AK30" s="1"/>
  <c r="G27" i="81"/>
  <c r="AX31" i="7"/>
  <c r="C31" i="65"/>
  <c r="E31" s="1"/>
  <c r="AI31" i="1"/>
  <c r="AW32" i="7" s="1"/>
  <c r="AY30"/>
  <c r="Q28" i="76"/>
  <c r="AG32" i="1" l="1"/>
  <c r="AM32"/>
  <c r="F33" i="75" s="1"/>
  <c r="G33" s="1"/>
  <c r="C32" i="65"/>
  <c r="E32" s="1"/>
  <c r="AI32" i="1"/>
  <c r="AW33" i="7" s="1"/>
  <c r="Q29" i="76"/>
  <c r="AY31" i="7"/>
  <c r="AJ31" i="1"/>
  <c r="AK31" s="1"/>
  <c r="G28" i="81"/>
  <c r="AX32" i="7"/>
  <c r="F34" i="75" l="1"/>
  <c r="G34" s="1"/>
  <c r="Q30" i="76"/>
  <c r="AY32" i="7"/>
  <c r="C33" i="65"/>
  <c r="E33" s="1"/>
  <c r="AJ32" i="1"/>
  <c r="AK32" s="1"/>
  <c r="G29" i="81"/>
  <c r="AX33" i="7"/>
  <c r="Q31" i="76" s="1"/>
  <c r="AM37" i="1" l="1"/>
  <c r="F35" i="75"/>
  <c r="G35" s="1"/>
  <c r="AY33" i="7"/>
  <c r="AH37" i="1"/>
  <c r="C34" i="65"/>
  <c r="E34" s="1"/>
  <c r="AI38" i="1" l="1"/>
  <c r="AY37" i="7" l="1"/>
  <c r="AX37"/>
  <c r="Z40" i="76" l="1"/>
  <c r="AX42" i="7"/>
  <c r="F5" i="75"/>
  <c r="G5" s="1"/>
  <c r="O5" i="1" l="1"/>
  <c r="O6" s="1"/>
  <c r="O7" s="1"/>
  <c r="O8" s="1"/>
  <c r="O9" s="1"/>
  <c r="O10" s="1"/>
  <c r="O11" s="1"/>
  <c r="O12" l="1"/>
  <c r="O13" s="1"/>
  <c r="O14" s="1"/>
  <c r="O15" s="1"/>
  <c r="O16" s="1"/>
  <c r="O19" l="1"/>
  <c r="O20" s="1"/>
  <c r="O21" s="1"/>
  <c r="O22" s="1"/>
  <c r="O17"/>
  <c r="O24" l="1"/>
  <c r="O26" s="1"/>
  <c r="O27" s="1"/>
  <c r="O28" s="1"/>
  <c r="O29" s="1"/>
  <c r="O30" s="1"/>
  <c r="O31" s="1"/>
  <c r="O32" s="1"/>
  <c r="O23"/>
  <c r="AV10" i="7" l="1"/>
  <c r="AV11" l="1"/>
  <c r="H6" i="81"/>
  <c r="H7" l="1"/>
  <c r="AV12" i="7"/>
  <c r="H8" i="81" l="1"/>
  <c r="AV13" i="7"/>
  <c r="AV14" l="1"/>
  <c r="H9" i="81"/>
  <c r="H10" l="1"/>
  <c r="AV15" i="7"/>
  <c r="H11" i="8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AV34" s="1"/>
  <c r="H28" i="81"/>
  <c r="AV35" i="7" l="1"/>
  <c r="H30" i="81"/>
  <c r="H29"/>
  <c r="AV36" i="7" l="1"/>
  <c r="H32" i="81" s="1"/>
  <c r="H31"/>
  <c r="G34" i="65"/>
  <c r="I31" i="63" l="1"/>
  <c r="I12" i="77" l="1"/>
  <c r="H12"/>
  <c r="AF6" i="5" l="1"/>
  <c r="AI6" s="1"/>
  <c r="AH6"/>
  <c r="AF7" l="1"/>
  <c r="AI7" s="1"/>
  <c r="W7"/>
  <c r="AL7" s="1"/>
  <c r="AH7"/>
  <c r="AF8" l="1"/>
  <c r="AH8"/>
  <c r="W8"/>
  <c r="AL8" s="1"/>
  <c r="AF9" l="1"/>
  <c r="W9"/>
  <c r="AL9" s="1"/>
  <c r="AH9"/>
  <c r="AI8"/>
  <c r="W10" l="1"/>
  <c r="AL10" s="1"/>
  <c r="AH10"/>
  <c r="AF10"/>
  <c r="AI9"/>
  <c r="AI10" l="1"/>
  <c r="AF11"/>
  <c r="AI11" s="1"/>
  <c r="W11"/>
  <c r="AL11" s="1"/>
  <c r="AH11"/>
  <c r="AH12" l="1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AI16" s="1"/>
  <c r="W16"/>
  <c r="AL16" s="1"/>
  <c r="AH16"/>
  <c r="AI15"/>
  <c r="AF17" l="1"/>
  <c r="AI17" s="1"/>
  <c r="AH17"/>
  <c r="W17"/>
  <c r="AL17" s="1"/>
  <c r="AH18" l="1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7" s="1"/>
  <c r="AI33"/>
  <c r="AI32"/>
  <c r="AU6" l="1"/>
  <c r="AZ6" l="1"/>
  <c r="AU7"/>
  <c r="AZ7" s="1"/>
  <c r="BC6" l="1"/>
  <c r="BC7"/>
  <c r="BC8"/>
  <c r="X3" i="3" l="1"/>
  <c r="X4" l="1"/>
  <c r="Y3"/>
  <c r="X5" l="1"/>
  <c r="Y4"/>
  <c r="X6" l="1"/>
  <c r="Y5"/>
  <c r="X7" l="1"/>
  <c r="Y6"/>
  <c r="X8" l="1"/>
  <c r="Y7"/>
  <c r="X9" l="1"/>
  <c r="Y8"/>
  <c r="X10" l="1"/>
  <c r="Y9"/>
  <c r="X11" l="1"/>
  <c r="Y10"/>
  <c r="X12" l="1"/>
  <c r="Y11"/>
  <c r="X13" l="1"/>
  <c r="Y12"/>
  <c r="X14" l="1"/>
  <c r="Y13"/>
  <c r="X15" l="1"/>
  <c r="Y14"/>
  <c r="X16" l="1"/>
  <c r="Y15"/>
  <c r="X17" l="1"/>
  <c r="Y16"/>
  <c r="X18" l="1"/>
  <c r="Y17"/>
  <c r="X19" l="1"/>
  <c r="Y18"/>
  <c r="X20" l="1"/>
  <c r="Y19"/>
  <c r="X21" l="1"/>
  <c r="X22" s="1"/>
  <c r="Y20"/>
  <c r="Y21" s="1"/>
  <c r="Y22" l="1"/>
  <c r="X24" l="1"/>
  <c r="Y24" l="1"/>
  <c r="X26" l="1"/>
  <c r="X27" l="1"/>
  <c r="Y26"/>
  <c r="X28" l="1"/>
  <c r="Y27"/>
  <c r="X29" l="1"/>
  <c r="Y28"/>
  <c r="X30" l="1"/>
  <c r="X31" s="1"/>
  <c r="Y29"/>
  <c r="Y31" l="1"/>
  <c r="X32"/>
  <c r="Y30"/>
  <c r="Y32" l="1"/>
  <c r="X33"/>
  <c r="Y33" s="1"/>
  <c r="P2" l="1"/>
  <c r="P3" s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4" s="1"/>
  <c r="P26" s="1"/>
  <c r="P27" s="1"/>
  <c r="P28" s="1"/>
  <c r="P29" s="1"/>
  <c r="P30" s="1"/>
  <c r="P31" s="1"/>
  <c r="P32" s="1"/>
  <c r="P33" s="1"/>
  <c r="J2"/>
  <c r="J3" s="1"/>
  <c r="AC5" i="5"/>
  <c r="AC6" s="1"/>
  <c r="AC7" s="1"/>
  <c r="AR4" i="1"/>
  <c r="AR5" s="1"/>
  <c r="AP4"/>
  <c r="AP5" s="1"/>
  <c r="AN4"/>
  <c r="AN5" s="1"/>
  <c r="AC8" i="5" l="1"/>
  <c r="AD7"/>
  <c r="J4" i="3"/>
  <c r="K3"/>
  <c r="Q3"/>
  <c r="AP6" i="1"/>
  <c r="AQ5"/>
  <c r="AN6"/>
  <c r="AO5"/>
  <c r="AT5" s="1"/>
  <c r="AR6"/>
  <c r="AS5"/>
  <c r="AC9" i="5" l="1"/>
  <c r="AD8"/>
  <c r="AR7" i="1"/>
  <c r="AS6"/>
  <c r="J5" i="3"/>
  <c r="K4"/>
  <c r="Q4"/>
  <c r="AP7" i="1"/>
  <c r="AQ6"/>
  <c r="AN7"/>
  <c r="AO6"/>
  <c r="Z3" i="3"/>
  <c r="N3"/>
  <c r="AB3" s="1"/>
  <c r="J6" l="1"/>
  <c r="K5"/>
  <c r="Q5"/>
  <c r="AC10" i="5"/>
  <c r="AD9"/>
  <c r="AN8" i="1"/>
  <c r="AO7"/>
  <c r="Z4" i="3"/>
  <c r="N4"/>
  <c r="AB4" s="1"/>
  <c r="AR8" i="1"/>
  <c r="AS7"/>
  <c r="H5" i="75"/>
  <c r="F3" i="63"/>
  <c r="AE3" i="3"/>
  <c r="AF3" s="1"/>
  <c r="AK3"/>
  <c r="AP8" i="1"/>
  <c r="AQ7"/>
  <c r="AT6"/>
  <c r="AG3" i="3" l="1"/>
  <c r="BK6" i="7"/>
  <c r="AP9" i="1"/>
  <c r="AQ8"/>
  <c r="J7" i="3"/>
  <c r="K6"/>
  <c r="Q6"/>
  <c r="AR9" i="1"/>
  <c r="AS8"/>
  <c r="AN9"/>
  <c r="AO8"/>
  <c r="AT8" s="1"/>
  <c r="N5" i="3"/>
  <c r="AB5" s="1"/>
  <c r="Z5"/>
  <c r="AU6" i="1"/>
  <c r="I3" i="81" s="1"/>
  <c r="F4" i="63"/>
  <c r="AE4" i="3"/>
  <c r="AF4" s="1"/>
  <c r="AK4"/>
  <c r="AC11" i="5"/>
  <c r="AD10"/>
  <c r="AT7" i="1"/>
  <c r="AU7" s="1"/>
  <c r="I4" i="81" s="1"/>
  <c r="AG4" i="3" l="1"/>
  <c r="BK7" i="7"/>
  <c r="AP10" i="1"/>
  <c r="AQ9"/>
  <c r="AC12" i="5"/>
  <c r="AD11"/>
  <c r="AR10" i="1"/>
  <c r="AS9"/>
  <c r="F5" i="63"/>
  <c r="AK5" i="3"/>
  <c r="AE5"/>
  <c r="AF5" s="1"/>
  <c r="J8"/>
  <c r="K7"/>
  <c r="Q7"/>
  <c r="AN10" i="1"/>
  <c r="AO9"/>
  <c r="N6" i="3"/>
  <c r="Z6"/>
  <c r="AU8" i="1"/>
  <c r="I5" i="81" s="1"/>
  <c r="AG5" i="3" l="1"/>
  <c r="BK8" i="7"/>
  <c r="AK6" i="3"/>
  <c r="AE6"/>
  <c r="AF6" s="1"/>
  <c r="F6" i="63"/>
  <c r="AP11" i="1"/>
  <c r="AQ10"/>
  <c r="AN11"/>
  <c r="AO10"/>
  <c r="AR11"/>
  <c r="AS10"/>
  <c r="J9" i="3"/>
  <c r="K8"/>
  <c r="Q8"/>
  <c r="AC13" i="5"/>
  <c r="AD12"/>
  <c r="N7" i="3"/>
  <c r="Z7"/>
  <c r="AT9" i="1"/>
  <c r="AG6" i="3" l="1"/>
  <c r="BK9" i="7"/>
  <c r="AC14" i="5"/>
  <c r="AD13"/>
  <c r="J10" i="3"/>
  <c r="K9"/>
  <c r="Q9"/>
  <c r="AN12" i="1"/>
  <c r="AO11"/>
  <c r="AU9"/>
  <c r="I6" i="81" s="1"/>
  <c r="N8" i="3"/>
  <c r="Z8"/>
  <c r="AK7"/>
  <c r="AE7"/>
  <c r="AF7" s="1"/>
  <c r="BK10" i="7" s="1"/>
  <c r="F7" i="63"/>
  <c r="AR12" i="1"/>
  <c r="AS11"/>
  <c r="AP12"/>
  <c r="AQ11"/>
  <c r="AT10"/>
  <c r="AP13" l="1"/>
  <c r="AQ12"/>
  <c r="AC15" i="5"/>
  <c r="AD14"/>
  <c r="AN13" i="1"/>
  <c r="AO12"/>
  <c r="AR13"/>
  <c r="AS12"/>
  <c r="AK8" i="3"/>
  <c r="F8" i="63"/>
  <c r="AE8" i="3"/>
  <c r="AF8" s="1"/>
  <c r="J11"/>
  <c r="Q10"/>
  <c r="K10"/>
  <c r="N9"/>
  <c r="AB9" s="1"/>
  <c r="Z9"/>
  <c r="AU11" i="1"/>
  <c r="I8" i="81" s="1"/>
  <c r="AT11" i="1"/>
  <c r="AU10"/>
  <c r="I7" i="81" s="1"/>
  <c r="AG8" i="3" l="1"/>
  <c r="BK11" i="7"/>
  <c r="AT12" i="1"/>
  <c r="AU12" s="1"/>
  <c r="I9" i="81" s="1"/>
  <c r="J12" i="3"/>
  <c r="K11"/>
  <c r="Q11"/>
  <c r="AN14" i="1"/>
  <c r="AO13"/>
  <c r="AP14"/>
  <c r="AQ13"/>
  <c r="N10" i="3"/>
  <c r="AB10" s="1"/>
  <c r="Z10"/>
  <c r="F9" i="63"/>
  <c r="AK9" i="3"/>
  <c r="AE9"/>
  <c r="AF9" s="1"/>
  <c r="AR14" i="1"/>
  <c r="AS13"/>
  <c r="AC16" i="5"/>
  <c r="AD15"/>
  <c r="AG9" i="3" l="1"/>
  <c r="BK12" i="7"/>
  <c r="AT13" i="1"/>
  <c r="AU13" s="1"/>
  <c r="I10" i="81" s="1"/>
  <c r="AR15" i="1"/>
  <c r="AS14"/>
  <c r="AE10" i="3"/>
  <c r="AF10" s="1"/>
  <c r="AK10"/>
  <c r="F10" i="63"/>
  <c r="J13" i="3"/>
  <c r="K12"/>
  <c r="Q12"/>
  <c r="AP15" i="1"/>
  <c r="AQ14"/>
  <c r="N11" i="3"/>
  <c r="AB11" s="1"/>
  <c r="Z11"/>
  <c r="AC17" i="5"/>
  <c r="AD16"/>
  <c r="AN15" i="1"/>
  <c r="AO14"/>
  <c r="AT14" s="1"/>
  <c r="AG10" i="3" l="1"/>
  <c r="BK13" i="7"/>
  <c r="AU14" i="1"/>
  <c r="I11" i="81" s="1"/>
  <c r="AP16" i="1"/>
  <c r="AQ15"/>
  <c r="AR16"/>
  <c r="AS15"/>
  <c r="AC18" i="5"/>
  <c r="AD17"/>
  <c r="J14" i="3"/>
  <c r="K13"/>
  <c r="Q13"/>
  <c r="Z12"/>
  <c r="N12"/>
  <c r="AB12" s="1"/>
  <c r="AN16" i="1"/>
  <c r="AO15"/>
  <c r="F11" i="63"/>
  <c r="AK11" i="3"/>
  <c r="AE11"/>
  <c r="AF11" s="1"/>
  <c r="AG11" l="1"/>
  <c r="BK14" i="7"/>
  <c r="AT15" i="1"/>
  <c r="AU15" s="1"/>
  <c r="I12" i="81" s="1"/>
  <c r="AC19" i="5"/>
  <c r="AD18"/>
  <c r="AP17" i="1"/>
  <c r="AQ16"/>
  <c r="F12" i="63"/>
  <c r="AK12" i="3"/>
  <c r="AE12"/>
  <c r="AF12" s="1"/>
  <c r="J15"/>
  <c r="K14"/>
  <c r="Q14"/>
  <c r="AR17" i="1"/>
  <c r="AS16"/>
  <c r="AN17"/>
  <c r="AO16"/>
  <c r="Z13" i="3"/>
  <c r="N13"/>
  <c r="AB13" s="1"/>
  <c r="AG12" l="1"/>
  <c r="BK15" i="7"/>
  <c r="AT16" i="1"/>
  <c r="AU16" s="1"/>
  <c r="I13" i="81" s="1"/>
  <c r="Z14" i="3"/>
  <c r="N14"/>
  <c r="AB14" s="1"/>
  <c r="AC20" i="5"/>
  <c r="AD19"/>
  <c r="AR18" i="1"/>
  <c r="AS17"/>
  <c r="AN18"/>
  <c r="AO17"/>
  <c r="F13" i="63"/>
  <c r="AE13" i="3"/>
  <c r="AF13" s="1"/>
  <c r="AK13"/>
  <c r="AP18" i="1"/>
  <c r="AQ17"/>
  <c r="J16" i="3"/>
  <c r="K15"/>
  <c r="Q15"/>
  <c r="AG13" l="1"/>
  <c r="BK16" i="7"/>
  <c r="AR19" i="1"/>
  <c r="AS18"/>
  <c r="F14" i="63"/>
  <c r="AK14" i="3"/>
  <c r="AE14"/>
  <c r="AF14" s="1"/>
  <c r="AG14" s="1"/>
  <c r="J17"/>
  <c r="K16"/>
  <c r="Q16"/>
  <c r="Z15"/>
  <c r="N15"/>
  <c r="AB15" s="1"/>
  <c r="AN19" i="1"/>
  <c r="AO18"/>
  <c r="AC21" i="5"/>
  <c r="AD20"/>
  <c r="AP19" i="1"/>
  <c r="AQ18"/>
  <c r="AT17"/>
  <c r="AU17" s="1"/>
  <c r="I14" i="81" s="1"/>
  <c r="AC22" i="5" l="1"/>
  <c r="AD21"/>
  <c r="F15" i="63"/>
  <c r="AK15" i="3"/>
  <c r="AE15"/>
  <c r="AF15" s="1"/>
  <c r="AG15" s="1"/>
  <c r="AR20" i="1"/>
  <c r="AS19"/>
  <c r="J18" i="3"/>
  <c r="K17"/>
  <c r="Q17"/>
  <c r="AP20" i="1"/>
  <c r="AQ19"/>
  <c r="AN20"/>
  <c r="AO19"/>
  <c r="Z16" i="3"/>
  <c r="N16"/>
  <c r="AB16" s="1"/>
  <c r="AT18" i="1"/>
  <c r="AU18" s="1"/>
  <c r="I15" i="81" s="1"/>
  <c r="AT19" i="1" l="1"/>
  <c r="AU19" s="1"/>
  <c r="I16" i="81" s="1"/>
  <c r="AN21" i="1"/>
  <c r="AO20"/>
  <c r="Z17" i="3"/>
  <c r="N17"/>
  <c r="AC23" i="5"/>
  <c r="AD22"/>
  <c r="AR21" i="1"/>
  <c r="AS20"/>
  <c r="AE16" i="3"/>
  <c r="AF16" s="1"/>
  <c r="AG16" s="1"/>
  <c r="AK16"/>
  <c r="F16" i="63"/>
  <c r="AP21" i="1"/>
  <c r="AQ20"/>
  <c r="J19" i="3"/>
  <c r="K18"/>
  <c r="Q18"/>
  <c r="AC24" i="5" l="1"/>
  <c r="AD23"/>
  <c r="AN22" i="1"/>
  <c r="AO21"/>
  <c r="J20" i="3"/>
  <c r="K19"/>
  <c r="Q19"/>
  <c r="Z18"/>
  <c r="N18"/>
  <c r="AB18" s="1"/>
  <c r="AR22" i="1"/>
  <c r="AS21"/>
  <c r="AE17" i="3"/>
  <c r="AF17" s="1"/>
  <c r="AG17" s="1"/>
  <c r="AK17"/>
  <c r="F17" i="63"/>
  <c r="AP22" i="1"/>
  <c r="AQ21"/>
  <c r="AT20"/>
  <c r="AU20" s="1"/>
  <c r="I17" i="81" s="1"/>
  <c r="J21" i="3" l="1"/>
  <c r="K20"/>
  <c r="Q20"/>
  <c r="AC25" i="5"/>
  <c r="AD24"/>
  <c r="AR23" i="1"/>
  <c r="AS22"/>
  <c r="Z19" i="3"/>
  <c r="N19"/>
  <c r="AB19" s="1"/>
  <c r="AP23" i="1"/>
  <c r="AQ22"/>
  <c r="AN23"/>
  <c r="AO22"/>
  <c r="AK18" i="3"/>
  <c r="F18" i="63"/>
  <c r="AE18" i="3"/>
  <c r="AF18" s="1"/>
  <c r="AG18" s="1"/>
  <c r="AT21" i="1"/>
  <c r="AT22" l="1"/>
  <c r="AU22" s="1"/>
  <c r="I19" i="81" s="1"/>
  <c r="AU21" i="1"/>
  <c r="I18" i="81" s="1"/>
  <c r="J22" i="3"/>
  <c r="K21"/>
  <c r="Q21"/>
  <c r="AP24" i="1"/>
  <c r="AQ23"/>
  <c r="AR24"/>
  <c r="AS23"/>
  <c r="Z20" i="3"/>
  <c r="N20"/>
  <c r="AB20" s="1"/>
  <c r="AN24" i="1"/>
  <c r="AO23"/>
  <c r="AK19" i="3"/>
  <c r="F19" i="63"/>
  <c r="AE19" i="3"/>
  <c r="AF19" s="1"/>
  <c r="AG19" s="1"/>
  <c r="AC26" i="5"/>
  <c r="AD25"/>
  <c r="AU23" i="1" l="1"/>
  <c r="I20" i="81" s="1"/>
  <c r="AT23" i="1"/>
  <c r="AC27" i="5"/>
  <c r="AD26"/>
  <c r="AN25" i="1"/>
  <c r="AO24"/>
  <c r="AR25"/>
  <c r="AS24"/>
  <c r="Z21" i="3"/>
  <c r="N21"/>
  <c r="AB21" s="1"/>
  <c r="F20" i="63"/>
  <c r="AK20" i="3"/>
  <c r="AE20"/>
  <c r="AF20" s="1"/>
  <c r="AG20" s="1"/>
  <c r="AP25" i="1"/>
  <c r="AQ24"/>
  <c r="K22" i="3"/>
  <c r="Q22"/>
  <c r="AN26" i="1" l="1"/>
  <c r="AO25"/>
  <c r="AR26"/>
  <c r="AS25"/>
  <c r="AC28" i="5"/>
  <c r="AD27"/>
  <c r="J24" i="3"/>
  <c r="Z22"/>
  <c r="N22"/>
  <c r="AB22" s="1"/>
  <c r="AE21"/>
  <c r="AF21" s="1"/>
  <c r="AG21" s="1"/>
  <c r="F21" i="63"/>
  <c r="AK21" i="3"/>
  <c r="AP26" i="1"/>
  <c r="AQ25"/>
  <c r="AT24"/>
  <c r="AU24" s="1"/>
  <c r="I21" i="81" s="1"/>
  <c r="AT25" i="1" l="1"/>
  <c r="AU25" s="1"/>
  <c r="I22" i="81" s="1"/>
  <c r="AC29" i="5"/>
  <c r="AD28"/>
  <c r="K24" i="3"/>
  <c r="Q24"/>
  <c r="AN27" i="1"/>
  <c r="AO26"/>
  <c r="AE22" i="3"/>
  <c r="AF22" s="1"/>
  <c r="AG22" s="1"/>
  <c r="F22" i="63"/>
  <c r="AK22" i="3"/>
  <c r="AP27" i="1"/>
  <c r="AQ26"/>
  <c r="AR27"/>
  <c r="AS26"/>
  <c r="AN28" l="1"/>
  <c r="AO27"/>
  <c r="AR28"/>
  <c r="AS27"/>
  <c r="AC30" i="5"/>
  <c r="AD29"/>
  <c r="F23" i="63"/>
  <c r="AP28" i="1"/>
  <c r="AQ27"/>
  <c r="J26" i="3"/>
  <c r="Z24"/>
  <c r="N24"/>
  <c r="AT26" i="1"/>
  <c r="AU26" s="1"/>
  <c r="I23" i="81" s="1"/>
  <c r="AT27" i="1" l="1"/>
  <c r="AU27" s="1"/>
  <c r="I24" i="81" s="1"/>
  <c r="AN29" i="1"/>
  <c r="AO28"/>
  <c r="AC31" i="5"/>
  <c r="AD30"/>
  <c r="AP29" i="1"/>
  <c r="AQ28"/>
  <c r="F24" i="63"/>
  <c r="AE24" i="3"/>
  <c r="AF24" s="1"/>
  <c r="AG24" s="1"/>
  <c r="AK24"/>
  <c r="AR29" i="1"/>
  <c r="AS28"/>
  <c r="J27" i="3"/>
  <c r="K26"/>
  <c r="Q26"/>
  <c r="AC32" i="5" l="1"/>
  <c r="AD31"/>
  <c r="AN30" i="1"/>
  <c r="AO29"/>
  <c r="J28" i="3"/>
  <c r="K27"/>
  <c r="Q27"/>
  <c r="Z26"/>
  <c r="N26"/>
  <c r="AB26" s="1"/>
  <c r="AP30" i="1"/>
  <c r="AQ29"/>
  <c r="F25" i="63"/>
  <c r="AR30" i="1"/>
  <c r="AS29"/>
  <c r="AT28"/>
  <c r="AU28" s="1"/>
  <c r="I25" i="81" s="1"/>
  <c r="AC33" i="5" l="1"/>
  <c r="AD32"/>
  <c r="J29" i="3"/>
  <c r="K28"/>
  <c r="Q28"/>
  <c r="AP31" i="1"/>
  <c r="AQ30"/>
  <c r="Z27" i="3"/>
  <c r="N27"/>
  <c r="AB27" s="1"/>
  <c r="AR31" i="1"/>
  <c r="AS30"/>
  <c r="AN31"/>
  <c r="AO30"/>
  <c r="AK26" i="3"/>
  <c r="AE26"/>
  <c r="AF26" s="1"/>
  <c r="AG26" s="1"/>
  <c r="F26" i="63"/>
  <c r="AT29" i="1"/>
  <c r="AU29" s="1"/>
  <c r="I26" i="81" s="1"/>
  <c r="AT30" i="1" l="1"/>
  <c r="AU30" s="1"/>
  <c r="I27" i="81" s="1"/>
  <c r="AC34" i="5"/>
  <c r="AD33"/>
  <c r="AR32" i="1"/>
  <c r="AS31"/>
  <c r="AP32"/>
  <c r="AQ31"/>
  <c r="J30" i="3"/>
  <c r="K29"/>
  <c r="Q29"/>
  <c r="AN32" i="1"/>
  <c r="AO31"/>
  <c r="AK27" i="3"/>
  <c r="AE27"/>
  <c r="AF27" s="1"/>
  <c r="AG27" s="1"/>
  <c r="F27" i="63"/>
  <c r="Z28" i="3"/>
  <c r="N28"/>
  <c r="AP33" i="1" l="1"/>
  <c r="AQ32"/>
  <c r="AC35" i="5"/>
  <c r="AD34"/>
  <c r="AN33" i="1"/>
  <c r="AO32"/>
  <c r="AE28" i="3"/>
  <c r="AF28" s="1"/>
  <c r="AG28" s="1"/>
  <c r="F28" i="63"/>
  <c r="AK28" i="3"/>
  <c r="J31"/>
  <c r="K30"/>
  <c r="Q30"/>
  <c r="AR33" i="1"/>
  <c r="AS32"/>
  <c r="Z29" i="3"/>
  <c r="N29"/>
  <c r="AB29" s="1"/>
  <c r="AT31" i="1"/>
  <c r="AS33" l="1"/>
  <c r="AR34"/>
  <c r="AQ33"/>
  <c r="AP34"/>
  <c r="AK29" i="3"/>
  <c r="AE29"/>
  <c r="AF29" s="1"/>
  <c r="AG29" s="1"/>
  <c r="F29" i="63"/>
  <c r="Z30" i="3"/>
  <c r="N30"/>
  <c r="AB30" s="1"/>
  <c r="K35"/>
  <c r="U34" s="1"/>
  <c r="W34" i="76" s="1"/>
  <c r="X34" s="1"/>
  <c r="Y34" s="1"/>
  <c r="AC36" i="5"/>
  <c r="AD36" s="1"/>
  <c r="AD35"/>
  <c r="AT32" i="1"/>
  <c r="AU31"/>
  <c r="I28" i="81" s="1"/>
  <c r="AO33" i="1"/>
  <c r="AN34"/>
  <c r="J32" i="3"/>
  <c r="Q31"/>
  <c r="K31"/>
  <c r="AN35" i="1" l="1"/>
  <c r="AO35" s="1"/>
  <c r="AT35" s="1"/>
  <c r="AO34"/>
  <c r="AT34" s="1"/>
  <c r="J33" i="3"/>
  <c r="Q32"/>
  <c r="K32"/>
  <c r="AR35" i="1"/>
  <c r="AS35" s="1"/>
  <c r="AS34"/>
  <c r="N31" i="3"/>
  <c r="AB31" s="1"/>
  <c r="Z31"/>
  <c r="AK30"/>
  <c r="AE30"/>
  <c r="AF30" s="1"/>
  <c r="AG30" s="1"/>
  <c r="F30" i="63"/>
  <c r="Z34" i="3"/>
  <c r="B18" i="77" s="1"/>
  <c r="AP35" i="1"/>
  <c r="AQ35" s="1"/>
  <c r="AQ34"/>
  <c r="AU32"/>
  <c r="I29" i="81" s="1"/>
  <c r="AT33" i="1"/>
  <c r="AU34" s="1"/>
  <c r="I31" i="81" s="1"/>
  <c r="AE31" i="3" l="1"/>
  <c r="AF31" s="1"/>
  <c r="AG31" s="1"/>
  <c r="AK31"/>
  <c r="E18" i="77"/>
  <c r="B19"/>
  <c r="F18"/>
  <c r="Z32" i="3"/>
  <c r="N32"/>
  <c r="AB32" s="1"/>
  <c r="Q33"/>
  <c r="K33"/>
  <c r="AU35" i="1"/>
  <c r="I32" i="81" s="1"/>
  <c r="AU33" i="1"/>
  <c r="I30" i="81" s="1"/>
  <c r="Z33" i="3" l="1"/>
  <c r="N33"/>
  <c r="AK32"/>
  <c r="AE32"/>
  <c r="AF32" s="1"/>
  <c r="AG32" s="1"/>
  <c r="V9" i="76"/>
  <c r="AE33" i="3" l="1"/>
  <c r="AF33" s="1"/>
  <c r="AG33" s="1"/>
  <c r="AK33"/>
  <c r="V11" i="76" l="1"/>
  <c r="V10"/>
  <c r="AO4" i="1" l="1"/>
  <c r="AS4" l="1"/>
  <c r="AQ4" l="1"/>
  <c r="AT4" l="1"/>
  <c r="AU5" s="1"/>
  <c r="AU37" l="1"/>
  <c r="AU39" s="1"/>
  <c r="I2" i="81"/>
  <c r="AU4" i="1"/>
  <c r="K2" i="3"/>
  <c r="Z2" l="1"/>
  <c r="F2" i="63" s="1"/>
  <c r="N2" i="3"/>
  <c r="AE2" l="1"/>
  <c r="AB2"/>
  <c r="AK2"/>
  <c r="AF2" l="1"/>
  <c r="AG2" l="1"/>
  <c r="W14" i="76"/>
  <c r="X15" l="1"/>
  <c r="AD9"/>
  <c r="AD10"/>
  <c r="AD11" l="1"/>
  <c r="Y14"/>
  <c r="Q2" i="3" l="1"/>
  <c r="AA11" i="76" l="1"/>
  <c r="AA10"/>
  <c r="AA9"/>
  <c r="AB11" l="1"/>
  <c r="AE11" s="1"/>
  <c r="AF11" s="1"/>
  <c r="AB10"/>
  <c r="AB9"/>
  <c r="AA12"/>
  <c r="AB13" l="1"/>
  <c r="AD5" i="5" l="1"/>
  <c r="AV5" i="7" l="1"/>
  <c r="AV6" s="1"/>
  <c r="H2" i="81" l="1"/>
  <c r="AV7" i="7"/>
  <c r="AB5" i="5"/>
  <c r="H3" i="81" l="1"/>
  <c r="AV8" i="7"/>
  <c r="L2" i="3"/>
  <c r="L3" s="1"/>
  <c r="H4" i="81" l="1"/>
  <c r="AV9" i="7"/>
  <c r="H5" i="81" s="1"/>
  <c r="M3" i="3"/>
  <c r="AA3" s="1"/>
  <c r="AC3" s="1"/>
  <c r="AH3" s="1"/>
  <c r="L4"/>
  <c r="M2"/>
  <c r="B5" i="5"/>
  <c r="B6" s="1"/>
  <c r="O5"/>
  <c r="O6" s="1"/>
  <c r="AH5"/>
  <c r="AF5"/>
  <c r="M5"/>
  <c r="M6" s="1"/>
  <c r="O7" l="1"/>
  <c r="P6"/>
  <c r="Q6" s="1"/>
  <c r="M2" i="81" s="1"/>
  <c r="M7" i="5"/>
  <c r="N6"/>
  <c r="L5" i="3"/>
  <c r="M4"/>
  <c r="AA4" s="1"/>
  <c r="AC4" s="1"/>
  <c r="AH4" s="1"/>
  <c r="B7" i="5"/>
  <c r="C6"/>
  <c r="P5"/>
  <c r="AA2" i="3"/>
  <c r="C5" i="5"/>
  <c r="G2" i="63" s="1"/>
  <c r="N5" i="5"/>
  <c r="I5"/>
  <c r="D5"/>
  <c r="AI5"/>
  <c r="Q5"/>
  <c r="M5" i="3" l="1"/>
  <c r="AA5" s="1"/>
  <c r="AC5" s="1"/>
  <c r="AH5" s="1"/>
  <c r="L6"/>
  <c r="O8" i="5"/>
  <c r="P7"/>
  <c r="B8"/>
  <c r="C7"/>
  <c r="M8"/>
  <c r="N7"/>
  <c r="D6"/>
  <c r="E6"/>
  <c r="I6"/>
  <c r="G3" i="63"/>
  <c r="AC2" i="3"/>
  <c r="E5" i="5"/>
  <c r="J5"/>
  <c r="M6" i="3" l="1"/>
  <c r="L7"/>
  <c r="I7" i="5"/>
  <c r="E7"/>
  <c r="G4" i="63"/>
  <c r="D7" i="5"/>
  <c r="O9"/>
  <c r="P8"/>
  <c r="B9"/>
  <c r="C8"/>
  <c r="K2" i="81"/>
  <c r="J6" i="5"/>
  <c r="L2" i="81" s="1"/>
  <c r="M9" i="5"/>
  <c r="N8"/>
  <c r="Q7"/>
  <c r="AH2" i="3"/>
  <c r="O10" i="5" l="1"/>
  <c r="P9"/>
  <c r="J7"/>
  <c r="L3" i="81" s="1"/>
  <c r="K3"/>
  <c r="M3"/>
  <c r="B10" i="5"/>
  <c r="C9"/>
  <c r="M10"/>
  <c r="N9"/>
  <c r="D8"/>
  <c r="E8"/>
  <c r="I8"/>
  <c r="G5" i="63"/>
  <c r="M7" i="3"/>
  <c r="L8"/>
  <c r="Q8" i="5"/>
  <c r="M4" i="81" s="1"/>
  <c r="Q9" i="5" l="1"/>
  <c r="M5" i="81" s="1"/>
  <c r="L9" i="3"/>
  <c r="M8"/>
  <c r="E9" i="5"/>
  <c r="D9"/>
  <c r="I9"/>
  <c r="G6" i="63"/>
  <c r="O11" i="5"/>
  <c r="P10"/>
  <c r="Q10" s="1"/>
  <c r="M6" i="81" s="1"/>
  <c r="B11" i="5"/>
  <c r="C10"/>
  <c r="J8"/>
  <c r="L4" i="81" s="1"/>
  <c r="K4"/>
  <c r="M11" i="5"/>
  <c r="N10"/>
  <c r="M12" l="1"/>
  <c r="N11"/>
  <c r="E10"/>
  <c r="I10"/>
  <c r="D10"/>
  <c r="G7" i="63"/>
  <c r="B12" i="5"/>
  <c r="C11"/>
  <c r="J9"/>
  <c r="L5" i="81" s="1"/>
  <c r="K5"/>
  <c r="M9" i="3"/>
  <c r="AA9" s="1"/>
  <c r="AC9" s="1"/>
  <c r="AH9" s="1"/>
  <c r="L10"/>
  <c r="O12" i="5"/>
  <c r="P11"/>
  <c r="M10" i="3" l="1"/>
  <c r="AA10" s="1"/>
  <c r="AC10" s="1"/>
  <c r="AH10" s="1"/>
  <c r="L11"/>
  <c r="M13" i="5"/>
  <c r="N12"/>
  <c r="O13"/>
  <c r="P12"/>
  <c r="B13"/>
  <c r="C12"/>
  <c r="G8" i="63"/>
  <c r="I11" i="5"/>
  <c r="D11"/>
  <c r="E11"/>
  <c r="J10"/>
  <c r="L6" i="81" s="1"/>
  <c r="K6"/>
  <c r="Q11" i="5"/>
  <c r="Q12" l="1"/>
  <c r="M8" i="81" s="1"/>
  <c r="O14" i="5"/>
  <c r="P13"/>
  <c r="J11"/>
  <c r="L7" i="81" s="1"/>
  <c r="K7"/>
  <c r="L12" i="3"/>
  <c r="M11"/>
  <c r="AA11" s="1"/>
  <c r="AC11" s="1"/>
  <c r="AH11" s="1"/>
  <c r="B14" i="5"/>
  <c r="C13"/>
  <c r="M14"/>
  <c r="N13"/>
  <c r="M7" i="81"/>
  <c r="D12" i="5"/>
  <c r="E12"/>
  <c r="I12"/>
  <c r="G9" i="63"/>
  <c r="Q13" i="5" l="1"/>
  <c r="M9" i="81" s="1"/>
  <c r="O15" i="5"/>
  <c r="P14"/>
  <c r="E13"/>
  <c r="G10" i="63"/>
  <c r="I13" i="5"/>
  <c r="D13"/>
  <c r="M15"/>
  <c r="N14"/>
  <c r="M12" i="3"/>
  <c r="AA12" s="1"/>
  <c r="AC12" s="1"/>
  <c r="AH12" s="1"/>
  <c r="L13"/>
  <c r="J12" i="5"/>
  <c r="L8" i="81" s="1"/>
  <c r="K8"/>
  <c r="B15" i="5"/>
  <c r="C14"/>
  <c r="Q14" l="1"/>
  <c r="M10" i="81" s="1"/>
  <c r="K9"/>
  <c r="J13" i="5"/>
  <c r="L9" i="81" s="1"/>
  <c r="O16" i="5"/>
  <c r="P15"/>
  <c r="Q15" s="1"/>
  <c r="M11" i="81" s="1"/>
  <c r="B16" i="5"/>
  <c r="C15"/>
  <c r="L14" i="3"/>
  <c r="M13"/>
  <c r="AA13" s="1"/>
  <c r="AC13" s="1"/>
  <c r="AH13" s="1"/>
  <c r="D14" i="5"/>
  <c r="I14"/>
  <c r="E14"/>
  <c r="G11" i="63"/>
  <c r="M16" i="5"/>
  <c r="N15"/>
  <c r="M17" l="1"/>
  <c r="N16"/>
  <c r="B17"/>
  <c r="C16"/>
  <c r="J14"/>
  <c r="L10" i="81" s="1"/>
  <c r="K10"/>
  <c r="G12" i="63"/>
  <c r="E15" i="5"/>
  <c r="I15"/>
  <c r="D15"/>
  <c r="M14" i="3"/>
  <c r="AA14" s="1"/>
  <c r="AC14" s="1"/>
  <c r="AH14" s="1"/>
  <c r="L15"/>
  <c r="O17" i="5"/>
  <c r="P16"/>
  <c r="M18" l="1"/>
  <c r="N17"/>
  <c r="O18"/>
  <c r="P17"/>
  <c r="J15"/>
  <c r="L11" i="81" s="1"/>
  <c r="K11"/>
  <c r="B18" i="5"/>
  <c r="C17"/>
  <c r="M15" i="3"/>
  <c r="AA15" s="1"/>
  <c r="AC15" s="1"/>
  <c r="AH15" s="1"/>
  <c r="L16"/>
  <c r="I16" i="5"/>
  <c r="E16"/>
  <c r="G13" i="63"/>
  <c r="D16" i="5"/>
  <c r="Q16"/>
  <c r="M12" i="81" s="1"/>
  <c r="M16" i="3" l="1"/>
  <c r="AA16" s="1"/>
  <c r="AC16" s="1"/>
  <c r="AH16" s="1"/>
  <c r="L17"/>
  <c r="O19" i="5"/>
  <c r="P18"/>
  <c r="K12" i="81"/>
  <c r="J16" i="5"/>
  <c r="L12" i="81" s="1"/>
  <c r="B19" i="5"/>
  <c r="C18"/>
  <c r="D17"/>
  <c r="E17"/>
  <c r="I17"/>
  <c r="G14" i="63"/>
  <c r="M19" i="5"/>
  <c r="N18"/>
  <c r="Q17"/>
  <c r="M13" i="81" s="1"/>
  <c r="M20" i="5" l="1"/>
  <c r="N19"/>
  <c r="M17" i="3"/>
  <c r="L18"/>
  <c r="O20" i="5"/>
  <c r="P19"/>
  <c r="K13" i="81"/>
  <c r="J17" i="5"/>
  <c r="L13" i="81" s="1"/>
  <c r="B20" i="5"/>
  <c r="C19"/>
  <c r="G15" i="63"/>
  <c r="I18" i="5"/>
  <c r="D18"/>
  <c r="E18"/>
  <c r="Q18"/>
  <c r="M14" i="81" s="1"/>
  <c r="Q19" i="5" l="1"/>
  <c r="M15" i="81" s="1"/>
  <c r="B21" i="5"/>
  <c r="C20"/>
  <c r="I19"/>
  <c r="G16" i="63"/>
  <c r="E19" i="5"/>
  <c r="D19"/>
  <c r="M18" i="3"/>
  <c r="AA18" s="1"/>
  <c r="AC18" s="1"/>
  <c r="AH18" s="1"/>
  <c r="L19"/>
  <c r="J18" i="5"/>
  <c r="L14" i="81" s="1"/>
  <c r="K14"/>
  <c r="O21" i="5"/>
  <c r="P20"/>
  <c r="M21"/>
  <c r="N20"/>
  <c r="M22" l="1"/>
  <c r="N21"/>
  <c r="E20"/>
  <c r="I20"/>
  <c r="G17" i="63"/>
  <c r="D20" i="5"/>
  <c r="J19"/>
  <c r="L15" i="81" s="1"/>
  <c r="K15"/>
  <c r="O22" i="5"/>
  <c r="P21"/>
  <c r="M19" i="3"/>
  <c r="AA19" s="1"/>
  <c r="AC19" s="1"/>
  <c r="AH19" s="1"/>
  <c r="L20"/>
  <c r="B22" i="5"/>
  <c r="C21"/>
  <c r="Q20"/>
  <c r="M16" i="81" s="1"/>
  <c r="O23" i="5" l="1"/>
  <c r="P22"/>
  <c r="G18" i="63"/>
  <c r="I21" i="5"/>
  <c r="E21"/>
  <c r="D21"/>
  <c r="M20" i="3"/>
  <c r="AA20" s="1"/>
  <c r="AC20" s="1"/>
  <c r="AH20" s="1"/>
  <c r="L21"/>
  <c r="M23" i="5"/>
  <c r="N22"/>
  <c r="B23"/>
  <c r="C22"/>
  <c r="K16" i="81"/>
  <c r="J20" i="5"/>
  <c r="L16" i="81" s="1"/>
  <c r="Q21" i="5"/>
  <c r="M17" i="81" s="1"/>
  <c r="M24" i="5" l="1"/>
  <c r="N23"/>
  <c r="B24"/>
  <c r="C23"/>
  <c r="Q22"/>
  <c r="M18" i="81" s="1"/>
  <c r="O24" i="5"/>
  <c r="P23"/>
  <c r="I22"/>
  <c r="G19" i="63"/>
  <c r="D22" i="5"/>
  <c r="E22"/>
  <c r="M21" i="3"/>
  <c r="AA21" s="1"/>
  <c r="AC21" s="1"/>
  <c r="AH21" s="1"/>
  <c r="L22"/>
  <c r="J21" i="5"/>
  <c r="L17" i="81" s="1"/>
  <c r="K17"/>
  <c r="M22" i="3" l="1"/>
  <c r="AA22" s="1"/>
  <c r="AC22" s="1"/>
  <c r="AH22" s="1"/>
  <c r="M25" i="5"/>
  <c r="N24"/>
  <c r="O25"/>
  <c r="P24"/>
  <c r="B25"/>
  <c r="C24"/>
  <c r="J22"/>
  <c r="L18" i="81" s="1"/>
  <c r="K18"/>
  <c r="G20" i="63"/>
  <c r="D23" i="5"/>
  <c r="E23"/>
  <c r="I23"/>
  <c r="Q23"/>
  <c r="M19" i="81" s="1"/>
  <c r="Q24" i="5" l="1"/>
  <c r="M20" i="81" s="1"/>
  <c r="L24" i="3"/>
  <c r="K19" i="81"/>
  <c r="J23" i="5"/>
  <c r="L19" i="81" s="1"/>
  <c r="B26" i="5"/>
  <c r="C25"/>
  <c r="M26"/>
  <c r="N25"/>
  <c r="D24"/>
  <c r="E24"/>
  <c r="G21" i="63"/>
  <c r="I24" i="5"/>
  <c r="O26"/>
  <c r="P25"/>
  <c r="Q25" l="1"/>
  <c r="M21" i="81" s="1"/>
  <c r="O27" i="5"/>
  <c r="P26"/>
  <c r="B27"/>
  <c r="C26"/>
  <c r="G22" i="63"/>
  <c r="I25" i="5"/>
  <c r="E25"/>
  <c r="D25"/>
  <c r="M27"/>
  <c r="N26"/>
  <c r="K20" i="81"/>
  <c r="J24" i="5"/>
  <c r="L20" i="81" s="1"/>
  <c r="M24" i="3"/>
  <c r="M28" i="5" l="1"/>
  <c r="N27"/>
  <c r="O28"/>
  <c r="P27"/>
  <c r="J25"/>
  <c r="L21" i="81" s="1"/>
  <c r="K21"/>
  <c r="L26" i="3"/>
  <c r="B28" i="5"/>
  <c r="C27"/>
  <c r="E26"/>
  <c r="G23" i="63"/>
  <c r="I26" i="5"/>
  <c r="D26"/>
  <c r="Q26"/>
  <c r="M22" i="81" s="1"/>
  <c r="Q27" i="5" l="1"/>
  <c r="M23" i="81" s="1"/>
  <c r="G24" i="63"/>
  <c r="E27" i="5"/>
  <c r="I27"/>
  <c r="D27"/>
  <c r="O29"/>
  <c r="P28"/>
  <c r="M26" i="3"/>
  <c r="AA26" s="1"/>
  <c r="AC26" s="1"/>
  <c r="AH26" s="1"/>
  <c r="L27"/>
  <c r="M29" i="5"/>
  <c r="N28"/>
  <c r="K22" i="81"/>
  <c r="J26" i="5"/>
  <c r="L22" i="81" s="1"/>
  <c r="B29" i="5"/>
  <c r="C28"/>
  <c r="D28" l="1"/>
  <c r="E28"/>
  <c r="I28"/>
  <c r="G25" i="63"/>
  <c r="J27" i="5"/>
  <c r="L23" i="81" s="1"/>
  <c r="K23"/>
  <c r="M27" i="3"/>
  <c r="AA27" s="1"/>
  <c r="AC27" s="1"/>
  <c r="AH27" s="1"/>
  <c r="L28"/>
  <c r="M30" i="5"/>
  <c r="N29"/>
  <c r="O30"/>
  <c r="P29"/>
  <c r="B30"/>
  <c r="C29"/>
  <c r="Q28"/>
  <c r="M24" i="81" s="1"/>
  <c r="D29" i="5" l="1"/>
  <c r="G26" i="63"/>
  <c r="I29" i="5"/>
  <c r="E29"/>
  <c r="J28"/>
  <c r="L24" i="81" s="1"/>
  <c r="K24"/>
  <c r="O31" i="5"/>
  <c r="P30"/>
  <c r="M28" i="3"/>
  <c r="L29"/>
  <c r="B31" i="5"/>
  <c r="C30"/>
  <c r="M31"/>
  <c r="N30"/>
  <c r="Q29"/>
  <c r="M25" i="81" s="1"/>
  <c r="M29" i="3" l="1"/>
  <c r="AA29" s="1"/>
  <c r="AC29" s="1"/>
  <c r="AH29" s="1"/>
  <c r="L30"/>
  <c r="J29" i="5"/>
  <c r="L25" i="81" s="1"/>
  <c r="K25"/>
  <c r="B32" i="5"/>
  <c r="C31"/>
  <c r="O32"/>
  <c r="P31"/>
  <c r="G27" i="63"/>
  <c r="E30" i="5"/>
  <c r="D30"/>
  <c r="I30"/>
  <c r="M32"/>
  <c r="N31"/>
  <c r="Q30"/>
  <c r="M26" i="81" s="1"/>
  <c r="E31" i="5" l="1"/>
  <c r="D31"/>
  <c r="I31"/>
  <c r="G28" i="63"/>
  <c r="O33" i="5"/>
  <c r="P32"/>
  <c r="K26" i="81"/>
  <c r="J30" i="5"/>
  <c r="L26" i="81" s="1"/>
  <c r="M33" i="5"/>
  <c r="N32"/>
  <c r="B33"/>
  <c r="C32"/>
  <c r="L31" i="3"/>
  <c r="M30"/>
  <c r="AA30" s="1"/>
  <c r="AC30" s="1"/>
  <c r="AH30" s="1"/>
  <c r="Q31" i="5"/>
  <c r="M27" i="81" s="1"/>
  <c r="J31" i="5" l="1"/>
  <c r="L27" i="81" s="1"/>
  <c r="K27"/>
  <c r="B34" i="5"/>
  <c r="C33"/>
  <c r="I32"/>
  <c r="E32"/>
  <c r="D32"/>
  <c r="G29" i="63"/>
  <c r="O34" i="5"/>
  <c r="P33"/>
  <c r="L32" i="3"/>
  <c r="M31"/>
  <c r="AA31" s="1"/>
  <c r="AC31" s="1"/>
  <c r="AH31" s="1"/>
  <c r="M34" i="5"/>
  <c r="N33"/>
  <c r="Q32"/>
  <c r="M28" i="81" s="1"/>
  <c r="M32" i="3" l="1"/>
  <c r="AA32" s="1"/>
  <c r="AC32" s="1"/>
  <c r="AH32" s="1"/>
  <c r="L33"/>
  <c r="M33" s="1"/>
  <c r="B35" i="5"/>
  <c r="C34"/>
  <c r="C37"/>
  <c r="I33"/>
  <c r="E33"/>
  <c r="E38" s="1"/>
  <c r="G30" i="63"/>
  <c r="I30" s="1"/>
  <c r="D33" i="5"/>
  <c r="M35"/>
  <c r="N34"/>
  <c r="O35"/>
  <c r="P34"/>
  <c r="K28" i="81"/>
  <c r="J32" i="5"/>
  <c r="L28" i="81" s="1"/>
  <c r="Q33" i="5"/>
  <c r="B36" l="1"/>
  <c r="C36" s="1"/>
  <c r="C35"/>
  <c r="O36"/>
  <c r="P36" s="1"/>
  <c r="P35"/>
  <c r="E34"/>
  <c r="D34"/>
  <c r="I34"/>
  <c r="M29" i="81"/>
  <c r="Q37" i="5"/>
  <c r="D37"/>
  <c r="D39"/>
  <c r="C38"/>
  <c r="B6" i="77"/>
  <c r="M36" i="5"/>
  <c r="N36" s="1"/>
  <c r="N35"/>
  <c r="I37"/>
  <c r="J33"/>
  <c r="L29" i="81" s="1"/>
  <c r="K29"/>
  <c r="Q34" i="5"/>
  <c r="M30" i="81" s="1"/>
  <c r="O38" i="5" l="1"/>
  <c r="G6" i="77"/>
  <c r="D6"/>
  <c r="E6" s="1"/>
  <c r="F6" s="1"/>
  <c r="D36" i="5"/>
  <c r="E36"/>
  <c r="I36"/>
  <c r="E35"/>
  <c r="I35"/>
  <c r="D35"/>
  <c r="K30" i="81"/>
  <c r="J34" i="5"/>
  <c r="L30" i="81" s="1"/>
  <c r="I38" i="5"/>
  <c r="G39"/>
  <c r="AJ39"/>
  <c r="AM39" s="1"/>
  <c r="H39"/>
  <c r="Q36"/>
  <c r="M32" i="81" s="1"/>
  <c r="Q35" i="5"/>
  <c r="M31" i="81" s="1"/>
  <c r="K39" i="5" l="1"/>
  <c r="K31" i="81"/>
  <c r="J35" i="5"/>
  <c r="L31" i="81" s="1"/>
  <c r="K32"/>
  <c r="J36" i="5"/>
  <c r="L32" i="81" s="1"/>
  <c r="AC11" i="76" l="1"/>
  <c r="AC28" s="1"/>
  <c r="AC10"/>
  <c r="AC27" s="1"/>
  <c r="AC9"/>
  <c r="AC13" l="1"/>
  <c r="AC14" s="1"/>
  <c r="AB14" s="1"/>
  <c r="AB16" s="1"/>
  <c r="AC26"/>
  <c r="AC30" s="1"/>
  <c r="AC34" l="1"/>
  <c r="W38"/>
  <c r="W40" s="1"/>
  <c r="W42" s="1"/>
  <c r="O34" l="1"/>
  <c r="O16"/>
  <c r="P16" s="1"/>
  <c r="R16" s="1"/>
  <c r="T16" s="1"/>
  <c r="F14" i="81" s="1"/>
  <c r="O6" i="76"/>
  <c r="P6" s="1"/>
  <c r="R6" s="1"/>
  <c r="T6" s="1"/>
  <c r="F4" i="81" s="1"/>
  <c r="O25" i="76"/>
  <c r="P25" s="1"/>
  <c r="R25" s="1"/>
  <c r="T25" s="1"/>
  <c r="F23" i="81" s="1"/>
  <c r="O22" i="76"/>
  <c r="P22" s="1"/>
  <c r="R22" s="1"/>
  <c r="T22" s="1"/>
  <c r="F20" i="81" s="1"/>
  <c r="O17" i="76"/>
  <c r="P17" s="1"/>
  <c r="R17" s="1"/>
  <c r="T17" s="1"/>
  <c r="F15" i="81" s="1"/>
  <c r="O13" i="76"/>
  <c r="P13" s="1"/>
  <c r="R13" s="1"/>
  <c r="T13" s="1"/>
  <c r="F11" i="81" s="1"/>
  <c r="O15" i="76"/>
  <c r="P15" s="1"/>
  <c r="R15" s="1"/>
  <c r="T15" s="1"/>
  <c r="F13" i="81" s="1"/>
  <c r="O33" i="76"/>
  <c r="P33" s="1"/>
  <c r="R33" s="1"/>
  <c r="T33" s="1"/>
  <c r="F31" i="81" s="1"/>
  <c r="O12" i="76"/>
  <c r="P12" s="1"/>
  <c r="R12" s="1"/>
  <c r="T12" s="1"/>
  <c r="F10" i="81" s="1"/>
  <c r="O29" i="76"/>
  <c r="P29" s="1"/>
  <c r="R29" s="1"/>
  <c r="T29" s="1"/>
  <c r="F27" i="81" s="1"/>
  <c r="O9" i="76"/>
  <c r="P9" s="1"/>
  <c r="R9" s="1"/>
  <c r="T9" s="1"/>
  <c r="F7" i="81" s="1"/>
  <c r="O14" i="76"/>
  <c r="P14" s="1"/>
  <c r="R14" s="1"/>
  <c r="T14" s="1"/>
  <c r="F12" i="81" s="1"/>
  <c r="O5" i="76"/>
  <c r="P5" s="1"/>
  <c r="R5" s="1"/>
  <c r="T5" s="1"/>
  <c r="F3" i="81" s="1"/>
  <c r="O7" i="76"/>
  <c r="P7" s="1"/>
  <c r="R7" s="1"/>
  <c r="T7" s="1"/>
  <c r="F5" i="81" s="1"/>
  <c r="O23" i="76"/>
  <c r="P23" s="1"/>
  <c r="R23" s="1"/>
  <c r="T23" s="1"/>
  <c r="F21" i="81" s="1"/>
  <c r="O32" i="76"/>
  <c r="P32" s="1"/>
  <c r="R32" s="1"/>
  <c r="T32" s="1"/>
  <c r="F30" i="81" s="1"/>
  <c r="O4" i="76"/>
  <c r="P4" s="1"/>
  <c r="R4" s="1"/>
  <c r="T4" s="1"/>
  <c r="F2" i="81" s="1"/>
  <c r="O8" i="76"/>
  <c r="P8" s="1"/>
  <c r="R8" s="1"/>
  <c r="T8" s="1"/>
  <c r="F6" i="81" s="1"/>
  <c r="O10" i="76"/>
  <c r="P10" s="1"/>
  <c r="R10" s="1"/>
  <c r="T10" s="1"/>
  <c r="F8" i="81" s="1"/>
  <c r="O11" i="76"/>
  <c r="P11" s="1"/>
  <c r="R11" s="1"/>
  <c r="T11" s="1"/>
  <c r="F9" i="81" s="1"/>
  <c r="O26" i="76"/>
  <c r="P26" s="1"/>
  <c r="R26" s="1"/>
  <c r="T26" s="1"/>
  <c r="F24" i="81" s="1"/>
  <c r="O27" i="76"/>
  <c r="P27" s="1"/>
  <c r="R27" s="1"/>
  <c r="T27" s="1"/>
  <c r="F25" i="81" s="1"/>
  <c r="O31" i="76"/>
  <c r="P31" s="1"/>
  <c r="R31" s="1"/>
  <c r="T31" s="1"/>
  <c r="O28"/>
  <c r="P28" s="1"/>
  <c r="R28" s="1"/>
  <c r="T28" s="1"/>
  <c r="F26" i="81" s="1"/>
  <c r="O21" i="76"/>
  <c r="P21" s="1"/>
  <c r="R21" s="1"/>
  <c r="T21" s="1"/>
  <c r="F19" i="81" s="1"/>
  <c r="O19" i="76"/>
  <c r="P19" s="1"/>
  <c r="R19" s="1"/>
  <c r="T19" s="1"/>
  <c r="F17" i="81" s="1"/>
  <c r="O18" i="76"/>
  <c r="P18" s="1"/>
  <c r="R18" s="1"/>
  <c r="T18" s="1"/>
  <c r="F16" i="81" s="1"/>
  <c r="O24" i="76"/>
  <c r="P24" s="1"/>
  <c r="R24" s="1"/>
  <c r="T24" s="1"/>
  <c r="F22" i="81" s="1"/>
  <c r="AB34" i="76"/>
  <c r="O30"/>
  <c r="P30" s="1"/>
  <c r="R30" s="1"/>
  <c r="T30" s="1"/>
  <c r="F28" i="81" s="1"/>
  <c r="O20" i="76"/>
  <c r="P20" s="1"/>
  <c r="R20" s="1"/>
  <c r="T20" s="1"/>
  <c r="F18" i="81" s="1"/>
  <c r="O3" i="76"/>
  <c r="AB36" l="1"/>
  <c r="AB38" s="1"/>
  <c r="Z39" s="1"/>
  <c r="Z41" s="1"/>
  <c r="Z43" s="1"/>
  <c r="AA40"/>
  <c r="D10" i="77"/>
  <c r="E10" s="1"/>
  <c r="P34" i="76"/>
  <c r="R34" s="1"/>
  <c r="T34" s="1"/>
  <c r="F29" i="81" s="1"/>
  <c r="O35" i="76"/>
  <c r="P3"/>
  <c r="E12" i="77" l="1"/>
  <c r="G10"/>
  <c r="G12" s="1"/>
  <c r="F10"/>
  <c r="F12" s="1"/>
  <c r="AB40" i="76"/>
  <c r="AB41" s="1"/>
  <c r="AA41"/>
  <c r="R3"/>
  <c r="H14" i="77" l="1"/>
  <c r="I14"/>
  <c r="T3" i="76"/>
  <c r="AS5" i="5" l="1"/>
  <c r="AS6" s="1"/>
  <c r="AX4" i="1"/>
  <c r="AX5" s="1"/>
  <c r="AX6" l="1"/>
  <c r="J2" i="81"/>
  <c r="AS7" i="5"/>
  <c r="AY6"/>
  <c r="AY5"/>
  <c r="J3" i="81" l="1"/>
  <c r="AX7" i="1"/>
  <c r="AY7" i="5"/>
  <c r="BB7" s="1"/>
  <c r="BE7" s="1"/>
  <c r="AS8"/>
  <c r="BB5"/>
  <c r="BB6"/>
  <c r="BE6" s="1"/>
  <c r="BE5"/>
  <c r="I2" i="63" l="1"/>
  <c r="BF6" i="5"/>
  <c r="BG6" s="1"/>
  <c r="G6" i="65" s="1"/>
  <c r="J4" i="81"/>
  <c r="AX8" i="1"/>
  <c r="I3" i="63"/>
  <c r="BF7" i="5"/>
  <c r="BG7" s="1"/>
  <c r="G7" i="65" s="1"/>
  <c r="AS9" i="5"/>
  <c r="AY8"/>
  <c r="BB8" s="1"/>
  <c r="BE8" s="1"/>
  <c r="BF5"/>
  <c r="AY9" l="1"/>
  <c r="BB9" s="1"/>
  <c r="BE9" s="1"/>
  <c r="AS10"/>
  <c r="I4" i="63"/>
  <c r="BF8" i="5"/>
  <c r="BG8" s="1"/>
  <c r="G8" i="65" s="1"/>
  <c r="J5" i="81"/>
  <c r="AX9" i="1"/>
  <c r="BG5" i="5"/>
  <c r="G5" i="65" s="1"/>
  <c r="I5" i="63" l="1"/>
  <c r="BF9" i="5"/>
  <c r="BG9" s="1"/>
  <c r="G9" i="65" s="1"/>
  <c r="J6" i="81"/>
  <c r="AX10" i="1"/>
  <c r="AY10" i="5"/>
  <c r="BB10" s="1"/>
  <c r="BE10" s="1"/>
  <c r="AS11"/>
  <c r="I6" i="63" l="1"/>
  <c r="BF10" i="5"/>
  <c r="BG10" s="1"/>
  <c r="G10" i="65" s="1"/>
  <c r="AY11" i="5"/>
  <c r="BB11" s="1"/>
  <c r="BE11" s="1"/>
  <c r="AS12"/>
  <c r="J7" i="81"/>
  <c r="AX11" i="1"/>
  <c r="J8" i="81" l="1"/>
  <c r="AX12" i="1"/>
  <c r="I7" i="63"/>
  <c r="BF11" i="5"/>
  <c r="BG11" s="1"/>
  <c r="G11" i="65" s="1"/>
  <c r="AY12" i="5"/>
  <c r="BB12" s="1"/>
  <c r="BE12" s="1"/>
  <c r="AS13"/>
  <c r="AS14" l="1"/>
  <c r="AY13"/>
  <c r="BB13" s="1"/>
  <c r="BE13" s="1"/>
  <c r="I8" i="63"/>
  <c r="BF12" i="5"/>
  <c r="BG12" s="1"/>
  <c r="G12" i="65" s="1"/>
  <c r="AX13" i="1"/>
  <c r="J9" i="81"/>
  <c r="AS15" i="5" l="1"/>
  <c r="AY14"/>
  <c r="BB14" s="1"/>
  <c r="BE14" s="1"/>
  <c r="J10" i="81"/>
  <c r="AX14" i="1"/>
  <c r="I9" i="63"/>
  <c r="BF13" i="5"/>
  <c r="BG13" s="1"/>
  <c r="G13" i="65" s="1"/>
  <c r="AY15" i="5" l="1"/>
  <c r="BB15" s="1"/>
  <c r="BE15" s="1"/>
  <c r="AS16"/>
  <c r="I10" i="63"/>
  <c r="BF14" i="5"/>
  <c r="BG14" s="1"/>
  <c r="G14" i="65" s="1"/>
  <c r="J11" i="81"/>
  <c r="AX15" i="1"/>
  <c r="I11" i="63" l="1"/>
  <c r="BF15" i="5"/>
  <c r="BG15" s="1"/>
  <c r="G15" i="65" s="1"/>
  <c r="J12" i="81"/>
  <c r="AX16" i="1"/>
  <c r="AS17" i="5"/>
  <c r="AY16"/>
  <c r="BB16" s="1"/>
  <c r="BE16" s="1"/>
  <c r="AS18" l="1"/>
  <c r="AY17"/>
  <c r="BB17" s="1"/>
  <c r="BE17" s="1"/>
  <c r="I12" i="63"/>
  <c r="BF16" i="5"/>
  <c r="BG16" s="1"/>
  <c r="G16" i="65" s="1"/>
  <c r="AX17" i="1"/>
  <c r="J13" i="81"/>
  <c r="J14" l="1"/>
  <c r="AX18" i="1"/>
  <c r="I13" i="63"/>
  <c r="BF17" i="5"/>
  <c r="BG17" s="1"/>
  <c r="G17" i="65" s="1"/>
  <c r="AY18" i="5"/>
  <c r="BB18" s="1"/>
  <c r="BE18" s="1"/>
  <c r="AS19"/>
  <c r="AS20" l="1"/>
  <c r="AY19"/>
  <c r="BB19" s="1"/>
  <c r="BE19" s="1"/>
  <c r="I14" i="63"/>
  <c r="BF18" i="5"/>
  <c r="BG18" s="1"/>
  <c r="G18" i="65" s="1"/>
  <c r="J15" i="81"/>
  <c r="AX19" i="1"/>
  <c r="AX20" l="1"/>
  <c r="J16" i="81"/>
  <c r="AY20" i="5"/>
  <c r="BB20" s="1"/>
  <c r="BE20" s="1"/>
  <c r="AS21"/>
  <c r="I15" i="63"/>
  <c r="BF19" i="5"/>
  <c r="BG19" s="1"/>
  <c r="G19" i="65" s="1"/>
  <c r="J17" i="81" l="1"/>
  <c r="AX21" i="1"/>
  <c r="I16" i="63"/>
  <c r="BF20" i="5"/>
  <c r="BG20" s="1"/>
  <c r="G20" i="65" s="1"/>
  <c r="AY21" i="5"/>
  <c r="BB21" s="1"/>
  <c r="BE21" s="1"/>
  <c r="AS22"/>
  <c r="I17" i="63" l="1"/>
  <c r="BF21" i="5"/>
  <c r="BG21" s="1"/>
  <c r="G21" i="65" s="1"/>
  <c r="AY22" i="5"/>
  <c r="BB22" s="1"/>
  <c r="BE22" s="1"/>
  <c r="AS23"/>
  <c r="AX22" i="1"/>
  <c r="J18" i="81"/>
  <c r="AX23" i="1" l="1"/>
  <c r="J19" i="81"/>
  <c r="I18" i="63"/>
  <c r="BF22" i="5"/>
  <c r="BG22" s="1"/>
  <c r="G22" i="65" s="1"/>
  <c r="AY23" i="5"/>
  <c r="BB23" s="1"/>
  <c r="BE23" s="1"/>
  <c r="AS24"/>
  <c r="I19" i="63" l="1"/>
  <c r="BF23" i="5"/>
  <c r="BG23" s="1"/>
  <c r="G23" i="65" s="1"/>
  <c r="J20" i="81"/>
  <c r="AX24" i="1"/>
  <c r="AS25" i="5"/>
  <c r="AY24"/>
  <c r="BB24" s="1"/>
  <c r="BE24" s="1"/>
  <c r="AY25" l="1"/>
  <c r="BB25" s="1"/>
  <c r="BE25" s="1"/>
  <c r="AS26"/>
  <c r="I20" i="63"/>
  <c r="BF24" i="5"/>
  <c r="BG24" s="1"/>
  <c r="G24" i="65" s="1"/>
  <c r="J21" i="81"/>
  <c r="AX25" i="1"/>
  <c r="I21" i="63" l="1"/>
  <c r="BF25" i="5"/>
  <c r="BG25" s="1"/>
  <c r="G25" i="65" s="1"/>
  <c r="J22" i="81"/>
  <c r="AX26" i="1"/>
  <c r="AY26" i="5"/>
  <c r="BB26" s="1"/>
  <c r="BE26" s="1"/>
  <c r="AS27"/>
  <c r="I22" i="63" l="1"/>
  <c r="BF26" i="5"/>
  <c r="BG26" s="1"/>
  <c r="G26" i="65" s="1"/>
  <c r="AS28" i="5"/>
  <c r="AY27"/>
  <c r="BB27" s="1"/>
  <c r="BE27" s="1"/>
  <c r="J23" i="81"/>
  <c r="AX27" i="1"/>
  <c r="AX28" l="1"/>
  <c r="J24" i="81"/>
  <c r="AY28" i="5"/>
  <c r="BB28" s="1"/>
  <c r="BE28" s="1"/>
  <c r="AS29"/>
  <c r="I23" i="63"/>
  <c r="BF27" i="5"/>
  <c r="BG27" s="1"/>
  <c r="G27" i="65" s="1"/>
  <c r="AX29" i="1" l="1"/>
  <c r="J25" i="81"/>
  <c r="I24" i="63"/>
  <c r="BF28" i="5"/>
  <c r="BG28" s="1"/>
  <c r="G28" i="65" s="1"/>
  <c r="AS30" i="5"/>
  <c r="AY29"/>
  <c r="BB29" s="1"/>
  <c r="BE29" s="1"/>
  <c r="AY30" l="1"/>
  <c r="BB30" s="1"/>
  <c r="BE30" s="1"/>
  <c r="AS31"/>
  <c r="J26" i="81"/>
  <c r="AX30" i="1"/>
  <c r="I25" i="63"/>
  <c r="BF29" i="5"/>
  <c r="BG29" s="1"/>
  <c r="G29" i="65" s="1"/>
  <c r="I26" i="63" l="1"/>
  <c r="BF30" i="5"/>
  <c r="BG30" s="1"/>
  <c r="G30" i="65" s="1"/>
  <c r="AS32" i="5"/>
  <c r="AY31"/>
  <c r="BB31" s="1"/>
  <c r="BE31" s="1"/>
  <c r="AX31" i="1"/>
  <c r="J27" i="81"/>
  <c r="AX32" i="1" l="1"/>
  <c r="J28" i="81"/>
  <c r="AY32" i="5"/>
  <c r="BB32" s="1"/>
  <c r="BE32" s="1"/>
  <c r="AS33"/>
  <c r="I27" i="63"/>
  <c r="BF31" i="5"/>
  <c r="BG31" s="1"/>
  <c r="G31" i="65" s="1"/>
  <c r="AX33" i="1" l="1"/>
  <c r="J29" i="81"/>
  <c r="I28" i="63"/>
  <c r="BF32" i="5"/>
  <c r="BG32" s="1"/>
  <c r="G32" i="65" s="1"/>
  <c r="AS34" i="5"/>
  <c r="AY33"/>
  <c r="BB33" s="1"/>
  <c r="BE33" s="1"/>
  <c r="AS35" l="1"/>
  <c r="AY34"/>
  <c r="BB34" s="1"/>
  <c r="BE34" s="1"/>
  <c r="BF34" s="1"/>
  <c r="BG34" s="1"/>
  <c r="J30" i="81"/>
  <c r="AX34" i="1"/>
  <c r="BF33" i="5"/>
  <c r="BG33" s="1"/>
  <c r="G33" i="65" s="1"/>
  <c r="I29" i="63"/>
  <c r="AS36" i="5" l="1"/>
  <c r="AY36" s="1"/>
  <c r="BB36" s="1"/>
  <c r="BE36" s="1"/>
  <c r="BF36" s="1"/>
  <c r="BG36" s="1"/>
  <c r="AY35"/>
  <c r="BB35" s="1"/>
  <c r="BE35" s="1"/>
  <c r="BF35" s="1"/>
  <c r="BG35" s="1"/>
  <c r="J31" i="81"/>
  <c r="AX35" i="1"/>
  <c r="J32" i="81" s="1"/>
  <c r="AB6" i="3" l="1"/>
  <c r="AA6" l="1"/>
  <c r="AC6" s="1"/>
  <c r="AH6" s="1"/>
  <c r="AB7" l="1"/>
  <c r="AA7"/>
  <c r="AC7" s="1"/>
  <c r="AH7" s="1"/>
  <c r="T7" l="1"/>
  <c r="T14" l="1"/>
  <c r="T15" s="1"/>
  <c r="T16" s="1"/>
  <c r="AB8"/>
  <c r="U8"/>
  <c r="AA8" s="1"/>
  <c r="AC8" s="1"/>
  <c r="AH8" s="1"/>
  <c r="AB17" l="1"/>
  <c r="U17"/>
  <c r="AA17" s="1"/>
  <c r="AC17" s="1"/>
  <c r="AH17" s="1"/>
  <c r="T17"/>
  <c r="T18" s="1"/>
  <c r="T19" s="1"/>
  <c r="T20" s="1"/>
  <c r="T21" s="1"/>
  <c r="T22" s="1"/>
  <c r="AB24"/>
  <c r="U24"/>
  <c r="AA24" s="1"/>
  <c r="AC24" s="1"/>
  <c r="AH24" s="1"/>
  <c r="T24" l="1"/>
  <c r="T26" s="1"/>
  <c r="T27" s="1"/>
  <c r="T28"/>
  <c r="T29" s="1"/>
  <c r="T30" s="1"/>
  <c r="T31" s="1"/>
  <c r="T32" s="1"/>
  <c r="T33" s="1"/>
  <c r="AA28"/>
  <c r="AC28" s="1"/>
  <c r="AH28" s="1"/>
  <c r="AB28"/>
  <c r="U28"/>
  <c r="W33" i="76"/>
  <c r="X33" s="1"/>
  <c r="Y33" s="1"/>
  <c r="AB33" i="3"/>
  <c r="U33"/>
  <c r="AA33" s="1"/>
  <c r="AC33" s="1"/>
  <c r="AH33" s="1"/>
</calcChain>
</file>

<file path=xl/comments1.xml><?xml version="1.0" encoding="utf-8"?>
<comments xmlns="http://schemas.openxmlformats.org/spreadsheetml/2006/main">
  <authors>
    <author>suzan.abousleiman</author>
    <author>amjad.abouhassan</author>
  </authors>
  <commentList>
    <comment ref="T3" authorId="0">
      <text>
        <r>
          <rPr>
            <b/>
            <sz val="9"/>
            <color indexed="81"/>
            <rFont val="Tahoma"/>
            <family val="2"/>
          </rPr>
          <t>suzan.abousleiman:</t>
        </r>
        <r>
          <rPr>
            <sz val="9"/>
            <color indexed="81"/>
            <rFont val="Tahoma"/>
            <family val="2"/>
          </rPr>
          <t xml:space="preserve">
adde manually due to deffected counter </t>
        </r>
      </text>
    </comment>
    <comment ref="C27" authorId="1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Added manually counter OOO</t>
        </r>
      </text>
    </comment>
  </commentList>
</comments>
</file>

<file path=xl/comments2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3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<sst xmlns="http://schemas.openxmlformats.org/spreadsheetml/2006/main" count="652" uniqueCount="417">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</sst>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25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1" xfId="0" applyFont="1" applyBorder="1" applyAlignment="1">
      <alignment vertical="top" wrapText="1"/>
    </xf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5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8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69" xfId="0" applyNumberFormat="1" applyFont="1" applyFill="1" applyBorder="1" applyAlignment="1">
      <alignment vertical="top" wrapText="1"/>
    </xf>
    <xf numFmtId="4" fontId="21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43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43" fontId="0" fillId="0" borderId="1" xfId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9" fontId="0" fillId="14" borderId="1" xfId="4" applyFont="1" applyFill="1" applyBorder="1"/>
    <xf numFmtId="43" fontId="0" fillId="0" borderId="1" xfId="0" applyNumberFormat="1" applyBorder="1" applyAlignment="1">
      <alignment horizontal="center" vertical="center"/>
    </xf>
    <xf numFmtId="2" fontId="0" fillId="0" borderId="1" xfId="4" applyNumberFormat="1" applyFon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4" fillId="0" borderId="71" xfId="0" applyNumberFormat="1" applyFont="1" applyBorder="1"/>
    <xf numFmtId="0" fontId="0" fillId="0" borderId="72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0" fontId="23" fillId="14" borderId="1" xfId="0" applyFont="1" applyFill="1" applyBorder="1" applyAlignment="1"/>
    <xf numFmtId="0" fontId="0" fillId="0" borderId="1" xfId="0" applyBorder="1" applyAlignment="1">
      <alignment horizontal="center" vertical="center"/>
    </xf>
    <xf numFmtId="0" fontId="0" fillId="0" borderId="3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2" fontId="0" fillId="0" borderId="43" xfId="0" applyNumberFormat="1" applyBorder="1" applyAlignment="1">
      <alignment horizontal="center" vertical="center"/>
    </xf>
    <xf numFmtId="9" fontId="0" fillId="0" borderId="43" xfId="4" applyFont="1" applyBorder="1" applyAlignment="1">
      <alignment horizontal="center" vertical="center"/>
    </xf>
    <xf numFmtId="10" fontId="0" fillId="0" borderId="43" xfId="4" applyNumberFormat="1" applyFont="1" applyBorder="1" applyAlignment="1">
      <alignment horizontal="center" vertical="center"/>
    </xf>
    <xf numFmtId="173" fontId="0" fillId="2" borderId="7" xfId="0" applyNumberFormat="1" applyFill="1" applyBorder="1" applyAlignment="1">
      <alignment horizontal="left"/>
    </xf>
    <xf numFmtId="43" fontId="0" fillId="0" borderId="43" xfId="1" applyFont="1" applyBorder="1" applyAlignment="1">
      <alignment horizontal="center"/>
    </xf>
    <xf numFmtId="167" fontId="0" fillId="0" borderId="1" xfId="1" applyNumberFormat="1" applyFont="1" applyBorder="1" applyAlignment="1">
      <alignment horizontal="center" vertical="center"/>
    </xf>
    <xf numFmtId="43" fontId="0" fillId="0" borderId="43" xfId="1" applyFont="1" applyBorder="1" applyAlignment="1">
      <alignment horizontal="center" vertical="center"/>
    </xf>
    <xf numFmtId="43" fontId="18" fillId="0" borderId="15" xfId="1" applyFont="1" applyBorder="1"/>
    <xf numFmtId="43" fontId="18" fillId="0" borderId="15" xfId="1" applyFont="1" applyBorder="1" applyAlignment="1">
      <alignment horizontal="center" vertical="center"/>
    </xf>
    <xf numFmtId="43" fontId="18" fillId="0" borderId="34" xfId="1" applyFont="1" applyBorder="1" applyAlignment="1">
      <alignment horizontal="center" vertical="center"/>
    </xf>
    <xf numFmtId="10" fontId="0" fillId="0" borderId="43" xfId="4" applyNumberFormat="1" applyFont="1" applyBorder="1" applyAlignment="1">
      <alignment horizontal="center"/>
    </xf>
    <xf numFmtId="1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30" borderId="7" xfId="0" applyNumberFormat="1" applyFill="1" applyBorder="1" applyAlignment="1">
      <alignment horizontal="left"/>
    </xf>
    <xf numFmtId="173" fontId="0" fillId="30" borderId="7" xfId="0" applyNumberFormat="1" applyFill="1" applyBorder="1" applyAlignment="1">
      <alignment horizontal="left"/>
    </xf>
    <xf numFmtId="0" fontId="23" fillId="30" borderId="1" xfId="0" applyFont="1" applyFill="1" applyBorder="1" applyAlignment="1">
      <alignment horizontal="center" vertical="center"/>
    </xf>
    <xf numFmtId="0" fontId="23" fillId="31" borderId="1" xfId="0" applyFont="1" applyFill="1" applyBorder="1" applyAlignment="1">
      <alignment horizontal="center" vertical="center"/>
    </xf>
    <xf numFmtId="167" fontId="0" fillId="8" borderId="33" xfId="1" applyNumberFormat="1" applyFont="1" applyFill="1" applyBorder="1" applyAlignment="1">
      <alignment wrapText="1"/>
    </xf>
    <xf numFmtId="167" fontId="0" fillId="0" borderId="33" xfId="1" applyNumberFormat="1" applyFont="1" applyBorder="1"/>
    <xf numFmtId="0" fontId="0" fillId="0" borderId="1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14" borderId="43" xfId="0" applyFont="1" applyFill="1" applyBorder="1" applyAlignment="1">
      <alignment horizontal="center" vertical="center"/>
    </xf>
    <xf numFmtId="0" fontId="23" fillId="14" borderId="15" xfId="0" applyFont="1" applyFill="1" applyBorder="1" applyAlignment="1">
      <alignment horizontal="center" vertical="center"/>
    </xf>
    <xf numFmtId="0" fontId="23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8" borderId="33" xfId="0" applyNumberFormat="1" applyFill="1" applyBorder="1" applyAlignment="1">
      <alignment wrapText="1"/>
    </xf>
    <xf numFmtId="41" fontId="0" fillId="0" borderId="33" xfId="0" applyNumberFormat="1" applyBorder="1"/>
    <xf numFmtId="182" fontId="18" fillId="25" borderId="1" xfId="4" applyNumberFormat="1" applyFont="1" applyFill="1" applyBorder="1"/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7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 formatCode="0">
                  <c:v>7721</c:v>
                </c:pt>
                <c:pt idx="1">
                  <c:v>8408</c:v>
                </c:pt>
                <c:pt idx="2">
                  <c:v>9041</c:v>
                </c:pt>
                <c:pt idx="3">
                  <c:v>7715</c:v>
                </c:pt>
                <c:pt idx="4">
                  <c:v>7405</c:v>
                </c:pt>
                <c:pt idx="5">
                  <c:v>7744</c:v>
                </c:pt>
                <c:pt idx="6">
                  <c:v>7618</c:v>
                </c:pt>
                <c:pt idx="7">
                  <c:v>6359</c:v>
                </c:pt>
                <c:pt idx="8">
                  <c:v>6832</c:v>
                </c:pt>
                <c:pt idx="9">
                  <c:v>6552</c:v>
                </c:pt>
                <c:pt idx="10">
                  <c:v>6673</c:v>
                </c:pt>
                <c:pt idx="11">
                  <c:v>6832</c:v>
                </c:pt>
                <c:pt idx="12">
                  <c:v>6743</c:v>
                </c:pt>
                <c:pt idx="13">
                  <c:v>6400</c:v>
                </c:pt>
                <c:pt idx="14">
                  <c:v>6878</c:v>
                </c:pt>
                <c:pt idx="15">
                  <c:v>6482</c:v>
                </c:pt>
                <c:pt idx="16">
                  <c:v>8211</c:v>
                </c:pt>
                <c:pt idx="17">
                  <c:v>8488</c:v>
                </c:pt>
                <c:pt idx="18">
                  <c:v>8988</c:v>
                </c:pt>
                <c:pt idx="19">
                  <c:v>7145</c:v>
                </c:pt>
                <c:pt idx="20">
                  <c:v>6356</c:v>
                </c:pt>
                <c:pt idx="21">
                  <c:v>7217</c:v>
                </c:pt>
                <c:pt idx="22">
                  <c:v>9779</c:v>
                </c:pt>
                <c:pt idx="23">
                  <c:v>10356</c:v>
                </c:pt>
                <c:pt idx="24">
                  <c:v>8509</c:v>
                </c:pt>
                <c:pt idx="25">
                  <c:v>10240</c:v>
                </c:pt>
                <c:pt idx="26">
                  <c:v>9202</c:v>
                </c:pt>
                <c:pt idx="27">
                  <c:v>8809</c:v>
                </c:pt>
                <c:pt idx="28">
                  <c:v>7510</c:v>
                </c:pt>
              </c:numCache>
            </c:numRef>
          </c:val>
        </c:ser>
        <c:marker val="1"/>
        <c:axId val="141903744"/>
        <c:axId val="141905280"/>
      </c:lineChart>
      <c:catAx>
        <c:axId val="141903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905280"/>
        <c:crosses val="autoZero"/>
        <c:auto val="1"/>
        <c:lblAlgn val="ctr"/>
        <c:lblOffset val="100"/>
      </c:catAx>
      <c:valAx>
        <c:axId val="14190528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903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log'!$C$3:$C$34</c:f>
              <c:numCache>
                <c:formatCode>General</c:formatCode>
                <c:ptCount val="32"/>
                <c:pt idx="0">
                  <c:v>1184</c:v>
                </c:pt>
                <c:pt idx="1">
                  <c:v>1250</c:v>
                </c:pt>
                <c:pt idx="2">
                  <c:v>956</c:v>
                </c:pt>
                <c:pt idx="3">
                  <c:v>1569</c:v>
                </c:pt>
                <c:pt idx="4">
                  <c:v>2099</c:v>
                </c:pt>
                <c:pt idx="5">
                  <c:v>1715</c:v>
                </c:pt>
                <c:pt idx="6">
                  <c:v>1510</c:v>
                </c:pt>
                <c:pt idx="7">
                  <c:v>2288</c:v>
                </c:pt>
                <c:pt idx="8">
                  <c:v>2155</c:v>
                </c:pt>
                <c:pt idx="9">
                  <c:v>2369</c:v>
                </c:pt>
                <c:pt idx="10">
                  <c:v>1998</c:v>
                </c:pt>
                <c:pt idx="11">
                  <c:v>2566</c:v>
                </c:pt>
                <c:pt idx="12">
                  <c:v>2610</c:v>
                </c:pt>
                <c:pt idx="13">
                  <c:v>2411</c:v>
                </c:pt>
                <c:pt idx="14">
                  <c:v>2184</c:v>
                </c:pt>
                <c:pt idx="15">
                  <c:v>2499</c:v>
                </c:pt>
                <c:pt idx="16">
                  <c:v>1712</c:v>
                </c:pt>
                <c:pt idx="17">
                  <c:v>1928</c:v>
                </c:pt>
                <c:pt idx="18">
                  <c:v>1700</c:v>
                </c:pt>
                <c:pt idx="19">
                  <c:v>1913</c:v>
                </c:pt>
                <c:pt idx="20">
                  <c:v>2134</c:v>
                </c:pt>
                <c:pt idx="21">
                  <c:v>1879</c:v>
                </c:pt>
                <c:pt idx="22">
                  <c:v>1438</c:v>
                </c:pt>
                <c:pt idx="23">
                  <c:v>1061</c:v>
                </c:pt>
                <c:pt idx="24">
                  <c:v>1195</c:v>
                </c:pt>
                <c:pt idx="25">
                  <c:v>1101</c:v>
                </c:pt>
                <c:pt idx="26">
                  <c:v>891</c:v>
                </c:pt>
                <c:pt idx="27">
                  <c:v>1010</c:v>
                </c:pt>
                <c:pt idx="28">
                  <c:v>992</c:v>
                </c:pt>
                <c:pt idx="29">
                  <c:v>982</c:v>
                </c:pt>
                <c:pt idx="30">
                  <c:v>976</c:v>
                </c:pt>
                <c:pt idx="31">
                  <c:v>587</c:v>
                </c:pt>
              </c:numCache>
            </c:numRef>
          </c:val>
        </c:ser>
        <c:marker val="1"/>
        <c:axId val="141933952"/>
        <c:axId val="141939840"/>
      </c:lineChart>
      <c:catAx>
        <c:axId val="141933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939840"/>
        <c:crosses val="autoZero"/>
        <c:auto val="1"/>
        <c:lblAlgn val="ctr"/>
        <c:lblOffset val="100"/>
      </c:catAx>
      <c:valAx>
        <c:axId val="1419398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933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2891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2623488"/>
        <c:axId val="142625024"/>
      </c:lineChart>
      <c:catAx>
        <c:axId val="142623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625024"/>
        <c:crosses val="autoZero"/>
        <c:auto val="1"/>
        <c:lblAlgn val="ctr"/>
        <c:lblOffset val="100"/>
      </c:catAx>
      <c:valAx>
        <c:axId val="14262502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623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0222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2657408"/>
        <c:axId val="142658944"/>
      </c:lineChart>
      <c:catAx>
        <c:axId val="1426574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658944"/>
        <c:crosses val="autoZero"/>
        <c:auto val="1"/>
        <c:lblAlgn val="ctr"/>
        <c:lblOffset val="100"/>
      </c:catAx>
      <c:valAx>
        <c:axId val="14265894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657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9085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168.75</c:v>
                </c:pt>
                <c:pt idx="1">
                  <c:v>171.8</c:v>
                </c:pt>
                <c:pt idx="2">
                  <c:v>136</c:v>
                </c:pt>
                <c:pt idx="3">
                  <c:v>189.66666666666666</c:v>
                </c:pt>
                <c:pt idx="4">
                  <c:v>164.4</c:v>
                </c:pt>
                <c:pt idx="5">
                  <c:v>184.5</c:v>
                </c:pt>
                <c:pt idx="6">
                  <c:v>127</c:v>
                </c:pt>
                <c:pt idx="7">
                  <c:v>202</c:v>
                </c:pt>
                <c:pt idx="8">
                  <c:v>163</c:v>
                </c:pt>
                <c:pt idx="9">
                  <c:v>160.19999999999999</c:v>
                </c:pt>
                <c:pt idx="10">
                  <c:v>191.33333333333334</c:v>
                </c:pt>
                <c:pt idx="11">
                  <c:v>189</c:v>
                </c:pt>
                <c:pt idx="12">
                  <c:v>236.5</c:v>
                </c:pt>
                <c:pt idx="13">
                  <c:v>189</c:v>
                </c:pt>
                <c:pt idx="14">
                  <c:v>147</c:v>
                </c:pt>
                <c:pt idx="15">
                  <c:v>163.66666666666666</c:v>
                </c:pt>
                <c:pt idx="16">
                  <c:v>150</c:v>
                </c:pt>
                <c:pt idx="17">
                  <c:v>153.66666666666666</c:v>
                </c:pt>
                <c:pt idx="18">
                  <c:v>191.66666666666666</c:v>
                </c:pt>
                <c:pt idx="19">
                  <c:v>155</c:v>
                </c:pt>
                <c:pt idx="20">
                  <c:v>189.25</c:v>
                </c:pt>
                <c:pt idx="21">
                  <c:v>201.375</c:v>
                </c:pt>
                <c:pt idx="22">
                  <c:v>187.22222222222223</c:v>
                </c:pt>
                <c:pt idx="23">
                  <c:v>176.4</c:v>
                </c:pt>
                <c:pt idx="24">
                  <c:v>139.77777777777777</c:v>
                </c:pt>
                <c:pt idx="25">
                  <c:v>123.3</c:v>
                </c:pt>
                <c:pt idx="26">
                  <c:v>135</c:v>
                </c:pt>
                <c:pt idx="27">
                  <c:v>176</c:v>
                </c:pt>
              </c:numCache>
            </c:numRef>
          </c:val>
        </c:ser>
        <c:marker val="1"/>
        <c:axId val="142937088"/>
        <c:axId val="142955264"/>
      </c:lineChart>
      <c:catAx>
        <c:axId val="142937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955264"/>
        <c:crosses val="autoZero"/>
        <c:auto val="1"/>
        <c:lblAlgn val="ctr"/>
        <c:lblOffset val="100"/>
      </c:catAx>
      <c:valAx>
        <c:axId val="14295526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937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4168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-17</c:v>
                </c:pt>
                <c:pt idx="19">
                  <c:v>18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3594240"/>
        <c:axId val="143595776"/>
      </c:lineChart>
      <c:catAx>
        <c:axId val="143594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595776"/>
        <c:crosses val="autoZero"/>
        <c:auto val="1"/>
        <c:lblAlgn val="ctr"/>
        <c:lblOffset val="100"/>
      </c:catAx>
      <c:valAx>
        <c:axId val="1435957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594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3644544"/>
        <c:axId val="143646080"/>
      </c:lineChart>
      <c:catAx>
        <c:axId val="143644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646080"/>
        <c:crosses val="autoZero"/>
        <c:auto val="1"/>
        <c:lblAlgn val="ctr"/>
        <c:lblOffset val="100"/>
      </c:catAx>
      <c:valAx>
        <c:axId val="1436460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644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299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255</c:v>
                </c:pt>
                <c:pt idx="18">
                  <c:v>0</c:v>
                </c:pt>
                <c:pt idx="19">
                  <c:v>164</c:v>
                </c:pt>
                <c:pt idx="20">
                  <c:v>0</c:v>
                </c:pt>
                <c:pt idx="21">
                  <c:v>372</c:v>
                </c:pt>
                <c:pt idx="22">
                  <c:v>0</c:v>
                </c:pt>
                <c:pt idx="23">
                  <c:v>290</c:v>
                </c:pt>
                <c:pt idx="24">
                  <c:v>0</c:v>
                </c:pt>
                <c:pt idx="25">
                  <c:v>249</c:v>
                </c:pt>
                <c:pt idx="26">
                  <c:v>0</c:v>
                </c:pt>
                <c:pt idx="27">
                  <c:v>282</c:v>
                </c:pt>
              </c:numCache>
            </c:numRef>
          </c:val>
        </c:ser>
        <c:marker val="1"/>
        <c:axId val="143403648"/>
        <c:axId val="143409536"/>
      </c:lineChart>
      <c:catAx>
        <c:axId val="1434036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409536"/>
        <c:crosses val="autoZero"/>
        <c:auto val="1"/>
        <c:lblAlgn val="ctr"/>
        <c:lblOffset val="100"/>
      </c:catAx>
      <c:valAx>
        <c:axId val="1434095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403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16</c:v>
                </c:pt>
                <c:pt idx="1">
                  <c:v>15.5</c:v>
                </c:pt>
                <c:pt idx="2">
                  <c:v>15.5</c:v>
                </c:pt>
                <c:pt idx="3">
                  <c:v>15.5</c:v>
                </c:pt>
                <c:pt idx="4">
                  <c:v>15.5</c:v>
                </c:pt>
                <c:pt idx="5">
                  <c:v>16</c:v>
                </c:pt>
                <c:pt idx="6">
                  <c:v>16.5</c:v>
                </c:pt>
                <c:pt idx="7">
                  <c:v>18</c:v>
                </c:pt>
                <c:pt idx="8">
                  <c:v>20</c:v>
                </c:pt>
                <c:pt idx="9">
                  <c:v>16</c:v>
                </c:pt>
                <c:pt idx="10">
                  <c:v>14.5</c:v>
                </c:pt>
                <c:pt idx="11">
                  <c:v>15.5</c:v>
                </c:pt>
                <c:pt idx="12">
                  <c:v>17</c:v>
                </c:pt>
                <c:pt idx="13">
                  <c:v>17</c:v>
                </c:pt>
                <c:pt idx="14">
                  <c:v>17</c:v>
                </c:pt>
                <c:pt idx="15">
                  <c:v>16.5</c:v>
                </c:pt>
                <c:pt idx="16">
                  <c:v>17.5</c:v>
                </c:pt>
                <c:pt idx="17">
                  <c:v>17.5</c:v>
                </c:pt>
                <c:pt idx="18">
                  <c:v>13.5</c:v>
                </c:pt>
                <c:pt idx="19">
                  <c:v>19.5</c:v>
                </c:pt>
                <c:pt idx="20">
                  <c:v>18.5</c:v>
                </c:pt>
                <c:pt idx="21">
                  <c:v>20</c:v>
                </c:pt>
                <c:pt idx="22">
                  <c:v>25</c:v>
                </c:pt>
                <c:pt idx="23">
                  <c:v>13.5</c:v>
                </c:pt>
                <c:pt idx="24">
                  <c:v>13.5</c:v>
                </c:pt>
                <c:pt idx="25">
                  <c:v>13</c:v>
                </c:pt>
                <c:pt idx="26">
                  <c:v>14</c:v>
                </c:pt>
                <c:pt idx="27">
                  <c:v>15</c:v>
                </c:pt>
              </c:numCache>
            </c:numRef>
          </c:val>
        </c:ser>
        <c:marker val="1"/>
        <c:axId val="143433728"/>
        <c:axId val="143435264"/>
      </c:lineChart>
      <c:catAx>
        <c:axId val="143433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435264"/>
        <c:crosses val="autoZero"/>
        <c:auto val="1"/>
        <c:lblAlgn val="ctr"/>
        <c:lblOffset val="100"/>
      </c:catAx>
      <c:valAx>
        <c:axId val="14343526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433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6671"/>
          <c:w val="0.12724033151774108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3668352"/>
        <c:axId val="143669888"/>
      </c:lineChart>
      <c:catAx>
        <c:axId val="143668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669888"/>
        <c:crosses val="autoZero"/>
        <c:auto val="1"/>
        <c:lblAlgn val="ctr"/>
        <c:lblOffset val="100"/>
      </c:catAx>
      <c:valAx>
        <c:axId val="1436698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668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224</c:v>
                </c:pt>
                <c:pt idx="1">
                  <c:v>420.20000000001164</c:v>
                </c:pt>
                <c:pt idx="2">
                  <c:v>351</c:v>
                </c:pt>
                <c:pt idx="3">
                  <c:v>216</c:v>
                </c:pt>
                <c:pt idx="4">
                  <c:v>312</c:v>
                </c:pt>
                <c:pt idx="5">
                  <c:v>238</c:v>
                </c:pt>
                <c:pt idx="6">
                  <c:v>228</c:v>
                </c:pt>
                <c:pt idx="7">
                  <c:v>230</c:v>
                </c:pt>
                <c:pt idx="8">
                  <c:v>290</c:v>
                </c:pt>
                <c:pt idx="9">
                  <c:v>220</c:v>
                </c:pt>
                <c:pt idx="10">
                  <c:v>276</c:v>
                </c:pt>
                <c:pt idx="11">
                  <c:v>242</c:v>
                </c:pt>
                <c:pt idx="12">
                  <c:v>257</c:v>
                </c:pt>
                <c:pt idx="13">
                  <c:v>233</c:v>
                </c:pt>
                <c:pt idx="14">
                  <c:v>235</c:v>
                </c:pt>
                <c:pt idx="15">
                  <c:v>228</c:v>
                </c:pt>
                <c:pt idx="16">
                  <c:v>442</c:v>
                </c:pt>
                <c:pt idx="17">
                  <c:v>480.79999999998836</c:v>
                </c:pt>
                <c:pt idx="18">
                  <c:v>466</c:v>
                </c:pt>
                <c:pt idx="19">
                  <c:v>380</c:v>
                </c:pt>
                <c:pt idx="20">
                  <c:v>350</c:v>
                </c:pt>
                <c:pt idx="21">
                  <c:v>364</c:v>
                </c:pt>
                <c:pt idx="22">
                  <c:v>339</c:v>
                </c:pt>
                <c:pt idx="23">
                  <c:v>339</c:v>
                </c:pt>
                <c:pt idx="24">
                  <c:v>458</c:v>
                </c:pt>
                <c:pt idx="25">
                  <c:v>448</c:v>
                </c:pt>
                <c:pt idx="26">
                  <c:v>425</c:v>
                </c:pt>
                <c:pt idx="27">
                  <c:v>483</c:v>
                </c:pt>
                <c:pt idx="28">
                  <c:v>312</c:v>
                </c:pt>
              </c:numCache>
            </c:numRef>
          </c:val>
        </c:ser>
        <c:marker val="1"/>
        <c:axId val="143722752"/>
        <c:axId val="143724544"/>
      </c:lineChart>
      <c:catAx>
        <c:axId val="143722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724544"/>
        <c:crosses val="autoZero"/>
        <c:auto val="1"/>
        <c:lblAlgn val="ctr"/>
        <c:lblOffset val="100"/>
      </c:catAx>
      <c:valAx>
        <c:axId val="1437245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722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6671"/>
          <c:w val="0.1354168853893571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3732096"/>
        <c:axId val="143758464"/>
      </c:lineChart>
      <c:catAx>
        <c:axId val="143732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758464"/>
        <c:crosses val="autoZero"/>
        <c:auto val="1"/>
        <c:lblAlgn val="ctr"/>
        <c:lblOffset val="100"/>
      </c:catAx>
      <c:valAx>
        <c:axId val="14375846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732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6671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 formatCode="0">
                  <c:v>7721</c:v>
                </c:pt>
                <c:pt idx="1">
                  <c:v>8408</c:v>
                </c:pt>
                <c:pt idx="2">
                  <c:v>9041</c:v>
                </c:pt>
                <c:pt idx="3">
                  <c:v>7715</c:v>
                </c:pt>
                <c:pt idx="4">
                  <c:v>7405</c:v>
                </c:pt>
                <c:pt idx="5">
                  <c:v>7744</c:v>
                </c:pt>
                <c:pt idx="6">
                  <c:v>7618</c:v>
                </c:pt>
                <c:pt idx="7">
                  <c:v>6359</c:v>
                </c:pt>
                <c:pt idx="8">
                  <c:v>6832</c:v>
                </c:pt>
                <c:pt idx="9">
                  <c:v>6552</c:v>
                </c:pt>
                <c:pt idx="10">
                  <c:v>6673</c:v>
                </c:pt>
                <c:pt idx="11">
                  <c:v>6832</c:v>
                </c:pt>
                <c:pt idx="12">
                  <c:v>6743</c:v>
                </c:pt>
                <c:pt idx="13">
                  <c:v>6400</c:v>
                </c:pt>
                <c:pt idx="14">
                  <c:v>6878</c:v>
                </c:pt>
                <c:pt idx="15">
                  <c:v>6482</c:v>
                </c:pt>
                <c:pt idx="16">
                  <c:v>8211</c:v>
                </c:pt>
                <c:pt idx="17">
                  <c:v>8488</c:v>
                </c:pt>
                <c:pt idx="18">
                  <c:v>8988</c:v>
                </c:pt>
                <c:pt idx="19">
                  <c:v>7145</c:v>
                </c:pt>
                <c:pt idx="20">
                  <c:v>6356</c:v>
                </c:pt>
                <c:pt idx="21">
                  <c:v>7217</c:v>
                </c:pt>
                <c:pt idx="22">
                  <c:v>9779</c:v>
                </c:pt>
                <c:pt idx="23">
                  <c:v>10356</c:v>
                </c:pt>
                <c:pt idx="24">
                  <c:v>8509</c:v>
                </c:pt>
                <c:pt idx="25">
                  <c:v>10240</c:v>
                </c:pt>
                <c:pt idx="26">
                  <c:v>9202</c:v>
                </c:pt>
                <c:pt idx="27">
                  <c:v>8809</c:v>
                </c:pt>
                <c:pt idx="28">
                  <c:v>7510</c:v>
                </c:pt>
              </c:numCache>
            </c:numRef>
          </c:val>
        </c:ser>
        <c:marker val="1"/>
        <c:axId val="143783040"/>
        <c:axId val="143784576"/>
      </c:lineChart>
      <c:catAx>
        <c:axId val="143783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784576"/>
        <c:crosses val="autoZero"/>
        <c:auto val="1"/>
        <c:lblAlgn val="ctr"/>
        <c:lblOffset val="100"/>
      </c:catAx>
      <c:valAx>
        <c:axId val="14378457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783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log'!$C$3:$C$34</c:f>
              <c:numCache>
                <c:formatCode>General</c:formatCode>
                <c:ptCount val="32"/>
                <c:pt idx="0">
                  <c:v>1184</c:v>
                </c:pt>
                <c:pt idx="1">
                  <c:v>1250</c:v>
                </c:pt>
                <c:pt idx="2">
                  <c:v>956</c:v>
                </c:pt>
                <c:pt idx="3">
                  <c:v>1569</c:v>
                </c:pt>
                <c:pt idx="4">
                  <c:v>2099</c:v>
                </c:pt>
                <c:pt idx="5">
                  <c:v>1715</c:v>
                </c:pt>
                <c:pt idx="6">
                  <c:v>1510</c:v>
                </c:pt>
                <c:pt idx="7">
                  <c:v>2288</c:v>
                </c:pt>
                <c:pt idx="8">
                  <c:v>2155</c:v>
                </c:pt>
                <c:pt idx="9">
                  <c:v>2369</c:v>
                </c:pt>
                <c:pt idx="10">
                  <c:v>1998</c:v>
                </c:pt>
                <c:pt idx="11">
                  <c:v>2566</c:v>
                </c:pt>
                <c:pt idx="12">
                  <c:v>2610</c:v>
                </c:pt>
                <c:pt idx="13">
                  <c:v>2411</c:v>
                </c:pt>
                <c:pt idx="14">
                  <c:v>2184</c:v>
                </c:pt>
                <c:pt idx="15">
                  <c:v>2499</c:v>
                </c:pt>
                <c:pt idx="16">
                  <c:v>1712</c:v>
                </c:pt>
                <c:pt idx="17">
                  <c:v>1928</c:v>
                </c:pt>
                <c:pt idx="18">
                  <c:v>1700</c:v>
                </c:pt>
                <c:pt idx="19">
                  <c:v>1913</c:v>
                </c:pt>
                <c:pt idx="20">
                  <c:v>2134</c:v>
                </c:pt>
                <c:pt idx="21">
                  <c:v>1879</c:v>
                </c:pt>
                <c:pt idx="22">
                  <c:v>1438</c:v>
                </c:pt>
                <c:pt idx="23">
                  <c:v>1061</c:v>
                </c:pt>
                <c:pt idx="24">
                  <c:v>1195</c:v>
                </c:pt>
                <c:pt idx="25">
                  <c:v>1101</c:v>
                </c:pt>
                <c:pt idx="26">
                  <c:v>891</c:v>
                </c:pt>
                <c:pt idx="27">
                  <c:v>1010</c:v>
                </c:pt>
                <c:pt idx="28">
                  <c:v>992</c:v>
                </c:pt>
                <c:pt idx="29">
                  <c:v>982</c:v>
                </c:pt>
                <c:pt idx="30">
                  <c:v>976</c:v>
                </c:pt>
                <c:pt idx="31">
                  <c:v>587</c:v>
                </c:pt>
              </c:numCache>
            </c:numRef>
          </c:val>
        </c:ser>
        <c:marker val="1"/>
        <c:axId val="143882496"/>
        <c:axId val="143888384"/>
      </c:lineChart>
      <c:catAx>
        <c:axId val="143882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888384"/>
        <c:crosses val="autoZero"/>
        <c:auto val="1"/>
        <c:lblAlgn val="ctr"/>
        <c:lblOffset val="100"/>
      </c:catAx>
      <c:valAx>
        <c:axId val="1438883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882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6671"/>
          <c:w val="0.1354168853893571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12</c:v>
                </c:pt>
                <c:pt idx="1">
                  <c:v>15</c:v>
                </c:pt>
                <c:pt idx="2">
                  <c:v>9</c:v>
                </c:pt>
                <c:pt idx="3">
                  <c:v>6</c:v>
                </c:pt>
                <c:pt idx="4">
                  <c:v>7</c:v>
                </c:pt>
                <c:pt idx="5">
                  <c:v>9.2999999999992724</c:v>
                </c:pt>
                <c:pt idx="6">
                  <c:v>3.7000000000007276</c:v>
                </c:pt>
                <c:pt idx="7">
                  <c:v>5</c:v>
                </c:pt>
                <c:pt idx="8">
                  <c:v>3</c:v>
                </c:pt>
                <c:pt idx="9">
                  <c:v>4</c:v>
                </c:pt>
                <c:pt idx="10">
                  <c:v>3</c:v>
                </c:pt>
                <c:pt idx="11">
                  <c:v>3</c:v>
                </c:pt>
                <c:pt idx="12">
                  <c:v>4</c:v>
                </c:pt>
                <c:pt idx="13">
                  <c:v>4</c:v>
                </c:pt>
                <c:pt idx="14">
                  <c:v>3</c:v>
                </c:pt>
                <c:pt idx="15">
                  <c:v>9</c:v>
                </c:pt>
                <c:pt idx="16">
                  <c:v>8</c:v>
                </c:pt>
                <c:pt idx="17">
                  <c:v>10</c:v>
                </c:pt>
                <c:pt idx="18">
                  <c:v>6</c:v>
                </c:pt>
                <c:pt idx="19">
                  <c:v>4</c:v>
                </c:pt>
                <c:pt idx="20">
                  <c:v>7</c:v>
                </c:pt>
                <c:pt idx="21">
                  <c:v>12</c:v>
                </c:pt>
                <c:pt idx="22">
                  <c:v>14</c:v>
                </c:pt>
                <c:pt idx="23">
                  <c:v>13</c:v>
                </c:pt>
                <c:pt idx="24">
                  <c:v>15</c:v>
                </c:pt>
                <c:pt idx="25">
                  <c:v>16</c:v>
                </c:pt>
                <c:pt idx="26">
                  <c:v>12</c:v>
                </c:pt>
                <c:pt idx="27">
                  <c:v>12</c:v>
                </c:pt>
              </c:numCache>
            </c:numRef>
          </c:val>
        </c:ser>
        <c:marker val="1"/>
        <c:axId val="143900032"/>
        <c:axId val="143991936"/>
      </c:lineChart>
      <c:catAx>
        <c:axId val="143900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991936"/>
        <c:crosses val="autoZero"/>
        <c:auto val="1"/>
        <c:lblAlgn val="ctr"/>
        <c:lblOffset val="100"/>
      </c:catAx>
      <c:valAx>
        <c:axId val="14399193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900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9833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-3460.096774193531</c:v>
                </c:pt>
                <c:pt idx="1">
                  <c:v>-2436.7741935483937</c:v>
                </c:pt>
                <c:pt idx="2">
                  <c:v>-1840.0645161290449</c:v>
                </c:pt>
                <c:pt idx="3">
                  <c:v>-1770.0645161290231</c:v>
                </c:pt>
                <c:pt idx="4">
                  <c:v>-580.77419354840094</c:v>
                </c:pt>
                <c:pt idx="5">
                  <c:v>-1840.0645161290231</c:v>
                </c:pt>
                <c:pt idx="6">
                  <c:v>-920.03225806450791</c:v>
                </c:pt>
                <c:pt idx="7">
                  <c:v>-1345.0483870967728</c:v>
                </c:pt>
                <c:pt idx="8">
                  <c:v>-766.69354838711297</c:v>
                </c:pt>
                <c:pt idx="9">
                  <c:v>-1380.0483870967655</c:v>
                </c:pt>
                <c:pt idx="10">
                  <c:v>-1073.370967741932</c:v>
                </c:pt>
                <c:pt idx="11">
                  <c:v>-920.03225806451519</c:v>
                </c:pt>
                <c:pt idx="12">
                  <c:v>-955.03225806450791</c:v>
                </c:pt>
                <c:pt idx="13">
                  <c:v>-1226.7096774193778</c:v>
                </c:pt>
                <c:pt idx="14">
                  <c:v>-920.03225806450791</c:v>
                </c:pt>
                <c:pt idx="15">
                  <c:v>-1118.1290322580753</c:v>
                </c:pt>
                <c:pt idx="16">
                  <c:v>-2076.7419354838494</c:v>
                </c:pt>
                <c:pt idx="17">
                  <c:v>-2523.4193548387339</c:v>
                </c:pt>
                <c:pt idx="18">
                  <c:v>1787.4193548387266</c:v>
                </c:pt>
                <c:pt idx="19">
                  <c:v>-920.03225806451519</c:v>
                </c:pt>
                <c:pt idx="20">
                  <c:v>-1840.0645161290449</c:v>
                </c:pt>
                <c:pt idx="21">
                  <c:v>-2760.096774193531</c:v>
                </c:pt>
                <c:pt idx="22">
                  <c:v>-3066.7741935483937</c:v>
                </c:pt>
                <c:pt idx="23">
                  <c:v>-2996.7741935483937</c:v>
                </c:pt>
                <c:pt idx="24">
                  <c:v>-3066.7741935483646</c:v>
                </c:pt>
                <c:pt idx="25">
                  <c:v>-2983.4354838709842</c:v>
                </c:pt>
                <c:pt idx="26">
                  <c:v>-3500.1129032258104</c:v>
                </c:pt>
                <c:pt idx="27">
                  <c:v>-2103.4193548387047</c:v>
                </c:pt>
              </c:numCache>
            </c:numRef>
          </c:val>
        </c:ser>
        <c:marker val="1"/>
        <c:axId val="144028800"/>
        <c:axId val="144030336"/>
      </c:lineChart>
      <c:catAx>
        <c:axId val="144028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030336"/>
        <c:crosses val="autoZero"/>
        <c:auto val="1"/>
        <c:lblAlgn val="ctr"/>
        <c:lblOffset val="100"/>
      </c:catAx>
      <c:valAx>
        <c:axId val="1440303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028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4799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-17</c:v>
                </c:pt>
                <c:pt idx="19">
                  <c:v>18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4046720"/>
        <c:axId val="144138624"/>
      </c:lineChart>
      <c:catAx>
        <c:axId val="144046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138624"/>
        <c:crosses val="autoZero"/>
        <c:auto val="1"/>
        <c:lblAlgn val="ctr"/>
        <c:lblOffset val="100"/>
      </c:catAx>
      <c:valAx>
        <c:axId val="1441386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046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5745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4158720"/>
        <c:axId val="144160256"/>
      </c:lineChart>
      <c:catAx>
        <c:axId val="144158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160256"/>
        <c:crosses val="autoZero"/>
        <c:auto val="1"/>
        <c:lblAlgn val="ctr"/>
        <c:lblOffset val="100"/>
      </c:catAx>
      <c:valAx>
        <c:axId val="14416025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158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974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4258176"/>
        <c:axId val="144259712"/>
      </c:lineChart>
      <c:catAx>
        <c:axId val="144258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259712"/>
        <c:crosses val="autoZero"/>
        <c:auto val="1"/>
        <c:lblAlgn val="ctr"/>
        <c:lblOffset val="100"/>
      </c:catAx>
      <c:valAx>
        <c:axId val="14425971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258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4288000"/>
        <c:axId val="144306176"/>
      </c:lineChart>
      <c:catAx>
        <c:axId val="144288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306176"/>
        <c:crosses val="autoZero"/>
        <c:auto val="1"/>
        <c:lblAlgn val="ctr"/>
        <c:lblOffset val="100"/>
      </c:catAx>
      <c:valAx>
        <c:axId val="1443061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288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9508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299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255</c:v>
                </c:pt>
                <c:pt idx="18">
                  <c:v>0</c:v>
                </c:pt>
                <c:pt idx="19">
                  <c:v>164</c:v>
                </c:pt>
                <c:pt idx="20">
                  <c:v>0</c:v>
                </c:pt>
                <c:pt idx="21">
                  <c:v>372</c:v>
                </c:pt>
                <c:pt idx="22">
                  <c:v>0</c:v>
                </c:pt>
                <c:pt idx="23">
                  <c:v>290</c:v>
                </c:pt>
                <c:pt idx="24">
                  <c:v>0</c:v>
                </c:pt>
                <c:pt idx="25">
                  <c:v>249</c:v>
                </c:pt>
                <c:pt idx="26">
                  <c:v>0</c:v>
                </c:pt>
                <c:pt idx="27">
                  <c:v>282</c:v>
                </c:pt>
              </c:numCache>
            </c:numRef>
          </c:val>
        </c:ser>
        <c:marker val="1"/>
        <c:axId val="143928704"/>
        <c:axId val="143942784"/>
      </c:lineChart>
      <c:catAx>
        <c:axId val="143928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942784"/>
        <c:crosses val="autoZero"/>
        <c:auto val="1"/>
        <c:lblAlgn val="ctr"/>
        <c:lblOffset val="100"/>
      </c:catAx>
      <c:valAx>
        <c:axId val="1439427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928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6671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16</c:v>
                </c:pt>
                <c:pt idx="1">
                  <c:v>15.5</c:v>
                </c:pt>
                <c:pt idx="2">
                  <c:v>15.5</c:v>
                </c:pt>
                <c:pt idx="3">
                  <c:v>15.5</c:v>
                </c:pt>
                <c:pt idx="4">
                  <c:v>15.5</c:v>
                </c:pt>
                <c:pt idx="5">
                  <c:v>16</c:v>
                </c:pt>
                <c:pt idx="6">
                  <c:v>16.5</c:v>
                </c:pt>
                <c:pt idx="7">
                  <c:v>18</c:v>
                </c:pt>
                <c:pt idx="8">
                  <c:v>20</c:v>
                </c:pt>
                <c:pt idx="9">
                  <c:v>16</c:v>
                </c:pt>
                <c:pt idx="10">
                  <c:v>14.5</c:v>
                </c:pt>
                <c:pt idx="11">
                  <c:v>15.5</c:v>
                </c:pt>
                <c:pt idx="12">
                  <c:v>17</c:v>
                </c:pt>
                <c:pt idx="13">
                  <c:v>17</c:v>
                </c:pt>
                <c:pt idx="14">
                  <c:v>17</c:v>
                </c:pt>
                <c:pt idx="15">
                  <c:v>16.5</c:v>
                </c:pt>
                <c:pt idx="16">
                  <c:v>17.5</c:v>
                </c:pt>
                <c:pt idx="17">
                  <c:v>17.5</c:v>
                </c:pt>
                <c:pt idx="18">
                  <c:v>18</c:v>
                </c:pt>
                <c:pt idx="19">
                  <c:v>19.5</c:v>
                </c:pt>
                <c:pt idx="20">
                  <c:v>18.5</c:v>
                </c:pt>
                <c:pt idx="21">
                  <c:v>20</c:v>
                </c:pt>
                <c:pt idx="22">
                  <c:v>25</c:v>
                </c:pt>
                <c:pt idx="23">
                  <c:v>13.5</c:v>
                </c:pt>
                <c:pt idx="24">
                  <c:v>13.5</c:v>
                </c:pt>
                <c:pt idx="25">
                  <c:v>13</c:v>
                </c:pt>
                <c:pt idx="26">
                  <c:v>14</c:v>
                </c:pt>
                <c:pt idx="27">
                  <c:v>15</c:v>
                </c:pt>
              </c:numCache>
            </c:numRef>
          </c:val>
        </c:ser>
        <c:marker val="1"/>
        <c:axId val="143966976"/>
        <c:axId val="143968512"/>
      </c:lineChart>
      <c:catAx>
        <c:axId val="143966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968512"/>
        <c:crosses val="autoZero"/>
        <c:auto val="1"/>
        <c:lblAlgn val="ctr"/>
        <c:lblOffset val="100"/>
      </c:catAx>
      <c:valAx>
        <c:axId val="1439685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966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9085"/>
          <c:w val="0.12343118198093224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44403072"/>
        <c:axId val="144408960"/>
      </c:lineChart>
      <c:catAx>
        <c:axId val="14440307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408960"/>
        <c:crosses val="autoZero"/>
        <c:auto val="1"/>
        <c:lblAlgn val="ctr"/>
        <c:lblOffset val="100"/>
      </c:catAx>
      <c:valAx>
        <c:axId val="14440896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403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6526"/>
          <c:w val="0.1569039853282222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168.75</c:v>
                </c:pt>
                <c:pt idx="1">
                  <c:v>171.8</c:v>
                </c:pt>
                <c:pt idx="2">
                  <c:v>136</c:v>
                </c:pt>
                <c:pt idx="3">
                  <c:v>189.66666666666666</c:v>
                </c:pt>
                <c:pt idx="4">
                  <c:v>164.4</c:v>
                </c:pt>
                <c:pt idx="5">
                  <c:v>184.5</c:v>
                </c:pt>
                <c:pt idx="6">
                  <c:v>127</c:v>
                </c:pt>
                <c:pt idx="7">
                  <c:v>202</c:v>
                </c:pt>
                <c:pt idx="8">
                  <c:v>163</c:v>
                </c:pt>
                <c:pt idx="9">
                  <c:v>160.19999999999999</c:v>
                </c:pt>
                <c:pt idx="10">
                  <c:v>191.33333333333334</c:v>
                </c:pt>
                <c:pt idx="11">
                  <c:v>189</c:v>
                </c:pt>
                <c:pt idx="12">
                  <c:v>236.5</c:v>
                </c:pt>
                <c:pt idx="13">
                  <c:v>189</c:v>
                </c:pt>
                <c:pt idx="14">
                  <c:v>147</c:v>
                </c:pt>
                <c:pt idx="15">
                  <c:v>163.66666666666666</c:v>
                </c:pt>
                <c:pt idx="16">
                  <c:v>150</c:v>
                </c:pt>
                <c:pt idx="17">
                  <c:v>153.66666666666666</c:v>
                </c:pt>
                <c:pt idx="18">
                  <c:v>191.66666666666666</c:v>
                </c:pt>
                <c:pt idx="19">
                  <c:v>155</c:v>
                </c:pt>
                <c:pt idx="20">
                  <c:v>189.25</c:v>
                </c:pt>
                <c:pt idx="21">
                  <c:v>201.375</c:v>
                </c:pt>
                <c:pt idx="22">
                  <c:v>187.22222222222223</c:v>
                </c:pt>
                <c:pt idx="23">
                  <c:v>176.4</c:v>
                </c:pt>
                <c:pt idx="24">
                  <c:v>139.77777777777777</c:v>
                </c:pt>
                <c:pt idx="25">
                  <c:v>123.3</c:v>
                </c:pt>
                <c:pt idx="26">
                  <c:v>135</c:v>
                </c:pt>
                <c:pt idx="27">
                  <c:v>176</c:v>
                </c:pt>
              </c:numCache>
            </c:numRef>
          </c:val>
        </c:ser>
        <c:marker val="1"/>
        <c:axId val="144416128"/>
        <c:axId val="144512128"/>
      </c:lineChart>
      <c:catAx>
        <c:axId val="144416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512128"/>
        <c:crosses val="autoZero"/>
        <c:auto val="1"/>
        <c:lblAlgn val="ctr"/>
        <c:lblOffset val="100"/>
      </c:catAx>
      <c:valAx>
        <c:axId val="14451212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416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1286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16</c:v>
                </c:pt>
                <c:pt idx="1">
                  <c:v>15.5</c:v>
                </c:pt>
                <c:pt idx="2">
                  <c:v>15.5</c:v>
                </c:pt>
                <c:pt idx="3">
                  <c:v>15.5</c:v>
                </c:pt>
                <c:pt idx="4">
                  <c:v>15.5</c:v>
                </c:pt>
                <c:pt idx="5">
                  <c:v>16</c:v>
                </c:pt>
                <c:pt idx="6">
                  <c:v>16.5</c:v>
                </c:pt>
                <c:pt idx="7">
                  <c:v>18</c:v>
                </c:pt>
                <c:pt idx="8">
                  <c:v>20</c:v>
                </c:pt>
                <c:pt idx="9">
                  <c:v>16</c:v>
                </c:pt>
                <c:pt idx="10">
                  <c:v>14.5</c:v>
                </c:pt>
                <c:pt idx="11">
                  <c:v>15.5</c:v>
                </c:pt>
                <c:pt idx="12">
                  <c:v>17</c:v>
                </c:pt>
                <c:pt idx="13">
                  <c:v>17</c:v>
                </c:pt>
                <c:pt idx="14">
                  <c:v>17</c:v>
                </c:pt>
                <c:pt idx="15">
                  <c:v>16.5</c:v>
                </c:pt>
                <c:pt idx="16">
                  <c:v>17.5</c:v>
                </c:pt>
                <c:pt idx="17">
                  <c:v>17.5</c:v>
                </c:pt>
                <c:pt idx="18">
                  <c:v>18</c:v>
                </c:pt>
                <c:pt idx="19">
                  <c:v>19.5</c:v>
                </c:pt>
                <c:pt idx="20">
                  <c:v>18.5</c:v>
                </c:pt>
                <c:pt idx="21">
                  <c:v>20</c:v>
                </c:pt>
                <c:pt idx="22">
                  <c:v>25</c:v>
                </c:pt>
                <c:pt idx="23">
                  <c:v>13.5</c:v>
                </c:pt>
                <c:pt idx="24">
                  <c:v>13.5</c:v>
                </c:pt>
                <c:pt idx="25">
                  <c:v>13</c:v>
                </c:pt>
                <c:pt idx="26">
                  <c:v>14</c:v>
                </c:pt>
                <c:pt idx="27">
                  <c:v>15</c:v>
                </c:pt>
              </c:numCache>
            </c:numRef>
          </c:val>
        </c:ser>
        <c:marker val="1"/>
        <c:axId val="144471168"/>
        <c:axId val="144472704"/>
      </c:lineChart>
      <c:catAx>
        <c:axId val="144471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472704"/>
        <c:crosses val="autoZero"/>
        <c:auto val="1"/>
        <c:lblAlgn val="ctr"/>
        <c:lblOffset val="100"/>
      </c:catAx>
      <c:valAx>
        <c:axId val="1444727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471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2191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12</c:v>
                </c:pt>
                <c:pt idx="1">
                  <c:v>15</c:v>
                </c:pt>
                <c:pt idx="2">
                  <c:v>9</c:v>
                </c:pt>
                <c:pt idx="3">
                  <c:v>6</c:v>
                </c:pt>
                <c:pt idx="4">
                  <c:v>7</c:v>
                </c:pt>
                <c:pt idx="5">
                  <c:v>9.2999999999992724</c:v>
                </c:pt>
                <c:pt idx="6">
                  <c:v>3.7000000000007276</c:v>
                </c:pt>
                <c:pt idx="7">
                  <c:v>5</c:v>
                </c:pt>
                <c:pt idx="8">
                  <c:v>3</c:v>
                </c:pt>
                <c:pt idx="9">
                  <c:v>4</c:v>
                </c:pt>
                <c:pt idx="10">
                  <c:v>3</c:v>
                </c:pt>
                <c:pt idx="11">
                  <c:v>3</c:v>
                </c:pt>
                <c:pt idx="12">
                  <c:v>4</c:v>
                </c:pt>
                <c:pt idx="13">
                  <c:v>4</c:v>
                </c:pt>
                <c:pt idx="14">
                  <c:v>3</c:v>
                </c:pt>
                <c:pt idx="15">
                  <c:v>9</c:v>
                </c:pt>
                <c:pt idx="16">
                  <c:v>8</c:v>
                </c:pt>
                <c:pt idx="17">
                  <c:v>10</c:v>
                </c:pt>
                <c:pt idx="18">
                  <c:v>6</c:v>
                </c:pt>
                <c:pt idx="19">
                  <c:v>4</c:v>
                </c:pt>
                <c:pt idx="20">
                  <c:v>7</c:v>
                </c:pt>
                <c:pt idx="21">
                  <c:v>12</c:v>
                </c:pt>
                <c:pt idx="22">
                  <c:v>14</c:v>
                </c:pt>
                <c:pt idx="23">
                  <c:v>13</c:v>
                </c:pt>
                <c:pt idx="24">
                  <c:v>15</c:v>
                </c:pt>
                <c:pt idx="25">
                  <c:v>16</c:v>
                </c:pt>
                <c:pt idx="26">
                  <c:v>12</c:v>
                </c:pt>
                <c:pt idx="27">
                  <c:v>12</c:v>
                </c:pt>
              </c:numCache>
            </c:numRef>
          </c:val>
        </c:ser>
        <c:marker val="1"/>
        <c:axId val="172861696"/>
        <c:axId val="172863488"/>
      </c:lineChart>
      <c:catAx>
        <c:axId val="172861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863488"/>
        <c:crosses val="autoZero"/>
        <c:auto val="1"/>
        <c:lblAlgn val="ctr"/>
        <c:lblOffset val="100"/>
      </c:catAx>
      <c:valAx>
        <c:axId val="17286348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861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log'!$C$3:$C$34</c:f>
              <c:numCache>
                <c:formatCode>General</c:formatCode>
                <c:ptCount val="32"/>
                <c:pt idx="0">
                  <c:v>1184</c:v>
                </c:pt>
                <c:pt idx="1">
                  <c:v>1250</c:v>
                </c:pt>
                <c:pt idx="2">
                  <c:v>956</c:v>
                </c:pt>
                <c:pt idx="3">
                  <c:v>1569</c:v>
                </c:pt>
                <c:pt idx="4">
                  <c:v>2099</c:v>
                </c:pt>
                <c:pt idx="5">
                  <c:v>1715</c:v>
                </c:pt>
                <c:pt idx="6">
                  <c:v>1510</c:v>
                </c:pt>
                <c:pt idx="7">
                  <c:v>2288</c:v>
                </c:pt>
                <c:pt idx="8">
                  <c:v>2155</c:v>
                </c:pt>
                <c:pt idx="9">
                  <c:v>2369</c:v>
                </c:pt>
                <c:pt idx="10">
                  <c:v>1998</c:v>
                </c:pt>
                <c:pt idx="11">
                  <c:v>2566</c:v>
                </c:pt>
                <c:pt idx="12">
                  <c:v>2610</c:v>
                </c:pt>
                <c:pt idx="13">
                  <c:v>2411</c:v>
                </c:pt>
                <c:pt idx="14">
                  <c:v>2184</c:v>
                </c:pt>
                <c:pt idx="15">
                  <c:v>2499</c:v>
                </c:pt>
                <c:pt idx="16">
                  <c:v>1712</c:v>
                </c:pt>
                <c:pt idx="17">
                  <c:v>1928</c:v>
                </c:pt>
                <c:pt idx="18">
                  <c:v>1700</c:v>
                </c:pt>
                <c:pt idx="19">
                  <c:v>1913</c:v>
                </c:pt>
                <c:pt idx="20">
                  <c:v>2134</c:v>
                </c:pt>
                <c:pt idx="21">
                  <c:v>1879</c:v>
                </c:pt>
                <c:pt idx="22">
                  <c:v>1438</c:v>
                </c:pt>
                <c:pt idx="23">
                  <c:v>1061</c:v>
                </c:pt>
                <c:pt idx="24">
                  <c:v>1195</c:v>
                </c:pt>
                <c:pt idx="25">
                  <c:v>1101</c:v>
                </c:pt>
                <c:pt idx="26">
                  <c:v>891</c:v>
                </c:pt>
                <c:pt idx="27">
                  <c:v>1010</c:v>
                </c:pt>
                <c:pt idx="28">
                  <c:v>992</c:v>
                </c:pt>
                <c:pt idx="29">
                  <c:v>982</c:v>
                </c:pt>
                <c:pt idx="30">
                  <c:v>976</c:v>
                </c:pt>
                <c:pt idx="31">
                  <c:v>587</c:v>
                </c:pt>
              </c:numCache>
            </c:numRef>
          </c:val>
        </c:ser>
        <c:marker val="1"/>
        <c:axId val="173129728"/>
        <c:axId val="173131264"/>
      </c:lineChart>
      <c:catAx>
        <c:axId val="173129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131264"/>
        <c:crosses val="autoZero"/>
        <c:auto val="1"/>
        <c:lblAlgn val="ctr"/>
        <c:lblOffset val="100"/>
      </c:catAx>
      <c:valAx>
        <c:axId val="1731312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129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9284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73447424"/>
        <c:axId val="173457408"/>
      </c:lineChart>
      <c:catAx>
        <c:axId val="17344742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457408"/>
        <c:crosses val="autoZero"/>
        <c:auto val="1"/>
        <c:lblAlgn val="ctr"/>
        <c:lblOffset val="100"/>
      </c:catAx>
      <c:valAx>
        <c:axId val="17345740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447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6526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FEB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DEC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HE%20Portal%20utilities%20management/2021/JAN%202021/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ly%20202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Apri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NOV%2020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MAY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April%202020/30.04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NOV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AN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NE%20202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DEC.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1/Utility%20Budget%202021%20Zero%20Occupanc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FEB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0">
          <cell r="A30">
            <v>0</v>
          </cell>
          <cell r="C30">
            <v>44255</v>
          </cell>
          <cell r="D30">
            <v>32641226</v>
          </cell>
          <cell r="E30">
            <v>1904</v>
          </cell>
          <cell r="F30">
            <v>3971481</v>
          </cell>
          <cell r="G30">
            <v>621</v>
          </cell>
          <cell r="H30">
            <v>17803738</v>
          </cell>
          <cell r="I30">
            <v>908</v>
          </cell>
          <cell r="J30">
            <v>28920206</v>
          </cell>
          <cell r="K30">
            <v>1956</v>
          </cell>
          <cell r="L30">
            <v>24053142</v>
          </cell>
          <cell r="M30">
            <v>2332</v>
          </cell>
          <cell r="N30">
            <v>7721</v>
          </cell>
          <cell r="O30">
            <v>0</v>
          </cell>
          <cell r="P30">
            <v>16679.337</v>
          </cell>
          <cell r="Q30">
            <v>5560.0000000013097</v>
          </cell>
          <cell r="R30">
            <v>2160.9999999986903</v>
          </cell>
          <cell r="S30">
            <v>10128</v>
          </cell>
          <cell r="T30">
            <v>0</v>
          </cell>
          <cell r="U30">
            <v>422437</v>
          </cell>
          <cell r="V30">
            <v>0</v>
          </cell>
          <cell r="W30">
            <v>32244</v>
          </cell>
          <cell r="X30">
            <v>4</v>
          </cell>
          <cell r="Y30">
            <v>708141</v>
          </cell>
          <cell r="Z30">
            <v>546</v>
          </cell>
          <cell r="AA30">
            <v>35697</v>
          </cell>
          <cell r="AB30">
            <v>0</v>
          </cell>
          <cell r="AC30">
            <v>916656</v>
          </cell>
          <cell r="AD30">
            <v>0</v>
          </cell>
          <cell r="AE30">
            <v>4</v>
          </cell>
          <cell r="AF30">
            <v>546</v>
          </cell>
          <cell r="AG30">
            <v>136.5</v>
          </cell>
          <cell r="AI30">
            <v>-899557.00000000128</v>
          </cell>
        </row>
      </sheetData>
      <sheetData sheetId="3">
        <row r="32">
          <cell r="B32">
            <v>218</v>
          </cell>
          <cell r="C32">
            <v>225</v>
          </cell>
          <cell r="D32">
            <v>6</v>
          </cell>
          <cell r="E32">
            <v>50.28</v>
          </cell>
          <cell r="F32">
            <v>1749</v>
          </cell>
          <cell r="G32">
            <v>0</v>
          </cell>
          <cell r="H32">
            <v>6488</v>
          </cell>
          <cell r="I32">
            <v>26</v>
          </cell>
          <cell r="J32">
            <v>0</v>
          </cell>
          <cell r="K32">
            <v>2246</v>
          </cell>
          <cell r="L32">
            <v>1</v>
          </cell>
          <cell r="M32">
            <v>165218</v>
          </cell>
          <cell r="N32">
            <v>65</v>
          </cell>
          <cell r="O32">
            <v>1869</v>
          </cell>
          <cell r="P32">
            <v>2001</v>
          </cell>
          <cell r="Q32">
            <v>168983</v>
          </cell>
          <cell r="R32">
            <v>133</v>
          </cell>
          <cell r="S32">
            <v>2</v>
          </cell>
          <cell r="T32">
            <v>0</v>
          </cell>
          <cell r="U32">
            <v>3</v>
          </cell>
          <cell r="V32">
            <v>224</v>
          </cell>
          <cell r="X32">
            <v>2456</v>
          </cell>
          <cell r="Y32">
            <v>0</v>
          </cell>
          <cell r="Z32">
            <v>138138.79999999999</v>
          </cell>
          <cell r="AA32">
            <v>0</v>
          </cell>
          <cell r="AB32">
            <v>0</v>
          </cell>
          <cell r="AC32">
            <v>1935</v>
          </cell>
          <cell r="AD32">
            <v>0</v>
          </cell>
          <cell r="AE32">
            <v>365429</v>
          </cell>
          <cell r="AF32">
            <v>0</v>
          </cell>
          <cell r="AG32">
            <v>0</v>
          </cell>
          <cell r="AH32">
            <v>0</v>
          </cell>
          <cell r="AI32">
            <v>224</v>
          </cell>
          <cell r="AJ32">
            <v>224</v>
          </cell>
          <cell r="AK32">
            <v>0</v>
          </cell>
          <cell r="AL32">
            <v>3</v>
          </cell>
          <cell r="AM32">
            <v>0</v>
          </cell>
          <cell r="AN32">
            <v>67</v>
          </cell>
          <cell r="AO32">
            <v>2010.0000000000002</v>
          </cell>
          <cell r="AP32">
            <v>55</v>
          </cell>
          <cell r="AQ32">
            <v>1650.0000000000002</v>
          </cell>
          <cell r="AR32">
            <v>61</v>
          </cell>
          <cell r="AS32">
            <v>1830</v>
          </cell>
          <cell r="AT32">
            <v>5490</v>
          </cell>
          <cell r="AU32">
            <v>0</v>
          </cell>
          <cell r="AX32">
            <v>0.8</v>
          </cell>
        </row>
      </sheetData>
      <sheetData sheetId="4">
        <row r="33">
          <cell r="B33">
            <v>109443</v>
          </cell>
          <cell r="C33">
            <v>0</v>
          </cell>
          <cell r="D33">
            <v>0</v>
          </cell>
          <cell r="E33">
            <v>267.85714285714283</v>
          </cell>
          <cell r="G33">
            <v>616152</v>
          </cell>
          <cell r="H33">
            <v>0</v>
          </cell>
          <cell r="I33">
            <v>0</v>
          </cell>
          <cell r="J33">
            <v>0</v>
          </cell>
          <cell r="K33">
            <v>6721</v>
          </cell>
          <cell r="L33">
            <v>0</v>
          </cell>
          <cell r="M33">
            <v>457.44</v>
          </cell>
          <cell r="N33">
            <v>0</v>
          </cell>
          <cell r="O33">
            <v>529.52</v>
          </cell>
          <cell r="P33">
            <v>0</v>
          </cell>
          <cell r="Q33">
            <v>0</v>
          </cell>
          <cell r="T33">
            <v>5167</v>
          </cell>
          <cell r="U33">
            <v>0</v>
          </cell>
          <cell r="V33">
            <v>461</v>
          </cell>
          <cell r="W33">
            <v>0</v>
          </cell>
          <cell r="X33">
            <v>150365</v>
          </cell>
          <cell r="Y33">
            <v>5</v>
          </cell>
          <cell r="AA33">
            <v>3</v>
          </cell>
          <cell r="AB33">
            <v>256</v>
          </cell>
          <cell r="AC33">
            <v>731</v>
          </cell>
          <cell r="AD33">
            <v>0</v>
          </cell>
          <cell r="AE33">
            <v>228.16</v>
          </cell>
          <cell r="AF33">
            <v>0.35999999999998522</v>
          </cell>
          <cell r="AG33">
            <v>2182.1999999999998</v>
          </cell>
          <cell r="AH33">
            <v>0.62999999999965439</v>
          </cell>
          <cell r="AI33">
            <v>0.98999999999963961</v>
          </cell>
          <cell r="AJ33">
            <v>3</v>
          </cell>
          <cell r="AK33">
            <v>5</v>
          </cell>
          <cell r="AL33">
            <v>3</v>
          </cell>
          <cell r="AM33">
            <v>15</v>
          </cell>
          <cell r="AN33">
            <v>0</v>
          </cell>
          <cell r="AP33">
            <v>0</v>
          </cell>
          <cell r="AR33">
            <v>44255</v>
          </cell>
          <cell r="AS33">
            <v>0.9</v>
          </cell>
          <cell r="AT33">
            <v>83</v>
          </cell>
          <cell r="AU33">
            <v>1.1000000000000001</v>
          </cell>
          <cell r="AV33">
            <v>171</v>
          </cell>
          <cell r="AW33">
            <v>2.9</v>
          </cell>
          <cell r="AX33">
            <v>165</v>
          </cell>
          <cell r="AY33">
            <v>74.7</v>
          </cell>
          <cell r="AZ33">
            <v>188.10000000000002</v>
          </cell>
          <cell r="BA33">
            <v>478.5</v>
          </cell>
          <cell r="BB33">
            <v>-3.5999999999999943</v>
          </cell>
          <cell r="BC33">
            <v>-2.1999999999999886</v>
          </cell>
          <cell r="BD33">
            <v>-5.8000000000000114</v>
          </cell>
          <cell r="BE33">
            <v>-11.599999999999994</v>
          </cell>
          <cell r="BF33">
            <v>11.599999999999994</v>
          </cell>
          <cell r="BG33">
            <v>-11.599999999999994</v>
          </cell>
        </row>
      </sheetData>
      <sheetData sheetId="5"/>
      <sheetData sheetId="6">
        <row r="6">
          <cell r="B6">
            <v>21</v>
          </cell>
          <cell r="C6">
            <v>16</v>
          </cell>
        </row>
        <row r="7">
          <cell r="B7">
            <v>23</v>
          </cell>
          <cell r="C7">
            <v>17</v>
          </cell>
        </row>
        <row r="8">
          <cell r="B8">
            <v>20</v>
          </cell>
          <cell r="C8">
            <v>15</v>
          </cell>
        </row>
        <row r="9">
          <cell r="B9">
            <v>20</v>
          </cell>
          <cell r="C9">
            <v>15</v>
          </cell>
        </row>
        <row r="10">
          <cell r="B10">
            <v>20</v>
          </cell>
          <cell r="C10">
            <v>15</v>
          </cell>
        </row>
        <row r="11">
          <cell r="B11">
            <v>19</v>
          </cell>
          <cell r="C11">
            <v>15</v>
          </cell>
        </row>
        <row r="12">
          <cell r="B12">
            <v>21</v>
          </cell>
          <cell r="C12">
            <v>17</v>
          </cell>
        </row>
        <row r="13">
          <cell r="B13">
            <v>23</v>
          </cell>
          <cell r="C13">
            <v>19</v>
          </cell>
        </row>
        <row r="14">
          <cell r="B14">
            <v>21</v>
          </cell>
          <cell r="C14">
            <v>18</v>
          </cell>
        </row>
        <row r="15">
          <cell r="B15">
            <v>19</v>
          </cell>
          <cell r="C15">
            <v>14</v>
          </cell>
        </row>
        <row r="16">
          <cell r="B16">
            <v>18</v>
          </cell>
          <cell r="C16">
            <v>13</v>
          </cell>
        </row>
        <row r="17">
          <cell r="B17">
            <v>18</v>
          </cell>
          <cell r="C17">
            <v>13</v>
          </cell>
        </row>
        <row r="18">
          <cell r="B18">
            <v>19</v>
          </cell>
          <cell r="C18">
            <v>14</v>
          </cell>
        </row>
        <row r="19">
          <cell r="B19">
            <v>18</v>
          </cell>
          <cell r="C19">
            <v>13</v>
          </cell>
        </row>
        <row r="20">
          <cell r="B20">
            <v>18</v>
          </cell>
          <cell r="C20">
            <v>12</v>
          </cell>
        </row>
        <row r="21">
          <cell r="B21">
            <v>11</v>
          </cell>
          <cell r="C21">
            <v>7</v>
          </cell>
        </row>
        <row r="22">
          <cell r="B22">
            <v>13</v>
          </cell>
          <cell r="C22">
            <v>7</v>
          </cell>
        </row>
        <row r="23">
          <cell r="B23">
            <v>13</v>
          </cell>
          <cell r="C23">
            <v>7</v>
          </cell>
        </row>
        <row r="24">
          <cell r="B24">
            <v>14</v>
          </cell>
          <cell r="C24">
            <v>7</v>
          </cell>
        </row>
        <row r="25">
          <cell r="B25">
            <v>19</v>
          </cell>
          <cell r="C25">
            <v>14</v>
          </cell>
        </row>
        <row r="26">
          <cell r="B26">
            <v>18</v>
          </cell>
          <cell r="C26">
            <v>13</v>
          </cell>
        </row>
        <row r="27">
          <cell r="B27">
            <v>21</v>
          </cell>
          <cell r="C27">
            <v>12</v>
          </cell>
        </row>
        <row r="28">
          <cell r="B28">
            <v>19</v>
          </cell>
          <cell r="C28">
            <v>13</v>
          </cell>
        </row>
        <row r="29">
          <cell r="B29">
            <v>19</v>
          </cell>
          <cell r="C29">
            <v>12</v>
          </cell>
        </row>
        <row r="30">
          <cell r="B30">
            <v>18</v>
          </cell>
          <cell r="C30">
            <v>13</v>
          </cell>
        </row>
        <row r="31">
          <cell r="B31">
            <v>18</v>
          </cell>
          <cell r="C31">
            <v>13</v>
          </cell>
        </row>
        <row r="32">
          <cell r="B32">
            <v>18</v>
          </cell>
          <cell r="C32">
            <v>13</v>
          </cell>
        </row>
        <row r="33">
          <cell r="B33">
            <v>17</v>
          </cell>
          <cell r="C33">
            <v>13</v>
          </cell>
        </row>
      </sheetData>
      <sheetData sheetId="7">
        <row r="33">
          <cell r="B33">
            <v>218</v>
          </cell>
          <cell r="C33">
            <v>4690.5161290322576</v>
          </cell>
          <cell r="D33">
            <v>218</v>
          </cell>
          <cell r="E33">
            <v>4690.5161290322576</v>
          </cell>
          <cell r="F33">
            <v>218</v>
          </cell>
          <cell r="G33">
            <v>4690.5161290322576</v>
          </cell>
          <cell r="H33">
            <v>218</v>
          </cell>
          <cell r="I33">
            <v>4690.5161290322576</v>
          </cell>
          <cell r="J33">
            <v>218</v>
          </cell>
          <cell r="K33">
            <v>4690.5161290322576</v>
          </cell>
          <cell r="L33">
            <v>218</v>
          </cell>
          <cell r="M33">
            <v>4690.5161290322576</v>
          </cell>
          <cell r="N33">
            <v>218</v>
          </cell>
          <cell r="O33">
            <v>4690.5161290322576</v>
          </cell>
          <cell r="P33">
            <v>218</v>
          </cell>
          <cell r="Q33">
            <v>4690.5161290322576</v>
          </cell>
          <cell r="R33">
            <v>218</v>
          </cell>
          <cell r="S33">
            <v>4690.5161290322576</v>
          </cell>
          <cell r="T33">
            <v>218</v>
          </cell>
          <cell r="U33">
            <v>4690.5161290322576</v>
          </cell>
          <cell r="V33">
            <v>218</v>
          </cell>
          <cell r="W33">
            <v>4690.5161290322576</v>
          </cell>
          <cell r="X33">
            <v>0.70322580645161281</v>
          </cell>
          <cell r="Y33">
            <v>51595.677419354834</v>
          </cell>
          <cell r="Z33">
            <v>225</v>
          </cell>
          <cell r="AA33">
            <v>2250</v>
          </cell>
          <cell r="AB33">
            <v>225</v>
          </cell>
          <cell r="AC33">
            <v>2250</v>
          </cell>
          <cell r="AD33">
            <v>225</v>
          </cell>
          <cell r="AE33">
            <v>2250</v>
          </cell>
          <cell r="AF33">
            <v>225</v>
          </cell>
          <cell r="AG33">
            <v>2250</v>
          </cell>
          <cell r="AH33">
            <v>225</v>
          </cell>
          <cell r="AI33">
            <v>2250</v>
          </cell>
          <cell r="AJ33">
            <v>225</v>
          </cell>
          <cell r="AK33">
            <v>2250</v>
          </cell>
          <cell r="AL33">
            <v>225</v>
          </cell>
          <cell r="AM33">
            <v>2250</v>
          </cell>
          <cell r="AN33">
            <v>0.8035714285714286</v>
          </cell>
          <cell r="AO33">
            <v>15750</v>
          </cell>
          <cell r="AQ33">
            <v>0.72438074023184718</v>
          </cell>
          <cell r="AR33">
            <v>67345.677419354834</v>
          </cell>
          <cell r="AS33">
            <v>-1840.0645161290304</v>
          </cell>
          <cell r="AV33">
            <v>0.74</v>
          </cell>
          <cell r="AW33">
            <v>-224</v>
          </cell>
          <cell r="AX33">
            <v>-1616.0645161290304</v>
          </cell>
          <cell r="AY33">
            <v>-1840.0645161290304</v>
          </cell>
          <cell r="AZ33">
            <v>0</v>
          </cell>
          <cell r="BA33">
            <v>15</v>
          </cell>
          <cell r="BB33">
            <v>0.68</v>
          </cell>
        </row>
      </sheetData>
      <sheetData sheetId="8"/>
      <sheetData sheetId="9"/>
      <sheetData sheetId="10"/>
      <sheetData sheetId="11">
        <row r="30">
          <cell r="B30">
            <v>9649</v>
          </cell>
          <cell r="C30">
            <v>0</v>
          </cell>
          <cell r="D30">
            <v>333321</v>
          </cell>
          <cell r="E30">
            <v>0</v>
          </cell>
          <cell r="F30">
            <v>0</v>
          </cell>
          <cell r="H30">
            <v>9729</v>
          </cell>
          <cell r="I30" t="str">
            <v>ok</v>
          </cell>
          <cell r="J30">
            <v>10698</v>
          </cell>
          <cell r="K30">
            <v>0</v>
          </cell>
          <cell r="L30">
            <v>357691</v>
          </cell>
          <cell r="M30">
            <v>0</v>
          </cell>
          <cell r="N30">
            <v>0</v>
          </cell>
          <cell r="P30">
            <v>10873</v>
          </cell>
          <cell r="Q30" t="str">
            <v>ok</v>
          </cell>
          <cell r="R30">
            <v>11876</v>
          </cell>
          <cell r="S30">
            <v>13</v>
          </cell>
          <cell r="T30">
            <v>395288</v>
          </cell>
          <cell r="U30">
            <v>3250</v>
          </cell>
          <cell r="V30">
            <v>250</v>
          </cell>
          <cell r="X30">
            <v>11898</v>
          </cell>
          <cell r="Y30" t="str">
            <v>ok</v>
          </cell>
          <cell r="Z30">
            <v>13</v>
          </cell>
          <cell r="AA30">
            <v>3250</v>
          </cell>
          <cell r="AB30">
            <v>250</v>
          </cell>
          <cell r="AC30">
            <v>250</v>
          </cell>
          <cell r="AD30">
            <v>5560.0000000013097</v>
          </cell>
          <cell r="AE30">
            <v>427.69230769240846</v>
          </cell>
          <cell r="AF30">
            <v>0.26730769230775531</v>
          </cell>
          <cell r="AG30">
            <v>85.538461538481698</v>
          </cell>
          <cell r="AH30">
            <v>164.4615384615183</v>
          </cell>
          <cell r="AI30">
            <v>1431.0548523210123</v>
          </cell>
          <cell r="AJ30">
            <v>0.25738396624472576</v>
          </cell>
          <cell r="AK30">
            <v>110.08114248623171</v>
          </cell>
        </row>
      </sheetData>
      <sheetData sheetId="12">
        <row r="26">
          <cell r="V26">
            <v>297890</v>
          </cell>
          <cell r="W26">
            <v>321050</v>
          </cell>
          <cell r="X26" t="str">
            <v>Night</v>
          </cell>
          <cell r="Y26">
            <v>80</v>
          </cell>
          <cell r="Z26">
            <v>1</v>
          </cell>
          <cell r="AA26">
            <v>23160</v>
          </cell>
          <cell r="AB26">
            <v>1852800</v>
          </cell>
          <cell r="AC26">
            <v>1033333</v>
          </cell>
          <cell r="AD26">
            <v>0.43221296152048605</v>
          </cell>
        </row>
        <row r="27">
          <cell r="V27">
            <v>425107</v>
          </cell>
          <cell r="W27">
            <v>446820</v>
          </cell>
          <cell r="X27" t="str">
            <v>day</v>
          </cell>
          <cell r="Y27">
            <v>112</v>
          </cell>
          <cell r="Z27">
            <v>1</v>
          </cell>
          <cell r="AA27">
            <v>21713</v>
          </cell>
          <cell r="AB27">
            <v>2431856</v>
          </cell>
          <cell r="AC27">
            <v>6200000</v>
          </cell>
          <cell r="AD27">
            <v>0.40461909954821623</v>
          </cell>
        </row>
        <row r="28">
          <cell r="V28">
            <v>128283</v>
          </cell>
          <cell r="W28">
            <v>137108</v>
          </cell>
          <cell r="X28" t="str">
            <v>Peak</v>
          </cell>
          <cell r="Y28">
            <v>320</v>
          </cell>
          <cell r="Z28">
            <v>1</v>
          </cell>
          <cell r="AA28">
            <v>8825</v>
          </cell>
          <cell r="AB28">
            <v>2824000</v>
          </cell>
          <cell r="AC28">
            <v>1000</v>
          </cell>
          <cell r="AD28">
            <v>0.16316793893129772</v>
          </cell>
        </row>
        <row r="29">
          <cell r="AA29">
            <v>53698</v>
          </cell>
        </row>
        <row r="31">
          <cell r="B31">
            <v>904978</v>
          </cell>
          <cell r="C31">
            <v>1184</v>
          </cell>
          <cell r="D31">
            <v>1185</v>
          </cell>
          <cell r="E31">
            <v>904979</v>
          </cell>
          <cell r="F31">
            <v>137108</v>
          </cell>
          <cell r="G31">
            <v>1</v>
          </cell>
          <cell r="H31">
            <v>446820</v>
          </cell>
          <cell r="I31">
            <v>439</v>
          </cell>
          <cell r="J31">
            <v>321050</v>
          </cell>
          <cell r="K31">
            <v>745</v>
          </cell>
          <cell r="L31">
            <v>0.21227197346600332</v>
          </cell>
          <cell r="M31">
            <v>32.61558872305141</v>
          </cell>
          <cell r="N31">
            <v>39.535655058043119</v>
          </cell>
          <cell r="O31">
            <v>171.38907841743662</v>
          </cell>
          <cell r="P31">
            <v>243.75259417199715</v>
          </cell>
          <cell r="Q31">
            <v>1136.4973709677406</v>
          </cell>
          <cell r="R31">
            <v>1380.2499651397377</v>
          </cell>
          <cell r="S31">
            <v>7721</v>
          </cell>
          <cell r="T31">
            <v>0.17876569940936896</v>
          </cell>
          <cell r="W31">
            <v>189</v>
          </cell>
          <cell r="X31">
            <v>6.75</v>
          </cell>
          <cell r="Y31">
            <v>3.375</v>
          </cell>
        </row>
      </sheetData>
      <sheetData sheetId="13">
        <row r="33">
          <cell r="B33">
            <v>0.6</v>
          </cell>
          <cell r="C33">
            <v>7.8</v>
          </cell>
          <cell r="E33">
            <v>0.1</v>
          </cell>
          <cell r="F33">
            <v>8</v>
          </cell>
          <cell r="H33">
            <v>6721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</row>
      </sheetData>
      <sheetData sheetId="3">
        <row r="35">
          <cell r="D35">
            <v>3</v>
          </cell>
        </row>
      </sheetData>
      <sheetData sheetId="4">
        <row r="36">
          <cell r="B36">
            <v>109443</v>
          </cell>
        </row>
      </sheetData>
      <sheetData sheetId="5"/>
      <sheetData sheetId="6">
        <row r="36">
          <cell r="D36">
            <v>18</v>
          </cell>
          <cell r="E36">
            <v>0.55000000000000004</v>
          </cell>
          <cell r="F36">
            <v>0</v>
          </cell>
          <cell r="G36">
            <v>0</v>
          </cell>
          <cell r="K36">
            <v>0</v>
          </cell>
        </row>
      </sheetData>
      <sheetData sheetId="7">
        <row r="36">
          <cell r="B36">
            <v>244</v>
          </cell>
          <cell r="BC36">
            <v>0</v>
          </cell>
          <cell r="BD36">
            <v>19222</v>
          </cell>
          <cell r="BE36" t="e">
            <v>#REF!</v>
          </cell>
          <cell r="BG36" t="e">
            <v>#REF!</v>
          </cell>
        </row>
      </sheetData>
      <sheetData sheetId="8"/>
      <sheetData sheetId="9"/>
      <sheetData sheetId="10"/>
      <sheetData sheetId="11">
        <row r="33">
          <cell r="C33">
            <v>3</v>
          </cell>
        </row>
      </sheetData>
      <sheetData sheetId="12">
        <row r="26">
          <cell r="V26">
            <v>244359</v>
          </cell>
        </row>
        <row r="31">
          <cell r="X31">
            <v>3.7419354838709675</v>
          </cell>
        </row>
      </sheetData>
      <sheetData sheetId="13">
        <row r="36">
          <cell r="H36">
            <v>6709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21">
          <cell r="C21">
            <v>44215</v>
          </cell>
        </row>
      </sheetData>
      <sheetData sheetId="3"/>
      <sheetData sheetId="4"/>
      <sheetData sheetId="5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/>
      <sheetData sheetId="9"/>
      <sheetData sheetId="10"/>
      <sheetData sheetId="1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5">
          <cell r="AB25" t="str">
            <v>Total cost LL</v>
          </cell>
        </row>
      </sheetData>
      <sheetData sheetId="13" refreshError="1"/>
      <sheetData sheetId="14" refreshError="1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2">
          <cell r="A32">
            <v>0</v>
          </cell>
        </row>
      </sheetData>
      <sheetData sheetId="3">
        <row r="34">
          <cell r="B34">
            <v>236.3</v>
          </cell>
        </row>
      </sheetData>
      <sheetData sheetId="4">
        <row r="35">
          <cell r="B35">
            <v>109443</v>
          </cell>
        </row>
      </sheetData>
      <sheetData sheetId="5"/>
      <sheetData sheetId="6"/>
      <sheetData sheetId="7">
        <row r="35">
          <cell r="B35">
            <v>236.3</v>
          </cell>
        </row>
      </sheetData>
      <sheetData sheetId="8"/>
      <sheetData sheetId="9"/>
      <sheetData sheetId="10"/>
      <sheetData sheetId="11">
        <row r="32">
          <cell r="B32">
            <v>9357</v>
          </cell>
        </row>
      </sheetData>
      <sheetData sheetId="12">
        <row r="26">
          <cell r="V26">
            <v>210387</v>
          </cell>
        </row>
      </sheetData>
      <sheetData sheetId="13">
        <row r="35">
          <cell r="B35">
            <v>1.5</v>
          </cell>
        </row>
      </sheetData>
      <sheetData sheetId="14">
        <row r="48">
          <cell r="R48">
            <v>25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  <row r="30">
          <cell r="W30">
            <v>0</v>
          </cell>
        </row>
        <row r="32">
          <cell r="W32">
            <v>0</v>
          </cell>
        </row>
        <row r="33">
          <cell r="W33">
            <v>0</v>
          </cell>
        </row>
        <row r="34">
          <cell r="AA34">
            <v>0.11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  <cell r="C10">
            <v>15</v>
          </cell>
          <cell r="D10">
            <v>-0.80000000000000071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</row>
        <row r="12">
          <cell r="B12">
            <v>21</v>
          </cell>
          <cell r="C12">
            <v>16</v>
          </cell>
          <cell r="D12">
            <v>0.19999999999999929</v>
          </cell>
        </row>
        <row r="13">
          <cell r="B13">
            <v>22</v>
          </cell>
          <cell r="C13">
            <v>15</v>
          </cell>
          <cell r="D13">
            <v>0.19999999999999929</v>
          </cell>
        </row>
        <row r="14">
          <cell r="B14">
            <v>22</v>
          </cell>
          <cell r="C14">
            <v>16</v>
          </cell>
          <cell r="D14">
            <v>0.69999999999999929</v>
          </cell>
        </row>
        <row r="15">
          <cell r="B15">
            <v>22</v>
          </cell>
          <cell r="C15">
            <v>15</v>
          </cell>
          <cell r="D15">
            <v>0.19999999999999929</v>
          </cell>
        </row>
        <row r="16">
          <cell r="B16">
            <v>20</v>
          </cell>
          <cell r="C16">
            <v>14</v>
          </cell>
          <cell r="D16">
            <v>-1.3000000000000007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</row>
        <row r="19">
          <cell r="B19">
            <v>22</v>
          </cell>
          <cell r="C19">
            <v>15</v>
          </cell>
          <cell r="D19">
            <v>0.19999999999999929</v>
          </cell>
        </row>
        <row r="20">
          <cell r="B20">
            <v>22</v>
          </cell>
          <cell r="C20">
            <v>16</v>
          </cell>
          <cell r="D20">
            <v>0.69999999999999929</v>
          </cell>
        </row>
        <row r="21">
          <cell r="B21">
            <v>24</v>
          </cell>
          <cell r="C21">
            <v>13</v>
          </cell>
          <cell r="D21">
            <v>0.19999999999999929</v>
          </cell>
        </row>
        <row r="22">
          <cell r="B22">
            <v>18</v>
          </cell>
          <cell r="C22">
            <v>12</v>
          </cell>
          <cell r="D22">
            <v>-3.3000000000000007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</row>
        <row r="27">
          <cell r="B27">
            <v>14</v>
          </cell>
          <cell r="C27">
            <v>8</v>
          </cell>
          <cell r="D27">
            <v>-7.3000000000000007</v>
          </cell>
        </row>
        <row r="28">
          <cell r="B28">
            <v>17</v>
          </cell>
          <cell r="C28">
            <v>10</v>
          </cell>
          <cell r="D28">
            <v>-4.8000000000000007</v>
          </cell>
        </row>
        <row r="29">
          <cell r="B29">
            <v>17</v>
          </cell>
          <cell r="C29">
            <v>10</v>
          </cell>
          <cell r="D29">
            <v>-4.8000000000000007</v>
          </cell>
        </row>
        <row r="30">
          <cell r="B30">
            <v>16</v>
          </cell>
          <cell r="C30">
            <v>9</v>
          </cell>
          <cell r="D30">
            <v>-5.8000000000000007</v>
          </cell>
        </row>
        <row r="31">
          <cell r="B31">
            <v>17</v>
          </cell>
          <cell r="C31">
            <v>10</v>
          </cell>
          <cell r="D31">
            <v>-4.8000000000000007</v>
          </cell>
        </row>
        <row r="32">
          <cell r="B32">
            <v>18</v>
          </cell>
          <cell r="C32">
            <v>12</v>
          </cell>
          <cell r="D32">
            <v>-3.3000000000000007</v>
          </cell>
        </row>
        <row r="33">
          <cell r="B33">
            <v>17</v>
          </cell>
          <cell r="C33">
            <v>11</v>
          </cell>
          <cell r="D33">
            <v>-4.3000000000000007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</row>
        <row r="39">
          <cell r="B39">
            <v>10</v>
          </cell>
          <cell r="C39">
            <v>4</v>
          </cell>
          <cell r="D39">
            <v>-11.3</v>
          </cell>
        </row>
        <row r="40">
          <cell r="B40">
            <v>21</v>
          </cell>
          <cell r="C40">
            <v>16</v>
          </cell>
          <cell r="D40">
            <v>0.19999999999999929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6">
          <cell r="X16">
            <v>0</v>
          </cell>
        </row>
      </sheetData>
      <sheetData sheetId="13" refreshError="1"/>
      <sheetData sheetId="14" refreshError="1">
        <row r="10">
          <cell r="B10">
            <v>16</v>
          </cell>
          <cell r="E10">
            <v>1</v>
          </cell>
          <cell r="M10">
            <v>1</v>
          </cell>
        </row>
        <row r="11">
          <cell r="E11">
            <v>2</v>
          </cell>
          <cell r="M11">
            <v>2</v>
          </cell>
        </row>
        <row r="12">
          <cell r="E12">
            <v>3</v>
          </cell>
          <cell r="M12">
            <v>3</v>
          </cell>
        </row>
        <row r="13">
          <cell r="E13">
            <v>4</v>
          </cell>
          <cell r="M13">
            <v>4</v>
          </cell>
        </row>
        <row r="14">
          <cell r="E14">
            <v>5</v>
          </cell>
          <cell r="M14">
            <v>5</v>
          </cell>
        </row>
        <row r="15">
          <cell r="E15">
            <v>6</v>
          </cell>
          <cell r="M15">
            <v>6</v>
          </cell>
        </row>
        <row r="16">
          <cell r="E16">
            <v>7</v>
          </cell>
          <cell r="M16">
            <v>7</v>
          </cell>
        </row>
        <row r="17">
          <cell r="E17">
            <v>8</v>
          </cell>
          <cell r="M17">
            <v>8</v>
          </cell>
        </row>
        <row r="18">
          <cell r="E18">
            <v>9</v>
          </cell>
          <cell r="M18">
            <v>9</v>
          </cell>
        </row>
        <row r="19">
          <cell r="E19">
            <v>10</v>
          </cell>
          <cell r="M19">
            <v>10</v>
          </cell>
        </row>
        <row r="20">
          <cell r="E20">
            <v>11</v>
          </cell>
          <cell r="M20">
            <v>11</v>
          </cell>
        </row>
        <row r="21">
          <cell r="E21">
            <v>12</v>
          </cell>
          <cell r="M21">
            <v>12</v>
          </cell>
        </row>
        <row r="22">
          <cell r="E22">
            <v>13</v>
          </cell>
          <cell r="M22">
            <v>13</v>
          </cell>
        </row>
        <row r="23">
          <cell r="E23">
            <v>14</v>
          </cell>
          <cell r="M23">
            <v>14</v>
          </cell>
        </row>
        <row r="24">
          <cell r="E24">
            <v>15</v>
          </cell>
          <cell r="M24">
            <v>15</v>
          </cell>
        </row>
        <row r="25">
          <cell r="E25">
            <v>16</v>
          </cell>
          <cell r="M25">
            <v>16</v>
          </cell>
        </row>
        <row r="26">
          <cell r="E26">
            <v>17</v>
          </cell>
          <cell r="M26">
            <v>17</v>
          </cell>
        </row>
        <row r="27">
          <cell r="E27">
            <v>18</v>
          </cell>
          <cell r="M27">
            <v>18</v>
          </cell>
        </row>
        <row r="28">
          <cell r="E28">
            <v>19</v>
          </cell>
          <cell r="M28">
            <v>19</v>
          </cell>
        </row>
        <row r="29">
          <cell r="E29">
            <v>20</v>
          </cell>
          <cell r="M29">
            <v>20</v>
          </cell>
        </row>
        <row r="30">
          <cell r="E30">
            <v>21</v>
          </cell>
          <cell r="M30">
            <v>21</v>
          </cell>
        </row>
        <row r="31">
          <cell r="E31">
            <v>22</v>
          </cell>
          <cell r="M31">
            <v>22</v>
          </cell>
        </row>
        <row r="32">
          <cell r="E32">
            <v>23</v>
          </cell>
          <cell r="M32">
            <v>23</v>
          </cell>
        </row>
        <row r="33">
          <cell r="E33">
            <v>24</v>
          </cell>
          <cell r="M33">
            <v>24</v>
          </cell>
        </row>
        <row r="34">
          <cell r="E34">
            <v>25</v>
          </cell>
          <cell r="M34">
            <v>25</v>
          </cell>
        </row>
        <row r="35">
          <cell r="E35">
            <v>26</v>
          </cell>
          <cell r="M35">
            <v>26</v>
          </cell>
        </row>
        <row r="36">
          <cell r="E36">
            <v>27</v>
          </cell>
          <cell r="M36">
            <v>27</v>
          </cell>
        </row>
        <row r="37">
          <cell r="E37">
            <v>28</v>
          </cell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">
          <cell r="C12">
            <v>19000</v>
          </cell>
          <cell r="D12">
            <v>19000</v>
          </cell>
        </row>
        <row r="14">
          <cell r="D14">
            <v>20021.203249462367</v>
          </cell>
        </row>
        <row r="15">
          <cell r="C15">
            <v>8200</v>
          </cell>
        </row>
      </sheetData>
      <sheetData sheetId="6" refreshError="1"/>
      <sheetData sheetId="7" refreshError="1"/>
      <sheetData sheetId="8" refreshError="1"/>
      <sheetData sheetId="9">
        <row r="117">
          <cell r="C117">
            <v>172.73885330486587</v>
          </cell>
        </row>
      </sheetData>
      <sheetData sheetId="1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20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/>
      <sheetData sheetId="3">
        <row r="36">
          <cell r="V36">
            <v>19376</v>
          </cell>
        </row>
      </sheetData>
      <sheetData sheetId="4"/>
      <sheetData sheetId="5"/>
      <sheetData sheetId="6"/>
      <sheetData sheetId="7">
        <row r="37">
          <cell r="AX37">
            <v>-22334.364516129048</v>
          </cell>
        </row>
      </sheetData>
      <sheetData sheetId="8"/>
      <sheetData sheetId="9"/>
      <sheetData sheetId="10"/>
      <sheetData sheetId="11"/>
      <sheetData sheetId="12">
        <row r="29">
          <cell r="AA29">
            <v>154769</v>
          </cell>
        </row>
      </sheetData>
      <sheetData sheetId="13"/>
      <sheetData sheetId="14">
        <row r="6">
          <cell r="B6">
            <v>32</v>
          </cell>
        </row>
        <row r="14">
          <cell r="B14">
            <v>0.69999999999999929</v>
          </cell>
        </row>
        <row r="15">
          <cell r="B15">
            <v>-153.49999999999997</v>
          </cell>
        </row>
        <row r="16">
          <cell r="B16">
            <v>14.293103448275861</v>
          </cell>
        </row>
        <row r="17">
          <cell r="B17">
            <v>0.20819655172413792</v>
          </cell>
        </row>
        <row r="18">
          <cell r="B18">
            <v>115.42000000000007</v>
          </cell>
        </row>
        <row r="19">
          <cell r="B19">
            <v>3.9800000000000026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E28" sqref="E28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293" bestFit="1" customWidth="1"/>
    <col min="13" max="13" width="12.140625" style="293" customWidth="1"/>
    <col min="14" max="14" width="12.140625" style="499" customWidth="1"/>
    <col min="15" max="15" width="11.7109375" bestFit="1" customWidth="1"/>
  </cols>
  <sheetData>
    <row r="1" spans="1:15" ht="60">
      <c r="A1" t="s">
        <v>341</v>
      </c>
      <c r="B1" t="s">
        <v>198</v>
      </c>
      <c r="C1" t="s">
        <v>342</v>
      </c>
      <c r="D1" t="s">
        <v>343</v>
      </c>
      <c r="E1" s="273" t="s">
        <v>353</v>
      </c>
      <c r="F1" s="273" t="s">
        <v>354</v>
      </c>
      <c r="G1" s="273" t="s">
        <v>355</v>
      </c>
      <c r="H1" s="273" t="s">
        <v>356</v>
      </c>
      <c r="I1" s="273" t="s">
        <v>357</v>
      </c>
      <c r="J1" s="273" t="s">
        <v>358</v>
      </c>
      <c r="K1" s="273" t="s">
        <v>359</v>
      </c>
      <c r="L1" s="305" t="s">
        <v>360</v>
      </c>
      <c r="M1" s="496" t="s">
        <v>401</v>
      </c>
      <c r="N1" s="497" t="s">
        <v>402</v>
      </c>
      <c r="O1" s="273" t="s">
        <v>344</v>
      </c>
    </row>
    <row r="2" spans="1:15">
      <c r="A2" t="s">
        <v>345</v>
      </c>
      <c r="B2">
        <v>1</v>
      </c>
      <c r="C2">
        <v>3</v>
      </c>
      <c r="D2">
        <v>2021</v>
      </c>
      <c r="E2" s="203">
        <f>ELEC!N3</f>
        <v>8408</v>
      </c>
      <c r="F2" s="330">
        <f>SUM('EDl log'!T4)</f>
        <v>0.33998150273564609</v>
      </c>
      <c r="G2" s="203">
        <f>-tanks!AW6</f>
        <v>420.20000000001164</v>
      </c>
      <c r="H2" s="330">
        <f>SUM(tanks!AV6)</f>
        <v>0.74</v>
      </c>
      <c r="I2" s="10">
        <f>('B5'!AU5)*0.51</f>
        <v>0</v>
      </c>
      <c r="J2" s="309">
        <f>'B5'!AX5/0.51</f>
        <v>1.5686274509803921</v>
      </c>
      <c r="K2" s="203">
        <f>WATER!I6</f>
        <v>0</v>
      </c>
      <c r="L2" s="331">
        <f>SUM(WATER!J6)</f>
        <v>0</v>
      </c>
      <c r="M2" s="331">
        <f>WATER!Q6</f>
        <v>0</v>
      </c>
      <c r="N2" s="498">
        <v>0.6</v>
      </c>
      <c r="O2" s="10">
        <f>ELEC!B3</f>
        <v>0</v>
      </c>
    </row>
    <row r="3" spans="1:15">
      <c r="A3" t="s">
        <v>345</v>
      </c>
      <c r="B3">
        <f>B2+1</f>
        <v>2</v>
      </c>
      <c r="C3">
        <v>3</v>
      </c>
      <c r="D3">
        <v>2021</v>
      </c>
      <c r="E3" s="203">
        <f>ELEC!N4</f>
        <v>9041</v>
      </c>
      <c r="F3" s="330">
        <f>SUM('EDl log'!T5)</f>
        <v>0.2249338009286245</v>
      </c>
      <c r="G3" s="203">
        <f>-tanks!AW7</f>
        <v>351</v>
      </c>
      <c r="H3" s="330">
        <f>SUM(tanks!AV7)</f>
        <v>0.74</v>
      </c>
      <c r="I3" s="10">
        <f>('B5'!AU6)*0.51</f>
        <v>0</v>
      </c>
      <c r="J3" s="309">
        <f>'B5'!AX6/0.51</f>
        <v>1.5686274509803921</v>
      </c>
      <c r="K3" s="203">
        <f>WATER!I7</f>
        <v>0</v>
      </c>
      <c r="L3" s="331">
        <f>SUM(WATER!J7)</f>
        <v>0</v>
      </c>
      <c r="M3" s="331">
        <f>WATER!Q7</f>
        <v>0</v>
      </c>
      <c r="N3" s="498">
        <v>0.6</v>
      </c>
      <c r="O3" s="10">
        <f>ELEC!B4</f>
        <v>0</v>
      </c>
    </row>
    <row r="4" spans="1:15">
      <c r="A4" t="s">
        <v>345</v>
      </c>
      <c r="B4">
        <f t="shared" ref="B4:B32" si="0">B3+1</f>
        <v>3</v>
      </c>
      <c r="C4">
        <v>3</v>
      </c>
      <c r="D4">
        <v>2021</v>
      </c>
      <c r="E4" s="203">
        <f>ELEC!N5</f>
        <v>7715</v>
      </c>
      <c r="F4" s="330">
        <f>SUM('EDl log'!T6)</f>
        <v>0.21877808127288217</v>
      </c>
      <c r="G4" s="203">
        <f>-tanks!AW8</f>
        <v>216</v>
      </c>
      <c r="H4" s="330">
        <f>SUM(tanks!AV8)</f>
        <v>0.74</v>
      </c>
      <c r="I4" s="10">
        <f>('B5'!AU7)*0.51</f>
        <v>0</v>
      </c>
      <c r="J4" s="309">
        <f>'B5'!AX7/0.51</f>
        <v>1.5686274509803921</v>
      </c>
      <c r="K4" s="203">
        <f>WATER!I8</f>
        <v>0</v>
      </c>
      <c r="L4" s="331">
        <f>SUM(WATER!J8)</f>
        <v>0</v>
      </c>
      <c r="M4" s="331">
        <f>WATER!Q8</f>
        <v>0</v>
      </c>
      <c r="N4" s="498">
        <v>0.6</v>
      </c>
      <c r="O4" s="10">
        <f>ELEC!B5</f>
        <v>0</v>
      </c>
    </row>
    <row r="5" spans="1:15">
      <c r="A5" t="s">
        <v>345</v>
      </c>
      <c r="B5">
        <f t="shared" si="0"/>
        <v>4</v>
      </c>
      <c r="C5">
        <v>3</v>
      </c>
      <c r="D5">
        <v>2021</v>
      </c>
      <c r="E5" s="203">
        <f>ELEC!N6</f>
        <v>7405</v>
      </c>
      <c r="F5" s="330">
        <f>SUM('EDl log'!T7)</f>
        <v>0.21481859505157558</v>
      </c>
      <c r="G5" s="203">
        <f>-tanks!AW9</f>
        <v>312</v>
      </c>
      <c r="H5" s="330">
        <f>SUM(tanks!AV9)</f>
        <v>0.74</v>
      </c>
      <c r="I5" s="10">
        <f>('B5'!AU8)*0.51</f>
        <v>0</v>
      </c>
      <c r="J5" s="309">
        <f>'B5'!AX8/0.51</f>
        <v>1.5686274509803921</v>
      </c>
      <c r="K5" s="203">
        <f>WATER!I9</f>
        <v>0</v>
      </c>
      <c r="L5" s="331">
        <f>SUM(WATER!J9)</f>
        <v>0</v>
      </c>
      <c r="M5" s="331">
        <f>WATER!Q9</f>
        <v>0</v>
      </c>
      <c r="N5" s="498">
        <v>0.6</v>
      </c>
      <c r="O5" s="10">
        <f>ELEC!B6</f>
        <v>0</v>
      </c>
    </row>
    <row r="6" spans="1:15">
      <c r="A6" t="s">
        <v>345</v>
      </c>
      <c r="B6">
        <f t="shared" si="0"/>
        <v>5</v>
      </c>
      <c r="C6">
        <v>3</v>
      </c>
      <c r="D6">
        <v>2021</v>
      </c>
      <c r="E6" s="203">
        <f>ELEC!N7</f>
        <v>7744</v>
      </c>
      <c r="F6" s="330">
        <f>SUM('EDl log'!T8)</f>
        <v>7.569557172813772E-2</v>
      </c>
      <c r="G6" s="203">
        <f>-tanks!AW10</f>
        <v>238</v>
      </c>
      <c r="H6" s="330">
        <f>SUM(tanks!AV10)</f>
        <v>0.78</v>
      </c>
      <c r="I6" s="10">
        <f>('B5'!AU9)*0.51</f>
        <v>0</v>
      </c>
      <c r="J6" s="309">
        <f>'B5'!AX9/0.51</f>
        <v>1.5686274509803921</v>
      </c>
      <c r="K6" s="203">
        <f>WATER!I10</f>
        <v>0</v>
      </c>
      <c r="L6" s="331">
        <f>SUM(WATER!J10)</f>
        <v>0</v>
      </c>
      <c r="M6" s="331">
        <f>WATER!Q10</f>
        <v>0</v>
      </c>
      <c r="N6" s="498">
        <v>0.6</v>
      </c>
      <c r="O6" s="10">
        <f>ELEC!B7</f>
        <v>0</v>
      </c>
    </row>
    <row r="7" spans="1:15">
      <c r="A7" t="s">
        <v>345</v>
      </c>
      <c r="B7">
        <f t="shared" si="0"/>
        <v>6</v>
      </c>
      <c r="C7">
        <v>3</v>
      </c>
      <c r="D7">
        <v>2021</v>
      </c>
      <c r="E7" s="203">
        <f>ELEC!N8</f>
        <v>7618</v>
      </c>
      <c r="F7" s="330">
        <f>SUM('EDl log'!T9)</f>
        <v>0.2188221291597541</v>
      </c>
      <c r="G7" s="203">
        <f>-tanks!AW11</f>
        <v>228</v>
      </c>
      <c r="H7" s="330">
        <f>SUM(tanks!AV11)</f>
        <v>0.78</v>
      </c>
      <c r="I7" s="10">
        <f>('B5'!AU10)*0.51</f>
        <v>0</v>
      </c>
      <c r="J7" s="309">
        <f>'B5'!AX10/0.51</f>
        <v>1.5686274509803921</v>
      </c>
      <c r="K7" s="203">
        <f>WATER!I11</f>
        <v>0</v>
      </c>
      <c r="L7" s="331">
        <f>SUM(WATER!J11)</f>
        <v>0</v>
      </c>
      <c r="M7" s="331">
        <f>WATER!Q11</f>
        <v>0</v>
      </c>
      <c r="N7" s="498">
        <v>0.6</v>
      </c>
      <c r="O7" s="10">
        <f>ELEC!B8</f>
        <v>0</v>
      </c>
    </row>
    <row r="8" spans="1:15">
      <c r="A8" t="s">
        <v>345</v>
      </c>
      <c r="B8">
        <f t="shared" si="0"/>
        <v>7</v>
      </c>
      <c r="C8">
        <v>3</v>
      </c>
      <c r="D8">
        <v>2021</v>
      </c>
      <c r="E8" s="203">
        <f>ELEC!N9</f>
        <v>6359</v>
      </c>
      <c r="F8" s="330">
        <f>SUM('EDl log'!T10)</f>
        <v>0.14703657019735442</v>
      </c>
      <c r="G8" s="203">
        <f>-tanks!AW12</f>
        <v>230</v>
      </c>
      <c r="H8" s="330">
        <f>SUM(tanks!AV12)</f>
        <v>0.78</v>
      </c>
      <c r="I8" s="10">
        <f>('B5'!AU11)*0.51</f>
        <v>0</v>
      </c>
      <c r="J8" s="309">
        <f>'B5'!AX11/0.51</f>
        <v>1.5686274509803921</v>
      </c>
      <c r="K8" s="203">
        <f>WATER!I12</f>
        <v>0</v>
      </c>
      <c r="L8" s="331">
        <f>SUM(WATER!J12)</f>
        <v>0</v>
      </c>
      <c r="M8" s="331">
        <f>WATER!Q12</f>
        <v>0</v>
      </c>
      <c r="N8" s="498">
        <v>0.6</v>
      </c>
      <c r="O8" s="10">
        <f>ELEC!B9</f>
        <v>0</v>
      </c>
    </row>
    <row r="9" spans="1:15">
      <c r="A9" t="s">
        <v>345</v>
      </c>
      <c r="B9">
        <f t="shared" si="0"/>
        <v>8</v>
      </c>
      <c r="C9">
        <v>3</v>
      </c>
      <c r="D9">
        <v>2021</v>
      </c>
      <c r="E9" s="203">
        <f>ELEC!N10</f>
        <v>6832</v>
      </c>
      <c r="F9" s="330">
        <f>SUM('EDl log'!T11)</f>
        <v>0.1852167450564155</v>
      </c>
      <c r="G9" s="203">
        <f>-tanks!AW13</f>
        <v>290</v>
      </c>
      <c r="H9" s="330">
        <f>SUM(tanks!AV13)</f>
        <v>0.78</v>
      </c>
      <c r="I9" s="10">
        <f>('B5'!AU12)*0.51</f>
        <v>0</v>
      </c>
      <c r="J9" s="309">
        <f>'B5'!AX12/0.51</f>
        <v>1.5686274509803921</v>
      </c>
      <c r="K9" s="203">
        <f>WATER!I13</f>
        <v>0</v>
      </c>
      <c r="L9" s="331">
        <f>SUM(WATER!J13)</f>
        <v>0</v>
      </c>
      <c r="M9" s="331">
        <f>WATER!Q13</f>
        <v>0</v>
      </c>
      <c r="N9" s="498">
        <v>0.6</v>
      </c>
      <c r="O9" s="10">
        <f>ELEC!B10</f>
        <v>0</v>
      </c>
    </row>
    <row r="10" spans="1:15">
      <c r="A10" t="s">
        <v>345</v>
      </c>
      <c r="B10">
        <f t="shared" si="0"/>
        <v>9</v>
      </c>
      <c r="C10">
        <v>3</v>
      </c>
      <c r="D10">
        <v>2021</v>
      </c>
      <c r="E10" s="203">
        <f>ELEC!N11</f>
        <v>6552</v>
      </c>
      <c r="F10" s="330">
        <f>SUM('EDl log'!T12)</f>
        <v>0.12744673918602875</v>
      </c>
      <c r="G10" s="203">
        <f>-tanks!AW14</f>
        <v>220</v>
      </c>
      <c r="H10" s="330">
        <f>SUM(tanks!AV14)</f>
        <v>0.78</v>
      </c>
      <c r="I10" s="10">
        <f>('B5'!AU13)*0.51</f>
        <v>0</v>
      </c>
      <c r="J10" s="309">
        <f>'B5'!AX13/0.51</f>
        <v>1.5686274509803921</v>
      </c>
      <c r="K10" s="203">
        <f>WATER!I14</f>
        <v>0</v>
      </c>
      <c r="L10" s="331">
        <f>SUM(WATER!J14)</f>
        <v>0</v>
      </c>
      <c r="M10" s="331">
        <f>WATER!Q14</f>
        <v>0</v>
      </c>
      <c r="N10" s="498">
        <v>0.6</v>
      </c>
      <c r="O10" s="10">
        <f>ELEC!B11</f>
        <v>0</v>
      </c>
    </row>
    <row r="11" spans="1:15">
      <c r="A11" t="s">
        <v>345</v>
      </c>
      <c r="B11">
        <f t="shared" si="0"/>
        <v>10</v>
      </c>
      <c r="C11">
        <v>3</v>
      </c>
      <c r="D11">
        <v>2021</v>
      </c>
      <c r="E11" s="203">
        <f>ELEC!N12</f>
        <v>6673</v>
      </c>
      <c r="F11" s="330">
        <f>SUM('EDl log'!T13)</f>
        <v>0.19078872577069969</v>
      </c>
      <c r="G11" s="203">
        <f>-tanks!AW15</f>
        <v>276</v>
      </c>
      <c r="H11" s="330">
        <f>SUM(tanks!AV15)</f>
        <v>0.78</v>
      </c>
      <c r="I11" s="10">
        <f>('B5'!AU14)*0.51</f>
        <v>0</v>
      </c>
      <c r="J11" s="309">
        <f>'B5'!AX14/0.51</f>
        <v>1.5686274509803921</v>
      </c>
      <c r="K11" s="203">
        <f>WATER!I15</f>
        <v>299</v>
      </c>
      <c r="L11" s="331">
        <f>SUM(WATER!J15)</f>
        <v>0.80914877548818642</v>
      </c>
      <c r="M11" s="331">
        <f>WATER!Q15</f>
        <v>0</v>
      </c>
      <c r="N11" s="498">
        <v>0.6</v>
      </c>
      <c r="O11" s="10">
        <f>ELEC!B12</f>
        <v>0</v>
      </c>
    </row>
    <row r="12" spans="1:15">
      <c r="A12" t="s">
        <v>345</v>
      </c>
      <c r="B12">
        <f t="shared" si="0"/>
        <v>11</v>
      </c>
      <c r="C12">
        <v>3</v>
      </c>
      <c r="D12">
        <v>2021</v>
      </c>
      <c r="E12" s="203">
        <f>ELEC!N13</f>
        <v>6832</v>
      </c>
      <c r="F12" s="330">
        <f>SUM('EDl log'!T14)</f>
        <v>0.15719718420187803</v>
      </c>
      <c r="G12" s="203">
        <f>-tanks!AW16</f>
        <v>242</v>
      </c>
      <c r="H12" s="330">
        <f>SUM(tanks!AV16)</f>
        <v>0.78</v>
      </c>
      <c r="I12" s="10">
        <f>('B5'!AU15)*0.51</f>
        <v>0</v>
      </c>
      <c r="J12" s="309">
        <f>'B5'!AX15/0.51</f>
        <v>1.5686274509803921</v>
      </c>
      <c r="K12" s="203">
        <f>WATER!I16</f>
        <v>0</v>
      </c>
      <c r="L12" s="331">
        <f>SUM(WATER!J16)</f>
        <v>0</v>
      </c>
      <c r="M12" s="331">
        <f>WATER!Q16</f>
        <v>0</v>
      </c>
      <c r="N12" s="498">
        <v>0.6</v>
      </c>
      <c r="O12" s="10">
        <f>ELEC!B13</f>
        <v>0</v>
      </c>
    </row>
    <row r="13" spans="1:15">
      <c r="A13" t="s">
        <v>345</v>
      </c>
      <c r="B13">
        <f t="shared" si="0"/>
        <v>12</v>
      </c>
      <c r="C13">
        <v>3</v>
      </c>
      <c r="D13">
        <v>2021</v>
      </c>
      <c r="E13" s="203">
        <f>ELEC!N14</f>
        <v>6743</v>
      </c>
      <c r="F13" s="330">
        <f>SUM('EDl log'!T15)</f>
        <v>0.14394058148150066</v>
      </c>
      <c r="G13" s="203">
        <f>-tanks!AW17</f>
        <v>257</v>
      </c>
      <c r="H13" s="330">
        <f>SUM(tanks!AV17)</f>
        <v>0.78</v>
      </c>
      <c r="I13" s="10">
        <f>('B5'!AU16)*0.51</f>
        <v>0</v>
      </c>
      <c r="J13" s="309">
        <f>'B5'!AX16/0.51</f>
        <v>1.5686274509803921</v>
      </c>
      <c r="K13" s="203">
        <f>WATER!I17</f>
        <v>0</v>
      </c>
      <c r="L13" s="331">
        <f>SUM(WATER!J17)</f>
        <v>0</v>
      </c>
      <c r="M13" s="331">
        <f>WATER!Q17</f>
        <v>0</v>
      </c>
      <c r="N13" s="498">
        <v>0.6</v>
      </c>
      <c r="O13" s="10">
        <f>ELEC!B14</f>
        <v>0</v>
      </c>
    </row>
    <row r="14" spans="1:15">
      <c r="A14" t="s">
        <v>345</v>
      </c>
      <c r="B14">
        <f t="shared" si="0"/>
        <v>13</v>
      </c>
      <c r="C14">
        <v>3</v>
      </c>
      <c r="D14">
        <v>2021</v>
      </c>
      <c r="E14" s="203">
        <f>ELEC!N15</f>
        <v>6400</v>
      </c>
      <c r="F14" s="330">
        <f>SUM('EDl log'!T16)</f>
        <v>0.15733163209490073</v>
      </c>
      <c r="G14" s="203">
        <f>-tanks!AW18</f>
        <v>233</v>
      </c>
      <c r="H14" s="330">
        <f>SUM(tanks!AV18)</f>
        <v>0.78</v>
      </c>
      <c r="I14" s="10">
        <f>('B5'!AU17)*0.51</f>
        <v>0</v>
      </c>
      <c r="J14" s="309">
        <f>'B5'!AX17/0.51</f>
        <v>1.5686274509803921</v>
      </c>
      <c r="K14" s="203">
        <f>WATER!I18</f>
        <v>0</v>
      </c>
      <c r="L14" s="331">
        <f>SUM(WATER!J18)</f>
        <v>0</v>
      </c>
      <c r="M14" s="331">
        <f>WATER!Q18</f>
        <v>0</v>
      </c>
      <c r="N14" s="498">
        <v>0.6</v>
      </c>
      <c r="O14" s="10">
        <f>ELEC!B15</f>
        <v>0</v>
      </c>
    </row>
    <row r="15" spans="1:15">
      <c r="A15" t="s">
        <v>345</v>
      </c>
      <c r="B15">
        <f t="shared" si="0"/>
        <v>14</v>
      </c>
      <c r="C15">
        <v>3</v>
      </c>
      <c r="D15">
        <v>2021</v>
      </c>
      <c r="E15" s="203">
        <f>ELEC!N16</f>
        <v>6878</v>
      </c>
      <c r="F15" s="330">
        <f>SUM('EDl log'!T17)</f>
        <v>0.17712474058775876</v>
      </c>
      <c r="G15" s="203">
        <f>-tanks!AW19</f>
        <v>235</v>
      </c>
      <c r="H15" s="330">
        <f>SUM(tanks!AV19)</f>
        <v>0.78</v>
      </c>
      <c r="I15" s="10">
        <f>('B5'!AU18)*0.51</f>
        <v>0</v>
      </c>
      <c r="J15" s="309">
        <f>'B5'!AX18/0.51</f>
        <v>1.5686274509803921</v>
      </c>
      <c r="K15" s="203">
        <f>WATER!I19</f>
        <v>0</v>
      </c>
      <c r="L15" s="331">
        <f>SUM(WATER!J19)</f>
        <v>0</v>
      </c>
      <c r="M15" s="331">
        <f>WATER!Q19</f>
        <v>0</v>
      </c>
      <c r="N15" s="498">
        <v>0.6</v>
      </c>
      <c r="O15" s="10">
        <f>ELEC!B16</f>
        <v>0</v>
      </c>
    </row>
    <row r="16" spans="1:15">
      <c r="A16" t="s">
        <v>345</v>
      </c>
      <c r="B16">
        <f t="shared" si="0"/>
        <v>15</v>
      </c>
      <c r="C16">
        <v>3</v>
      </c>
      <c r="D16">
        <v>2021</v>
      </c>
      <c r="E16" s="203">
        <f>ELEC!N17</f>
        <v>6482</v>
      </c>
      <c r="F16" s="330">
        <f>SUM('EDl log'!T18)</f>
        <v>0.1470354477178647</v>
      </c>
      <c r="G16" s="203">
        <f>-tanks!AW20</f>
        <v>228</v>
      </c>
      <c r="H16" s="330">
        <f>SUM(tanks!AV20)</f>
        <v>0.78</v>
      </c>
      <c r="I16" s="10">
        <f>('B5'!AU19)*0.51</f>
        <v>0</v>
      </c>
      <c r="J16" s="309">
        <f>'B5'!AX19/0.51</f>
        <v>1.5686274509803921</v>
      </c>
      <c r="K16" s="203">
        <f>WATER!I20</f>
        <v>0</v>
      </c>
      <c r="L16" s="331">
        <f>SUM(WATER!J20)</f>
        <v>0</v>
      </c>
      <c r="M16" s="331">
        <f>WATER!Q20</f>
        <v>0</v>
      </c>
      <c r="N16" s="498">
        <v>0.6</v>
      </c>
      <c r="O16" s="10">
        <f>ELEC!B17</f>
        <v>0</v>
      </c>
    </row>
    <row r="17" spans="1:15">
      <c r="A17" t="s">
        <v>345</v>
      </c>
      <c r="B17">
        <f t="shared" si="0"/>
        <v>16</v>
      </c>
      <c r="C17">
        <v>3</v>
      </c>
      <c r="D17">
        <v>2021</v>
      </c>
      <c r="E17" s="203">
        <f>ELEC!N18</f>
        <v>8211</v>
      </c>
      <c r="F17" s="330">
        <f>SUM('EDl log'!T19)</f>
        <v>0.10582415199373424</v>
      </c>
      <c r="G17" s="203">
        <f>-tanks!AW21</f>
        <v>442</v>
      </c>
      <c r="H17" s="330">
        <f>SUM(tanks!AV21)</f>
        <v>0.83099999999999996</v>
      </c>
      <c r="I17" s="10">
        <f>('B5'!AU20)*0.51</f>
        <v>0</v>
      </c>
      <c r="J17" s="309">
        <f>'B5'!AX20/0.51</f>
        <v>1.5686274509803921</v>
      </c>
      <c r="K17" s="203">
        <f>WATER!I21</f>
        <v>0</v>
      </c>
      <c r="L17" s="331">
        <f>SUM(WATER!J21)</f>
        <v>0</v>
      </c>
      <c r="M17" s="331">
        <f>WATER!Q21</f>
        <v>0</v>
      </c>
      <c r="N17" s="498">
        <v>0.6</v>
      </c>
      <c r="O17" s="10">
        <f>ELEC!B18</f>
        <v>0</v>
      </c>
    </row>
    <row r="18" spans="1:15">
      <c r="A18" t="s">
        <v>345</v>
      </c>
      <c r="B18">
        <f t="shared" si="0"/>
        <v>17</v>
      </c>
      <c r="C18">
        <v>3</v>
      </c>
      <c r="D18">
        <v>2021</v>
      </c>
      <c r="E18" s="203">
        <f>ELEC!N19</f>
        <v>8488</v>
      </c>
      <c r="F18" s="330">
        <f>SUM('EDl log'!T20)</f>
        <v>0.19745572687876481</v>
      </c>
      <c r="G18" s="203">
        <f>-tanks!AW22</f>
        <v>480.79999999998836</v>
      </c>
      <c r="H18" s="330">
        <f>SUM(tanks!AV22)</f>
        <v>0.83099999999999996</v>
      </c>
      <c r="I18" s="10">
        <f>('B5'!AU21)*0.51</f>
        <v>0</v>
      </c>
      <c r="J18" s="309">
        <f>'B5'!AX21/0.51</f>
        <v>1.5686274509803921</v>
      </c>
      <c r="K18" s="203">
        <f>WATER!I22</f>
        <v>0</v>
      </c>
      <c r="L18" s="331">
        <f>SUM(WATER!J22)</f>
        <v>0</v>
      </c>
      <c r="M18" s="331">
        <f>WATER!Q22</f>
        <v>0</v>
      </c>
      <c r="N18" s="498">
        <v>0.6</v>
      </c>
      <c r="O18" s="10">
        <f>ELEC!B19</f>
        <v>0</v>
      </c>
    </row>
    <row r="19" spans="1:15">
      <c r="A19" t="s">
        <v>345</v>
      </c>
      <c r="B19">
        <f t="shared" si="0"/>
        <v>18</v>
      </c>
      <c r="C19">
        <v>3</v>
      </c>
      <c r="D19">
        <v>2021</v>
      </c>
      <c r="E19" s="203">
        <f>ELEC!N20</f>
        <v>8988</v>
      </c>
      <c r="F19" s="330">
        <f>SUM('EDl log'!T21)</f>
        <v>0.22892999149992982</v>
      </c>
      <c r="G19" s="203">
        <f>-tanks!AW23</f>
        <v>466</v>
      </c>
      <c r="H19" s="330">
        <f>SUM(tanks!AV23)</f>
        <v>0.83099999999999996</v>
      </c>
      <c r="I19" s="10">
        <f>('B5'!AU22)*0.51</f>
        <v>0</v>
      </c>
      <c r="J19" s="309">
        <f>'B5'!AX22/0.51</f>
        <v>1.5686274509803921</v>
      </c>
      <c r="K19" s="203">
        <f>WATER!I23</f>
        <v>255</v>
      </c>
      <c r="L19" s="331">
        <f>SUM(WATER!J23)</f>
        <v>0.94876660341555974</v>
      </c>
      <c r="M19" s="331">
        <f>WATER!Q23</f>
        <v>0</v>
      </c>
      <c r="N19" s="498">
        <v>0.6</v>
      </c>
      <c r="O19" s="10">
        <f>ELEC!B20</f>
        <v>0</v>
      </c>
    </row>
    <row r="20" spans="1:15">
      <c r="A20" t="s">
        <v>345</v>
      </c>
      <c r="B20">
        <f t="shared" si="0"/>
        <v>19</v>
      </c>
      <c r="C20">
        <v>3</v>
      </c>
      <c r="D20">
        <v>2021</v>
      </c>
      <c r="E20" s="203">
        <f>ELEC!N21</f>
        <v>7145</v>
      </c>
      <c r="F20" s="330">
        <f>SUM('EDl log'!T22)</f>
        <v>-0.21728370091123406</v>
      </c>
      <c r="G20" s="203">
        <f>-tanks!AW24</f>
        <v>380</v>
      </c>
      <c r="H20" s="330">
        <f>SUM(tanks!AV24)</f>
        <v>0.97299999999999998</v>
      </c>
      <c r="I20" s="10">
        <f>('B5'!AU23)*0.51</f>
        <v>0</v>
      </c>
      <c r="J20" s="309">
        <f>'B5'!AX23/0.51</f>
        <v>1.5686274509803921</v>
      </c>
      <c r="K20" s="203">
        <f>WATER!I24</f>
        <v>0</v>
      </c>
      <c r="L20" s="331">
        <f>SUM(WATER!J24)</f>
        <v>0</v>
      </c>
      <c r="M20" s="331">
        <f>WATER!Q24</f>
        <v>0</v>
      </c>
      <c r="N20" s="498">
        <v>0.6</v>
      </c>
      <c r="O20" s="10">
        <f>ELEC!B21</f>
        <v>0</v>
      </c>
    </row>
    <row r="21" spans="1:15">
      <c r="A21" t="s">
        <v>345</v>
      </c>
      <c r="B21">
        <f t="shared" si="0"/>
        <v>20</v>
      </c>
      <c r="C21">
        <v>3</v>
      </c>
      <c r="D21">
        <v>2021</v>
      </c>
      <c r="E21" s="203">
        <f>ELEC!N22</f>
        <v>6356</v>
      </c>
      <c r="F21" s="330">
        <f>SUM('EDl log'!T23)</f>
        <v>0.13294818820222484</v>
      </c>
      <c r="G21" s="203">
        <f>-tanks!AW25</f>
        <v>350</v>
      </c>
      <c r="H21" s="330">
        <f>SUM(tanks!AV25)</f>
        <v>0.97299999999999998</v>
      </c>
      <c r="I21" s="10">
        <f>('B5'!AU24)*0.51</f>
        <v>0</v>
      </c>
      <c r="J21" s="309">
        <f>'B5'!AX24/0.51</f>
        <v>1.5686274509803921</v>
      </c>
      <c r="K21" s="203">
        <f>WATER!I25</f>
        <v>164</v>
      </c>
      <c r="L21" s="331">
        <f>SUM(WATER!J25)</f>
        <v>1.4752163650668766</v>
      </c>
      <c r="M21" s="331">
        <f>WATER!Q25</f>
        <v>0</v>
      </c>
      <c r="N21" s="498">
        <v>0.6</v>
      </c>
      <c r="O21" s="10">
        <f>ELEC!B22</f>
        <v>0</v>
      </c>
    </row>
    <row r="22" spans="1:15">
      <c r="A22" t="s">
        <v>345</v>
      </c>
      <c r="B22">
        <f t="shared" si="0"/>
        <v>21</v>
      </c>
      <c r="C22">
        <v>3</v>
      </c>
      <c r="D22">
        <v>2021</v>
      </c>
      <c r="E22" s="203">
        <f>ELEC!N23</f>
        <v>7217</v>
      </c>
      <c r="F22" s="330">
        <f>SUM('EDl log'!T24)</f>
        <v>0.21923915246713008</v>
      </c>
      <c r="G22" s="203">
        <f>-tanks!AW26</f>
        <v>364</v>
      </c>
      <c r="H22" s="330">
        <f>SUM(tanks!AV26)</f>
        <v>0.97299999999999998</v>
      </c>
      <c r="I22" s="10">
        <f>('B5'!AU25)*0.51</f>
        <v>0</v>
      </c>
      <c r="J22" s="309">
        <f>'B5'!AX25/0.51</f>
        <v>1.5686274509803921</v>
      </c>
      <c r="K22" s="203">
        <f>WATER!I26</f>
        <v>0</v>
      </c>
      <c r="L22" s="331">
        <f>SUM(WATER!J26)</f>
        <v>0</v>
      </c>
      <c r="M22" s="331">
        <f>WATER!Q26</f>
        <v>0</v>
      </c>
      <c r="N22" s="498">
        <v>0.6</v>
      </c>
      <c r="O22" s="10">
        <f>ELEC!B23</f>
        <v>0</v>
      </c>
    </row>
    <row r="23" spans="1:15">
      <c r="A23" t="s">
        <v>345</v>
      </c>
      <c r="B23">
        <f t="shared" si="0"/>
        <v>22</v>
      </c>
      <c r="C23">
        <v>3</v>
      </c>
      <c r="D23">
        <v>2021</v>
      </c>
      <c r="E23" s="203">
        <f>ELEC!N24</f>
        <v>9779</v>
      </c>
      <c r="F23" s="330">
        <f>SUM('EDl log'!T25)</f>
        <v>0.24152902855016214</v>
      </c>
      <c r="G23" s="203">
        <f>-tanks!AW27</f>
        <v>339</v>
      </c>
      <c r="H23" s="330">
        <f>SUM(tanks!AV27)</f>
        <v>0.97299999999999998</v>
      </c>
      <c r="I23" s="10">
        <f>('B5'!AU26)*0.51</f>
        <v>0</v>
      </c>
      <c r="J23" s="309">
        <f>'B5'!AX26/0.51</f>
        <v>1.5686274509803921</v>
      </c>
      <c r="K23" s="203">
        <f>WATER!I27</f>
        <v>372</v>
      </c>
      <c r="L23" s="331">
        <f>SUM(WATER!J27)</f>
        <v>0.65036420395421435</v>
      </c>
      <c r="M23" s="331">
        <f>WATER!Q27</f>
        <v>0</v>
      </c>
      <c r="N23" s="498">
        <v>0.6</v>
      </c>
      <c r="O23" s="10">
        <f>ELEC!B24</f>
        <v>0</v>
      </c>
    </row>
    <row r="24" spans="1:15">
      <c r="A24" t="s">
        <v>345</v>
      </c>
      <c r="B24">
        <f t="shared" si="0"/>
        <v>23</v>
      </c>
      <c r="C24">
        <v>3</v>
      </c>
      <c r="D24">
        <v>2021</v>
      </c>
      <c r="E24" s="203">
        <f>ELEC!N25</f>
        <v>10356</v>
      </c>
      <c r="F24" s="330">
        <f>SUM('EDl log'!T26)</f>
        <v>0.25213185136503707</v>
      </c>
      <c r="G24" s="203">
        <f>-tanks!AW28</f>
        <v>339</v>
      </c>
      <c r="H24" s="330">
        <f>SUM(tanks!AV28)</f>
        <v>0.97299999999999998</v>
      </c>
      <c r="I24" s="10">
        <f>('B5'!AU27)*0.51</f>
        <v>0</v>
      </c>
      <c r="J24" s="309">
        <f>'B5'!AX27/0.51</f>
        <v>1.5686274509803921</v>
      </c>
      <c r="K24" s="203">
        <f>WATER!I28</f>
        <v>0</v>
      </c>
      <c r="L24" s="331">
        <f>SUM(WATER!J28)</f>
        <v>0</v>
      </c>
      <c r="M24" s="331">
        <f>WATER!Q28</f>
        <v>0</v>
      </c>
      <c r="N24" s="498">
        <v>0.6</v>
      </c>
      <c r="O24" s="10">
        <f>ELEC!B25</f>
        <v>0</v>
      </c>
    </row>
    <row r="25" spans="1:15">
      <c r="A25" t="s">
        <v>345</v>
      </c>
      <c r="B25">
        <f t="shared" si="0"/>
        <v>24</v>
      </c>
      <c r="C25">
        <v>3</v>
      </c>
      <c r="D25">
        <v>2021</v>
      </c>
      <c r="E25" s="203">
        <f>ELEC!N26</f>
        <v>8509</v>
      </c>
      <c r="F25" s="330">
        <f>SUM('EDl log'!T27)</f>
        <v>0.28374617841961181</v>
      </c>
      <c r="G25" s="203">
        <f>-tanks!AW29</f>
        <v>458</v>
      </c>
      <c r="H25" s="330">
        <f>SUM(tanks!AV29)</f>
        <v>0.97299999999999998</v>
      </c>
      <c r="I25" s="10">
        <f>('B5'!AU28)*0.51</f>
        <v>0</v>
      </c>
      <c r="J25" s="309">
        <f>'B5'!AX28/0.51</f>
        <v>1.5686274509803921</v>
      </c>
      <c r="K25" s="203">
        <f>WATER!I29</f>
        <v>290</v>
      </c>
      <c r="L25" s="331">
        <f>SUM(WATER!J29)</f>
        <v>0.83426028921023365</v>
      </c>
      <c r="M25" s="331">
        <f>WATER!Q29</f>
        <v>0</v>
      </c>
      <c r="N25" s="498">
        <v>0.6</v>
      </c>
      <c r="O25" s="10">
        <f>ELEC!B26</f>
        <v>0</v>
      </c>
    </row>
    <row r="26" spans="1:15">
      <c r="A26" t="s">
        <v>345</v>
      </c>
      <c r="B26">
        <f>B25+1</f>
        <v>25</v>
      </c>
      <c r="C26">
        <v>3</v>
      </c>
      <c r="D26">
        <v>2021</v>
      </c>
      <c r="E26" s="203">
        <f>ELEC!N27</f>
        <v>10240</v>
      </c>
      <c r="F26" s="330">
        <f>SUM('EDl log'!T28)</f>
        <v>0.24354653296019713</v>
      </c>
      <c r="G26" s="203">
        <f>-tanks!AW30</f>
        <v>448</v>
      </c>
      <c r="H26" s="330">
        <f>SUM(tanks!AV30)</f>
        <v>0.97299999999999998</v>
      </c>
      <c r="I26" s="10">
        <f>('B5'!AU29)*0.51</f>
        <v>0</v>
      </c>
      <c r="J26" s="309">
        <f>'B5'!AX29/0.51</f>
        <v>1.5686274509803921</v>
      </c>
      <c r="K26" s="203">
        <f>WATER!I30</f>
        <v>0</v>
      </c>
      <c r="L26" s="331">
        <f>SUM(WATER!J30)</f>
        <v>0</v>
      </c>
      <c r="M26" s="331">
        <f>WATER!Q30</f>
        <v>0</v>
      </c>
      <c r="N26" s="498">
        <v>0.6</v>
      </c>
      <c r="O26" s="10">
        <f>ELEC!B27</f>
        <v>0</v>
      </c>
    </row>
    <row r="27" spans="1:15">
      <c r="A27" t="s">
        <v>345</v>
      </c>
      <c r="B27">
        <f t="shared" si="0"/>
        <v>26</v>
      </c>
      <c r="C27">
        <v>3</v>
      </c>
      <c r="D27">
        <v>2021</v>
      </c>
      <c r="E27" s="203">
        <f>ELEC!N28</f>
        <v>9202</v>
      </c>
      <c r="F27" s="330">
        <f>SUM('EDl log'!T29)</f>
        <v>0.2630239167873073</v>
      </c>
      <c r="G27" s="203">
        <f>-tanks!AW31</f>
        <v>425</v>
      </c>
      <c r="H27" s="330">
        <f>SUM(tanks!AV31)</f>
        <v>0.97299999999999998</v>
      </c>
      <c r="I27" s="10">
        <f>('B5'!AU30)*0.51</f>
        <v>0</v>
      </c>
      <c r="J27" s="309">
        <f>'B5'!AX30/0.51</f>
        <v>1.5686274509803921</v>
      </c>
      <c r="K27" s="203">
        <f>WATER!I31</f>
        <v>249</v>
      </c>
      <c r="L27" s="331">
        <f>SUM(WATER!J31)</f>
        <v>0.97162844928099501</v>
      </c>
      <c r="M27" s="331">
        <f>WATER!Q31</f>
        <v>0</v>
      </c>
      <c r="N27" s="498">
        <v>0.6</v>
      </c>
      <c r="O27" s="10">
        <f>ELEC!B28</f>
        <v>0</v>
      </c>
    </row>
    <row r="28" spans="1:15">
      <c r="A28" t="s">
        <v>345</v>
      </c>
      <c r="B28">
        <f t="shared" si="0"/>
        <v>27</v>
      </c>
      <c r="C28">
        <v>3</v>
      </c>
      <c r="D28">
        <v>2021</v>
      </c>
      <c r="E28" s="203">
        <f>ELEC!N29</f>
        <v>8809</v>
      </c>
      <c r="F28" s="330">
        <f>SUM('EDl log'!T30)</f>
        <v>0.32242179581283409</v>
      </c>
      <c r="G28" s="203">
        <f>-tanks!AW32</f>
        <v>483</v>
      </c>
      <c r="H28" s="330">
        <f>SUM(tanks!AV32)</f>
        <v>0.97299999999999998</v>
      </c>
      <c r="I28" s="10">
        <f>('B5'!AU31)*0.51</f>
        <v>0</v>
      </c>
      <c r="J28" s="309">
        <f>'B5'!AX31/0.51</f>
        <v>1.5686274509803921</v>
      </c>
      <c r="K28" s="203">
        <f>WATER!I32</f>
        <v>0</v>
      </c>
      <c r="L28" s="331">
        <f>SUM(WATER!J32)</f>
        <v>0</v>
      </c>
      <c r="M28" s="331">
        <f>WATER!Q32</f>
        <v>0</v>
      </c>
      <c r="N28" s="498">
        <v>0.6</v>
      </c>
      <c r="O28" s="10">
        <f>ELEC!B29</f>
        <v>0</v>
      </c>
    </row>
    <row r="29" spans="1:15">
      <c r="A29" t="s">
        <v>345</v>
      </c>
      <c r="B29">
        <f t="shared" si="0"/>
        <v>28</v>
      </c>
      <c r="C29">
        <v>3</v>
      </c>
      <c r="D29">
        <v>2021</v>
      </c>
      <c r="E29" s="203">
        <f>ELEC!N30</f>
        <v>7510</v>
      </c>
      <c r="F29" s="330">
        <f>SUM('EDl log'!T34)</f>
        <v>0.29633548860179815</v>
      </c>
      <c r="G29" s="203">
        <f>-tanks!AW33</f>
        <v>312</v>
      </c>
      <c r="H29" s="330">
        <f>SUM(tanks!AV33)</f>
        <v>0.97299999999999998</v>
      </c>
      <c r="I29" s="10">
        <f>('B5'!AU32)*0.51</f>
        <v>0</v>
      </c>
      <c r="J29" s="309">
        <f>'B5'!AX32/0.51</f>
        <v>1.5686274509803921</v>
      </c>
      <c r="K29" s="203">
        <f>WATER!I33</f>
        <v>282</v>
      </c>
      <c r="L29" s="331">
        <f>SUM(WATER!J33)</f>
        <v>0.85792724776938911</v>
      </c>
      <c r="M29" s="331">
        <f>WATER!Q33</f>
        <v>0</v>
      </c>
      <c r="N29" s="498">
        <v>0.6</v>
      </c>
      <c r="O29" s="10">
        <f>ELEC!B30</f>
        <v>0</v>
      </c>
    </row>
    <row r="30" spans="1:15">
      <c r="A30" t="s">
        <v>345</v>
      </c>
      <c r="B30">
        <f t="shared" si="0"/>
        <v>29</v>
      </c>
      <c r="C30">
        <v>3</v>
      </c>
      <c r="D30">
        <v>2021</v>
      </c>
      <c r="E30" s="203">
        <f>ELEC!N31</f>
        <v>11005</v>
      </c>
      <c r="F30" s="330">
        <f>SUM('EDl log'!T32)</f>
        <v>0.12263431437051051</v>
      </c>
      <c r="G30" s="203">
        <f>-tanks!AW34</f>
        <v>412</v>
      </c>
      <c r="H30" s="330">
        <f>SUM(tanks!AV34)</f>
        <v>0.99</v>
      </c>
      <c r="I30" s="10">
        <f>('B5'!AU33)*0.51</f>
        <v>0</v>
      </c>
      <c r="J30" s="309">
        <f>'B5'!AX33/0.51</f>
        <v>1.5686274509803921</v>
      </c>
      <c r="K30" s="203">
        <f>WATER!I34</f>
        <v>0</v>
      </c>
      <c r="L30" s="331">
        <f>SUM(WATER!J34)</f>
        <v>0</v>
      </c>
      <c r="M30" s="331">
        <f>WATER!Q34</f>
        <v>0</v>
      </c>
      <c r="N30" s="498">
        <v>0.6</v>
      </c>
      <c r="O30" s="10">
        <f>ELEC!B31</f>
        <v>0</v>
      </c>
    </row>
    <row r="31" spans="1:15">
      <c r="A31" t="s">
        <v>345</v>
      </c>
      <c r="B31">
        <f t="shared" si="0"/>
        <v>30</v>
      </c>
      <c r="C31">
        <v>3</v>
      </c>
      <c r="D31">
        <v>2021</v>
      </c>
      <c r="E31" s="203">
        <f>ELEC!N32</f>
        <v>9445</v>
      </c>
      <c r="F31" s="330">
        <f>SUM('EDl log'!T33)</f>
        <v>8.2203662539093406E-2</v>
      </c>
      <c r="G31" s="203">
        <f>-tanks!AW35</f>
        <v>363</v>
      </c>
      <c r="H31" s="330">
        <f>SUM(tanks!AV35)</f>
        <v>0.996</v>
      </c>
      <c r="I31" s="10">
        <f>('B5'!AU34)*0.51</f>
        <v>0</v>
      </c>
      <c r="J31" s="309">
        <f>'B5'!AX34/0.51</f>
        <v>1.5686274509803921</v>
      </c>
      <c r="K31" s="203">
        <f>WATER!I35</f>
        <v>0</v>
      </c>
      <c r="L31" s="331">
        <f>SUM(WATER!J35)</f>
        <v>0</v>
      </c>
      <c r="M31" s="331">
        <f>WATER!Q35</f>
        <v>0</v>
      </c>
      <c r="N31" s="498">
        <v>0.6</v>
      </c>
      <c r="O31" s="10">
        <f>ELEC!B32</f>
        <v>0</v>
      </c>
    </row>
    <row r="32" spans="1:15">
      <c r="A32" t="s">
        <v>345</v>
      </c>
      <c r="B32">
        <f t="shared" si="0"/>
        <v>31</v>
      </c>
      <c r="C32">
        <v>3</v>
      </c>
      <c r="D32">
        <v>2021</v>
      </c>
      <c r="E32" s="203">
        <f>ELEC!N33</f>
        <v>10928</v>
      </c>
      <c r="F32" s="330">
        <f>SUM('EDl log'!T37)</f>
        <v>0</v>
      </c>
      <c r="G32" s="203">
        <f>-tanks!AW36</f>
        <v>385</v>
      </c>
      <c r="H32" s="330">
        <f>SUM(tanks!AV36)</f>
        <v>0.996</v>
      </c>
      <c r="I32" s="10">
        <f>('B5'!AU35)*0.51</f>
        <v>0</v>
      </c>
      <c r="J32" s="309">
        <f>'B5'!AX35/0.51</f>
        <v>1.5686274509803921</v>
      </c>
      <c r="K32" s="203">
        <f>WATER!I36</f>
        <v>0</v>
      </c>
      <c r="L32" s="331">
        <f>SUM(WATER!J36)</f>
        <v>0</v>
      </c>
      <c r="M32" s="331">
        <f>WATER!Q36</f>
        <v>0</v>
      </c>
      <c r="N32" s="498">
        <v>0.6</v>
      </c>
      <c r="O32" s="10">
        <f>ELEC!B33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topLeftCell="A16" workbookViewId="0">
      <selection activeCell="O21" sqref="O21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341</v>
      </c>
      <c r="B1" t="s">
        <v>198</v>
      </c>
      <c r="C1" t="s">
        <v>342</v>
      </c>
      <c r="D1" t="s">
        <v>343</v>
      </c>
      <c r="E1" s="20" t="s">
        <v>350</v>
      </c>
      <c r="F1" s="20" t="s">
        <v>346</v>
      </c>
      <c r="G1" s="20" t="s">
        <v>351</v>
      </c>
      <c r="H1" s="20" t="s">
        <v>347</v>
      </c>
      <c r="I1" s="20" t="s">
        <v>352</v>
      </c>
      <c r="J1" s="20" t="s">
        <v>348</v>
      </c>
      <c r="K1" s="20" t="s">
        <v>349</v>
      </c>
      <c r="L1" s="273" t="s">
        <v>344</v>
      </c>
    </row>
    <row r="2" spans="1:13">
      <c r="A2" t="s">
        <v>345</v>
      </c>
      <c r="B2">
        <v>1</v>
      </c>
      <c r="C2">
        <v>3</v>
      </c>
      <c r="D2">
        <v>2021</v>
      </c>
      <c r="E2" s="203">
        <f>ELEC!M3</f>
        <v>2408</v>
      </c>
      <c r="F2" s="203">
        <f>ELEC!K3</f>
        <v>1676</v>
      </c>
      <c r="G2" s="203">
        <f>ELEC!I3</f>
        <v>928</v>
      </c>
      <c r="H2" s="203">
        <f>ELEC!E3</f>
        <v>2697</v>
      </c>
      <c r="I2" s="203">
        <f>ELEC!G3</f>
        <v>699</v>
      </c>
      <c r="J2" s="203">
        <f>WATER!Y6</f>
        <v>0</v>
      </c>
      <c r="K2" s="203">
        <f>WATER!AJ6</f>
        <v>0</v>
      </c>
      <c r="L2" s="10">
        <f>ELEC!B3</f>
        <v>0</v>
      </c>
      <c r="M2" s="10"/>
    </row>
    <row r="3" spans="1:13">
      <c r="A3" t="s">
        <v>345</v>
      </c>
      <c r="B3">
        <f>B2+1</f>
        <v>2</v>
      </c>
      <c r="C3">
        <v>3</v>
      </c>
      <c r="D3">
        <v>2021</v>
      </c>
      <c r="E3" s="203">
        <f>ELEC!M4</f>
        <v>2568</v>
      </c>
      <c r="F3" s="203">
        <f>ELEC!K4</f>
        <v>1428</v>
      </c>
      <c r="G3" s="203">
        <f>ELEC!I4</f>
        <v>938</v>
      </c>
      <c r="H3" s="203">
        <f>ELEC!E4</f>
        <v>3467</v>
      </c>
      <c r="I3" s="203">
        <f>ELEC!G4</f>
        <v>640</v>
      </c>
      <c r="J3" s="203">
        <f>WATER!Y7</f>
        <v>0</v>
      </c>
      <c r="K3" s="203">
        <f>WATER!AJ7</f>
        <v>0</v>
      </c>
      <c r="L3" s="10">
        <f>ELEC!B4</f>
        <v>0</v>
      </c>
      <c r="M3" s="10"/>
    </row>
    <row r="4" spans="1:13">
      <c r="A4" t="s">
        <v>345</v>
      </c>
      <c r="B4">
        <f t="shared" ref="B4:B32" si="0">B3+1</f>
        <v>3</v>
      </c>
      <c r="C4">
        <v>3</v>
      </c>
      <c r="D4">
        <v>2021</v>
      </c>
      <c r="E4" s="203">
        <f>ELEC!M5</f>
        <v>1992</v>
      </c>
      <c r="F4" s="203">
        <f>ELEC!K5</f>
        <v>1192</v>
      </c>
      <c r="G4" s="203">
        <f>ELEC!I5</f>
        <v>902</v>
      </c>
      <c r="H4" s="203">
        <f>ELEC!E5</f>
        <v>2976</v>
      </c>
      <c r="I4" s="203">
        <f>ELEC!G5</f>
        <v>653</v>
      </c>
      <c r="J4" s="203">
        <f>WATER!Y8</f>
        <v>0</v>
      </c>
      <c r="K4" s="203">
        <f>WATER!AJ8</f>
        <v>0</v>
      </c>
      <c r="L4" s="10">
        <f>ELEC!B5</f>
        <v>0</v>
      </c>
      <c r="M4" s="10"/>
    </row>
    <row r="5" spans="1:13">
      <c r="A5" t="s">
        <v>345</v>
      </c>
      <c r="B5">
        <f t="shared" si="0"/>
        <v>4</v>
      </c>
      <c r="C5">
        <v>3</v>
      </c>
      <c r="D5">
        <v>2021</v>
      </c>
      <c r="E5" s="203">
        <f>ELEC!M6</f>
        <v>1952</v>
      </c>
      <c r="F5" s="203">
        <f>ELEC!K6</f>
        <v>1152</v>
      </c>
      <c r="G5" s="203">
        <f>ELEC!I6</f>
        <v>900</v>
      </c>
      <c r="H5" s="203">
        <f>ELEC!E6</f>
        <v>2760</v>
      </c>
      <c r="I5" s="203">
        <f>ELEC!G6</f>
        <v>641</v>
      </c>
      <c r="J5" s="203">
        <f>WATER!Y9</f>
        <v>0</v>
      </c>
      <c r="K5" s="203">
        <f>WATER!AJ9</f>
        <v>0</v>
      </c>
      <c r="L5" s="10">
        <f>ELEC!B6</f>
        <v>0</v>
      </c>
      <c r="M5" s="10"/>
    </row>
    <row r="6" spans="1:13">
      <c r="A6" t="s">
        <v>345</v>
      </c>
      <c r="B6">
        <f t="shared" si="0"/>
        <v>5</v>
      </c>
      <c r="C6">
        <v>3</v>
      </c>
      <c r="D6">
        <v>2021</v>
      </c>
      <c r="E6" s="203">
        <f>ELEC!M7</f>
        <v>1822</v>
      </c>
      <c r="F6" s="203">
        <f>ELEC!K7</f>
        <v>1132</v>
      </c>
      <c r="G6" s="203">
        <f>ELEC!I7</f>
        <v>916</v>
      </c>
      <c r="H6" s="203">
        <f>ELEC!E7</f>
        <v>3292</v>
      </c>
      <c r="I6" s="203">
        <f>ELEC!G7</f>
        <v>582</v>
      </c>
      <c r="J6" s="203">
        <f>WATER!Y10</f>
        <v>0</v>
      </c>
      <c r="K6" s="203">
        <f>WATER!AJ10</f>
        <v>0</v>
      </c>
      <c r="L6" s="10">
        <f>ELEC!B7</f>
        <v>0</v>
      </c>
      <c r="M6" s="10"/>
    </row>
    <row r="7" spans="1:13">
      <c r="A7" t="s">
        <v>345</v>
      </c>
      <c r="B7">
        <f t="shared" si="0"/>
        <v>6</v>
      </c>
      <c r="C7">
        <v>3</v>
      </c>
      <c r="D7">
        <v>2021</v>
      </c>
      <c r="E7" s="203">
        <f>ELEC!M8</f>
        <v>1966</v>
      </c>
      <c r="F7" s="203">
        <f>ELEC!K8</f>
        <v>1168</v>
      </c>
      <c r="G7" s="203">
        <f>ELEC!I8</f>
        <v>870</v>
      </c>
      <c r="H7" s="203">
        <f>ELEC!E8</f>
        <v>3066</v>
      </c>
      <c r="I7" s="203">
        <f>ELEC!G8</f>
        <v>548</v>
      </c>
      <c r="J7" s="203">
        <f>WATER!Y11</f>
        <v>0</v>
      </c>
      <c r="K7" s="203">
        <f>WATER!AJ11</f>
        <v>0</v>
      </c>
      <c r="L7" s="10">
        <f>ELEC!B8</f>
        <v>0</v>
      </c>
      <c r="M7" s="10"/>
    </row>
    <row r="8" spans="1:13">
      <c r="A8" t="s">
        <v>345</v>
      </c>
      <c r="B8">
        <f t="shared" si="0"/>
        <v>7</v>
      </c>
      <c r="C8">
        <v>3</v>
      </c>
      <c r="D8">
        <v>2021</v>
      </c>
      <c r="E8" s="203">
        <f>ELEC!M9</f>
        <v>1752</v>
      </c>
      <c r="F8" s="203">
        <f>ELEC!K9</f>
        <v>926</v>
      </c>
      <c r="G8" s="203">
        <f>ELEC!I9</f>
        <v>858</v>
      </c>
      <c r="H8" s="203">
        <f>ELEC!E9</f>
        <v>2250</v>
      </c>
      <c r="I8" s="203">
        <f>ELEC!G9</f>
        <v>573</v>
      </c>
      <c r="J8" s="203">
        <f>WATER!Y12</f>
        <v>0</v>
      </c>
      <c r="K8" s="203">
        <f>WATER!AJ12</f>
        <v>0</v>
      </c>
      <c r="L8" s="10">
        <f>ELEC!B9</f>
        <v>0</v>
      </c>
      <c r="M8" s="10"/>
    </row>
    <row r="9" spans="1:13">
      <c r="A9" t="s">
        <v>345</v>
      </c>
      <c r="B9">
        <f t="shared" si="0"/>
        <v>8</v>
      </c>
      <c r="C9">
        <v>3</v>
      </c>
      <c r="D9">
        <v>2021</v>
      </c>
      <c r="E9" s="203">
        <f>ELEC!M10</f>
        <v>1668</v>
      </c>
      <c r="F9" s="203">
        <f>ELEC!K10</f>
        <v>1002</v>
      </c>
      <c r="G9" s="203">
        <f>ELEC!I10</f>
        <v>836</v>
      </c>
      <c r="H9" s="203">
        <f>ELEC!E10</f>
        <v>2724</v>
      </c>
      <c r="I9" s="203">
        <f>ELEC!G10</f>
        <v>602</v>
      </c>
      <c r="J9" s="203">
        <f>WATER!Y13</f>
        <v>0</v>
      </c>
      <c r="K9" s="203">
        <f>WATER!AJ13</f>
        <v>0</v>
      </c>
      <c r="L9" s="10">
        <f>ELEC!B10</f>
        <v>0</v>
      </c>
      <c r="M9" s="10"/>
    </row>
    <row r="10" spans="1:13">
      <c r="A10" t="s">
        <v>345</v>
      </c>
      <c r="B10">
        <f t="shared" si="0"/>
        <v>9</v>
      </c>
      <c r="C10">
        <v>3</v>
      </c>
      <c r="D10">
        <v>2021</v>
      </c>
      <c r="E10" s="203">
        <f>ELEC!M11</f>
        <v>1518</v>
      </c>
      <c r="F10" s="203">
        <f>ELEC!K11</f>
        <v>1056</v>
      </c>
      <c r="G10" s="203">
        <f>ELEC!I11</f>
        <v>780</v>
      </c>
      <c r="H10" s="203">
        <f>ELEC!E11</f>
        <v>2592</v>
      </c>
      <c r="I10" s="203">
        <f>ELEC!G11</f>
        <v>606</v>
      </c>
      <c r="J10" s="203">
        <f>WATER!Y14</f>
        <v>15</v>
      </c>
      <c r="K10" s="203">
        <f>WATER!AJ14</f>
        <v>30</v>
      </c>
      <c r="L10" s="10">
        <f>ELEC!B11</f>
        <v>0</v>
      </c>
      <c r="M10" s="10"/>
    </row>
    <row r="11" spans="1:13">
      <c r="A11" t="s">
        <v>345</v>
      </c>
      <c r="B11">
        <f t="shared" si="0"/>
        <v>10</v>
      </c>
      <c r="C11">
        <v>3</v>
      </c>
      <c r="D11">
        <v>2021</v>
      </c>
      <c r="E11" s="203">
        <f>ELEC!M12</f>
        <v>1698</v>
      </c>
      <c r="F11" s="203">
        <f>ELEC!K12</f>
        <v>1072</v>
      </c>
      <c r="G11" s="203">
        <f>ELEC!I12</f>
        <v>804</v>
      </c>
      <c r="H11" s="203">
        <f>ELEC!E12</f>
        <v>2504</v>
      </c>
      <c r="I11" s="203">
        <f>ELEC!G12</f>
        <v>595</v>
      </c>
      <c r="J11" s="203">
        <f>WATER!Y15</f>
        <v>55</v>
      </c>
      <c r="K11" s="203">
        <f>WATER!AJ15</f>
        <v>31</v>
      </c>
      <c r="L11" s="10">
        <f>ELEC!B12</f>
        <v>0</v>
      </c>
      <c r="M11" s="10"/>
    </row>
    <row r="12" spans="1:13">
      <c r="A12" t="s">
        <v>345</v>
      </c>
      <c r="B12">
        <f t="shared" si="0"/>
        <v>11</v>
      </c>
      <c r="C12">
        <v>3</v>
      </c>
      <c r="D12">
        <v>2021</v>
      </c>
      <c r="E12" s="203">
        <f>ELEC!M13</f>
        <v>1724</v>
      </c>
      <c r="F12" s="203">
        <f>ELEC!K13</f>
        <v>960</v>
      </c>
      <c r="G12" s="203">
        <f>ELEC!I13</f>
        <v>876</v>
      </c>
      <c r="H12" s="203">
        <f>ELEC!E13</f>
        <v>2612</v>
      </c>
      <c r="I12" s="203">
        <f>ELEC!G13</f>
        <v>660</v>
      </c>
      <c r="J12" s="203">
        <f>WATER!Y16</f>
        <v>27</v>
      </c>
      <c r="K12" s="203">
        <f>WATER!AJ16</f>
        <v>0</v>
      </c>
      <c r="L12" s="10">
        <f>ELEC!B13</f>
        <v>0</v>
      </c>
      <c r="M12" s="10"/>
    </row>
    <row r="13" spans="1:13">
      <c r="A13" t="s">
        <v>345</v>
      </c>
      <c r="B13">
        <f t="shared" si="0"/>
        <v>12</v>
      </c>
      <c r="C13">
        <v>3</v>
      </c>
      <c r="D13">
        <v>2021</v>
      </c>
      <c r="E13" s="203">
        <f>ELEC!M14</f>
        <v>1862</v>
      </c>
      <c r="F13" s="203">
        <f>ELEC!K14</f>
        <v>950</v>
      </c>
      <c r="G13" s="203">
        <f>ELEC!I14</f>
        <v>904</v>
      </c>
      <c r="H13" s="203">
        <f>ELEC!E14</f>
        <v>2356</v>
      </c>
      <c r="I13" s="203">
        <f>ELEC!G14</f>
        <v>671</v>
      </c>
      <c r="J13" s="203">
        <f>WATER!Y17</f>
        <v>0</v>
      </c>
      <c r="K13" s="203">
        <f>WATER!AJ17</f>
        <v>0</v>
      </c>
      <c r="L13" s="10">
        <f>ELEC!B14</f>
        <v>0</v>
      </c>
      <c r="M13" s="10"/>
    </row>
    <row r="14" spans="1:13">
      <c r="A14" t="s">
        <v>345</v>
      </c>
      <c r="B14">
        <f t="shared" si="0"/>
        <v>13</v>
      </c>
      <c r="C14">
        <v>3</v>
      </c>
      <c r="D14">
        <v>2021</v>
      </c>
      <c r="E14" s="203">
        <f>ELEC!M15</f>
        <v>1726</v>
      </c>
      <c r="F14" s="203">
        <f>ELEC!K15</f>
        <v>902</v>
      </c>
      <c r="G14" s="203">
        <f>ELEC!I15</f>
        <v>756</v>
      </c>
      <c r="H14" s="203">
        <f>ELEC!E15</f>
        <v>2450</v>
      </c>
      <c r="I14" s="203">
        <f>ELEC!G15</f>
        <v>566</v>
      </c>
      <c r="J14" s="203">
        <f>WATER!Y18</f>
        <v>0</v>
      </c>
      <c r="K14" s="203">
        <f>WATER!AJ18</f>
        <v>0</v>
      </c>
      <c r="L14" s="10">
        <f>ELEC!B15</f>
        <v>0</v>
      </c>
      <c r="M14" s="10"/>
    </row>
    <row r="15" spans="1:13">
      <c r="A15" t="s">
        <v>345</v>
      </c>
      <c r="B15">
        <f t="shared" si="0"/>
        <v>14</v>
      </c>
      <c r="C15">
        <v>3</v>
      </c>
      <c r="D15">
        <v>2021</v>
      </c>
      <c r="E15" s="203">
        <f>ELEC!M16</f>
        <v>1874</v>
      </c>
      <c r="F15" s="203">
        <f>ELEC!K16</f>
        <v>1004</v>
      </c>
      <c r="G15" s="203">
        <f>ELEC!I16</f>
        <v>780</v>
      </c>
      <c r="H15" s="203">
        <f>ELEC!E16</f>
        <v>2634</v>
      </c>
      <c r="I15" s="203">
        <f>ELEC!G16</f>
        <v>586</v>
      </c>
      <c r="J15" s="203">
        <f>WATER!Y19</f>
        <v>0</v>
      </c>
      <c r="K15" s="203">
        <f>WATER!AJ19</f>
        <v>0</v>
      </c>
      <c r="L15" s="10">
        <f>ELEC!B16</f>
        <v>0</v>
      </c>
      <c r="M15" s="10"/>
    </row>
    <row r="16" spans="1:13">
      <c r="A16" t="s">
        <v>345</v>
      </c>
      <c r="B16">
        <f t="shared" si="0"/>
        <v>15</v>
      </c>
      <c r="C16">
        <v>3</v>
      </c>
      <c r="D16">
        <v>2021</v>
      </c>
      <c r="E16" s="203">
        <f>ELEC!M17</f>
        <v>1794</v>
      </c>
      <c r="F16" s="203">
        <f>ELEC!K17</f>
        <v>900</v>
      </c>
      <c r="G16" s="203">
        <f>ELEC!I17</f>
        <v>812</v>
      </c>
      <c r="H16" s="203">
        <f>ELEC!E17</f>
        <v>2300</v>
      </c>
      <c r="I16" s="203">
        <f>ELEC!G17</f>
        <v>676</v>
      </c>
      <c r="J16" s="203">
        <f>WATER!Y20</f>
        <v>0</v>
      </c>
      <c r="K16" s="203">
        <f>WATER!AJ20</f>
        <v>0</v>
      </c>
      <c r="L16" s="10">
        <f>ELEC!B17</f>
        <v>0</v>
      </c>
      <c r="M16" s="10"/>
    </row>
    <row r="17" spans="1:13">
      <c r="A17" t="s">
        <v>345</v>
      </c>
      <c r="B17">
        <f t="shared" si="0"/>
        <v>16</v>
      </c>
      <c r="C17">
        <v>3</v>
      </c>
      <c r="D17">
        <v>2021</v>
      </c>
      <c r="E17" s="203">
        <f>ELEC!M18</f>
        <v>2598</v>
      </c>
      <c r="F17" s="203">
        <f>ELEC!K18</f>
        <v>1146</v>
      </c>
      <c r="G17" s="203">
        <f>ELEC!I18</f>
        <v>780</v>
      </c>
      <c r="H17" s="203">
        <f>ELEC!E18</f>
        <v>3048</v>
      </c>
      <c r="I17" s="203">
        <f>ELEC!G18</f>
        <v>639</v>
      </c>
      <c r="J17" s="203">
        <f>WATER!Y21</f>
        <v>0</v>
      </c>
      <c r="K17" s="203">
        <f>WATER!AJ21</f>
        <v>0</v>
      </c>
      <c r="L17" s="10">
        <f>ELEC!B18</f>
        <v>0</v>
      </c>
      <c r="M17" s="10"/>
    </row>
    <row r="18" spans="1:13">
      <c r="A18" t="s">
        <v>345</v>
      </c>
      <c r="B18">
        <f t="shared" si="0"/>
        <v>17</v>
      </c>
      <c r="C18">
        <v>3</v>
      </c>
      <c r="D18">
        <v>2021</v>
      </c>
      <c r="E18" s="203">
        <f>ELEC!M19</f>
        <v>2218</v>
      </c>
      <c r="F18" s="203">
        <f>ELEC!K19</f>
        <v>1314</v>
      </c>
      <c r="G18" s="203">
        <f>ELEC!I19</f>
        <v>864</v>
      </c>
      <c r="H18" s="203">
        <f>ELEC!E19</f>
        <v>3500</v>
      </c>
      <c r="I18" s="203">
        <f>ELEC!G19</f>
        <v>592</v>
      </c>
      <c r="J18" s="203">
        <f>WATER!Y22</f>
        <v>0</v>
      </c>
      <c r="K18" s="203">
        <f>WATER!AJ22</f>
        <v>0</v>
      </c>
      <c r="L18" s="10">
        <f>ELEC!B19</f>
        <v>0</v>
      </c>
      <c r="M18" s="10"/>
    </row>
    <row r="19" spans="1:13">
      <c r="A19" t="s">
        <v>345</v>
      </c>
      <c r="B19">
        <f t="shared" si="0"/>
        <v>18</v>
      </c>
      <c r="C19">
        <v>3</v>
      </c>
      <c r="D19">
        <v>2021</v>
      </c>
      <c r="E19" s="203">
        <f>ELEC!M20</f>
        <v>2542</v>
      </c>
      <c r="F19" s="203">
        <f>ELEC!K20</f>
        <v>1350</v>
      </c>
      <c r="G19" s="203">
        <f>ELEC!I20</f>
        <v>892</v>
      </c>
      <c r="H19" s="203">
        <f>ELEC!E20</f>
        <v>3640</v>
      </c>
      <c r="I19" s="203">
        <f>ELEC!G20</f>
        <v>564</v>
      </c>
      <c r="J19" s="203">
        <f>WATER!Y23</f>
        <v>28</v>
      </c>
      <c r="K19" s="203">
        <f>WATER!AJ23</f>
        <v>14</v>
      </c>
      <c r="L19" s="10">
        <f>ELEC!B20</f>
        <v>0</v>
      </c>
      <c r="M19" s="10"/>
    </row>
    <row r="20" spans="1:13">
      <c r="A20" t="s">
        <v>345</v>
      </c>
      <c r="B20">
        <f t="shared" si="0"/>
        <v>19</v>
      </c>
      <c r="C20">
        <v>3</v>
      </c>
      <c r="D20">
        <v>2021</v>
      </c>
      <c r="E20" s="203">
        <f>ELEC!M21</f>
        <v>1856</v>
      </c>
      <c r="F20" s="203">
        <f>ELEC!K21</f>
        <v>1018</v>
      </c>
      <c r="G20" s="203">
        <f>ELEC!I21</f>
        <v>860</v>
      </c>
      <c r="H20" s="203">
        <f>ELEC!E21</f>
        <v>2824</v>
      </c>
      <c r="I20" s="203">
        <f>ELEC!G21</f>
        <v>587</v>
      </c>
      <c r="J20" s="203">
        <f>WATER!Y24</f>
        <v>74</v>
      </c>
      <c r="K20" s="203">
        <f>WATER!AJ24</f>
        <v>45</v>
      </c>
      <c r="L20" s="10">
        <f>ELEC!B21</f>
        <v>0</v>
      </c>
      <c r="M20" s="10"/>
    </row>
    <row r="21" spans="1:13">
      <c r="A21" t="s">
        <v>345</v>
      </c>
      <c r="B21">
        <f t="shared" si="0"/>
        <v>20</v>
      </c>
      <c r="C21">
        <v>3</v>
      </c>
      <c r="D21">
        <v>2021</v>
      </c>
      <c r="E21" s="203">
        <f>ELEC!M22</f>
        <v>1702</v>
      </c>
      <c r="F21" s="203">
        <f>ELEC!K22</f>
        <v>908</v>
      </c>
      <c r="G21" s="203">
        <f>ELEC!I22</f>
        <v>808</v>
      </c>
      <c r="H21" s="203">
        <f>ELEC!E22</f>
        <v>2352</v>
      </c>
      <c r="I21" s="203">
        <f>ELEC!G22</f>
        <v>586</v>
      </c>
      <c r="J21" s="203">
        <f>WATER!Y25</f>
        <v>42</v>
      </c>
      <c r="K21" s="203">
        <f>WATER!AJ25</f>
        <v>14</v>
      </c>
      <c r="L21" s="10">
        <f>ELEC!B22</f>
        <v>0</v>
      </c>
      <c r="M21" s="10"/>
    </row>
    <row r="22" spans="1:13">
      <c r="A22" t="s">
        <v>345</v>
      </c>
      <c r="B22">
        <f t="shared" si="0"/>
        <v>21</v>
      </c>
      <c r="C22">
        <v>3</v>
      </c>
      <c r="D22">
        <v>2021</v>
      </c>
      <c r="E22" s="203">
        <f>ELEC!M23</f>
        <v>1696</v>
      </c>
      <c r="F22" s="203">
        <f>ELEC!K23</f>
        <v>1012</v>
      </c>
      <c r="G22" s="203">
        <f>ELEC!I23</f>
        <v>812</v>
      </c>
      <c r="H22" s="203">
        <f>ELEC!E23</f>
        <v>3122</v>
      </c>
      <c r="I22" s="203">
        <f>ELEC!G23</f>
        <v>575</v>
      </c>
      <c r="J22" s="203">
        <f>WATER!Y26</f>
        <v>89</v>
      </c>
      <c r="K22" s="203">
        <f>WATER!AJ26</f>
        <v>0</v>
      </c>
      <c r="L22" s="10">
        <f>ELEC!B23</f>
        <v>0</v>
      </c>
      <c r="M22" s="10"/>
    </row>
    <row r="23" spans="1:13">
      <c r="A23" t="s">
        <v>345</v>
      </c>
      <c r="B23">
        <f t="shared" si="0"/>
        <v>22</v>
      </c>
      <c r="C23">
        <v>3</v>
      </c>
      <c r="D23">
        <v>2021</v>
      </c>
      <c r="E23" s="203">
        <f>ELEC!M24</f>
        <v>2066</v>
      </c>
      <c r="F23" s="203">
        <f>ELEC!K24</f>
        <v>1436</v>
      </c>
      <c r="G23" s="203">
        <f>ELEC!I24</f>
        <v>964</v>
      </c>
      <c r="H23" s="203">
        <f>ELEC!E24</f>
        <v>4706</v>
      </c>
      <c r="I23" s="203">
        <f>ELEC!G24</f>
        <v>607</v>
      </c>
      <c r="J23" s="203">
        <f>WATER!Y27</f>
        <v>113</v>
      </c>
      <c r="K23" s="203">
        <f>WATER!AJ27</f>
        <v>25</v>
      </c>
      <c r="L23" s="10">
        <f>ELEC!B24</f>
        <v>0</v>
      </c>
      <c r="M23" s="10"/>
    </row>
    <row r="24" spans="1:13">
      <c r="A24" t="s">
        <v>345</v>
      </c>
      <c r="B24">
        <f t="shared" si="0"/>
        <v>23</v>
      </c>
      <c r="C24">
        <v>3</v>
      </c>
      <c r="D24">
        <v>2021</v>
      </c>
      <c r="E24" s="203">
        <f>ELEC!M25</f>
        <v>2248</v>
      </c>
      <c r="F24" s="203">
        <f>ELEC!K25</f>
        <v>1544</v>
      </c>
      <c r="G24" s="203">
        <f>ELEC!I25</f>
        <v>942</v>
      </c>
      <c r="H24" s="203">
        <f>ELEC!E25</f>
        <v>4928</v>
      </c>
      <c r="I24" s="203">
        <f>ELEC!G25</f>
        <v>694</v>
      </c>
      <c r="J24" s="203">
        <f>WATER!Y28</f>
        <v>0</v>
      </c>
      <c r="K24" s="203">
        <f>WATER!AJ28</f>
        <v>0</v>
      </c>
      <c r="L24" s="10">
        <f>ELEC!B25</f>
        <v>0</v>
      </c>
      <c r="M24" s="10"/>
    </row>
    <row r="25" spans="1:13">
      <c r="A25" t="s">
        <v>345</v>
      </c>
      <c r="B25">
        <f t="shared" si="0"/>
        <v>24</v>
      </c>
      <c r="C25">
        <v>3</v>
      </c>
      <c r="D25">
        <v>2021</v>
      </c>
      <c r="E25" s="203">
        <f>ELEC!M26</f>
        <v>2526</v>
      </c>
      <c r="F25" s="203">
        <f>ELEC!K26</f>
        <v>1308</v>
      </c>
      <c r="G25" s="203">
        <f>ELEC!I26</f>
        <v>882</v>
      </c>
      <c r="H25" s="203">
        <f>ELEC!E26</f>
        <v>3076</v>
      </c>
      <c r="I25" s="203">
        <f>ELEC!G26</f>
        <v>717</v>
      </c>
      <c r="J25" s="203">
        <f>WATER!Y29</f>
        <v>232</v>
      </c>
      <c r="K25" s="203">
        <f>WATER!AJ29</f>
        <v>7</v>
      </c>
      <c r="L25" s="10">
        <f>ELEC!B26</f>
        <v>0</v>
      </c>
      <c r="M25" s="10"/>
    </row>
    <row r="26" spans="1:13">
      <c r="A26" t="s">
        <v>345</v>
      </c>
      <c r="B26">
        <f>B25+1</f>
        <v>25</v>
      </c>
      <c r="C26">
        <v>3</v>
      </c>
      <c r="D26">
        <v>2021</v>
      </c>
      <c r="E26" s="203">
        <f>ELEC!M27</f>
        <v>3568</v>
      </c>
      <c r="F26" s="203">
        <f>ELEC!K27</f>
        <v>1632</v>
      </c>
      <c r="G26" s="203">
        <f>ELEC!I27</f>
        <v>992</v>
      </c>
      <c r="H26" s="203">
        <f>ELEC!E27</f>
        <v>3240</v>
      </c>
      <c r="I26" s="203">
        <f>ELEC!G27</f>
        <v>808</v>
      </c>
      <c r="J26" s="203">
        <f>WATER!Y30</f>
        <v>0</v>
      </c>
      <c r="K26" s="203">
        <f>WATER!AJ30</f>
        <v>0</v>
      </c>
      <c r="L26" s="10">
        <f>ELEC!B27</f>
        <v>0</v>
      </c>
      <c r="M26" s="10"/>
    </row>
    <row r="27" spans="1:13">
      <c r="A27" t="s">
        <v>345</v>
      </c>
      <c r="B27">
        <f t="shared" si="0"/>
        <v>26</v>
      </c>
      <c r="C27">
        <v>3</v>
      </c>
      <c r="D27">
        <v>2021</v>
      </c>
      <c r="E27" s="203">
        <f>ELEC!M28</f>
        <v>2964</v>
      </c>
      <c r="F27" s="203">
        <f>ELEC!K28</f>
        <v>1560</v>
      </c>
      <c r="G27" s="203">
        <f>ELEC!I28</f>
        <v>898</v>
      </c>
      <c r="H27" s="203">
        <f>ELEC!E28</f>
        <v>3196</v>
      </c>
      <c r="I27" s="203">
        <f>ELEC!G28</f>
        <v>584</v>
      </c>
      <c r="J27" s="203">
        <f>WATER!Y31</f>
        <v>63</v>
      </c>
      <c r="K27" s="203">
        <f>WATER!AJ31</f>
        <v>0</v>
      </c>
      <c r="L27" s="10">
        <f>ELEC!B28</f>
        <v>0</v>
      </c>
      <c r="M27" s="10"/>
    </row>
    <row r="28" spans="1:13">
      <c r="A28" t="s">
        <v>345</v>
      </c>
      <c r="B28">
        <f t="shared" si="0"/>
        <v>27</v>
      </c>
      <c r="C28">
        <v>3</v>
      </c>
      <c r="D28">
        <v>2021</v>
      </c>
      <c r="E28" s="203">
        <f>ELEC!M29</f>
        <v>2232</v>
      </c>
      <c r="F28" s="203">
        <f>ELEC!K29</f>
        <v>1740</v>
      </c>
      <c r="G28" s="203">
        <f>ELEC!I29</f>
        <v>900</v>
      </c>
      <c r="H28" s="203">
        <f>ELEC!E29</f>
        <v>3384</v>
      </c>
      <c r="I28" s="203">
        <f>ELEC!G29</f>
        <v>553</v>
      </c>
      <c r="J28" s="203">
        <f>WATER!Y32</f>
        <v>72</v>
      </c>
      <c r="K28" s="203">
        <f>WATER!AJ32</f>
        <v>37</v>
      </c>
      <c r="L28" s="10">
        <f>ELEC!B29</f>
        <v>0</v>
      </c>
      <c r="M28" s="10"/>
    </row>
    <row r="29" spans="1:13">
      <c r="A29" t="s">
        <v>345</v>
      </c>
      <c r="B29">
        <f t="shared" si="0"/>
        <v>28</v>
      </c>
      <c r="C29">
        <v>3</v>
      </c>
      <c r="D29">
        <v>2021</v>
      </c>
      <c r="E29" s="203">
        <f>ELEC!M30</f>
        <v>1886</v>
      </c>
      <c r="F29" s="203">
        <f>ELEC!K30</f>
        <v>1300</v>
      </c>
      <c r="G29" s="203">
        <f>ELEC!I30</f>
        <v>846</v>
      </c>
      <c r="H29" s="203">
        <f>ELEC!E30</f>
        <v>2950</v>
      </c>
      <c r="I29" s="203">
        <f>ELEC!G30</f>
        <v>528</v>
      </c>
      <c r="J29" s="203">
        <f>WATER!Y33</f>
        <v>45</v>
      </c>
      <c r="K29" s="203">
        <f>WATER!AJ33</f>
        <v>13</v>
      </c>
      <c r="L29" s="10">
        <f>ELEC!B30</f>
        <v>0</v>
      </c>
      <c r="M29" s="10"/>
    </row>
    <row r="30" spans="1:13">
      <c r="A30" t="s">
        <v>345</v>
      </c>
      <c r="B30">
        <f t="shared" si="0"/>
        <v>29</v>
      </c>
      <c r="C30">
        <v>3</v>
      </c>
      <c r="D30">
        <v>2021</v>
      </c>
      <c r="E30" s="203">
        <f>ELEC!M31</f>
        <v>2514</v>
      </c>
      <c r="F30" s="203">
        <f>ELEC!K31</f>
        <v>2220</v>
      </c>
      <c r="G30" s="203">
        <f>ELEC!I31</f>
        <v>940</v>
      </c>
      <c r="H30" s="203">
        <f>ELEC!E31</f>
        <v>4706</v>
      </c>
      <c r="I30" s="203">
        <f>ELEC!G31</f>
        <v>625</v>
      </c>
      <c r="J30" s="203">
        <f>WATER!Y34</f>
        <v>0</v>
      </c>
      <c r="K30" s="203">
        <f>WATER!AJ34</f>
        <v>0</v>
      </c>
      <c r="L30" s="10">
        <f>ELEC!B31</f>
        <v>0</v>
      </c>
    </row>
    <row r="31" spans="1:13">
      <c r="A31" t="s">
        <v>345</v>
      </c>
      <c r="B31">
        <f t="shared" si="0"/>
        <v>30</v>
      </c>
      <c r="C31">
        <v>3</v>
      </c>
      <c r="D31">
        <v>2021</v>
      </c>
      <c r="E31" s="203">
        <f>ELEC!M32</f>
        <v>3456</v>
      </c>
      <c r="F31" s="203">
        <f>ELEC!K32</f>
        <v>1614</v>
      </c>
      <c r="G31" s="203">
        <f>ELEC!I32</f>
        <v>902</v>
      </c>
      <c r="H31" s="203">
        <f>ELEC!E32</f>
        <v>2850</v>
      </c>
      <c r="I31" s="203">
        <f>ELEC!G32</f>
        <v>623</v>
      </c>
      <c r="J31" s="203">
        <f>WATER!Y35</f>
        <v>0</v>
      </c>
      <c r="K31" s="203">
        <f>WATER!AJ35</f>
        <v>0</v>
      </c>
      <c r="L31" s="10">
        <f>ELEC!B32</f>
        <v>0</v>
      </c>
    </row>
    <row r="32" spans="1:13">
      <c r="A32" t="s">
        <v>345</v>
      </c>
      <c r="B32">
        <f t="shared" si="0"/>
        <v>31</v>
      </c>
      <c r="C32">
        <v>3</v>
      </c>
      <c r="D32">
        <v>2021</v>
      </c>
      <c r="E32" s="203">
        <f>ELEC!M33</f>
        <v>4026</v>
      </c>
      <c r="F32" s="203">
        <f>ELEC!K33</f>
        <v>1686</v>
      </c>
      <c r="G32" s="203">
        <f>ELEC!I33</f>
        <v>974</v>
      </c>
      <c r="H32" s="203">
        <f>ELEC!E33</f>
        <v>3610</v>
      </c>
      <c r="I32" s="203">
        <f>ELEC!G33</f>
        <v>632</v>
      </c>
      <c r="J32" s="203">
        <f>WATER!Y36</f>
        <v>0</v>
      </c>
      <c r="K32" s="203">
        <f>WATER!AJ36</f>
        <v>0</v>
      </c>
      <c r="L32" s="10">
        <f>ELEC!B33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topLeftCell="G1" zoomScale="85" zoomScaleNormal="85" zoomScaleSheetLayoutView="100" workbookViewId="0">
      <pane ySplit="1" topLeftCell="A20" activePane="bottomLeft" state="frozen"/>
      <selection activeCell="C1" sqref="C1"/>
      <selection pane="bottomLeft" activeCell="V33" sqref="V33"/>
    </sheetView>
  </sheetViews>
  <sheetFormatPr defaultColWidth="9.140625" defaultRowHeight="15"/>
  <cols>
    <col min="1" max="1" width="7.7109375" style="466" bestFit="1" customWidth="1"/>
    <col min="2" max="2" width="10.28515625" style="474" bestFit="1" customWidth="1"/>
    <col min="3" max="3" width="11.5703125" style="466" customWidth="1"/>
    <col min="4" max="4" width="18" style="475" bestFit="1" customWidth="1"/>
    <col min="5" max="5" width="14.42578125" style="475" bestFit="1" customWidth="1"/>
    <col min="6" max="6" width="15.28515625" style="475" bestFit="1" customWidth="1"/>
    <col min="7" max="7" width="12" style="475" bestFit="1" customWidth="1"/>
    <col min="8" max="8" width="18" style="475" bestFit="1" customWidth="1"/>
    <col min="9" max="9" width="13" style="475" bestFit="1" customWidth="1"/>
    <col min="10" max="10" width="18" style="475" bestFit="1" customWidth="1"/>
    <col min="11" max="11" width="11.7109375" style="475" customWidth="1"/>
    <col min="12" max="12" width="18" style="475" bestFit="1" customWidth="1"/>
    <col min="13" max="13" width="12.5703125" style="475" bestFit="1" customWidth="1"/>
    <col min="14" max="14" width="15.42578125" style="466" bestFit="1" customWidth="1"/>
    <col min="15" max="15" width="13.140625" style="476" bestFit="1" customWidth="1"/>
    <col min="16" max="16" width="14.28515625" style="466" bestFit="1" customWidth="1"/>
    <col min="17" max="17" width="13.7109375" style="466" bestFit="1" customWidth="1"/>
    <col min="18" max="18" width="12.42578125" style="466" bestFit="1" customWidth="1"/>
    <col min="19" max="21" width="11.5703125" style="466" bestFit="1" customWidth="1"/>
    <col min="22" max="22" width="13.140625" style="466" bestFit="1" customWidth="1"/>
    <col min="23" max="25" width="11.5703125" style="466" bestFit="1" customWidth="1"/>
    <col min="26" max="26" width="13.140625" style="466" bestFit="1" customWidth="1"/>
    <col min="27" max="29" width="11.5703125" style="466" bestFit="1" customWidth="1"/>
    <col min="30" max="30" width="13.140625" style="466" bestFit="1" customWidth="1"/>
    <col min="31" max="32" width="11.5703125" style="466" bestFit="1" customWidth="1"/>
    <col min="33" max="33" width="14.42578125" style="466" bestFit="1" customWidth="1"/>
    <col min="34" max="34" width="9.140625" style="466"/>
    <col min="35" max="35" width="9.7109375" style="466" bestFit="1" customWidth="1"/>
    <col min="36" max="16384" width="9.140625" style="466"/>
  </cols>
  <sheetData>
    <row r="1" spans="1:115" s="450" customFormat="1" ht="18.75" customHeight="1">
      <c r="A1" s="450" t="s">
        <v>19</v>
      </c>
      <c r="B1" s="451" t="s">
        <v>155</v>
      </c>
      <c r="C1" s="452"/>
      <c r="D1" s="453" t="s">
        <v>20</v>
      </c>
      <c r="E1" s="453" t="s">
        <v>21</v>
      </c>
      <c r="F1" s="453" t="s">
        <v>22</v>
      </c>
      <c r="G1" s="453" t="s">
        <v>23</v>
      </c>
      <c r="H1" s="453" t="s">
        <v>24</v>
      </c>
      <c r="I1" s="453" t="s">
        <v>25</v>
      </c>
      <c r="J1" s="453" t="s">
        <v>26</v>
      </c>
      <c r="K1" s="453" t="s">
        <v>27</v>
      </c>
      <c r="L1" s="453" t="s">
        <v>28</v>
      </c>
      <c r="M1" s="453" t="s">
        <v>29</v>
      </c>
      <c r="N1" s="454" t="s">
        <v>30</v>
      </c>
      <c r="O1" s="455" t="s">
        <v>156</v>
      </c>
      <c r="P1" s="456" t="s">
        <v>326</v>
      </c>
      <c r="Q1" s="454" t="s">
        <v>31</v>
      </c>
      <c r="R1" s="454" t="s">
        <v>32</v>
      </c>
      <c r="S1" s="454" t="s">
        <v>361</v>
      </c>
      <c r="T1" s="454" t="s">
        <v>33</v>
      </c>
      <c r="U1" s="454" t="s">
        <v>34</v>
      </c>
      <c r="V1" s="454" t="s">
        <v>35</v>
      </c>
      <c r="W1" s="454" t="s">
        <v>36</v>
      </c>
      <c r="X1" s="454" t="s">
        <v>33</v>
      </c>
      <c r="Y1" s="454" t="s">
        <v>37</v>
      </c>
      <c r="Z1" s="454" t="s">
        <v>38</v>
      </c>
      <c r="AA1" s="454" t="s">
        <v>39</v>
      </c>
      <c r="AB1" s="454" t="s">
        <v>33</v>
      </c>
      <c r="AC1" s="454" t="s">
        <v>77</v>
      </c>
      <c r="AD1" s="454" t="s">
        <v>40</v>
      </c>
      <c r="AE1" s="454" t="s">
        <v>41</v>
      </c>
      <c r="AF1" s="454" t="s">
        <v>42</v>
      </c>
      <c r="AG1" s="450" t="s">
        <v>132</v>
      </c>
    </row>
    <row r="2" spans="1:115" s="449" customFormat="1">
      <c r="A2" s="535">
        <f>[1]ELEC!A30</f>
        <v>0</v>
      </c>
      <c r="B2" s="535">
        <f>[2]ELEC!B33</f>
        <v>0</v>
      </c>
      <c r="C2" s="458">
        <f>[1]ELEC!$C$30</f>
        <v>44255</v>
      </c>
      <c r="D2" s="536">
        <f>[1]ELEC!D30</f>
        <v>32641226</v>
      </c>
      <c r="E2" s="536">
        <f>[1]ELEC!E30</f>
        <v>1904</v>
      </c>
      <c r="F2" s="536">
        <f>[1]ELEC!F30</f>
        <v>3971481</v>
      </c>
      <c r="G2" s="536">
        <f>[1]ELEC!G30</f>
        <v>621</v>
      </c>
      <c r="H2" s="536">
        <f>[1]ELEC!H30</f>
        <v>17803738</v>
      </c>
      <c r="I2" s="536">
        <f>[1]ELEC!I30</f>
        <v>908</v>
      </c>
      <c r="J2" s="536">
        <f>[1]ELEC!J30</f>
        <v>28920206</v>
      </c>
      <c r="K2" s="536">
        <f>[1]ELEC!K30</f>
        <v>1956</v>
      </c>
      <c r="L2" s="536">
        <f>[1]ELEC!L30</f>
        <v>24053142</v>
      </c>
      <c r="M2" s="536">
        <f>[1]ELEC!M30</f>
        <v>2332</v>
      </c>
      <c r="N2" s="536">
        <f>[1]ELEC!N30</f>
        <v>7721</v>
      </c>
      <c r="O2" s="536">
        <f>[1]ELEC!O30</f>
        <v>0</v>
      </c>
      <c r="P2" s="536">
        <f>[1]ELEC!P30</f>
        <v>16679.337</v>
      </c>
      <c r="Q2" s="536">
        <f>[1]ELEC!Q30</f>
        <v>5560.0000000013097</v>
      </c>
      <c r="R2" s="536">
        <f>[1]ELEC!R30</f>
        <v>2160.9999999986903</v>
      </c>
      <c r="S2" s="536">
        <f>[1]ELEC!S30</f>
        <v>10128</v>
      </c>
      <c r="T2" s="536">
        <f>[1]ELEC!T30</f>
        <v>0</v>
      </c>
      <c r="U2" s="536">
        <f>[1]ELEC!U30</f>
        <v>422437</v>
      </c>
      <c r="V2" s="536">
        <f>[1]ELEC!V30</f>
        <v>0</v>
      </c>
      <c r="W2" s="536">
        <f>[1]ELEC!W30</f>
        <v>32244</v>
      </c>
      <c r="X2" s="536">
        <f>[1]ELEC!X30</f>
        <v>4</v>
      </c>
      <c r="Y2" s="536">
        <f>[1]ELEC!Y30</f>
        <v>708141</v>
      </c>
      <c r="Z2" s="536">
        <f>[1]ELEC!Z30</f>
        <v>546</v>
      </c>
      <c r="AA2" s="536">
        <f>[1]ELEC!AA30</f>
        <v>35697</v>
      </c>
      <c r="AB2" s="536">
        <f>[1]ELEC!AB30</f>
        <v>0</v>
      </c>
      <c r="AC2" s="536">
        <f>[1]ELEC!AC30</f>
        <v>916656</v>
      </c>
      <c r="AD2" s="536">
        <f>[1]ELEC!AD30</f>
        <v>0</v>
      </c>
      <c r="AE2" s="536">
        <f>[1]ELEC!AE30</f>
        <v>4</v>
      </c>
      <c r="AF2" s="536">
        <f>[1]ELEC!AF30</f>
        <v>546</v>
      </c>
      <c r="AG2" s="536">
        <f>[1]ELEC!AG30</f>
        <v>136.5</v>
      </c>
      <c r="AH2" s="536">
        <f>[1]ELEC!AH30</f>
        <v>0</v>
      </c>
      <c r="AI2" s="536">
        <f>[1]ELEC!AI30</f>
        <v>-899557.00000000128</v>
      </c>
      <c r="AJ2" s="536">
        <f>[1]ELEC!AJ30</f>
        <v>0</v>
      </c>
      <c r="AK2" s="536">
        <f>[1]ELEC!AK30</f>
        <v>0</v>
      </c>
      <c r="AL2" s="536">
        <f>[1]ELEC!AL30</f>
        <v>0</v>
      </c>
      <c r="AM2" s="536">
        <f>[1]ELEC!AM30</f>
        <v>0</v>
      </c>
      <c r="AN2" s="536">
        <f>[1]ELEC!AN30</f>
        <v>0</v>
      </c>
      <c r="AO2" s="536">
        <f>[1]ELEC!AO30</f>
        <v>0</v>
      </c>
      <c r="AP2" s="536">
        <f>[1]ELEC!AP30</f>
        <v>0</v>
      </c>
      <c r="AQ2" s="536">
        <f>[1]ELEC!AQ30</f>
        <v>0</v>
      </c>
      <c r="AR2" s="536">
        <f>[1]ELEC!AR30</f>
        <v>0</v>
      </c>
      <c r="AS2" s="536">
        <f>[1]ELEC!AS30</f>
        <v>0</v>
      </c>
      <c r="AT2" s="536">
        <f>[1]ELEC!AT30</f>
        <v>0</v>
      </c>
      <c r="AU2" s="536">
        <f>[1]ELEC!AU30</f>
        <v>0</v>
      </c>
      <c r="AV2" s="536">
        <f>[1]ELEC!AV30</f>
        <v>0</v>
      </c>
      <c r="AW2" s="536">
        <f>[1]ELEC!AW30</f>
        <v>0</v>
      </c>
      <c r="AX2" s="536">
        <f>[1]ELEC!AX30</f>
        <v>0</v>
      </c>
      <c r="AY2" s="536">
        <f>[1]ELEC!AY30</f>
        <v>0</v>
      </c>
      <c r="AZ2" s="536">
        <f>[1]ELEC!AZ30</f>
        <v>0</v>
      </c>
      <c r="BA2" s="536">
        <f>[1]ELEC!BA30</f>
        <v>0</v>
      </c>
      <c r="BB2" s="536">
        <f>[1]ELEC!BB30</f>
        <v>0</v>
      </c>
      <c r="BC2" s="536">
        <f>[1]ELEC!BC30</f>
        <v>0</v>
      </c>
      <c r="BD2" s="536">
        <f>[1]ELEC!BD30</f>
        <v>0</v>
      </c>
      <c r="BE2" s="536">
        <f>[1]ELEC!BE30</f>
        <v>0</v>
      </c>
      <c r="BF2" s="536">
        <f>[1]ELEC!BF30</f>
        <v>0</v>
      </c>
      <c r="BG2" s="536">
        <f>[1]ELEC!BG30</f>
        <v>0</v>
      </c>
      <c r="BH2" s="536">
        <f>[1]ELEC!BH30</f>
        <v>0</v>
      </c>
      <c r="BI2" s="536">
        <f>[1]ELEC!BI30</f>
        <v>0</v>
      </c>
      <c r="BJ2" s="536">
        <f>[1]ELEC!BJ30</f>
        <v>0</v>
      </c>
      <c r="BK2" s="536">
        <f>[1]ELEC!BK30</f>
        <v>0</v>
      </c>
      <c r="BL2" s="536">
        <f>[1]ELEC!BL30</f>
        <v>0</v>
      </c>
      <c r="BM2" s="536">
        <f>[1]ELEC!BM30</f>
        <v>0</v>
      </c>
      <c r="BN2" s="536">
        <f>[1]ELEC!BN30</f>
        <v>0</v>
      </c>
      <c r="BO2" s="536">
        <f>[1]ELEC!BO30</f>
        <v>0</v>
      </c>
      <c r="BP2" s="536">
        <f>[1]ELEC!BP30</f>
        <v>0</v>
      </c>
      <c r="BQ2" s="536">
        <f>[1]ELEC!BQ30</f>
        <v>0</v>
      </c>
      <c r="BR2" s="536">
        <f>[1]ELEC!BR30</f>
        <v>0</v>
      </c>
      <c r="BS2" s="536">
        <f>[1]ELEC!BS30</f>
        <v>0</v>
      </c>
      <c r="BT2" s="536">
        <f>[1]ELEC!BT30</f>
        <v>0</v>
      </c>
      <c r="BU2" s="536">
        <f>[1]ELEC!BU30</f>
        <v>0</v>
      </c>
      <c r="BV2" s="536">
        <f>[1]ELEC!BV30</f>
        <v>0</v>
      </c>
      <c r="BW2" s="536">
        <f>[1]ELEC!BW30</f>
        <v>0</v>
      </c>
      <c r="BX2" s="536">
        <f>[1]ELEC!BX30</f>
        <v>0</v>
      </c>
      <c r="BY2" s="536">
        <f>[1]ELEC!BY30</f>
        <v>0</v>
      </c>
      <c r="BZ2" s="536">
        <f>[1]ELEC!BZ30</f>
        <v>0</v>
      </c>
      <c r="CA2" s="536">
        <f>[1]ELEC!CA30</f>
        <v>0</v>
      </c>
      <c r="CB2" s="536">
        <f>[1]ELEC!CB30</f>
        <v>0</v>
      </c>
      <c r="CC2" s="536">
        <f>[1]ELEC!CC30</f>
        <v>0</v>
      </c>
      <c r="CD2" s="536">
        <f>[1]ELEC!CD30</f>
        <v>0</v>
      </c>
      <c r="CE2" s="536">
        <f>[1]ELEC!CE30</f>
        <v>0</v>
      </c>
      <c r="CF2" s="536">
        <f>[1]ELEC!CF30</f>
        <v>0</v>
      </c>
      <c r="CG2" s="536">
        <f>[1]ELEC!CG30</f>
        <v>0</v>
      </c>
      <c r="CH2" s="536">
        <f>[1]ELEC!CH30</f>
        <v>0</v>
      </c>
      <c r="CI2" s="536">
        <f>[1]ELEC!CI30</f>
        <v>0</v>
      </c>
      <c r="CJ2" s="536">
        <f>[1]ELEC!CJ30</f>
        <v>0</v>
      </c>
      <c r="CK2" s="536">
        <f>[1]ELEC!CK30</f>
        <v>0</v>
      </c>
      <c r="CL2" s="536">
        <f>[1]ELEC!CL30</f>
        <v>0</v>
      </c>
      <c r="CM2" s="536">
        <f>[1]ELEC!CM30</f>
        <v>0</v>
      </c>
      <c r="CN2" s="536">
        <f>[1]ELEC!CN30</f>
        <v>0</v>
      </c>
      <c r="CO2" s="536">
        <f>[1]ELEC!CO30</f>
        <v>0</v>
      </c>
      <c r="CP2" s="536">
        <f>[1]ELEC!CP30</f>
        <v>0</v>
      </c>
      <c r="CQ2" s="536">
        <f>[1]ELEC!CQ30</f>
        <v>0</v>
      </c>
      <c r="CR2" s="536">
        <f>[1]ELEC!CR30</f>
        <v>0</v>
      </c>
      <c r="CS2" s="536">
        <f>[1]ELEC!CS30</f>
        <v>0</v>
      </c>
      <c r="CT2" s="536">
        <f>[1]ELEC!CT30</f>
        <v>0</v>
      </c>
      <c r="CU2" s="536">
        <f>[1]ELEC!CU30</f>
        <v>0</v>
      </c>
      <c r="CV2" s="536">
        <f>[1]ELEC!CV30</f>
        <v>0</v>
      </c>
      <c r="CW2" s="536">
        <f>[1]ELEC!CW30</f>
        <v>0</v>
      </c>
      <c r="CX2" s="536">
        <f>[1]ELEC!CX30</f>
        <v>0</v>
      </c>
      <c r="CY2" s="536">
        <f>[1]ELEC!CY30</f>
        <v>0</v>
      </c>
      <c r="CZ2" s="536">
        <f>[1]ELEC!CZ30</f>
        <v>0</v>
      </c>
      <c r="DA2" s="536">
        <f>[2]ELEC!DA33</f>
        <v>0</v>
      </c>
      <c r="DB2" s="536">
        <f>[2]ELEC!DB33</f>
        <v>0</v>
      </c>
      <c r="DC2" s="536">
        <f>[2]ELEC!DC33</f>
        <v>0</v>
      </c>
      <c r="DD2" s="536">
        <f>[2]ELEC!DD33</f>
        <v>0</v>
      </c>
      <c r="DE2" s="480"/>
      <c r="DF2" s="480"/>
      <c r="DG2" s="480"/>
      <c r="DH2" s="480"/>
      <c r="DI2" s="480"/>
      <c r="DJ2" s="480"/>
      <c r="DK2" s="480"/>
    </row>
    <row r="3" spans="1:115">
      <c r="A3" s="457">
        <f>'General information '!F6</f>
        <v>0</v>
      </c>
      <c r="B3" s="451">
        <f>SUM(230*A3)</f>
        <v>0</v>
      </c>
      <c r="C3" s="458">
        <v>44256</v>
      </c>
      <c r="D3" s="445">
        <v>32643923</v>
      </c>
      <c r="E3" s="446">
        <f>D3-D2</f>
        <v>2697</v>
      </c>
      <c r="F3" s="602">
        <v>3972180</v>
      </c>
      <c r="G3" s="447">
        <f t="shared" ref="G3:G33" si="0">F3-F2</f>
        <v>699</v>
      </c>
      <c r="H3" s="445">
        <v>17804666</v>
      </c>
      <c r="I3" s="447">
        <f>H3-H2</f>
        <v>928</v>
      </c>
      <c r="J3" s="602">
        <v>28921882</v>
      </c>
      <c r="K3" s="447">
        <f>J3-J2</f>
        <v>1676</v>
      </c>
      <c r="L3" s="445">
        <v>24055550</v>
      </c>
      <c r="M3" s="447">
        <f>L3-L2</f>
        <v>2408</v>
      </c>
      <c r="N3" s="448">
        <f>M3+K3+I3+G3+E3</f>
        <v>8408</v>
      </c>
      <c r="O3" s="459">
        <f t="shared" ref="O3:O9" si="1">IF(B3&gt;0,N3/B3,0)</f>
        <v>0</v>
      </c>
      <c r="P3" s="603">
        <v>16685.501</v>
      </c>
      <c r="Q3" s="468">
        <f t="shared" ref="Q3:Q12" si="2">(P3-P2)*1000</f>
        <v>6164.0000000006694</v>
      </c>
      <c r="R3" s="461">
        <f>+N3-Q3</f>
        <v>2243.9999999993306</v>
      </c>
      <c r="S3" s="445">
        <f>S2</f>
        <v>10128</v>
      </c>
      <c r="T3" s="462">
        <f t="shared" ref="T3:T30" si="3">S3-S2</f>
        <v>0</v>
      </c>
      <c r="U3" s="445">
        <f>U2</f>
        <v>422437</v>
      </c>
      <c r="V3" s="460">
        <f>U3-U2</f>
        <v>0</v>
      </c>
      <c r="W3" s="445">
        <v>32246</v>
      </c>
      <c r="X3" s="460">
        <f t="shared" ref="X3:X8" si="4">W3-W2</f>
        <v>2</v>
      </c>
      <c r="Y3" s="602">
        <v>708475</v>
      </c>
      <c r="Z3" s="460">
        <f>Y3-Y2</f>
        <v>334</v>
      </c>
      <c r="AA3" s="445">
        <v>35699</v>
      </c>
      <c r="AB3" s="460">
        <f>AA3-AA2</f>
        <v>2</v>
      </c>
      <c r="AC3" s="602">
        <v>916997</v>
      </c>
      <c r="AD3" s="463">
        <f>AC3-AC2</f>
        <v>341</v>
      </c>
      <c r="AE3" s="464">
        <f>AB3+X3+T3</f>
        <v>4</v>
      </c>
      <c r="AF3" s="445">
        <f>V3+Z3+AD3</f>
        <v>675</v>
      </c>
      <c r="AG3" s="465">
        <f t="shared" ref="AG3:AG9" si="5">IF(AE3&gt;0,AF3/AE3,0)</f>
        <v>168.75</v>
      </c>
    </row>
    <row r="4" spans="1:115">
      <c r="A4" s="457">
        <f>'General information '!F7</f>
        <v>0</v>
      </c>
      <c r="B4" s="451">
        <f t="shared" ref="B4:B30" si="6">SUM(230*A4)</f>
        <v>0</v>
      </c>
      <c r="C4" s="458">
        <v>44257</v>
      </c>
      <c r="D4" s="445">
        <v>32647390</v>
      </c>
      <c r="E4" s="311">
        <f>D4-D3</f>
        <v>3467</v>
      </c>
      <c r="F4" s="602">
        <v>3972820</v>
      </c>
      <c r="G4" s="312">
        <f t="shared" si="0"/>
        <v>640</v>
      </c>
      <c r="H4" s="445">
        <v>17805604</v>
      </c>
      <c r="I4" s="312">
        <f>H4-H3</f>
        <v>938</v>
      </c>
      <c r="J4" s="602">
        <v>28923310</v>
      </c>
      <c r="K4" s="312">
        <f>J4-J3</f>
        <v>1428</v>
      </c>
      <c r="L4" s="445">
        <v>24058118</v>
      </c>
      <c r="M4" s="312">
        <f>L4-L3</f>
        <v>2568</v>
      </c>
      <c r="N4" s="310">
        <f>M4+K4+I4+G4+E4</f>
        <v>9041</v>
      </c>
      <c r="O4" s="467">
        <f t="shared" si="1"/>
        <v>0</v>
      </c>
      <c r="P4" s="603">
        <v>16692.837</v>
      </c>
      <c r="Q4" s="468">
        <f t="shared" si="2"/>
        <v>7335.9999999993306</v>
      </c>
      <c r="R4" s="449">
        <f>N4-Q4</f>
        <v>1705.0000000006694</v>
      </c>
      <c r="S4" s="445">
        <f t="shared" ref="S4:S33" si="7">S3</f>
        <v>10128</v>
      </c>
      <c r="T4" s="469">
        <f t="shared" si="3"/>
        <v>0</v>
      </c>
      <c r="U4" s="445">
        <f t="shared" ref="U4:U33" si="8">U3</f>
        <v>422437</v>
      </c>
      <c r="V4" s="449">
        <f>U4-U3</f>
        <v>0</v>
      </c>
      <c r="W4" s="445">
        <f t="shared" ref="W4:W33" si="9">W3</f>
        <v>32246</v>
      </c>
      <c r="X4" s="449">
        <f t="shared" si="4"/>
        <v>0</v>
      </c>
      <c r="Y4" s="445">
        <f t="shared" ref="Y4:Y33" si="10">Y3</f>
        <v>708475</v>
      </c>
      <c r="Z4" s="449">
        <f>Y4-Y3</f>
        <v>0</v>
      </c>
      <c r="AA4" s="445">
        <v>35704</v>
      </c>
      <c r="AB4" s="470">
        <f>AA4-AA3</f>
        <v>5</v>
      </c>
      <c r="AC4" s="602">
        <v>917856</v>
      </c>
      <c r="AD4" s="471">
        <f>AC4-AC3</f>
        <v>859</v>
      </c>
      <c r="AE4" s="472">
        <f t="shared" ref="AE4:AE30" si="11">AB4+X4+T4</f>
        <v>5</v>
      </c>
      <c r="AF4" s="473">
        <f t="shared" ref="AF4:AF30" si="12">V4+Z4+AD4</f>
        <v>859</v>
      </c>
      <c r="AG4" s="465">
        <f t="shared" si="5"/>
        <v>171.8</v>
      </c>
    </row>
    <row r="5" spans="1:115">
      <c r="A5" s="457">
        <f>'General information '!F8</f>
        <v>0</v>
      </c>
      <c r="B5" s="451">
        <f>SUM(230*A5)</f>
        <v>0</v>
      </c>
      <c r="C5" s="458">
        <v>44258</v>
      </c>
      <c r="D5" s="445">
        <v>32650366</v>
      </c>
      <c r="E5" s="311">
        <f t="shared" ref="E5:E33" si="13">D5-D4</f>
        <v>2976</v>
      </c>
      <c r="F5" s="445">
        <v>3973473</v>
      </c>
      <c r="G5" s="312">
        <f t="shared" si="0"/>
        <v>653</v>
      </c>
      <c r="H5" s="445">
        <v>17806506</v>
      </c>
      <c r="I5" s="312">
        <f t="shared" ref="I5:I33" si="14">H5-H4</f>
        <v>902</v>
      </c>
      <c r="J5" s="445">
        <v>28924502</v>
      </c>
      <c r="K5" s="312">
        <f t="shared" ref="K5:K33" si="15">J5-J4</f>
        <v>1192</v>
      </c>
      <c r="L5" s="445">
        <v>24060110</v>
      </c>
      <c r="M5" s="312">
        <f t="shared" ref="M5:M33" si="16">L5-L4</f>
        <v>1992</v>
      </c>
      <c r="N5" s="310">
        <f t="shared" ref="N5:N30" si="17">M5+K5+I5+G5+E5</f>
        <v>7715</v>
      </c>
      <c r="O5" s="467">
        <f t="shared" si="1"/>
        <v>0</v>
      </c>
      <c r="P5" s="591">
        <v>16697.687000000002</v>
      </c>
      <c r="Q5" s="468">
        <f>(P5-P4)*1000</f>
        <v>4850.0000000021828</v>
      </c>
      <c r="R5" s="449">
        <f>N5-Q5</f>
        <v>2864.9999999978172</v>
      </c>
      <c r="S5" s="445">
        <f t="shared" si="7"/>
        <v>10128</v>
      </c>
      <c r="T5" s="469">
        <f t="shared" si="3"/>
        <v>0</v>
      </c>
      <c r="U5" s="445">
        <f t="shared" si="8"/>
        <v>422437</v>
      </c>
      <c r="V5" s="449">
        <f t="shared" ref="V5:V30" si="18">U5-U4</f>
        <v>0</v>
      </c>
      <c r="W5" s="445">
        <f t="shared" si="9"/>
        <v>32246</v>
      </c>
      <c r="X5" s="449">
        <f t="shared" si="4"/>
        <v>0</v>
      </c>
      <c r="Y5" s="445">
        <f t="shared" si="10"/>
        <v>708475</v>
      </c>
      <c r="Z5" s="449">
        <f>Y5-Y4</f>
        <v>0</v>
      </c>
      <c r="AA5" s="445">
        <v>35709</v>
      </c>
      <c r="AB5" s="449">
        <f t="shared" ref="AB5:AB30" si="19">AA5-AA4</f>
        <v>5</v>
      </c>
      <c r="AC5" s="445">
        <v>918536</v>
      </c>
      <c r="AD5" s="449">
        <f t="shared" ref="AD5:AD16" si="20">AC5-AC4</f>
        <v>680</v>
      </c>
      <c r="AE5" s="472">
        <f t="shared" si="11"/>
        <v>5</v>
      </c>
      <c r="AF5" s="473">
        <f t="shared" si="12"/>
        <v>680</v>
      </c>
      <c r="AG5" s="465">
        <f t="shared" si="5"/>
        <v>136</v>
      </c>
      <c r="AI5" s="466">
        <f>R5-'EDl log'!B3</f>
        <v>-902113.00000000221</v>
      </c>
    </row>
    <row r="6" spans="1:115">
      <c r="A6" s="457">
        <f>'General information '!F9</f>
        <v>0</v>
      </c>
      <c r="B6" s="451">
        <f t="shared" si="6"/>
        <v>0</v>
      </c>
      <c r="C6" s="458">
        <v>44259</v>
      </c>
      <c r="D6" s="445">
        <v>32653126</v>
      </c>
      <c r="E6" s="311">
        <f t="shared" si="13"/>
        <v>2760</v>
      </c>
      <c r="F6" s="445">
        <v>3974114</v>
      </c>
      <c r="G6" s="312">
        <f t="shared" si="0"/>
        <v>641</v>
      </c>
      <c r="H6" s="445">
        <v>17807406</v>
      </c>
      <c r="I6" s="312">
        <f t="shared" si="14"/>
        <v>900</v>
      </c>
      <c r="J6" s="445">
        <v>28925654</v>
      </c>
      <c r="K6" s="312">
        <f t="shared" si="15"/>
        <v>1152</v>
      </c>
      <c r="L6" s="445">
        <v>24062062</v>
      </c>
      <c r="M6" s="312">
        <f t="shared" si="16"/>
        <v>1952</v>
      </c>
      <c r="N6" s="310">
        <f t="shared" si="17"/>
        <v>7405</v>
      </c>
      <c r="O6" s="467">
        <f t="shared" si="1"/>
        <v>0</v>
      </c>
      <c r="P6" s="591">
        <v>16701.182000000001</v>
      </c>
      <c r="Q6" s="449">
        <f t="shared" si="2"/>
        <v>3494.9999999989814</v>
      </c>
      <c r="R6" s="449">
        <f t="shared" ref="R6:R12" si="21">N6-Q6</f>
        <v>3910.0000000010186</v>
      </c>
      <c r="S6" s="445">
        <f t="shared" si="7"/>
        <v>10128</v>
      </c>
      <c r="T6" s="469">
        <f t="shared" si="3"/>
        <v>0</v>
      </c>
      <c r="U6" s="445">
        <f t="shared" si="8"/>
        <v>422437</v>
      </c>
      <c r="V6" s="449">
        <f t="shared" si="18"/>
        <v>0</v>
      </c>
      <c r="W6" s="445">
        <f t="shared" si="9"/>
        <v>32246</v>
      </c>
      <c r="X6" s="449">
        <f t="shared" si="4"/>
        <v>0</v>
      </c>
      <c r="Y6" s="445">
        <f t="shared" si="10"/>
        <v>708475</v>
      </c>
      <c r="Z6" s="449">
        <f t="shared" ref="Z6:Z30" si="22">Y6-Y5</f>
        <v>0</v>
      </c>
      <c r="AA6" s="445">
        <v>35712</v>
      </c>
      <c r="AB6" s="449">
        <f t="shared" si="19"/>
        <v>3</v>
      </c>
      <c r="AC6" s="445">
        <v>919105</v>
      </c>
      <c r="AD6" s="449">
        <f t="shared" si="20"/>
        <v>569</v>
      </c>
      <c r="AE6" s="472">
        <f t="shared" si="11"/>
        <v>3</v>
      </c>
      <c r="AF6" s="473">
        <f t="shared" si="12"/>
        <v>569</v>
      </c>
      <c r="AG6" s="465">
        <f t="shared" si="5"/>
        <v>189.66666666666666</v>
      </c>
      <c r="AI6" s="466">
        <f>R6-'EDl log'!B4</f>
        <v>-902317.99999999895</v>
      </c>
    </row>
    <row r="7" spans="1:115">
      <c r="A7" s="457">
        <f>'General information '!F10</f>
        <v>0</v>
      </c>
      <c r="B7" s="451">
        <f t="shared" si="6"/>
        <v>0</v>
      </c>
      <c r="C7" s="458">
        <v>44260</v>
      </c>
      <c r="D7" s="445">
        <v>32656418</v>
      </c>
      <c r="E7" s="311">
        <f t="shared" si="13"/>
        <v>3292</v>
      </c>
      <c r="F7" s="602">
        <v>3974696</v>
      </c>
      <c r="G7" s="312">
        <f t="shared" si="0"/>
        <v>582</v>
      </c>
      <c r="H7" s="445">
        <v>17808322</v>
      </c>
      <c r="I7" s="312">
        <f t="shared" si="14"/>
        <v>916</v>
      </c>
      <c r="J7" s="602">
        <v>28926786</v>
      </c>
      <c r="K7" s="312">
        <f t="shared" si="15"/>
        <v>1132</v>
      </c>
      <c r="L7" s="445">
        <v>24063884</v>
      </c>
      <c r="M7" s="312">
        <f t="shared" si="16"/>
        <v>1822</v>
      </c>
      <c r="N7" s="310">
        <f t="shared" si="17"/>
        <v>7744</v>
      </c>
      <c r="O7" s="467">
        <f t="shared" si="1"/>
        <v>0</v>
      </c>
      <c r="P7" s="603">
        <v>16705.77</v>
      </c>
      <c r="Q7" s="449">
        <f t="shared" si="2"/>
        <v>4587.9999999997381</v>
      </c>
      <c r="R7" s="449">
        <f t="shared" si="21"/>
        <v>3156.0000000002619</v>
      </c>
      <c r="S7" s="445">
        <v>10128</v>
      </c>
      <c r="T7" s="469">
        <f t="shared" si="3"/>
        <v>0</v>
      </c>
      <c r="U7" s="445">
        <f t="shared" si="8"/>
        <v>422437</v>
      </c>
      <c r="V7" s="449">
        <f t="shared" si="18"/>
        <v>0</v>
      </c>
      <c r="W7" s="445">
        <v>32246</v>
      </c>
      <c r="X7" s="449">
        <f t="shared" si="4"/>
        <v>0</v>
      </c>
      <c r="Y7" s="445">
        <f t="shared" si="10"/>
        <v>708475</v>
      </c>
      <c r="Z7" s="449">
        <f t="shared" si="22"/>
        <v>0</v>
      </c>
      <c r="AA7" s="445">
        <v>35717</v>
      </c>
      <c r="AB7" s="449">
        <f t="shared" si="19"/>
        <v>5</v>
      </c>
      <c r="AC7" s="602">
        <v>919927</v>
      </c>
      <c r="AD7" s="449">
        <f t="shared" si="20"/>
        <v>822</v>
      </c>
      <c r="AE7" s="472">
        <f t="shared" si="11"/>
        <v>5</v>
      </c>
      <c r="AF7" s="473">
        <f t="shared" si="12"/>
        <v>822</v>
      </c>
      <c r="AG7" s="465">
        <f t="shared" si="5"/>
        <v>164.4</v>
      </c>
      <c r="AI7" s="466">
        <f>R7-'EDl log'!B5</f>
        <v>-904027.99999999977</v>
      </c>
    </row>
    <row r="8" spans="1:115">
      <c r="A8" s="457">
        <f>'General information '!F11</f>
        <v>0</v>
      </c>
      <c r="B8" s="451">
        <f t="shared" si="6"/>
        <v>0</v>
      </c>
      <c r="C8" s="458">
        <v>44261</v>
      </c>
      <c r="D8" s="445">
        <v>32659484</v>
      </c>
      <c r="E8" s="311">
        <f t="shared" si="13"/>
        <v>3066</v>
      </c>
      <c r="F8" s="445">
        <v>3975244</v>
      </c>
      <c r="G8" s="312">
        <f t="shared" si="0"/>
        <v>548</v>
      </c>
      <c r="H8" s="445">
        <v>17809192</v>
      </c>
      <c r="I8" s="312">
        <f t="shared" si="14"/>
        <v>870</v>
      </c>
      <c r="J8" s="445">
        <v>28927954</v>
      </c>
      <c r="K8" s="312">
        <f t="shared" si="15"/>
        <v>1168</v>
      </c>
      <c r="L8" s="445">
        <v>24065850</v>
      </c>
      <c r="M8" s="312">
        <f t="shared" si="16"/>
        <v>1966</v>
      </c>
      <c r="N8" s="310">
        <f t="shared" si="17"/>
        <v>7618</v>
      </c>
      <c r="O8" s="467">
        <f t="shared" si="1"/>
        <v>0</v>
      </c>
      <c r="P8" s="591">
        <v>16710.650000000001</v>
      </c>
      <c r="Q8" s="449">
        <f t="shared" si="2"/>
        <v>4880.0000000010186</v>
      </c>
      <c r="R8" s="449">
        <f t="shared" si="21"/>
        <v>2737.9999999989814</v>
      </c>
      <c r="S8" s="445">
        <f t="shared" si="7"/>
        <v>10128</v>
      </c>
      <c r="T8" s="469">
        <f t="shared" si="3"/>
        <v>0</v>
      </c>
      <c r="U8" s="445">
        <f t="shared" si="8"/>
        <v>422437</v>
      </c>
      <c r="V8" s="449">
        <f t="shared" si="18"/>
        <v>0</v>
      </c>
      <c r="W8" s="445">
        <f t="shared" si="9"/>
        <v>32246</v>
      </c>
      <c r="X8" s="449">
        <f t="shared" si="4"/>
        <v>0</v>
      </c>
      <c r="Y8" s="445">
        <f t="shared" si="10"/>
        <v>708475</v>
      </c>
      <c r="Z8" s="449">
        <f t="shared" si="22"/>
        <v>0</v>
      </c>
      <c r="AA8" s="445">
        <v>35721</v>
      </c>
      <c r="AB8" s="449">
        <f t="shared" si="19"/>
        <v>4</v>
      </c>
      <c r="AC8" s="445">
        <v>920665</v>
      </c>
      <c r="AD8" s="449">
        <f t="shared" si="20"/>
        <v>738</v>
      </c>
      <c r="AE8" s="472">
        <f t="shared" si="11"/>
        <v>4</v>
      </c>
      <c r="AF8" s="473">
        <f t="shared" si="12"/>
        <v>738</v>
      </c>
      <c r="AG8" s="465">
        <f t="shared" si="5"/>
        <v>184.5</v>
      </c>
      <c r="AI8" s="466">
        <f>R8-'EDl log'!B6</f>
        <v>-906015.00000000105</v>
      </c>
    </row>
    <row r="9" spans="1:115">
      <c r="A9" s="457">
        <f>'General information '!F12</f>
        <v>0</v>
      </c>
      <c r="B9" s="451">
        <f t="shared" si="6"/>
        <v>0</v>
      </c>
      <c r="C9" s="458">
        <v>44262</v>
      </c>
      <c r="D9" s="445">
        <v>32661734</v>
      </c>
      <c r="E9" s="311">
        <f t="shared" si="13"/>
        <v>2250</v>
      </c>
      <c r="F9" s="445">
        <v>3975817</v>
      </c>
      <c r="G9" s="312">
        <f t="shared" si="0"/>
        <v>573</v>
      </c>
      <c r="H9" s="445">
        <v>17810050</v>
      </c>
      <c r="I9" s="312">
        <f t="shared" si="14"/>
        <v>858</v>
      </c>
      <c r="J9" s="445">
        <v>28928880</v>
      </c>
      <c r="K9" s="312">
        <f t="shared" si="15"/>
        <v>926</v>
      </c>
      <c r="L9" s="445">
        <v>24067602</v>
      </c>
      <c r="M9" s="312">
        <f t="shared" si="16"/>
        <v>1752</v>
      </c>
      <c r="N9" s="310">
        <f t="shared" si="17"/>
        <v>6359</v>
      </c>
      <c r="O9" s="467">
        <f t="shared" si="1"/>
        <v>0</v>
      </c>
      <c r="P9" s="591">
        <v>16712.708999999999</v>
      </c>
      <c r="Q9" s="449">
        <f t="shared" si="2"/>
        <v>2058.999999997468</v>
      </c>
      <c r="R9" s="449">
        <f t="shared" si="21"/>
        <v>4300.000000002532</v>
      </c>
      <c r="S9" s="445">
        <f t="shared" si="7"/>
        <v>10128</v>
      </c>
      <c r="T9" s="469">
        <f t="shared" si="3"/>
        <v>0</v>
      </c>
      <c r="U9" s="445">
        <f t="shared" si="8"/>
        <v>422437</v>
      </c>
      <c r="V9" s="449">
        <f t="shared" si="18"/>
        <v>0</v>
      </c>
      <c r="W9" s="445">
        <f t="shared" si="9"/>
        <v>32246</v>
      </c>
      <c r="X9" s="449">
        <f t="shared" ref="X9:X30" si="23">W9-W8</f>
        <v>0</v>
      </c>
      <c r="Y9" s="445">
        <f t="shared" si="10"/>
        <v>708475</v>
      </c>
      <c r="Z9" s="449">
        <f t="shared" si="22"/>
        <v>0</v>
      </c>
      <c r="AA9" s="445">
        <v>35724</v>
      </c>
      <c r="AB9" s="449">
        <f t="shared" si="19"/>
        <v>3</v>
      </c>
      <c r="AC9" s="445">
        <v>921046</v>
      </c>
      <c r="AD9" s="449">
        <f t="shared" si="20"/>
        <v>381</v>
      </c>
      <c r="AE9" s="472">
        <f t="shared" si="11"/>
        <v>3</v>
      </c>
      <c r="AF9" s="473">
        <f t="shared" si="12"/>
        <v>381</v>
      </c>
      <c r="AG9" s="465">
        <f t="shared" si="5"/>
        <v>127</v>
      </c>
      <c r="AI9" s="466">
        <f>R9-'EDl log'!B7</f>
        <v>-906551.99999999744</v>
      </c>
    </row>
    <row r="10" spans="1:115">
      <c r="A10" s="457">
        <f>'General information '!F13</f>
        <v>0</v>
      </c>
      <c r="B10" s="451">
        <f t="shared" si="6"/>
        <v>0</v>
      </c>
      <c r="C10" s="458">
        <v>44263</v>
      </c>
      <c r="D10" s="445">
        <v>32664458</v>
      </c>
      <c r="E10" s="311">
        <f t="shared" si="13"/>
        <v>2724</v>
      </c>
      <c r="F10" s="445">
        <v>3976419</v>
      </c>
      <c r="G10" s="312">
        <f t="shared" si="0"/>
        <v>602</v>
      </c>
      <c r="H10" s="445">
        <v>17810886</v>
      </c>
      <c r="I10" s="312">
        <f t="shared" si="14"/>
        <v>836</v>
      </c>
      <c r="J10" s="445">
        <v>28929882</v>
      </c>
      <c r="K10" s="312">
        <f t="shared" si="15"/>
        <v>1002</v>
      </c>
      <c r="L10" s="445">
        <v>24069270</v>
      </c>
      <c r="M10" s="312">
        <f t="shared" si="16"/>
        <v>1668</v>
      </c>
      <c r="N10" s="310">
        <f t="shared" si="17"/>
        <v>6832</v>
      </c>
      <c r="O10" s="467">
        <f t="shared" ref="O10:O30" si="24">IF(B10&gt;0,N10/B10,0)</f>
        <v>0</v>
      </c>
      <c r="P10" s="591">
        <v>16715.519</v>
      </c>
      <c r="Q10" s="449">
        <f t="shared" si="2"/>
        <v>2810.0000000013097</v>
      </c>
      <c r="R10" s="449">
        <f t="shared" si="21"/>
        <v>4021.9999999986903</v>
      </c>
      <c r="S10" s="445">
        <f t="shared" si="7"/>
        <v>10128</v>
      </c>
      <c r="T10" s="469">
        <f t="shared" si="3"/>
        <v>0</v>
      </c>
      <c r="U10" s="445">
        <f t="shared" si="8"/>
        <v>422437</v>
      </c>
      <c r="V10" s="449">
        <f t="shared" si="18"/>
        <v>0</v>
      </c>
      <c r="W10" s="445">
        <f t="shared" si="9"/>
        <v>32246</v>
      </c>
      <c r="X10" s="449">
        <f t="shared" si="23"/>
        <v>0</v>
      </c>
      <c r="Y10" s="445">
        <f t="shared" si="10"/>
        <v>708475</v>
      </c>
      <c r="Z10" s="449">
        <f t="shared" si="22"/>
        <v>0</v>
      </c>
      <c r="AA10" s="445">
        <v>35727</v>
      </c>
      <c r="AB10" s="449">
        <f t="shared" si="19"/>
        <v>3</v>
      </c>
      <c r="AC10" s="445">
        <v>921652</v>
      </c>
      <c r="AD10" s="449">
        <f t="shared" si="20"/>
        <v>606</v>
      </c>
      <c r="AE10" s="472">
        <f t="shared" si="11"/>
        <v>3</v>
      </c>
      <c r="AF10" s="473">
        <f t="shared" si="12"/>
        <v>606</v>
      </c>
      <c r="AG10" s="465">
        <f t="shared" ref="AG10:AG30" si="25">IF(AE10&gt;0,AF10/AE10,0)</f>
        <v>202</v>
      </c>
      <c r="AI10" s="466">
        <f>R10-'EDl log'!B8</f>
        <v>-908545.00000000128</v>
      </c>
    </row>
    <row r="11" spans="1:115">
      <c r="A11" s="457">
        <f>'General information '!F14</f>
        <v>0</v>
      </c>
      <c r="B11" s="451">
        <f>SUM(230*A11)</f>
        <v>0</v>
      </c>
      <c r="C11" s="458">
        <v>44264</v>
      </c>
      <c r="D11" s="445">
        <v>32667050</v>
      </c>
      <c r="E11" s="311">
        <f t="shared" si="13"/>
        <v>2592</v>
      </c>
      <c r="F11" s="445">
        <v>3977025</v>
      </c>
      <c r="G11" s="312">
        <f t="shared" si="0"/>
        <v>606</v>
      </c>
      <c r="H11" s="445">
        <v>17811666</v>
      </c>
      <c r="I11" s="312">
        <f t="shared" si="14"/>
        <v>780</v>
      </c>
      <c r="J11" s="445">
        <v>28930938</v>
      </c>
      <c r="K11" s="312">
        <f t="shared" si="15"/>
        <v>1056</v>
      </c>
      <c r="L11" s="445">
        <v>24070788</v>
      </c>
      <c r="M11" s="312">
        <f t="shared" si="16"/>
        <v>1518</v>
      </c>
      <c r="N11" s="310">
        <f>M11+K11+I11+G11+E11</f>
        <v>6552</v>
      </c>
      <c r="O11" s="467">
        <f t="shared" si="24"/>
        <v>0</v>
      </c>
      <c r="P11" s="591">
        <v>16717.636999999999</v>
      </c>
      <c r="Q11" s="449">
        <f t="shared" si="2"/>
        <v>2117.9999999985739</v>
      </c>
      <c r="R11" s="449">
        <f t="shared" si="21"/>
        <v>4434.0000000014261</v>
      </c>
      <c r="S11" s="445">
        <f t="shared" si="7"/>
        <v>10128</v>
      </c>
      <c r="T11" s="469">
        <f t="shared" si="3"/>
        <v>0</v>
      </c>
      <c r="U11" s="445">
        <f t="shared" si="8"/>
        <v>422437</v>
      </c>
      <c r="V11" s="449">
        <f t="shared" si="18"/>
        <v>0</v>
      </c>
      <c r="W11" s="445">
        <f t="shared" si="9"/>
        <v>32246</v>
      </c>
      <c r="X11" s="449">
        <f t="shared" si="23"/>
        <v>0</v>
      </c>
      <c r="Y11" s="445">
        <f t="shared" si="10"/>
        <v>708475</v>
      </c>
      <c r="Z11" s="449">
        <f t="shared" si="22"/>
        <v>0</v>
      </c>
      <c r="AA11" s="445">
        <v>35730</v>
      </c>
      <c r="AB11" s="449">
        <f t="shared" si="19"/>
        <v>3</v>
      </c>
      <c r="AC11" s="445">
        <v>922141</v>
      </c>
      <c r="AD11" s="449">
        <f t="shared" si="20"/>
        <v>489</v>
      </c>
      <c r="AE11" s="472">
        <f t="shared" si="11"/>
        <v>3</v>
      </c>
      <c r="AF11" s="473">
        <f t="shared" si="12"/>
        <v>489</v>
      </c>
      <c r="AG11" s="465">
        <f t="shared" si="25"/>
        <v>163</v>
      </c>
      <c r="AI11" s="466">
        <f>R11-'EDl log'!B9</f>
        <v>-909642.9999999986</v>
      </c>
    </row>
    <row r="12" spans="1:115">
      <c r="A12" s="457">
        <f>'General information '!F15</f>
        <v>0</v>
      </c>
      <c r="B12" s="451">
        <f t="shared" si="6"/>
        <v>0</v>
      </c>
      <c r="C12" s="458">
        <v>44265</v>
      </c>
      <c r="D12" s="445">
        <v>32669554</v>
      </c>
      <c r="E12" s="311">
        <f t="shared" si="13"/>
        <v>2504</v>
      </c>
      <c r="F12" s="445">
        <v>3977620</v>
      </c>
      <c r="G12" s="312">
        <f t="shared" si="0"/>
        <v>595</v>
      </c>
      <c r="H12" s="445">
        <v>17812470</v>
      </c>
      <c r="I12" s="312">
        <f t="shared" si="14"/>
        <v>804</v>
      </c>
      <c r="J12" s="445">
        <v>28932010</v>
      </c>
      <c r="K12" s="312">
        <f t="shared" si="15"/>
        <v>1072</v>
      </c>
      <c r="L12" s="445">
        <v>24072486</v>
      </c>
      <c r="M12" s="312">
        <f t="shared" si="16"/>
        <v>1698</v>
      </c>
      <c r="N12" s="310">
        <f>M12+K12+I12+G12+E12</f>
        <v>6673</v>
      </c>
      <c r="O12" s="467">
        <f t="shared" si="24"/>
        <v>0</v>
      </c>
      <c r="P12" s="591">
        <v>16720.616000000002</v>
      </c>
      <c r="Q12" s="449">
        <f t="shared" si="2"/>
        <v>2979.0000000029977</v>
      </c>
      <c r="R12" s="449">
        <f t="shared" si="21"/>
        <v>3693.9999999970023</v>
      </c>
      <c r="S12" s="445">
        <v>10129</v>
      </c>
      <c r="T12" s="469">
        <f t="shared" si="3"/>
        <v>1</v>
      </c>
      <c r="U12" s="445">
        <v>422541</v>
      </c>
      <c r="V12" s="449">
        <f t="shared" si="18"/>
        <v>104</v>
      </c>
      <c r="W12" s="445">
        <v>32247</v>
      </c>
      <c r="X12" s="449">
        <f t="shared" si="23"/>
        <v>1</v>
      </c>
      <c r="Y12" s="445">
        <v>708695</v>
      </c>
      <c r="Z12" s="449">
        <f t="shared" si="22"/>
        <v>220</v>
      </c>
      <c r="AA12" s="445">
        <v>35733</v>
      </c>
      <c r="AB12" s="449">
        <f t="shared" si="19"/>
        <v>3</v>
      </c>
      <c r="AC12" s="445">
        <v>922618</v>
      </c>
      <c r="AD12" s="449">
        <f t="shared" si="20"/>
        <v>477</v>
      </c>
      <c r="AE12" s="472">
        <f t="shared" si="11"/>
        <v>5</v>
      </c>
      <c r="AF12" s="473">
        <f t="shared" si="12"/>
        <v>801</v>
      </c>
      <c r="AG12" s="465">
        <f t="shared" si="25"/>
        <v>160.19999999999999</v>
      </c>
      <c r="AI12" s="466">
        <f>R12-'EDl log'!B10</f>
        <v>-912671.00000000303</v>
      </c>
    </row>
    <row r="13" spans="1:115">
      <c r="A13" s="457">
        <f>'General information '!F16</f>
        <v>0</v>
      </c>
      <c r="B13" s="451">
        <f t="shared" si="6"/>
        <v>0</v>
      </c>
      <c r="C13" s="458">
        <v>44266</v>
      </c>
      <c r="D13" s="445">
        <v>32672166</v>
      </c>
      <c r="E13" s="311">
        <f t="shared" si="13"/>
        <v>2612</v>
      </c>
      <c r="F13" s="445">
        <v>3978280</v>
      </c>
      <c r="G13" s="312">
        <f t="shared" si="0"/>
        <v>660</v>
      </c>
      <c r="H13" s="445">
        <v>17813346</v>
      </c>
      <c r="I13" s="312">
        <f t="shared" si="14"/>
        <v>876</v>
      </c>
      <c r="J13" s="445">
        <v>28932970</v>
      </c>
      <c r="K13" s="312">
        <f t="shared" si="15"/>
        <v>960</v>
      </c>
      <c r="L13" s="445">
        <v>24074210</v>
      </c>
      <c r="M13" s="312">
        <f t="shared" si="16"/>
        <v>1724</v>
      </c>
      <c r="N13" s="310">
        <f t="shared" si="17"/>
        <v>6832</v>
      </c>
      <c r="O13" s="467">
        <f t="shared" si="24"/>
        <v>0</v>
      </c>
      <c r="P13" s="591">
        <v>16722.646000000001</v>
      </c>
      <c r="Q13" s="449">
        <f>(P13-P12)*1000</f>
        <v>2029.9999999988358</v>
      </c>
      <c r="R13" s="449">
        <f t="shared" ref="R13" si="26">N13-Q13</f>
        <v>4802.0000000011642</v>
      </c>
      <c r="S13" s="445">
        <f t="shared" si="7"/>
        <v>10129</v>
      </c>
      <c r="T13" s="469">
        <f t="shared" si="3"/>
        <v>0</v>
      </c>
      <c r="U13" s="445">
        <f t="shared" si="8"/>
        <v>422541</v>
      </c>
      <c r="V13" s="449">
        <f t="shared" si="18"/>
        <v>0</v>
      </c>
      <c r="W13" s="445">
        <f t="shared" si="9"/>
        <v>32247</v>
      </c>
      <c r="X13" s="449">
        <f t="shared" si="23"/>
        <v>0</v>
      </c>
      <c r="Y13" s="445">
        <f t="shared" si="10"/>
        <v>708695</v>
      </c>
      <c r="Z13" s="449">
        <f t="shared" si="22"/>
        <v>0</v>
      </c>
      <c r="AA13" s="445">
        <v>35736</v>
      </c>
      <c r="AB13" s="449">
        <f t="shared" si="19"/>
        <v>3</v>
      </c>
      <c r="AC13" s="445">
        <v>923192</v>
      </c>
      <c r="AD13" s="449">
        <f t="shared" si="20"/>
        <v>574</v>
      </c>
      <c r="AE13" s="472">
        <f t="shared" si="11"/>
        <v>3</v>
      </c>
      <c r="AF13" s="473">
        <f t="shared" si="12"/>
        <v>574</v>
      </c>
      <c r="AG13" s="465">
        <f t="shared" si="25"/>
        <v>191.33333333333334</v>
      </c>
      <c r="AI13" s="466">
        <f>R13-'EDl log'!B11</f>
        <v>-913717.99999999884</v>
      </c>
    </row>
    <row r="14" spans="1:115">
      <c r="A14" s="457">
        <f>'General information '!F17</f>
        <v>0</v>
      </c>
      <c r="B14" s="451">
        <f t="shared" si="6"/>
        <v>0</v>
      </c>
      <c r="C14" s="458">
        <v>44267</v>
      </c>
      <c r="D14" s="445">
        <v>32674522</v>
      </c>
      <c r="E14" s="311">
        <f t="shared" si="13"/>
        <v>2356</v>
      </c>
      <c r="F14" s="445">
        <v>3978951</v>
      </c>
      <c r="G14" s="312">
        <f t="shared" si="0"/>
        <v>671</v>
      </c>
      <c r="H14" s="445">
        <v>17814250</v>
      </c>
      <c r="I14" s="312">
        <f t="shared" si="14"/>
        <v>904</v>
      </c>
      <c r="J14" s="445">
        <v>28933920</v>
      </c>
      <c r="K14" s="312">
        <f t="shared" si="15"/>
        <v>950</v>
      </c>
      <c r="L14" s="445">
        <v>24076072</v>
      </c>
      <c r="M14" s="312">
        <f t="shared" si="16"/>
        <v>1862</v>
      </c>
      <c r="N14" s="310">
        <f t="shared" si="17"/>
        <v>6743</v>
      </c>
      <c r="O14" s="467">
        <f t="shared" si="24"/>
        <v>0</v>
      </c>
      <c r="P14" s="591">
        <v>16724.509999999998</v>
      </c>
      <c r="Q14" s="449">
        <f t="shared" ref="Q14:Q30" si="27">(P14-P13)*1000</f>
        <v>1863.999999997759</v>
      </c>
      <c r="R14" s="449">
        <f t="shared" ref="R14:R30" si="28">N14-Q14</f>
        <v>4879.000000002241</v>
      </c>
      <c r="S14" s="445">
        <f t="shared" si="7"/>
        <v>10129</v>
      </c>
      <c r="T14" s="469">
        <f t="shared" si="3"/>
        <v>0</v>
      </c>
      <c r="U14" s="445">
        <f t="shared" si="8"/>
        <v>422541</v>
      </c>
      <c r="V14" s="449">
        <f t="shared" si="18"/>
        <v>0</v>
      </c>
      <c r="W14" s="445">
        <f t="shared" si="9"/>
        <v>32247</v>
      </c>
      <c r="X14" s="449">
        <f t="shared" si="23"/>
        <v>0</v>
      </c>
      <c r="Y14" s="445">
        <f t="shared" si="10"/>
        <v>708695</v>
      </c>
      <c r="Z14" s="449">
        <f t="shared" si="22"/>
        <v>0</v>
      </c>
      <c r="AA14" s="445">
        <v>35738</v>
      </c>
      <c r="AB14" s="449">
        <f t="shared" si="19"/>
        <v>2</v>
      </c>
      <c r="AC14" s="445">
        <v>923570</v>
      </c>
      <c r="AD14" s="449">
        <f t="shared" si="20"/>
        <v>378</v>
      </c>
      <c r="AE14" s="472">
        <f t="shared" si="11"/>
        <v>2</v>
      </c>
      <c r="AF14" s="473">
        <f t="shared" si="12"/>
        <v>378</v>
      </c>
      <c r="AG14" s="465">
        <f t="shared" si="25"/>
        <v>189</v>
      </c>
      <c r="AI14" s="466">
        <f>R14-'EDl log'!B12</f>
        <v>-916009.99999999779</v>
      </c>
    </row>
    <row r="15" spans="1:115">
      <c r="A15" s="457">
        <f>'General information '!F18</f>
        <v>0</v>
      </c>
      <c r="B15" s="451">
        <f t="shared" si="6"/>
        <v>0</v>
      </c>
      <c r="C15" s="458">
        <v>44268</v>
      </c>
      <c r="D15" s="445">
        <v>32676972</v>
      </c>
      <c r="E15" s="311">
        <f t="shared" si="13"/>
        <v>2450</v>
      </c>
      <c r="F15" s="445">
        <v>3979517</v>
      </c>
      <c r="G15" s="312">
        <f t="shared" si="0"/>
        <v>566</v>
      </c>
      <c r="H15" s="445">
        <v>17815006</v>
      </c>
      <c r="I15" s="312">
        <f t="shared" si="14"/>
        <v>756</v>
      </c>
      <c r="J15" s="445">
        <v>28934822</v>
      </c>
      <c r="K15" s="312">
        <f t="shared" si="15"/>
        <v>902</v>
      </c>
      <c r="L15" s="445">
        <v>24077798</v>
      </c>
      <c r="M15" s="312">
        <f t="shared" si="16"/>
        <v>1726</v>
      </c>
      <c r="N15" s="310">
        <f t="shared" si="17"/>
        <v>6400</v>
      </c>
      <c r="O15" s="467">
        <f t="shared" si="24"/>
        <v>0</v>
      </c>
      <c r="P15" s="591">
        <v>16726.414000000001</v>
      </c>
      <c r="Q15" s="449">
        <f t="shared" si="27"/>
        <v>1904.0000000022701</v>
      </c>
      <c r="R15" s="449">
        <f t="shared" si="28"/>
        <v>4495.9999999977299</v>
      </c>
      <c r="S15" s="445">
        <f t="shared" si="7"/>
        <v>10129</v>
      </c>
      <c r="T15" s="469">
        <f t="shared" si="3"/>
        <v>0</v>
      </c>
      <c r="U15" s="445">
        <f t="shared" si="8"/>
        <v>422541</v>
      </c>
      <c r="V15" s="449">
        <f t="shared" si="18"/>
        <v>0</v>
      </c>
      <c r="W15" s="445">
        <f t="shared" si="9"/>
        <v>32247</v>
      </c>
      <c r="X15" s="449">
        <f t="shared" si="23"/>
        <v>0</v>
      </c>
      <c r="Y15" s="445">
        <f t="shared" si="10"/>
        <v>708695</v>
      </c>
      <c r="Z15" s="449">
        <f t="shared" si="22"/>
        <v>0</v>
      </c>
      <c r="AA15" s="445">
        <v>35740</v>
      </c>
      <c r="AB15" s="449">
        <f t="shared" si="19"/>
        <v>2</v>
      </c>
      <c r="AC15" s="445">
        <v>924043</v>
      </c>
      <c r="AD15" s="449">
        <f t="shared" si="20"/>
        <v>473</v>
      </c>
      <c r="AE15" s="472">
        <f t="shared" si="11"/>
        <v>2</v>
      </c>
      <c r="AF15" s="473">
        <f t="shared" si="12"/>
        <v>473</v>
      </c>
      <c r="AG15" s="465">
        <f t="shared" si="25"/>
        <v>236.5</v>
      </c>
      <c r="AI15" s="466">
        <f>R15-'EDl log'!B13</f>
        <v>-918391.00000000233</v>
      </c>
    </row>
    <row r="16" spans="1:115">
      <c r="A16" s="457">
        <f>'General information '!F19</f>
        <v>0</v>
      </c>
      <c r="B16" s="451">
        <f t="shared" si="6"/>
        <v>0</v>
      </c>
      <c r="C16" s="458">
        <v>44269</v>
      </c>
      <c r="D16" s="445">
        <v>32679606</v>
      </c>
      <c r="E16" s="311">
        <f t="shared" si="13"/>
        <v>2634</v>
      </c>
      <c r="F16" s="445">
        <v>3980103</v>
      </c>
      <c r="G16" s="312">
        <f t="shared" si="0"/>
        <v>586</v>
      </c>
      <c r="H16" s="445">
        <v>17815786</v>
      </c>
      <c r="I16" s="312">
        <f t="shared" si="14"/>
        <v>780</v>
      </c>
      <c r="J16" s="445">
        <v>28935826</v>
      </c>
      <c r="K16" s="312">
        <f t="shared" si="15"/>
        <v>1004</v>
      </c>
      <c r="L16" s="445">
        <v>24079672</v>
      </c>
      <c r="M16" s="312">
        <f t="shared" si="16"/>
        <v>1874</v>
      </c>
      <c r="N16" s="310">
        <f t="shared" si="17"/>
        <v>6878</v>
      </c>
      <c r="O16" s="467">
        <f t="shared" si="24"/>
        <v>0</v>
      </c>
      <c r="P16" s="591">
        <v>16729.194</v>
      </c>
      <c r="Q16" s="449">
        <f t="shared" si="27"/>
        <v>2779.9999999988358</v>
      </c>
      <c r="R16" s="449">
        <f t="shared" si="28"/>
        <v>4098.0000000011642</v>
      </c>
      <c r="S16" s="445">
        <f t="shared" si="7"/>
        <v>10129</v>
      </c>
      <c r="T16" s="469">
        <f t="shared" si="3"/>
        <v>0</v>
      </c>
      <c r="U16" s="445">
        <f t="shared" si="8"/>
        <v>422541</v>
      </c>
      <c r="V16" s="449">
        <f t="shared" si="18"/>
        <v>0</v>
      </c>
      <c r="W16" s="445">
        <f t="shared" si="9"/>
        <v>32247</v>
      </c>
      <c r="X16" s="449">
        <f>W16-W15</f>
        <v>0</v>
      </c>
      <c r="Y16" s="445">
        <f t="shared" si="10"/>
        <v>708695</v>
      </c>
      <c r="Z16" s="449">
        <f>Y16-Y15</f>
        <v>0</v>
      </c>
      <c r="AA16" s="445">
        <v>35743</v>
      </c>
      <c r="AB16" s="449">
        <f>AA16-AA15</f>
        <v>3</v>
      </c>
      <c r="AC16" s="445">
        <v>924610</v>
      </c>
      <c r="AD16" s="449">
        <f t="shared" si="20"/>
        <v>567</v>
      </c>
      <c r="AE16" s="472">
        <f t="shared" si="11"/>
        <v>3</v>
      </c>
      <c r="AF16" s="473">
        <f t="shared" si="12"/>
        <v>567</v>
      </c>
      <c r="AG16" s="465">
        <f t="shared" si="25"/>
        <v>189</v>
      </c>
      <c r="AI16" s="466">
        <f>R16-'EDl log'!B14</f>
        <v>-921354.99999999884</v>
      </c>
    </row>
    <row r="17" spans="1:35">
      <c r="A17" s="457">
        <f>'General information '!F20</f>
        <v>0</v>
      </c>
      <c r="B17" s="451">
        <f t="shared" si="6"/>
        <v>0</v>
      </c>
      <c r="C17" s="458">
        <v>44270</v>
      </c>
      <c r="D17" s="445">
        <v>32681906</v>
      </c>
      <c r="E17" s="311">
        <f t="shared" si="13"/>
        <v>2300</v>
      </c>
      <c r="F17" s="445">
        <v>3980779</v>
      </c>
      <c r="G17" s="312">
        <f t="shared" si="0"/>
        <v>676</v>
      </c>
      <c r="H17" s="445">
        <v>17816598</v>
      </c>
      <c r="I17" s="312">
        <f t="shared" si="14"/>
        <v>812</v>
      </c>
      <c r="J17" s="445">
        <v>28936726</v>
      </c>
      <c r="K17" s="312">
        <f t="shared" si="15"/>
        <v>900</v>
      </c>
      <c r="L17" s="445">
        <v>24081466</v>
      </c>
      <c r="M17" s="312">
        <f t="shared" si="16"/>
        <v>1794</v>
      </c>
      <c r="N17" s="310">
        <f t="shared" si="17"/>
        <v>6482</v>
      </c>
      <c r="O17" s="467">
        <f t="shared" si="24"/>
        <v>0</v>
      </c>
      <c r="P17" s="591">
        <v>16730.986000000001</v>
      </c>
      <c r="Q17" s="449">
        <f t="shared" si="27"/>
        <v>1792.0000000012806</v>
      </c>
      <c r="R17" s="449">
        <f t="shared" si="28"/>
        <v>4689.9999999987194</v>
      </c>
      <c r="S17" s="445">
        <f t="shared" si="7"/>
        <v>10129</v>
      </c>
      <c r="T17" s="469">
        <f t="shared" si="3"/>
        <v>0</v>
      </c>
      <c r="U17" s="445">
        <f t="shared" si="8"/>
        <v>422541</v>
      </c>
      <c r="V17" s="449">
        <f t="shared" si="18"/>
        <v>0</v>
      </c>
      <c r="W17" s="445">
        <f t="shared" si="9"/>
        <v>32247</v>
      </c>
      <c r="X17" s="449">
        <f t="shared" si="23"/>
        <v>0</v>
      </c>
      <c r="Y17" s="445">
        <f t="shared" si="10"/>
        <v>708695</v>
      </c>
      <c r="Z17" s="449">
        <f t="shared" si="22"/>
        <v>0</v>
      </c>
      <c r="AA17" s="445">
        <v>35745</v>
      </c>
      <c r="AB17" s="449">
        <f t="shared" si="19"/>
        <v>2</v>
      </c>
      <c r="AC17" s="445">
        <v>924904</v>
      </c>
      <c r="AD17" s="449">
        <f t="shared" ref="AD17:AD30" si="29">AC17-AC16</f>
        <v>294</v>
      </c>
      <c r="AE17" s="472">
        <f t="shared" si="11"/>
        <v>2</v>
      </c>
      <c r="AF17" s="473">
        <f t="shared" si="12"/>
        <v>294</v>
      </c>
      <c r="AG17" s="465">
        <f t="shared" si="25"/>
        <v>147</v>
      </c>
      <c r="AI17" s="466">
        <f>R17-'EDl log'!B15</f>
        <v>-923373.00000000128</v>
      </c>
    </row>
    <row r="18" spans="1:35">
      <c r="A18" s="457">
        <f>'General information '!F21</f>
        <v>0</v>
      </c>
      <c r="B18" s="451">
        <f t="shared" si="6"/>
        <v>0</v>
      </c>
      <c r="C18" s="458">
        <v>44271</v>
      </c>
      <c r="D18" s="445">
        <v>32684954</v>
      </c>
      <c r="E18" s="311">
        <f t="shared" si="13"/>
        <v>3048</v>
      </c>
      <c r="F18" s="445">
        <v>3981418</v>
      </c>
      <c r="G18" s="312">
        <f t="shared" si="0"/>
        <v>639</v>
      </c>
      <c r="H18" s="445">
        <v>17817378</v>
      </c>
      <c r="I18" s="312">
        <f t="shared" si="14"/>
        <v>780</v>
      </c>
      <c r="J18" s="445">
        <v>28937872</v>
      </c>
      <c r="K18" s="312">
        <f t="shared" si="15"/>
        <v>1146</v>
      </c>
      <c r="L18" s="445">
        <v>24084064</v>
      </c>
      <c r="M18" s="312">
        <f t="shared" si="16"/>
        <v>2598</v>
      </c>
      <c r="N18" s="310">
        <f t="shared" si="17"/>
        <v>8211</v>
      </c>
      <c r="O18" s="467">
        <f t="shared" si="24"/>
        <v>0</v>
      </c>
      <c r="P18" s="591">
        <v>16736.093000000001</v>
      </c>
      <c r="Q18" s="449">
        <f t="shared" si="27"/>
        <v>5106.9999999999709</v>
      </c>
      <c r="R18" s="449">
        <f t="shared" si="28"/>
        <v>3104.0000000000291</v>
      </c>
      <c r="S18" s="445">
        <v>10133</v>
      </c>
      <c r="T18" s="469">
        <f t="shared" si="3"/>
        <v>4</v>
      </c>
      <c r="U18" s="445">
        <v>423188</v>
      </c>
      <c r="V18" s="449">
        <f t="shared" si="18"/>
        <v>647</v>
      </c>
      <c r="W18" s="445">
        <f t="shared" si="9"/>
        <v>32247</v>
      </c>
      <c r="X18" s="449">
        <f t="shared" si="23"/>
        <v>0</v>
      </c>
      <c r="Y18" s="445">
        <f t="shared" si="10"/>
        <v>708695</v>
      </c>
      <c r="Z18" s="449">
        <f t="shared" si="22"/>
        <v>0</v>
      </c>
      <c r="AA18" s="445">
        <v>35747</v>
      </c>
      <c r="AB18" s="449">
        <f t="shared" si="19"/>
        <v>2</v>
      </c>
      <c r="AC18" s="445">
        <v>925239</v>
      </c>
      <c r="AD18" s="449">
        <f t="shared" si="29"/>
        <v>335</v>
      </c>
      <c r="AE18" s="472">
        <f t="shared" si="11"/>
        <v>6</v>
      </c>
      <c r="AF18" s="473">
        <f t="shared" si="12"/>
        <v>982</v>
      </c>
      <c r="AG18" s="465">
        <f t="shared" si="25"/>
        <v>163.66666666666666</v>
      </c>
      <c r="AI18" s="466">
        <f>R18-'EDl log'!B16</f>
        <v>-927370</v>
      </c>
    </row>
    <row r="19" spans="1:35">
      <c r="A19" s="457">
        <f>'General information '!F22</f>
        <v>0</v>
      </c>
      <c r="B19" s="451">
        <f t="shared" si="6"/>
        <v>0</v>
      </c>
      <c r="C19" s="458">
        <v>44272</v>
      </c>
      <c r="D19" s="445">
        <v>32688454</v>
      </c>
      <c r="E19" s="311">
        <f t="shared" si="13"/>
        <v>3500</v>
      </c>
      <c r="F19" s="445">
        <v>3982010</v>
      </c>
      <c r="G19" s="312">
        <f t="shared" si="0"/>
        <v>592</v>
      </c>
      <c r="H19" s="445">
        <v>17818242</v>
      </c>
      <c r="I19" s="312">
        <f t="shared" si="14"/>
        <v>864</v>
      </c>
      <c r="J19" s="445">
        <v>28939186</v>
      </c>
      <c r="K19" s="312">
        <f t="shared" si="15"/>
        <v>1314</v>
      </c>
      <c r="L19" s="445">
        <v>24086282</v>
      </c>
      <c r="M19" s="312">
        <f t="shared" si="16"/>
        <v>2218</v>
      </c>
      <c r="N19" s="310">
        <f t="shared" si="17"/>
        <v>8488</v>
      </c>
      <c r="O19" s="467">
        <f t="shared" si="24"/>
        <v>0</v>
      </c>
      <c r="P19" s="591">
        <v>16740.994999999999</v>
      </c>
      <c r="Q19" s="449">
        <f t="shared" si="27"/>
        <v>4901.9999999982247</v>
      </c>
      <c r="R19" s="449">
        <f t="shared" si="28"/>
        <v>3586.0000000017753</v>
      </c>
      <c r="S19" s="445">
        <f t="shared" si="7"/>
        <v>10133</v>
      </c>
      <c r="T19" s="469">
        <f t="shared" si="3"/>
        <v>0</v>
      </c>
      <c r="U19" s="445">
        <f t="shared" si="8"/>
        <v>423188</v>
      </c>
      <c r="V19" s="449">
        <f t="shared" si="18"/>
        <v>0</v>
      </c>
      <c r="W19" s="445">
        <f t="shared" si="9"/>
        <v>32247</v>
      </c>
      <c r="X19" s="449">
        <f t="shared" si="23"/>
        <v>0</v>
      </c>
      <c r="Y19" s="445">
        <f t="shared" si="10"/>
        <v>708695</v>
      </c>
      <c r="Z19" s="449">
        <f t="shared" si="22"/>
        <v>0</v>
      </c>
      <c r="AA19" s="445">
        <v>35753</v>
      </c>
      <c r="AB19" s="449">
        <f t="shared" si="19"/>
        <v>6</v>
      </c>
      <c r="AC19" s="445">
        <v>926139</v>
      </c>
      <c r="AD19" s="449">
        <f t="shared" si="29"/>
        <v>900</v>
      </c>
      <c r="AE19" s="472">
        <f t="shared" si="11"/>
        <v>6</v>
      </c>
      <c r="AF19" s="473">
        <f t="shared" si="12"/>
        <v>900</v>
      </c>
      <c r="AG19" s="465">
        <f t="shared" si="25"/>
        <v>150</v>
      </c>
      <c r="AI19" s="466">
        <f>R19-'EDl log'!B17</f>
        <v>-929071.99999999825</v>
      </c>
    </row>
    <row r="20" spans="1:35">
      <c r="A20" s="457">
        <f>'General information '!F23</f>
        <v>0</v>
      </c>
      <c r="B20" s="451">
        <f t="shared" si="6"/>
        <v>0</v>
      </c>
      <c r="C20" s="458">
        <v>44273</v>
      </c>
      <c r="D20" s="445">
        <v>32692094</v>
      </c>
      <c r="E20" s="311">
        <f t="shared" si="13"/>
        <v>3640</v>
      </c>
      <c r="F20" s="445">
        <v>3982574</v>
      </c>
      <c r="G20" s="312">
        <f t="shared" si="0"/>
        <v>564</v>
      </c>
      <c r="H20" s="445">
        <v>17819134</v>
      </c>
      <c r="I20" s="312">
        <f t="shared" si="14"/>
        <v>892</v>
      </c>
      <c r="J20" s="445">
        <v>28940536</v>
      </c>
      <c r="K20" s="312">
        <f t="shared" si="15"/>
        <v>1350</v>
      </c>
      <c r="L20" s="445">
        <v>24088824</v>
      </c>
      <c r="M20" s="312">
        <f t="shared" si="16"/>
        <v>2542</v>
      </c>
      <c r="N20" s="310">
        <f t="shared" si="17"/>
        <v>8988</v>
      </c>
      <c r="O20" s="467">
        <f t="shared" si="24"/>
        <v>0</v>
      </c>
      <c r="P20" s="591">
        <v>16746.837</v>
      </c>
      <c r="Q20" s="449">
        <f t="shared" si="27"/>
        <v>5842.000000000553</v>
      </c>
      <c r="R20" s="449">
        <f t="shared" si="28"/>
        <v>3145.999999999447</v>
      </c>
      <c r="S20" s="445">
        <f t="shared" si="7"/>
        <v>10133</v>
      </c>
      <c r="T20" s="469">
        <f t="shared" si="3"/>
        <v>0</v>
      </c>
      <c r="U20" s="445">
        <f t="shared" si="8"/>
        <v>423188</v>
      </c>
      <c r="V20" s="449">
        <f t="shared" si="18"/>
        <v>0</v>
      </c>
      <c r="W20" s="445">
        <f t="shared" si="9"/>
        <v>32247</v>
      </c>
      <c r="X20" s="449">
        <f t="shared" si="23"/>
        <v>0</v>
      </c>
      <c r="Y20" s="445">
        <f t="shared" si="10"/>
        <v>708695</v>
      </c>
      <c r="Z20" s="449">
        <f t="shared" si="22"/>
        <v>0</v>
      </c>
      <c r="AA20" s="445">
        <v>35759</v>
      </c>
      <c r="AB20" s="449">
        <f t="shared" si="19"/>
        <v>6</v>
      </c>
      <c r="AC20" s="445">
        <v>927061</v>
      </c>
      <c r="AD20" s="449">
        <f t="shared" si="29"/>
        <v>922</v>
      </c>
      <c r="AE20" s="472">
        <f t="shared" si="11"/>
        <v>6</v>
      </c>
      <c r="AF20" s="473">
        <f t="shared" si="12"/>
        <v>922</v>
      </c>
      <c r="AG20" s="465">
        <f t="shared" si="25"/>
        <v>153.66666666666666</v>
      </c>
      <c r="AI20" s="466">
        <f>R20-'EDl log'!B18</f>
        <v>-932011.00000000058</v>
      </c>
    </row>
    <row r="21" spans="1:35">
      <c r="A21" s="457">
        <f>'General information '!F24</f>
        <v>0</v>
      </c>
      <c r="B21" s="451">
        <f t="shared" si="6"/>
        <v>0</v>
      </c>
      <c r="C21" s="458">
        <v>44274</v>
      </c>
      <c r="D21" s="445">
        <v>32694918</v>
      </c>
      <c r="E21" s="311">
        <f t="shared" si="13"/>
        <v>2824</v>
      </c>
      <c r="F21" s="445">
        <v>3983161</v>
      </c>
      <c r="G21" s="312">
        <f t="shared" si="0"/>
        <v>587</v>
      </c>
      <c r="H21" s="445">
        <v>17819994</v>
      </c>
      <c r="I21" s="312">
        <f t="shared" si="14"/>
        <v>860</v>
      </c>
      <c r="J21" s="445">
        <v>28941554</v>
      </c>
      <c r="K21" s="312">
        <f t="shared" si="15"/>
        <v>1018</v>
      </c>
      <c r="L21" s="445">
        <v>24090680</v>
      </c>
      <c r="M21" s="312">
        <f t="shared" si="16"/>
        <v>1856</v>
      </c>
      <c r="N21" s="310">
        <f t="shared" si="17"/>
        <v>7145</v>
      </c>
      <c r="O21" s="467">
        <f t="shared" si="24"/>
        <v>0</v>
      </c>
      <c r="P21" s="591">
        <v>16750.437000000002</v>
      </c>
      <c r="Q21" s="449">
        <f t="shared" si="27"/>
        <v>3600.0000000021828</v>
      </c>
      <c r="R21" s="449">
        <f t="shared" si="28"/>
        <v>3544.9999999978172</v>
      </c>
      <c r="S21" s="445">
        <f t="shared" si="7"/>
        <v>10133</v>
      </c>
      <c r="T21" s="469">
        <f t="shared" si="3"/>
        <v>0</v>
      </c>
      <c r="U21" s="445">
        <f t="shared" si="8"/>
        <v>423188</v>
      </c>
      <c r="V21" s="449">
        <f t="shared" si="18"/>
        <v>0</v>
      </c>
      <c r="W21" s="445">
        <f t="shared" si="9"/>
        <v>32247</v>
      </c>
      <c r="X21" s="449">
        <f t="shared" si="23"/>
        <v>0</v>
      </c>
      <c r="Y21" s="445">
        <f t="shared" si="10"/>
        <v>708695</v>
      </c>
      <c r="Z21" s="449">
        <f t="shared" si="22"/>
        <v>0</v>
      </c>
      <c r="AA21" s="445">
        <v>35762</v>
      </c>
      <c r="AB21" s="449">
        <f t="shared" si="19"/>
        <v>3</v>
      </c>
      <c r="AC21" s="445">
        <v>927636</v>
      </c>
      <c r="AD21" s="449">
        <f t="shared" si="29"/>
        <v>575</v>
      </c>
      <c r="AE21" s="472">
        <f t="shared" si="11"/>
        <v>3</v>
      </c>
      <c r="AF21" s="473">
        <f t="shared" si="12"/>
        <v>575</v>
      </c>
      <c r="AG21" s="465">
        <f t="shared" si="25"/>
        <v>191.66666666666666</v>
      </c>
      <c r="AI21" s="466">
        <f>R21-'EDl log'!B19</f>
        <v>-933324.00000000221</v>
      </c>
    </row>
    <row r="22" spans="1:35">
      <c r="A22" s="457">
        <f>'General information '!F25</f>
        <v>0</v>
      </c>
      <c r="B22" s="451">
        <f t="shared" si="6"/>
        <v>0</v>
      </c>
      <c r="C22" s="458">
        <v>44275</v>
      </c>
      <c r="D22" s="445">
        <v>32697270</v>
      </c>
      <c r="E22" s="311">
        <f t="shared" si="13"/>
        <v>2352</v>
      </c>
      <c r="F22" s="445">
        <v>3983747</v>
      </c>
      <c r="G22" s="312">
        <f t="shared" si="0"/>
        <v>586</v>
      </c>
      <c r="H22" s="445">
        <v>17820802</v>
      </c>
      <c r="I22" s="312">
        <f t="shared" si="14"/>
        <v>808</v>
      </c>
      <c r="J22" s="445">
        <v>28942462</v>
      </c>
      <c r="K22" s="312">
        <f t="shared" si="15"/>
        <v>908</v>
      </c>
      <c r="L22" s="445">
        <v>24092382</v>
      </c>
      <c r="M22" s="312">
        <f t="shared" si="16"/>
        <v>1702</v>
      </c>
      <c r="N22" s="310">
        <f t="shared" si="17"/>
        <v>6356</v>
      </c>
      <c r="O22" s="467">
        <f t="shared" si="24"/>
        <v>0</v>
      </c>
      <c r="P22" s="591">
        <v>16752.841</v>
      </c>
      <c r="Q22" s="449">
        <f t="shared" si="27"/>
        <v>2403.9999999986321</v>
      </c>
      <c r="R22" s="449">
        <f t="shared" si="28"/>
        <v>3952.0000000013679</v>
      </c>
      <c r="S22" s="445">
        <f t="shared" si="7"/>
        <v>10133</v>
      </c>
      <c r="T22" s="469">
        <f t="shared" si="3"/>
        <v>0</v>
      </c>
      <c r="U22" s="445">
        <f t="shared" si="8"/>
        <v>423188</v>
      </c>
      <c r="V22" s="449">
        <f t="shared" si="18"/>
        <v>0</v>
      </c>
      <c r="W22" s="445">
        <f t="shared" si="9"/>
        <v>32247</v>
      </c>
      <c r="X22" s="449">
        <f t="shared" si="23"/>
        <v>0</v>
      </c>
      <c r="Y22" s="445">
        <f t="shared" si="10"/>
        <v>708695</v>
      </c>
      <c r="Z22" s="449">
        <f t="shared" si="22"/>
        <v>0</v>
      </c>
      <c r="AA22" s="445">
        <v>35765</v>
      </c>
      <c r="AB22" s="449">
        <f t="shared" si="19"/>
        <v>3</v>
      </c>
      <c r="AC22" s="445">
        <v>928101</v>
      </c>
      <c r="AD22" s="449">
        <f t="shared" si="29"/>
        <v>465</v>
      </c>
      <c r="AE22" s="472">
        <f t="shared" si="11"/>
        <v>3</v>
      </c>
      <c r="AF22" s="473">
        <f t="shared" si="12"/>
        <v>465</v>
      </c>
      <c r="AG22" s="465">
        <f t="shared" si="25"/>
        <v>155</v>
      </c>
      <c r="AI22" s="466">
        <f>R22-'EDl log'!B20</f>
        <v>-934844.9999999986</v>
      </c>
    </row>
    <row r="23" spans="1:35">
      <c r="A23" s="457">
        <f>'General information '!F26</f>
        <v>0</v>
      </c>
      <c r="B23" s="451">
        <f t="shared" si="6"/>
        <v>0</v>
      </c>
      <c r="C23" s="458">
        <v>44276</v>
      </c>
      <c r="D23" s="445">
        <v>32700392</v>
      </c>
      <c r="E23" s="311">
        <f t="shared" si="13"/>
        <v>3122</v>
      </c>
      <c r="F23" s="602">
        <v>3984322</v>
      </c>
      <c r="G23" s="312">
        <f t="shared" si="0"/>
        <v>575</v>
      </c>
      <c r="H23" s="445">
        <v>17821614</v>
      </c>
      <c r="I23" s="438">
        <f t="shared" si="14"/>
        <v>812</v>
      </c>
      <c r="J23" s="602">
        <v>28943474</v>
      </c>
      <c r="K23" s="312">
        <f t="shared" si="15"/>
        <v>1012</v>
      </c>
      <c r="L23" s="445">
        <v>24094078</v>
      </c>
      <c r="M23" s="312">
        <f t="shared" si="16"/>
        <v>1696</v>
      </c>
      <c r="N23" s="310">
        <f t="shared" si="17"/>
        <v>7217</v>
      </c>
      <c r="O23" s="467">
        <f t="shared" si="24"/>
        <v>0</v>
      </c>
      <c r="P23" s="603">
        <v>16756.558000000001</v>
      </c>
      <c r="Q23" s="449">
        <f t="shared" si="27"/>
        <v>3717.000000000553</v>
      </c>
      <c r="R23" s="449">
        <f t="shared" si="28"/>
        <v>3499.999999999447</v>
      </c>
      <c r="S23" s="445">
        <f t="shared" si="7"/>
        <v>10133</v>
      </c>
      <c r="T23" s="469">
        <f t="shared" si="3"/>
        <v>0</v>
      </c>
      <c r="U23" s="445">
        <f t="shared" si="8"/>
        <v>423188</v>
      </c>
      <c r="V23" s="449">
        <f t="shared" si="18"/>
        <v>0</v>
      </c>
      <c r="W23" s="445">
        <f t="shared" si="9"/>
        <v>32247</v>
      </c>
      <c r="X23" s="449">
        <f t="shared" si="23"/>
        <v>0</v>
      </c>
      <c r="Y23" s="445">
        <f t="shared" si="10"/>
        <v>708695</v>
      </c>
      <c r="Z23" s="449">
        <f t="shared" si="22"/>
        <v>0</v>
      </c>
      <c r="AA23" s="445">
        <v>35769</v>
      </c>
      <c r="AB23" s="449">
        <f t="shared" si="19"/>
        <v>4</v>
      </c>
      <c r="AC23" s="602">
        <v>928858</v>
      </c>
      <c r="AD23" s="449">
        <f t="shared" si="29"/>
        <v>757</v>
      </c>
      <c r="AE23" s="472">
        <f t="shared" si="11"/>
        <v>4</v>
      </c>
      <c r="AF23" s="473">
        <f t="shared" si="12"/>
        <v>757</v>
      </c>
      <c r="AG23" s="465">
        <f t="shared" si="25"/>
        <v>189.25</v>
      </c>
      <c r="AI23" s="466">
        <f>R23-'EDl log'!B21</f>
        <v>-936997.00000000058</v>
      </c>
    </row>
    <row r="24" spans="1:35">
      <c r="A24" s="457">
        <f>'General information '!F27</f>
        <v>0</v>
      </c>
      <c r="B24" s="451">
        <f t="shared" si="6"/>
        <v>0</v>
      </c>
      <c r="C24" s="458">
        <v>44277</v>
      </c>
      <c r="D24" s="445">
        <v>32705098</v>
      </c>
      <c r="E24" s="311">
        <f t="shared" si="13"/>
        <v>4706</v>
      </c>
      <c r="F24" s="445">
        <v>3984929</v>
      </c>
      <c r="G24" s="312">
        <f t="shared" si="0"/>
        <v>607</v>
      </c>
      <c r="H24" s="445">
        <v>17822578</v>
      </c>
      <c r="I24" s="312">
        <f t="shared" si="14"/>
        <v>964</v>
      </c>
      <c r="J24" s="445">
        <v>28944910</v>
      </c>
      <c r="K24" s="312">
        <f t="shared" si="15"/>
        <v>1436</v>
      </c>
      <c r="L24" s="445">
        <v>24096144</v>
      </c>
      <c r="M24" s="312">
        <f t="shared" si="16"/>
        <v>2066</v>
      </c>
      <c r="N24" s="310">
        <f t="shared" si="17"/>
        <v>9779</v>
      </c>
      <c r="O24" s="467">
        <f t="shared" si="24"/>
        <v>0</v>
      </c>
      <c r="P24" s="591">
        <v>16764.032999999999</v>
      </c>
      <c r="Q24" s="449">
        <f t="shared" si="27"/>
        <v>7474.9999999985448</v>
      </c>
      <c r="R24" s="449">
        <f t="shared" si="28"/>
        <v>2304.0000000014552</v>
      </c>
      <c r="S24" s="445">
        <f t="shared" si="7"/>
        <v>10133</v>
      </c>
      <c r="T24" s="469">
        <f t="shared" si="3"/>
        <v>0</v>
      </c>
      <c r="U24" s="445">
        <f t="shared" si="8"/>
        <v>423188</v>
      </c>
      <c r="V24" s="449">
        <f t="shared" si="18"/>
        <v>0</v>
      </c>
      <c r="W24" s="445">
        <f t="shared" si="9"/>
        <v>32247</v>
      </c>
      <c r="X24" s="449">
        <f t="shared" si="23"/>
        <v>0</v>
      </c>
      <c r="Y24" s="445">
        <f t="shared" si="10"/>
        <v>708695</v>
      </c>
      <c r="Z24" s="449">
        <f t="shared" si="22"/>
        <v>0</v>
      </c>
      <c r="AA24" s="445">
        <v>35777</v>
      </c>
      <c r="AB24" s="449">
        <f t="shared" si="19"/>
        <v>8</v>
      </c>
      <c r="AC24" s="445">
        <v>930469</v>
      </c>
      <c r="AD24" s="449">
        <f t="shared" si="29"/>
        <v>1611</v>
      </c>
      <c r="AE24" s="472">
        <f t="shared" si="11"/>
        <v>8</v>
      </c>
      <c r="AF24" s="473">
        <f t="shared" si="12"/>
        <v>1611</v>
      </c>
      <c r="AG24" s="465">
        <f t="shared" si="25"/>
        <v>201.375</v>
      </c>
      <c r="AI24" s="466">
        <f>R24-'EDl log'!B22</f>
        <v>-940105.9999999986</v>
      </c>
    </row>
    <row r="25" spans="1:35">
      <c r="A25" s="457">
        <f>'General information '!F28</f>
        <v>0</v>
      </c>
      <c r="B25" s="451">
        <f t="shared" si="6"/>
        <v>0</v>
      </c>
      <c r="C25" s="458">
        <v>44278</v>
      </c>
      <c r="D25" s="445">
        <v>32710026</v>
      </c>
      <c r="E25" s="311">
        <f t="shared" si="13"/>
        <v>4928</v>
      </c>
      <c r="F25" s="602">
        <v>3985623</v>
      </c>
      <c r="G25" s="312">
        <f t="shared" si="0"/>
        <v>694</v>
      </c>
      <c r="H25" s="445">
        <v>17823520</v>
      </c>
      <c r="I25" s="312">
        <f t="shared" si="14"/>
        <v>942</v>
      </c>
      <c r="J25" s="602">
        <v>28946454</v>
      </c>
      <c r="K25" s="312">
        <f t="shared" si="15"/>
        <v>1544</v>
      </c>
      <c r="L25" s="445">
        <v>24098392</v>
      </c>
      <c r="M25" s="312">
        <f t="shared" si="16"/>
        <v>2248</v>
      </c>
      <c r="N25" s="310">
        <f t="shared" si="17"/>
        <v>10356</v>
      </c>
      <c r="O25" s="467">
        <f t="shared" si="24"/>
        <v>0</v>
      </c>
      <c r="P25" s="603">
        <v>16772.291000000001</v>
      </c>
      <c r="Q25" s="449">
        <f t="shared" si="27"/>
        <v>8258.0000000016298</v>
      </c>
      <c r="R25" s="449">
        <f t="shared" si="28"/>
        <v>2097.9999999983702</v>
      </c>
      <c r="S25" s="445">
        <f t="shared" si="7"/>
        <v>10133</v>
      </c>
      <c r="T25" s="469">
        <f t="shared" si="3"/>
        <v>0</v>
      </c>
      <c r="U25" s="445">
        <f t="shared" si="8"/>
        <v>423188</v>
      </c>
      <c r="V25" s="449">
        <f t="shared" si="18"/>
        <v>0</v>
      </c>
      <c r="W25" s="445">
        <f t="shared" si="9"/>
        <v>32247</v>
      </c>
      <c r="X25" s="449">
        <f t="shared" si="23"/>
        <v>0</v>
      </c>
      <c r="Y25" s="445">
        <f t="shared" si="10"/>
        <v>708695</v>
      </c>
      <c r="Z25" s="449">
        <f t="shared" si="22"/>
        <v>0</v>
      </c>
      <c r="AA25" s="445">
        <v>35786</v>
      </c>
      <c r="AB25" s="449">
        <f t="shared" si="19"/>
        <v>9</v>
      </c>
      <c r="AC25" s="602">
        <v>932154</v>
      </c>
      <c r="AD25" s="449">
        <f t="shared" si="29"/>
        <v>1685</v>
      </c>
      <c r="AE25" s="472">
        <f t="shared" si="11"/>
        <v>9</v>
      </c>
      <c r="AF25" s="473">
        <f t="shared" si="12"/>
        <v>1685</v>
      </c>
      <c r="AG25" s="465">
        <f t="shared" si="25"/>
        <v>187.22222222222223</v>
      </c>
      <c r="AI25" s="466">
        <f>R25-'EDl log'!B23</f>
        <v>-942446.00000000163</v>
      </c>
    </row>
    <row r="26" spans="1:35">
      <c r="A26" s="457">
        <f>'General information '!F29</f>
        <v>0</v>
      </c>
      <c r="B26" s="451">
        <f t="shared" si="6"/>
        <v>0</v>
      </c>
      <c r="C26" s="458">
        <v>44279</v>
      </c>
      <c r="D26" s="445">
        <v>32713102</v>
      </c>
      <c r="E26" s="311">
        <f t="shared" si="13"/>
        <v>3076</v>
      </c>
      <c r="F26" s="445">
        <v>3986340</v>
      </c>
      <c r="G26" s="312">
        <f t="shared" si="0"/>
        <v>717</v>
      </c>
      <c r="H26" s="445">
        <v>17824402</v>
      </c>
      <c r="I26" s="312">
        <f t="shared" si="14"/>
        <v>882</v>
      </c>
      <c r="J26" s="445">
        <v>28947762</v>
      </c>
      <c r="K26" s="312">
        <f t="shared" si="15"/>
        <v>1308</v>
      </c>
      <c r="L26" s="445">
        <v>24100918</v>
      </c>
      <c r="M26" s="312">
        <f t="shared" si="16"/>
        <v>2526</v>
      </c>
      <c r="N26" s="310">
        <f t="shared" si="17"/>
        <v>8509</v>
      </c>
      <c r="O26" s="467">
        <f t="shared" si="24"/>
        <v>0</v>
      </c>
      <c r="P26" s="591">
        <v>16778.688999999998</v>
      </c>
      <c r="Q26" s="449">
        <f t="shared" si="27"/>
        <v>6397.9999999974098</v>
      </c>
      <c r="R26" s="449">
        <f t="shared" si="28"/>
        <v>2111.0000000025902</v>
      </c>
      <c r="S26" s="445">
        <v>10135</v>
      </c>
      <c r="T26" s="469">
        <f t="shared" si="3"/>
        <v>2</v>
      </c>
      <c r="U26" s="445">
        <v>423605</v>
      </c>
      <c r="V26" s="449">
        <f t="shared" si="18"/>
        <v>417</v>
      </c>
      <c r="W26" s="445">
        <f t="shared" si="9"/>
        <v>32247</v>
      </c>
      <c r="X26" s="449">
        <f t="shared" si="23"/>
        <v>0</v>
      </c>
      <c r="Y26" s="445">
        <f t="shared" si="10"/>
        <v>708695</v>
      </c>
      <c r="Z26" s="449">
        <f t="shared" si="22"/>
        <v>0</v>
      </c>
      <c r="AA26" s="445">
        <v>35789</v>
      </c>
      <c r="AB26" s="449">
        <f t="shared" si="19"/>
        <v>3</v>
      </c>
      <c r="AC26" s="445">
        <v>932619</v>
      </c>
      <c r="AD26" s="449">
        <f t="shared" si="29"/>
        <v>465</v>
      </c>
      <c r="AE26" s="472">
        <f t="shared" si="11"/>
        <v>5</v>
      </c>
      <c r="AF26" s="473">
        <f t="shared" si="12"/>
        <v>882</v>
      </c>
      <c r="AG26" s="465">
        <f t="shared" si="25"/>
        <v>176.4</v>
      </c>
      <c r="AI26" s="466">
        <f>R26-'EDl log'!B24</f>
        <v>-944311.99999999744</v>
      </c>
    </row>
    <row r="27" spans="1:35">
      <c r="A27" s="457">
        <f>'General information '!F30</f>
        <v>0</v>
      </c>
      <c r="B27" s="451">
        <f t="shared" si="6"/>
        <v>0</v>
      </c>
      <c r="C27" s="458">
        <v>44280</v>
      </c>
      <c r="D27" s="445">
        <v>32716342</v>
      </c>
      <c r="E27" s="311">
        <f t="shared" si="13"/>
        <v>3240</v>
      </c>
      <c r="F27" s="445">
        <v>3987148</v>
      </c>
      <c r="G27" s="312">
        <f>F27-F26</f>
        <v>808</v>
      </c>
      <c r="H27" s="445">
        <v>17825394</v>
      </c>
      <c r="I27" s="312">
        <f t="shared" si="14"/>
        <v>992</v>
      </c>
      <c r="J27" s="445">
        <v>28949394</v>
      </c>
      <c r="K27" s="312">
        <f t="shared" si="15"/>
        <v>1632</v>
      </c>
      <c r="L27" s="445">
        <v>24104486</v>
      </c>
      <c r="M27" s="312">
        <f t="shared" si="16"/>
        <v>3568</v>
      </c>
      <c r="N27" s="310">
        <f t="shared" si="17"/>
        <v>10240</v>
      </c>
      <c r="O27" s="467">
        <f t="shared" si="24"/>
        <v>0</v>
      </c>
      <c r="P27" s="591">
        <v>16787.054</v>
      </c>
      <c r="Q27" s="449">
        <f t="shared" si="27"/>
        <v>8365.0000000016007</v>
      </c>
      <c r="R27" s="449">
        <f t="shared" si="28"/>
        <v>1874.9999999983993</v>
      </c>
      <c r="S27" s="445">
        <v>10143</v>
      </c>
      <c r="T27" s="469">
        <f t="shared" si="3"/>
        <v>8</v>
      </c>
      <c r="U27" s="445">
        <v>424702</v>
      </c>
      <c r="V27" s="449">
        <f t="shared" si="18"/>
        <v>1097</v>
      </c>
      <c r="W27" s="445">
        <f t="shared" si="9"/>
        <v>32247</v>
      </c>
      <c r="X27" s="449">
        <f t="shared" si="23"/>
        <v>0</v>
      </c>
      <c r="Y27" s="445">
        <f t="shared" si="10"/>
        <v>708695</v>
      </c>
      <c r="Z27" s="449">
        <f t="shared" si="22"/>
        <v>0</v>
      </c>
      <c r="AA27" s="445">
        <v>35790</v>
      </c>
      <c r="AB27" s="449">
        <f t="shared" si="19"/>
        <v>1</v>
      </c>
      <c r="AC27" s="445">
        <v>932780</v>
      </c>
      <c r="AD27" s="449">
        <f t="shared" si="29"/>
        <v>161</v>
      </c>
      <c r="AE27" s="472">
        <f t="shared" si="11"/>
        <v>9</v>
      </c>
      <c r="AF27" s="473">
        <f t="shared" si="12"/>
        <v>1258</v>
      </c>
      <c r="AG27" s="465">
        <f t="shared" si="25"/>
        <v>139.77777777777777</v>
      </c>
      <c r="AI27" s="466">
        <f>R27-'EDl log'!B25</f>
        <v>-945986.00000000163</v>
      </c>
    </row>
    <row r="28" spans="1:35">
      <c r="A28" s="457">
        <f>'General information '!F31</f>
        <v>0</v>
      </c>
      <c r="B28" s="451">
        <f t="shared" si="6"/>
        <v>0</v>
      </c>
      <c r="C28" s="458">
        <v>44281</v>
      </c>
      <c r="D28" s="445">
        <v>32719538</v>
      </c>
      <c r="E28" s="311">
        <f t="shared" si="13"/>
        <v>3196</v>
      </c>
      <c r="F28" s="445">
        <v>3987732</v>
      </c>
      <c r="G28" s="312">
        <f t="shared" si="0"/>
        <v>584</v>
      </c>
      <c r="H28" s="445">
        <v>17826292</v>
      </c>
      <c r="I28" s="312">
        <f t="shared" si="14"/>
        <v>898</v>
      </c>
      <c r="J28" s="445">
        <v>28950954</v>
      </c>
      <c r="K28" s="312">
        <f t="shared" si="15"/>
        <v>1560</v>
      </c>
      <c r="L28" s="445">
        <v>24107450</v>
      </c>
      <c r="M28" s="312">
        <f t="shared" si="16"/>
        <v>2964</v>
      </c>
      <c r="N28" s="310">
        <f t="shared" si="17"/>
        <v>9202</v>
      </c>
      <c r="O28" s="467">
        <f t="shared" si="24"/>
        <v>0</v>
      </c>
      <c r="P28" s="591">
        <v>16795.579000000002</v>
      </c>
      <c r="Q28" s="449">
        <f t="shared" si="27"/>
        <v>8525.0000000014552</v>
      </c>
      <c r="R28" s="449">
        <f t="shared" si="28"/>
        <v>676.99999999854481</v>
      </c>
      <c r="S28" s="445">
        <v>10150</v>
      </c>
      <c r="T28" s="469">
        <f t="shared" si="3"/>
        <v>7</v>
      </c>
      <c r="U28" s="445">
        <v>425508</v>
      </c>
      <c r="V28" s="449">
        <f t="shared" si="18"/>
        <v>806</v>
      </c>
      <c r="W28" s="445">
        <f t="shared" si="9"/>
        <v>32247</v>
      </c>
      <c r="X28" s="449">
        <f t="shared" si="23"/>
        <v>0</v>
      </c>
      <c r="Y28" s="445">
        <f t="shared" si="10"/>
        <v>708695</v>
      </c>
      <c r="Z28" s="449">
        <f t="shared" si="22"/>
        <v>0</v>
      </c>
      <c r="AA28" s="445">
        <v>35793</v>
      </c>
      <c r="AB28" s="449">
        <f t="shared" si="19"/>
        <v>3</v>
      </c>
      <c r="AC28" s="445">
        <v>933207</v>
      </c>
      <c r="AD28" s="449">
        <f t="shared" si="29"/>
        <v>427</v>
      </c>
      <c r="AE28" s="472">
        <f t="shared" si="11"/>
        <v>10</v>
      </c>
      <c r="AF28" s="473">
        <f t="shared" si="12"/>
        <v>1233</v>
      </c>
      <c r="AG28" s="465">
        <f t="shared" si="25"/>
        <v>123.3</v>
      </c>
      <c r="AI28" s="466">
        <f>R28-'EDl log'!B26</f>
        <v>-948245.0000000014</v>
      </c>
    </row>
    <row r="29" spans="1:35">
      <c r="A29" s="457">
        <f>'General information '!F32</f>
        <v>0</v>
      </c>
      <c r="B29" s="451">
        <f>SUM(230*A29)</f>
        <v>0</v>
      </c>
      <c r="C29" s="458">
        <v>44282</v>
      </c>
      <c r="D29" s="445">
        <v>32722922</v>
      </c>
      <c r="E29" s="311">
        <f t="shared" si="13"/>
        <v>3384</v>
      </c>
      <c r="F29" s="445">
        <v>3988285</v>
      </c>
      <c r="G29" s="312">
        <f t="shared" si="0"/>
        <v>553</v>
      </c>
      <c r="H29" s="445">
        <v>17827192</v>
      </c>
      <c r="I29" s="312">
        <f t="shared" si="14"/>
        <v>900</v>
      </c>
      <c r="J29" s="445">
        <v>28952694</v>
      </c>
      <c r="K29" s="312">
        <f t="shared" si="15"/>
        <v>1740</v>
      </c>
      <c r="L29" s="445">
        <v>24109682</v>
      </c>
      <c r="M29" s="312">
        <f t="shared" si="16"/>
        <v>2232</v>
      </c>
      <c r="N29" s="310">
        <f t="shared" si="17"/>
        <v>8809</v>
      </c>
      <c r="O29" s="467">
        <f t="shared" si="24"/>
        <v>0</v>
      </c>
      <c r="P29" s="591">
        <v>16800.001</v>
      </c>
      <c r="Q29" s="449">
        <f t="shared" si="27"/>
        <v>4421.9999999986612</v>
      </c>
      <c r="R29" s="449">
        <f t="shared" si="28"/>
        <v>4387.0000000013388</v>
      </c>
      <c r="S29" s="445">
        <v>10151</v>
      </c>
      <c r="T29" s="469">
        <f t="shared" si="3"/>
        <v>1</v>
      </c>
      <c r="U29" s="445">
        <v>425627</v>
      </c>
      <c r="V29" s="449">
        <f t="shared" si="18"/>
        <v>119</v>
      </c>
      <c r="W29" s="445">
        <f t="shared" si="9"/>
        <v>32247</v>
      </c>
      <c r="X29" s="449">
        <f t="shared" si="23"/>
        <v>0</v>
      </c>
      <c r="Y29" s="445">
        <f t="shared" si="10"/>
        <v>708695</v>
      </c>
      <c r="Z29" s="449">
        <f t="shared" si="22"/>
        <v>0</v>
      </c>
      <c r="AA29" s="445">
        <v>35799</v>
      </c>
      <c r="AB29" s="449">
        <f t="shared" si="19"/>
        <v>6</v>
      </c>
      <c r="AC29" s="445">
        <v>934033</v>
      </c>
      <c r="AD29" s="449">
        <f t="shared" si="29"/>
        <v>826</v>
      </c>
      <c r="AE29" s="472">
        <f t="shared" si="11"/>
        <v>7</v>
      </c>
      <c r="AF29" s="473">
        <f t="shared" si="12"/>
        <v>945</v>
      </c>
      <c r="AG29" s="465">
        <f t="shared" si="25"/>
        <v>135</v>
      </c>
      <c r="AI29" s="466">
        <f>R29-'EDl log'!B27</f>
        <v>-945729.9999999986</v>
      </c>
    </row>
    <row r="30" spans="1:35">
      <c r="A30" s="457">
        <f>'General information '!F33</f>
        <v>0</v>
      </c>
      <c r="B30" s="451">
        <f t="shared" si="6"/>
        <v>0</v>
      </c>
      <c r="C30" s="458">
        <v>44283</v>
      </c>
      <c r="D30" s="445">
        <v>32725872</v>
      </c>
      <c r="E30" s="311">
        <f t="shared" si="13"/>
        <v>2950</v>
      </c>
      <c r="F30" s="445">
        <v>3988813</v>
      </c>
      <c r="G30" s="312">
        <f t="shared" si="0"/>
        <v>528</v>
      </c>
      <c r="H30" s="445">
        <v>17828038</v>
      </c>
      <c r="I30" s="312">
        <f t="shared" si="14"/>
        <v>846</v>
      </c>
      <c r="J30" s="445">
        <v>28953994</v>
      </c>
      <c r="K30" s="312">
        <f t="shared" si="15"/>
        <v>1300</v>
      </c>
      <c r="L30" s="445">
        <v>24111568</v>
      </c>
      <c r="M30" s="312">
        <f t="shared" si="16"/>
        <v>1886</v>
      </c>
      <c r="N30" s="310">
        <f t="shared" si="17"/>
        <v>7510</v>
      </c>
      <c r="O30" s="467">
        <f t="shared" si="24"/>
        <v>0</v>
      </c>
      <c r="P30" s="591">
        <v>16806.665000000001</v>
      </c>
      <c r="Q30" s="449">
        <f t="shared" si="27"/>
        <v>6664.0000000006694</v>
      </c>
      <c r="R30" s="449">
        <f t="shared" si="28"/>
        <v>845.99999999933061</v>
      </c>
      <c r="S30" s="445">
        <f t="shared" si="7"/>
        <v>10151</v>
      </c>
      <c r="T30" s="469">
        <f t="shared" si="3"/>
        <v>0</v>
      </c>
      <c r="U30" s="445">
        <f t="shared" si="8"/>
        <v>425627</v>
      </c>
      <c r="V30" s="449">
        <f t="shared" si="18"/>
        <v>0</v>
      </c>
      <c r="W30" s="445">
        <f t="shared" si="9"/>
        <v>32247</v>
      </c>
      <c r="X30" s="470">
        <f t="shared" si="23"/>
        <v>0</v>
      </c>
      <c r="Y30" s="445">
        <f t="shared" si="10"/>
        <v>708695</v>
      </c>
      <c r="Z30" s="449">
        <f t="shared" si="22"/>
        <v>0</v>
      </c>
      <c r="AA30" s="445">
        <v>35802</v>
      </c>
      <c r="AB30" s="449">
        <f t="shared" si="19"/>
        <v>3</v>
      </c>
      <c r="AC30" s="445">
        <v>934561</v>
      </c>
      <c r="AD30" s="449">
        <f t="shared" si="29"/>
        <v>528</v>
      </c>
      <c r="AE30" s="472">
        <f t="shared" si="11"/>
        <v>3</v>
      </c>
      <c r="AF30" s="473">
        <f t="shared" si="12"/>
        <v>528</v>
      </c>
      <c r="AG30" s="465">
        <f t="shared" si="25"/>
        <v>176</v>
      </c>
      <c r="AI30" s="466">
        <f>R30-'EDl log'!B28</f>
        <v>-950372.0000000007</v>
      </c>
    </row>
    <row r="31" spans="1:35">
      <c r="A31" s="457"/>
      <c r="B31" s="451"/>
      <c r="C31" s="458">
        <v>44284</v>
      </c>
      <c r="D31" s="445">
        <v>32730578</v>
      </c>
      <c r="E31" s="311">
        <f t="shared" si="13"/>
        <v>4706</v>
      </c>
      <c r="F31" s="445">
        <v>3989438</v>
      </c>
      <c r="G31" s="312">
        <f t="shared" si="0"/>
        <v>625</v>
      </c>
      <c r="H31" s="445">
        <v>17828978</v>
      </c>
      <c r="I31" s="312">
        <f t="shared" si="14"/>
        <v>940</v>
      </c>
      <c r="J31" s="445">
        <v>28956214</v>
      </c>
      <c r="K31" s="312">
        <f t="shared" si="15"/>
        <v>2220</v>
      </c>
      <c r="L31" s="445">
        <v>24114082</v>
      </c>
      <c r="M31" s="312">
        <f t="shared" si="16"/>
        <v>2514</v>
      </c>
      <c r="N31" s="310">
        <f t="shared" ref="N31:N33" si="30">M31+K31+I31+G31+E31</f>
        <v>11005</v>
      </c>
      <c r="O31" s="467">
        <f t="shared" ref="O31:O33" si="31">IF(B31&gt;0,N31/B31,0)</f>
        <v>0</v>
      </c>
      <c r="P31" s="591">
        <v>16817.044999999998</v>
      </c>
      <c r="Q31" s="449">
        <f t="shared" ref="Q31:Q33" si="32">(P31-P30)*1000</f>
        <v>10379.999999997381</v>
      </c>
      <c r="R31" s="449">
        <f t="shared" ref="R31:R33" si="33">N31-Q31</f>
        <v>625.00000000261934</v>
      </c>
      <c r="S31" s="445">
        <f t="shared" si="7"/>
        <v>10151</v>
      </c>
      <c r="T31" s="469">
        <f t="shared" ref="T31:T33" si="34">S31-S30</f>
        <v>0</v>
      </c>
      <c r="U31" s="445">
        <f t="shared" si="8"/>
        <v>425627</v>
      </c>
      <c r="V31" s="449">
        <f t="shared" ref="V31:V33" si="35">U31-U30</f>
        <v>0</v>
      </c>
      <c r="W31" s="445">
        <f t="shared" si="9"/>
        <v>32247</v>
      </c>
      <c r="X31" s="470">
        <f t="shared" ref="X31:X33" si="36">W31-W30</f>
        <v>0</v>
      </c>
      <c r="Y31" s="445">
        <f t="shared" si="10"/>
        <v>708695</v>
      </c>
      <c r="Z31" s="449">
        <f t="shared" ref="Z31:Z33" si="37">Y31-Y30</f>
        <v>0</v>
      </c>
      <c r="AA31" s="445">
        <v>35813</v>
      </c>
      <c r="AB31" s="449">
        <f t="shared" ref="AB31:AB33" si="38">AA31-AA30</f>
        <v>11</v>
      </c>
      <c r="AC31" s="445">
        <v>936126</v>
      </c>
      <c r="AD31" s="449">
        <f t="shared" ref="AD31:AD33" si="39">AC31-AC30</f>
        <v>1565</v>
      </c>
      <c r="AE31" s="472">
        <f t="shared" ref="AE31:AE33" si="40">AB31+X31+T31</f>
        <v>11</v>
      </c>
      <c r="AF31" s="473">
        <f t="shared" ref="AF31:AF33" si="41">V31+Z31+AD31</f>
        <v>1565</v>
      </c>
      <c r="AG31" s="465">
        <f t="shared" ref="AG31:AG33" si="42">IF(AE31&gt;0,AF31/AE31,0)</f>
        <v>142.27272727272728</v>
      </c>
      <c r="AI31" s="466">
        <f>R31-'EDl log'!B29</f>
        <v>-951483.99999999744</v>
      </c>
    </row>
    <row r="32" spans="1:35">
      <c r="A32" s="457"/>
      <c r="B32" s="451"/>
      <c r="C32" s="458">
        <v>44285</v>
      </c>
      <c r="D32" s="445">
        <v>32733428</v>
      </c>
      <c r="E32" s="311">
        <f t="shared" si="13"/>
        <v>2850</v>
      </c>
      <c r="F32" s="445">
        <v>3990061</v>
      </c>
      <c r="G32" s="312">
        <f t="shared" si="0"/>
        <v>623</v>
      </c>
      <c r="H32" s="445">
        <v>17829880</v>
      </c>
      <c r="I32" s="312">
        <f t="shared" si="14"/>
        <v>902</v>
      </c>
      <c r="J32" s="445">
        <v>28957828</v>
      </c>
      <c r="K32" s="312">
        <f t="shared" si="15"/>
        <v>1614</v>
      </c>
      <c r="L32" s="445">
        <v>24117538</v>
      </c>
      <c r="M32" s="312">
        <f t="shared" si="16"/>
        <v>3456</v>
      </c>
      <c r="N32" s="310">
        <f t="shared" si="30"/>
        <v>9445</v>
      </c>
      <c r="O32" s="467">
        <f t="shared" si="31"/>
        <v>0</v>
      </c>
      <c r="P32" s="591">
        <v>16824.862000000001</v>
      </c>
      <c r="Q32" s="449">
        <f t="shared" si="32"/>
        <v>7817.0000000027358</v>
      </c>
      <c r="R32" s="449">
        <f t="shared" si="33"/>
        <v>1627.9999999972642</v>
      </c>
      <c r="S32" s="445">
        <v>10158</v>
      </c>
      <c r="T32" s="469">
        <f t="shared" si="34"/>
        <v>7</v>
      </c>
      <c r="U32" s="445">
        <v>426632</v>
      </c>
      <c r="V32" s="449">
        <f t="shared" si="35"/>
        <v>1005</v>
      </c>
      <c r="W32" s="445">
        <f t="shared" si="9"/>
        <v>32247</v>
      </c>
      <c r="X32" s="470">
        <f t="shared" si="36"/>
        <v>0</v>
      </c>
      <c r="Y32" s="445">
        <f t="shared" si="10"/>
        <v>708695</v>
      </c>
      <c r="Z32" s="449">
        <f t="shared" si="37"/>
        <v>0</v>
      </c>
      <c r="AA32" s="445">
        <v>35814</v>
      </c>
      <c r="AB32" s="449">
        <f t="shared" si="38"/>
        <v>1</v>
      </c>
      <c r="AC32" s="445">
        <v>936218</v>
      </c>
      <c r="AD32" s="449">
        <f t="shared" si="39"/>
        <v>92</v>
      </c>
      <c r="AE32" s="472">
        <f t="shared" si="40"/>
        <v>8</v>
      </c>
      <c r="AF32" s="473">
        <f t="shared" si="41"/>
        <v>1097</v>
      </c>
      <c r="AG32" s="465">
        <f t="shared" si="42"/>
        <v>137.125</v>
      </c>
      <c r="AI32" s="466">
        <f>R32-'EDl log'!B30</f>
        <v>-951491.00000000279</v>
      </c>
    </row>
    <row r="33" spans="1:35">
      <c r="A33" s="457"/>
      <c r="B33" s="451"/>
      <c r="C33" s="458">
        <v>44286</v>
      </c>
      <c r="D33" s="445">
        <v>32737038</v>
      </c>
      <c r="E33" s="311">
        <f t="shared" si="13"/>
        <v>3610</v>
      </c>
      <c r="F33" s="445">
        <v>3990693</v>
      </c>
      <c r="G33" s="312">
        <f t="shared" si="0"/>
        <v>632</v>
      </c>
      <c r="H33" s="445">
        <v>17830854</v>
      </c>
      <c r="I33" s="312">
        <f t="shared" si="14"/>
        <v>974</v>
      </c>
      <c r="J33" s="445">
        <v>28959514</v>
      </c>
      <c r="K33" s="312">
        <f t="shared" si="15"/>
        <v>1686</v>
      </c>
      <c r="L33" s="445">
        <v>24121564</v>
      </c>
      <c r="M33" s="312">
        <f t="shared" si="16"/>
        <v>4026</v>
      </c>
      <c r="N33" s="310">
        <f t="shared" si="30"/>
        <v>10928</v>
      </c>
      <c r="O33" s="467">
        <f t="shared" si="31"/>
        <v>0</v>
      </c>
      <c r="P33" s="591">
        <v>16834.842000000001</v>
      </c>
      <c r="Q33" s="449">
        <f t="shared" si="32"/>
        <v>9979.9999999995634</v>
      </c>
      <c r="R33" s="449">
        <f t="shared" si="33"/>
        <v>948.00000000043656</v>
      </c>
      <c r="S33" s="445">
        <v>10167</v>
      </c>
      <c r="T33" s="469">
        <f t="shared" si="34"/>
        <v>9</v>
      </c>
      <c r="U33" s="445">
        <v>427949</v>
      </c>
      <c r="V33" s="449">
        <f t="shared" si="35"/>
        <v>1317</v>
      </c>
      <c r="W33" s="445">
        <f t="shared" si="9"/>
        <v>32247</v>
      </c>
      <c r="X33" s="470">
        <f t="shared" si="36"/>
        <v>0</v>
      </c>
      <c r="Y33" s="445">
        <f t="shared" si="10"/>
        <v>708695</v>
      </c>
      <c r="Z33" s="449">
        <f t="shared" si="37"/>
        <v>0</v>
      </c>
      <c r="AA33" s="445">
        <f t="shared" ref="AA33" si="43">AA32</f>
        <v>35814</v>
      </c>
      <c r="AB33" s="449">
        <f t="shared" si="38"/>
        <v>0</v>
      </c>
      <c r="AC33" s="445">
        <f t="shared" ref="AC33" si="44">AC32</f>
        <v>936218</v>
      </c>
      <c r="AD33" s="449">
        <f t="shared" si="39"/>
        <v>0</v>
      </c>
      <c r="AE33" s="472">
        <f t="shared" si="40"/>
        <v>9</v>
      </c>
      <c r="AF33" s="473">
        <f t="shared" si="41"/>
        <v>1317</v>
      </c>
      <c r="AG33" s="465">
        <f t="shared" si="42"/>
        <v>146.33333333333334</v>
      </c>
      <c r="AI33" s="466">
        <f>R33-'EDl log'!B31</f>
        <v>-953162.99999999953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4"/>
  <sheetViews>
    <sheetView zoomScale="90" zoomScaleNormal="90" workbookViewId="0">
      <pane ySplit="1" topLeftCell="A26" activePane="bottomLeft" state="frozen"/>
      <selection activeCell="K1" sqref="K1"/>
      <selection pane="bottomLeft" activeCell="V35" sqref="V35"/>
    </sheetView>
  </sheetViews>
  <sheetFormatPr defaultColWidth="9.140625"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1" customWidth="1"/>
    <col min="38" max="38" width="11.140625" style="321" bestFit="1" customWidth="1"/>
    <col min="39" max="39" width="11.42578125" style="321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13"/>
    <col min="51" max="16384" width="9.140625" style="42"/>
  </cols>
  <sheetData>
    <row r="1" spans="1:52" ht="30.75" thickBot="1">
      <c r="F1" s="628" t="s">
        <v>2</v>
      </c>
      <c r="G1" s="629"/>
      <c r="H1" s="629"/>
      <c r="I1" s="630"/>
      <c r="J1" s="282">
        <f>J37</f>
        <v>69.878947368421038</v>
      </c>
      <c r="K1" s="631" t="s">
        <v>4</v>
      </c>
      <c r="L1" s="632"/>
      <c r="M1" s="632"/>
      <c r="N1" s="632"/>
      <c r="O1" s="633"/>
      <c r="P1" s="622" t="s">
        <v>6</v>
      </c>
      <c r="Q1" s="623"/>
      <c r="R1" s="623"/>
      <c r="S1" s="623"/>
      <c r="T1" s="624"/>
      <c r="U1" s="397"/>
      <c r="V1" s="27" t="s">
        <v>104</v>
      </c>
      <c r="W1" s="398"/>
      <c r="X1" s="622" t="s">
        <v>8</v>
      </c>
      <c r="Y1" s="623"/>
      <c r="Z1" s="623"/>
      <c r="AA1" s="623"/>
      <c r="AB1" s="623"/>
      <c r="AC1" s="625" t="s">
        <v>10</v>
      </c>
      <c r="AD1" s="626"/>
      <c r="AE1" s="626"/>
      <c r="AF1" s="627"/>
      <c r="AG1" s="207"/>
      <c r="AH1" s="85" t="s">
        <v>105</v>
      </c>
      <c r="AI1" s="314" t="s">
        <v>128</v>
      </c>
      <c r="AJ1" s="314"/>
      <c r="AK1" s="314"/>
      <c r="AL1" s="314" t="s">
        <v>133</v>
      </c>
      <c r="AM1" s="314" t="s">
        <v>134</v>
      </c>
      <c r="AN1" s="316" t="s">
        <v>12</v>
      </c>
      <c r="AO1" s="316" t="s">
        <v>13</v>
      </c>
      <c r="AP1" s="316" t="s">
        <v>14</v>
      </c>
      <c r="AQ1" s="316" t="s">
        <v>15</v>
      </c>
      <c r="AR1" s="316" t="s">
        <v>16</v>
      </c>
      <c r="AS1" s="316" t="s">
        <v>17</v>
      </c>
      <c r="AT1" s="316"/>
      <c r="AU1" s="317" t="s">
        <v>18</v>
      </c>
      <c r="AV1" s="176" t="s">
        <v>71</v>
      </c>
      <c r="AW1" s="176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376</v>
      </c>
      <c r="N2" s="47"/>
      <c r="O2" s="50" t="s">
        <v>79</v>
      </c>
      <c r="P2" s="51" t="s">
        <v>6</v>
      </c>
      <c r="Q2" s="620"/>
      <c r="R2" s="621"/>
      <c r="S2" s="52" t="s">
        <v>7</v>
      </c>
      <c r="T2" s="53"/>
      <c r="U2" s="401" t="s">
        <v>381</v>
      </c>
      <c r="V2" s="54" t="s">
        <v>103</v>
      </c>
      <c r="W2" s="399"/>
      <c r="X2" s="55" t="s">
        <v>8</v>
      </c>
      <c r="Y2" s="46" t="s">
        <v>9</v>
      </c>
      <c r="Z2" s="390" t="s">
        <v>377</v>
      </c>
      <c r="AA2" s="391" t="s">
        <v>378</v>
      </c>
      <c r="AB2" s="281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15" t="s">
        <v>103</v>
      </c>
      <c r="AJ2" s="393"/>
      <c r="AK2" s="393"/>
      <c r="AL2" s="393"/>
      <c r="AM2" s="393"/>
      <c r="AN2" s="392"/>
      <c r="AO2" s="392"/>
      <c r="AP2" s="392"/>
      <c r="AQ2" s="392"/>
      <c r="AR2" s="392"/>
      <c r="AS2" s="392"/>
      <c r="AT2" s="392"/>
      <c r="AU2" s="392"/>
      <c r="AV2" s="269"/>
      <c r="AW2" s="26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01"/>
      <c r="V3" s="59"/>
      <c r="W3" s="399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8"/>
      <c r="AJ3" s="319"/>
      <c r="AK3" s="319"/>
      <c r="AL3" s="319"/>
      <c r="AM3" s="319"/>
    </row>
    <row r="4" spans="1:52" s="339" customFormat="1">
      <c r="A4" s="63">
        <f>ELEC!C2</f>
        <v>44255</v>
      </c>
      <c r="B4" s="395">
        <f>[1]B5!B32</f>
        <v>218</v>
      </c>
      <c r="C4" s="395">
        <f>[1]B5!C32</f>
        <v>225</v>
      </c>
      <c r="D4" s="395">
        <f>[1]B5!D32</f>
        <v>6</v>
      </c>
      <c r="E4" s="395">
        <f>[1]B5!E32</f>
        <v>50.28</v>
      </c>
      <c r="F4" s="395">
        <f>[1]B5!F32</f>
        <v>1749</v>
      </c>
      <c r="G4" s="395">
        <f>[1]B5!G32</f>
        <v>0</v>
      </c>
      <c r="H4" s="395">
        <f>[1]B5!H32</f>
        <v>6488</v>
      </c>
      <c r="I4" s="395">
        <f>[1]B5!I32</f>
        <v>26</v>
      </c>
      <c r="J4" s="395">
        <f>[1]B5!J32</f>
        <v>0</v>
      </c>
      <c r="K4" s="395">
        <f>[1]B5!K32</f>
        <v>2246</v>
      </c>
      <c r="L4" s="395">
        <f>[1]B5!L32</f>
        <v>1</v>
      </c>
      <c r="M4" s="395">
        <f>[1]B5!M32</f>
        <v>165218</v>
      </c>
      <c r="N4" s="395">
        <f>[1]B5!N32</f>
        <v>65</v>
      </c>
      <c r="O4" s="395">
        <f>[1]B5!O32</f>
        <v>1869</v>
      </c>
      <c r="P4" s="395">
        <f>[1]B5!P32</f>
        <v>2001</v>
      </c>
      <c r="Q4" s="395">
        <f>[1]B5!Q32</f>
        <v>168983</v>
      </c>
      <c r="R4" s="395">
        <f>[1]B5!R32</f>
        <v>133</v>
      </c>
      <c r="S4" s="395">
        <f>[1]B5!S32</f>
        <v>2</v>
      </c>
      <c r="T4" s="395">
        <f>[1]B5!T32</f>
        <v>0</v>
      </c>
      <c r="U4" s="395">
        <f>[1]B5!U32</f>
        <v>3</v>
      </c>
      <c r="V4" s="395">
        <f>[1]B5!V32</f>
        <v>224</v>
      </c>
      <c r="W4" s="395">
        <f>[1]B5!W32</f>
        <v>0</v>
      </c>
      <c r="X4" s="395">
        <f>[1]B5!X32</f>
        <v>2456</v>
      </c>
      <c r="Y4" s="395">
        <f>[1]B5!Y32</f>
        <v>0</v>
      </c>
      <c r="Z4" s="395">
        <f>[1]B5!Z32</f>
        <v>138138.79999999999</v>
      </c>
      <c r="AA4" s="395">
        <f>[1]B5!AA32</f>
        <v>0</v>
      </c>
      <c r="AB4" s="395">
        <f>[1]B5!AB32</f>
        <v>0</v>
      </c>
      <c r="AC4" s="395">
        <f>[1]B5!AC32</f>
        <v>1935</v>
      </c>
      <c r="AD4" s="395">
        <f>[1]B5!AD32</f>
        <v>0</v>
      </c>
      <c r="AE4" s="395">
        <f>[1]B5!AE32</f>
        <v>365429</v>
      </c>
      <c r="AF4" s="395">
        <f>[1]B5!AF32</f>
        <v>0</v>
      </c>
      <c r="AG4" s="395">
        <f>[1]B5!AG32</f>
        <v>0</v>
      </c>
      <c r="AH4" s="395">
        <f>[1]B5!AH32</f>
        <v>0</v>
      </c>
      <c r="AI4" s="395">
        <f>[1]B5!AI32</f>
        <v>224</v>
      </c>
      <c r="AJ4" s="395">
        <f>[1]B5!AJ32</f>
        <v>224</v>
      </c>
      <c r="AK4" s="395">
        <f>[1]B5!AK32</f>
        <v>0</v>
      </c>
      <c r="AL4" s="395">
        <f>[1]B5!AL32</f>
        <v>3</v>
      </c>
      <c r="AM4" s="395">
        <f>[1]B5!AM32</f>
        <v>0</v>
      </c>
      <c r="AN4" s="395">
        <f>[1]B5!AN32</f>
        <v>67</v>
      </c>
      <c r="AO4" s="395">
        <f>[1]B5!AO32</f>
        <v>2010.0000000000002</v>
      </c>
      <c r="AP4" s="395">
        <f>[1]B5!AP32</f>
        <v>55</v>
      </c>
      <c r="AQ4" s="395">
        <f>[1]B5!AQ32</f>
        <v>1650.0000000000002</v>
      </c>
      <c r="AR4" s="395">
        <f>[1]B5!AR32</f>
        <v>61</v>
      </c>
      <c r="AS4" s="395">
        <f>[1]B5!AS32</f>
        <v>1830</v>
      </c>
      <c r="AT4" s="395">
        <f>[1]B5!AT32</f>
        <v>5490</v>
      </c>
      <c r="AU4" s="395">
        <f>[1]B5!AU32</f>
        <v>0</v>
      </c>
      <c r="AV4" s="395">
        <f>[1]B5!AV32</f>
        <v>0</v>
      </c>
      <c r="AW4" s="395">
        <f>[1]B5!AW32</f>
        <v>0</v>
      </c>
      <c r="AX4" s="395">
        <f>[1]B5!AX32</f>
        <v>0.8</v>
      </c>
    </row>
    <row r="5" spans="1:52">
      <c r="A5" s="63">
        <f>ELEC!C3</f>
        <v>44256</v>
      </c>
      <c r="B5" s="613">
        <v>209</v>
      </c>
      <c r="C5" s="613">
        <v>206</v>
      </c>
      <c r="D5" s="45">
        <f>C4-C5</f>
        <v>19</v>
      </c>
      <c r="E5" s="45">
        <f>D5*8.38</f>
        <v>159.22000000000003</v>
      </c>
      <c r="F5" s="604">
        <v>1752</v>
      </c>
      <c r="G5" s="52">
        <f t="shared" ref="G5:G32" si="0">F5-F4</f>
        <v>3</v>
      </c>
      <c r="H5" s="604">
        <v>6668</v>
      </c>
      <c r="I5" s="396">
        <f t="shared" ref="I5:I32" si="1">SUM(H5-H4)</f>
        <v>180</v>
      </c>
      <c r="J5" s="66">
        <v>1</v>
      </c>
      <c r="K5" s="584">
        <f>K4</f>
        <v>2246</v>
      </c>
      <c r="L5" s="52">
        <f>K5-K4</f>
        <v>0</v>
      </c>
      <c r="M5" s="584">
        <f>M4</f>
        <v>165218</v>
      </c>
      <c r="N5" s="396">
        <f t="shared" ref="N5:N32" si="2">M5-M4</f>
        <v>0</v>
      </c>
      <c r="O5" s="64">
        <f>O4</f>
        <v>1869</v>
      </c>
      <c r="P5" s="584">
        <v>2002</v>
      </c>
      <c r="Q5" s="584">
        <v>169047</v>
      </c>
      <c r="R5" s="395">
        <f t="shared" ref="R5:R10" si="3">Q5-Q4</f>
        <v>64</v>
      </c>
      <c r="S5" s="52">
        <f t="shared" ref="S5:S32" si="4">SUM(P5-P4)</f>
        <v>1</v>
      </c>
      <c r="T5" s="67">
        <f>SUM(S5*$T$2)</f>
        <v>0</v>
      </c>
      <c r="U5" s="402">
        <f>SUM(G5+L5+S5)</f>
        <v>4</v>
      </c>
      <c r="V5" s="62">
        <f>R5+N5+I5:I5</f>
        <v>244</v>
      </c>
      <c r="W5" s="400">
        <f>SUM(V5/U5)</f>
        <v>61</v>
      </c>
      <c r="X5" s="605">
        <v>2459</v>
      </c>
      <c r="Y5" s="52">
        <f>X5-X4</f>
        <v>3</v>
      </c>
      <c r="Z5" s="605">
        <v>138315</v>
      </c>
      <c r="AA5" s="65">
        <f t="shared" ref="AA5:AA32" si="5">Z5-Z4</f>
        <v>176.20000000001164</v>
      </c>
      <c r="AB5" s="284">
        <f>SUM(Y5*$AB$2)</f>
        <v>0</v>
      </c>
      <c r="AC5" s="584">
        <f>AC4</f>
        <v>1935</v>
      </c>
      <c r="AD5" s="45">
        <f t="shared" ref="AD5:AD32" si="6">AC5-AC4</f>
        <v>0</v>
      </c>
      <c r="AE5" s="584">
        <f>AE4</f>
        <v>365429</v>
      </c>
      <c r="AF5" s="306">
        <f>AE5-AE4</f>
        <v>0</v>
      </c>
      <c r="AG5" s="209">
        <f>IF(AD5&gt;0,AF5/AD5,0)</f>
        <v>0</v>
      </c>
      <c r="AH5" s="62">
        <f>AF5+AA5</f>
        <v>176.20000000001164</v>
      </c>
      <c r="AI5" s="318">
        <f>SUM(AH5+V5)</f>
        <v>420.20000000001164</v>
      </c>
      <c r="AJ5" s="318">
        <f>-tanks!AW6</f>
        <v>420.20000000001164</v>
      </c>
      <c r="AK5" s="318">
        <f>SUM(AJ5-AI5)</f>
        <v>0</v>
      </c>
      <c r="AL5" s="318">
        <f t="shared" ref="AL5:AL32" si="7">S5+L5+G5</f>
        <v>4</v>
      </c>
      <c r="AM5" s="318">
        <f>Y5+AD5</f>
        <v>3</v>
      </c>
      <c r="AN5" s="584">
        <f>AN4</f>
        <v>67</v>
      </c>
      <c r="AO5" s="320">
        <f>(AN5/100)*3000</f>
        <v>2010.0000000000002</v>
      </c>
      <c r="AP5" s="584">
        <f>AP4</f>
        <v>55</v>
      </c>
      <c r="AQ5" s="320">
        <f>(AP5/100)*3000</f>
        <v>1650.0000000000002</v>
      </c>
      <c r="AR5" s="584">
        <f>AR4</f>
        <v>61</v>
      </c>
      <c r="AS5" s="320">
        <f>(AR5/100)*3000</f>
        <v>1830</v>
      </c>
      <c r="AT5" s="320">
        <f>SUM(AO5+AQ5+AS5)</f>
        <v>5490</v>
      </c>
      <c r="AU5" s="320">
        <f>AT4-AT5+AV5</f>
        <v>0</v>
      </c>
      <c r="AV5" s="269"/>
      <c r="AW5" s="269"/>
      <c r="AX5" s="313">
        <f>IF(AV5&gt;0,AW5,AX4)</f>
        <v>0.8</v>
      </c>
    </row>
    <row r="6" spans="1:52">
      <c r="A6" s="63">
        <f>ELEC!C4</f>
        <v>44257</v>
      </c>
      <c r="B6" s="613">
        <v>199</v>
      </c>
      <c r="C6" s="613">
        <v>205</v>
      </c>
      <c r="D6" s="45">
        <f>C5-C6</f>
        <v>1</v>
      </c>
      <c r="E6" s="45">
        <f t="shared" ref="E6:E31" si="8">D6*8.38</f>
        <v>8.3800000000000008</v>
      </c>
      <c r="F6" s="604">
        <v>1753</v>
      </c>
      <c r="G6" s="52">
        <f t="shared" si="0"/>
        <v>1</v>
      </c>
      <c r="H6" s="604">
        <v>6720</v>
      </c>
      <c r="I6" s="396">
        <f t="shared" si="1"/>
        <v>52</v>
      </c>
      <c r="J6" s="66">
        <f t="shared" ref="J6:J32" si="9">IF(G6&gt;0,I6/G6,0)</f>
        <v>52</v>
      </c>
      <c r="K6" s="584">
        <v>2248</v>
      </c>
      <c r="L6" s="52">
        <f t="shared" ref="L6:L32" si="10">K6-K5</f>
        <v>2</v>
      </c>
      <c r="M6" s="584">
        <v>165407</v>
      </c>
      <c r="N6" s="396">
        <f t="shared" si="2"/>
        <v>189</v>
      </c>
      <c r="O6" s="64">
        <f t="shared" ref="O6:Q32" si="11">O5</f>
        <v>1869</v>
      </c>
      <c r="P6" s="584">
        <f t="shared" si="11"/>
        <v>2002</v>
      </c>
      <c r="Q6" s="584">
        <f t="shared" si="11"/>
        <v>169047</v>
      </c>
      <c r="R6" s="395">
        <f t="shared" si="3"/>
        <v>0</v>
      </c>
      <c r="S6" s="52">
        <f t="shared" si="4"/>
        <v>0</v>
      </c>
      <c r="T6" s="67">
        <f>SUM(S6*$T$2)</f>
        <v>0</v>
      </c>
      <c r="U6" s="402">
        <f t="shared" ref="U6:U32" si="12">SUM(G6+L6+S6)</f>
        <v>3</v>
      </c>
      <c r="V6" s="62">
        <f t="shared" ref="V6:V32" si="13">R6+N6+I6:I6</f>
        <v>241</v>
      </c>
      <c r="W6" s="400">
        <f t="shared" ref="W6:W16" si="14">SUM(V6/U6)</f>
        <v>80.333333333333329</v>
      </c>
      <c r="X6" s="605">
        <v>2461</v>
      </c>
      <c r="Y6" s="52">
        <f t="shared" ref="Y6:Y32" si="15">X6-X5</f>
        <v>2</v>
      </c>
      <c r="Z6" s="605">
        <v>138425</v>
      </c>
      <c r="AA6" s="65">
        <f t="shared" si="5"/>
        <v>110</v>
      </c>
      <c r="AB6" s="284">
        <f>SUM(Y6*$AB$2)</f>
        <v>0</v>
      </c>
      <c r="AC6" s="584">
        <f t="shared" ref="AC6:AC35" si="16">AC5</f>
        <v>1935</v>
      </c>
      <c r="AD6" s="45">
        <f t="shared" si="6"/>
        <v>0</v>
      </c>
      <c r="AE6" s="584">
        <f t="shared" ref="AE6:AE35" si="17">AE5</f>
        <v>365429</v>
      </c>
      <c r="AF6" s="306">
        <f t="shared" ref="AF6:AF32" si="18">AE6-AE5</f>
        <v>0</v>
      </c>
      <c r="AG6" s="209">
        <f>IF(AD6&gt;0,AF6/AD6,0)</f>
        <v>0</v>
      </c>
      <c r="AH6" s="62">
        <f>AF6+AA6</f>
        <v>110</v>
      </c>
      <c r="AI6" s="318">
        <f t="shared" ref="AI6:AI32" si="19">SUM(AH6+V6)</f>
        <v>351</v>
      </c>
      <c r="AJ6" s="318">
        <f>-tanks!AW7</f>
        <v>351</v>
      </c>
      <c r="AK6" s="318">
        <f t="shared" ref="AK6:AK32" si="20">SUM(AJ6-AI6)</f>
        <v>0</v>
      </c>
      <c r="AL6" s="318">
        <f t="shared" si="7"/>
        <v>3</v>
      </c>
      <c r="AM6" s="318">
        <f t="shared" ref="AM6:AM32" si="21">Y6+AD6</f>
        <v>2</v>
      </c>
      <c r="AN6" s="584">
        <f t="shared" ref="AN6:AP6" si="22">AN5</f>
        <v>67</v>
      </c>
      <c r="AO6" s="320">
        <f t="shared" ref="AO6:AO26" si="23">(AN6/100)*3000</f>
        <v>2010.0000000000002</v>
      </c>
      <c r="AP6" s="584">
        <f t="shared" si="22"/>
        <v>55</v>
      </c>
      <c r="AQ6" s="320">
        <f t="shared" ref="AQ6:AQ24" si="24">(AP6/100)*3000</f>
        <v>1650.0000000000002</v>
      </c>
      <c r="AR6" s="584">
        <f t="shared" ref="AR6" si="25">AR5</f>
        <v>61</v>
      </c>
      <c r="AS6" s="320">
        <f>(AR6/100)*3000</f>
        <v>1830</v>
      </c>
      <c r="AT6" s="320">
        <f>SUM(AO6+AQ6+AS6)</f>
        <v>5490</v>
      </c>
      <c r="AU6" s="320">
        <f>AT5-AT6+AV6</f>
        <v>0</v>
      </c>
      <c r="AV6" s="269"/>
      <c r="AW6" s="269"/>
      <c r="AX6" s="313">
        <f t="shared" ref="AX6:AX32" si="26">IF(AV6&gt;0,AW6,AX5)</f>
        <v>0.8</v>
      </c>
    </row>
    <row r="7" spans="1:52">
      <c r="A7" s="63">
        <f>ELEC!C5</f>
        <v>44258</v>
      </c>
      <c r="B7" s="64">
        <v>193</v>
      </c>
      <c r="C7" s="64">
        <v>199</v>
      </c>
      <c r="D7" s="45">
        <f t="shared" ref="D7:D32" si="27">C6-C7</f>
        <v>6</v>
      </c>
      <c r="E7" s="45">
        <f t="shared" si="8"/>
        <v>50.28</v>
      </c>
      <c r="F7" s="584">
        <f t="shared" ref="F7:F35" si="28">F6</f>
        <v>1753</v>
      </c>
      <c r="G7" s="52">
        <f t="shared" si="0"/>
        <v>0</v>
      </c>
      <c r="H7" s="584">
        <f t="shared" ref="H7:H35" si="29">H6</f>
        <v>6720</v>
      </c>
      <c r="I7" s="396">
        <f t="shared" si="1"/>
        <v>0</v>
      </c>
      <c r="J7" s="66">
        <f t="shared" si="9"/>
        <v>0</v>
      </c>
      <c r="K7" s="584">
        <v>2249</v>
      </c>
      <c r="L7" s="52">
        <f t="shared" si="10"/>
        <v>1</v>
      </c>
      <c r="M7" s="584">
        <v>165481</v>
      </c>
      <c r="N7" s="396">
        <f t="shared" si="2"/>
        <v>74</v>
      </c>
      <c r="O7" s="64">
        <f t="shared" si="11"/>
        <v>1869</v>
      </c>
      <c r="P7" s="584">
        <v>2004</v>
      </c>
      <c r="Q7" s="584">
        <v>169189</v>
      </c>
      <c r="R7" s="395">
        <f t="shared" si="3"/>
        <v>142</v>
      </c>
      <c r="S7" s="52">
        <f t="shared" si="4"/>
        <v>2</v>
      </c>
      <c r="T7" s="67">
        <f t="shared" ref="T7:T32" si="30">SUM(S7*$T$2)</f>
        <v>0</v>
      </c>
      <c r="U7" s="402">
        <f t="shared" si="12"/>
        <v>3</v>
      </c>
      <c r="V7" s="62">
        <f t="shared" si="13"/>
        <v>216</v>
      </c>
      <c r="W7" s="400">
        <f t="shared" si="14"/>
        <v>72</v>
      </c>
      <c r="X7" s="584">
        <f t="shared" ref="X7:X35" si="31">X6</f>
        <v>2461</v>
      </c>
      <c r="Y7" s="52">
        <f t="shared" si="15"/>
        <v>0</v>
      </c>
      <c r="Z7" s="584">
        <f t="shared" ref="Z7:Z35" si="32">Z6</f>
        <v>138425</v>
      </c>
      <c r="AA7" s="65">
        <f t="shared" si="5"/>
        <v>0</v>
      </c>
      <c r="AB7" s="284">
        <f t="shared" ref="AB7:AB17" si="33">SUM(Y7*$AB$2)</f>
        <v>0</v>
      </c>
      <c r="AC7" s="584">
        <f t="shared" si="16"/>
        <v>1935</v>
      </c>
      <c r="AD7" s="45">
        <f t="shared" si="6"/>
        <v>0</v>
      </c>
      <c r="AE7" s="584">
        <f t="shared" si="17"/>
        <v>365429</v>
      </c>
      <c r="AF7" s="306">
        <f t="shared" si="18"/>
        <v>0</v>
      </c>
      <c r="AG7" s="209">
        <f t="shared" ref="AG7:AG32" si="34">IF(AD7&gt;0,AF7/AD7,0)</f>
        <v>0</v>
      </c>
      <c r="AH7" s="62">
        <f t="shared" ref="AH7:AH32" si="35">AF7+AA7</f>
        <v>0</v>
      </c>
      <c r="AI7" s="318">
        <f t="shared" si="19"/>
        <v>216</v>
      </c>
      <c r="AJ7" s="318">
        <f>-tanks!AW8</f>
        <v>216</v>
      </c>
      <c r="AK7" s="318">
        <f t="shared" si="20"/>
        <v>0</v>
      </c>
      <c r="AL7" s="318">
        <f t="shared" si="7"/>
        <v>3</v>
      </c>
      <c r="AM7" s="318">
        <f t="shared" si="21"/>
        <v>0</v>
      </c>
      <c r="AN7" s="584">
        <f t="shared" ref="AN7:AP7" si="36">AN6</f>
        <v>67</v>
      </c>
      <c r="AO7" s="320">
        <f t="shared" si="23"/>
        <v>2010.0000000000002</v>
      </c>
      <c r="AP7" s="584">
        <f t="shared" si="36"/>
        <v>55</v>
      </c>
      <c r="AQ7" s="320">
        <f t="shared" si="24"/>
        <v>1650.0000000000002</v>
      </c>
      <c r="AR7" s="584">
        <f t="shared" ref="AR7" si="37">AR6</f>
        <v>61</v>
      </c>
      <c r="AS7" s="320">
        <f t="shared" ref="AS7:AS32" si="38">(AR7/100)*3000</f>
        <v>1830</v>
      </c>
      <c r="AT7" s="320">
        <f t="shared" ref="AT7:AT23" si="39">SUM(AO7+AQ7+AS7)</f>
        <v>5490</v>
      </c>
      <c r="AU7" s="320">
        <f t="shared" ref="AU7:AU32" si="40">AT6-AT7+AV7</f>
        <v>0</v>
      </c>
      <c r="AV7" s="269"/>
      <c r="AW7" s="269"/>
      <c r="AX7" s="313">
        <f t="shared" si="26"/>
        <v>0.8</v>
      </c>
      <c r="AZ7" s="42" t="s">
        <v>413</v>
      </c>
    </row>
    <row r="8" spans="1:52">
      <c r="A8" s="63">
        <f>ELEC!C6</f>
        <v>44259</v>
      </c>
      <c r="B8" s="64">
        <v>187</v>
      </c>
      <c r="C8" s="64">
        <v>194</v>
      </c>
      <c r="D8" s="45">
        <f t="shared" si="27"/>
        <v>5</v>
      </c>
      <c r="E8" s="45">
        <f t="shared" si="8"/>
        <v>41.900000000000006</v>
      </c>
      <c r="F8" s="584">
        <v>1755</v>
      </c>
      <c r="G8" s="52">
        <f t="shared" si="0"/>
        <v>2</v>
      </c>
      <c r="H8" s="584">
        <v>6869</v>
      </c>
      <c r="I8" s="396">
        <f t="shared" si="1"/>
        <v>149</v>
      </c>
      <c r="J8" s="66">
        <f t="shared" si="9"/>
        <v>74.5</v>
      </c>
      <c r="K8" s="584">
        <f t="shared" ref="K8:K35" si="41">K7</f>
        <v>2249</v>
      </c>
      <c r="L8" s="52">
        <f t="shared" si="10"/>
        <v>0</v>
      </c>
      <c r="M8" s="584">
        <f t="shared" ref="M8:M35" si="42">M7</f>
        <v>165481</v>
      </c>
      <c r="N8" s="396">
        <f t="shared" si="2"/>
        <v>0</v>
      </c>
      <c r="O8" s="64">
        <f t="shared" si="11"/>
        <v>1869</v>
      </c>
      <c r="P8" s="584">
        <v>2005</v>
      </c>
      <c r="Q8" s="584">
        <v>169314</v>
      </c>
      <c r="R8" s="395">
        <f t="shared" si="3"/>
        <v>125</v>
      </c>
      <c r="S8" s="52">
        <f t="shared" si="4"/>
        <v>1</v>
      </c>
      <c r="T8" s="67">
        <f t="shared" si="30"/>
        <v>0</v>
      </c>
      <c r="U8" s="402">
        <f t="shared" si="12"/>
        <v>3</v>
      </c>
      <c r="V8" s="62">
        <f t="shared" si="13"/>
        <v>274</v>
      </c>
      <c r="W8" s="400">
        <f t="shared" si="14"/>
        <v>91.333333333333329</v>
      </c>
      <c r="X8" s="584">
        <f t="shared" si="31"/>
        <v>2461</v>
      </c>
      <c r="Y8" s="52">
        <f t="shared" si="15"/>
        <v>0</v>
      </c>
      <c r="Z8" s="584">
        <f t="shared" si="32"/>
        <v>138425</v>
      </c>
      <c r="AA8" s="65">
        <f t="shared" si="5"/>
        <v>0</v>
      </c>
      <c r="AB8" s="284">
        <f t="shared" si="33"/>
        <v>0</v>
      </c>
      <c r="AC8" s="584">
        <f t="shared" si="16"/>
        <v>1935</v>
      </c>
      <c r="AD8" s="45">
        <f t="shared" si="6"/>
        <v>0</v>
      </c>
      <c r="AE8" s="584">
        <v>365467</v>
      </c>
      <c r="AF8" s="306">
        <f t="shared" si="18"/>
        <v>38</v>
      </c>
      <c r="AG8" s="209">
        <f t="shared" si="34"/>
        <v>0</v>
      </c>
      <c r="AH8" s="62">
        <f t="shared" si="35"/>
        <v>38</v>
      </c>
      <c r="AI8" s="318">
        <f t="shared" si="19"/>
        <v>312</v>
      </c>
      <c r="AJ8" s="318">
        <f>-tanks!AW9</f>
        <v>312</v>
      </c>
      <c r="AK8" s="318">
        <f t="shared" si="20"/>
        <v>0</v>
      </c>
      <c r="AL8" s="318">
        <f t="shared" si="7"/>
        <v>3</v>
      </c>
      <c r="AM8" s="318">
        <f t="shared" si="21"/>
        <v>0</v>
      </c>
      <c r="AN8" s="584">
        <f t="shared" ref="AN8:AP8" si="43">AN7</f>
        <v>67</v>
      </c>
      <c r="AO8" s="320">
        <f t="shared" si="23"/>
        <v>2010.0000000000002</v>
      </c>
      <c r="AP8" s="584">
        <f t="shared" si="43"/>
        <v>55</v>
      </c>
      <c r="AQ8" s="320">
        <f t="shared" si="24"/>
        <v>1650.0000000000002</v>
      </c>
      <c r="AR8" s="584">
        <f t="shared" ref="AR8" si="44">AR7</f>
        <v>61</v>
      </c>
      <c r="AS8" s="320">
        <f t="shared" si="38"/>
        <v>1830</v>
      </c>
      <c r="AT8" s="320">
        <f t="shared" si="39"/>
        <v>5490</v>
      </c>
      <c r="AU8" s="320">
        <f t="shared" si="40"/>
        <v>0</v>
      </c>
      <c r="AV8" s="269"/>
      <c r="AW8" s="269"/>
      <c r="AX8" s="313">
        <f t="shared" si="26"/>
        <v>0.8</v>
      </c>
    </row>
    <row r="9" spans="1:52" ht="15.75" customHeight="1">
      <c r="A9" s="63">
        <f>ELEC!C7</f>
        <v>44260</v>
      </c>
      <c r="B9" s="613">
        <v>208</v>
      </c>
      <c r="C9" s="613">
        <v>214</v>
      </c>
      <c r="D9" s="45">
        <f t="shared" si="27"/>
        <v>-20</v>
      </c>
      <c r="E9" s="45">
        <f t="shared" si="8"/>
        <v>-167.60000000000002</v>
      </c>
      <c r="F9" s="604">
        <v>1756</v>
      </c>
      <c r="G9" s="52">
        <f t="shared" si="0"/>
        <v>1</v>
      </c>
      <c r="H9" s="604">
        <v>6937</v>
      </c>
      <c r="I9" s="396">
        <f t="shared" si="1"/>
        <v>68</v>
      </c>
      <c r="J9" s="66">
        <f t="shared" si="9"/>
        <v>68</v>
      </c>
      <c r="K9" s="611">
        <v>2251</v>
      </c>
      <c r="L9" s="52">
        <f t="shared" si="10"/>
        <v>2</v>
      </c>
      <c r="M9" s="612">
        <v>165621</v>
      </c>
      <c r="N9" s="396">
        <f t="shared" si="2"/>
        <v>140</v>
      </c>
      <c r="O9" s="64">
        <f t="shared" si="11"/>
        <v>1869</v>
      </c>
      <c r="P9" s="584">
        <v>2006</v>
      </c>
      <c r="Q9" s="584">
        <v>169344</v>
      </c>
      <c r="R9" s="395">
        <f t="shared" si="3"/>
        <v>30</v>
      </c>
      <c r="S9" s="52">
        <f t="shared" si="4"/>
        <v>1</v>
      </c>
      <c r="T9" s="67">
        <f t="shared" si="30"/>
        <v>0</v>
      </c>
      <c r="U9" s="402">
        <f t="shared" si="12"/>
        <v>4</v>
      </c>
      <c r="V9" s="62">
        <f t="shared" si="13"/>
        <v>238</v>
      </c>
      <c r="W9" s="400">
        <f t="shared" si="14"/>
        <v>59.5</v>
      </c>
      <c r="X9" s="584">
        <f t="shared" si="31"/>
        <v>2461</v>
      </c>
      <c r="Y9" s="52">
        <f t="shared" si="15"/>
        <v>0</v>
      </c>
      <c r="Z9" s="584">
        <f t="shared" si="32"/>
        <v>138425</v>
      </c>
      <c r="AA9" s="65">
        <f t="shared" si="5"/>
        <v>0</v>
      </c>
      <c r="AB9" s="284">
        <f t="shared" si="33"/>
        <v>0</v>
      </c>
      <c r="AC9" s="584">
        <f t="shared" si="16"/>
        <v>1935</v>
      </c>
      <c r="AD9" s="45">
        <f t="shared" si="6"/>
        <v>0</v>
      </c>
      <c r="AE9" s="584">
        <f t="shared" si="17"/>
        <v>365467</v>
      </c>
      <c r="AF9" s="306">
        <f t="shared" si="18"/>
        <v>0</v>
      </c>
      <c r="AG9" s="209">
        <f t="shared" si="34"/>
        <v>0</v>
      </c>
      <c r="AH9" s="62">
        <f t="shared" si="35"/>
        <v>0</v>
      </c>
      <c r="AI9" s="318">
        <f t="shared" si="19"/>
        <v>238</v>
      </c>
      <c r="AJ9" s="318">
        <f>-tanks!AW10</f>
        <v>238</v>
      </c>
      <c r="AK9" s="318">
        <f t="shared" si="20"/>
        <v>0</v>
      </c>
      <c r="AL9" s="318">
        <f t="shared" si="7"/>
        <v>4</v>
      </c>
      <c r="AM9" s="318">
        <f t="shared" si="21"/>
        <v>0</v>
      </c>
      <c r="AN9" s="584">
        <f t="shared" ref="AN9:AP9" si="45">AN8</f>
        <v>67</v>
      </c>
      <c r="AO9" s="320">
        <f t="shared" si="23"/>
        <v>2010.0000000000002</v>
      </c>
      <c r="AP9" s="584">
        <f t="shared" si="45"/>
        <v>55</v>
      </c>
      <c r="AQ9" s="320">
        <f t="shared" si="24"/>
        <v>1650.0000000000002</v>
      </c>
      <c r="AR9" s="584">
        <f t="shared" ref="AR9" si="46">AR8</f>
        <v>61</v>
      </c>
      <c r="AS9" s="320">
        <f>(AR9/100)*3000</f>
        <v>1830</v>
      </c>
      <c r="AT9" s="320">
        <f t="shared" si="39"/>
        <v>5490</v>
      </c>
      <c r="AU9" s="320">
        <f t="shared" si="40"/>
        <v>0</v>
      </c>
      <c r="AV9" s="269"/>
      <c r="AW9" s="269"/>
      <c r="AX9" s="313">
        <f t="shared" si="26"/>
        <v>0.8</v>
      </c>
    </row>
    <row r="10" spans="1:52">
      <c r="A10" s="63">
        <f>ELEC!C8</f>
        <v>44261</v>
      </c>
      <c r="B10" s="64">
        <v>202</v>
      </c>
      <c r="C10" s="64">
        <v>208</v>
      </c>
      <c r="D10" s="45">
        <f t="shared" si="27"/>
        <v>6</v>
      </c>
      <c r="E10" s="45">
        <f t="shared" si="8"/>
        <v>50.28</v>
      </c>
      <c r="F10" s="584">
        <f t="shared" si="28"/>
        <v>1756</v>
      </c>
      <c r="G10" s="52">
        <f t="shared" si="0"/>
        <v>0</v>
      </c>
      <c r="H10" s="584">
        <v>6975</v>
      </c>
      <c r="I10" s="396">
        <f t="shared" si="1"/>
        <v>38</v>
      </c>
      <c r="J10" s="66">
        <f t="shared" si="9"/>
        <v>0</v>
      </c>
      <c r="K10" s="584">
        <v>2252</v>
      </c>
      <c r="L10" s="52">
        <f t="shared" si="10"/>
        <v>1</v>
      </c>
      <c r="M10" s="584">
        <v>165709</v>
      </c>
      <c r="N10" s="396">
        <f t="shared" si="2"/>
        <v>88</v>
      </c>
      <c r="O10" s="64">
        <f t="shared" si="11"/>
        <v>1869</v>
      </c>
      <c r="P10" s="584">
        <v>2007</v>
      </c>
      <c r="Q10" s="584">
        <v>169446</v>
      </c>
      <c r="R10" s="395">
        <f t="shared" si="3"/>
        <v>102</v>
      </c>
      <c r="S10" s="52">
        <f t="shared" si="4"/>
        <v>1</v>
      </c>
      <c r="T10" s="67">
        <f t="shared" si="30"/>
        <v>0</v>
      </c>
      <c r="U10" s="402">
        <f t="shared" si="12"/>
        <v>2</v>
      </c>
      <c r="V10" s="62">
        <f t="shared" si="13"/>
        <v>228</v>
      </c>
      <c r="W10" s="400">
        <f t="shared" si="14"/>
        <v>114</v>
      </c>
      <c r="X10" s="584">
        <f t="shared" si="31"/>
        <v>2461</v>
      </c>
      <c r="Y10" s="52">
        <f t="shared" si="15"/>
        <v>0</v>
      </c>
      <c r="Z10" s="584">
        <f t="shared" si="32"/>
        <v>138425</v>
      </c>
      <c r="AA10" s="65">
        <f t="shared" si="5"/>
        <v>0</v>
      </c>
      <c r="AB10" s="284">
        <f t="shared" si="33"/>
        <v>0</v>
      </c>
      <c r="AC10" s="584">
        <f t="shared" si="16"/>
        <v>1935</v>
      </c>
      <c r="AD10" s="45">
        <f t="shared" si="6"/>
        <v>0</v>
      </c>
      <c r="AE10" s="584">
        <f t="shared" si="17"/>
        <v>365467</v>
      </c>
      <c r="AF10" s="306">
        <f t="shared" si="18"/>
        <v>0</v>
      </c>
      <c r="AG10" s="209">
        <f t="shared" si="34"/>
        <v>0</v>
      </c>
      <c r="AH10" s="62">
        <f t="shared" si="35"/>
        <v>0</v>
      </c>
      <c r="AI10" s="318">
        <f>SUM(AH10+V10)</f>
        <v>228</v>
      </c>
      <c r="AJ10" s="318">
        <f>-tanks!AW11</f>
        <v>228</v>
      </c>
      <c r="AK10" s="318">
        <f t="shared" si="20"/>
        <v>0</v>
      </c>
      <c r="AL10" s="318">
        <f t="shared" si="7"/>
        <v>2</v>
      </c>
      <c r="AM10" s="318">
        <f t="shared" si="21"/>
        <v>0</v>
      </c>
      <c r="AN10" s="584">
        <f t="shared" ref="AN10:AP10" si="47">AN9</f>
        <v>67</v>
      </c>
      <c r="AO10" s="320">
        <f t="shared" si="23"/>
        <v>2010.0000000000002</v>
      </c>
      <c r="AP10" s="584">
        <f t="shared" si="47"/>
        <v>55</v>
      </c>
      <c r="AQ10" s="320">
        <f t="shared" si="24"/>
        <v>1650.0000000000002</v>
      </c>
      <c r="AR10" s="584">
        <f t="shared" ref="AR10" si="48">AR9</f>
        <v>61</v>
      </c>
      <c r="AS10" s="320">
        <f t="shared" si="38"/>
        <v>1830</v>
      </c>
      <c r="AT10" s="320">
        <f t="shared" si="39"/>
        <v>5490</v>
      </c>
      <c r="AU10" s="320">
        <f t="shared" si="40"/>
        <v>0</v>
      </c>
      <c r="AV10" s="269"/>
      <c r="AW10" s="269"/>
      <c r="AX10" s="313">
        <f t="shared" si="26"/>
        <v>0.8</v>
      </c>
    </row>
    <row r="11" spans="1:52">
      <c r="A11" s="63">
        <f>ELEC!C9</f>
        <v>44262</v>
      </c>
      <c r="B11" s="64">
        <v>199</v>
      </c>
      <c r="C11" s="64">
        <v>205</v>
      </c>
      <c r="D11" s="45">
        <f t="shared" si="27"/>
        <v>3</v>
      </c>
      <c r="E11" s="45">
        <f t="shared" si="8"/>
        <v>25.14</v>
      </c>
      <c r="F11" s="584">
        <v>1759</v>
      </c>
      <c r="G11" s="52">
        <f t="shared" si="0"/>
        <v>3</v>
      </c>
      <c r="H11" s="584">
        <v>7205</v>
      </c>
      <c r="I11" s="396">
        <f t="shared" si="1"/>
        <v>230</v>
      </c>
      <c r="J11" s="66">
        <f t="shared" si="9"/>
        <v>76.666666666666671</v>
      </c>
      <c r="K11" s="584">
        <f t="shared" si="41"/>
        <v>2252</v>
      </c>
      <c r="L11" s="52">
        <f t="shared" si="10"/>
        <v>0</v>
      </c>
      <c r="M11" s="584">
        <f t="shared" si="42"/>
        <v>165709</v>
      </c>
      <c r="N11" s="396">
        <f t="shared" si="2"/>
        <v>0</v>
      </c>
      <c r="O11" s="64">
        <f t="shared" si="11"/>
        <v>1869</v>
      </c>
      <c r="P11" s="584">
        <f t="shared" si="11"/>
        <v>2007</v>
      </c>
      <c r="Q11" s="584">
        <f t="shared" ref="Q11:Q35" si="49">Q10</f>
        <v>169446</v>
      </c>
      <c r="R11" s="395">
        <f t="shared" ref="R11:R32" si="50">Q11-Q10</f>
        <v>0</v>
      </c>
      <c r="S11" s="52">
        <f t="shared" si="4"/>
        <v>0</v>
      </c>
      <c r="T11" s="67">
        <f t="shared" si="30"/>
        <v>0</v>
      </c>
      <c r="U11" s="402">
        <f t="shared" si="12"/>
        <v>3</v>
      </c>
      <c r="V11" s="62">
        <f t="shared" si="13"/>
        <v>230</v>
      </c>
      <c r="W11" s="400">
        <f t="shared" si="14"/>
        <v>76.666666666666671</v>
      </c>
      <c r="X11" s="584">
        <f t="shared" si="31"/>
        <v>2461</v>
      </c>
      <c r="Y11" s="52">
        <f t="shared" si="15"/>
        <v>0</v>
      </c>
      <c r="Z11" s="584">
        <f t="shared" si="32"/>
        <v>138425</v>
      </c>
      <c r="AA11" s="65">
        <f t="shared" si="5"/>
        <v>0</v>
      </c>
      <c r="AB11" s="284">
        <f t="shared" si="33"/>
        <v>0</v>
      </c>
      <c r="AC11" s="584">
        <f t="shared" si="16"/>
        <v>1935</v>
      </c>
      <c r="AD11" s="45">
        <f t="shared" si="6"/>
        <v>0</v>
      </c>
      <c r="AE11" s="584">
        <f t="shared" si="17"/>
        <v>365467</v>
      </c>
      <c r="AF11" s="306">
        <f t="shared" si="18"/>
        <v>0</v>
      </c>
      <c r="AG11" s="209">
        <f t="shared" si="34"/>
        <v>0</v>
      </c>
      <c r="AH11" s="62">
        <f>AF11+AA11</f>
        <v>0</v>
      </c>
      <c r="AI11" s="318">
        <f>SUM(AH11+V11)</f>
        <v>230</v>
      </c>
      <c r="AJ11" s="318">
        <f>-tanks!AW12</f>
        <v>230</v>
      </c>
      <c r="AK11" s="318">
        <f t="shared" si="20"/>
        <v>0</v>
      </c>
      <c r="AL11" s="318">
        <f t="shared" si="7"/>
        <v>3</v>
      </c>
      <c r="AM11" s="318">
        <f t="shared" si="21"/>
        <v>0</v>
      </c>
      <c r="AN11" s="584">
        <f t="shared" ref="AN11:AP11" si="51">AN10</f>
        <v>67</v>
      </c>
      <c r="AO11" s="320">
        <f t="shared" si="23"/>
        <v>2010.0000000000002</v>
      </c>
      <c r="AP11" s="584">
        <f t="shared" si="51"/>
        <v>55</v>
      </c>
      <c r="AQ11" s="320">
        <f t="shared" si="24"/>
        <v>1650.0000000000002</v>
      </c>
      <c r="AR11" s="584">
        <f t="shared" ref="AR11" si="52">AR10</f>
        <v>61</v>
      </c>
      <c r="AS11" s="320">
        <f t="shared" si="38"/>
        <v>1830</v>
      </c>
      <c r="AT11" s="320">
        <f t="shared" si="39"/>
        <v>5490</v>
      </c>
      <c r="AU11" s="320">
        <f t="shared" si="40"/>
        <v>0</v>
      </c>
      <c r="AV11" s="269"/>
      <c r="AW11" s="269"/>
      <c r="AX11" s="313">
        <f t="shared" si="26"/>
        <v>0.8</v>
      </c>
    </row>
    <row r="12" spans="1:52">
      <c r="A12" s="63">
        <f>ELEC!C10</f>
        <v>44263</v>
      </c>
      <c r="B12" s="64">
        <v>194.5</v>
      </c>
      <c r="C12" s="64">
        <v>201</v>
      </c>
      <c r="D12" s="45">
        <f t="shared" si="27"/>
        <v>4</v>
      </c>
      <c r="E12" s="45">
        <f t="shared" si="8"/>
        <v>33.520000000000003</v>
      </c>
      <c r="F12" s="584">
        <v>1760</v>
      </c>
      <c r="G12" s="52">
        <f t="shared" si="0"/>
        <v>1</v>
      </c>
      <c r="H12" s="584">
        <v>7285</v>
      </c>
      <c r="I12" s="396">
        <f t="shared" si="1"/>
        <v>80</v>
      </c>
      <c r="J12" s="66">
        <f t="shared" si="9"/>
        <v>80</v>
      </c>
      <c r="K12" s="584">
        <v>2254</v>
      </c>
      <c r="L12" s="52">
        <f t="shared" si="10"/>
        <v>2</v>
      </c>
      <c r="M12" s="584">
        <v>165849</v>
      </c>
      <c r="N12" s="396">
        <f t="shared" si="2"/>
        <v>140</v>
      </c>
      <c r="O12" s="64">
        <f t="shared" si="11"/>
        <v>1869</v>
      </c>
      <c r="P12" s="584">
        <v>2008</v>
      </c>
      <c r="Q12" s="584">
        <v>169516</v>
      </c>
      <c r="R12" s="395">
        <f t="shared" si="50"/>
        <v>70</v>
      </c>
      <c r="S12" s="52">
        <f t="shared" si="4"/>
        <v>1</v>
      </c>
      <c r="T12" s="67">
        <f t="shared" si="30"/>
        <v>0</v>
      </c>
      <c r="U12" s="402">
        <f t="shared" si="12"/>
        <v>4</v>
      </c>
      <c r="V12" s="62">
        <f t="shared" si="13"/>
        <v>290</v>
      </c>
      <c r="W12" s="400">
        <f t="shared" si="14"/>
        <v>72.5</v>
      </c>
      <c r="X12" s="584">
        <f t="shared" si="31"/>
        <v>2461</v>
      </c>
      <c r="Y12" s="52">
        <f t="shared" si="15"/>
        <v>0</v>
      </c>
      <c r="Z12" s="584">
        <f t="shared" si="32"/>
        <v>138425</v>
      </c>
      <c r="AA12" s="65">
        <f t="shared" si="5"/>
        <v>0</v>
      </c>
      <c r="AB12" s="284">
        <f t="shared" si="33"/>
        <v>0</v>
      </c>
      <c r="AC12" s="584">
        <f t="shared" si="16"/>
        <v>1935</v>
      </c>
      <c r="AD12" s="45">
        <f t="shared" si="6"/>
        <v>0</v>
      </c>
      <c r="AE12" s="584">
        <f t="shared" si="17"/>
        <v>365467</v>
      </c>
      <c r="AF12" s="306">
        <f t="shared" si="18"/>
        <v>0</v>
      </c>
      <c r="AG12" s="209">
        <f t="shared" si="34"/>
        <v>0</v>
      </c>
      <c r="AH12" s="62">
        <f t="shared" si="35"/>
        <v>0</v>
      </c>
      <c r="AI12" s="318">
        <f t="shared" si="19"/>
        <v>290</v>
      </c>
      <c r="AJ12" s="318">
        <f>-tanks!AW13</f>
        <v>290</v>
      </c>
      <c r="AK12" s="318">
        <f t="shared" si="20"/>
        <v>0</v>
      </c>
      <c r="AL12" s="318">
        <f t="shared" si="7"/>
        <v>4</v>
      </c>
      <c r="AM12" s="318">
        <f t="shared" si="21"/>
        <v>0</v>
      </c>
      <c r="AN12" s="584">
        <f t="shared" ref="AN12:AP12" si="53">AN11</f>
        <v>67</v>
      </c>
      <c r="AO12" s="320">
        <f t="shared" si="23"/>
        <v>2010.0000000000002</v>
      </c>
      <c r="AP12" s="584">
        <f t="shared" si="53"/>
        <v>55</v>
      </c>
      <c r="AQ12" s="320">
        <f t="shared" si="24"/>
        <v>1650.0000000000002</v>
      </c>
      <c r="AR12" s="584">
        <f t="shared" ref="AR12" si="54">AR11</f>
        <v>61</v>
      </c>
      <c r="AS12" s="320">
        <f t="shared" si="38"/>
        <v>1830</v>
      </c>
      <c r="AT12" s="320">
        <f t="shared" si="39"/>
        <v>5490</v>
      </c>
      <c r="AU12" s="320">
        <f t="shared" si="40"/>
        <v>0</v>
      </c>
      <c r="AV12" s="269"/>
      <c r="AW12" s="269"/>
      <c r="AX12" s="313">
        <f t="shared" si="26"/>
        <v>0.8</v>
      </c>
    </row>
    <row r="13" spans="1:52">
      <c r="A13" s="63">
        <f>ELEC!C11</f>
        <v>44264</v>
      </c>
      <c r="B13" s="64">
        <v>192</v>
      </c>
      <c r="C13" s="64">
        <v>198.5</v>
      </c>
      <c r="D13" s="45">
        <f t="shared" si="27"/>
        <v>2.5</v>
      </c>
      <c r="E13" s="45">
        <f t="shared" si="8"/>
        <v>20.950000000000003</v>
      </c>
      <c r="F13" s="584">
        <f t="shared" si="28"/>
        <v>1760</v>
      </c>
      <c r="G13" s="52">
        <f t="shared" si="0"/>
        <v>0</v>
      </c>
      <c r="H13" s="584">
        <f t="shared" si="29"/>
        <v>7285</v>
      </c>
      <c r="I13" s="396">
        <f t="shared" si="1"/>
        <v>0</v>
      </c>
      <c r="J13" s="66">
        <f t="shared" si="9"/>
        <v>0</v>
      </c>
      <c r="K13" s="584">
        <v>2255</v>
      </c>
      <c r="L13" s="52">
        <f t="shared" si="10"/>
        <v>1</v>
      </c>
      <c r="M13" s="584">
        <v>165921</v>
      </c>
      <c r="N13" s="396">
        <f t="shared" si="2"/>
        <v>72</v>
      </c>
      <c r="O13" s="64">
        <f t="shared" si="11"/>
        <v>1869</v>
      </c>
      <c r="P13" s="584">
        <v>2010</v>
      </c>
      <c r="Q13" s="584">
        <v>169664</v>
      </c>
      <c r="R13" s="395">
        <f t="shared" si="50"/>
        <v>148</v>
      </c>
      <c r="S13" s="52">
        <f t="shared" si="4"/>
        <v>2</v>
      </c>
      <c r="T13" s="67">
        <f t="shared" si="30"/>
        <v>0</v>
      </c>
      <c r="U13" s="402">
        <f t="shared" si="12"/>
        <v>3</v>
      </c>
      <c r="V13" s="62">
        <f>R13+N13+I13:I13</f>
        <v>220</v>
      </c>
      <c r="W13" s="400">
        <f t="shared" si="14"/>
        <v>73.333333333333329</v>
      </c>
      <c r="X13" s="584">
        <f t="shared" si="31"/>
        <v>2461</v>
      </c>
      <c r="Y13" s="52">
        <f t="shared" si="15"/>
        <v>0</v>
      </c>
      <c r="Z13" s="584">
        <f t="shared" si="32"/>
        <v>138425</v>
      </c>
      <c r="AA13" s="284">
        <f t="shared" si="5"/>
        <v>0</v>
      </c>
      <c r="AB13" s="284">
        <f t="shared" si="33"/>
        <v>0</v>
      </c>
      <c r="AC13" s="584">
        <f t="shared" si="16"/>
        <v>1935</v>
      </c>
      <c r="AD13" s="45">
        <f t="shared" si="6"/>
        <v>0</v>
      </c>
      <c r="AE13" s="584">
        <f t="shared" si="17"/>
        <v>365467</v>
      </c>
      <c r="AF13" s="306">
        <f t="shared" si="18"/>
        <v>0</v>
      </c>
      <c r="AG13" s="209">
        <f t="shared" si="34"/>
        <v>0</v>
      </c>
      <c r="AH13" s="62">
        <f t="shared" si="35"/>
        <v>0</v>
      </c>
      <c r="AI13" s="318">
        <f t="shared" si="19"/>
        <v>220</v>
      </c>
      <c r="AJ13" s="318">
        <f>-tanks!AW14</f>
        <v>220</v>
      </c>
      <c r="AK13" s="318">
        <f t="shared" si="20"/>
        <v>0</v>
      </c>
      <c r="AL13" s="318">
        <f t="shared" si="7"/>
        <v>3</v>
      </c>
      <c r="AM13" s="318">
        <f t="shared" si="21"/>
        <v>0</v>
      </c>
      <c r="AN13" s="584">
        <f t="shared" ref="AN13:AP13" si="55">AN12</f>
        <v>67</v>
      </c>
      <c r="AO13" s="320">
        <f t="shared" si="23"/>
        <v>2010.0000000000002</v>
      </c>
      <c r="AP13" s="584">
        <f t="shared" si="55"/>
        <v>55</v>
      </c>
      <c r="AQ13" s="320">
        <f t="shared" si="24"/>
        <v>1650.0000000000002</v>
      </c>
      <c r="AR13" s="584">
        <f t="shared" ref="AR13" si="56">AR12</f>
        <v>61</v>
      </c>
      <c r="AS13" s="320">
        <f t="shared" si="38"/>
        <v>1830</v>
      </c>
      <c r="AT13" s="320">
        <f t="shared" si="39"/>
        <v>5490</v>
      </c>
      <c r="AU13" s="320">
        <f t="shared" si="40"/>
        <v>0</v>
      </c>
      <c r="AV13" s="269"/>
      <c r="AW13" s="269"/>
      <c r="AX13" s="313">
        <f t="shared" si="26"/>
        <v>0.8</v>
      </c>
    </row>
    <row r="14" spans="1:52">
      <c r="A14" s="63">
        <f>ELEC!C12</f>
        <v>44265</v>
      </c>
      <c r="B14" s="64">
        <v>187.5</v>
      </c>
      <c r="C14" s="64">
        <v>194</v>
      </c>
      <c r="D14" s="45">
        <f t="shared" si="27"/>
        <v>4.5</v>
      </c>
      <c r="E14" s="45">
        <f t="shared" si="8"/>
        <v>37.71</v>
      </c>
      <c r="F14" s="584">
        <v>1762</v>
      </c>
      <c r="G14" s="52">
        <f t="shared" si="0"/>
        <v>2</v>
      </c>
      <c r="H14" s="584">
        <v>7415</v>
      </c>
      <c r="I14" s="396">
        <f t="shared" si="1"/>
        <v>130</v>
      </c>
      <c r="J14" s="66">
        <f t="shared" si="9"/>
        <v>65</v>
      </c>
      <c r="K14" s="584">
        <f t="shared" si="41"/>
        <v>2255</v>
      </c>
      <c r="L14" s="52">
        <f t="shared" si="10"/>
        <v>0</v>
      </c>
      <c r="M14" s="584">
        <f t="shared" si="42"/>
        <v>165921</v>
      </c>
      <c r="N14" s="396">
        <f t="shared" si="2"/>
        <v>0</v>
      </c>
      <c r="O14" s="64">
        <f t="shared" si="11"/>
        <v>1869</v>
      </c>
      <c r="P14" s="584">
        <v>2011</v>
      </c>
      <c r="Q14" s="584">
        <v>169745</v>
      </c>
      <c r="R14" s="395">
        <f t="shared" si="50"/>
        <v>81</v>
      </c>
      <c r="S14" s="52">
        <f t="shared" si="4"/>
        <v>1</v>
      </c>
      <c r="T14" s="67">
        <f t="shared" si="30"/>
        <v>0</v>
      </c>
      <c r="U14" s="402">
        <f t="shared" si="12"/>
        <v>3</v>
      </c>
      <c r="V14" s="62">
        <f t="shared" si="13"/>
        <v>211</v>
      </c>
      <c r="W14" s="400">
        <f t="shared" si="14"/>
        <v>70.333333333333329</v>
      </c>
      <c r="X14" s="584">
        <v>2462</v>
      </c>
      <c r="Y14" s="52">
        <f t="shared" si="15"/>
        <v>1</v>
      </c>
      <c r="Z14" s="584">
        <v>138490</v>
      </c>
      <c r="AA14" s="65">
        <f t="shared" si="5"/>
        <v>65</v>
      </c>
      <c r="AB14" s="284">
        <f t="shared" si="33"/>
        <v>0</v>
      </c>
      <c r="AC14" s="584">
        <f t="shared" si="16"/>
        <v>1935</v>
      </c>
      <c r="AD14" s="45">
        <f t="shared" si="6"/>
        <v>0</v>
      </c>
      <c r="AE14" s="584">
        <f t="shared" si="17"/>
        <v>365467</v>
      </c>
      <c r="AF14" s="306">
        <f>AE14-AE13</f>
        <v>0</v>
      </c>
      <c r="AG14" s="209">
        <f t="shared" si="34"/>
        <v>0</v>
      </c>
      <c r="AH14" s="62">
        <f>AF14+AA14</f>
        <v>65</v>
      </c>
      <c r="AI14" s="318">
        <f>SUM(AH14+V14)</f>
        <v>276</v>
      </c>
      <c r="AJ14" s="318">
        <f>-tanks!AW15</f>
        <v>276</v>
      </c>
      <c r="AK14" s="318">
        <f t="shared" si="20"/>
        <v>0</v>
      </c>
      <c r="AL14" s="318">
        <f t="shared" si="7"/>
        <v>3</v>
      </c>
      <c r="AM14" s="318">
        <f t="shared" si="21"/>
        <v>1</v>
      </c>
      <c r="AN14" s="584">
        <f t="shared" ref="AN14:AP14" si="57">AN13</f>
        <v>67</v>
      </c>
      <c r="AO14" s="320">
        <f t="shared" si="23"/>
        <v>2010.0000000000002</v>
      </c>
      <c r="AP14" s="584">
        <f t="shared" si="57"/>
        <v>55</v>
      </c>
      <c r="AQ14" s="320">
        <f t="shared" si="24"/>
        <v>1650.0000000000002</v>
      </c>
      <c r="AR14" s="584">
        <f t="shared" ref="AR14" si="58">AR13</f>
        <v>61</v>
      </c>
      <c r="AS14" s="320">
        <f t="shared" si="38"/>
        <v>1830</v>
      </c>
      <c r="AT14" s="320">
        <f t="shared" si="39"/>
        <v>5490</v>
      </c>
      <c r="AU14" s="320">
        <f t="shared" si="40"/>
        <v>0</v>
      </c>
      <c r="AV14" s="269"/>
      <c r="AW14" s="269"/>
      <c r="AX14" s="313">
        <f t="shared" si="26"/>
        <v>0.8</v>
      </c>
    </row>
    <row r="15" spans="1:52" ht="15" customHeight="1">
      <c r="A15" s="63">
        <f>ELEC!C13</f>
        <v>44266</v>
      </c>
      <c r="B15" s="64">
        <v>184</v>
      </c>
      <c r="C15" s="64">
        <v>190.5</v>
      </c>
      <c r="D15" s="45">
        <f t="shared" si="27"/>
        <v>3.5</v>
      </c>
      <c r="E15" s="45">
        <f t="shared" si="8"/>
        <v>29.330000000000002</v>
      </c>
      <c r="F15" s="584">
        <v>1763</v>
      </c>
      <c r="G15" s="52">
        <f t="shared" si="0"/>
        <v>1</v>
      </c>
      <c r="H15" s="584">
        <v>7522</v>
      </c>
      <c r="I15" s="396">
        <f t="shared" si="1"/>
        <v>107</v>
      </c>
      <c r="J15" s="66">
        <f t="shared" si="9"/>
        <v>107</v>
      </c>
      <c r="K15" s="584">
        <v>2257</v>
      </c>
      <c r="L15" s="52">
        <f t="shared" si="10"/>
        <v>2</v>
      </c>
      <c r="M15" s="584">
        <v>166056</v>
      </c>
      <c r="N15" s="396">
        <f t="shared" si="2"/>
        <v>135</v>
      </c>
      <c r="O15" s="64">
        <f t="shared" si="11"/>
        <v>1869</v>
      </c>
      <c r="P15" s="584">
        <f t="shared" si="11"/>
        <v>2011</v>
      </c>
      <c r="Q15" s="584">
        <f t="shared" si="49"/>
        <v>169745</v>
      </c>
      <c r="R15" s="395">
        <f t="shared" si="50"/>
        <v>0</v>
      </c>
      <c r="S15" s="52">
        <f t="shared" si="4"/>
        <v>0</v>
      </c>
      <c r="T15" s="67">
        <f t="shared" si="30"/>
        <v>0</v>
      </c>
      <c r="U15" s="402">
        <f t="shared" si="12"/>
        <v>3</v>
      </c>
      <c r="V15" s="62">
        <f t="shared" si="13"/>
        <v>242</v>
      </c>
      <c r="W15" s="400">
        <f t="shared" si="14"/>
        <v>80.666666666666671</v>
      </c>
      <c r="X15" s="584">
        <f t="shared" si="31"/>
        <v>2462</v>
      </c>
      <c r="Y15" s="52">
        <f t="shared" si="15"/>
        <v>0</v>
      </c>
      <c r="Z15" s="584">
        <f t="shared" si="32"/>
        <v>138490</v>
      </c>
      <c r="AA15" s="65">
        <f t="shared" si="5"/>
        <v>0</v>
      </c>
      <c r="AB15" s="284">
        <f t="shared" si="33"/>
        <v>0</v>
      </c>
      <c r="AC15" s="584">
        <f t="shared" si="16"/>
        <v>1935</v>
      </c>
      <c r="AD15" s="45">
        <f t="shared" si="6"/>
        <v>0</v>
      </c>
      <c r="AE15" s="584">
        <f t="shared" si="17"/>
        <v>365467</v>
      </c>
      <c r="AF15" s="306">
        <f t="shared" si="18"/>
        <v>0</v>
      </c>
      <c r="AG15" s="209">
        <f t="shared" si="34"/>
        <v>0</v>
      </c>
      <c r="AH15" s="62">
        <f t="shared" si="35"/>
        <v>0</v>
      </c>
      <c r="AI15" s="318">
        <f t="shared" si="19"/>
        <v>242</v>
      </c>
      <c r="AJ15" s="318">
        <f>-tanks!AW16</f>
        <v>242</v>
      </c>
      <c r="AK15" s="318">
        <f t="shared" si="20"/>
        <v>0</v>
      </c>
      <c r="AL15" s="318">
        <f t="shared" si="7"/>
        <v>3</v>
      </c>
      <c r="AM15" s="318">
        <f t="shared" si="21"/>
        <v>0</v>
      </c>
      <c r="AN15" s="584">
        <f t="shared" ref="AN15:AP15" si="59">AN14</f>
        <v>67</v>
      </c>
      <c r="AO15" s="320">
        <f t="shared" si="23"/>
        <v>2010.0000000000002</v>
      </c>
      <c r="AP15" s="584">
        <f t="shared" si="59"/>
        <v>55</v>
      </c>
      <c r="AQ15" s="320">
        <f t="shared" si="24"/>
        <v>1650.0000000000002</v>
      </c>
      <c r="AR15" s="584">
        <f t="shared" ref="AR15" si="60">AR14</f>
        <v>61</v>
      </c>
      <c r="AS15" s="320">
        <f t="shared" si="38"/>
        <v>1830</v>
      </c>
      <c r="AT15" s="320">
        <f t="shared" si="39"/>
        <v>5490</v>
      </c>
      <c r="AU15" s="320">
        <f t="shared" si="40"/>
        <v>0</v>
      </c>
      <c r="AV15" s="269"/>
      <c r="AW15" s="269"/>
      <c r="AX15" s="313">
        <f t="shared" si="26"/>
        <v>0.8</v>
      </c>
    </row>
    <row r="16" spans="1:52">
      <c r="A16" s="63">
        <f>ELEC!C14</f>
        <v>44267</v>
      </c>
      <c r="B16" s="64">
        <v>181</v>
      </c>
      <c r="C16" s="64">
        <v>187.5</v>
      </c>
      <c r="D16" s="45">
        <f t="shared" si="27"/>
        <v>3</v>
      </c>
      <c r="E16" s="45">
        <f t="shared" si="8"/>
        <v>25.14</v>
      </c>
      <c r="F16" s="584">
        <f t="shared" si="28"/>
        <v>1763</v>
      </c>
      <c r="G16" s="52">
        <f t="shared" si="0"/>
        <v>0</v>
      </c>
      <c r="H16" s="584">
        <f t="shared" si="29"/>
        <v>7522</v>
      </c>
      <c r="I16" s="396">
        <f t="shared" si="1"/>
        <v>0</v>
      </c>
      <c r="J16" s="66">
        <f t="shared" si="9"/>
        <v>0</v>
      </c>
      <c r="K16" s="584">
        <v>2258</v>
      </c>
      <c r="L16" s="52">
        <f t="shared" si="10"/>
        <v>1</v>
      </c>
      <c r="M16" s="584">
        <v>166149</v>
      </c>
      <c r="N16" s="396">
        <f t="shared" si="2"/>
        <v>93</v>
      </c>
      <c r="O16" s="64">
        <f t="shared" si="11"/>
        <v>1869</v>
      </c>
      <c r="P16" s="584">
        <v>2013</v>
      </c>
      <c r="Q16" s="584">
        <v>169909</v>
      </c>
      <c r="R16" s="395">
        <f t="shared" si="50"/>
        <v>164</v>
      </c>
      <c r="S16" s="52">
        <f t="shared" si="4"/>
        <v>2</v>
      </c>
      <c r="T16" s="67">
        <f t="shared" si="30"/>
        <v>0</v>
      </c>
      <c r="U16" s="402">
        <f t="shared" si="12"/>
        <v>3</v>
      </c>
      <c r="V16" s="62">
        <f t="shared" si="13"/>
        <v>257</v>
      </c>
      <c r="W16" s="400">
        <f t="shared" si="14"/>
        <v>85.666666666666671</v>
      </c>
      <c r="X16" s="584">
        <f t="shared" si="31"/>
        <v>2462</v>
      </c>
      <c r="Y16" s="52">
        <f t="shared" si="15"/>
        <v>0</v>
      </c>
      <c r="Z16" s="584">
        <f t="shared" si="32"/>
        <v>138490</v>
      </c>
      <c r="AA16" s="65">
        <f t="shared" si="5"/>
        <v>0</v>
      </c>
      <c r="AB16" s="284">
        <f t="shared" si="33"/>
        <v>0</v>
      </c>
      <c r="AC16" s="584">
        <f t="shared" si="16"/>
        <v>1935</v>
      </c>
      <c r="AD16" s="45">
        <f t="shared" si="6"/>
        <v>0</v>
      </c>
      <c r="AE16" s="584">
        <f t="shared" si="17"/>
        <v>365467</v>
      </c>
      <c r="AF16" s="306">
        <f t="shared" si="18"/>
        <v>0</v>
      </c>
      <c r="AG16" s="209">
        <f t="shared" si="34"/>
        <v>0</v>
      </c>
      <c r="AH16" s="62">
        <f t="shared" si="35"/>
        <v>0</v>
      </c>
      <c r="AI16" s="318">
        <f t="shared" si="19"/>
        <v>257</v>
      </c>
      <c r="AJ16" s="318">
        <f>-tanks!AW17</f>
        <v>257</v>
      </c>
      <c r="AK16" s="318">
        <f t="shared" si="20"/>
        <v>0</v>
      </c>
      <c r="AL16" s="318">
        <f t="shared" si="7"/>
        <v>3</v>
      </c>
      <c r="AM16" s="318">
        <f t="shared" si="21"/>
        <v>0</v>
      </c>
      <c r="AN16" s="584">
        <f t="shared" ref="AN16:AP16" si="61">AN15</f>
        <v>67</v>
      </c>
      <c r="AO16" s="320">
        <f t="shared" si="23"/>
        <v>2010.0000000000002</v>
      </c>
      <c r="AP16" s="584">
        <f t="shared" si="61"/>
        <v>55</v>
      </c>
      <c r="AQ16" s="320">
        <f t="shared" si="24"/>
        <v>1650.0000000000002</v>
      </c>
      <c r="AR16" s="584">
        <f t="shared" ref="AR16" si="62">AR15</f>
        <v>61</v>
      </c>
      <c r="AS16" s="320">
        <f t="shared" si="38"/>
        <v>1830</v>
      </c>
      <c r="AT16" s="320">
        <f t="shared" si="39"/>
        <v>5490</v>
      </c>
      <c r="AU16" s="320">
        <f t="shared" si="40"/>
        <v>0</v>
      </c>
      <c r="AV16" s="269"/>
      <c r="AW16" s="269"/>
      <c r="AX16" s="313">
        <f t="shared" si="26"/>
        <v>0.8</v>
      </c>
    </row>
    <row r="17" spans="1:50">
      <c r="A17" s="63">
        <f>ELEC!C15</f>
        <v>44268</v>
      </c>
      <c r="B17" s="64">
        <v>178</v>
      </c>
      <c r="C17" s="64">
        <v>184</v>
      </c>
      <c r="D17" s="45">
        <f t="shared" si="27"/>
        <v>3.5</v>
      </c>
      <c r="E17" s="45">
        <f t="shared" si="8"/>
        <v>29.330000000000002</v>
      </c>
      <c r="F17" s="584">
        <v>1765</v>
      </c>
      <c r="G17" s="52">
        <f t="shared" si="0"/>
        <v>2</v>
      </c>
      <c r="H17" s="584">
        <v>7677</v>
      </c>
      <c r="I17" s="396">
        <f t="shared" si="1"/>
        <v>155</v>
      </c>
      <c r="J17" s="66">
        <f t="shared" si="9"/>
        <v>77.5</v>
      </c>
      <c r="K17" s="584">
        <f t="shared" si="41"/>
        <v>2258</v>
      </c>
      <c r="L17" s="52">
        <f t="shared" si="10"/>
        <v>0</v>
      </c>
      <c r="M17" s="584">
        <f t="shared" si="42"/>
        <v>166149</v>
      </c>
      <c r="N17" s="396">
        <f t="shared" si="2"/>
        <v>0</v>
      </c>
      <c r="O17" s="64">
        <f t="shared" si="11"/>
        <v>1869</v>
      </c>
      <c r="P17" s="584">
        <v>2014</v>
      </c>
      <c r="Q17" s="584">
        <v>169987</v>
      </c>
      <c r="R17" s="395">
        <f t="shared" si="50"/>
        <v>78</v>
      </c>
      <c r="S17" s="52">
        <f t="shared" si="4"/>
        <v>1</v>
      </c>
      <c r="T17" s="67">
        <f t="shared" si="30"/>
        <v>0</v>
      </c>
      <c r="U17" s="402">
        <f t="shared" si="12"/>
        <v>3</v>
      </c>
      <c r="V17" s="62">
        <f t="shared" si="13"/>
        <v>233</v>
      </c>
      <c r="W17" s="400"/>
      <c r="X17" s="584">
        <f t="shared" si="31"/>
        <v>2462</v>
      </c>
      <c r="Y17" s="52">
        <f t="shared" si="15"/>
        <v>0</v>
      </c>
      <c r="Z17" s="584">
        <f t="shared" si="32"/>
        <v>138490</v>
      </c>
      <c r="AA17" s="65">
        <f t="shared" si="5"/>
        <v>0</v>
      </c>
      <c r="AB17" s="284">
        <f t="shared" si="33"/>
        <v>0</v>
      </c>
      <c r="AC17" s="584">
        <f t="shared" si="16"/>
        <v>1935</v>
      </c>
      <c r="AD17" s="45">
        <f t="shared" si="6"/>
        <v>0</v>
      </c>
      <c r="AE17" s="584">
        <f t="shared" si="17"/>
        <v>365467</v>
      </c>
      <c r="AF17" s="306">
        <f t="shared" si="18"/>
        <v>0</v>
      </c>
      <c r="AG17" s="209">
        <f t="shared" si="34"/>
        <v>0</v>
      </c>
      <c r="AH17" s="62">
        <f t="shared" si="35"/>
        <v>0</v>
      </c>
      <c r="AI17" s="318">
        <f t="shared" si="19"/>
        <v>233</v>
      </c>
      <c r="AJ17" s="318">
        <f>-tanks!AW18</f>
        <v>233</v>
      </c>
      <c r="AK17" s="318">
        <f t="shared" si="20"/>
        <v>0</v>
      </c>
      <c r="AL17" s="318">
        <f t="shared" si="7"/>
        <v>3</v>
      </c>
      <c r="AM17" s="318">
        <f t="shared" si="21"/>
        <v>0</v>
      </c>
      <c r="AN17" s="584">
        <f t="shared" ref="AN17:AP17" si="63">AN16</f>
        <v>67</v>
      </c>
      <c r="AO17" s="320">
        <f t="shared" si="23"/>
        <v>2010.0000000000002</v>
      </c>
      <c r="AP17" s="584">
        <f t="shared" si="63"/>
        <v>55</v>
      </c>
      <c r="AQ17" s="320">
        <f t="shared" si="24"/>
        <v>1650.0000000000002</v>
      </c>
      <c r="AR17" s="584">
        <f t="shared" ref="AR17" si="64">AR16</f>
        <v>61</v>
      </c>
      <c r="AS17" s="320">
        <f t="shared" si="38"/>
        <v>1830</v>
      </c>
      <c r="AT17" s="320">
        <f t="shared" si="39"/>
        <v>5490</v>
      </c>
      <c r="AU17" s="320">
        <f t="shared" si="40"/>
        <v>0</v>
      </c>
      <c r="AV17" s="269"/>
      <c r="AW17" s="269"/>
      <c r="AX17" s="313">
        <f t="shared" si="26"/>
        <v>0.8</v>
      </c>
    </row>
    <row r="18" spans="1:50">
      <c r="A18" s="63">
        <f>ELEC!C16</f>
        <v>44269</v>
      </c>
      <c r="B18" s="64">
        <v>174</v>
      </c>
      <c r="C18" s="64">
        <v>180</v>
      </c>
      <c r="D18" s="45">
        <f t="shared" si="27"/>
        <v>4</v>
      </c>
      <c r="E18" s="45">
        <f t="shared" si="8"/>
        <v>33.520000000000003</v>
      </c>
      <c r="F18" s="584">
        <v>1766</v>
      </c>
      <c r="G18" s="52">
        <f t="shared" si="0"/>
        <v>1</v>
      </c>
      <c r="H18" s="584">
        <v>7746</v>
      </c>
      <c r="I18" s="396">
        <f t="shared" si="1"/>
        <v>69</v>
      </c>
      <c r="J18" s="66">
        <f t="shared" si="9"/>
        <v>69</v>
      </c>
      <c r="K18" s="584">
        <v>2260</v>
      </c>
      <c r="L18" s="52">
        <f t="shared" si="10"/>
        <v>2</v>
      </c>
      <c r="M18" s="584">
        <v>166315</v>
      </c>
      <c r="N18" s="396">
        <f t="shared" si="2"/>
        <v>166</v>
      </c>
      <c r="O18" s="64">
        <v>1869</v>
      </c>
      <c r="P18" s="584">
        <f t="shared" ref="P18:P35" si="65">P17</f>
        <v>2014</v>
      </c>
      <c r="Q18" s="584">
        <f t="shared" si="49"/>
        <v>169987</v>
      </c>
      <c r="R18" s="395">
        <f t="shared" si="50"/>
        <v>0</v>
      </c>
      <c r="S18" s="52">
        <f t="shared" si="4"/>
        <v>0</v>
      </c>
      <c r="T18" s="67">
        <f t="shared" si="30"/>
        <v>0</v>
      </c>
      <c r="U18" s="402">
        <f t="shared" si="12"/>
        <v>3</v>
      </c>
      <c r="V18" s="62">
        <f t="shared" si="13"/>
        <v>235</v>
      </c>
      <c r="W18" s="400"/>
      <c r="X18" s="584">
        <f t="shared" si="31"/>
        <v>2462</v>
      </c>
      <c r="Y18" s="52">
        <f t="shared" si="15"/>
        <v>0</v>
      </c>
      <c r="Z18" s="584">
        <f t="shared" si="32"/>
        <v>138490</v>
      </c>
      <c r="AA18" s="65">
        <f t="shared" si="5"/>
        <v>0</v>
      </c>
      <c r="AB18" s="284">
        <f t="shared" ref="AB18:AB23" si="66">SUM(Y18*$AB$2)</f>
        <v>0</v>
      </c>
      <c r="AC18" s="584">
        <f t="shared" si="16"/>
        <v>1935</v>
      </c>
      <c r="AD18" s="45">
        <f t="shared" si="6"/>
        <v>0</v>
      </c>
      <c r="AE18" s="584">
        <f t="shared" si="17"/>
        <v>365467</v>
      </c>
      <c r="AF18" s="306">
        <f t="shared" si="18"/>
        <v>0</v>
      </c>
      <c r="AG18" s="209">
        <f t="shared" si="34"/>
        <v>0</v>
      </c>
      <c r="AH18" s="62">
        <f t="shared" si="35"/>
        <v>0</v>
      </c>
      <c r="AI18" s="318">
        <f t="shared" si="19"/>
        <v>235</v>
      </c>
      <c r="AJ18" s="318">
        <f>-tanks!AW19</f>
        <v>235</v>
      </c>
      <c r="AK18" s="318">
        <f t="shared" si="20"/>
        <v>0</v>
      </c>
      <c r="AL18" s="318">
        <f t="shared" si="7"/>
        <v>3</v>
      </c>
      <c r="AM18" s="318">
        <f t="shared" si="21"/>
        <v>0</v>
      </c>
      <c r="AN18" s="584">
        <f t="shared" ref="AN18:AP18" si="67">AN17</f>
        <v>67</v>
      </c>
      <c r="AO18" s="320">
        <f t="shared" si="23"/>
        <v>2010.0000000000002</v>
      </c>
      <c r="AP18" s="584">
        <f t="shared" si="67"/>
        <v>55</v>
      </c>
      <c r="AQ18" s="320">
        <f t="shared" si="24"/>
        <v>1650.0000000000002</v>
      </c>
      <c r="AR18" s="584">
        <f t="shared" ref="AR18" si="68">AR17</f>
        <v>61</v>
      </c>
      <c r="AS18" s="320">
        <f t="shared" si="38"/>
        <v>1830</v>
      </c>
      <c r="AT18" s="320">
        <f t="shared" si="39"/>
        <v>5490</v>
      </c>
      <c r="AU18" s="320">
        <f t="shared" si="40"/>
        <v>0</v>
      </c>
      <c r="AV18" s="269"/>
      <c r="AW18" s="269"/>
      <c r="AX18" s="313">
        <f t="shared" si="26"/>
        <v>0.8</v>
      </c>
    </row>
    <row r="19" spans="1:50">
      <c r="A19" s="63">
        <f>ELEC!C17</f>
        <v>44270</v>
      </c>
      <c r="B19" s="64">
        <v>171</v>
      </c>
      <c r="C19" s="64">
        <v>177</v>
      </c>
      <c r="D19" s="45">
        <f t="shared" si="27"/>
        <v>3</v>
      </c>
      <c r="E19" s="45">
        <f t="shared" si="8"/>
        <v>25.14</v>
      </c>
      <c r="F19" s="584">
        <f t="shared" si="28"/>
        <v>1766</v>
      </c>
      <c r="G19" s="52">
        <f t="shared" si="0"/>
        <v>0</v>
      </c>
      <c r="H19" s="584">
        <f t="shared" si="29"/>
        <v>7746</v>
      </c>
      <c r="I19" s="396">
        <f t="shared" si="1"/>
        <v>0</v>
      </c>
      <c r="J19" s="66">
        <f t="shared" si="9"/>
        <v>0</v>
      </c>
      <c r="K19" s="584">
        <v>2261</v>
      </c>
      <c r="L19" s="52">
        <f t="shared" si="10"/>
        <v>1</v>
      </c>
      <c r="M19" s="584">
        <v>166381</v>
      </c>
      <c r="N19" s="396">
        <f t="shared" si="2"/>
        <v>66</v>
      </c>
      <c r="O19" s="64">
        <f t="shared" si="11"/>
        <v>1869</v>
      </c>
      <c r="P19" s="584">
        <v>2016</v>
      </c>
      <c r="Q19" s="584">
        <v>170149</v>
      </c>
      <c r="R19" s="395">
        <f t="shared" si="50"/>
        <v>162</v>
      </c>
      <c r="S19" s="52">
        <f t="shared" si="4"/>
        <v>2</v>
      </c>
      <c r="T19" s="67">
        <f t="shared" si="30"/>
        <v>0</v>
      </c>
      <c r="U19" s="402">
        <f t="shared" si="12"/>
        <v>3</v>
      </c>
      <c r="V19" s="62">
        <f t="shared" si="13"/>
        <v>228</v>
      </c>
      <c r="W19" s="400"/>
      <c r="X19" s="584">
        <f t="shared" si="31"/>
        <v>2462</v>
      </c>
      <c r="Y19" s="52">
        <f t="shared" si="15"/>
        <v>0</v>
      </c>
      <c r="Z19" s="584">
        <f t="shared" si="32"/>
        <v>138490</v>
      </c>
      <c r="AA19" s="65">
        <f t="shared" si="5"/>
        <v>0</v>
      </c>
      <c r="AB19" s="284">
        <f t="shared" si="66"/>
        <v>0</v>
      </c>
      <c r="AC19" s="584">
        <f t="shared" si="16"/>
        <v>1935</v>
      </c>
      <c r="AD19" s="45">
        <f t="shared" si="6"/>
        <v>0</v>
      </c>
      <c r="AE19" s="584">
        <f t="shared" si="17"/>
        <v>365467</v>
      </c>
      <c r="AF19" s="306">
        <f t="shared" si="18"/>
        <v>0</v>
      </c>
      <c r="AG19" s="209">
        <f t="shared" si="34"/>
        <v>0</v>
      </c>
      <c r="AH19" s="62">
        <f t="shared" si="35"/>
        <v>0</v>
      </c>
      <c r="AI19" s="318">
        <f t="shared" si="19"/>
        <v>228</v>
      </c>
      <c r="AJ19" s="318">
        <f>-tanks!AW20</f>
        <v>228</v>
      </c>
      <c r="AK19" s="318">
        <f t="shared" si="20"/>
        <v>0</v>
      </c>
      <c r="AL19" s="318">
        <f t="shared" si="7"/>
        <v>3</v>
      </c>
      <c r="AM19" s="318">
        <f t="shared" si="21"/>
        <v>0</v>
      </c>
      <c r="AN19" s="584">
        <f t="shared" ref="AN19:AP19" si="69">AN18</f>
        <v>67</v>
      </c>
      <c r="AO19" s="320">
        <f t="shared" si="23"/>
        <v>2010.0000000000002</v>
      </c>
      <c r="AP19" s="584">
        <f t="shared" si="69"/>
        <v>55</v>
      </c>
      <c r="AQ19" s="320">
        <f t="shared" si="24"/>
        <v>1650.0000000000002</v>
      </c>
      <c r="AR19" s="584">
        <f t="shared" ref="AR19" si="70">AR18</f>
        <v>61</v>
      </c>
      <c r="AS19" s="320">
        <f t="shared" si="38"/>
        <v>1830</v>
      </c>
      <c r="AT19" s="320">
        <f t="shared" si="39"/>
        <v>5490</v>
      </c>
      <c r="AU19" s="320">
        <f t="shared" si="40"/>
        <v>0</v>
      </c>
      <c r="AV19" s="269"/>
      <c r="AW19" s="269"/>
      <c r="AX19" s="313">
        <f t="shared" si="26"/>
        <v>0.8</v>
      </c>
    </row>
    <row r="20" spans="1:50">
      <c r="A20" s="63">
        <f>ELEC!C18</f>
        <v>44271</v>
      </c>
      <c r="B20" s="64">
        <v>190</v>
      </c>
      <c r="C20" s="64">
        <v>196</v>
      </c>
      <c r="D20" s="45">
        <f>C19-C20</f>
        <v>-19</v>
      </c>
      <c r="E20" s="45">
        <f t="shared" si="8"/>
        <v>-159.22000000000003</v>
      </c>
      <c r="F20" s="584">
        <v>1771</v>
      </c>
      <c r="G20" s="52">
        <f t="shared" si="0"/>
        <v>5</v>
      </c>
      <c r="H20" s="584">
        <v>8067</v>
      </c>
      <c r="I20" s="396">
        <f t="shared" si="1"/>
        <v>321</v>
      </c>
      <c r="J20" s="66">
        <f t="shared" si="9"/>
        <v>64.2</v>
      </c>
      <c r="K20" s="584">
        <f t="shared" si="41"/>
        <v>2261</v>
      </c>
      <c r="L20" s="52">
        <f t="shared" si="10"/>
        <v>0</v>
      </c>
      <c r="M20" s="584">
        <f t="shared" si="42"/>
        <v>166381</v>
      </c>
      <c r="N20" s="396">
        <f t="shared" si="2"/>
        <v>0</v>
      </c>
      <c r="O20" s="64">
        <f t="shared" si="11"/>
        <v>1869</v>
      </c>
      <c r="P20" s="584">
        <v>2018</v>
      </c>
      <c r="Q20" s="584">
        <v>170270</v>
      </c>
      <c r="R20" s="395">
        <f t="shared" si="50"/>
        <v>121</v>
      </c>
      <c r="S20" s="52">
        <f t="shared" si="4"/>
        <v>2</v>
      </c>
      <c r="T20" s="67">
        <f t="shared" si="30"/>
        <v>0</v>
      </c>
      <c r="U20" s="402">
        <f t="shared" si="12"/>
        <v>7</v>
      </c>
      <c r="V20" s="62">
        <f t="shared" si="13"/>
        <v>442</v>
      </c>
      <c r="W20" s="400"/>
      <c r="X20" s="584">
        <f t="shared" si="31"/>
        <v>2462</v>
      </c>
      <c r="Y20" s="52">
        <f t="shared" si="15"/>
        <v>0</v>
      </c>
      <c r="Z20" s="584">
        <f t="shared" si="32"/>
        <v>138490</v>
      </c>
      <c r="AA20" s="65">
        <f t="shared" si="5"/>
        <v>0</v>
      </c>
      <c r="AB20" s="284">
        <f t="shared" si="66"/>
        <v>0</v>
      </c>
      <c r="AC20" s="584">
        <f t="shared" si="16"/>
        <v>1935</v>
      </c>
      <c r="AD20" s="45">
        <f t="shared" si="6"/>
        <v>0</v>
      </c>
      <c r="AE20" s="584">
        <f t="shared" si="17"/>
        <v>365467</v>
      </c>
      <c r="AF20" s="306">
        <f t="shared" si="18"/>
        <v>0</v>
      </c>
      <c r="AG20" s="209">
        <f t="shared" si="34"/>
        <v>0</v>
      </c>
      <c r="AH20" s="62">
        <f t="shared" si="35"/>
        <v>0</v>
      </c>
      <c r="AI20" s="318">
        <f t="shared" si="19"/>
        <v>442</v>
      </c>
      <c r="AJ20" s="318">
        <f>-tanks!AW21</f>
        <v>442</v>
      </c>
      <c r="AK20" s="318">
        <f t="shared" si="20"/>
        <v>0</v>
      </c>
      <c r="AL20" s="318">
        <f t="shared" si="7"/>
        <v>7</v>
      </c>
      <c r="AM20" s="318">
        <f t="shared" si="21"/>
        <v>0</v>
      </c>
      <c r="AN20" s="584">
        <f t="shared" ref="AN20:AP20" si="71">AN19</f>
        <v>67</v>
      </c>
      <c r="AO20" s="320">
        <f t="shared" si="23"/>
        <v>2010.0000000000002</v>
      </c>
      <c r="AP20" s="584">
        <f t="shared" si="71"/>
        <v>55</v>
      </c>
      <c r="AQ20" s="320">
        <f t="shared" si="24"/>
        <v>1650.0000000000002</v>
      </c>
      <c r="AR20" s="584">
        <f t="shared" ref="AR20" si="72">AR19</f>
        <v>61</v>
      </c>
      <c r="AS20" s="320">
        <f t="shared" si="38"/>
        <v>1830</v>
      </c>
      <c r="AT20" s="320">
        <f t="shared" si="39"/>
        <v>5490</v>
      </c>
      <c r="AU20" s="320">
        <f t="shared" si="40"/>
        <v>0</v>
      </c>
      <c r="AV20" s="269"/>
      <c r="AW20" s="269"/>
      <c r="AX20" s="313">
        <f t="shared" si="26"/>
        <v>0.8</v>
      </c>
    </row>
    <row r="21" spans="1:50">
      <c r="A21" s="63">
        <f>ELEC!C19</f>
        <v>44272</v>
      </c>
      <c r="B21" s="64">
        <v>183</v>
      </c>
      <c r="C21" s="64">
        <v>190</v>
      </c>
      <c r="D21" s="45">
        <f t="shared" ref="D21:D31" si="73">C20-C21</f>
        <v>6</v>
      </c>
      <c r="E21" s="45">
        <f t="shared" si="8"/>
        <v>50.28</v>
      </c>
      <c r="F21" s="584">
        <v>1773</v>
      </c>
      <c r="G21" s="52">
        <f t="shared" si="0"/>
        <v>2</v>
      </c>
      <c r="H21" s="584">
        <v>8222</v>
      </c>
      <c r="I21" s="396">
        <f t="shared" si="1"/>
        <v>155</v>
      </c>
      <c r="J21" s="66">
        <f t="shared" si="9"/>
        <v>77.5</v>
      </c>
      <c r="K21" s="584">
        <v>2264</v>
      </c>
      <c r="L21" s="52">
        <f t="shared" si="10"/>
        <v>3</v>
      </c>
      <c r="M21" s="584">
        <v>166653</v>
      </c>
      <c r="N21" s="396">
        <f t="shared" si="2"/>
        <v>272</v>
      </c>
      <c r="O21" s="64">
        <f t="shared" si="11"/>
        <v>1869</v>
      </c>
      <c r="P21" s="584">
        <f t="shared" si="65"/>
        <v>2018</v>
      </c>
      <c r="Q21" s="584">
        <f t="shared" si="49"/>
        <v>170270</v>
      </c>
      <c r="R21" s="395">
        <f t="shared" si="50"/>
        <v>0</v>
      </c>
      <c r="S21" s="52">
        <f t="shared" si="4"/>
        <v>0</v>
      </c>
      <c r="T21" s="67">
        <f t="shared" si="30"/>
        <v>0</v>
      </c>
      <c r="U21" s="402">
        <f t="shared" si="12"/>
        <v>5</v>
      </c>
      <c r="V21" s="62">
        <f t="shared" si="13"/>
        <v>427</v>
      </c>
      <c r="W21" s="400"/>
      <c r="X21" s="584">
        <f t="shared" si="31"/>
        <v>2462</v>
      </c>
      <c r="Y21" s="52">
        <f t="shared" si="15"/>
        <v>0</v>
      </c>
      <c r="Z21" s="584">
        <f t="shared" si="32"/>
        <v>138490</v>
      </c>
      <c r="AA21" s="65">
        <f t="shared" si="5"/>
        <v>0</v>
      </c>
      <c r="AB21" s="284">
        <f t="shared" si="66"/>
        <v>0</v>
      </c>
      <c r="AC21" s="584">
        <v>1936</v>
      </c>
      <c r="AD21" s="45">
        <f t="shared" si="6"/>
        <v>1</v>
      </c>
      <c r="AE21" s="584">
        <v>365520.8</v>
      </c>
      <c r="AF21" s="306">
        <f t="shared" si="18"/>
        <v>53.799999999988358</v>
      </c>
      <c r="AG21" s="209">
        <f t="shared" si="34"/>
        <v>53.799999999988358</v>
      </c>
      <c r="AH21" s="62">
        <f t="shared" si="35"/>
        <v>53.799999999988358</v>
      </c>
      <c r="AI21" s="318">
        <f t="shared" si="19"/>
        <v>480.79999999998836</v>
      </c>
      <c r="AJ21" s="318">
        <f>-tanks!AW22</f>
        <v>480.79999999998836</v>
      </c>
      <c r="AK21" s="318">
        <f t="shared" si="20"/>
        <v>0</v>
      </c>
      <c r="AL21" s="318">
        <f t="shared" si="7"/>
        <v>5</v>
      </c>
      <c r="AM21" s="318">
        <f t="shared" si="21"/>
        <v>1</v>
      </c>
      <c r="AN21" s="584">
        <f t="shared" ref="AN21:AP21" si="74">AN20</f>
        <v>67</v>
      </c>
      <c r="AO21" s="320">
        <f t="shared" si="23"/>
        <v>2010.0000000000002</v>
      </c>
      <c r="AP21" s="584">
        <f t="shared" si="74"/>
        <v>55</v>
      </c>
      <c r="AQ21" s="320">
        <f t="shared" si="24"/>
        <v>1650.0000000000002</v>
      </c>
      <c r="AR21" s="584">
        <f t="shared" ref="AR21" si="75">AR20</f>
        <v>61</v>
      </c>
      <c r="AS21" s="320">
        <f t="shared" si="38"/>
        <v>1830</v>
      </c>
      <c r="AT21" s="320">
        <f t="shared" si="39"/>
        <v>5490</v>
      </c>
      <c r="AU21" s="320">
        <f t="shared" si="40"/>
        <v>0</v>
      </c>
      <c r="AV21" s="269"/>
      <c r="AW21" s="269"/>
      <c r="AX21" s="313">
        <f t="shared" si="26"/>
        <v>0.8</v>
      </c>
    </row>
    <row r="22" spans="1:50" ht="16.5" customHeight="1">
      <c r="A22" s="63">
        <f>ELEC!C20</f>
        <v>44273</v>
      </c>
      <c r="B22" s="64">
        <v>175</v>
      </c>
      <c r="C22" s="64">
        <v>181</v>
      </c>
      <c r="D22" s="45">
        <f t="shared" si="73"/>
        <v>9</v>
      </c>
      <c r="E22" s="45">
        <f t="shared" si="8"/>
        <v>75.42</v>
      </c>
      <c r="F22" s="584">
        <f t="shared" si="28"/>
        <v>1773</v>
      </c>
      <c r="G22" s="52">
        <f t="shared" si="0"/>
        <v>0</v>
      </c>
      <c r="H22" s="584">
        <f t="shared" si="29"/>
        <v>8222</v>
      </c>
      <c r="I22" s="396">
        <f t="shared" si="1"/>
        <v>0</v>
      </c>
      <c r="J22" s="66">
        <f t="shared" si="9"/>
        <v>0</v>
      </c>
      <c r="K22" s="584">
        <v>2267</v>
      </c>
      <c r="L22" s="52">
        <f t="shared" si="10"/>
        <v>3</v>
      </c>
      <c r="M22" s="584">
        <v>166830</v>
      </c>
      <c r="N22" s="396">
        <f t="shared" si="2"/>
        <v>177</v>
      </c>
      <c r="O22" s="64">
        <f t="shared" si="11"/>
        <v>1869</v>
      </c>
      <c r="P22" s="584">
        <v>2022</v>
      </c>
      <c r="Q22" s="584">
        <v>170559</v>
      </c>
      <c r="R22" s="395">
        <f t="shared" si="50"/>
        <v>289</v>
      </c>
      <c r="S22" s="52">
        <f t="shared" si="4"/>
        <v>4</v>
      </c>
      <c r="T22" s="67">
        <f t="shared" si="30"/>
        <v>0</v>
      </c>
      <c r="U22" s="402">
        <f t="shared" si="12"/>
        <v>7</v>
      </c>
      <c r="V22" s="62">
        <f t="shared" si="13"/>
        <v>466</v>
      </c>
      <c r="W22" s="400"/>
      <c r="X22" s="584">
        <f t="shared" si="31"/>
        <v>2462</v>
      </c>
      <c r="Y22" s="52">
        <f t="shared" si="15"/>
        <v>0</v>
      </c>
      <c r="Z22" s="584">
        <f t="shared" si="32"/>
        <v>138490</v>
      </c>
      <c r="AA22" s="65">
        <f t="shared" si="5"/>
        <v>0</v>
      </c>
      <c r="AB22" s="284">
        <f t="shared" si="66"/>
        <v>0</v>
      </c>
      <c r="AC22" s="584">
        <f t="shared" si="16"/>
        <v>1936</v>
      </c>
      <c r="AD22" s="45">
        <f t="shared" si="6"/>
        <v>0</v>
      </c>
      <c r="AE22" s="584">
        <f t="shared" si="17"/>
        <v>365520.8</v>
      </c>
      <c r="AF22" s="306">
        <f t="shared" si="18"/>
        <v>0</v>
      </c>
      <c r="AG22" s="209">
        <f t="shared" si="34"/>
        <v>0</v>
      </c>
      <c r="AH22" s="62">
        <f t="shared" si="35"/>
        <v>0</v>
      </c>
      <c r="AI22" s="318">
        <f t="shared" si="19"/>
        <v>466</v>
      </c>
      <c r="AJ22" s="318">
        <f>-tanks!AW23</f>
        <v>466</v>
      </c>
      <c r="AK22" s="318">
        <f t="shared" si="20"/>
        <v>0</v>
      </c>
      <c r="AL22" s="318">
        <f t="shared" si="7"/>
        <v>7</v>
      </c>
      <c r="AM22" s="318">
        <f t="shared" si="21"/>
        <v>0</v>
      </c>
      <c r="AN22" s="584">
        <f t="shared" ref="AN22:AP22" si="76">AN21</f>
        <v>67</v>
      </c>
      <c r="AO22" s="320">
        <f t="shared" si="23"/>
        <v>2010.0000000000002</v>
      </c>
      <c r="AP22" s="584">
        <f t="shared" si="76"/>
        <v>55</v>
      </c>
      <c r="AQ22" s="320">
        <f t="shared" si="24"/>
        <v>1650.0000000000002</v>
      </c>
      <c r="AR22" s="584">
        <f t="shared" ref="AR22" si="77">AR21</f>
        <v>61</v>
      </c>
      <c r="AS22" s="320">
        <f t="shared" si="38"/>
        <v>1830</v>
      </c>
      <c r="AT22" s="320">
        <f t="shared" si="39"/>
        <v>5490</v>
      </c>
      <c r="AU22" s="320">
        <f t="shared" si="40"/>
        <v>0</v>
      </c>
      <c r="AV22" s="269"/>
      <c r="AW22" s="269"/>
      <c r="AX22" s="313">
        <f t="shared" si="26"/>
        <v>0.8</v>
      </c>
    </row>
    <row r="23" spans="1:50">
      <c r="A23" s="63">
        <f>ELEC!C21</f>
        <v>44274</v>
      </c>
      <c r="B23" s="64">
        <v>245</v>
      </c>
      <c r="C23" s="64">
        <v>251</v>
      </c>
      <c r="D23" s="45">
        <f t="shared" si="73"/>
        <v>-70</v>
      </c>
      <c r="E23" s="45">
        <f t="shared" si="8"/>
        <v>-586.6</v>
      </c>
      <c r="F23" s="584">
        <v>1776</v>
      </c>
      <c r="G23" s="52">
        <f t="shared" si="0"/>
        <v>3</v>
      </c>
      <c r="H23" s="584">
        <v>8482</v>
      </c>
      <c r="I23" s="396">
        <f t="shared" si="1"/>
        <v>260</v>
      </c>
      <c r="J23" s="66">
        <f t="shared" si="9"/>
        <v>86.666666666666671</v>
      </c>
      <c r="K23" s="584">
        <f t="shared" si="41"/>
        <v>2267</v>
      </c>
      <c r="L23" s="52">
        <f t="shared" si="10"/>
        <v>0</v>
      </c>
      <c r="M23" s="584">
        <f t="shared" si="42"/>
        <v>166830</v>
      </c>
      <c r="N23" s="396">
        <f t="shared" si="2"/>
        <v>0</v>
      </c>
      <c r="O23" s="64">
        <f t="shared" si="11"/>
        <v>1869</v>
      </c>
      <c r="P23" s="584">
        <v>2023</v>
      </c>
      <c r="Q23" s="584">
        <v>170679</v>
      </c>
      <c r="R23" s="395">
        <f t="shared" si="50"/>
        <v>120</v>
      </c>
      <c r="S23" s="52">
        <f t="shared" si="4"/>
        <v>1</v>
      </c>
      <c r="T23" s="67">
        <f t="shared" si="30"/>
        <v>0</v>
      </c>
      <c r="U23" s="402">
        <f t="shared" si="12"/>
        <v>4</v>
      </c>
      <c r="V23" s="62">
        <f t="shared" si="13"/>
        <v>380</v>
      </c>
      <c r="W23" s="400"/>
      <c r="X23" s="584">
        <f t="shared" si="31"/>
        <v>2462</v>
      </c>
      <c r="Y23" s="52">
        <f t="shared" si="15"/>
        <v>0</v>
      </c>
      <c r="Z23" s="584">
        <f t="shared" si="32"/>
        <v>138490</v>
      </c>
      <c r="AA23" s="65">
        <f t="shared" si="5"/>
        <v>0</v>
      </c>
      <c r="AB23" s="284">
        <f t="shared" si="66"/>
        <v>0</v>
      </c>
      <c r="AC23" s="584">
        <f t="shared" si="16"/>
        <v>1936</v>
      </c>
      <c r="AD23" s="45">
        <f t="shared" si="6"/>
        <v>0</v>
      </c>
      <c r="AE23" s="584">
        <f t="shared" si="17"/>
        <v>365520.8</v>
      </c>
      <c r="AF23" s="306">
        <f t="shared" si="18"/>
        <v>0</v>
      </c>
      <c r="AG23" s="209">
        <f t="shared" si="34"/>
        <v>0</v>
      </c>
      <c r="AH23" s="62">
        <f t="shared" si="35"/>
        <v>0</v>
      </c>
      <c r="AI23" s="318">
        <f t="shared" ref="AI23" si="78">SUM(AH23+V23)</f>
        <v>380</v>
      </c>
      <c r="AJ23" s="318">
        <f>-tanks!AW24</f>
        <v>380</v>
      </c>
      <c r="AK23" s="318">
        <f t="shared" ref="AK23" si="79">SUM(AJ23-AI23)</f>
        <v>0</v>
      </c>
      <c r="AL23" s="318">
        <f t="shared" ref="AL23" si="80">S23+L23+G23</f>
        <v>4</v>
      </c>
      <c r="AM23" s="318">
        <f t="shared" ref="AM23" si="81">Y23+AD23</f>
        <v>0</v>
      </c>
      <c r="AN23" s="584">
        <f t="shared" ref="AN23:AP23" si="82">AN22</f>
        <v>67</v>
      </c>
      <c r="AO23" s="320">
        <f t="shared" si="23"/>
        <v>2010.0000000000002</v>
      </c>
      <c r="AP23" s="584">
        <f t="shared" si="82"/>
        <v>55</v>
      </c>
      <c r="AQ23" s="320">
        <f t="shared" si="24"/>
        <v>1650.0000000000002</v>
      </c>
      <c r="AR23" s="584">
        <f t="shared" ref="AR23" si="83">AR22</f>
        <v>61</v>
      </c>
      <c r="AS23" s="320">
        <f t="shared" si="38"/>
        <v>1830</v>
      </c>
      <c r="AT23" s="320">
        <f t="shared" si="39"/>
        <v>5490</v>
      </c>
      <c r="AU23" s="320">
        <f t="shared" si="40"/>
        <v>0</v>
      </c>
      <c r="AV23" s="269"/>
      <c r="AW23" s="269"/>
      <c r="AX23" s="313">
        <f t="shared" si="26"/>
        <v>0.8</v>
      </c>
    </row>
    <row r="24" spans="1:50">
      <c r="A24" s="63">
        <f>ELEC!C22</f>
        <v>44275</v>
      </c>
      <c r="B24" s="64">
        <v>242</v>
      </c>
      <c r="C24" s="64">
        <v>248</v>
      </c>
      <c r="D24" s="45">
        <f t="shared" si="73"/>
        <v>3</v>
      </c>
      <c r="E24" s="45">
        <f t="shared" si="8"/>
        <v>25.14</v>
      </c>
      <c r="F24" s="584">
        <v>1778</v>
      </c>
      <c r="G24" s="52">
        <f t="shared" si="0"/>
        <v>2</v>
      </c>
      <c r="H24" s="584">
        <v>8612</v>
      </c>
      <c r="I24" s="396">
        <f t="shared" si="1"/>
        <v>130</v>
      </c>
      <c r="J24" s="66">
        <f t="shared" si="9"/>
        <v>65</v>
      </c>
      <c r="K24" s="584">
        <v>2269</v>
      </c>
      <c r="L24" s="52">
        <f t="shared" si="10"/>
        <v>2</v>
      </c>
      <c r="M24" s="584">
        <v>167050</v>
      </c>
      <c r="N24" s="396">
        <f t="shared" si="2"/>
        <v>220</v>
      </c>
      <c r="O24" s="64">
        <f t="shared" si="11"/>
        <v>1869</v>
      </c>
      <c r="P24" s="584">
        <f t="shared" si="65"/>
        <v>2023</v>
      </c>
      <c r="Q24" s="584">
        <f t="shared" si="49"/>
        <v>170679</v>
      </c>
      <c r="R24" s="395">
        <f t="shared" si="50"/>
        <v>0</v>
      </c>
      <c r="S24" s="52">
        <f t="shared" si="4"/>
        <v>0</v>
      </c>
      <c r="T24" s="67">
        <f t="shared" si="30"/>
        <v>0</v>
      </c>
      <c r="U24" s="402">
        <f t="shared" si="12"/>
        <v>4</v>
      </c>
      <c r="V24" s="62">
        <f t="shared" si="13"/>
        <v>350</v>
      </c>
      <c r="W24" s="400"/>
      <c r="X24" s="584">
        <f t="shared" si="31"/>
        <v>2462</v>
      </c>
      <c r="Y24" s="52">
        <f t="shared" si="15"/>
        <v>0</v>
      </c>
      <c r="Z24" s="584">
        <f t="shared" si="32"/>
        <v>138490</v>
      </c>
      <c r="AA24" s="65">
        <f t="shared" si="5"/>
        <v>0</v>
      </c>
      <c r="AB24" s="284">
        <f t="shared" ref="AB24:AB32" si="84">SUM(Y24*$AB$2)</f>
        <v>0</v>
      </c>
      <c r="AC24" s="584">
        <f t="shared" si="16"/>
        <v>1936</v>
      </c>
      <c r="AD24" s="45">
        <f t="shared" si="6"/>
        <v>0</v>
      </c>
      <c r="AE24" s="584">
        <f t="shared" si="17"/>
        <v>365520.8</v>
      </c>
      <c r="AF24" s="306">
        <f t="shared" si="18"/>
        <v>0</v>
      </c>
      <c r="AG24" s="209">
        <f t="shared" si="34"/>
        <v>0</v>
      </c>
      <c r="AH24" s="62">
        <f t="shared" si="35"/>
        <v>0</v>
      </c>
      <c r="AI24" s="318">
        <f t="shared" si="19"/>
        <v>350</v>
      </c>
      <c r="AJ24" s="318">
        <f>-tanks!AW25</f>
        <v>350</v>
      </c>
      <c r="AK24" s="318">
        <f t="shared" si="20"/>
        <v>0</v>
      </c>
      <c r="AL24" s="318">
        <f t="shared" si="7"/>
        <v>4</v>
      </c>
      <c r="AM24" s="318">
        <f t="shared" si="21"/>
        <v>0</v>
      </c>
      <c r="AN24" s="584">
        <f t="shared" ref="AN24:AP24" si="85">AN23</f>
        <v>67</v>
      </c>
      <c r="AO24" s="320">
        <f t="shared" si="23"/>
        <v>2010.0000000000002</v>
      </c>
      <c r="AP24" s="584">
        <f t="shared" si="85"/>
        <v>55</v>
      </c>
      <c r="AQ24" s="320">
        <f t="shared" si="24"/>
        <v>1650.0000000000002</v>
      </c>
      <c r="AR24" s="584">
        <f t="shared" ref="AR24" si="86">AR23</f>
        <v>61</v>
      </c>
      <c r="AS24" s="320">
        <f t="shared" si="38"/>
        <v>1830</v>
      </c>
      <c r="AT24" s="320">
        <f t="shared" ref="AT24:AT32" si="87">SUM(AO24+AQ24+AS24)</f>
        <v>5490</v>
      </c>
      <c r="AU24" s="320">
        <f t="shared" si="40"/>
        <v>0</v>
      </c>
      <c r="AV24" s="269"/>
      <c r="AW24" s="269"/>
      <c r="AX24" s="313">
        <f t="shared" si="26"/>
        <v>0.8</v>
      </c>
    </row>
    <row r="25" spans="1:50" ht="13.5" customHeight="1">
      <c r="A25" s="63">
        <f>ELEC!C23</f>
        <v>44276</v>
      </c>
      <c r="B25" s="64">
        <v>236</v>
      </c>
      <c r="C25" s="64">
        <v>242</v>
      </c>
      <c r="D25" s="45">
        <f t="shared" si="73"/>
        <v>6</v>
      </c>
      <c r="E25" s="45">
        <f t="shared" si="8"/>
        <v>50.28</v>
      </c>
      <c r="F25" s="584">
        <f t="shared" si="28"/>
        <v>1778</v>
      </c>
      <c r="G25" s="52">
        <f t="shared" si="0"/>
        <v>0</v>
      </c>
      <c r="H25" s="584">
        <f t="shared" si="29"/>
        <v>8612</v>
      </c>
      <c r="I25" s="396">
        <f t="shared" si="1"/>
        <v>0</v>
      </c>
      <c r="J25" s="66">
        <f t="shared" si="9"/>
        <v>0</v>
      </c>
      <c r="K25" s="584">
        <v>2271</v>
      </c>
      <c r="L25" s="52">
        <f t="shared" si="10"/>
        <v>2</v>
      </c>
      <c r="M25" s="584">
        <v>167181</v>
      </c>
      <c r="N25" s="396">
        <f t="shared" si="2"/>
        <v>131</v>
      </c>
      <c r="O25" s="64">
        <f>O24</f>
        <v>1869</v>
      </c>
      <c r="P25" s="584">
        <v>2026</v>
      </c>
      <c r="Q25" s="584">
        <v>170912</v>
      </c>
      <c r="R25" s="395">
        <f t="shared" si="50"/>
        <v>233</v>
      </c>
      <c r="S25" s="52">
        <f t="shared" si="4"/>
        <v>3</v>
      </c>
      <c r="T25" s="67">
        <f t="shared" si="30"/>
        <v>0</v>
      </c>
      <c r="U25" s="402">
        <f t="shared" si="12"/>
        <v>5</v>
      </c>
      <c r="V25" s="62">
        <f t="shared" si="13"/>
        <v>364</v>
      </c>
      <c r="W25" s="400"/>
      <c r="X25" s="584">
        <f t="shared" si="31"/>
        <v>2462</v>
      </c>
      <c r="Y25" s="52">
        <f t="shared" si="15"/>
        <v>0</v>
      </c>
      <c r="Z25" s="584">
        <f t="shared" si="32"/>
        <v>138490</v>
      </c>
      <c r="AA25" s="65">
        <f t="shared" si="5"/>
        <v>0</v>
      </c>
      <c r="AB25" s="284">
        <f t="shared" si="84"/>
        <v>0</v>
      </c>
      <c r="AC25" s="584">
        <f t="shared" si="16"/>
        <v>1936</v>
      </c>
      <c r="AD25" s="45">
        <f t="shared" si="6"/>
        <v>0</v>
      </c>
      <c r="AE25" s="584">
        <f t="shared" si="17"/>
        <v>365520.8</v>
      </c>
      <c r="AF25" s="306">
        <f t="shared" si="18"/>
        <v>0</v>
      </c>
      <c r="AG25" s="209">
        <f t="shared" si="34"/>
        <v>0</v>
      </c>
      <c r="AH25" s="62">
        <f t="shared" si="35"/>
        <v>0</v>
      </c>
      <c r="AI25" s="318">
        <f t="shared" si="19"/>
        <v>364</v>
      </c>
      <c r="AJ25" s="318">
        <f>-tanks!AW26</f>
        <v>364</v>
      </c>
      <c r="AK25" s="318">
        <f t="shared" si="20"/>
        <v>0</v>
      </c>
      <c r="AL25" s="318">
        <f t="shared" si="7"/>
        <v>5</v>
      </c>
      <c r="AM25" s="318">
        <f t="shared" si="21"/>
        <v>0</v>
      </c>
      <c r="AN25" s="584">
        <f t="shared" ref="AN25:AP25" si="88">AN24</f>
        <v>67</v>
      </c>
      <c r="AO25" s="320">
        <f t="shared" si="23"/>
        <v>2010.0000000000002</v>
      </c>
      <c r="AP25" s="584">
        <f t="shared" si="88"/>
        <v>55</v>
      </c>
      <c r="AQ25" s="320">
        <f t="shared" ref="AQ25:AQ32" si="89">(AP25/100)*3000</f>
        <v>1650.0000000000002</v>
      </c>
      <c r="AR25" s="584">
        <f t="shared" ref="AR25" si="90">AR24</f>
        <v>61</v>
      </c>
      <c r="AS25" s="320">
        <f t="shared" si="38"/>
        <v>1830</v>
      </c>
      <c r="AT25" s="320">
        <f t="shared" si="87"/>
        <v>5490</v>
      </c>
      <c r="AU25" s="320">
        <f t="shared" si="40"/>
        <v>0</v>
      </c>
      <c r="AV25" s="269"/>
      <c r="AW25" s="269"/>
      <c r="AX25" s="313">
        <f t="shared" si="26"/>
        <v>0.8</v>
      </c>
    </row>
    <row r="26" spans="1:50" ht="14.25" customHeight="1">
      <c r="A26" s="63">
        <f>ELEC!C24</f>
        <v>44277</v>
      </c>
      <c r="B26" s="64">
        <v>227</v>
      </c>
      <c r="C26" s="64">
        <v>233</v>
      </c>
      <c r="D26" s="45">
        <f t="shared" si="73"/>
        <v>9</v>
      </c>
      <c r="E26" s="45">
        <f t="shared" si="8"/>
        <v>75.42</v>
      </c>
      <c r="F26" s="584">
        <v>1781</v>
      </c>
      <c r="G26" s="52">
        <f t="shared" si="0"/>
        <v>3</v>
      </c>
      <c r="H26" s="584">
        <v>8828</v>
      </c>
      <c r="I26" s="396">
        <f t="shared" si="1"/>
        <v>216</v>
      </c>
      <c r="J26" s="66">
        <f t="shared" si="9"/>
        <v>72</v>
      </c>
      <c r="K26" s="584">
        <f t="shared" si="41"/>
        <v>2271</v>
      </c>
      <c r="L26" s="52">
        <f t="shared" si="10"/>
        <v>0</v>
      </c>
      <c r="M26" s="584">
        <f t="shared" si="42"/>
        <v>167181</v>
      </c>
      <c r="N26" s="396">
        <f t="shared" si="2"/>
        <v>0</v>
      </c>
      <c r="O26" s="64">
        <f t="shared" si="11"/>
        <v>1869</v>
      </c>
      <c r="P26" s="584">
        <v>2028</v>
      </c>
      <c r="Q26" s="584">
        <v>171035</v>
      </c>
      <c r="R26" s="395">
        <f t="shared" si="50"/>
        <v>123</v>
      </c>
      <c r="S26" s="52">
        <f t="shared" si="4"/>
        <v>2</v>
      </c>
      <c r="T26" s="67">
        <f t="shared" si="30"/>
        <v>0</v>
      </c>
      <c r="U26" s="402">
        <f t="shared" si="12"/>
        <v>5</v>
      </c>
      <c r="V26" s="62">
        <f t="shared" si="13"/>
        <v>339</v>
      </c>
      <c r="W26" s="400"/>
      <c r="X26" s="584">
        <f t="shared" si="31"/>
        <v>2462</v>
      </c>
      <c r="Y26" s="52">
        <f t="shared" si="15"/>
        <v>0</v>
      </c>
      <c r="Z26" s="584">
        <f t="shared" si="32"/>
        <v>138490</v>
      </c>
      <c r="AA26" s="65">
        <f t="shared" si="5"/>
        <v>0</v>
      </c>
      <c r="AB26" s="284">
        <f t="shared" si="84"/>
        <v>0</v>
      </c>
      <c r="AC26" s="584">
        <f t="shared" si="16"/>
        <v>1936</v>
      </c>
      <c r="AD26" s="45">
        <f t="shared" si="6"/>
        <v>0</v>
      </c>
      <c r="AE26" s="584">
        <f t="shared" si="17"/>
        <v>365520.8</v>
      </c>
      <c r="AF26" s="306">
        <f t="shared" si="18"/>
        <v>0</v>
      </c>
      <c r="AG26" s="209">
        <f t="shared" si="34"/>
        <v>0</v>
      </c>
      <c r="AH26" s="62">
        <f t="shared" si="35"/>
        <v>0</v>
      </c>
      <c r="AI26" s="318">
        <f t="shared" si="19"/>
        <v>339</v>
      </c>
      <c r="AJ26" s="318">
        <f>-tanks!AW27</f>
        <v>339</v>
      </c>
      <c r="AK26" s="318">
        <f t="shared" si="20"/>
        <v>0</v>
      </c>
      <c r="AL26" s="318">
        <f t="shared" si="7"/>
        <v>5</v>
      </c>
      <c r="AM26" s="318">
        <f t="shared" si="21"/>
        <v>0</v>
      </c>
      <c r="AN26" s="584">
        <f t="shared" ref="AN26:AP26" si="91">AN25</f>
        <v>67</v>
      </c>
      <c r="AO26" s="320">
        <f t="shared" si="23"/>
        <v>2010.0000000000002</v>
      </c>
      <c r="AP26" s="584">
        <f t="shared" si="91"/>
        <v>55</v>
      </c>
      <c r="AQ26" s="320">
        <f t="shared" si="89"/>
        <v>1650.0000000000002</v>
      </c>
      <c r="AR26" s="584">
        <f t="shared" ref="AR26" si="92">AR25</f>
        <v>61</v>
      </c>
      <c r="AS26" s="320">
        <f t="shared" si="38"/>
        <v>1830</v>
      </c>
      <c r="AT26" s="320">
        <f t="shared" si="87"/>
        <v>5490</v>
      </c>
      <c r="AU26" s="320">
        <f t="shared" si="40"/>
        <v>0</v>
      </c>
      <c r="AV26" s="269"/>
      <c r="AW26" s="269"/>
      <c r="AX26" s="313">
        <f t="shared" si="26"/>
        <v>0.8</v>
      </c>
    </row>
    <row r="27" spans="1:50">
      <c r="A27" s="63">
        <f>ELEC!C25</f>
        <v>44278</v>
      </c>
      <c r="B27" s="64">
        <v>217</v>
      </c>
      <c r="C27" s="64">
        <v>223</v>
      </c>
      <c r="D27" s="45">
        <f t="shared" si="73"/>
        <v>10</v>
      </c>
      <c r="E27" s="45">
        <f t="shared" si="8"/>
        <v>83.800000000000011</v>
      </c>
      <c r="F27" s="584">
        <v>1783</v>
      </c>
      <c r="G27" s="52">
        <f t="shared" si="0"/>
        <v>2</v>
      </c>
      <c r="H27" s="584">
        <v>8970</v>
      </c>
      <c r="I27" s="396">
        <f t="shared" si="1"/>
        <v>142</v>
      </c>
      <c r="J27" s="66">
        <f t="shared" si="9"/>
        <v>71</v>
      </c>
      <c r="K27" s="584">
        <v>2274</v>
      </c>
      <c r="L27" s="52">
        <f t="shared" si="10"/>
        <v>3</v>
      </c>
      <c r="M27" s="584">
        <v>167378</v>
      </c>
      <c r="N27" s="396">
        <f t="shared" si="2"/>
        <v>197</v>
      </c>
      <c r="O27" s="64">
        <f t="shared" si="11"/>
        <v>1869</v>
      </c>
      <c r="P27" s="584">
        <f t="shared" si="65"/>
        <v>2028</v>
      </c>
      <c r="Q27" s="584">
        <f t="shared" si="49"/>
        <v>171035</v>
      </c>
      <c r="R27" s="395">
        <f t="shared" si="50"/>
        <v>0</v>
      </c>
      <c r="S27" s="52">
        <f t="shared" si="4"/>
        <v>0</v>
      </c>
      <c r="T27" s="67">
        <f t="shared" si="30"/>
        <v>0</v>
      </c>
      <c r="U27" s="402">
        <f t="shared" si="12"/>
        <v>5</v>
      </c>
      <c r="V27" s="62">
        <f t="shared" si="13"/>
        <v>339</v>
      </c>
      <c r="W27" s="400"/>
      <c r="X27" s="584">
        <f t="shared" si="31"/>
        <v>2462</v>
      </c>
      <c r="Y27" s="52">
        <f t="shared" si="15"/>
        <v>0</v>
      </c>
      <c r="Z27" s="584">
        <f t="shared" si="32"/>
        <v>138490</v>
      </c>
      <c r="AA27" s="65">
        <f t="shared" si="5"/>
        <v>0</v>
      </c>
      <c r="AB27" s="284">
        <f t="shared" si="84"/>
        <v>0</v>
      </c>
      <c r="AC27" s="584">
        <f t="shared" si="16"/>
        <v>1936</v>
      </c>
      <c r="AD27" s="45">
        <f t="shared" si="6"/>
        <v>0</v>
      </c>
      <c r="AE27" s="584">
        <f t="shared" si="17"/>
        <v>365520.8</v>
      </c>
      <c r="AF27" s="306">
        <f t="shared" si="18"/>
        <v>0</v>
      </c>
      <c r="AG27" s="209">
        <f t="shared" si="34"/>
        <v>0</v>
      </c>
      <c r="AH27" s="62">
        <f t="shared" si="35"/>
        <v>0</v>
      </c>
      <c r="AI27" s="318">
        <f t="shared" si="19"/>
        <v>339</v>
      </c>
      <c r="AJ27" s="318">
        <f>-tanks!AW28</f>
        <v>339</v>
      </c>
      <c r="AK27" s="318">
        <f t="shared" si="20"/>
        <v>0</v>
      </c>
      <c r="AL27" s="318">
        <f t="shared" si="7"/>
        <v>5</v>
      </c>
      <c r="AM27" s="318">
        <f t="shared" si="21"/>
        <v>0</v>
      </c>
      <c r="AN27" s="584">
        <f t="shared" ref="AN27:AP27" si="93">AN26</f>
        <v>67</v>
      </c>
      <c r="AO27" s="320">
        <f>(AN27/100)*3000</f>
        <v>2010.0000000000002</v>
      </c>
      <c r="AP27" s="584">
        <f t="shared" si="93"/>
        <v>55</v>
      </c>
      <c r="AQ27" s="320">
        <f t="shared" si="89"/>
        <v>1650.0000000000002</v>
      </c>
      <c r="AR27" s="584">
        <f t="shared" ref="AR27" si="94">AR26</f>
        <v>61</v>
      </c>
      <c r="AS27" s="320">
        <f t="shared" si="38"/>
        <v>1830</v>
      </c>
      <c r="AT27" s="320">
        <f t="shared" si="87"/>
        <v>5490</v>
      </c>
      <c r="AU27" s="320">
        <f t="shared" si="40"/>
        <v>0</v>
      </c>
      <c r="AV27" s="269"/>
      <c r="AW27" s="502"/>
      <c r="AX27" s="313">
        <f t="shared" si="26"/>
        <v>0.8</v>
      </c>
    </row>
    <row r="28" spans="1:50">
      <c r="A28" s="63">
        <f>ELEC!C26</f>
        <v>44279</v>
      </c>
      <c r="B28" s="64">
        <v>207</v>
      </c>
      <c r="C28" s="64">
        <v>214</v>
      </c>
      <c r="D28" s="45">
        <f t="shared" si="73"/>
        <v>9</v>
      </c>
      <c r="E28" s="45">
        <f t="shared" si="8"/>
        <v>75.42</v>
      </c>
      <c r="F28" s="584">
        <f t="shared" si="28"/>
        <v>1783</v>
      </c>
      <c r="G28" s="52">
        <f t="shared" si="0"/>
        <v>0</v>
      </c>
      <c r="H28" s="584">
        <f t="shared" si="29"/>
        <v>8970</v>
      </c>
      <c r="I28" s="396">
        <f t="shared" si="1"/>
        <v>0</v>
      </c>
      <c r="J28" s="66">
        <f t="shared" si="9"/>
        <v>0</v>
      </c>
      <c r="K28" s="584">
        <v>2275</v>
      </c>
      <c r="L28" s="52">
        <f t="shared" si="10"/>
        <v>1</v>
      </c>
      <c r="M28" s="584">
        <v>167497</v>
      </c>
      <c r="N28" s="396">
        <f t="shared" si="2"/>
        <v>119</v>
      </c>
      <c r="O28" s="64">
        <f t="shared" si="11"/>
        <v>1869</v>
      </c>
      <c r="P28" s="584">
        <v>2032</v>
      </c>
      <c r="Q28" s="584">
        <v>171374</v>
      </c>
      <c r="R28" s="395">
        <f t="shared" si="50"/>
        <v>339</v>
      </c>
      <c r="S28" s="52">
        <f t="shared" si="4"/>
        <v>4</v>
      </c>
      <c r="T28" s="67">
        <f t="shared" si="30"/>
        <v>0</v>
      </c>
      <c r="U28" s="402">
        <f t="shared" si="12"/>
        <v>5</v>
      </c>
      <c r="V28" s="62">
        <f t="shared" si="13"/>
        <v>458</v>
      </c>
      <c r="W28" s="400"/>
      <c r="X28" s="584">
        <f t="shared" si="31"/>
        <v>2462</v>
      </c>
      <c r="Y28" s="52">
        <f t="shared" si="15"/>
        <v>0</v>
      </c>
      <c r="Z28" s="584">
        <f t="shared" si="32"/>
        <v>138490</v>
      </c>
      <c r="AA28" s="65">
        <f t="shared" si="5"/>
        <v>0</v>
      </c>
      <c r="AB28" s="284">
        <f t="shared" si="84"/>
        <v>0</v>
      </c>
      <c r="AC28" s="584">
        <f t="shared" si="16"/>
        <v>1936</v>
      </c>
      <c r="AD28" s="45">
        <f t="shared" si="6"/>
        <v>0</v>
      </c>
      <c r="AE28" s="584">
        <f t="shared" si="17"/>
        <v>365520.8</v>
      </c>
      <c r="AF28" s="306">
        <f t="shared" si="18"/>
        <v>0</v>
      </c>
      <c r="AG28" s="209">
        <f t="shared" si="34"/>
        <v>0</v>
      </c>
      <c r="AH28" s="62">
        <f t="shared" si="35"/>
        <v>0</v>
      </c>
      <c r="AI28" s="318">
        <f t="shared" si="19"/>
        <v>458</v>
      </c>
      <c r="AJ28" s="318">
        <f>-tanks!AW29</f>
        <v>458</v>
      </c>
      <c r="AK28" s="318">
        <f t="shared" si="20"/>
        <v>0</v>
      </c>
      <c r="AL28" s="318">
        <f t="shared" si="7"/>
        <v>5</v>
      </c>
      <c r="AM28" s="318">
        <f t="shared" si="21"/>
        <v>0</v>
      </c>
      <c r="AN28" s="584">
        <f t="shared" ref="AN28:AP28" si="95">AN27</f>
        <v>67</v>
      </c>
      <c r="AO28" s="320">
        <f t="shared" ref="AO28:AO32" si="96">(AN28/100)*3000</f>
        <v>2010.0000000000002</v>
      </c>
      <c r="AP28" s="584">
        <f t="shared" si="95"/>
        <v>55</v>
      </c>
      <c r="AQ28" s="320">
        <f t="shared" si="89"/>
        <v>1650.0000000000002</v>
      </c>
      <c r="AR28" s="584">
        <f t="shared" ref="AR28" si="97">AR27</f>
        <v>61</v>
      </c>
      <c r="AS28" s="320">
        <f t="shared" si="38"/>
        <v>1830</v>
      </c>
      <c r="AT28" s="320">
        <f t="shared" si="87"/>
        <v>5490</v>
      </c>
      <c r="AU28" s="320">
        <f t="shared" si="40"/>
        <v>0</v>
      </c>
      <c r="AV28" s="269"/>
      <c r="AW28" s="269"/>
      <c r="AX28" s="313">
        <f t="shared" si="26"/>
        <v>0.8</v>
      </c>
    </row>
    <row r="29" spans="1:50">
      <c r="A29" s="63">
        <f>ELEC!C27</f>
        <v>44280</v>
      </c>
      <c r="B29" s="64">
        <v>197</v>
      </c>
      <c r="C29" s="64">
        <v>204</v>
      </c>
      <c r="D29" s="45">
        <f t="shared" si="73"/>
        <v>10</v>
      </c>
      <c r="E29" s="45">
        <f t="shared" si="8"/>
        <v>83.800000000000011</v>
      </c>
      <c r="F29" s="584">
        <v>1786</v>
      </c>
      <c r="G29" s="52">
        <f t="shared" si="0"/>
        <v>3</v>
      </c>
      <c r="H29" s="584">
        <v>9238</v>
      </c>
      <c r="I29" s="396">
        <f t="shared" si="1"/>
        <v>268</v>
      </c>
      <c r="J29" s="66">
        <f t="shared" si="9"/>
        <v>89.333333333333329</v>
      </c>
      <c r="K29" s="584">
        <f t="shared" si="41"/>
        <v>2275</v>
      </c>
      <c r="L29" s="52">
        <f t="shared" si="10"/>
        <v>0</v>
      </c>
      <c r="M29" s="584">
        <f t="shared" si="42"/>
        <v>167497</v>
      </c>
      <c r="N29" s="396">
        <f t="shared" si="2"/>
        <v>0</v>
      </c>
      <c r="O29" s="64">
        <f t="shared" si="11"/>
        <v>1869</v>
      </c>
      <c r="P29" s="584">
        <v>2035</v>
      </c>
      <c r="Q29" s="584">
        <v>171554</v>
      </c>
      <c r="R29" s="395">
        <f t="shared" si="50"/>
        <v>180</v>
      </c>
      <c r="S29" s="52">
        <f t="shared" si="4"/>
        <v>3</v>
      </c>
      <c r="T29" s="67">
        <f t="shared" si="30"/>
        <v>0</v>
      </c>
      <c r="U29" s="402">
        <f t="shared" si="12"/>
        <v>6</v>
      </c>
      <c r="V29" s="62">
        <f t="shared" si="13"/>
        <v>448</v>
      </c>
      <c r="W29" s="400"/>
      <c r="X29" s="584">
        <f t="shared" si="31"/>
        <v>2462</v>
      </c>
      <c r="Y29" s="52">
        <f t="shared" si="15"/>
        <v>0</v>
      </c>
      <c r="Z29" s="584">
        <f t="shared" si="32"/>
        <v>138490</v>
      </c>
      <c r="AA29" s="65">
        <f t="shared" si="5"/>
        <v>0</v>
      </c>
      <c r="AB29" s="284">
        <f t="shared" si="84"/>
        <v>0</v>
      </c>
      <c r="AC29" s="584">
        <f t="shared" si="16"/>
        <v>1936</v>
      </c>
      <c r="AD29" s="45">
        <f t="shared" si="6"/>
        <v>0</v>
      </c>
      <c r="AE29" s="584">
        <f t="shared" si="17"/>
        <v>365520.8</v>
      </c>
      <c r="AF29" s="306">
        <f t="shared" si="18"/>
        <v>0</v>
      </c>
      <c r="AG29" s="209">
        <f t="shared" si="34"/>
        <v>0</v>
      </c>
      <c r="AH29" s="62">
        <f t="shared" si="35"/>
        <v>0</v>
      </c>
      <c r="AI29" s="318">
        <f t="shared" si="19"/>
        <v>448</v>
      </c>
      <c r="AJ29" s="318">
        <f>-tanks!AW30</f>
        <v>448</v>
      </c>
      <c r="AK29" s="318">
        <f t="shared" si="20"/>
        <v>0</v>
      </c>
      <c r="AL29" s="318">
        <f t="shared" si="7"/>
        <v>6</v>
      </c>
      <c r="AM29" s="318">
        <f t="shared" si="21"/>
        <v>0</v>
      </c>
      <c r="AN29" s="584">
        <f t="shared" ref="AN29:AP29" si="98">AN28</f>
        <v>67</v>
      </c>
      <c r="AO29" s="320">
        <f t="shared" si="96"/>
        <v>2010.0000000000002</v>
      </c>
      <c r="AP29" s="584">
        <f t="shared" si="98"/>
        <v>55</v>
      </c>
      <c r="AQ29" s="320">
        <f t="shared" si="89"/>
        <v>1650.0000000000002</v>
      </c>
      <c r="AR29" s="584">
        <f t="shared" ref="AR29" si="99">AR28</f>
        <v>61</v>
      </c>
      <c r="AS29" s="320">
        <f t="shared" si="38"/>
        <v>1830</v>
      </c>
      <c r="AT29" s="320">
        <f>SUM(AO29+AQ29+AS29)</f>
        <v>5490</v>
      </c>
      <c r="AU29" s="320">
        <f>AT28-AT29+AV29</f>
        <v>0</v>
      </c>
      <c r="AV29" s="269"/>
      <c r="AW29" s="269"/>
      <c r="AX29" s="313">
        <f t="shared" si="26"/>
        <v>0.8</v>
      </c>
    </row>
    <row r="30" spans="1:50">
      <c r="A30" s="63">
        <f>ELEC!C28</f>
        <v>44281</v>
      </c>
      <c r="B30" s="64">
        <v>187.5</v>
      </c>
      <c r="C30" s="64">
        <v>193.5</v>
      </c>
      <c r="D30" s="45">
        <f t="shared" si="73"/>
        <v>10.5</v>
      </c>
      <c r="E30" s="45">
        <f t="shared" si="8"/>
        <v>87.990000000000009</v>
      </c>
      <c r="F30" s="584">
        <v>1788</v>
      </c>
      <c r="G30" s="52">
        <f t="shared" si="0"/>
        <v>2</v>
      </c>
      <c r="H30" s="584">
        <v>9368</v>
      </c>
      <c r="I30" s="396">
        <f t="shared" si="1"/>
        <v>130</v>
      </c>
      <c r="J30" s="66">
        <f t="shared" si="9"/>
        <v>65</v>
      </c>
      <c r="K30" s="584">
        <v>2279</v>
      </c>
      <c r="L30" s="52">
        <f t="shared" si="10"/>
        <v>4</v>
      </c>
      <c r="M30" s="584">
        <v>167792</v>
      </c>
      <c r="N30" s="396">
        <f t="shared" si="2"/>
        <v>295</v>
      </c>
      <c r="O30" s="64">
        <f t="shared" si="11"/>
        <v>1869</v>
      </c>
      <c r="P30" s="584">
        <f t="shared" si="65"/>
        <v>2035</v>
      </c>
      <c r="Q30" s="584">
        <f t="shared" si="49"/>
        <v>171554</v>
      </c>
      <c r="R30" s="395">
        <f t="shared" si="50"/>
        <v>0</v>
      </c>
      <c r="S30" s="52">
        <f t="shared" si="4"/>
        <v>0</v>
      </c>
      <c r="T30" s="67">
        <f t="shared" si="30"/>
        <v>0</v>
      </c>
      <c r="U30" s="402">
        <f t="shared" si="12"/>
        <v>6</v>
      </c>
      <c r="V30" s="62">
        <f t="shared" si="13"/>
        <v>425</v>
      </c>
      <c r="W30" s="400"/>
      <c r="X30" s="584">
        <f t="shared" si="31"/>
        <v>2462</v>
      </c>
      <c r="Y30" s="52">
        <f t="shared" si="15"/>
        <v>0</v>
      </c>
      <c r="Z30" s="584">
        <f t="shared" si="32"/>
        <v>138490</v>
      </c>
      <c r="AA30" s="65">
        <f t="shared" si="5"/>
        <v>0</v>
      </c>
      <c r="AB30" s="284">
        <f t="shared" si="84"/>
        <v>0</v>
      </c>
      <c r="AC30" s="584">
        <f t="shared" si="16"/>
        <v>1936</v>
      </c>
      <c r="AD30" s="45">
        <f t="shared" si="6"/>
        <v>0</v>
      </c>
      <c r="AE30" s="584">
        <f t="shared" si="17"/>
        <v>365520.8</v>
      </c>
      <c r="AF30" s="306">
        <f t="shared" si="18"/>
        <v>0</v>
      </c>
      <c r="AG30" s="209">
        <f t="shared" si="34"/>
        <v>0</v>
      </c>
      <c r="AH30" s="62">
        <f t="shared" si="35"/>
        <v>0</v>
      </c>
      <c r="AI30" s="318">
        <f t="shared" si="19"/>
        <v>425</v>
      </c>
      <c r="AJ30" s="318">
        <f>-tanks!AW31</f>
        <v>425</v>
      </c>
      <c r="AK30" s="318">
        <f t="shared" si="20"/>
        <v>0</v>
      </c>
      <c r="AL30" s="318">
        <f t="shared" si="7"/>
        <v>6</v>
      </c>
      <c r="AM30" s="318">
        <f t="shared" si="21"/>
        <v>0</v>
      </c>
      <c r="AN30" s="584">
        <f t="shared" ref="AN30:AP30" si="100">AN29</f>
        <v>67</v>
      </c>
      <c r="AO30" s="320">
        <f t="shared" si="96"/>
        <v>2010.0000000000002</v>
      </c>
      <c r="AP30" s="584">
        <f t="shared" si="100"/>
        <v>55</v>
      </c>
      <c r="AQ30" s="320">
        <f t="shared" si="89"/>
        <v>1650.0000000000002</v>
      </c>
      <c r="AR30" s="584">
        <f t="shared" ref="AR30" si="101">AR29</f>
        <v>61</v>
      </c>
      <c r="AS30" s="320">
        <f t="shared" si="38"/>
        <v>1830</v>
      </c>
      <c r="AT30" s="320">
        <f t="shared" si="87"/>
        <v>5490</v>
      </c>
      <c r="AU30" s="320">
        <f t="shared" si="40"/>
        <v>0</v>
      </c>
      <c r="AV30" s="269"/>
      <c r="AW30" s="269"/>
      <c r="AX30" s="313">
        <f t="shared" si="26"/>
        <v>0.8</v>
      </c>
    </row>
    <row r="31" spans="1:50">
      <c r="A31" s="63">
        <f>ELEC!C29</f>
        <v>44282</v>
      </c>
      <c r="B31" s="64">
        <v>177</v>
      </c>
      <c r="C31" s="64">
        <v>179</v>
      </c>
      <c r="D31" s="45">
        <f t="shared" si="73"/>
        <v>14.5</v>
      </c>
      <c r="E31" s="45">
        <f t="shared" si="8"/>
        <v>121.51</v>
      </c>
      <c r="F31" s="584">
        <f t="shared" si="28"/>
        <v>1788</v>
      </c>
      <c r="G31" s="52">
        <f t="shared" si="0"/>
        <v>0</v>
      </c>
      <c r="H31" s="584">
        <f t="shared" si="29"/>
        <v>9368</v>
      </c>
      <c r="I31" s="396">
        <f t="shared" si="1"/>
        <v>0</v>
      </c>
      <c r="J31" s="66">
        <f t="shared" si="9"/>
        <v>0</v>
      </c>
      <c r="K31" s="584">
        <v>2281</v>
      </c>
      <c r="L31" s="52">
        <f t="shared" si="10"/>
        <v>2</v>
      </c>
      <c r="M31" s="584">
        <v>167922</v>
      </c>
      <c r="N31" s="396">
        <f t="shared" si="2"/>
        <v>130</v>
      </c>
      <c r="O31" s="64">
        <f t="shared" si="11"/>
        <v>1869</v>
      </c>
      <c r="P31" s="584">
        <v>2039</v>
      </c>
      <c r="Q31" s="584">
        <v>171907</v>
      </c>
      <c r="R31" s="395">
        <f t="shared" si="50"/>
        <v>353</v>
      </c>
      <c r="S31" s="52">
        <f t="shared" si="4"/>
        <v>4</v>
      </c>
      <c r="T31" s="67">
        <f t="shared" si="30"/>
        <v>0</v>
      </c>
      <c r="U31" s="402">
        <f t="shared" si="12"/>
        <v>6</v>
      </c>
      <c r="V31" s="62">
        <f t="shared" si="13"/>
        <v>483</v>
      </c>
      <c r="W31" s="400"/>
      <c r="X31" s="584">
        <f t="shared" si="31"/>
        <v>2462</v>
      </c>
      <c r="Y31" s="52">
        <f t="shared" si="15"/>
        <v>0</v>
      </c>
      <c r="Z31" s="584">
        <f t="shared" si="32"/>
        <v>138490</v>
      </c>
      <c r="AA31" s="65">
        <f t="shared" si="5"/>
        <v>0</v>
      </c>
      <c r="AB31" s="284">
        <f t="shared" si="84"/>
        <v>0</v>
      </c>
      <c r="AC31" s="584">
        <f t="shared" si="16"/>
        <v>1936</v>
      </c>
      <c r="AD31" s="269">
        <f t="shared" si="6"/>
        <v>0</v>
      </c>
      <c r="AE31" s="584">
        <f t="shared" si="17"/>
        <v>365520.8</v>
      </c>
      <c r="AF31" s="306">
        <f t="shared" si="18"/>
        <v>0</v>
      </c>
      <c r="AG31" s="209">
        <f t="shared" si="34"/>
        <v>0</v>
      </c>
      <c r="AH31" s="62">
        <f t="shared" si="35"/>
        <v>0</v>
      </c>
      <c r="AI31" s="318">
        <f t="shared" si="19"/>
        <v>483</v>
      </c>
      <c r="AJ31" s="318">
        <f>-tanks!AW32</f>
        <v>483</v>
      </c>
      <c r="AK31" s="318">
        <f t="shared" si="20"/>
        <v>0</v>
      </c>
      <c r="AL31" s="318">
        <f t="shared" si="7"/>
        <v>6</v>
      </c>
      <c r="AM31" s="318">
        <f t="shared" si="21"/>
        <v>0</v>
      </c>
      <c r="AN31" s="584">
        <f t="shared" ref="AN31:AP31" si="102">AN30</f>
        <v>67</v>
      </c>
      <c r="AO31" s="320">
        <f t="shared" si="96"/>
        <v>2010.0000000000002</v>
      </c>
      <c r="AP31" s="584">
        <f t="shared" si="102"/>
        <v>55</v>
      </c>
      <c r="AQ31" s="320">
        <f t="shared" si="89"/>
        <v>1650.0000000000002</v>
      </c>
      <c r="AR31" s="584">
        <f t="shared" ref="AR31" si="103">AR30</f>
        <v>61</v>
      </c>
      <c r="AS31" s="320">
        <f t="shared" si="38"/>
        <v>1830</v>
      </c>
      <c r="AT31" s="320">
        <f t="shared" si="87"/>
        <v>5490</v>
      </c>
      <c r="AU31" s="320">
        <f t="shared" si="40"/>
        <v>0</v>
      </c>
      <c r="AV31" s="269"/>
      <c r="AW31" s="269"/>
      <c r="AX31" s="313">
        <f t="shared" si="26"/>
        <v>0.8</v>
      </c>
    </row>
    <row r="32" spans="1:50">
      <c r="A32" s="63">
        <f>ELEC!C30</f>
        <v>44283</v>
      </c>
      <c r="B32" s="64">
        <v>169</v>
      </c>
      <c r="C32" s="64">
        <v>176</v>
      </c>
      <c r="D32" s="45">
        <f t="shared" si="27"/>
        <v>3</v>
      </c>
      <c r="E32" s="45">
        <f t="shared" ref="E32" si="104">D32*8.38</f>
        <v>25.14</v>
      </c>
      <c r="F32" s="584">
        <v>1791</v>
      </c>
      <c r="G32" s="52">
        <f t="shared" si="0"/>
        <v>3</v>
      </c>
      <c r="H32" s="584">
        <v>9567</v>
      </c>
      <c r="I32" s="396">
        <f t="shared" si="1"/>
        <v>199</v>
      </c>
      <c r="J32" s="66">
        <f t="shared" si="9"/>
        <v>66.333333333333329</v>
      </c>
      <c r="K32" s="584">
        <f t="shared" si="41"/>
        <v>2281</v>
      </c>
      <c r="L32" s="52">
        <f t="shared" si="10"/>
        <v>0</v>
      </c>
      <c r="M32" s="584">
        <f t="shared" si="42"/>
        <v>167922</v>
      </c>
      <c r="N32" s="396">
        <f t="shared" si="2"/>
        <v>0</v>
      </c>
      <c r="O32" s="64">
        <f t="shared" si="11"/>
        <v>1869</v>
      </c>
      <c r="P32" s="584">
        <v>2041</v>
      </c>
      <c r="Q32" s="584">
        <v>172020</v>
      </c>
      <c r="R32" s="395">
        <f t="shared" si="50"/>
        <v>113</v>
      </c>
      <c r="S32" s="52">
        <f t="shared" si="4"/>
        <v>2</v>
      </c>
      <c r="T32" s="67">
        <f t="shared" si="30"/>
        <v>0</v>
      </c>
      <c r="U32" s="402">
        <f t="shared" si="12"/>
        <v>5</v>
      </c>
      <c r="V32" s="62">
        <f t="shared" si="13"/>
        <v>312</v>
      </c>
      <c r="W32" s="400"/>
      <c r="X32" s="584">
        <f t="shared" si="31"/>
        <v>2462</v>
      </c>
      <c r="Y32" s="52">
        <f t="shared" si="15"/>
        <v>0</v>
      </c>
      <c r="Z32" s="584">
        <f t="shared" si="32"/>
        <v>138490</v>
      </c>
      <c r="AA32" s="65">
        <f t="shared" si="5"/>
        <v>0</v>
      </c>
      <c r="AB32" s="284">
        <f t="shared" si="84"/>
        <v>0</v>
      </c>
      <c r="AC32" s="584">
        <f t="shared" si="16"/>
        <v>1936</v>
      </c>
      <c r="AD32" s="269">
        <f t="shared" si="6"/>
        <v>0</v>
      </c>
      <c r="AE32" s="584">
        <f t="shared" si="17"/>
        <v>365520.8</v>
      </c>
      <c r="AF32" s="306">
        <f t="shared" si="18"/>
        <v>0</v>
      </c>
      <c r="AG32" s="209">
        <f t="shared" si="34"/>
        <v>0</v>
      </c>
      <c r="AH32" s="62">
        <f t="shared" si="35"/>
        <v>0</v>
      </c>
      <c r="AI32" s="318">
        <f t="shared" si="19"/>
        <v>312</v>
      </c>
      <c r="AJ32" s="318">
        <f>-tanks!AW33</f>
        <v>312</v>
      </c>
      <c r="AK32" s="318">
        <f t="shared" si="20"/>
        <v>0</v>
      </c>
      <c r="AL32" s="318">
        <f t="shared" si="7"/>
        <v>5</v>
      </c>
      <c r="AM32" s="318">
        <f t="shared" si="21"/>
        <v>0</v>
      </c>
      <c r="AN32" s="584">
        <f t="shared" ref="AN32:AP32" si="105">AN31</f>
        <v>67</v>
      </c>
      <c r="AO32" s="320">
        <f t="shared" si="96"/>
        <v>2010.0000000000002</v>
      </c>
      <c r="AP32" s="584">
        <f t="shared" si="105"/>
        <v>55</v>
      </c>
      <c r="AQ32" s="320">
        <f t="shared" si="89"/>
        <v>1650.0000000000002</v>
      </c>
      <c r="AR32" s="584">
        <f t="shared" ref="AR32:AR35" si="106">AR31</f>
        <v>61</v>
      </c>
      <c r="AS32" s="320">
        <f t="shared" si="38"/>
        <v>1830</v>
      </c>
      <c r="AT32" s="320">
        <f t="shared" si="87"/>
        <v>5490</v>
      </c>
      <c r="AU32" s="320">
        <f t="shared" si="40"/>
        <v>0</v>
      </c>
      <c r="AV32" s="269"/>
      <c r="AW32" s="269"/>
      <c r="AX32" s="313">
        <f t="shared" si="26"/>
        <v>0.8</v>
      </c>
    </row>
    <row r="33" spans="1:50">
      <c r="A33" s="63">
        <f>ELEC!C31</f>
        <v>44284</v>
      </c>
      <c r="B33" s="64">
        <v>193</v>
      </c>
      <c r="C33" s="64">
        <v>201</v>
      </c>
      <c r="D33" s="45">
        <f t="shared" ref="D33:D35" si="107">C32-C33</f>
        <v>-25</v>
      </c>
      <c r="E33" s="45">
        <f t="shared" ref="E33:E35" si="108">D33*8.38</f>
        <v>-209.50000000000003</v>
      </c>
      <c r="F33" s="584">
        <v>1792</v>
      </c>
      <c r="G33" s="52">
        <f t="shared" ref="G33:G35" si="109">F33-F32</f>
        <v>1</v>
      </c>
      <c r="H33" s="584">
        <v>9682</v>
      </c>
      <c r="I33" s="396">
        <f t="shared" ref="I33:I35" si="110">SUM(H33-H32)</f>
        <v>115</v>
      </c>
      <c r="J33" s="66">
        <f t="shared" ref="J33:J35" si="111">IF(G33&gt;0,I33/G33,0)</f>
        <v>115</v>
      </c>
      <c r="K33" s="584">
        <v>2284</v>
      </c>
      <c r="L33" s="52">
        <f t="shared" ref="L33:L35" si="112">K33-K32</f>
        <v>3</v>
      </c>
      <c r="M33" s="584">
        <v>168159</v>
      </c>
      <c r="N33" s="396">
        <f t="shared" ref="N33:N35" si="113">M33-M32</f>
        <v>237</v>
      </c>
      <c r="O33" s="64">
        <f t="shared" ref="O33" si="114">O32</f>
        <v>1869</v>
      </c>
      <c r="P33" s="584">
        <f t="shared" si="65"/>
        <v>2041</v>
      </c>
      <c r="Q33" s="584">
        <f t="shared" si="49"/>
        <v>172020</v>
      </c>
      <c r="R33" s="395">
        <f t="shared" ref="R33:R35" si="115">Q33-Q32</f>
        <v>0</v>
      </c>
      <c r="S33" s="52">
        <f t="shared" ref="S33:S35" si="116">SUM(P33-P32)</f>
        <v>0</v>
      </c>
      <c r="T33" s="67">
        <f t="shared" ref="T33:T35" si="117">SUM(S33*$T$2)</f>
        <v>0</v>
      </c>
      <c r="U33" s="402">
        <f t="shared" ref="U33:U35" si="118">SUM(G33+L33+S33)</f>
        <v>4</v>
      </c>
      <c r="V33" s="62">
        <f t="shared" ref="V33:V35" si="119">R33+N33+I33:I33</f>
        <v>352</v>
      </c>
      <c r="W33" s="400"/>
      <c r="X33" s="584">
        <v>2463</v>
      </c>
      <c r="Y33" s="52">
        <f t="shared" ref="Y33:Y35" si="120">X33-X32</f>
        <v>1</v>
      </c>
      <c r="Z33" s="584">
        <v>138550</v>
      </c>
      <c r="AA33" s="65">
        <f t="shared" ref="AA33:AA35" si="121">Z33-Z32</f>
        <v>60</v>
      </c>
      <c r="AB33" s="284">
        <f t="shared" ref="AB33:AB35" si="122">SUM(Y33*$AB$2)</f>
        <v>0</v>
      </c>
      <c r="AC33" s="584">
        <f t="shared" si="16"/>
        <v>1936</v>
      </c>
      <c r="AD33" s="269">
        <f t="shared" ref="AD33:AD35" si="123">AC33-AC32</f>
        <v>0</v>
      </c>
      <c r="AE33" s="584">
        <f t="shared" si="17"/>
        <v>365520.8</v>
      </c>
      <c r="AF33" s="306">
        <f t="shared" ref="AF33:AF35" si="124">AE33-AE32</f>
        <v>0</v>
      </c>
      <c r="AG33" s="209">
        <f t="shared" ref="AG33:AG35" si="125">IF(AD33&gt;0,AF33/AD33,0)</f>
        <v>0</v>
      </c>
      <c r="AH33" s="62">
        <f t="shared" ref="AH33:AH35" si="126">AF33+AA33</f>
        <v>60</v>
      </c>
      <c r="AI33" s="318">
        <f t="shared" ref="AI33:AI35" si="127">SUM(AH33+V33)</f>
        <v>412</v>
      </c>
      <c r="AJ33" s="318">
        <f>-tanks!AW34</f>
        <v>412</v>
      </c>
      <c r="AK33" s="318">
        <f t="shared" ref="AK33:AK35" si="128">SUM(AJ33-AI33)</f>
        <v>0</v>
      </c>
      <c r="AL33" s="318">
        <f t="shared" ref="AL33:AL35" si="129">S33+L33+G33</f>
        <v>4</v>
      </c>
      <c r="AM33" s="318">
        <f t="shared" ref="AM33:AM35" si="130">Y33+AD33</f>
        <v>1</v>
      </c>
      <c r="AN33" s="584">
        <f t="shared" ref="AN33" si="131">AN32</f>
        <v>67</v>
      </c>
      <c r="AO33" s="320">
        <f t="shared" ref="AO33:AO35" si="132">(AN33/100)*3000</f>
        <v>2010.0000000000002</v>
      </c>
      <c r="AP33" s="584">
        <f t="shared" ref="AP33" si="133">AP32</f>
        <v>55</v>
      </c>
      <c r="AQ33" s="320">
        <f t="shared" ref="AQ33:AQ35" si="134">(AP33/100)*3000</f>
        <v>1650.0000000000002</v>
      </c>
      <c r="AR33" s="584">
        <f t="shared" si="106"/>
        <v>61</v>
      </c>
      <c r="AS33" s="320">
        <f t="shared" ref="AS33:AS35" si="135">(AR33/100)*3000</f>
        <v>1830</v>
      </c>
      <c r="AT33" s="320">
        <f t="shared" ref="AT33:AT35" si="136">SUM(AO33+AQ33+AS33)</f>
        <v>5490</v>
      </c>
      <c r="AU33" s="320">
        <f t="shared" ref="AU33:AU35" si="137">AT32-AT33+AV33</f>
        <v>0</v>
      </c>
      <c r="AV33" s="269"/>
      <c r="AW33" s="269"/>
      <c r="AX33" s="313">
        <f t="shared" ref="AX33:AX35" si="138">IF(AV33&gt;0,AW33,AX32)</f>
        <v>0.8</v>
      </c>
    </row>
    <row r="34" spans="1:50">
      <c r="A34" s="63">
        <f>ELEC!C32</f>
        <v>44285</v>
      </c>
      <c r="B34" s="64">
        <v>229</v>
      </c>
      <c r="C34" s="64">
        <v>235</v>
      </c>
      <c r="D34" s="45">
        <f t="shared" si="107"/>
        <v>-34</v>
      </c>
      <c r="E34" s="45">
        <f t="shared" si="108"/>
        <v>-284.92</v>
      </c>
      <c r="F34" s="584">
        <f t="shared" si="28"/>
        <v>1792</v>
      </c>
      <c r="G34" s="52">
        <f t="shared" si="109"/>
        <v>0</v>
      </c>
      <c r="H34" s="584">
        <f t="shared" si="29"/>
        <v>9682</v>
      </c>
      <c r="I34" s="396">
        <f t="shared" si="110"/>
        <v>0</v>
      </c>
      <c r="J34" s="66">
        <f t="shared" si="111"/>
        <v>0</v>
      </c>
      <c r="K34" s="584">
        <v>2285</v>
      </c>
      <c r="L34" s="52">
        <f t="shared" si="112"/>
        <v>1</v>
      </c>
      <c r="M34" s="584">
        <v>168295</v>
      </c>
      <c r="N34" s="396">
        <f t="shared" si="113"/>
        <v>136</v>
      </c>
      <c r="O34" s="64">
        <f t="shared" ref="O34" si="139">O33</f>
        <v>1869</v>
      </c>
      <c r="P34" s="584">
        <v>2044</v>
      </c>
      <c r="Q34" s="584">
        <v>172247</v>
      </c>
      <c r="R34" s="395">
        <f t="shared" si="115"/>
        <v>227</v>
      </c>
      <c r="S34" s="52">
        <f t="shared" si="116"/>
        <v>3</v>
      </c>
      <c r="T34" s="67">
        <f t="shared" si="117"/>
        <v>0</v>
      </c>
      <c r="U34" s="402">
        <f t="shared" si="118"/>
        <v>4</v>
      </c>
      <c r="V34" s="62">
        <f t="shared" si="119"/>
        <v>363</v>
      </c>
      <c r="W34" s="400"/>
      <c r="X34" s="584">
        <f t="shared" si="31"/>
        <v>2463</v>
      </c>
      <c r="Y34" s="52">
        <f t="shared" si="120"/>
        <v>0</v>
      </c>
      <c r="Z34" s="584">
        <f t="shared" si="32"/>
        <v>138550</v>
      </c>
      <c r="AA34" s="65">
        <f t="shared" si="121"/>
        <v>0</v>
      </c>
      <c r="AB34" s="284">
        <f t="shared" si="122"/>
        <v>0</v>
      </c>
      <c r="AC34" s="584">
        <f t="shared" si="16"/>
        <v>1936</v>
      </c>
      <c r="AD34" s="269">
        <f t="shared" si="123"/>
        <v>0</v>
      </c>
      <c r="AE34" s="584">
        <f t="shared" si="17"/>
        <v>365520.8</v>
      </c>
      <c r="AF34" s="306">
        <f t="shared" si="124"/>
        <v>0</v>
      </c>
      <c r="AG34" s="209">
        <f t="shared" si="125"/>
        <v>0</v>
      </c>
      <c r="AH34" s="62">
        <f t="shared" si="126"/>
        <v>0</v>
      </c>
      <c r="AI34" s="318">
        <f t="shared" si="127"/>
        <v>363</v>
      </c>
      <c r="AJ34" s="318">
        <f>-tanks!AW35</f>
        <v>363</v>
      </c>
      <c r="AK34" s="318">
        <f t="shared" si="128"/>
        <v>0</v>
      </c>
      <c r="AL34" s="318">
        <f t="shared" si="129"/>
        <v>4</v>
      </c>
      <c r="AM34" s="318">
        <f t="shared" si="130"/>
        <v>0</v>
      </c>
      <c r="AN34" s="584">
        <f t="shared" ref="AN34" si="140">AN33</f>
        <v>67</v>
      </c>
      <c r="AO34" s="320">
        <f t="shared" si="132"/>
        <v>2010.0000000000002</v>
      </c>
      <c r="AP34" s="584">
        <f t="shared" ref="AP34" si="141">AP33</f>
        <v>55</v>
      </c>
      <c r="AQ34" s="320">
        <f t="shared" si="134"/>
        <v>1650.0000000000002</v>
      </c>
      <c r="AR34" s="584">
        <f t="shared" si="106"/>
        <v>61</v>
      </c>
      <c r="AS34" s="320">
        <f t="shared" si="135"/>
        <v>1830</v>
      </c>
      <c r="AT34" s="320">
        <f t="shared" si="136"/>
        <v>5490</v>
      </c>
      <c r="AU34" s="320">
        <f t="shared" si="137"/>
        <v>0</v>
      </c>
      <c r="AV34" s="269"/>
      <c r="AW34" s="269"/>
      <c r="AX34" s="313">
        <f t="shared" si="138"/>
        <v>0.8</v>
      </c>
    </row>
    <row r="35" spans="1:50">
      <c r="A35" s="63">
        <f>ELEC!C33</f>
        <v>44286</v>
      </c>
      <c r="B35" s="64">
        <v>216</v>
      </c>
      <c r="C35" s="64">
        <v>223</v>
      </c>
      <c r="D35" s="45">
        <f t="shared" si="107"/>
        <v>12</v>
      </c>
      <c r="E35" s="45">
        <f t="shared" si="108"/>
        <v>100.56</v>
      </c>
      <c r="F35" s="584">
        <v>1795</v>
      </c>
      <c r="G35" s="52">
        <f t="shared" si="109"/>
        <v>3</v>
      </c>
      <c r="H35" s="584">
        <v>9885</v>
      </c>
      <c r="I35" s="396">
        <f t="shared" si="110"/>
        <v>203</v>
      </c>
      <c r="J35" s="66">
        <f t="shared" si="111"/>
        <v>67.666666666666671</v>
      </c>
      <c r="K35" s="584">
        <f t="shared" si="41"/>
        <v>2285</v>
      </c>
      <c r="L35" s="52">
        <f t="shared" si="112"/>
        <v>0</v>
      </c>
      <c r="M35" s="584">
        <f t="shared" si="42"/>
        <v>168295</v>
      </c>
      <c r="N35" s="396">
        <f t="shared" si="113"/>
        <v>0</v>
      </c>
      <c r="O35" s="64">
        <f t="shared" ref="O35" si="142">O34</f>
        <v>1869</v>
      </c>
      <c r="P35" s="584">
        <v>2046</v>
      </c>
      <c r="Q35" s="584">
        <v>172429</v>
      </c>
      <c r="R35" s="395">
        <f t="shared" si="115"/>
        <v>182</v>
      </c>
      <c r="S35" s="52">
        <f t="shared" si="116"/>
        <v>2</v>
      </c>
      <c r="T35" s="67">
        <f t="shared" si="117"/>
        <v>0</v>
      </c>
      <c r="U35" s="402">
        <f t="shared" si="118"/>
        <v>5</v>
      </c>
      <c r="V35" s="62">
        <f t="shared" si="119"/>
        <v>385</v>
      </c>
      <c r="W35" s="400"/>
      <c r="X35" s="584">
        <f t="shared" si="31"/>
        <v>2463</v>
      </c>
      <c r="Y35" s="52">
        <f t="shared" si="120"/>
        <v>0</v>
      </c>
      <c r="Z35" s="584">
        <f t="shared" si="32"/>
        <v>138550</v>
      </c>
      <c r="AA35" s="65">
        <f t="shared" si="121"/>
        <v>0</v>
      </c>
      <c r="AB35" s="284">
        <f t="shared" si="122"/>
        <v>0</v>
      </c>
      <c r="AC35" s="584">
        <f t="shared" si="16"/>
        <v>1936</v>
      </c>
      <c r="AD35" s="269">
        <f t="shared" si="123"/>
        <v>0</v>
      </c>
      <c r="AE35" s="584">
        <f t="shared" si="17"/>
        <v>365520.8</v>
      </c>
      <c r="AF35" s="306">
        <f t="shared" si="124"/>
        <v>0</v>
      </c>
      <c r="AG35" s="209">
        <f t="shared" si="125"/>
        <v>0</v>
      </c>
      <c r="AH35" s="62">
        <f t="shared" si="126"/>
        <v>0</v>
      </c>
      <c r="AI35" s="318">
        <f t="shared" si="127"/>
        <v>385</v>
      </c>
      <c r="AJ35" s="318">
        <f>-tanks!AW36</f>
        <v>385</v>
      </c>
      <c r="AK35" s="318">
        <f t="shared" si="128"/>
        <v>0</v>
      </c>
      <c r="AL35" s="318">
        <f t="shared" si="129"/>
        <v>5</v>
      </c>
      <c r="AM35" s="318">
        <f t="shared" si="130"/>
        <v>0</v>
      </c>
      <c r="AN35" s="584">
        <f t="shared" ref="AN35" si="143">AN34</f>
        <v>67</v>
      </c>
      <c r="AO35" s="320">
        <f t="shared" si="132"/>
        <v>2010.0000000000002</v>
      </c>
      <c r="AP35" s="584">
        <f t="shared" ref="AP35" si="144">AP34</f>
        <v>55</v>
      </c>
      <c r="AQ35" s="320">
        <f t="shared" si="134"/>
        <v>1650.0000000000002</v>
      </c>
      <c r="AR35" s="584">
        <f t="shared" si="106"/>
        <v>61</v>
      </c>
      <c r="AS35" s="320">
        <f t="shared" si="135"/>
        <v>1830</v>
      </c>
      <c r="AT35" s="320">
        <f t="shared" si="136"/>
        <v>5490</v>
      </c>
      <c r="AU35" s="320">
        <f t="shared" si="137"/>
        <v>0</v>
      </c>
      <c r="AV35" s="269"/>
      <c r="AW35" s="269"/>
      <c r="AX35" s="313">
        <f t="shared" si="138"/>
        <v>0.8</v>
      </c>
    </row>
    <row r="36" spans="1:50">
      <c r="A36" s="63"/>
      <c r="B36" s="64"/>
      <c r="C36" s="64"/>
      <c r="D36" s="45"/>
      <c r="E36" s="45"/>
      <c r="F36" s="584"/>
      <c r="G36" s="52"/>
      <c r="H36" s="584"/>
      <c r="I36" s="396"/>
      <c r="J36" s="66"/>
      <c r="K36" s="584"/>
      <c r="L36" s="52"/>
      <c r="M36" s="584"/>
      <c r="N36" s="396"/>
      <c r="O36" s="64"/>
      <c r="P36" s="584"/>
      <c r="Q36" s="584"/>
      <c r="R36" s="395"/>
      <c r="S36" s="52"/>
      <c r="T36" s="67"/>
      <c r="U36" s="402"/>
      <c r="V36" s="62"/>
      <c r="W36" s="400"/>
      <c r="X36" s="584"/>
      <c r="Y36" s="52"/>
      <c r="Z36" s="584"/>
      <c r="AA36" s="65"/>
      <c r="AB36" s="284"/>
      <c r="AC36" s="584"/>
      <c r="AD36" s="269"/>
      <c r="AE36" s="584"/>
      <c r="AF36" s="306"/>
      <c r="AG36" s="209"/>
      <c r="AH36" s="62"/>
      <c r="AI36" s="318"/>
      <c r="AJ36" s="318"/>
      <c r="AK36" s="318"/>
      <c r="AL36" s="318"/>
      <c r="AM36" s="318"/>
      <c r="AN36" s="584"/>
      <c r="AO36" s="320"/>
      <c r="AP36" s="584"/>
      <c r="AQ36" s="320"/>
      <c r="AR36" s="584"/>
      <c r="AS36" s="320"/>
      <c r="AT36" s="320"/>
      <c r="AU36" s="320"/>
      <c r="AV36" s="269"/>
      <c r="AW36" s="269"/>
    </row>
    <row r="37" spans="1:50">
      <c r="J37" s="283">
        <f>SUM(J5:J32)/(COUNT(J5:J32)-COUNTIF(J5:J32,0))</f>
        <v>69.878947368421038</v>
      </c>
      <c r="V37" s="62">
        <f>SUM(V5:V32)</f>
        <v>8820</v>
      </c>
      <c r="AE37" s="71" t="s">
        <v>383</v>
      </c>
      <c r="AG37" s="344"/>
      <c r="AH37" s="62">
        <f>SUM(AH5:AH32)</f>
        <v>443</v>
      </c>
      <c r="AL37" s="62">
        <f>SUM(AL5:AL32)</f>
        <v>117</v>
      </c>
      <c r="AM37" s="62">
        <f>SUM(AM5:AM32)</f>
        <v>7</v>
      </c>
      <c r="AP37" s="313"/>
      <c r="AQ37" s="313"/>
      <c r="AR37" s="313" t="s">
        <v>224</v>
      </c>
      <c r="AS37" s="313">
        <f>COUNT(AW5:AW32)</f>
        <v>0</v>
      </c>
      <c r="AT37" s="313"/>
      <c r="AU37" s="313">
        <f>SUM(AU5:AU32)</f>
        <v>0</v>
      </c>
      <c r="AV37" s="71">
        <f>SUM(AV5:AV32)</f>
        <v>0</v>
      </c>
      <c r="AW37" s="313" t="e">
        <f>SUM(AW5:AW32)/AS37</f>
        <v>#DIV/0!</v>
      </c>
    </row>
    <row r="38" spans="1:50">
      <c r="AH38" s="62">
        <f>AF38+AA38</f>
        <v>0</v>
      </c>
      <c r="AI38" s="321">
        <f>SUM(AI5:AI32)</f>
        <v>9263</v>
      </c>
      <c r="AP38" s="313"/>
      <c r="AQ38" s="313"/>
      <c r="AR38" s="313"/>
      <c r="AS38" s="313"/>
      <c r="AT38" s="313"/>
      <c r="AU38" s="313"/>
      <c r="AV38" s="313"/>
      <c r="AW38" s="313"/>
    </row>
    <row r="39" spans="1:50">
      <c r="AH39" s="62">
        <f>AF39+AA39</f>
        <v>0</v>
      </c>
      <c r="AP39" s="313"/>
      <c r="AQ39" s="313"/>
      <c r="AR39" s="313"/>
      <c r="AS39" s="313"/>
      <c r="AT39" s="313"/>
      <c r="AU39" s="313">
        <f>AU37*0.51</f>
        <v>0</v>
      </c>
      <c r="AV39" s="313">
        <f>AV37/0.51</f>
        <v>0</v>
      </c>
      <c r="AW39" s="313" t="e">
        <f>SUM(AW5:AW32)/AS37</f>
        <v>#DIV/0!</v>
      </c>
    </row>
    <row r="40" spans="1:50">
      <c r="AP40" s="313"/>
      <c r="AQ40" s="313"/>
      <c r="AR40" s="313"/>
      <c r="AS40" s="313"/>
      <c r="AT40" s="313"/>
      <c r="AU40" s="313"/>
      <c r="AV40" s="313">
        <f>AV37*0.51</f>
        <v>0</v>
      </c>
      <c r="AW40" s="313"/>
    </row>
    <row r="41" spans="1:50">
      <c r="AP41" s="313"/>
      <c r="AQ41" s="313"/>
      <c r="AR41" s="313"/>
      <c r="AS41" s="313"/>
      <c r="AT41" s="313"/>
      <c r="AU41" s="313"/>
      <c r="AV41" s="313"/>
      <c r="AW41" s="313"/>
    </row>
    <row r="42" spans="1:50">
      <c r="P42" s="69"/>
      <c r="Q42" s="69"/>
      <c r="R42" s="69"/>
      <c r="AP42" s="313"/>
      <c r="AQ42" s="313"/>
      <c r="AR42" s="313"/>
      <c r="AS42" s="313"/>
      <c r="AT42" s="313"/>
      <c r="AU42" s="313"/>
      <c r="AV42" s="313"/>
      <c r="AW42" s="313"/>
    </row>
    <row r="44" spans="1:50">
      <c r="AG44" s="357" t="s">
        <v>375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6">
    <cfRule type="cellIs" dxfId="7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G1" zoomScaleNormal="100" workbookViewId="0">
      <pane ySplit="3" topLeftCell="A28" activePane="bottomLeft" state="frozen"/>
      <selection pane="bottomLeft" activeCell="AZ36" sqref="AZ36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32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32" customWidth="1"/>
    <col min="11" max="11" width="13.5703125" style="1" customWidth="1"/>
    <col min="12" max="12" width="13.28515625" style="1" customWidth="1"/>
    <col min="13" max="13" width="10.7109375" style="492" customWidth="1"/>
    <col min="14" max="14" width="10.7109375" style="494" customWidth="1"/>
    <col min="15" max="15" width="11.140625" style="492" customWidth="1"/>
    <col min="16" max="16" width="11.140625" style="494" customWidth="1"/>
    <col min="17" max="17" width="17.28515625" style="492" customWidth="1"/>
    <col min="18" max="18" width="10.85546875" style="492" customWidth="1"/>
    <col min="19" max="19" width="10.7109375" style="492" customWidth="1"/>
    <col min="20" max="20" width="13.28515625" style="406" customWidth="1"/>
    <col min="21" max="21" width="8.7109375" style="409" customWidth="1"/>
    <col min="22" max="22" width="13.28515625" style="322" customWidth="1"/>
    <col min="23" max="23" width="9.7109375" style="322" bestFit="1" customWidth="1"/>
    <col min="24" max="27" width="9.7109375" style="322" customWidth="1"/>
    <col min="28" max="28" width="14.42578125" style="322" customWidth="1"/>
    <col min="29" max="32" width="9.7109375" style="322" customWidth="1"/>
    <col min="33" max="33" width="11.28515625" style="322" customWidth="1"/>
    <col min="34" max="36" width="9.7109375" style="322" customWidth="1"/>
    <col min="37" max="37" width="7.42578125" style="322" customWidth="1"/>
    <col min="38" max="39" width="8.7109375" style="322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59" customFormat="1" ht="15.75" thickBot="1">
      <c r="B1" s="360"/>
      <c r="C1" s="360"/>
      <c r="D1" s="416">
        <f>SUM(G21:G33)</f>
        <v>8023227</v>
      </c>
      <c r="E1" s="361"/>
      <c r="F1" s="361"/>
      <c r="G1" s="360"/>
      <c r="H1" s="360"/>
      <c r="I1" s="360"/>
      <c r="J1" s="361"/>
      <c r="K1" s="360"/>
      <c r="L1" s="360"/>
      <c r="M1" s="360"/>
      <c r="N1" s="360"/>
      <c r="O1" s="360"/>
      <c r="P1" s="360"/>
      <c r="Q1" s="360"/>
      <c r="R1" s="360"/>
      <c r="S1" s="360"/>
      <c r="T1" s="360"/>
      <c r="U1" s="360"/>
      <c r="V1" s="362"/>
      <c r="W1" s="362"/>
      <c r="X1" s="362"/>
      <c r="Y1" s="362"/>
      <c r="Z1" s="362"/>
      <c r="AA1" s="362"/>
      <c r="AB1" s="362"/>
      <c r="AC1" s="362"/>
      <c r="AD1" s="362"/>
      <c r="AE1" s="362"/>
      <c r="AF1" s="362"/>
      <c r="AG1" s="362"/>
      <c r="AH1" s="362"/>
      <c r="AI1" s="362"/>
      <c r="AJ1" s="362"/>
      <c r="AK1" s="362"/>
      <c r="AL1" s="362"/>
      <c r="AM1" s="362"/>
      <c r="AN1" s="360"/>
      <c r="AR1" s="363" t="s">
        <v>92</v>
      </c>
      <c r="AS1" s="364"/>
      <c r="AT1" s="364" t="s">
        <v>60</v>
      </c>
      <c r="AU1" s="364"/>
      <c r="AV1" s="365" t="s">
        <v>61</v>
      </c>
    </row>
    <row r="2" spans="1:65" s="359" customFormat="1" ht="15.75" customHeight="1" thickBot="1">
      <c r="B2" s="360"/>
      <c r="C2" s="360"/>
      <c r="D2" s="360"/>
      <c r="E2" s="361"/>
      <c r="F2" s="361"/>
      <c r="G2" s="360"/>
      <c r="H2" s="360"/>
      <c r="I2" s="360"/>
      <c r="J2" s="361"/>
      <c r="K2" s="360"/>
      <c r="L2" s="360"/>
      <c r="M2" s="360"/>
      <c r="N2" s="360"/>
      <c r="O2" s="360"/>
      <c r="P2" s="360"/>
      <c r="Q2" s="360"/>
      <c r="R2" s="360"/>
      <c r="S2" s="360"/>
      <c r="T2" s="360"/>
      <c r="U2" s="360"/>
      <c r="V2" s="362"/>
      <c r="W2" s="362"/>
      <c r="X2" s="362"/>
      <c r="Y2" s="362"/>
      <c r="Z2" s="362"/>
      <c r="AA2" s="362"/>
      <c r="AB2" s="362"/>
      <c r="AC2" s="362"/>
      <c r="AD2" s="362"/>
      <c r="AE2" s="362"/>
      <c r="AF2" s="362"/>
      <c r="AG2" s="362"/>
      <c r="AH2" s="362"/>
      <c r="AI2" s="362"/>
      <c r="AJ2" s="362"/>
      <c r="AK2" s="362"/>
      <c r="AL2" s="362"/>
      <c r="AM2" s="362"/>
      <c r="AN2" s="360"/>
      <c r="AR2" s="637" t="s">
        <v>95</v>
      </c>
      <c r="AS2" s="638"/>
      <c r="AT2" s="638"/>
      <c r="AU2" s="638"/>
      <c r="AV2" s="639"/>
      <c r="AW2" s="637" t="s">
        <v>96</v>
      </c>
      <c r="AX2" s="638"/>
      <c r="AY2" s="639"/>
      <c r="AZ2" s="637" t="s">
        <v>98</v>
      </c>
      <c r="BA2" s="638"/>
      <c r="BB2" s="639"/>
      <c r="BC2" s="366"/>
      <c r="BE2" s="367"/>
    </row>
    <row r="3" spans="1:65" s="359" customFormat="1" ht="48" customHeight="1" thickBot="1">
      <c r="A3" s="368" t="s">
        <v>51</v>
      </c>
      <c r="B3" s="369" t="s">
        <v>52</v>
      </c>
      <c r="C3" s="369" t="s">
        <v>53</v>
      </c>
      <c r="D3" s="369" t="s">
        <v>54</v>
      </c>
      <c r="E3" s="370"/>
      <c r="F3" s="371" t="s">
        <v>80</v>
      </c>
      <c r="G3" s="369" t="s">
        <v>55</v>
      </c>
      <c r="H3" s="369" t="s">
        <v>56</v>
      </c>
      <c r="I3" s="369" t="s">
        <v>100</v>
      </c>
      <c r="J3" s="370"/>
      <c r="K3" s="369" t="s">
        <v>392</v>
      </c>
      <c r="L3" s="372" t="s">
        <v>327</v>
      </c>
      <c r="M3" s="511" t="s">
        <v>399</v>
      </c>
      <c r="N3" s="512"/>
      <c r="O3" s="513" t="s">
        <v>400</v>
      </c>
      <c r="P3" s="513"/>
      <c r="Q3" s="513" t="s">
        <v>396</v>
      </c>
      <c r="R3" s="513" t="s">
        <v>398</v>
      </c>
      <c r="S3" s="513" t="s">
        <v>397</v>
      </c>
      <c r="T3" s="369" t="s">
        <v>380</v>
      </c>
      <c r="U3" s="369" t="s">
        <v>382</v>
      </c>
      <c r="V3" s="373" t="s">
        <v>331</v>
      </c>
      <c r="W3" s="374" t="s">
        <v>332</v>
      </c>
      <c r="X3" s="373" t="s">
        <v>335</v>
      </c>
      <c r="Y3" s="374" t="s">
        <v>336</v>
      </c>
      <c r="Z3" s="375" t="s">
        <v>337</v>
      </c>
      <c r="AA3" s="376" t="s">
        <v>395</v>
      </c>
      <c r="AB3" s="441" t="s">
        <v>394</v>
      </c>
      <c r="AC3" s="439" t="s">
        <v>393</v>
      </c>
      <c r="AD3" s="439"/>
      <c r="AE3" s="377" t="s">
        <v>404</v>
      </c>
      <c r="AF3" s="377" t="s">
        <v>405</v>
      </c>
      <c r="AG3" s="377" t="s">
        <v>406</v>
      </c>
      <c r="AH3" s="377" t="s">
        <v>407</v>
      </c>
      <c r="AI3" s="376" t="s">
        <v>408</v>
      </c>
      <c r="AJ3" s="376" t="s">
        <v>338</v>
      </c>
      <c r="AK3" s="377" t="s">
        <v>340</v>
      </c>
      <c r="AL3" s="377" t="s">
        <v>339</v>
      </c>
      <c r="AM3" s="378" t="s">
        <v>125</v>
      </c>
      <c r="AN3" s="634" t="s">
        <v>126</v>
      </c>
      <c r="AO3" s="635"/>
      <c r="AP3" s="636"/>
      <c r="AR3" s="379" t="s">
        <v>51</v>
      </c>
      <c r="AS3" s="380"/>
      <c r="AT3" s="379" t="s">
        <v>94</v>
      </c>
      <c r="AU3" s="380"/>
      <c r="AV3" s="381" t="s">
        <v>57</v>
      </c>
      <c r="AW3" s="382"/>
      <c r="AX3" s="380" t="s">
        <v>59</v>
      </c>
      <c r="AY3" s="383" t="s">
        <v>93</v>
      </c>
      <c r="AZ3" s="381" t="s">
        <v>57</v>
      </c>
      <c r="BA3" s="384" t="s">
        <v>59</v>
      </c>
      <c r="BB3" s="385" t="s">
        <v>57</v>
      </c>
      <c r="BC3" s="385" t="s">
        <v>58</v>
      </c>
      <c r="BD3" s="386" t="s">
        <v>59</v>
      </c>
      <c r="BE3" s="387" t="s">
        <v>99</v>
      </c>
      <c r="BF3" s="386" t="s">
        <v>97</v>
      </c>
      <c r="BG3" s="388"/>
      <c r="BI3" s="389"/>
      <c r="BJ3" s="389"/>
      <c r="BK3" s="389"/>
      <c r="BL3" s="389"/>
      <c r="BM3" s="389"/>
    </row>
    <row r="4" spans="1:65" ht="16.5" thickBot="1">
      <c r="A4" s="87"/>
      <c r="B4" s="5"/>
      <c r="C4" s="5"/>
      <c r="D4" s="266"/>
      <c r="E4" s="333">
        <v>1.66</v>
      </c>
      <c r="F4" s="333"/>
      <c r="G4" s="5"/>
      <c r="H4" s="5"/>
      <c r="I4" s="5"/>
      <c r="J4" s="334"/>
      <c r="K4" s="5"/>
      <c r="L4" s="83"/>
      <c r="M4" s="514"/>
      <c r="N4" s="514"/>
      <c r="O4" s="514"/>
      <c r="P4" s="514"/>
      <c r="Q4" s="514"/>
      <c r="R4" s="514"/>
      <c r="S4" s="514"/>
      <c r="T4" s="83"/>
      <c r="U4" s="83"/>
      <c r="V4" s="323"/>
      <c r="W4" s="324"/>
      <c r="X4" s="323"/>
      <c r="Y4" s="324"/>
      <c r="Z4" s="325"/>
      <c r="AA4" s="440"/>
      <c r="AB4" s="442"/>
      <c r="AC4" s="440"/>
      <c r="AD4" s="440"/>
      <c r="AE4" s="440"/>
      <c r="AF4" s="440"/>
      <c r="AG4" s="440"/>
      <c r="AH4" s="440"/>
      <c r="AI4" s="440"/>
      <c r="AJ4" s="326"/>
      <c r="AK4" s="327"/>
      <c r="AL4" s="327"/>
      <c r="AM4" s="328"/>
      <c r="AN4" s="88" t="s">
        <v>129</v>
      </c>
      <c r="AO4" s="88" t="s">
        <v>130</v>
      </c>
      <c r="AP4" s="88" t="s">
        <v>157</v>
      </c>
      <c r="AR4" s="230"/>
      <c r="AS4" s="231"/>
      <c r="AT4" s="230">
        <v>180</v>
      </c>
      <c r="AU4" s="231"/>
      <c r="AV4" s="232">
        <v>220</v>
      </c>
      <c r="AW4" s="233"/>
      <c r="AX4" s="231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ELEC!C2</f>
        <v>44255</v>
      </c>
      <c r="B5" s="410">
        <f>[1]WATER!B33</f>
        <v>109443</v>
      </c>
      <c r="C5" s="410">
        <f>[1]WATER!C33</f>
        <v>0</v>
      </c>
      <c r="D5" s="410">
        <f>[1]WATER!D33</f>
        <v>0</v>
      </c>
      <c r="E5" s="410">
        <f>[1]WATER!E33</f>
        <v>267.85714285714283</v>
      </c>
      <c r="F5" s="410">
        <f>[1]WATER!F33</f>
        <v>0</v>
      </c>
      <c r="G5" s="410">
        <f>[1]WATER!G33</f>
        <v>616152</v>
      </c>
      <c r="H5" s="410">
        <f>[1]WATER!H33</f>
        <v>0</v>
      </c>
      <c r="I5" s="410">
        <f>[1]WATER!I33</f>
        <v>0</v>
      </c>
      <c r="J5" s="410">
        <f>[1]WATER!J33</f>
        <v>0</v>
      </c>
      <c r="K5" s="410">
        <f>[1]WATER!K33</f>
        <v>6721</v>
      </c>
      <c r="L5" s="410">
        <f>[1]WATER!L33</f>
        <v>0</v>
      </c>
      <c r="M5" s="410">
        <f>[1]WATER!M33</f>
        <v>457.44</v>
      </c>
      <c r="N5" s="410">
        <f>[1]WATER!N33</f>
        <v>0</v>
      </c>
      <c r="O5" s="410">
        <f>[1]WATER!O33</f>
        <v>529.52</v>
      </c>
      <c r="P5" s="410">
        <f>[1]WATER!P33</f>
        <v>0</v>
      </c>
      <c r="Q5" s="410">
        <f>[1]WATER!Q33</f>
        <v>0</v>
      </c>
      <c r="R5" s="410">
        <f>[1]WATER!R33</f>
        <v>0</v>
      </c>
      <c r="S5" s="410">
        <f>[1]WATER!S33</f>
        <v>0</v>
      </c>
      <c r="T5" s="410">
        <f>[1]WATER!T33</f>
        <v>5167</v>
      </c>
      <c r="U5" s="410">
        <f>[1]WATER!U33</f>
        <v>0</v>
      </c>
      <c r="V5" s="410">
        <f>[1]WATER!V33</f>
        <v>461</v>
      </c>
      <c r="W5" s="410">
        <f>[1]WATER!W33</f>
        <v>0</v>
      </c>
      <c r="X5" s="410">
        <f>[1]WATER!X33</f>
        <v>150365</v>
      </c>
      <c r="Y5" s="410">
        <f>[1]WATER!Y33</f>
        <v>5</v>
      </c>
      <c r="Z5" s="410">
        <v>98481</v>
      </c>
      <c r="AA5" s="410">
        <f>[1]WATER!AA33</f>
        <v>3</v>
      </c>
      <c r="AB5" s="410">
        <f>[1]WATER!AB33</f>
        <v>256</v>
      </c>
      <c r="AC5" s="410">
        <f>[1]WATER!AC33</f>
        <v>731</v>
      </c>
      <c r="AD5" s="410">
        <f>[1]WATER!AD33</f>
        <v>0</v>
      </c>
      <c r="AE5" s="410">
        <f>[1]WATER!AE33</f>
        <v>228.16</v>
      </c>
      <c r="AF5" s="410">
        <f>[1]WATER!AF33</f>
        <v>0.35999999999998522</v>
      </c>
      <c r="AG5" s="410">
        <f>[1]WATER!AG33</f>
        <v>2182.1999999999998</v>
      </c>
      <c r="AH5" s="410">
        <f>[1]WATER!AH33</f>
        <v>0.62999999999965439</v>
      </c>
      <c r="AI5" s="410">
        <f>[1]WATER!AI33</f>
        <v>0.98999999999963961</v>
      </c>
      <c r="AJ5" s="410">
        <f>[1]WATER!AJ33</f>
        <v>3</v>
      </c>
      <c r="AK5" s="410">
        <f>[1]WATER!AK33</f>
        <v>5</v>
      </c>
      <c r="AL5" s="410">
        <f>[1]WATER!AL33</f>
        <v>3</v>
      </c>
      <c r="AM5" s="410">
        <f>[1]WATER!AM33</f>
        <v>15</v>
      </c>
      <c r="AN5" s="410">
        <f>[1]WATER!AN33</f>
        <v>0</v>
      </c>
      <c r="AO5" s="410">
        <f>[1]WATER!AO33</f>
        <v>0</v>
      </c>
      <c r="AP5" s="410">
        <f>[1]WATER!AP33</f>
        <v>0</v>
      </c>
      <c r="AQ5" s="410">
        <f>[1]WATER!AQ33</f>
        <v>0</v>
      </c>
      <c r="AR5" s="410">
        <f>[1]WATER!AR33</f>
        <v>44255</v>
      </c>
      <c r="AS5" s="410">
        <f>[1]WATER!AS33</f>
        <v>0.9</v>
      </c>
      <c r="AT5" s="410">
        <f>[1]WATER!AT33</f>
        <v>83</v>
      </c>
      <c r="AU5" s="410">
        <f>[1]WATER!AU33</f>
        <v>1.1000000000000001</v>
      </c>
      <c r="AV5" s="410">
        <f>[1]WATER!AV33</f>
        <v>171</v>
      </c>
      <c r="AW5" s="410">
        <f>[1]WATER!AW33</f>
        <v>2.9</v>
      </c>
      <c r="AX5" s="410">
        <f>[1]WATER!AX33</f>
        <v>165</v>
      </c>
      <c r="AY5" s="410">
        <f>[1]WATER!AY33</f>
        <v>74.7</v>
      </c>
      <c r="AZ5" s="410">
        <f>[1]WATER!AZ33</f>
        <v>188.10000000000002</v>
      </c>
      <c r="BA5" s="410">
        <f>[1]WATER!BA33</f>
        <v>478.5</v>
      </c>
      <c r="BB5" s="410">
        <f>[1]WATER!BB33</f>
        <v>-3.5999999999999943</v>
      </c>
      <c r="BC5" s="410">
        <f>[1]WATER!BC33</f>
        <v>-2.1999999999999886</v>
      </c>
      <c r="BD5" s="410">
        <f>[1]WATER!BD33</f>
        <v>-5.8000000000000114</v>
      </c>
      <c r="BE5" s="410">
        <f>[1]WATER!BE33</f>
        <v>-11.599999999999994</v>
      </c>
      <c r="BF5" s="410">
        <f>[1]WATER!BF33</f>
        <v>11.599999999999994</v>
      </c>
      <c r="BG5" s="410">
        <f>[1]WATER!BG33</f>
        <v>-11.599999999999994</v>
      </c>
    </row>
    <row r="6" spans="1:65" ht="15.75" thickBot="1">
      <c r="A6" s="6">
        <f>ELEC!C3</f>
        <v>44256</v>
      </c>
      <c r="B6" s="5">
        <f>B5</f>
        <v>109443</v>
      </c>
      <c r="C6" s="5">
        <f>B6-B5</f>
        <v>0</v>
      </c>
      <c r="D6" s="419">
        <f>C6/27</f>
        <v>0</v>
      </c>
      <c r="E6" s="333">
        <f>SUM((C6*$E$4)+(7500/'EDl log'!$A$37))</f>
        <v>241.93548387096774</v>
      </c>
      <c r="F6" s="418"/>
      <c r="G6" s="5">
        <f>G5</f>
        <v>616152</v>
      </c>
      <c r="H6" s="5">
        <f>G6-G5</f>
        <v>0</v>
      </c>
      <c r="I6" s="5">
        <f t="shared" ref="I6:I33" si="0">C6+H6</f>
        <v>0</v>
      </c>
      <c r="J6" s="334">
        <f t="shared" ref="J6:J33" si="1">IF(I6&gt;0,E6/I6,0)</f>
        <v>0</v>
      </c>
      <c r="K6" s="5">
        <f>'Swimming Pool quality check '!H6</f>
        <v>6721</v>
      </c>
      <c r="L6" s="83">
        <v>0</v>
      </c>
      <c r="M6" s="410">
        <f>M5</f>
        <v>457.44</v>
      </c>
      <c r="N6" s="514">
        <f t="shared" ref="N6:N13" si="2">SUM(M6-M5)</f>
        <v>0</v>
      </c>
      <c r="O6" s="410">
        <f>O5</f>
        <v>529.52</v>
      </c>
      <c r="P6" s="514">
        <f t="shared" ref="P6:P13" si="3">SUM(O6-O5)</f>
        <v>0</v>
      </c>
      <c r="Q6" s="515">
        <f>P6+N6</f>
        <v>0</v>
      </c>
      <c r="R6" s="514"/>
      <c r="S6" s="514"/>
      <c r="T6" s="5">
        <f>T5</f>
        <v>5167</v>
      </c>
      <c r="U6" s="5">
        <f t="shared" ref="U6:U33" si="4">SUM(T6-T5)</f>
        <v>0</v>
      </c>
      <c r="V6" s="5">
        <v>461</v>
      </c>
      <c r="W6" s="324">
        <f>+V6-V5</f>
        <v>0</v>
      </c>
      <c r="X6" s="5">
        <f>X5</f>
        <v>150365</v>
      </c>
      <c r="Y6" s="324">
        <f>SUM(X6-X5)</f>
        <v>0</v>
      </c>
      <c r="Z6" s="5">
        <v>98481</v>
      </c>
      <c r="AA6" s="83">
        <f>Z6-Z5</f>
        <v>0</v>
      </c>
      <c r="AB6" s="5">
        <v>251</v>
      </c>
      <c r="AC6" s="5">
        <f>AC5</f>
        <v>731</v>
      </c>
      <c r="AD6" s="83">
        <v>0</v>
      </c>
      <c r="AE6" s="5">
        <v>229.03</v>
      </c>
      <c r="AF6" s="83">
        <f>AE6-AE5</f>
        <v>0.87000000000000455</v>
      </c>
      <c r="AG6" s="5">
        <v>2198.54</v>
      </c>
      <c r="AH6" s="83">
        <f>AG6-AG5</f>
        <v>16.340000000000146</v>
      </c>
      <c r="AI6" s="83">
        <f>AF6+AH6</f>
        <v>17.21000000000015</v>
      </c>
      <c r="AJ6" s="326">
        <f>+Z6-Z5</f>
        <v>0</v>
      </c>
      <c r="AK6" s="327">
        <f t="shared" ref="AK6" si="5">SUM(Y6-L6)</f>
        <v>0</v>
      </c>
      <c r="AL6" s="327">
        <f>SUM(AJ6-W6)</f>
        <v>0</v>
      </c>
      <c r="AM6" s="327">
        <f>'General information '!D6</f>
        <v>16</v>
      </c>
      <c r="AN6" s="84">
        <f>'General information '!H6</f>
        <v>0</v>
      </c>
      <c r="AO6" s="84"/>
      <c r="AP6" s="84">
        <f>'General information '!J6</f>
        <v>0</v>
      </c>
      <c r="AQ6" s="81"/>
      <c r="AR6" s="277">
        <f>A6</f>
        <v>44256</v>
      </c>
      <c r="AS6" s="424">
        <f t="shared" ref="AS6:AT21" si="6">AS5</f>
        <v>0.9</v>
      </c>
      <c r="AT6" s="201">
        <v>84</v>
      </c>
      <c r="AU6" s="425">
        <f>AU5</f>
        <v>1.1000000000000001</v>
      </c>
      <c r="AV6" s="201">
        <v>146</v>
      </c>
      <c r="AW6" s="5">
        <v>2.9</v>
      </c>
      <c r="AX6" s="201">
        <v>167</v>
      </c>
      <c r="AY6" s="426">
        <f t="shared" ref="AY6:AY33" si="7">AS6*AT6</f>
        <v>75.600000000000009</v>
      </c>
      <c r="AZ6" s="426">
        <f>AU6*AV6</f>
        <v>160.60000000000002</v>
      </c>
      <c r="BA6" s="426">
        <f>AW6*AX6</f>
        <v>484.3</v>
      </c>
      <c r="BB6" s="21">
        <f>AY6-AY5</f>
        <v>0.90000000000000568</v>
      </c>
      <c r="BC6" s="21">
        <f>AZ6-AZ5</f>
        <v>-27.5</v>
      </c>
      <c r="BD6" s="21">
        <f>BA6-BA5</f>
        <v>5.8000000000000114</v>
      </c>
      <c r="BE6" s="24">
        <f>SUM(BB6:BD6)</f>
        <v>-20.799999999999983</v>
      </c>
      <c r="BF6" s="96">
        <f t="shared" ref="BF6:BF33" si="8">SUM(I6-BE6)</f>
        <v>20.799999999999983</v>
      </c>
      <c r="BG6" s="82">
        <f t="shared" ref="BG6:BG33" si="9">SUM(I6-BF6)</f>
        <v>-20.799999999999983</v>
      </c>
      <c r="BI6" s="17"/>
      <c r="BJ6" s="17"/>
      <c r="BK6" s="17"/>
      <c r="BL6" s="17"/>
      <c r="BM6" s="17"/>
    </row>
    <row r="7" spans="1:65" ht="15.75" thickBot="1">
      <c r="A7" s="6">
        <f>ELEC!C4</f>
        <v>44257</v>
      </c>
      <c r="B7" s="5">
        <f t="shared" ref="B7:B36" si="10">B6</f>
        <v>109443</v>
      </c>
      <c r="C7" s="5">
        <f t="shared" ref="C7:C33" si="11">B7-B6</f>
        <v>0</v>
      </c>
      <c r="D7" s="419">
        <f t="shared" ref="D7:D33" si="12">C7/27</f>
        <v>0</v>
      </c>
      <c r="E7" s="333">
        <f>SUM((C7*$E$4)+(7500/'EDl log'!$A$37))</f>
        <v>241.93548387096774</v>
      </c>
      <c r="F7" s="418"/>
      <c r="G7" s="5">
        <f t="shared" ref="G7:G36" si="13">G6</f>
        <v>616152</v>
      </c>
      <c r="H7" s="5">
        <f t="shared" ref="H7:H33" si="14">G7-G6</f>
        <v>0</v>
      </c>
      <c r="I7" s="5">
        <f t="shared" si="0"/>
        <v>0</v>
      </c>
      <c r="J7" s="334">
        <f t="shared" si="1"/>
        <v>0</v>
      </c>
      <c r="K7" s="5">
        <f>'Swimming Pool quality check '!H7</f>
        <v>6721</v>
      </c>
      <c r="L7" s="83">
        <f>K7-K6</f>
        <v>0</v>
      </c>
      <c r="M7" s="410">
        <f t="shared" ref="M7:M36" si="15">M6</f>
        <v>457.44</v>
      </c>
      <c r="N7" s="514">
        <f t="shared" si="2"/>
        <v>0</v>
      </c>
      <c r="O7" s="410">
        <f t="shared" ref="O7:O36" si="16">O6</f>
        <v>529.52</v>
      </c>
      <c r="P7" s="514">
        <f t="shared" si="3"/>
        <v>0</v>
      </c>
      <c r="Q7" s="515">
        <f>P7+N7</f>
        <v>0</v>
      </c>
      <c r="R7" s="514"/>
      <c r="S7" s="514"/>
      <c r="T7" s="5">
        <f t="shared" ref="T7:T36" si="17">T6</f>
        <v>5167</v>
      </c>
      <c r="U7" s="5">
        <f t="shared" si="4"/>
        <v>0</v>
      </c>
      <c r="V7" s="5">
        <f t="shared" ref="V7:V36" si="18">V6</f>
        <v>461</v>
      </c>
      <c r="W7" s="324">
        <f t="shared" ref="W7:W33" si="19">+V7-V6</f>
        <v>0</v>
      </c>
      <c r="X7" s="5">
        <f t="shared" ref="X7:X36" si="20">X6</f>
        <v>150365</v>
      </c>
      <c r="Y7" s="324">
        <f>SUM(X7-X6)</f>
        <v>0</v>
      </c>
      <c r="Z7" s="5">
        <v>98481</v>
      </c>
      <c r="AA7" s="83">
        <f t="shared" ref="AA7:AA33" si="21">Z7-Z6</f>
        <v>0</v>
      </c>
      <c r="AB7" s="5">
        <f t="shared" ref="AB7:AB36" si="22">AB6</f>
        <v>251</v>
      </c>
      <c r="AC7" s="5">
        <f t="shared" ref="AC7:AC36" si="23">AC6</f>
        <v>731</v>
      </c>
      <c r="AD7" s="83">
        <f>AC7-AC6</f>
        <v>0</v>
      </c>
      <c r="AE7" s="5">
        <f t="shared" ref="AE7:AE36" si="24">AE6</f>
        <v>229.03</v>
      </c>
      <c r="AF7" s="83">
        <f t="shared" ref="AF7:AF32" si="25">AE7-AE6</f>
        <v>0</v>
      </c>
      <c r="AG7" s="5">
        <f t="shared" ref="AG7:AG36" si="26">AG6</f>
        <v>2198.54</v>
      </c>
      <c r="AH7" s="83">
        <f t="shared" ref="AH7:AH33" si="27">AG7-AG6</f>
        <v>0</v>
      </c>
      <c r="AI7" s="83">
        <f t="shared" ref="AI7:AI33" si="28">AF7+AH7</f>
        <v>0</v>
      </c>
      <c r="AJ7" s="326">
        <f t="shared" ref="AJ7:AJ33" si="29">+Z7-Z6</f>
        <v>0</v>
      </c>
      <c r="AK7" s="327">
        <f>SUM(Y7-L7)</f>
        <v>0</v>
      </c>
      <c r="AL7" s="327">
        <f t="shared" ref="AL7:AL33" si="30">SUM(AJ7-W7)</f>
        <v>0</v>
      </c>
      <c r="AM7" s="327">
        <f>'General information '!D7</f>
        <v>15.5</v>
      </c>
      <c r="AN7" s="84">
        <f>'General information '!H7</f>
        <v>0</v>
      </c>
      <c r="AO7" s="84"/>
      <c r="AP7" s="84">
        <f>'General information '!J7</f>
        <v>0</v>
      </c>
      <c r="AQ7" s="81"/>
      <c r="AR7" s="277">
        <f t="shared" ref="AR7:AR33" si="31">A7</f>
        <v>44257</v>
      </c>
      <c r="AS7" s="424">
        <f t="shared" si="6"/>
        <v>0.9</v>
      </c>
      <c r="AT7" s="201">
        <v>77</v>
      </c>
      <c r="AU7" s="425">
        <f>AU6</f>
        <v>1.1000000000000001</v>
      </c>
      <c r="AV7" s="201">
        <v>138</v>
      </c>
      <c r="AW7" s="5">
        <v>2.9</v>
      </c>
      <c r="AX7" s="201">
        <v>164</v>
      </c>
      <c r="AY7" s="426">
        <f t="shared" si="7"/>
        <v>69.3</v>
      </c>
      <c r="AZ7" s="426">
        <f t="shared" ref="AZ7:AZ33" si="32">AU7*AV7</f>
        <v>151.80000000000001</v>
      </c>
      <c r="BA7" s="426">
        <f t="shared" ref="BA7:BA33" si="33">AW7*AX7</f>
        <v>475.59999999999997</v>
      </c>
      <c r="BB7" s="21">
        <f t="shared" ref="BB7:BD33" si="34">AY7-AY6</f>
        <v>-6.3000000000000114</v>
      </c>
      <c r="BC7" s="21">
        <f t="shared" ref="BC7:BD21" si="35">AZ7-AZ6</f>
        <v>-8.8000000000000114</v>
      </c>
      <c r="BD7" s="21">
        <f t="shared" si="35"/>
        <v>-8.7000000000000455</v>
      </c>
      <c r="BE7" s="24">
        <f t="shared" ref="BE7:BE33" si="36">SUM(BB7:BD7)</f>
        <v>-23.800000000000068</v>
      </c>
      <c r="BF7" s="96">
        <f t="shared" si="8"/>
        <v>23.800000000000068</v>
      </c>
      <c r="BG7" s="82">
        <f t="shared" si="9"/>
        <v>-23.800000000000068</v>
      </c>
      <c r="BI7" s="86"/>
      <c r="BJ7" s="17"/>
      <c r="BK7" s="17"/>
      <c r="BL7" s="17"/>
      <c r="BM7" s="17"/>
    </row>
    <row r="8" spans="1:65" ht="15.75" thickBot="1">
      <c r="A8" s="6">
        <f>ELEC!C5</f>
        <v>44258</v>
      </c>
      <c r="B8" s="5">
        <f t="shared" si="10"/>
        <v>109443</v>
      </c>
      <c r="C8" s="5">
        <f>B8-B7</f>
        <v>0</v>
      </c>
      <c r="D8" s="419">
        <f t="shared" si="12"/>
        <v>0</v>
      </c>
      <c r="E8" s="333">
        <f>SUM((C8*$E$4)+(7500/'EDl log'!$A$37))</f>
        <v>241.93548387096774</v>
      </c>
      <c r="F8" s="418"/>
      <c r="G8" s="5">
        <f t="shared" si="13"/>
        <v>616152</v>
      </c>
      <c r="H8" s="5">
        <f t="shared" si="14"/>
        <v>0</v>
      </c>
      <c r="I8" s="5">
        <f t="shared" si="0"/>
        <v>0</v>
      </c>
      <c r="J8" s="334">
        <f t="shared" si="1"/>
        <v>0</v>
      </c>
      <c r="K8" s="5">
        <f>'Swimming Pool quality check '!H8</f>
        <v>6721</v>
      </c>
      <c r="L8" s="83">
        <f>K8-K7</f>
        <v>0</v>
      </c>
      <c r="M8" s="410">
        <f t="shared" si="15"/>
        <v>457.44</v>
      </c>
      <c r="N8" s="514">
        <f t="shared" si="2"/>
        <v>0</v>
      </c>
      <c r="O8" s="410">
        <f t="shared" si="16"/>
        <v>529.52</v>
      </c>
      <c r="P8" s="514">
        <f t="shared" si="3"/>
        <v>0</v>
      </c>
      <c r="Q8" s="515">
        <f>P8+N8</f>
        <v>0</v>
      </c>
      <c r="R8" s="514"/>
      <c r="S8" s="514"/>
      <c r="T8" s="5">
        <f t="shared" si="17"/>
        <v>5167</v>
      </c>
      <c r="U8" s="5">
        <f t="shared" si="4"/>
        <v>0</v>
      </c>
      <c r="V8" s="5">
        <f t="shared" si="18"/>
        <v>461</v>
      </c>
      <c r="W8" s="324">
        <f t="shared" si="19"/>
        <v>0</v>
      </c>
      <c r="X8" s="5">
        <f t="shared" si="20"/>
        <v>150365</v>
      </c>
      <c r="Y8" s="324">
        <f>SUM(X8-X7)</f>
        <v>0</v>
      </c>
      <c r="Z8" s="5">
        <v>98481</v>
      </c>
      <c r="AA8" s="83">
        <f t="shared" si="21"/>
        <v>0</v>
      </c>
      <c r="AB8" s="5">
        <f t="shared" si="22"/>
        <v>251</v>
      </c>
      <c r="AC8" s="5">
        <f t="shared" si="23"/>
        <v>731</v>
      </c>
      <c r="AD8" s="83">
        <f t="shared" ref="AD8:AD33" si="37">AC8-AC7</f>
        <v>0</v>
      </c>
      <c r="AE8" s="5">
        <f t="shared" si="24"/>
        <v>229.03</v>
      </c>
      <c r="AF8" s="83">
        <f t="shared" si="25"/>
        <v>0</v>
      </c>
      <c r="AG8" s="5">
        <f t="shared" si="26"/>
        <v>2198.54</v>
      </c>
      <c r="AH8" s="83">
        <f t="shared" si="27"/>
        <v>0</v>
      </c>
      <c r="AI8" s="83">
        <f t="shared" si="28"/>
        <v>0</v>
      </c>
      <c r="AJ8" s="326">
        <f t="shared" si="29"/>
        <v>0</v>
      </c>
      <c r="AK8" s="327">
        <f t="shared" ref="AK8:AK33" si="38">SUM(Y8-L8)</f>
        <v>0</v>
      </c>
      <c r="AL8" s="327">
        <f t="shared" si="30"/>
        <v>0</v>
      </c>
      <c r="AM8" s="327">
        <f>'General information '!D8</f>
        <v>15.5</v>
      </c>
      <c r="AN8" s="84">
        <f>'General information '!H8</f>
        <v>0</v>
      </c>
      <c r="AO8" s="84"/>
      <c r="AP8" s="84">
        <f>'General information '!J8</f>
        <v>0</v>
      </c>
      <c r="AQ8" s="81"/>
      <c r="AR8" s="277">
        <f t="shared" si="31"/>
        <v>44258</v>
      </c>
      <c r="AS8" s="424">
        <f t="shared" si="6"/>
        <v>0.9</v>
      </c>
      <c r="AT8" s="201">
        <f t="shared" si="6"/>
        <v>77</v>
      </c>
      <c r="AU8" s="425">
        <v>1.1000000000000001</v>
      </c>
      <c r="AV8" s="201">
        <v>124</v>
      </c>
      <c r="AW8" s="5">
        <v>2.9</v>
      </c>
      <c r="AX8" s="201">
        <v>158</v>
      </c>
      <c r="AY8" s="426">
        <f t="shared" si="7"/>
        <v>69.3</v>
      </c>
      <c r="AZ8" s="426">
        <f t="shared" si="32"/>
        <v>136.4</v>
      </c>
      <c r="BA8" s="426">
        <f t="shared" si="33"/>
        <v>458.2</v>
      </c>
      <c r="BB8" s="21">
        <f t="shared" si="34"/>
        <v>0</v>
      </c>
      <c r="BC8" s="21">
        <f t="shared" si="35"/>
        <v>-15.400000000000006</v>
      </c>
      <c r="BD8" s="21">
        <f t="shared" si="35"/>
        <v>-17.399999999999977</v>
      </c>
      <c r="BE8" s="24">
        <f t="shared" si="36"/>
        <v>-32.799999999999983</v>
      </c>
      <c r="BF8" s="96">
        <f t="shared" si="8"/>
        <v>32.799999999999983</v>
      </c>
      <c r="BG8" s="82">
        <f t="shared" si="9"/>
        <v>-32.799999999999983</v>
      </c>
      <c r="BI8" s="86"/>
      <c r="BJ8" s="17"/>
      <c r="BK8" s="17"/>
    </row>
    <row r="9" spans="1:65" ht="15.75" thickBot="1">
      <c r="A9" s="6">
        <f>ELEC!C6</f>
        <v>44259</v>
      </c>
      <c r="B9" s="5">
        <f t="shared" si="10"/>
        <v>109443</v>
      </c>
      <c r="C9" s="5">
        <f t="shared" si="11"/>
        <v>0</v>
      </c>
      <c r="D9" s="419">
        <f t="shared" si="12"/>
        <v>0</v>
      </c>
      <c r="E9" s="333">
        <f>SUM((C9*$E$4)+(7500/'EDl log'!$A$37))</f>
        <v>241.93548387096774</v>
      </c>
      <c r="F9" s="418"/>
      <c r="G9" s="5">
        <f t="shared" si="13"/>
        <v>616152</v>
      </c>
      <c r="H9" s="5">
        <f t="shared" si="14"/>
        <v>0</v>
      </c>
      <c r="I9" s="5">
        <f t="shared" si="0"/>
        <v>0</v>
      </c>
      <c r="J9" s="334">
        <f t="shared" si="1"/>
        <v>0</v>
      </c>
      <c r="K9" s="5">
        <f>'Swimming Pool quality check '!H9</f>
        <v>6723</v>
      </c>
      <c r="L9" s="83">
        <f t="shared" ref="L9:L33" si="39">K9-K8</f>
        <v>2</v>
      </c>
      <c r="M9" s="410">
        <f t="shared" si="15"/>
        <v>457.44</v>
      </c>
      <c r="N9" s="514">
        <f t="shared" si="2"/>
        <v>0</v>
      </c>
      <c r="O9" s="410">
        <f t="shared" si="16"/>
        <v>529.52</v>
      </c>
      <c r="P9" s="514">
        <f t="shared" si="3"/>
        <v>0</v>
      </c>
      <c r="Q9" s="515">
        <f>P9+N9</f>
        <v>0</v>
      </c>
      <c r="R9" s="514"/>
      <c r="S9" s="514"/>
      <c r="T9" s="5">
        <f t="shared" si="17"/>
        <v>5167</v>
      </c>
      <c r="U9" s="5">
        <f t="shared" si="4"/>
        <v>0</v>
      </c>
      <c r="V9" s="5">
        <f t="shared" si="18"/>
        <v>461</v>
      </c>
      <c r="W9" s="324">
        <f t="shared" si="19"/>
        <v>0</v>
      </c>
      <c r="X9" s="5">
        <f t="shared" si="20"/>
        <v>150365</v>
      </c>
      <c r="Y9" s="324">
        <f t="shared" ref="Y9:Y33" si="40">SUM(X9-X8)</f>
        <v>0</v>
      </c>
      <c r="Z9" s="5">
        <v>98481</v>
      </c>
      <c r="AA9" s="83">
        <f t="shared" si="21"/>
        <v>0</v>
      </c>
      <c r="AB9" s="5">
        <f t="shared" si="22"/>
        <v>251</v>
      </c>
      <c r="AC9" s="5">
        <f t="shared" si="23"/>
        <v>731</v>
      </c>
      <c r="AD9" s="83">
        <f t="shared" si="37"/>
        <v>0</v>
      </c>
      <c r="AE9" s="5">
        <f t="shared" si="24"/>
        <v>229.03</v>
      </c>
      <c r="AF9" s="83">
        <f t="shared" si="25"/>
        <v>0</v>
      </c>
      <c r="AG9" s="5">
        <f t="shared" si="26"/>
        <v>2198.54</v>
      </c>
      <c r="AH9" s="83">
        <f t="shared" si="27"/>
        <v>0</v>
      </c>
      <c r="AI9" s="83">
        <f t="shared" si="28"/>
        <v>0</v>
      </c>
      <c r="AJ9" s="326">
        <f t="shared" si="29"/>
        <v>0</v>
      </c>
      <c r="AK9" s="327">
        <f t="shared" si="38"/>
        <v>-2</v>
      </c>
      <c r="AL9" s="327">
        <f t="shared" si="30"/>
        <v>0</v>
      </c>
      <c r="AM9" s="327">
        <f>'General information '!D9</f>
        <v>15.5</v>
      </c>
      <c r="AN9" s="84">
        <f>'General information '!H9</f>
        <v>0</v>
      </c>
      <c r="AO9" s="84"/>
      <c r="AP9" s="84">
        <f>'General information '!J9</f>
        <v>0</v>
      </c>
      <c r="AQ9" s="81"/>
      <c r="AR9" s="277">
        <f t="shared" si="31"/>
        <v>44259</v>
      </c>
      <c r="AS9" s="424">
        <f t="shared" si="6"/>
        <v>0.9</v>
      </c>
      <c r="AT9" s="201">
        <v>77</v>
      </c>
      <c r="AU9" s="425">
        <f t="shared" ref="AU9:AU33" si="41">AU8</f>
        <v>1.1000000000000001</v>
      </c>
      <c r="AV9" s="201">
        <v>130</v>
      </c>
      <c r="AW9" s="5">
        <v>2.9</v>
      </c>
      <c r="AX9" s="201">
        <v>156</v>
      </c>
      <c r="AY9" s="426">
        <f t="shared" si="7"/>
        <v>69.3</v>
      </c>
      <c r="AZ9" s="426">
        <f t="shared" si="32"/>
        <v>143</v>
      </c>
      <c r="BA9" s="426">
        <f t="shared" si="33"/>
        <v>452.4</v>
      </c>
      <c r="BB9" s="21">
        <f t="shared" si="34"/>
        <v>0</v>
      </c>
      <c r="BC9" s="21">
        <f t="shared" si="35"/>
        <v>6.5999999999999943</v>
      </c>
      <c r="BD9" s="21">
        <f t="shared" si="35"/>
        <v>-5.8000000000000114</v>
      </c>
      <c r="BE9" s="24">
        <f t="shared" si="36"/>
        <v>0.79999999999998295</v>
      </c>
      <c r="BF9" s="345">
        <f t="shared" si="8"/>
        <v>-0.79999999999998295</v>
      </c>
      <c r="BG9" s="82">
        <f t="shared" si="9"/>
        <v>0.79999999999998295</v>
      </c>
    </row>
    <row r="10" spans="1:65" ht="15.75" thickBot="1">
      <c r="A10" s="6">
        <f>ELEC!C7</f>
        <v>44260</v>
      </c>
      <c r="B10" s="5">
        <f t="shared" si="10"/>
        <v>109443</v>
      </c>
      <c r="C10" s="5">
        <f t="shared" si="11"/>
        <v>0</v>
      </c>
      <c r="D10" s="419">
        <f t="shared" si="12"/>
        <v>0</v>
      </c>
      <c r="E10" s="333">
        <f>SUM((C10*$E$4)+(7500/'EDl log'!$A$37))</f>
        <v>241.93548387096774</v>
      </c>
      <c r="F10" s="418"/>
      <c r="G10" s="5">
        <f t="shared" si="13"/>
        <v>616152</v>
      </c>
      <c r="H10" s="5">
        <f t="shared" si="14"/>
        <v>0</v>
      </c>
      <c r="I10" s="5">
        <f t="shared" si="0"/>
        <v>0</v>
      </c>
      <c r="J10" s="334">
        <f t="shared" si="1"/>
        <v>0</v>
      </c>
      <c r="K10" s="5">
        <f>'Swimming Pool quality check '!H10</f>
        <v>6723</v>
      </c>
      <c r="L10" s="83">
        <f>K10-K9</f>
        <v>0</v>
      </c>
      <c r="M10" s="410">
        <f t="shared" si="15"/>
        <v>457.44</v>
      </c>
      <c r="N10" s="514">
        <f t="shared" si="2"/>
        <v>0</v>
      </c>
      <c r="O10" s="410">
        <f t="shared" si="16"/>
        <v>529.52</v>
      </c>
      <c r="P10" s="514">
        <f t="shared" si="3"/>
        <v>0</v>
      </c>
      <c r="Q10" s="515">
        <f>P10+N10</f>
        <v>0</v>
      </c>
      <c r="R10" s="514"/>
      <c r="S10" s="514"/>
      <c r="T10" s="5">
        <f t="shared" si="17"/>
        <v>5167</v>
      </c>
      <c r="U10" s="5">
        <f t="shared" si="4"/>
        <v>0</v>
      </c>
      <c r="V10" s="5">
        <f t="shared" si="18"/>
        <v>461</v>
      </c>
      <c r="W10" s="324">
        <f t="shared" si="19"/>
        <v>0</v>
      </c>
      <c r="X10" s="5">
        <f t="shared" si="20"/>
        <v>150365</v>
      </c>
      <c r="Y10" s="324">
        <f t="shared" si="40"/>
        <v>0</v>
      </c>
      <c r="Z10" s="5">
        <v>98481</v>
      </c>
      <c r="AA10" s="83">
        <f t="shared" si="21"/>
        <v>0</v>
      </c>
      <c r="AB10" s="5">
        <f t="shared" si="22"/>
        <v>251</v>
      </c>
      <c r="AC10" s="5">
        <f t="shared" si="23"/>
        <v>731</v>
      </c>
      <c r="AD10" s="83">
        <f t="shared" si="37"/>
        <v>0</v>
      </c>
      <c r="AE10" s="5">
        <f t="shared" si="24"/>
        <v>229.03</v>
      </c>
      <c r="AF10" s="83">
        <f t="shared" si="25"/>
        <v>0</v>
      </c>
      <c r="AG10" s="5">
        <f t="shared" si="26"/>
        <v>2198.54</v>
      </c>
      <c r="AH10" s="83">
        <f t="shared" si="27"/>
        <v>0</v>
      </c>
      <c r="AI10" s="83">
        <f t="shared" si="28"/>
        <v>0</v>
      </c>
      <c r="AJ10" s="326">
        <f t="shared" si="29"/>
        <v>0</v>
      </c>
      <c r="AK10" s="327">
        <f t="shared" si="38"/>
        <v>0</v>
      </c>
      <c r="AL10" s="327">
        <f t="shared" si="30"/>
        <v>0</v>
      </c>
      <c r="AM10" s="327">
        <f>'General information '!D10</f>
        <v>15.5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7">
        <f t="shared" si="31"/>
        <v>44260</v>
      </c>
      <c r="AS10" s="424">
        <f t="shared" si="6"/>
        <v>0.9</v>
      </c>
      <c r="AT10" s="201">
        <f t="shared" si="6"/>
        <v>77</v>
      </c>
      <c r="AU10" s="425">
        <f t="shared" si="41"/>
        <v>1.1000000000000001</v>
      </c>
      <c r="AV10" s="201">
        <v>126</v>
      </c>
      <c r="AW10" s="5">
        <v>2.9</v>
      </c>
      <c r="AX10" s="201">
        <f t="shared" ref="AX10:AX36" si="42">AX9</f>
        <v>156</v>
      </c>
      <c r="AY10" s="426">
        <f t="shared" si="7"/>
        <v>69.3</v>
      </c>
      <c r="AZ10" s="426">
        <f t="shared" si="32"/>
        <v>138.60000000000002</v>
      </c>
      <c r="BA10" s="426">
        <f t="shared" si="33"/>
        <v>452.4</v>
      </c>
      <c r="BB10" s="21">
        <f t="shared" si="34"/>
        <v>0</v>
      </c>
      <c r="BC10" s="21">
        <f t="shared" si="35"/>
        <v>-4.3999999999999773</v>
      </c>
      <c r="BD10" s="21">
        <f t="shared" si="35"/>
        <v>0</v>
      </c>
      <c r="BE10" s="24">
        <f t="shared" si="36"/>
        <v>-4.3999999999999773</v>
      </c>
      <c r="BF10" s="96">
        <f t="shared" si="8"/>
        <v>4.3999999999999773</v>
      </c>
      <c r="BG10" s="82">
        <f t="shared" si="9"/>
        <v>-4.3999999999999773</v>
      </c>
    </row>
    <row r="11" spans="1:65" ht="15.75" thickBot="1">
      <c r="A11" s="6">
        <f>ELEC!C8</f>
        <v>44261</v>
      </c>
      <c r="B11" s="5">
        <f t="shared" si="10"/>
        <v>109443</v>
      </c>
      <c r="C11" s="5">
        <f t="shared" si="11"/>
        <v>0</v>
      </c>
      <c r="D11" s="419">
        <f t="shared" si="12"/>
        <v>0</v>
      </c>
      <c r="E11" s="333">
        <f>SUM((C11*$E$4)+(7500/'EDl log'!$A$37))</f>
        <v>241.93548387096774</v>
      </c>
      <c r="F11" s="418"/>
      <c r="G11" s="5">
        <f t="shared" si="13"/>
        <v>616152</v>
      </c>
      <c r="H11" s="5">
        <f t="shared" si="14"/>
        <v>0</v>
      </c>
      <c r="I11" s="5">
        <f t="shared" si="0"/>
        <v>0</v>
      </c>
      <c r="J11" s="334">
        <f t="shared" si="1"/>
        <v>0</v>
      </c>
      <c r="K11" s="5">
        <f>'Swimming Pool quality check '!H11</f>
        <v>6725</v>
      </c>
      <c r="L11" s="83">
        <f t="shared" si="39"/>
        <v>2</v>
      </c>
      <c r="M11" s="410">
        <f t="shared" si="15"/>
        <v>457.44</v>
      </c>
      <c r="N11" s="514">
        <f t="shared" si="2"/>
        <v>0</v>
      </c>
      <c r="O11" s="410">
        <f t="shared" si="16"/>
        <v>529.52</v>
      </c>
      <c r="P11" s="514">
        <f t="shared" si="3"/>
        <v>0</v>
      </c>
      <c r="Q11" s="514">
        <f>SUM(P11+N11)</f>
        <v>0</v>
      </c>
      <c r="R11" s="514"/>
      <c r="S11" s="514"/>
      <c r="T11" s="5">
        <f t="shared" si="17"/>
        <v>5167</v>
      </c>
      <c r="U11" s="5">
        <f t="shared" si="4"/>
        <v>0</v>
      </c>
      <c r="V11" s="5">
        <f t="shared" si="18"/>
        <v>461</v>
      </c>
      <c r="W11" s="324">
        <f t="shared" si="19"/>
        <v>0</v>
      </c>
      <c r="X11" s="5">
        <f t="shared" si="20"/>
        <v>150365</v>
      </c>
      <c r="Y11" s="324">
        <f t="shared" si="40"/>
        <v>0</v>
      </c>
      <c r="Z11" s="5">
        <v>98481</v>
      </c>
      <c r="AA11" s="83">
        <f t="shared" si="21"/>
        <v>0</v>
      </c>
      <c r="AB11" s="5">
        <f t="shared" si="22"/>
        <v>251</v>
      </c>
      <c r="AC11" s="5">
        <f t="shared" si="23"/>
        <v>731</v>
      </c>
      <c r="AD11" s="83">
        <f t="shared" si="37"/>
        <v>0</v>
      </c>
      <c r="AE11" s="5">
        <f t="shared" si="24"/>
        <v>229.03</v>
      </c>
      <c r="AF11" s="83">
        <f t="shared" si="25"/>
        <v>0</v>
      </c>
      <c r="AG11" s="5">
        <f t="shared" si="26"/>
        <v>2198.54</v>
      </c>
      <c r="AH11" s="83">
        <f t="shared" si="27"/>
        <v>0</v>
      </c>
      <c r="AI11" s="83">
        <f t="shared" si="28"/>
        <v>0</v>
      </c>
      <c r="AJ11" s="326">
        <f t="shared" si="29"/>
        <v>0</v>
      </c>
      <c r="AK11" s="327">
        <f t="shared" si="38"/>
        <v>-2</v>
      </c>
      <c r="AL11" s="327">
        <f t="shared" si="30"/>
        <v>0</v>
      </c>
      <c r="AM11" s="327">
        <f>'General information '!D11</f>
        <v>16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7">
        <f t="shared" si="31"/>
        <v>44261</v>
      </c>
      <c r="AS11" s="424">
        <f t="shared" si="6"/>
        <v>0.9</v>
      </c>
      <c r="AT11" s="201">
        <f t="shared" si="6"/>
        <v>77</v>
      </c>
      <c r="AU11" s="425">
        <f t="shared" si="41"/>
        <v>1.1000000000000001</v>
      </c>
      <c r="AV11" s="201">
        <v>124</v>
      </c>
      <c r="AW11" s="5">
        <v>2.9</v>
      </c>
      <c r="AX11" s="201">
        <v>155</v>
      </c>
      <c r="AY11" s="426">
        <f t="shared" si="7"/>
        <v>69.3</v>
      </c>
      <c r="AZ11" s="426">
        <f t="shared" si="32"/>
        <v>136.4</v>
      </c>
      <c r="BA11" s="426">
        <f t="shared" si="33"/>
        <v>449.5</v>
      </c>
      <c r="BB11" s="21">
        <f t="shared" si="34"/>
        <v>0</v>
      </c>
      <c r="BC11" s="21">
        <f t="shared" si="35"/>
        <v>-2.2000000000000171</v>
      </c>
      <c r="BD11" s="21">
        <f t="shared" si="35"/>
        <v>-2.8999999999999773</v>
      </c>
      <c r="BE11" s="24">
        <f t="shared" si="36"/>
        <v>-5.0999999999999943</v>
      </c>
      <c r="BF11" s="96">
        <f t="shared" si="8"/>
        <v>5.0999999999999943</v>
      </c>
      <c r="BG11" s="82">
        <f t="shared" si="9"/>
        <v>-5.0999999999999943</v>
      </c>
    </row>
    <row r="12" spans="1:65" ht="15.75" thickBot="1">
      <c r="A12" s="6">
        <f>ELEC!C9</f>
        <v>44262</v>
      </c>
      <c r="B12" s="5">
        <f t="shared" si="10"/>
        <v>109443</v>
      </c>
      <c r="C12" s="5">
        <f>B12-B11</f>
        <v>0</v>
      </c>
      <c r="D12" s="419">
        <f t="shared" si="12"/>
        <v>0</v>
      </c>
      <c r="E12" s="333">
        <f>SUM((C12*$E$4)+(7500/'EDl log'!$A$37))</f>
        <v>241.93548387096774</v>
      </c>
      <c r="F12" s="418"/>
      <c r="G12" s="5">
        <f t="shared" si="13"/>
        <v>616152</v>
      </c>
      <c r="H12" s="5">
        <f t="shared" si="14"/>
        <v>0</v>
      </c>
      <c r="I12" s="5">
        <f t="shared" si="0"/>
        <v>0</v>
      </c>
      <c r="J12" s="334">
        <f t="shared" si="1"/>
        <v>0</v>
      </c>
      <c r="K12" s="5">
        <f>'Swimming Pool quality check '!H12</f>
        <v>6726</v>
      </c>
      <c r="L12" s="83">
        <f t="shared" si="39"/>
        <v>1</v>
      </c>
      <c r="M12" s="410">
        <f t="shared" si="15"/>
        <v>457.44</v>
      </c>
      <c r="N12" s="514">
        <f t="shared" si="2"/>
        <v>0</v>
      </c>
      <c r="O12" s="410">
        <f t="shared" si="16"/>
        <v>529.52</v>
      </c>
      <c r="P12" s="514">
        <f t="shared" si="3"/>
        <v>0</v>
      </c>
      <c r="Q12" s="514">
        <f>SUM(P12+N12)</f>
        <v>0</v>
      </c>
      <c r="R12" s="514"/>
      <c r="S12" s="514"/>
      <c r="T12" s="5">
        <f t="shared" si="17"/>
        <v>5167</v>
      </c>
      <c r="U12" s="5">
        <f t="shared" si="4"/>
        <v>0</v>
      </c>
      <c r="V12" s="5">
        <f t="shared" si="18"/>
        <v>461</v>
      </c>
      <c r="W12" s="324">
        <f t="shared" si="19"/>
        <v>0</v>
      </c>
      <c r="X12" s="5">
        <f t="shared" si="20"/>
        <v>150365</v>
      </c>
      <c r="Y12" s="324">
        <f t="shared" si="40"/>
        <v>0</v>
      </c>
      <c r="Z12" s="5">
        <v>98481</v>
      </c>
      <c r="AA12" s="83">
        <f t="shared" si="21"/>
        <v>0</v>
      </c>
      <c r="AB12" s="5">
        <f t="shared" si="22"/>
        <v>251</v>
      </c>
      <c r="AC12" s="5">
        <f t="shared" si="23"/>
        <v>731</v>
      </c>
      <c r="AD12" s="83">
        <f t="shared" si="37"/>
        <v>0</v>
      </c>
      <c r="AE12" s="5">
        <f t="shared" si="24"/>
        <v>229.03</v>
      </c>
      <c r="AF12" s="83">
        <f t="shared" si="25"/>
        <v>0</v>
      </c>
      <c r="AG12" s="5">
        <f t="shared" si="26"/>
        <v>2198.54</v>
      </c>
      <c r="AH12" s="83">
        <f t="shared" si="27"/>
        <v>0</v>
      </c>
      <c r="AI12" s="83">
        <f t="shared" si="28"/>
        <v>0</v>
      </c>
      <c r="AJ12" s="326">
        <f t="shared" si="29"/>
        <v>0</v>
      </c>
      <c r="AK12" s="327">
        <f t="shared" si="38"/>
        <v>-1</v>
      </c>
      <c r="AL12" s="327">
        <f t="shared" si="30"/>
        <v>0</v>
      </c>
      <c r="AM12" s="327">
        <f>'General information '!D12</f>
        <v>16.5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7">
        <f t="shared" si="31"/>
        <v>44262</v>
      </c>
      <c r="AS12" s="424">
        <f t="shared" si="6"/>
        <v>0.9</v>
      </c>
      <c r="AT12" s="201">
        <f t="shared" si="6"/>
        <v>77</v>
      </c>
      <c r="AU12" s="425">
        <f t="shared" si="41"/>
        <v>1.1000000000000001</v>
      </c>
      <c r="AV12" s="201">
        <v>121</v>
      </c>
      <c r="AW12" s="5">
        <v>2.9</v>
      </c>
      <c r="AX12" s="201">
        <v>152</v>
      </c>
      <c r="AY12" s="426">
        <f t="shared" si="7"/>
        <v>69.3</v>
      </c>
      <c r="AZ12" s="426">
        <f t="shared" si="32"/>
        <v>133.10000000000002</v>
      </c>
      <c r="BA12" s="426">
        <f t="shared" si="33"/>
        <v>440.8</v>
      </c>
      <c r="BB12" s="21">
        <f t="shared" si="34"/>
        <v>0</v>
      </c>
      <c r="BC12" s="21">
        <f t="shared" si="35"/>
        <v>-3.2999999999999829</v>
      </c>
      <c r="BD12" s="21">
        <f t="shared" si="35"/>
        <v>-8.6999999999999886</v>
      </c>
      <c r="BE12" s="24">
        <f t="shared" si="36"/>
        <v>-11.999999999999972</v>
      </c>
      <c r="BF12" s="96">
        <f t="shared" si="8"/>
        <v>11.999999999999972</v>
      </c>
      <c r="BG12" s="82">
        <f t="shared" si="9"/>
        <v>-11.999999999999972</v>
      </c>
    </row>
    <row r="13" spans="1:65" ht="15.75" thickBot="1">
      <c r="A13" s="6">
        <f>ELEC!C10</f>
        <v>44263</v>
      </c>
      <c r="B13" s="5">
        <f t="shared" si="10"/>
        <v>109443</v>
      </c>
      <c r="C13" s="5">
        <f t="shared" si="11"/>
        <v>0</v>
      </c>
      <c r="D13" s="419">
        <f t="shared" si="12"/>
        <v>0</v>
      </c>
      <c r="E13" s="333">
        <f>SUM((C13*$E$4)+(7500/'EDl log'!$A$37))</f>
        <v>241.93548387096774</v>
      </c>
      <c r="F13" s="418"/>
      <c r="G13" s="5">
        <f t="shared" si="13"/>
        <v>616152</v>
      </c>
      <c r="H13" s="5">
        <f t="shared" si="14"/>
        <v>0</v>
      </c>
      <c r="I13" s="5">
        <f t="shared" si="0"/>
        <v>0</v>
      </c>
      <c r="J13" s="334">
        <f t="shared" si="1"/>
        <v>0</v>
      </c>
      <c r="K13" s="5">
        <f>'Swimming Pool quality check '!H13</f>
        <v>6726</v>
      </c>
      <c r="L13" s="83">
        <f t="shared" si="39"/>
        <v>0</v>
      </c>
      <c r="M13" s="410">
        <f t="shared" si="15"/>
        <v>457.44</v>
      </c>
      <c r="N13" s="514">
        <f t="shared" si="2"/>
        <v>0</v>
      </c>
      <c r="O13" s="410">
        <f t="shared" si="16"/>
        <v>529.52</v>
      </c>
      <c r="P13" s="514">
        <f t="shared" si="3"/>
        <v>0</v>
      </c>
      <c r="Q13" s="514">
        <f>SUM(P13+N13)</f>
        <v>0</v>
      </c>
      <c r="R13" s="514"/>
      <c r="S13" s="514"/>
      <c r="T13" s="5">
        <f t="shared" si="17"/>
        <v>5167</v>
      </c>
      <c r="U13" s="5">
        <f t="shared" si="4"/>
        <v>0</v>
      </c>
      <c r="V13" s="5">
        <f t="shared" si="18"/>
        <v>461</v>
      </c>
      <c r="W13" s="324">
        <f t="shared" si="19"/>
        <v>0</v>
      </c>
      <c r="X13" s="5">
        <f t="shared" si="20"/>
        <v>150365</v>
      </c>
      <c r="Y13" s="324">
        <f t="shared" si="40"/>
        <v>0</v>
      </c>
      <c r="Z13" s="5">
        <v>98481</v>
      </c>
      <c r="AA13" s="83">
        <f t="shared" si="21"/>
        <v>0</v>
      </c>
      <c r="AB13" s="5">
        <f t="shared" si="22"/>
        <v>251</v>
      </c>
      <c r="AC13" s="5">
        <f t="shared" si="23"/>
        <v>731</v>
      </c>
      <c r="AD13" s="83">
        <f t="shared" si="37"/>
        <v>0</v>
      </c>
      <c r="AE13" s="5">
        <f t="shared" si="24"/>
        <v>229.03</v>
      </c>
      <c r="AF13" s="83">
        <f t="shared" si="25"/>
        <v>0</v>
      </c>
      <c r="AG13" s="5">
        <f t="shared" si="26"/>
        <v>2198.54</v>
      </c>
      <c r="AH13" s="83">
        <f t="shared" si="27"/>
        <v>0</v>
      </c>
      <c r="AI13" s="83">
        <f t="shared" si="28"/>
        <v>0</v>
      </c>
      <c r="AJ13" s="326">
        <f t="shared" si="29"/>
        <v>0</v>
      </c>
      <c r="AK13" s="327">
        <f t="shared" si="38"/>
        <v>0</v>
      </c>
      <c r="AL13" s="327">
        <f t="shared" si="30"/>
        <v>0</v>
      </c>
      <c r="AM13" s="327">
        <f>'General information '!D13</f>
        <v>18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7">
        <f t="shared" si="31"/>
        <v>44263</v>
      </c>
      <c r="AS13" s="424">
        <f t="shared" si="6"/>
        <v>0.9</v>
      </c>
      <c r="AT13" s="201">
        <f t="shared" si="6"/>
        <v>77</v>
      </c>
      <c r="AU13" s="425">
        <f t="shared" si="41"/>
        <v>1.1000000000000001</v>
      </c>
      <c r="AV13" s="201">
        <v>118</v>
      </c>
      <c r="AW13" s="5">
        <v>2.9</v>
      </c>
      <c r="AX13" s="201">
        <v>149</v>
      </c>
      <c r="AY13" s="426">
        <f t="shared" si="7"/>
        <v>69.3</v>
      </c>
      <c r="AZ13" s="426">
        <f t="shared" si="32"/>
        <v>129.80000000000001</v>
      </c>
      <c r="BA13" s="426">
        <f t="shared" si="33"/>
        <v>432.09999999999997</v>
      </c>
      <c r="BB13" s="21">
        <f t="shared" si="34"/>
        <v>0</v>
      </c>
      <c r="BC13" s="21">
        <f t="shared" si="35"/>
        <v>-3.3000000000000114</v>
      </c>
      <c r="BD13" s="21">
        <f t="shared" si="35"/>
        <v>-8.7000000000000455</v>
      </c>
      <c r="BE13" s="24">
        <f t="shared" si="36"/>
        <v>-12.000000000000057</v>
      </c>
      <c r="BF13" s="96">
        <f t="shared" si="8"/>
        <v>12.000000000000057</v>
      </c>
      <c r="BG13" s="82">
        <f t="shared" si="9"/>
        <v>-12.000000000000057</v>
      </c>
    </row>
    <row r="14" spans="1:65" ht="15.75" thickBot="1">
      <c r="A14" s="6">
        <f>ELEC!C11</f>
        <v>44264</v>
      </c>
      <c r="B14" s="5">
        <f t="shared" si="10"/>
        <v>109443</v>
      </c>
      <c r="C14" s="5">
        <f t="shared" si="11"/>
        <v>0</v>
      </c>
      <c r="D14" s="419">
        <f t="shared" si="12"/>
        <v>0</v>
      </c>
      <c r="E14" s="333">
        <f>SUM((C14*$E$4)+(7500/'EDl log'!$A$37))</f>
        <v>241.93548387096774</v>
      </c>
      <c r="F14" s="418"/>
      <c r="G14" s="5">
        <f t="shared" si="13"/>
        <v>616152</v>
      </c>
      <c r="H14" s="5">
        <f t="shared" si="14"/>
        <v>0</v>
      </c>
      <c r="I14" s="5">
        <f t="shared" si="0"/>
        <v>0</v>
      </c>
      <c r="J14" s="334">
        <f t="shared" si="1"/>
        <v>0</v>
      </c>
      <c r="K14" s="5">
        <f>'Swimming Pool quality check '!H14</f>
        <v>6726</v>
      </c>
      <c r="L14" s="83">
        <f t="shared" si="39"/>
        <v>0</v>
      </c>
      <c r="M14" s="410">
        <f t="shared" si="15"/>
        <v>457.44</v>
      </c>
      <c r="N14" s="514">
        <f t="shared" ref="N14:N33" si="43">SUM(M14-M13)</f>
        <v>0</v>
      </c>
      <c r="O14" s="410">
        <f t="shared" si="16"/>
        <v>529.52</v>
      </c>
      <c r="P14" s="514">
        <f t="shared" ref="P14:P33" si="44">SUM(O14-O13)</f>
        <v>0</v>
      </c>
      <c r="Q14" s="514">
        <f t="shared" ref="Q14:Q33" si="45">SUM(P14+N14)</f>
        <v>0</v>
      </c>
      <c r="R14" s="514"/>
      <c r="S14" s="514"/>
      <c r="T14" s="5">
        <f t="shared" si="17"/>
        <v>5167</v>
      </c>
      <c r="U14" s="5">
        <f t="shared" si="4"/>
        <v>0</v>
      </c>
      <c r="V14" s="5">
        <f t="shared" si="18"/>
        <v>461</v>
      </c>
      <c r="W14" s="324">
        <f t="shared" si="19"/>
        <v>0</v>
      </c>
      <c r="X14" s="5">
        <v>150380</v>
      </c>
      <c r="Y14" s="324">
        <f t="shared" si="40"/>
        <v>15</v>
      </c>
      <c r="Z14" s="5">
        <v>98511</v>
      </c>
      <c r="AA14" s="83">
        <f t="shared" si="21"/>
        <v>30</v>
      </c>
      <c r="AB14" s="5">
        <f t="shared" si="22"/>
        <v>251</v>
      </c>
      <c r="AC14" s="5">
        <f t="shared" si="23"/>
        <v>731</v>
      </c>
      <c r="AD14" s="83">
        <f t="shared" si="37"/>
        <v>0</v>
      </c>
      <c r="AE14" s="5">
        <f t="shared" si="24"/>
        <v>229.03</v>
      </c>
      <c r="AF14" s="83">
        <f t="shared" si="25"/>
        <v>0</v>
      </c>
      <c r="AG14" s="5">
        <f t="shared" si="26"/>
        <v>2198.54</v>
      </c>
      <c r="AH14" s="83">
        <f t="shared" si="27"/>
        <v>0</v>
      </c>
      <c r="AI14" s="83">
        <f t="shared" si="28"/>
        <v>0</v>
      </c>
      <c r="AJ14" s="326">
        <f t="shared" si="29"/>
        <v>30</v>
      </c>
      <c r="AK14" s="327">
        <f t="shared" si="38"/>
        <v>15</v>
      </c>
      <c r="AL14" s="327">
        <f t="shared" si="30"/>
        <v>30</v>
      </c>
      <c r="AM14" s="327">
        <f>'General information '!D14</f>
        <v>20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7">
        <f t="shared" si="31"/>
        <v>44264</v>
      </c>
      <c r="AS14" s="424">
        <f t="shared" si="6"/>
        <v>0.9</v>
      </c>
      <c r="AT14" s="201">
        <v>35</v>
      </c>
      <c r="AU14" s="425">
        <f t="shared" si="41"/>
        <v>1.1000000000000001</v>
      </c>
      <c r="AV14" s="201">
        <v>130</v>
      </c>
      <c r="AW14" s="5">
        <v>2.9</v>
      </c>
      <c r="AX14" s="201">
        <v>146</v>
      </c>
      <c r="AY14" s="426">
        <f t="shared" si="7"/>
        <v>31.5</v>
      </c>
      <c r="AZ14" s="426">
        <f t="shared" si="32"/>
        <v>143</v>
      </c>
      <c r="BA14" s="426">
        <f t="shared" si="33"/>
        <v>423.4</v>
      </c>
      <c r="BB14" s="21">
        <f t="shared" si="34"/>
        <v>-37.799999999999997</v>
      </c>
      <c r="BC14" s="21">
        <f t="shared" si="35"/>
        <v>13.199999999999989</v>
      </c>
      <c r="BD14" s="21">
        <f t="shared" si="35"/>
        <v>-8.6999999999999886</v>
      </c>
      <c r="BE14" s="24">
        <f t="shared" si="36"/>
        <v>-33.299999999999997</v>
      </c>
      <c r="BF14" s="96">
        <f t="shared" si="8"/>
        <v>33.299999999999997</v>
      </c>
      <c r="BG14" s="82">
        <f t="shared" si="9"/>
        <v>-33.299999999999997</v>
      </c>
    </row>
    <row r="15" spans="1:65" ht="16.5" customHeight="1" thickBot="1">
      <c r="A15" s="6">
        <f>ELEC!C12</f>
        <v>44265</v>
      </c>
      <c r="B15" s="5">
        <f t="shared" si="10"/>
        <v>109443</v>
      </c>
      <c r="C15" s="5">
        <f t="shared" si="11"/>
        <v>0</v>
      </c>
      <c r="D15" s="419">
        <f t="shared" si="12"/>
        <v>0</v>
      </c>
      <c r="E15" s="333">
        <f>SUM((C15*$E$4)+(7500/'EDl log'!$A$37))</f>
        <v>241.93548387096774</v>
      </c>
      <c r="F15" s="418"/>
      <c r="G15" s="5">
        <v>616451</v>
      </c>
      <c r="H15" s="5">
        <f t="shared" si="14"/>
        <v>299</v>
      </c>
      <c r="I15" s="5">
        <f t="shared" si="0"/>
        <v>299</v>
      </c>
      <c r="J15" s="334">
        <f t="shared" si="1"/>
        <v>0.80914877548818642</v>
      </c>
      <c r="K15" s="5">
        <f>'Swimming Pool quality check '!H15</f>
        <v>6726</v>
      </c>
      <c r="L15" s="83">
        <f t="shared" si="39"/>
        <v>0</v>
      </c>
      <c r="M15" s="410">
        <f t="shared" si="15"/>
        <v>457.44</v>
      </c>
      <c r="N15" s="514">
        <f t="shared" si="43"/>
        <v>0</v>
      </c>
      <c r="O15" s="410">
        <f t="shared" si="16"/>
        <v>529.52</v>
      </c>
      <c r="P15" s="514">
        <f t="shared" si="44"/>
        <v>0</v>
      </c>
      <c r="Q15" s="514">
        <f t="shared" si="45"/>
        <v>0</v>
      </c>
      <c r="R15" s="514"/>
      <c r="S15" s="514"/>
      <c r="T15" s="5">
        <f t="shared" si="17"/>
        <v>5167</v>
      </c>
      <c r="U15" s="5">
        <f t="shared" si="4"/>
        <v>0</v>
      </c>
      <c r="V15" s="5">
        <f t="shared" si="18"/>
        <v>461</v>
      </c>
      <c r="W15" s="324">
        <f t="shared" si="19"/>
        <v>0</v>
      </c>
      <c r="X15" s="5">
        <v>150435</v>
      </c>
      <c r="Y15" s="324">
        <f t="shared" si="40"/>
        <v>55</v>
      </c>
      <c r="Z15" s="5">
        <v>98542</v>
      </c>
      <c r="AA15" s="83">
        <f t="shared" si="21"/>
        <v>31</v>
      </c>
      <c r="AB15" s="5">
        <f t="shared" si="22"/>
        <v>251</v>
      </c>
      <c r="AC15" s="5">
        <f t="shared" si="23"/>
        <v>731</v>
      </c>
      <c r="AD15" s="83">
        <f t="shared" si="37"/>
        <v>0</v>
      </c>
      <c r="AE15" s="5">
        <f t="shared" si="24"/>
        <v>229.03</v>
      </c>
      <c r="AF15" s="83">
        <f t="shared" si="25"/>
        <v>0</v>
      </c>
      <c r="AG15" s="5">
        <f t="shared" si="26"/>
        <v>2198.54</v>
      </c>
      <c r="AH15" s="83">
        <f t="shared" si="27"/>
        <v>0</v>
      </c>
      <c r="AI15" s="83">
        <f t="shared" si="28"/>
        <v>0</v>
      </c>
      <c r="AJ15" s="326">
        <f t="shared" si="29"/>
        <v>31</v>
      </c>
      <c r="AK15" s="327">
        <f t="shared" si="38"/>
        <v>55</v>
      </c>
      <c r="AL15" s="327">
        <f t="shared" si="30"/>
        <v>31</v>
      </c>
      <c r="AM15" s="327">
        <f>'General information '!D15</f>
        <v>16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7">
        <f t="shared" si="31"/>
        <v>44265</v>
      </c>
      <c r="AS15" s="424">
        <f t="shared" si="6"/>
        <v>0.9</v>
      </c>
      <c r="AT15" s="201">
        <v>130</v>
      </c>
      <c r="AU15" s="425">
        <f t="shared" si="41"/>
        <v>1.1000000000000001</v>
      </c>
      <c r="AV15" s="201">
        <v>151</v>
      </c>
      <c r="AW15" s="5">
        <v>2.9</v>
      </c>
      <c r="AX15" s="201">
        <v>158</v>
      </c>
      <c r="AY15" s="426">
        <f t="shared" si="7"/>
        <v>117</v>
      </c>
      <c r="AZ15" s="426">
        <f t="shared" si="32"/>
        <v>166.10000000000002</v>
      </c>
      <c r="BA15" s="426">
        <f t="shared" si="33"/>
        <v>458.2</v>
      </c>
      <c r="BB15" s="21">
        <f t="shared" si="34"/>
        <v>85.5</v>
      </c>
      <c r="BC15" s="21">
        <f t="shared" si="35"/>
        <v>23.100000000000023</v>
      </c>
      <c r="BD15" s="21">
        <f t="shared" si="35"/>
        <v>34.800000000000011</v>
      </c>
      <c r="BE15" s="24">
        <f t="shared" si="36"/>
        <v>143.40000000000003</v>
      </c>
      <c r="BF15" s="96">
        <f t="shared" si="8"/>
        <v>155.59999999999997</v>
      </c>
      <c r="BG15" s="82">
        <f t="shared" si="9"/>
        <v>143.40000000000003</v>
      </c>
    </row>
    <row r="16" spans="1:65" ht="15.75" thickBot="1">
      <c r="A16" s="6">
        <f>ELEC!C13</f>
        <v>44266</v>
      </c>
      <c r="B16" s="5">
        <f t="shared" si="10"/>
        <v>109443</v>
      </c>
      <c r="C16" s="5">
        <f t="shared" si="11"/>
        <v>0</v>
      </c>
      <c r="D16" s="419">
        <f t="shared" si="12"/>
        <v>0</v>
      </c>
      <c r="E16" s="333">
        <f>SUM((C16*$E$4)+(7500/'EDl log'!$A$37))</f>
        <v>241.93548387096774</v>
      </c>
      <c r="F16" s="418"/>
      <c r="G16" s="5">
        <f t="shared" si="13"/>
        <v>616451</v>
      </c>
      <c r="H16" s="5">
        <f t="shared" si="14"/>
        <v>0</v>
      </c>
      <c r="I16" s="5">
        <f t="shared" si="0"/>
        <v>0</v>
      </c>
      <c r="J16" s="334">
        <f t="shared" si="1"/>
        <v>0</v>
      </c>
      <c r="K16" s="5">
        <f>'Swimming Pool quality check '!H16</f>
        <v>6728</v>
      </c>
      <c r="L16" s="274">
        <f t="shared" si="39"/>
        <v>2</v>
      </c>
      <c r="M16" s="410">
        <f t="shared" si="15"/>
        <v>457.44</v>
      </c>
      <c r="N16" s="514">
        <f t="shared" si="43"/>
        <v>0</v>
      </c>
      <c r="O16" s="410">
        <f t="shared" si="16"/>
        <v>529.52</v>
      </c>
      <c r="P16" s="514">
        <f t="shared" si="44"/>
        <v>0</v>
      </c>
      <c r="Q16" s="514">
        <f t="shared" si="45"/>
        <v>0</v>
      </c>
      <c r="R16" s="516"/>
      <c r="S16" s="516"/>
      <c r="T16" s="5">
        <f t="shared" si="17"/>
        <v>5167</v>
      </c>
      <c r="U16" s="5">
        <f t="shared" si="4"/>
        <v>0</v>
      </c>
      <c r="V16" s="5">
        <f t="shared" si="18"/>
        <v>461</v>
      </c>
      <c r="W16" s="324">
        <f t="shared" si="19"/>
        <v>0</v>
      </c>
      <c r="X16" s="5">
        <v>150462</v>
      </c>
      <c r="Y16" s="324">
        <f t="shared" si="40"/>
        <v>27</v>
      </c>
      <c r="Z16" s="5">
        <f t="shared" ref="Z16:Z36" si="46">Z15</f>
        <v>98542</v>
      </c>
      <c r="AA16" s="83">
        <f t="shared" si="21"/>
        <v>0</v>
      </c>
      <c r="AB16" s="5">
        <f t="shared" si="22"/>
        <v>251</v>
      </c>
      <c r="AC16" s="5">
        <f t="shared" si="23"/>
        <v>731</v>
      </c>
      <c r="AD16" s="83">
        <f t="shared" si="37"/>
        <v>0</v>
      </c>
      <c r="AE16" s="5">
        <f t="shared" si="24"/>
        <v>229.03</v>
      </c>
      <c r="AF16" s="83">
        <f t="shared" si="25"/>
        <v>0</v>
      </c>
      <c r="AG16" s="5">
        <f t="shared" si="26"/>
        <v>2198.54</v>
      </c>
      <c r="AH16" s="83">
        <f t="shared" si="27"/>
        <v>0</v>
      </c>
      <c r="AI16" s="83">
        <f t="shared" si="28"/>
        <v>0</v>
      </c>
      <c r="AJ16" s="326">
        <f t="shared" si="29"/>
        <v>0</v>
      </c>
      <c r="AK16" s="327">
        <f t="shared" si="38"/>
        <v>25</v>
      </c>
      <c r="AL16" s="327">
        <f t="shared" si="30"/>
        <v>0</v>
      </c>
      <c r="AM16" s="327">
        <f>'General information '!D16</f>
        <v>14.5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7">
        <f t="shared" si="31"/>
        <v>44266</v>
      </c>
      <c r="AS16" s="424">
        <f t="shared" si="6"/>
        <v>0.9</v>
      </c>
      <c r="AT16" s="201">
        <v>103</v>
      </c>
      <c r="AU16" s="425">
        <f t="shared" si="41"/>
        <v>1.1000000000000001</v>
      </c>
      <c r="AV16" s="201">
        <v>148</v>
      </c>
      <c r="AW16" s="5">
        <v>2.9</v>
      </c>
      <c r="AX16" s="201">
        <v>162</v>
      </c>
      <c r="AY16" s="426">
        <f t="shared" si="7"/>
        <v>92.7</v>
      </c>
      <c r="AZ16" s="426">
        <f t="shared" si="32"/>
        <v>162.80000000000001</v>
      </c>
      <c r="BA16" s="426">
        <f t="shared" si="33"/>
        <v>469.8</v>
      </c>
      <c r="BB16" s="21">
        <f t="shared" si="34"/>
        <v>-24.299999999999997</v>
      </c>
      <c r="BC16" s="21">
        <f t="shared" si="35"/>
        <v>-3.3000000000000114</v>
      </c>
      <c r="BD16" s="21">
        <f t="shared" si="35"/>
        <v>11.600000000000023</v>
      </c>
      <c r="BE16" s="24">
        <f t="shared" si="36"/>
        <v>-15.999999999999986</v>
      </c>
      <c r="BF16" s="96">
        <f t="shared" si="8"/>
        <v>15.999999999999986</v>
      </c>
      <c r="BG16" s="82">
        <f t="shared" si="9"/>
        <v>-15.999999999999986</v>
      </c>
    </row>
    <row r="17" spans="1:61" ht="15.75" thickBot="1">
      <c r="A17" s="6">
        <f>ELEC!C14</f>
        <v>44267</v>
      </c>
      <c r="B17" s="5">
        <f t="shared" si="10"/>
        <v>109443</v>
      </c>
      <c r="C17" s="5">
        <f t="shared" si="11"/>
        <v>0</v>
      </c>
      <c r="D17" s="419">
        <f t="shared" si="12"/>
        <v>0</v>
      </c>
      <c r="E17" s="333">
        <f>SUM((C17*$E$4)+(7500/'EDl log'!$A$37))</f>
        <v>241.93548387096774</v>
      </c>
      <c r="F17" s="418"/>
      <c r="G17" s="5">
        <f t="shared" si="13"/>
        <v>616451</v>
      </c>
      <c r="H17" s="5">
        <f t="shared" si="14"/>
        <v>0</v>
      </c>
      <c r="I17" s="5">
        <f t="shared" si="0"/>
        <v>0</v>
      </c>
      <c r="J17" s="334">
        <f t="shared" si="1"/>
        <v>0</v>
      </c>
      <c r="K17" s="5">
        <f>'Swimming Pool quality check '!H17</f>
        <v>6728</v>
      </c>
      <c r="L17" s="83">
        <f t="shared" si="39"/>
        <v>0</v>
      </c>
      <c r="M17" s="410">
        <f t="shared" si="15"/>
        <v>457.44</v>
      </c>
      <c r="N17" s="514">
        <f t="shared" si="43"/>
        <v>0</v>
      </c>
      <c r="O17" s="410">
        <f t="shared" si="16"/>
        <v>529.52</v>
      </c>
      <c r="P17" s="514">
        <f t="shared" si="44"/>
        <v>0</v>
      </c>
      <c r="Q17" s="514">
        <f t="shared" si="45"/>
        <v>0</v>
      </c>
      <c r="R17" s="514"/>
      <c r="S17" s="514"/>
      <c r="T17" s="5">
        <f t="shared" si="17"/>
        <v>5167</v>
      </c>
      <c r="U17" s="5">
        <f t="shared" si="4"/>
        <v>0</v>
      </c>
      <c r="V17" s="5">
        <f t="shared" si="18"/>
        <v>461</v>
      </c>
      <c r="W17" s="324">
        <f t="shared" si="19"/>
        <v>0</v>
      </c>
      <c r="X17" s="5">
        <f t="shared" si="20"/>
        <v>150462</v>
      </c>
      <c r="Y17" s="324">
        <f t="shared" si="40"/>
        <v>0</v>
      </c>
      <c r="Z17" s="5">
        <f t="shared" si="46"/>
        <v>98542</v>
      </c>
      <c r="AA17" s="83">
        <f t="shared" si="21"/>
        <v>0</v>
      </c>
      <c r="AB17" s="5">
        <f t="shared" si="22"/>
        <v>251</v>
      </c>
      <c r="AC17" s="5">
        <f t="shared" si="23"/>
        <v>731</v>
      </c>
      <c r="AD17" s="83">
        <f t="shared" si="37"/>
        <v>0</v>
      </c>
      <c r="AE17" s="5">
        <f t="shared" si="24"/>
        <v>229.03</v>
      </c>
      <c r="AF17" s="83">
        <f t="shared" si="25"/>
        <v>0</v>
      </c>
      <c r="AG17" s="5">
        <f t="shared" si="26"/>
        <v>2198.54</v>
      </c>
      <c r="AH17" s="83">
        <f t="shared" si="27"/>
        <v>0</v>
      </c>
      <c r="AI17" s="83">
        <f t="shared" si="28"/>
        <v>0</v>
      </c>
      <c r="AJ17" s="326">
        <f t="shared" si="29"/>
        <v>0</v>
      </c>
      <c r="AK17" s="327">
        <f>SUM(Y17-L17)</f>
        <v>0</v>
      </c>
      <c r="AL17" s="327">
        <f t="shared" si="30"/>
        <v>0</v>
      </c>
      <c r="AM17" s="327">
        <f>'General information '!D17</f>
        <v>15.5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7">
        <f t="shared" si="31"/>
        <v>44267</v>
      </c>
      <c r="AS17" s="424">
        <f t="shared" si="6"/>
        <v>0.9</v>
      </c>
      <c r="AT17" s="201">
        <v>103</v>
      </c>
      <c r="AU17" s="425">
        <f t="shared" si="41"/>
        <v>1.1000000000000001</v>
      </c>
      <c r="AV17" s="201">
        <v>144</v>
      </c>
      <c r="AW17" s="5">
        <v>2.9</v>
      </c>
      <c r="AX17" s="201">
        <v>161</v>
      </c>
      <c r="AY17" s="426">
        <f t="shared" si="7"/>
        <v>92.7</v>
      </c>
      <c r="AZ17" s="426">
        <f t="shared" si="32"/>
        <v>158.4</v>
      </c>
      <c r="BA17" s="426">
        <f t="shared" si="33"/>
        <v>466.9</v>
      </c>
      <c r="BB17" s="21">
        <f t="shared" si="34"/>
        <v>0</v>
      </c>
      <c r="BC17" s="21">
        <f t="shared" si="35"/>
        <v>-4.4000000000000057</v>
      </c>
      <c r="BD17" s="21">
        <f t="shared" si="35"/>
        <v>-2.9000000000000341</v>
      </c>
      <c r="BE17" s="24">
        <f t="shared" si="36"/>
        <v>-7.3000000000000398</v>
      </c>
      <c r="BF17" s="96">
        <f t="shared" si="8"/>
        <v>7.3000000000000398</v>
      </c>
      <c r="BG17" s="82">
        <f t="shared" si="9"/>
        <v>-7.3000000000000398</v>
      </c>
    </row>
    <row r="18" spans="1:61" ht="15.75" thickBot="1">
      <c r="A18" s="6">
        <f>ELEC!C15</f>
        <v>44268</v>
      </c>
      <c r="B18" s="5">
        <f t="shared" si="10"/>
        <v>109443</v>
      </c>
      <c r="C18" s="5">
        <f t="shared" si="11"/>
        <v>0</v>
      </c>
      <c r="D18" s="419">
        <f t="shared" si="12"/>
        <v>0</v>
      </c>
      <c r="E18" s="333">
        <f>SUM((C18*$E$4)+(7500/'EDl log'!$A$37))</f>
        <v>241.93548387096774</v>
      </c>
      <c r="F18" s="418"/>
      <c r="G18" s="5">
        <f t="shared" si="13"/>
        <v>616451</v>
      </c>
      <c r="H18" s="5">
        <f t="shared" si="14"/>
        <v>0</v>
      </c>
      <c r="I18" s="5">
        <f t="shared" si="0"/>
        <v>0</v>
      </c>
      <c r="J18" s="334">
        <f t="shared" si="1"/>
        <v>0</v>
      </c>
      <c r="K18" s="5">
        <f>'Swimming Pool quality check '!H18</f>
        <v>6729</v>
      </c>
      <c r="L18" s="83">
        <f t="shared" si="39"/>
        <v>1</v>
      </c>
      <c r="M18" s="410">
        <f t="shared" si="15"/>
        <v>457.44</v>
      </c>
      <c r="N18" s="514">
        <f t="shared" si="43"/>
        <v>0</v>
      </c>
      <c r="O18" s="410">
        <f t="shared" si="16"/>
        <v>529.52</v>
      </c>
      <c r="P18" s="514">
        <f t="shared" si="44"/>
        <v>0</v>
      </c>
      <c r="Q18" s="514">
        <f t="shared" si="45"/>
        <v>0</v>
      </c>
      <c r="R18" s="514"/>
      <c r="S18" s="514"/>
      <c r="T18" s="5">
        <f t="shared" si="17"/>
        <v>5167</v>
      </c>
      <c r="U18" s="5">
        <f t="shared" si="4"/>
        <v>0</v>
      </c>
      <c r="V18" s="5">
        <f t="shared" si="18"/>
        <v>461</v>
      </c>
      <c r="W18" s="324">
        <f t="shared" si="19"/>
        <v>0</v>
      </c>
      <c r="X18" s="5">
        <f t="shared" si="20"/>
        <v>150462</v>
      </c>
      <c r="Y18" s="324">
        <f t="shared" si="40"/>
        <v>0</v>
      </c>
      <c r="Z18" s="5">
        <f t="shared" si="46"/>
        <v>98542</v>
      </c>
      <c r="AA18" s="83">
        <f t="shared" si="21"/>
        <v>0</v>
      </c>
      <c r="AB18" s="5">
        <f t="shared" si="22"/>
        <v>251</v>
      </c>
      <c r="AC18" s="5">
        <f t="shared" si="23"/>
        <v>731</v>
      </c>
      <c r="AD18" s="83">
        <f t="shared" si="37"/>
        <v>0</v>
      </c>
      <c r="AE18" s="5">
        <f t="shared" si="24"/>
        <v>229.03</v>
      </c>
      <c r="AF18" s="83">
        <f t="shared" si="25"/>
        <v>0</v>
      </c>
      <c r="AG18" s="5">
        <f t="shared" si="26"/>
        <v>2198.54</v>
      </c>
      <c r="AH18" s="83">
        <f t="shared" si="27"/>
        <v>0</v>
      </c>
      <c r="AI18" s="83">
        <f t="shared" si="28"/>
        <v>0</v>
      </c>
      <c r="AJ18" s="326">
        <f t="shared" si="29"/>
        <v>0</v>
      </c>
      <c r="AK18" s="327">
        <f>SUM(Y18-L18)</f>
        <v>-1</v>
      </c>
      <c r="AL18" s="327">
        <f t="shared" si="30"/>
        <v>0</v>
      </c>
      <c r="AM18" s="327">
        <f>'General information '!D18</f>
        <v>17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7">
        <f t="shared" si="31"/>
        <v>44268</v>
      </c>
      <c r="AS18" s="424">
        <f t="shared" si="6"/>
        <v>0.9</v>
      </c>
      <c r="AT18" s="201">
        <f t="shared" si="6"/>
        <v>103</v>
      </c>
      <c r="AU18" s="425">
        <f t="shared" si="41"/>
        <v>1.1000000000000001</v>
      </c>
      <c r="AV18" s="201">
        <f t="shared" ref="AV18:AV36" si="47">AV17</f>
        <v>144</v>
      </c>
      <c r="AW18" s="5">
        <v>2.9</v>
      </c>
      <c r="AX18" s="201">
        <f t="shared" si="42"/>
        <v>161</v>
      </c>
      <c r="AY18" s="426">
        <f t="shared" si="7"/>
        <v>92.7</v>
      </c>
      <c r="AZ18" s="426">
        <f t="shared" si="32"/>
        <v>158.4</v>
      </c>
      <c r="BA18" s="426">
        <f t="shared" si="33"/>
        <v>466.9</v>
      </c>
      <c r="BB18" s="21">
        <f t="shared" si="34"/>
        <v>0</v>
      </c>
      <c r="BC18" s="21">
        <f t="shared" si="35"/>
        <v>0</v>
      </c>
      <c r="BD18" s="21">
        <f t="shared" si="35"/>
        <v>0</v>
      </c>
      <c r="BE18" s="24">
        <f t="shared" si="36"/>
        <v>0</v>
      </c>
      <c r="BF18" s="96">
        <f t="shared" si="8"/>
        <v>0</v>
      </c>
      <c r="BG18" s="82">
        <f t="shared" si="9"/>
        <v>0</v>
      </c>
    </row>
    <row r="19" spans="1:61" ht="15.75" thickBot="1">
      <c r="A19" s="6">
        <f>ELEC!C16</f>
        <v>44269</v>
      </c>
      <c r="B19" s="5">
        <f t="shared" si="10"/>
        <v>109443</v>
      </c>
      <c r="C19" s="5">
        <f t="shared" si="11"/>
        <v>0</v>
      </c>
      <c r="D19" s="419">
        <f t="shared" si="12"/>
        <v>0</v>
      </c>
      <c r="E19" s="333">
        <f>SUM((C19*$E$4)+(7500/'EDl log'!$A$37))</f>
        <v>241.93548387096774</v>
      </c>
      <c r="F19" s="418"/>
      <c r="G19" s="5">
        <f t="shared" si="13"/>
        <v>616451</v>
      </c>
      <c r="H19" s="5">
        <f t="shared" si="14"/>
        <v>0</v>
      </c>
      <c r="I19" s="5">
        <f t="shared" si="0"/>
        <v>0</v>
      </c>
      <c r="J19" s="334">
        <f t="shared" si="1"/>
        <v>0</v>
      </c>
      <c r="K19" s="5">
        <f>'Swimming Pool quality check '!H19</f>
        <v>6729</v>
      </c>
      <c r="L19" s="83">
        <f t="shared" si="39"/>
        <v>0</v>
      </c>
      <c r="M19" s="410">
        <f t="shared" si="15"/>
        <v>457.44</v>
      </c>
      <c r="N19" s="514">
        <f t="shared" si="43"/>
        <v>0</v>
      </c>
      <c r="O19" s="410">
        <f t="shared" si="16"/>
        <v>529.52</v>
      </c>
      <c r="P19" s="514">
        <f t="shared" si="44"/>
        <v>0</v>
      </c>
      <c r="Q19" s="514">
        <f t="shared" si="45"/>
        <v>0</v>
      </c>
      <c r="R19" s="514"/>
      <c r="S19" s="514"/>
      <c r="T19" s="5">
        <f t="shared" si="17"/>
        <v>5167</v>
      </c>
      <c r="U19" s="5">
        <f t="shared" si="4"/>
        <v>0</v>
      </c>
      <c r="V19" s="5">
        <f t="shared" si="18"/>
        <v>461</v>
      </c>
      <c r="W19" s="324">
        <f t="shared" si="19"/>
        <v>0</v>
      </c>
      <c r="X19" s="5">
        <f t="shared" si="20"/>
        <v>150462</v>
      </c>
      <c r="Y19" s="324">
        <f t="shared" si="40"/>
        <v>0</v>
      </c>
      <c r="Z19" s="5">
        <f t="shared" si="46"/>
        <v>98542</v>
      </c>
      <c r="AA19" s="83">
        <f t="shared" si="21"/>
        <v>0</v>
      </c>
      <c r="AB19" s="5">
        <f t="shared" si="22"/>
        <v>251</v>
      </c>
      <c r="AC19" s="5">
        <f t="shared" si="23"/>
        <v>731</v>
      </c>
      <c r="AD19" s="83">
        <f t="shared" si="37"/>
        <v>0</v>
      </c>
      <c r="AE19" s="5">
        <f t="shared" si="24"/>
        <v>229.03</v>
      </c>
      <c r="AF19" s="83">
        <f t="shared" si="25"/>
        <v>0</v>
      </c>
      <c r="AG19" s="5">
        <f t="shared" si="26"/>
        <v>2198.54</v>
      </c>
      <c r="AH19" s="83">
        <f t="shared" si="27"/>
        <v>0</v>
      </c>
      <c r="AI19" s="83">
        <f t="shared" si="28"/>
        <v>0</v>
      </c>
      <c r="AJ19" s="326">
        <f t="shared" si="29"/>
        <v>0</v>
      </c>
      <c r="AK19" s="327">
        <f t="shared" si="38"/>
        <v>0</v>
      </c>
      <c r="AL19" s="327">
        <f t="shared" si="30"/>
        <v>0</v>
      </c>
      <c r="AM19" s="327">
        <f>'General information '!D19</f>
        <v>17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7">
        <f t="shared" si="31"/>
        <v>44269</v>
      </c>
      <c r="AS19" s="424">
        <f t="shared" si="6"/>
        <v>0.9</v>
      </c>
      <c r="AT19" s="201">
        <f t="shared" si="6"/>
        <v>103</v>
      </c>
      <c r="AU19" s="425">
        <f t="shared" si="41"/>
        <v>1.1000000000000001</v>
      </c>
      <c r="AV19" s="201">
        <v>134</v>
      </c>
      <c r="AW19" s="5">
        <v>2.9</v>
      </c>
      <c r="AX19" s="201">
        <v>150</v>
      </c>
      <c r="AY19" s="426">
        <f t="shared" ref="AY19:AY21" si="48">AS19*AT19</f>
        <v>92.7</v>
      </c>
      <c r="AZ19" s="426">
        <f t="shared" ref="AZ19:AZ21" si="49">AU19*AV19</f>
        <v>147.4</v>
      </c>
      <c r="BA19" s="426">
        <f t="shared" ref="BA19:BA21" si="50">AW19*AX19</f>
        <v>435</v>
      </c>
      <c r="BB19" s="21">
        <f t="shared" ref="BB19:BB20" si="51">AY19-AY18</f>
        <v>0</v>
      </c>
      <c r="BC19" s="21">
        <f t="shared" ref="BC19:BC20" si="52">AZ19-AZ18</f>
        <v>-11</v>
      </c>
      <c r="BD19" s="21">
        <f t="shared" ref="BD19:BD20" si="53">BA19-BA18</f>
        <v>-31.899999999999977</v>
      </c>
      <c r="BE19" s="24">
        <f t="shared" ref="BE19:BE20" si="54">SUM(BB19:BD19)</f>
        <v>-42.899999999999977</v>
      </c>
      <c r="BF19" s="96">
        <f t="shared" si="8"/>
        <v>42.899999999999977</v>
      </c>
      <c r="BG19" s="82">
        <f t="shared" si="9"/>
        <v>-42.899999999999977</v>
      </c>
    </row>
    <row r="20" spans="1:61" ht="15.75" thickBot="1">
      <c r="A20" s="6">
        <f>ELEC!C17</f>
        <v>44270</v>
      </c>
      <c r="B20" s="5">
        <f t="shared" si="10"/>
        <v>109443</v>
      </c>
      <c r="C20" s="5">
        <f t="shared" si="11"/>
        <v>0</v>
      </c>
      <c r="D20" s="419">
        <f t="shared" si="12"/>
        <v>0</v>
      </c>
      <c r="E20" s="333">
        <f>SUM((C20*$E$4)+(7500/'EDl log'!$A$37))</f>
        <v>241.93548387096774</v>
      </c>
      <c r="F20" s="418"/>
      <c r="G20" s="5">
        <f t="shared" si="13"/>
        <v>616451</v>
      </c>
      <c r="H20" s="5">
        <f t="shared" si="14"/>
        <v>0</v>
      </c>
      <c r="I20" s="5">
        <f t="shared" si="0"/>
        <v>0</v>
      </c>
      <c r="J20" s="334">
        <f t="shared" si="1"/>
        <v>0</v>
      </c>
      <c r="K20" s="5">
        <f>'Swimming Pool quality check '!H20</f>
        <v>6729</v>
      </c>
      <c r="L20" s="83">
        <f t="shared" si="39"/>
        <v>0</v>
      </c>
      <c r="M20" s="410">
        <f t="shared" si="15"/>
        <v>457.44</v>
      </c>
      <c r="N20" s="514">
        <f t="shared" si="43"/>
        <v>0</v>
      </c>
      <c r="O20" s="410">
        <f t="shared" si="16"/>
        <v>529.52</v>
      </c>
      <c r="P20" s="514">
        <f t="shared" si="44"/>
        <v>0</v>
      </c>
      <c r="Q20" s="514">
        <f t="shared" si="45"/>
        <v>0</v>
      </c>
      <c r="R20" s="514"/>
      <c r="S20" s="514"/>
      <c r="T20" s="5">
        <f t="shared" si="17"/>
        <v>5167</v>
      </c>
      <c r="U20" s="5">
        <f t="shared" si="4"/>
        <v>0</v>
      </c>
      <c r="V20" s="5">
        <f t="shared" si="18"/>
        <v>461</v>
      </c>
      <c r="W20" s="324">
        <f t="shared" si="19"/>
        <v>0</v>
      </c>
      <c r="X20" s="5">
        <f t="shared" si="20"/>
        <v>150462</v>
      </c>
      <c r="Y20" s="324">
        <f t="shared" si="40"/>
        <v>0</v>
      </c>
      <c r="Z20" s="5">
        <f t="shared" si="46"/>
        <v>98542</v>
      </c>
      <c r="AA20" s="83">
        <f t="shared" si="21"/>
        <v>0</v>
      </c>
      <c r="AB20" s="5">
        <f t="shared" si="22"/>
        <v>251</v>
      </c>
      <c r="AC20" s="5">
        <f t="shared" si="23"/>
        <v>731</v>
      </c>
      <c r="AD20" s="83">
        <f t="shared" si="37"/>
        <v>0</v>
      </c>
      <c r="AE20" s="5">
        <f t="shared" si="24"/>
        <v>229.03</v>
      </c>
      <c r="AF20" s="83">
        <f t="shared" si="25"/>
        <v>0</v>
      </c>
      <c r="AG20" s="5">
        <f t="shared" si="26"/>
        <v>2198.54</v>
      </c>
      <c r="AH20" s="83">
        <f t="shared" si="27"/>
        <v>0</v>
      </c>
      <c r="AI20" s="83">
        <f t="shared" si="28"/>
        <v>0</v>
      </c>
      <c r="AJ20" s="326">
        <f t="shared" si="29"/>
        <v>0</v>
      </c>
      <c r="AK20" s="327">
        <f t="shared" si="38"/>
        <v>0</v>
      </c>
      <c r="AL20" s="327">
        <f t="shared" si="30"/>
        <v>0</v>
      </c>
      <c r="AM20" s="327">
        <f>'General information '!D20</f>
        <v>17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7">
        <f t="shared" si="31"/>
        <v>44270</v>
      </c>
      <c r="AS20" s="424">
        <f t="shared" si="6"/>
        <v>0.9</v>
      </c>
      <c r="AT20" s="201">
        <f t="shared" si="6"/>
        <v>103</v>
      </c>
      <c r="AU20" s="425">
        <f t="shared" si="41"/>
        <v>1.1000000000000001</v>
      </c>
      <c r="AV20" s="201">
        <f t="shared" si="47"/>
        <v>134</v>
      </c>
      <c r="AW20" s="5">
        <v>2.9</v>
      </c>
      <c r="AX20" s="201">
        <f t="shared" si="42"/>
        <v>150</v>
      </c>
      <c r="AY20" s="426">
        <f t="shared" si="48"/>
        <v>92.7</v>
      </c>
      <c r="AZ20" s="426">
        <f t="shared" si="49"/>
        <v>147.4</v>
      </c>
      <c r="BA20" s="426">
        <f t="shared" si="50"/>
        <v>435</v>
      </c>
      <c r="BB20" s="21">
        <f t="shared" si="51"/>
        <v>0</v>
      </c>
      <c r="BC20" s="21">
        <f t="shared" si="52"/>
        <v>0</v>
      </c>
      <c r="BD20" s="21">
        <f t="shared" si="53"/>
        <v>0</v>
      </c>
      <c r="BE20" s="24">
        <f t="shared" si="54"/>
        <v>0</v>
      </c>
      <c r="BF20" s="96">
        <f t="shared" si="8"/>
        <v>0</v>
      </c>
      <c r="BG20" s="82">
        <f t="shared" si="9"/>
        <v>0</v>
      </c>
    </row>
    <row r="21" spans="1:61" ht="15.75" thickBot="1">
      <c r="A21" s="6">
        <f>ELEC!C18</f>
        <v>44271</v>
      </c>
      <c r="B21" s="5">
        <f t="shared" si="10"/>
        <v>109443</v>
      </c>
      <c r="C21" s="5">
        <f t="shared" si="11"/>
        <v>0</v>
      </c>
      <c r="D21" s="419">
        <f t="shared" si="12"/>
        <v>0</v>
      </c>
      <c r="E21" s="333">
        <f>SUM((C21*$E$4)+(7500/'EDl log'!$A$37))</f>
        <v>241.93548387096774</v>
      </c>
      <c r="F21" s="327"/>
      <c r="G21" s="5">
        <f t="shared" si="13"/>
        <v>616451</v>
      </c>
      <c r="H21" s="5">
        <f t="shared" si="14"/>
        <v>0</v>
      </c>
      <c r="I21" s="5">
        <f t="shared" si="0"/>
        <v>0</v>
      </c>
      <c r="J21" s="334">
        <f t="shared" si="1"/>
        <v>0</v>
      </c>
      <c r="K21" s="5">
        <f>'Swimming Pool quality check '!H21</f>
        <v>6729</v>
      </c>
      <c r="L21" s="83">
        <f t="shared" si="39"/>
        <v>0</v>
      </c>
      <c r="M21" s="410">
        <f t="shared" si="15"/>
        <v>457.44</v>
      </c>
      <c r="N21" s="514">
        <f t="shared" si="43"/>
        <v>0</v>
      </c>
      <c r="O21" s="410">
        <f t="shared" si="16"/>
        <v>529.52</v>
      </c>
      <c r="P21" s="514">
        <f t="shared" si="44"/>
        <v>0</v>
      </c>
      <c r="Q21" s="514">
        <f t="shared" si="45"/>
        <v>0</v>
      </c>
      <c r="R21" s="514"/>
      <c r="S21" s="514"/>
      <c r="T21" s="5">
        <v>5169</v>
      </c>
      <c r="U21" s="5">
        <f t="shared" si="4"/>
        <v>2</v>
      </c>
      <c r="V21" s="5">
        <f t="shared" si="18"/>
        <v>461</v>
      </c>
      <c r="W21" s="324">
        <f t="shared" si="19"/>
        <v>0</v>
      </c>
      <c r="X21" s="5">
        <f t="shared" si="20"/>
        <v>150462</v>
      </c>
      <c r="Y21" s="324">
        <f>SUM(X21-X20)</f>
        <v>0</v>
      </c>
      <c r="Z21" s="5">
        <f t="shared" si="46"/>
        <v>98542</v>
      </c>
      <c r="AA21" s="83">
        <f t="shared" si="21"/>
        <v>0</v>
      </c>
      <c r="AB21" s="5">
        <f t="shared" si="22"/>
        <v>251</v>
      </c>
      <c r="AC21" s="5">
        <f t="shared" si="23"/>
        <v>731</v>
      </c>
      <c r="AD21" s="83">
        <f t="shared" si="37"/>
        <v>0</v>
      </c>
      <c r="AE21" s="5">
        <f t="shared" si="24"/>
        <v>229.03</v>
      </c>
      <c r="AF21" s="83">
        <f t="shared" si="25"/>
        <v>0</v>
      </c>
      <c r="AG21" s="5">
        <f t="shared" si="26"/>
        <v>2198.54</v>
      </c>
      <c r="AH21" s="83">
        <f t="shared" si="27"/>
        <v>0</v>
      </c>
      <c r="AI21" s="83">
        <f t="shared" si="28"/>
        <v>0</v>
      </c>
      <c r="AJ21" s="326">
        <f t="shared" si="29"/>
        <v>0</v>
      </c>
      <c r="AK21" s="327">
        <f>SUM(Y21-L21)</f>
        <v>0</v>
      </c>
      <c r="AL21" s="327">
        <f t="shared" si="30"/>
        <v>0</v>
      </c>
      <c r="AM21" s="327">
        <f>'General information '!D21</f>
        <v>16.5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7">
        <f t="shared" si="31"/>
        <v>44271</v>
      </c>
      <c r="AS21" s="424">
        <f t="shared" si="6"/>
        <v>0.9</v>
      </c>
      <c r="AT21" s="201">
        <v>81</v>
      </c>
      <c r="AU21" s="425">
        <f t="shared" si="41"/>
        <v>1.1000000000000001</v>
      </c>
      <c r="AV21" s="201">
        <v>131</v>
      </c>
      <c r="AW21" s="5">
        <v>2.9</v>
      </c>
      <c r="AX21" s="201">
        <v>141</v>
      </c>
      <c r="AY21" s="426">
        <f t="shared" si="48"/>
        <v>72.900000000000006</v>
      </c>
      <c r="AZ21" s="426">
        <f t="shared" si="49"/>
        <v>144.10000000000002</v>
      </c>
      <c r="BA21" s="426">
        <f t="shared" si="50"/>
        <v>408.9</v>
      </c>
      <c r="BB21" s="21">
        <f t="shared" si="34"/>
        <v>-19.799999999999997</v>
      </c>
      <c r="BC21" s="21">
        <f t="shared" si="35"/>
        <v>-3.2999999999999829</v>
      </c>
      <c r="BD21" s="21">
        <f t="shared" si="35"/>
        <v>-26.100000000000023</v>
      </c>
      <c r="BE21" s="24">
        <f t="shared" si="36"/>
        <v>-49.2</v>
      </c>
      <c r="BF21" s="96">
        <f t="shared" si="8"/>
        <v>49.2</v>
      </c>
      <c r="BG21" s="82">
        <f t="shared" si="9"/>
        <v>-49.2</v>
      </c>
    </row>
    <row r="22" spans="1:61" ht="15.75" thickBot="1">
      <c r="A22" s="6">
        <f>ELEC!C19</f>
        <v>44272</v>
      </c>
      <c r="B22" s="5">
        <f t="shared" si="10"/>
        <v>109443</v>
      </c>
      <c r="C22" s="5">
        <f t="shared" si="11"/>
        <v>0</v>
      </c>
      <c r="D22" s="419">
        <f t="shared" si="12"/>
        <v>0</v>
      </c>
      <c r="E22" s="333">
        <f>SUM((C22*$E$4)+(7500/'EDl log'!$A$37))</f>
        <v>241.93548387096774</v>
      </c>
      <c r="F22" s="327"/>
      <c r="G22" s="5">
        <f t="shared" si="13"/>
        <v>616451</v>
      </c>
      <c r="H22" s="5">
        <f t="shared" si="14"/>
        <v>0</v>
      </c>
      <c r="I22" s="5">
        <f t="shared" si="0"/>
        <v>0</v>
      </c>
      <c r="J22" s="334">
        <f t="shared" si="1"/>
        <v>0</v>
      </c>
      <c r="K22" s="5">
        <f>'Swimming Pool quality check '!H22</f>
        <v>6730</v>
      </c>
      <c r="L22" s="83">
        <f t="shared" si="39"/>
        <v>1</v>
      </c>
      <c r="M22" s="410">
        <f t="shared" si="15"/>
        <v>457.44</v>
      </c>
      <c r="N22" s="514">
        <f t="shared" si="43"/>
        <v>0</v>
      </c>
      <c r="O22" s="410">
        <f t="shared" si="16"/>
        <v>529.52</v>
      </c>
      <c r="P22" s="514">
        <f t="shared" si="44"/>
        <v>0</v>
      </c>
      <c r="Q22" s="514">
        <f t="shared" si="45"/>
        <v>0</v>
      </c>
      <c r="R22" s="514"/>
      <c r="S22" s="514"/>
      <c r="T22" s="5">
        <f t="shared" si="17"/>
        <v>5169</v>
      </c>
      <c r="U22" s="5">
        <f t="shared" si="4"/>
        <v>0</v>
      </c>
      <c r="V22" s="5">
        <f t="shared" si="18"/>
        <v>461</v>
      </c>
      <c r="W22" s="324">
        <f t="shared" si="19"/>
        <v>0</v>
      </c>
      <c r="X22" s="5">
        <f t="shared" si="20"/>
        <v>150462</v>
      </c>
      <c r="Y22" s="324">
        <f t="shared" si="40"/>
        <v>0</v>
      </c>
      <c r="Z22" s="5">
        <f t="shared" si="46"/>
        <v>98542</v>
      </c>
      <c r="AA22" s="83">
        <f t="shared" si="21"/>
        <v>0</v>
      </c>
      <c r="AB22" s="5">
        <f t="shared" si="22"/>
        <v>251</v>
      </c>
      <c r="AC22" s="5">
        <f t="shared" si="23"/>
        <v>731</v>
      </c>
      <c r="AD22" s="83">
        <f t="shared" si="37"/>
        <v>0</v>
      </c>
      <c r="AE22" s="5">
        <f t="shared" si="24"/>
        <v>229.03</v>
      </c>
      <c r="AF22" s="83">
        <f t="shared" si="25"/>
        <v>0</v>
      </c>
      <c r="AG22" s="5">
        <f t="shared" si="26"/>
        <v>2198.54</v>
      </c>
      <c r="AH22" s="83">
        <f t="shared" si="27"/>
        <v>0</v>
      </c>
      <c r="AI22" s="83">
        <f t="shared" si="28"/>
        <v>0</v>
      </c>
      <c r="AJ22" s="326">
        <f t="shared" si="29"/>
        <v>0</v>
      </c>
      <c r="AK22" s="327">
        <f t="shared" si="38"/>
        <v>-1</v>
      </c>
      <c r="AL22" s="327">
        <f t="shared" si="30"/>
        <v>0</v>
      </c>
      <c r="AM22" s="327">
        <f>'General information '!D22</f>
        <v>17.5</v>
      </c>
      <c r="AN22" s="84">
        <f>'General information '!H22</f>
        <v>0</v>
      </c>
      <c r="AO22" s="84"/>
      <c r="AP22" s="84">
        <f>'General information '!J22</f>
        <v>0</v>
      </c>
      <c r="AR22" s="277">
        <f t="shared" si="31"/>
        <v>44272</v>
      </c>
      <c r="AS22" s="424">
        <f t="shared" ref="AS22:AT33" si="55">AS21</f>
        <v>0.9</v>
      </c>
      <c r="AT22" s="201">
        <f t="shared" si="55"/>
        <v>81</v>
      </c>
      <c r="AU22" s="425">
        <f t="shared" si="41"/>
        <v>1.1000000000000001</v>
      </c>
      <c r="AV22" s="201">
        <v>123</v>
      </c>
      <c r="AW22" s="5">
        <v>2.9</v>
      </c>
      <c r="AX22" s="201">
        <v>134</v>
      </c>
      <c r="AY22" s="426">
        <f t="shared" si="7"/>
        <v>72.900000000000006</v>
      </c>
      <c r="AZ22" s="426">
        <f t="shared" si="32"/>
        <v>135.30000000000001</v>
      </c>
      <c r="BA22" s="426">
        <f t="shared" si="33"/>
        <v>388.59999999999997</v>
      </c>
      <c r="BB22" s="21">
        <f>AY22-AY21</f>
        <v>0</v>
      </c>
      <c r="BC22" s="21">
        <f t="shared" si="34"/>
        <v>-8.8000000000000114</v>
      </c>
      <c r="BD22" s="21">
        <f t="shared" si="34"/>
        <v>-20.300000000000011</v>
      </c>
      <c r="BE22" s="24">
        <f t="shared" si="36"/>
        <v>-29.100000000000023</v>
      </c>
      <c r="BF22" s="96">
        <f t="shared" si="8"/>
        <v>29.100000000000023</v>
      </c>
      <c r="BG22" s="82">
        <f t="shared" si="9"/>
        <v>-29.100000000000023</v>
      </c>
    </row>
    <row r="23" spans="1:61" ht="15.75" thickBot="1">
      <c r="A23" s="6">
        <f>ELEC!C20</f>
        <v>44273</v>
      </c>
      <c r="B23" s="5">
        <f t="shared" si="10"/>
        <v>109443</v>
      </c>
      <c r="C23" s="5">
        <f t="shared" si="11"/>
        <v>0</v>
      </c>
      <c r="D23" s="419">
        <f t="shared" si="12"/>
        <v>0</v>
      </c>
      <c r="E23" s="333">
        <f>SUM((C23*$E$4)+(7500/'EDl log'!$A$37))</f>
        <v>241.93548387096774</v>
      </c>
      <c r="F23" s="327"/>
      <c r="G23" s="5">
        <v>616706</v>
      </c>
      <c r="H23" s="5">
        <f t="shared" si="14"/>
        <v>255</v>
      </c>
      <c r="I23" s="5">
        <f t="shared" si="0"/>
        <v>255</v>
      </c>
      <c r="J23" s="334">
        <f t="shared" si="1"/>
        <v>0.94876660341555974</v>
      </c>
      <c r="K23" s="5">
        <f>'Swimming Pool quality check '!H23</f>
        <v>6730</v>
      </c>
      <c r="L23" s="274">
        <f t="shared" si="39"/>
        <v>0</v>
      </c>
      <c r="M23" s="410">
        <f t="shared" si="15"/>
        <v>457.44</v>
      </c>
      <c r="N23" s="514">
        <f t="shared" si="43"/>
        <v>0</v>
      </c>
      <c r="O23" s="410">
        <f t="shared" si="16"/>
        <v>529.52</v>
      </c>
      <c r="P23" s="514">
        <f t="shared" si="44"/>
        <v>0</v>
      </c>
      <c r="Q23" s="514">
        <f t="shared" si="45"/>
        <v>0</v>
      </c>
      <c r="R23" s="516"/>
      <c r="S23" s="516"/>
      <c r="T23" s="5">
        <f t="shared" si="17"/>
        <v>5169</v>
      </c>
      <c r="U23" s="5">
        <f t="shared" si="4"/>
        <v>0</v>
      </c>
      <c r="V23" s="5">
        <f t="shared" si="18"/>
        <v>461</v>
      </c>
      <c r="W23" s="324">
        <f t="shared" si="19"/>
        <v>0</v>
      </c>
      <c r="X23" s="5">
        <v>150490</v>
      </c>
      <c r="Y23" s="324">
        <f t="shared" si="40"/>
        <v>28</v>
      </c>
      <c r="Z23" s="5">
        <v>98556</v>
      </c>
      <c r="AA23" s="83">
        <f t="shared" si="21"/>
        <v>14</v>
      </c>
      <c r="AB23" s="5">
        <v>261</v>
      </c>
      <c r="AC23" s="5">
        <f t="shared" si="23"/>
        <v>731</v>
      </c>
      <c r="AD23" s="83">
        <f t="shared" si="37"/>
        <v>0</v>
      </c>
      <c r="AE23" s="5">
        <f t="shared" si="24"/>
        <v>229.03</v>
      </c>
      <c r="AF23" s="83">
        <f t="shared" si="25"/>
        <v>0</v>
      </c>
      <c r="AG23" s="5">
        <f t="shared" si="26"/>
        <v>2198.54</v>
      </c>
      <c r="AH23" s="83">
        <f t="shared" si="27"/>
        <v>0</v>
      </c>
      <c r="AI23" s="83">
        <f t="shared" si="28"/>
        <v>0</v>
      </c>
      <c r="AJ23" s="326">
        <f t="shared" si="29"/>
        <v>14</v>
      </c>
      <c r="AK23" s="327">
        <f t="shared" si="38"/>
        <v>28</v>
      </c>
      <c r="AL23" s="327">
        <f t="shared" si="30"/>
        <v>14</v>
      </c>
      <c r="AM23" s="327">
        <f>'General information '!D23</f>
        <v>17.5</v>
      </c>
      <c r="AN23" s="84">
        <f>'General information '!H23</f>
        <v>0</v>
      </c>
      <c r="AO23" s="84"/>
      <c r="AP23" s="84">
        <f>'General information '!J23</f>
        <v>0</v>
      </c>
      <c r="AR23" s="277">
        <f t="shared" si="31"/>
        <v>44273</v>
      </c>
      <c r="AS23" s="424">
        <f t="shared" si="55"/>
        <v>0.9</v>
      </c>
      <c r="AT23" s="201">
        <v>164</v>
      </c>
      <c r="AU23" s="425">
        <f t="shared" si="41"/>
        <v>1.1000000000000001</v>
      </c>
      <c r="AV23" s="201">
        <v>130</v>
      </c>
      <c r="AW23" s="5">
        <v>2.9</v>
      </c>
      <c r="AX23" s="201">
        <v>117</v>
      </c>
      <c r="AY23" s="426">
        <f t="shared" si="7"/>
        <v>147.6</v>
      </c>
      <c r="AZ23" s="426">
        <f t="shared" si="32"/>
        <v>143</v>
      </c>
      <c r="BA23" s="426">
        <f t="shared" si="33"/>
        <v>339.3</v>
      </c>
      <c r="BB23" s="21">
        <f t="shared" si="34"/>
        <v>74.699999999999989</v>
      </c>
      <c r="BC23" s="21">
        <f t="shared" si="34"/>
        <v>7.6999999999999886</v>
      </c>
      <c r="BD23" s="21">
        <f t="shared" si="34"/>
        <v>-49.299999999999955</v>
      </c>
      <c r="BE23" s="24">
        <f t="shared" si="36"/>
        <v>33.100000000000023</v>
      </c>
      <c r="BF23" s="96">
        <f t="shared" si="8"/>
        <v>221.89999999999998</v>
      </c>
      <c r="BG23" s="82">
        <f t="shared" si="9"/>
        <v>33.100000000000023</v>
      </c>
    </row>
    <row r="24" spans="1:61" ht="15.75" thickBot="1">
      <c r="A24" s="6">
        <f>ELEC!C21</f>
        <v>44274</v>
      </c>
      <c r="B24" s="5">
        <f t="shared" si="10"/>
        <v>109443</v>
      </c>
      <c r="C24" s="5">
        <f t="shared" si="11"/>
        <v>0</v>
      </c>
      <c r="D24" s="419">
        <f t="shared" si="12"/>
        <v>0</v>
      </c>
      <c r="E24" s="333">
        <f>SUM((C24*$E$4)+(7500/'[3]EDl log'!$A$37))</f>
        <v>241.93548387096774</v>
      </c>
      <c r="F24" s="327"/>
      <c r="G24" s="5">
        <f t="shared" si="13"/>
        <v>616706</v>
      </c>
      <c r="H24" s="5">
        <f t="shared" si="14"/>
        <v>0</v>
      </c>
      <c r="I24" s="5">
        <f t="shared" si="0"/>
        <v>0</v>
      </c>
      <c r="J24" s="334">
        <f t="shared" si="1"/>
        <v>0</v>
      </c>
      <c r="K24" s="5">
        <f>'[3]Swimming Pool quality check '!H24</f>
        <v>6713</v>
      </c>
      <c r="L24" s="274">
        <f t="shared" si="39"/>
        <v>-17</v>
      </c>
      <c r="M24" s="410">
        <f t="shared" si="15"/>
        <v>457.44</v>
      </c>
      <c r="N24" s="514">
        <f t="shared" si="43"/>
        <v>0</v>
      </c>
      <c r="O24" s="410">
        <f t="shared" si="16"/>
        <v>529.52</v>
      </c>
      <c r="P24" s="514">
        <f t="shared" si="44"/>
        <v>0</v>
      </c>
      <c r="Q24" s="514">
        <f t="shared" si="45"/>
        <v>0</v>
      </c>
      <c r="R24" s="516"/>
      <c r="S24" s="516"/>
      <c r="T24" s="5">
        <v>5170</v>
      </c>
      <c r="U24" s="5">
        <f t="shared" si="4"/>
        <v>1</v>
      </c>
      <c r="V24" s="5">
        <f t="shared" si="18"/>
        <v>461</v>
      </c>
      <c r="W24" s="324">
        <f t="shared" si="19"/>
        <v>0</v>
      </c>
      <c r="X24" s="5">
        <v>150564</v>
      </c>
      <c r="Y24" s="324">
        <f t="shared" si="40"/>
        <v>74</v>
      </c>
      <c r="Z24" s="5">
        <v>98601</v>
      </c>
      <c r="AA24" s="83">
        <f t="shared" si="21"/>
        <v>45</v>
      </c>
      <c r="AB24" s="5">
        <f t="shared" si="22"/>
        <v>261</v>
      </c>
      <c r="AC24" s="5">
        <f t="shared" si="23"/>
        <v>731</v>
      </c>
      <c r="AD24" s="83">
        <f t="shared" si="37"/>
        <v>0</v>
      </c>
      <c r="AE24" s="5">
        <f t="shared" si="24"/>
        <v>229.03</v>
      </c>
      <c r="AF24" s="83">
        <f t="shared" si="25"/>
        <v>0</v>
      </c>
      <c r="AG24" s="5">
        <f t="shared" si="26"/>
        <v>2198.54</v>
      </c>
      <c r="AH24" s="83">
        <f t="shared" si="27"/>
        <v>0</v>
      </c>
      <c r="AI24" s="83">
        <f t="shared" si="28"/>
        <v>0</v>
      </c>
      <c r="AJ24" s="326">
        <f t="shared" si="29"/>
        <v>45</v>
      </c>
      <c r="AK24" s="327">
        <f t="shared" si="38"/>
        <v>91</v>
      </c>
      <c r="AL24" s="327">
        <f t="shared" si="30"/>
        <v>45</v>
      </c>
      <c r="AM24" s="327">
        <f>'[3]General information '!D24</f>
        <v>13.5</v>
      </c>
      <c r="AN24" s="84">
        <f>'[3]General information '!H24</f>
        <v>0</v>
      </c>
      <c r="AO24" s="84"/>
      <c r="AP24" s="84">
        <f>'[3]General information '!J24</f>
        <v>0</v>
      </c>
      <c r="AR24" s="277">
        <f t="shared" si="31"/>
        <v>44274</v>
      </c>
      <c r="AS24" s="424">
        <f t="shared" si="55"/>
        <v>0.9</v>
      </c>
      <c r="AT24" s="201">
        <v>51</v>
      </c>
      <c r="AU24" s="425">
        <f t="shared" si="41"/>
        <v>1.1000000000000001</v>
      </c>
      <c r="AV24" s="201">
        <v>160</v>
      </c>
      <c r="AW24" s="5">
        <v>2.9</v>
      </c>
      <c r="AX24" s="201">
        <v>122</v>
      </c>
      <c r="AY24" s="426">
        <f t="shared" si="7"/>
        <v>45.9</v>
      </c>
      <c r="AZ24" s="426">
        <f t="shared" si="32"/>
        <v>176</v>
      </c>
      <c r="BA24" s="426">
        <f t="shared" si="33"/>
        <v>353.8</v>
      </c>
      <c r="BB24" s="21">
        <f t="shared" si="34"/>
        <v>-101.69999999999999</v>
      </c>
      <c r="BC24" s="21">
        <f t="shared" si="34"/>
        <v>33</v>
      </c>
      <c r="BD24" s="21">
        <f t="shared" si="34"/>
        <v>14.5</v>
      </c>
      <c r="BE24" s="24">
        <f t="shared" si="36"/>
        <v>-54.199999999999989</v>
      </c>
      <c r="BF24" s="96">
        <f t="shared" si="8"/>
        <v>54.199999999999989</v>
      </c>
      <c r="BG24" s="82">
        <f t="shared" si="9"/>
        <v>-54.199999999999989</v>
      </c>
      <c r="BI24" s="82"/>
    </row>
    <row r="25" spans="1:61" ht="15.75" thickBot="1">
      <c r="A25" s="6">
        <f>ELEC!C22</f>
        <v>44275</v>
      </c>
      <c r="B25" s="5">
        <f t="shared" si="10"/>
        <v>109443</v>
      </c>
      <c r="C25" s="5">
        <f t="shared" si="11"/>
        <v>0</v>
      </c>
      <c r="D25" s="419">
        <f t="shared" si="12"/>
        <v>0</v>
      </c>
      <c r="E25" s="333">
        <f>SUM((C25*$E$4)+(7500/'EDl log'!$A$37))</f>
        <v>241.93548387096774</v>
      </c>
      <c r="F25" s="327"/>
      <c r="G25" s="5">
        <v>616870</v>
      </c>
      <c r="H25" s="5">
        <f t="shared" si="14"/>
        <v>164</v>
      </c>
      <c r="I25" s="5">
        <f t="shared" si="0"/>
        <v>164</v>
      </c>
      <c r="J25" s="334">
        <f t="shared" si="1"/>
        <v>1.4752163650668766</v>
      </c>
      <c r="K25" s="5">
        <f>'Swimming Pool quality check '!H25</f>
        <v>6731</v>
      </c>
      <c r="L25" s="274">
        <f t="shared" si="39"/>
        <v>18</v>
      </c>
      <c r="M25" s="410">
        <f t="shared" si="15"/>
        <v>457.44</v>
      </c>
      <c r="N25" s="514">
        <f t="shared" si="43"/>
        <v>0</v>
      </c>
      <c r="O25" s="410">
        <f t="shared" si="16"/>
        <v>529.52</v>
      </c>
      <c r="P25" s="514">
        <f t="shared" si="44"/>
        <v>0</v>
      </c>
      <c r="Q25" s="514">
        <f t="shared" si="45"/>
        <v>0</v>
      </c>
      <c r="R25" s="516"/>
      <c r="S25" s="516"/>
      <c r="T25" s="5">
        <f t="shared" si="17"/>
        <v>5170</v>
      </c>
      <c r="U25" s="5">
        <f t="shared" si="4"/>
        <v>0</v>
      </c>
      <c r="V25" s="5">
        <f t="shared" si="18"/>
        <v>461</v>
      </c>
      <c r="W25" s="324">
        <f t="shared" si="19"/>
        <v>0</v>
      </c>
      <c r="X25" s="5">
        <v>150606</v>
      </c>
      <c r="Y25" s="324">
        <f t="shared" si="40"/>
        <v>42</v>
      </c>
      <c r="Z25" s="5">
        <v>98615</v>
      </c>
      <c r="AA25" s="83">
        <f t="shared" si="21"/>
        <v>14</v>
      </c>
      <c r="AB25" s="5">
        <f t="shared" si="22"/>
        <v>261</v>
      </c>
      <c r="AC25" s="5">
        <f t="shared" si="23"/>
        <v>731</v>
      </c>
      <c r="AD25" s="83">
        <f t="shared" si="37"/>
        <v>0</v>
      </c>
      <c r="AE25" s="5">
        <f t="shared" si="24"/>
        <v>229.03</v>
      </c>
      <c r="AF25" s="83">
        <f t="shared" si="25"/>
        <v>0</v>
      </c>
      <c r="AG25" s="5">
        <f t="shared" si="26"/>
        <v>2198.54</v>
      </c>
      <c r="AH25" s="83">
        <f t="shared" si="27"/>
        <v>0</v>
      </c>
      <c r="AI25" s="83">
        <f t="shared" si="28"/>
        <v>0</v>
      </c>
      <c r="AJ25" s="326">
        <f t="shared" si="29"/>
        <v>14</v>
      </c>
      <c r="AK25" s="327">
        <f t="shared" si="38"/>
        <v>24</v>
      </c>
      <c r="AL25" s="327">
        <f t="shared" si="30"/>
        <v>14</v>
      </c>
      <c r="AM25" s="327">
        <f>'General information '!D25</f>
        <v>19.5</v>
      </c>
      <c r="AN25" s="84">
        <f>'General information '!H25</f>
        <v>0</v>
      </c>
      <c r="AO25" s="84"/>
      <c r="AP25" s="84">
        <f>'General information '!J25</f>
        <v>0</v>
      </c>
      <c r="AR25" s="277">
        <f t="shared" si="31"/>
        <v>44275</v>
      </c>
      <c r="AS25" s="424">
        <f t="shared" si="55"/>
        <v>0.9</v>
      </c>
      <c r="AT25" s="201">
        <v>167</v>
      </c>
      <c r="AU25" s="425">
        <f t="shared" si="41"/>
        <v>1.1000000000000001</v>
      </c>
      <c r="AV25" s="201">
        <v>165</v>
      </c>
      <c r="AW25" s="5">
        <v>2.9</v>
      </c>
      <c r="AX25" s="201">
        <v>118</v>
      </c>
      <c r="AY25" s="426">
        <f t="shared" si="7"/>
        <v>150.30000000000001</v>
      </c>
      <c r="AZ25" s="426">
        <f t="shared" si="32"/>
        <v>181.50000000000003</v>
      </c>
      <c r="BA25" s="426">
        <f t="shared" si="33"/>
        <v>342.2</v>
      </c>
      <c r="BB25" s="21">
        <f t="shared" si="34"/>
        <v>104.4</v>
      </c>
      <c r="BC25" s="21">
        <f t="shared" si="34"/>
        <v>5.5000000000000284</v>
      </c>
      <c r="BD25" s="21">
        <f t="shared" si="34"/>
        <v>-11.600000000000023</v>
      </c>
      <c r="BE25" s="24">
        <f t="shared" si="36"/>
        <v>98.300000000000011</v>
      </c>
      <c r="BF25" s="96">
        <f t="shared" si="8"/>
        <v>65.699999999999989</v>
      </c>
      <c r="BG25" s="82">
        <f t="shared" si="9"/>
        <v>98.300000000000011</v>
      </c>
    </row>
    <row r="26" spans="1:61" ht="15.75" thickBot="1">
      <c r="A26" s="6">
        <f>ELEC!C23</f>
        <v>44276</v>
      </c>
      <c r="B26" s="5">
        <f t="shared" si="10"/>
        <v>109443</v>
      </c>
      <c r="C26" s="5">
        <f t="shared" si="11"/>
        <v>0</v>
      </c>
      <c r="D26" s="419">
        <f t="shared" si="12"/>
        <v>0</v>
      </c>
      <c r="E26" s="333">
        <f>SUM((C26*$E$4)+(7500/'EDl log'!$A$37))</f>
        <v>241.93548387096774</v>
      </c>
      <c r="F26" s="327"/>
      <c r="G26" s="5">
        <f t="shared" si="13"/>
        <v>616870</v>
      </c>
      <c r="H26" s="5">
        <f>G26-G25</f>
        <v>0</v>
      </c>
      <c r="I26" s="5">
        <f t="shared" si="0"/>
        <v>0</v>
      </c>
      <c r="J26" s="334">
        <f t="shared" si="1"/>
        <v>0</v>
      </c>
      <c r="K26" s="5">
        <f>'Swimming Pool quality check '!H26</f>
        <v>6731</v>
      </c>
      <c r="L26" s="274">
        <f t="shared" si="39"/>
        <v>0</v>
      </c>
      <c r="M26" s="410">
        <f t="shared" si="15"/>
        <v>457.44</v>
      </c>
      <c r="N26" s="514">
        <f t="shared" si="43"/>
        <v>0</v>
      </c>
      <c r="O26" s="410">
        <f t="shared" si="16"/>
        <v>529.52</v>
      </c>
      <c r="P26" s="514">
        <f t="shared" si="44"/>
        <v>0</v>
      </c>
      <c r="Q26" s="514">
        <f t="shared" si="45"/>
        <v>0</v>
      </c>
      <c r="R26" s="516"/>
      <c r="S26" s="516"/>
      <c r="T26" s="5">
        <f t="shared" si="17"/>
        <v>5170</v>
      </c>
      <c r="U26" s="5">
        <f t="shared" si="4"/>
        <v>0</v>
      </c>
      <c r="V26" s="5">
        <v>461</v>
      </c>
      <c r="W26" s="324">
        <f t="shared" si="19"/>
        <v>0</v>
      </c>
      <c r="X26" s="5">
        <v>150695</v>
      </c>
      <c r="Y26" s="324">
        <f t="shared" si="40"/>
        <v>89</v>
      </c>
      <c r="Z26" s="5">
        <f t="shared" si="46"/>
        <v>98615</v>
      </c>
      <c r="AA26" s="83">
        <f t="shared" si="21"/>
        <v>0</v>
      </c>
      <c r="AB26" s="5">
        <f t="shared" si="22"/>
        <v>261</v>
      </c>
      <c r="AC26" s="5">
        <f t="shared" si="23"/>
        <v>731</v>
      </c>
      <c r="AD26" s="83">
        <f t="shared" si="37"/>
        <v>0</v>
      </c>
      <c r="AE26" s="5">
        <f t="shared" si="24"/>
        <v>229.03</v>
      </c>
      <c r="AF26" s="83">
        <f t="shared" si="25"/>
        <v>0</v>
      </c>
      <c r="AG26" s="5">
        <f t="shared" si="26"/>
        <v>2198.54</v>
      </c>
      <c r="AH26" s="83">
        <f t="shared" si="27"/>
        <v>0</v>
      </c>
      <c r="AI26" s="83">
        <f t="shared" si="28"/>
        <v>0</v>
      </c>
      <c r="AJ26" s="326">
        <f t="shared" si="29"/>
        <v>0</v>
      </c>
      <c r="AK26" s="327">
        <f>SUM(Y26-L26)</f>
        <v>89</v>
      </c>
      <c r="AL26" s="327">
        <f>SUM(AJ26-W26)</f>
        <v>0</v>
      </c>
      <c r="AM26" s="327">
        <f>'General information '!D26</f>
        <v>18.5</v>
      </c>
      <c r="AN26" s="84">
        <f>'General information '!H26</f>
        <v>0</v>
      </c>
      <c r="AO26" s="84"/>
      <c r="AP26" s="84">
        <f>'General information '!J26</f>
        <v>0</v>
      </c>
      <c r="AR26" s="277">
        <f t="shared" si="31"/>
        <v>44276</v>
      </c>
      <c r="AS26" s="424">
        <f t="shared" si="55"/>
        <v>0.9</v>
      </c>
      <c r="AT26" s="201">
        <v>77</v>
      </c>
      <c r="AU26" s="425">
        <f t="shared" si="41"/>
        <v>1.1000000000000001</v>
      </c>
      <c r="AV26" s="201">
        <v>167</v>
      </c>
      <c r="AW26" s="5">
        <v>2.9</v>
      </c>
      <c r="AX26" s="201">
        <v>128</v>
      </c>
      <c r="AY26" s="426">
        <f t="shared" si="7"/>
        <v>69.3</v>
      </c>
      <c r="AZ26" s="426">
        <f t="shared" si="32"/>
        <v>183.70000000000002</v>
      </c>
      <c r="BA26" s="426">
        <f t="shared" si="33"/>
        <v>371.2</v>
      </c>
      <c r="BB26" s="21">
        <f t="shared" si="34"/>
        <v>-81.000000000000014</v>
      </c>
      <c r="BC26" s="21">
        <f t="shared" si="34"/>
        <v>2.1999999999999886</v>
      </c>
      <c r="BD26" s="21">
        <f t="shared" si="34"/>
        <v>29</v>
      </c>
      <c r="BE26" s="24">
        <f t="shared" si="36"/>
        <v>-49.800000000000026</v>
      </c>
      <c r="BF26" s="96">
        <f t="shared" si="8"/>
        <v>49.800000000000026</v>
      </c>
      <c r="BG26" s="82">
        <f t="shared" si="9"/>
        <v>-49.800000000000026</v>
      </c>
    </row>
    <row r="27" spans="1:61" ht="15.75" thickBot="1">
      <c r="A27" s="6">
        <f>ELEC!C24</f>
        <v>44277</v>
      </c>
      <c r="B27" s="5">
        <f t="shared" si="10"/>
        <v>109443</v>
      </c>
      <c r="C27" s="5">
        <f t="shared" si="11"/>
        <v>0</v>
      </c>
      <c r="D27" s="419">
        <f t="shared" si="12"/>
        <v>0</v>
      </c>
      <c r="E27" s="333">
        <f>SUM((C27*$E$4)+(7500/'EDl log'!$A$37))</f>
        <v>241.93548387096774</v>
      </c>
      <c r="F27" s="327"/>
      <c r="G27" s="5">
        <v>617242</v>
      </c>
      <c r="H27" s="5">
        <f t="shared" si="14"/>
        <v>372</v>
      </c>
      <c r="I27" s="5">
        <f t="shared" si="0"/>
        <v>372</v>
      </c>
      <c r="J27" s="334">
        <f t="shared" si="1"/>
        <v>0.65036420395421435</v>
      </c>
      <c r="K27" s="5">
        <f>'Swimming Pool quality check '!H27</f>
        <v>6731</v>
      </c>
      <c r="L27" s="274">
        <f t="shared" si="39"/>
        <v>0</v>
      </c>
      <c r="M27" s="410">
        <f t="shared" si="15"/>
        <v>457.44</v>
      </c>
      <c r="N27" s="514">
        <f t="shared" si="43"/>
        <v>0</v>
      </c>
      <c r="O27" s="410">
        <f t="shared" si="16"/>
        <v>529.52</v>
      </c>
      <c r="P27" s="514">
        <f t="shared" si="44"/>
        <v>0</v>
      </c>
      <c r="Q27" s="514">
        <f t="shared" si="45"/>
        <v>0</v>
      </c>
      <c r="R27" s="516"/>
      <c r="S27" s="516"/>
      <c r="T27" s="5">
        <f t="shared" si="17"/>
        <v>5170</v>
      </c>
      <c r="U27" s="5">
        <f t="shared" si="4"/>
        <v>0</v>
      </c>
      <c r="V27" s="5">
        <f t="shared" si="18"/>
        <v>461</v>
      </c>
      <c r="W27" s="324">
        <f t="shared" si="19"/>
        <v>0</v>
      </c>
      <c r="X27" s="5">
        <v>150808</v>
      </c>
      <c r="Y27" s="324">
        <f>SUM(X27-X26)</f>
        <v>113</v>
      </c>
      <c r="Z27" s="5">
        <v>98640</v>
      </c>
      <c r="AA27" s="83">
        <f t="shared" si="21"/>
        <v>25</v>
      </c>
      <c r="AB27" s="5">
        <f t="shared" si="22"/>
        <v>261</v>
      </c>
      <c r="AC27" s="5">
        <f t="shared" si="23"/>
        <v>731</v>
      </c>
      <c r="AD27" s="83">
        <f t="shared" si="37"/>
        <v>0</v>
      </c>
      <c r="AE27" s="5">
        <f t="shared" si="24"/>
        <v>229.03</v>
      </c>
      <c r="AF27" s="83">
        <f t="shared" si="25"/>
        <v>0</v>
      </c>
      <c r="AG27" s="5">
        <f t="shared" si="26"/>
        <v>2198.54</v>
      </c>
      <c r="AH27" s="83">
        <f t="shared" si="27"/>
        <v>0</v>
      </c>
      <c r="AI27" s="83">
        <f t="shared" si="28"/>
        <v>0</v>
      </c>
      <c r="AJ27" s="326">
        <f t="shared" si="29"/>
        <v>25</v>
      </c>
      <c r="AK27" s="327">
        <f t="shared" si="38"/>
        <v>113</v>
      </c>
      <c r="AL27" s="327">
        <f t="shared" si="30"/>
        <v>25</v>
      </c>
      <c r="AM27" s="327">
        <f>'General information '!D27</f>
        <v>20</v>
      </c>
      <c r="AN27" s="84">
        <f>'General information '!H27</f>
        <v>0</v>
      </c>
      <c r="AO27" s="84"/>
      <c r="AP27" s="84">
        <f>'General information '!J27</f>
        <v>0</v>
      </c>
      <c r="AR27" s="277">
        <f t="shared" si="31"/>
        <v>44277</v>
      </c>
      <c r="AS27" s="424">
        <f t="shared" si="55"/>
        <v>0.9</v>
      </c>
      <c r="AT27" s="201">
        <v>107</v>
      </c>
      <c r="AU27" s="425">
        <f t="shared" si="41"/>
        <v>1.1000000000000001</v>
      </c>
      <c r="AV27" s="201">
        <v>177</v>
      </c>
      <c r="AW27" s="5">
        <v>2.9</v>
      </c>
      <c r="AX27" s="201">
        <v>145</v>
      </c>
      <c r="AY27" s="426">
        <f t="shared" si="7"/>
        <v>96.3</v>
      </c>
      <c r="AZ27" s="426">
        <f t="shared" si="32"/>
        <v>194.70000000000002</v>
      </c>
      <c r="BA27" s="426">
        <f t="shared" si="33"/>
        <v>420.5</v>
      </c>
      <c r="BB27" s="21">
        <f t="shared" si="34"/>
        <v>27</v>
      </c>
      <c r="BC27" s="21">
        <f t="shared" si="34"/>
        <v>11</v>
      </c>
      <c r="BD27" s="21">
        <f t="shared" si="34"/>
        <v>49.300000000000011</v>
      </c>
      <c r="BE27" s="24">
        <f t="shared" si="36"/>
        <v>87.300000000000011</v>
      </c>
      <c r="BF27" s="96">
        <f t="shared" si="8"/>
        <v>284.7</v>
      </c>
      <c r="BG27" s="82">
        <f t="shared" si="9"/>
        <v>87.300000000000011</v>
      </c>
    </row>
    <row r="28" spans="1:61" ht="15.75" thickBot="1">
      <c r="A28" s="6">
        <f>ELEC!C25</f>
        <v>44278</v>
      </c>
      <c r="B28" s="5">
        <f t="shared" si="10"/>
        <v>109443</v>
      </c>
      <c r="C28" s="5">
        <f t="shared" si="11"/>
        <v>0</v>
      </c>
      <c r="D28" s="419">
        <f t="shared" si="12"/>
        <v>0</v>
      </c>
      <c r="E28" s="333">
        <f>SUM((C28*$E$4)+(7500/'EDl log'!$A$37))</f>
        <v>241.93548387096774</v>
      </c>
      <c r="F28" s="327"/>
      <c r="G28" s="5">
        <f t="shared" si="13"/>
        <v>617242</v>
      </c>
      <c r="H28" s="5">
        <f t="shared" si="14"/>
        <v>0</v>
      </c>
      <c r="I28" s="5">
        <f t="shared" si="0"/>
        <v>0</v>
      </c>
      <c r="J28" s="334">
        <f t="shared" si="1"/>
        <v>0</v>
      </c>
      <c r="K28" s="5">
        <f>'Swimming Pool quality check '!H28</f>
        <v>6731</v>
      </c>
      <c r="L28" s="274">
        <f t="shared" si="39"/>
        <v>0</v>
      </c>
      <c r="M28" s="410">
        <f t="shared" si="15"/>
        <v>457.44</v>
      </c>
      <c r="N28" s="514">
        <f t="shared" si="43"/>
        <v>0</v>
      </c>
      <c r="O28" s="410">
        <f t="shared" si="16"/>
        <v>529.52</v>
      </c>
      <c r="P28" s="514">
        <f t="shared" si="44"/>
        <v>0</v>
      </c>
      <c r="Q28" s="514">
        <f t="shared" si="45"/>
        <v>0</v>
      </c>
      <c r="R28" s="516"/>
      <c r="S28" s="516"/>
      <c r="T28" s="5">
        <f t="shared" si="17"/>
        <v>5170</v>
      </c>
      <c r="U28" s="5">
        <f t="shared" si="4"/>
        <v>0</v>
      </c>
      <c r="V28" s="5">
        <f t="shared" si="18"/>
        <v>461</v>
      </c>
      <c r="W28" s="324">
        <f t="shared" si="19"/>
        <v>0</v>
      </c>
      <c r="X28" s="5">
        <f t="shared" si="20"/>
        <v>150808</v>
      </c>
      <c r="Y28" s="324">
        <f t="shared" si="40"/>
        <v>0</v>
      </c>
      <c r="Z28" s="5">
        <f t="shared" si="46"/>
        <v>98640</v>
      </c>
      <c r="AA28" s="83">
        <f t="shared" si="21"/>
        <v>0</v>
      </c>
      <c r="AB28" s="5">
        <f t="shared" si="22"/>
        <v>261</v>
      </c>
      <c r="AC28" s="5">
        <f t="shared" si="23"/>
        <v>731</v>
      </c>
      <c r="AD28" s="83">
        <f t="shared" si="37"/>
        <v>0</v>
      </c>
      <c r="AE28" s="5">
        <f t="shared" si="24"/>
        <v>229.03</v>
      </c>
      <c r="AF28" s="83">
        <f t="shared" si="25"/>
        <v>0</v>
      </c>
      <c r="AG28" s="5">
        <f t="shared" si="26"/>
        <v>2198.54</v>
      </c>
      <c r="AH28" s="83">
        <f t="shared" si="27"/>
        <v>0</v>
      </c>
      <c r="AI28" s="83">
        <f t="shared" si="28"/>
        <v>0</v>
      </c>
      <c r="AJ28" s="326">
        <f t="shared" si="29"/>
        <v>0</v>
      </c>
      <c r="AK28" s="327">
        <f t="shared" si="38"/>
        <v>0</v>
      </c>
      <c r="AL28" s="327">
        <f t="shared" si="30"/>
        <v>0</v>
      </c>
      <c r="AM28" s="327">
        <f>'General information '!D28</f>
        <v>25</v>
      </c>
      <c r="AN28" s="84">
        <f>'General information '!H28</f>
        <v>0</v>
      </c>
      <c r="AO28" s="84"/>
      <c r="AP28" s="84">
        <f>'General information '!J28</f>
        <v>0</v>
      </c>
      <c r="AR28" s="277">
        <f t="shared" si="31"/>
        <v>44278</v>
      </c>
      <c r="AS28" s="424">
        <f t="shared" si="55"/>
        <v>0.9</v>
      </c>
      <c r="AT28" s="201">
        <f t="shared" si="55"/>
        <v>107</v>
      </c>
      <c r="AU28" s="425">
        <f t="shared" si="41"/>
        <v>1.1000000000000001</v>
      </c>
      <c r="AV28" s="201">
        <v>172</v>
      </c>
      <c r="AW28" s="5">
        <v>2.9</v>
      </c>
      <c r="AX28" s="201">
        <v>135</v>
      </c>
      <c r="AY28" s="426">
        <f t="shared" si="7"/>
        <v>96.3</v>
      </c>
      <c r="AZ28" s="426">
        <f t="shared" si="32"/>
        <v>189.20000000000002</v>
      </c>
      <c r="BA28" s="426">
        <f t="shared" si="33"/>
        <v>391.5</v>
      </c>
      <c r="BB28" s="21">
        <f t="shared" si="34"/>
        <v>0</v>
      </c>
      <c r="BC28" s="21">
        <f t="shared" si="34"/>
        <v>-5.5</v>
      </c>
      <c r="BD28" s="21">
        <f t="shared" si="34"/>
        <v>-29</v>
      </c>
      <c r="BE28" s="24">
        <f t="shared" si="36"/>
        <v>-34.5</v>
      </c>
      <c r="BF28" s="96">
        <f t="shared" si="8"/>
        <v>34.5</v>
      </c>
      <c r="BG28" s="82">
        <f t="shared" si="9"/>
        <v>-34.5</v>
      </c>
    </row>
    <row r="29" spans="1:61" ht="15.75" thickBot="1">
      <c r="A29" s="6">
        <f>ELEC!C26</f>
        <v>44279</v>
      </c>
      <c r="B29" s="5">
        <f t="shared" si="10"/>
        <v>109443</v>
      </c>
      <c r="C29" s="5">
        <f t="shared" si="11"/>
        <v>0</v>
      </c>
      <c r="D29" s="419">
        <f t="shared" si="12"/>
        <v>0</v>
      </c>
      <c r="E29" s="333">
        <f>SUM((C29*$E$4)+(7500/'EDl log'!$A$37))</f>
        <v>241.93548387096774</v>
      </c>
      <c r="F29" s="327"/>
      <c r="G29" s="5">
        <v>617532</v>
      </c>
      <c r="H29" s="5">
        <f t="shared" si="14"/>
        <v>290</v>
      </c>
      <c r="I29" s="5">
        <f t="shared" si="0"/>
        <v>290</v>
      </c>
      <c r="J29" s="334">
        <f t="shared" si="1"/>
        <v>0.83426028921023365</v>
      </c>
      <c r="K29" s="5">
        <f>'Swimming Pool quality check '!H29</f>
        <v>6732</v>
      </c>
      <c r="L29" s="274">
        <f t="shared" si="39"/>
        <v>1</v>
      </c>
      <c r="M29" s="410">
        <f t="shared" si="15"/>
        <v>457.44</v>
      </c>
      <c r="N29" s="514">
        <f t="shared" si="43"/>
        <v>0</v>
      </c>
      <c r="O29" s="410">
        <f t="shared" si="16"/>
        <v>529.52</v>
      </c>
      <c r="P29" s="514">
        <f t="shared" si="44"/>
        <v>0</v>
      </c>
      <c r="Q29" s="514">
        <f t="shared" si="45"/>
        <v>0</v>
      </c>
      <c r="R29" s="516"/>
      <c r="S29" s="516"/>
      <c r="T29" s="5">
        <f t="shared" si="17"/>
        <v>5170</v>
      </c>
      <c r="U29" s="5">
        <f t="shared" si="4"/>
        <v>0</v>
      </c>
      <c r="V29" s="5">
        <f t="shared" si="18"/>
        <v>461</v>
      </c>
      <c r="W29" s="324">
        <f t="shared" si="19"/>
        <v>0</v>
      </c>
      <c r="X29" s="5">
        <v>151040</v>
      </c>
      <c r="Y29" s="324">
        <f t="shared" si="40"/>
        <v>232</v>
      </c>
      <c r="Z29" s="5">
        <v>98647</v>
      </c>
      <c r="AA29" s="83">
        <f t="shared" si="21"/>
        <v>7</v>
      </c>
      <c r="AB29" s="5">
        <f t="shared" si="22"/>
        <v>261</v>
      </c>
      <c r="AC29" s="5">
        <f t="shared" si="23"/>
        <v>731</v>
      </c>
      <c r="AD29" s="83">
        <f t="shared" si="37"/>
        <v>0</v>
      </c>
      <c r="AE29" s="5">
        <f t="shared" si="24"/>
        <v>229.03</v>
      </c>
      <c r="AF29" s="83">
        <f t="shared" si="25"/>
        <v>0</v>
      </c>
      <c r="AG29" s="5">
        <f t="shared" si="26"/>
        <v>2198.54</v>
      </c>
      <c r="AH29" s="83">
        <f t="shared" si="27"/>
        <v>0</v>
      </c>
      <c r="AI29" s="83">
        <f t="shared" si="28"/>
        <v>0</v>
      </c>
      <c r="AJ29" s="326">
        <f t="shared" si="29"/>
        <v>7</v>
      </c>
      <c r="AK29" s="327">
        <f t="shared" si="38"/>
        <v>231</v>
      </c>
      <c r="AL29" s="327">
        <f t="shared" si="30"/>
        <v>7</v>
      </c>
      <c r="AM29" s="327">
        <f>'General information '!D29</f>
        <v>13.5</v>
      </c>
      <c r="AN29" s="84">
        <f>'General information '!H29</f>
        <v>0</v>
      </c>
      <c r="AO29" s="84"/>
      <c r="AP29" s="84">
        <f>'General information '!J29</f>
        <v>0</v>
      </c>
      <c r="AR29" s="277">
        <f t="shared" si="31"/>
        <v>44279</v>
      </c>
      <c r="AS29" s="424">
        <f t="shared" si="55"/>
        <v>0.9</v>
      </c>
      <c r="AT29" s="201">
        <v>56</v>
      </c>
      <c r="AU29" s="425">
        <f t="shared" si="41"/>
        <v>1.1000000000000001</v>
      </c>
      <c r="AV29" s="201">
        <v>174</v>
      </c>
      <c r="AW29" s="5">
        <v>2.9</v>
      </c>
      <c r="AX29" s="201">
        <v>187</v>
      </c>
      <c r="AY29" s="426">
        <f t="shared" si="7"/>
        <v>50.4</v>
      </c>
      <c r="AZ29" s="426">
        <f t="shared" si="32"/>
        <v>191.4</v>
      </c>
      <c r="BA29" s="426">
        <f t="shared" si="33"/>
        <v>542.29999999999995</v>
      </c>
      <c r="BB29" s="21">
        <f t="shared" si="34"/>
        <v>-45.9</v>
      </c>
      <c r="BC29" s="21">
        <f t="shared" si="34"/>
        <v>2.1999999999999886</v>
      </c>
      <c r="BD29" s="21">
        <f t="shared" si="34"/>
        <v>150.79999999999995</v>
      </c>
      <c r="BE29" s="24">
        <f t="shared" si="36"/>
        <v>107.09999999999994</v>
      </c>
      <c r="BF29" s="96">
        <f t="shared" si="8"/>
        <v>182.90000000000006</v>
      </c>
      <c r="BG29" s="82">
        <f t="shared" si="9"/>
        <v>107.09999999999994</v>
      </c>
    </row>
    <row r="30" spans="1:61" ht="15.75" thickBot="1">
      <c r="A30" s="6">
        <f>ELEC!C27</f>
        <v>44280</v>
      </c>
      <c r="B30" s="5">
        <f t="shared" si="10"/>
        <v>109443</v>
      </c>
      <c r="C30" s="5">
        <f t="shared" si="11"/>
        <v>0</v>
      </c>
      <c r="D30" s="419">
        <f t="shared" si="12"/>
        <v>0</v>
      </c>
      <c r="E30" s="333">
        <f>SUM((C30*$E$4)+(7500/'EDl log'!$A$37))</f>
        <v>241.93548387096774</v>
      </c>
      <c r="F30" s="327"/>
      <c r="G30" s="5">
        <f t="shared" si="13"/>
        <v>617532</v>
      </c>
      <c r="H30" s="5">
        <f t="shared" si="14"/>
        <v>0</v>
      </c>
      <c r="I30" s="5">
        <f t="shared" si="0"/>
        <v>0</v>
      </c>
      <c r="J30" s="334">
        <f t="shared" si="1"/>
        <v>0</v>
      </c>
      <c r="K30" s="5">
        <f>'Swimming Pool quality check '!H30</f>
        <v>6733</v>
      </c>
      <c r="L30" s="274">
        <f t="shared" si="39"/>
        <v>1</v>
      </c>
      <c r="M30" s="410">
        <f t="shared" si="15"/>
        <v>457.44</v>
      </c>
      <c r="N30" s="514">
        <f t="shared" si="43"/>
        <v>0</v>
      </c>
      <c r="O30" s="410">
        <f t="shared" si="16"/>
        <v>529.52</v>
      </c>
      <c r="P30" s="514">
        <f t="shared" si="44"/>
        <v>0</v>
      </c>
      <c r="Q30" s="514">
        <f t="shared" si="45"/>
        <v>0</v>
      </c>
      <c r="R30" s="516"/>
      <c r="S30" s="516"/>
      <c r="T30" s="5">
        <f t="shared" si="17"/>
        <v>5170</v>
      </c>
      <c r="U30" s="5">
        <f t="shared" si="4"/>
        <v>0</v>
      </c>
      <c r="V30" s="5">
        <f t="shared" si="18"/>
        <v>461</v>
      </c>
      <c r="W30" s="324">
        <f t="shared" si="19"/>
        <v>0</v>
      </c>
      <c r="X30" s="5">
        <f t="shared" si="20"/>
        <v>151040</v>
      </c>
      <c r="Y30" s="324">
        <f t="shared" si="40"/>
        <v>0</v>
      </c>
      <c r="Z30" s="5">
        <f t="shared" si="46"/>
        <v>98647</v>
      </c>
      <c r="AA30" s="83">
        <f t="shared" si="21"/>
        <v>0</v>
      </c>
      <c r="AB30" s="5">
        <f t="shared" si="22"/>
        <v>261</v>
      </c>
      <c r="AC30" s="5">
        <f t="shared" si="23"/>
        <v>731</v>
      </c>
      <c r="AD30" s="83">
        <f t="shared" si="37"/>
        <v>0</v>
      </c>
      <c r="AE30" s="5">
        <f t="shared" si="24"/>
        <v>229.03</v>
      </c>
      <c r="AF30" s="83">
        <f t="shared" si="25"/>
        <v>0</v>
      </c>
      <c r="AG30" s="5">
        <f t="shared" si="26"/>
        <v>2198.54</v>
      </c>
      <c r="AH30" s="83">
        <f t="shared" si="27"/>
        <v>0</v>
      </c>
      <c r="AI30" s="83">
        <f t="shared" si="28"/>
        <v>0</v>
      </c>
      <c r="AJ30" s="326">
        <f t="shared" si="29"/>
        <v>0</v>
      </c>
      <c r="AK30" s="327">
        <f t="shared" si="38"/>
        <v>-1</v>
      </c>
      <c r="AL30" s="327">
        <f t="shared" si="30"/>
        <v>0</v>
      </c>
      <c r="AM30" s="327">
        <f>'General information '!D30</f>
        <v>13.5</v>
      </c>
      <c r="AN30" s="84">
        <f>'General information '!H30</f>
        <v>0</v>
      </c>
      <c r="AO30" s="84"/>
      <c r="AP30" s="84">
        <f>'General information '!J30</f>
        <v>0</v>
      </c>
      <c r="AR30" s="277">
        <f t="shared" si="31"/>
        <v>44280</v>
      </c>
      <c r="AS30" s="424">
        <f t="shared" si="55"/>
        <v>0.9</v>
      </c>
      <c r="AT30" s="201">
        <v>56</v>
      </c>
      <c r="AU30" s="425">
        <f t="shared" si="41"/>
        <v>1.1000000000000001</v>
      </c>
      <c r="AV30" s="201">
        <v>170</v>
      </c>
      <c r="AW30" s="5">
        <v>2.9</v>
      </c>
      <c r="AX30" s="201">
        <v>174</v>
      </c>
      <c r="AY30" s="426">
        <f t="shared" si="7"/>
        <v>50.4</v>
      </c>
      <c r="AZ30" s="426">
        <f t="shared" si="32"/>
        <v>187.00000000000003</v>
      </c>
      <c r="BA30" s="426">
        <f t="shared" si="33"/>
        <v>504.59999999999997</v>
      </c>
      <c r="BB30" s="21">
        <f t="shared" si="34"/>
        <v>0</v>
      </c>
      <c r="BC30" s="21">
        <f t="shared" si="34"/>
        <v>-4.3999999999999773</v>
      </c>
      <c r="BD30" s="21">
        <f t="shared" si="34"/>
        <v>-37.699999999999989</v>
      </c>
      <c r="BE30" s="24">
        <f t="shared" si="36"/>
        <v>-42.099999999999966</v>
      </c>
      <c r="BF30" s="96">
        <f t="shared" si="8"/>
        <v>42.099999999999966</v>
      </c>
      <c r="BG30" s="82">
        <f t="shared" si="9"/>
        <v>-42.099999999999966</v>
      </c>
    </row>
    <row r="31" spans="1:61" ht="15.75" thickBot="1">
      <c r="A31" s="6">
        <f>ELEC!C28</f>
        <v>44281</v>
      </c>
      <c r="B31" s="5">
        <f t="shared" si="10"/>
        <v>109443</v>
      </c>
      <c r="C31" s="5">
        <f t="shared" si="11"/>
        <v>0</v>
      </c>
      <c r="D31" s="419">
        <f t="shared" si="12"/>
        <v>0</v>
      </c>
      <c r="E31" s="333">
        <f>SUM((C31*$E$4)+(7500/'EDl log'!$A$37))</f>
        <v>241.93548387096774</v>
      </c>
      <c r="F31" s="327"/>
      <c r="G31" s="5">
        <v>617781</v>
      </c>
      <c r="H31" s="5">
        <f t="shared" si="14"/>
        <v>249</v>
      </c>
      <c r="I31" s="5">
        <f t="shared" si="0"/>
        <v>249</v>
      </c>
      <c r="J31" s="334">
        <f t="shared" si="1"/>
        <v>0.97162844928099501</v>
      </c>
      <c r="K31" s="5">
        <f>'Swimming Pool quality check '!H31</f>
        <v>6733</v>
      </c>
      <c r="L31" s="274">
        <f t="shared" si="39"/>
        <v>0</v>
      </c>
      <c r="M31" s="410">
        <f t="shared" si="15"/>
        <v>457.44</v>
      </c>
      <c r="N31" s="514">
        <f t="shared" si="43"/>
        <v>0</v>
      </c>
      <c r="O31" s="410">
        <f t="shared" si="16"/>
        <v>529.52</v>
      </c>
      <c r="P31" s="514">
        <f t="shared" si="44"/>
        <v>0</v>
      </c>
      <c r="Q31" s="514">
        <f t="shared" si="45"/>
        <v>0</v>
      </c>
      <c r="R31" s="516"/>
      <c r="S31" s="516"/>
      <c r="T31" s="5">
        <f t="shared" si="17"/>
        <v>5170</v>
      </c>
      <c r="U31" s="5">
        <f t="shared" si="4"/>
        <v>0</v>
      </c>
      <c r="V31" s="5">
        <v>469</v>
      </c>
      <c r="W31" s="324">
        <f t="shared" si="19"/>
        <v>8</v>
      </c>
      <c r="X31" s="5">
        <v>151103</v>
      </c>
      <c r="Y31" s="324">
        <f t="shared" si="40"/>
        <v>63</v>
      </c>
      <c r="Z31" s="5">
        <f t="shared" si="46"/>
        <v>98647</v>
      </c>
      <c r="AA31" s="83">
        <f t="shared" si="21"/>
        <v>0</v>
      </c>
      <c r="AB31" s="5">
        <f t="shared" si="22"/>
        <v>261</v>
      </c>
      <c r="AC31" s="5">
        <f t="shared" si="23"/>
        <v>731</v>
      </c>
      <c r="AD31" s="83">
        <f t="shared" si="37"/>
        <v>0</v>
      </c>
      <c r="AE31" s="5">
        <f t="shared" si="24"/>
        <v>229.03</v>
      </c>
      <c r="AF31" s="83">
        <f t="shared" si="25"/>
        <v>0</v>
      </c>
      <c r="AG31" s="5">
        <f t="shared" si="26"/>
        <v>2198.54</v>
      </c>
      <c r="AH31" s="83">
        <f>AG31-AG30</f>
        <v>0</v>
      </c>
      <c r="AI31" s="83">
        <f>AF31+AH31</f>
        <v>0</v>
      </c>
      <c r="AJ31" s="326">
        <f t="shared" si="29"/>
        <v>0</v>
      </c>
      <c r="AK31" s="327">
        <f t="shared" si="38"/>
        <v>63</v>
      </c>
      <c r="AL31" s="327">
        <f t="shared" si="30"/>
        <v>-8</v>
      </c>
      <c r="AM31" s="327">
        <f>'General information '!D31</f>
        <v>13</v>
      </c>
      <c r="AN31" s="84">
        <f>'General information '!H31</f>
        <v>0</v>
      </c>
      <c r="AO31" s="84"/>
      <c r="AP31" s="84">
        <f>'General information '!J31</f>
        <v>0</v>
      </c>
      <c r="AR31" s="277">
        <f t="shared" si="31"/>
        <v>44281</v>
      </c>
      <c r="AS31" s="424">
        <f t="shared" si="55"/>
        <v>0.9</v>
      </c>
      <c r="AT31" s="201">
        <v>149</v>
      </c>
      <c r="AU31" s="425">
        <f t="shared" si="41"/>
        <v>1.1000000000000001</v>
      </c>
      <c r="AV31" s="201">
        <v>169</v>
      </c>
      <c r="AW31" s="5">
        <v>2.9</v>
      </c>
      <c r="AX31" s="201">
        <v>186</v>
      </c>
      <c r="AY31" s="426">
        <f t="shared" si="7"/>
        <v>134.1</v>
      </c>
      <c r="AZ31" s="426">
        <f t="shared" si="32"/>
        <v>185.9</v>
      </c>
      <c r="BA31" s="426">
        <f t="shared" si="33"/>
        <v>539.4</v>
      </c>
      <c r="BB31" s="21">
        <f t="shared" si="34"/>
        <v>83.699999999999989</v>
      </c>
      <c r="BC31" s="21">
        <f t="shared" si="34"/>
        <v>-1.1000000000000227</v>
      </c>
      <c r="BD31" s="21">
        <f t="shared" si="34"/>
        <v>34.800000000000011</v>
      </c>
      <c r="BE31" s="24">
        <f t="shared" si="36"/>
        <v>117.39999999999998</v>
      </c>
      <c r="BF31" s="96">
        <f t="shared" si="8"/>
        <v>131.60000000000002</v>
      </c>
      <c r="BG31" s="82">
        <f t="shared" si="9"/>
        <v>117.39999999999998</v>
      </c>
    </row>
    <row r="32" spans="1:61" ht="15.75" thickBot="1">
      <c r="A32" s="6">
        <f>ELEC!C29</f>
        <v>44282</v>
      </c>
      <c r="B32" s="5">
        <f t="shared" si="10"/>
        <v>109443</v>
      </c>
      <c r="C32" s="5">
        <f t="shared" si="11"/>
        <v>0</v>
      </c>
      <c r="D32" s="419">
        <f t="shared" si="12"/>
        <v>0</v>
      </c>
      <c r="E32" s="333">
        <f>SUM((C32*$E$4)+(7500/'EDl log'!$A$37))</f>
        <v>241.93548387096774</v>
      </c>
      <c r="F32" s="327"/>
      <c r="G32" s="5">
        <f t="shared" si="13"/>
        <v>617781</v>
      </c>
      <c r="H32" s="5">
        <f t="shared" si="14"/>
        <v>0</v>
      </c>
      <c r="I32" s="5">
        <f t="shared" si="0"/>
        <v>0</v>
      </c>
      <c r="J32" s="334">
        <f t="shared" si="1"/>
        <v>0</v>
      </c>
      <c r="K32" s="5">
        <f>'Swimming Pool quality check '!H32</f>
        <v>6733</v>
      </c>
      <c r="L32" s="274">
        <f t="shared" si="39"/>
        <v>0</v>
      </c>
      <c r="M32" s="410">
        <f t="shared" si="15"/>
        <v>457.44</v>
      </c>
      <c r="N32" s="514">
        <f t="shared" si="43"/>
        <v>0</v>
      </c>
      <c r="O32" s="410">
        <f t="shared" si="16"/>
        <v>529.52</v>
      </c>
      <c r="P32" s="514">
        <f t="shared" si="44"/>
        <v>0</v>
      </c>
      <c r="Q32" s="514">
        <f t="shared" si="45"/>
        <v>0</v>
      </c>
      <c r="R32" s="516"/>
      <c r="S32" s="516"/>
      <c r="T32" s="5">
        <f t="shared" si="17"/>
        <v>5170</v>
      </c>
      <c r="U32" s="5">
        <f t="shared" si="4"/>
        <v>0</v>
      </c>
      <c r="V32" s="5">
        <f t="shared" si="18"/>
        <v>469</v>
      </c>
      <c r="W32" s="324">
        <f t="shared" si="19"/>
        <v>0</v>
      </c>
      <c r="X32" s="5">
        <v>151175</v>
      </c>
      <c r="Y32" s="324">
        <f t="shared" si="40"/>
        <v>72</v>
      </c>
      <c r="Z32" s="5">
        <v>98684</v>
      </c>
      <c r="AA32" s="83">
        <f t="shared" si="21"/>
        <v>37</v>
      </c>
      <c r="AB32" s="5">
        <f t="shared" si="22"/>
        <v>261</v>
      </c>
      <c r="AC32" s="5">
        <f t="shared" si="23"/>
        <v>731</v>
      </c>
      <c r="AD32" s="83">
        <f t="shared" si="37"/>
        <v>0</v>
      </c>
      <c r="AE32" s="5">
        <f t="shared" si="24"/>
        <v>229.03</v>
      </c>
      <c r="AF32" s="83">
        <f t="shared" si="25"/>
        <v>0</v>
      </c>
      <c r="AG32" s="5">
        <f t="shared" si="26"/>
        <v>2198.54</v>
      </c>
      <c r="AH32" s="83">
        <f t="shared" si="27"/>
        <v>0</v>
      </c>
      <c r="AI32" s="83">
        <f t="shared" si="28"/>
        <v>0</v>
      </c>
      <c r="AJ32" s="326">
        <f t="shared" si="29"/>
        <v>37</v>
      </c>
      <c r="AK32" s="327">
        <f t="shared" si="38"/>
        <v>72</v>
      </c>
      <c r="AL32" s="327">
        <f t="shared" si="30"/>
        <v>37</v>
      </c>
      <c r="AM32" s="327">
        <f>'General information '!D32</f>
        <v>14</v>
      </c>
      <c r="AN32" s="84">
        <f>'General information '!H32</f>
        <v>0</v>
      </c>
      <c r="AO32" s="84"/>
      <c r="AP32" s="84">
        <f>'General information '!J32</f>
        <v>0</v>
      </c>
      <c r="AR32" s="277">
        <f t="shared" si="31"/>
        <v>44282</v>
      </c>
      <c r="AS32" s="424">
        <f t="shared" si="55"/>
        <v>0.9</v>
      </c>
      <c r="AT32" s="201">
        <v>60</v>
      </c>
      <c r="AU32" s="425">
        <f t="shared" si="41"/>
        <v>1.1000000000000001</v>
      </c>
      <c r="AV32" s="201">
        <v>192</v>
      </c>
      <c r="AW32" s="5">
        <v>2.9</v>
      </c>
      <c r="AX32" s="201">
        <v>191</v>
      </c>
      <c r="AY32" s="426">
        <f t="shared" si="7"/>
        <v>54</v>
      </c>
      <c r="AZ32" s="426">
        <f t="shared" si="32"/>
        <v>211.20000000000002</v>
      </c>
      <c r="BA32" s="426">
        <f t="shared" si="33"/>
        <v>553.9</v>
      </c>
      <c r="BB32" s="21">
        <f t="shared" si="34"/>
        <v>-80.099999999999994</v>
      </c>
      <c r="BC32" s="21">
        <f t="shared" si="34"/>
        <v>25.300000000000011</v>
      </c>
      <c r="BD32" s="21">
        <f t="shared" si="34"/>
        <v>14.5</v>
      </c>
      <c r="BE32" s="24">
        <f t="shared" si="36"/>
        <v>-40.299999999999983</v>
      </c>
      <c r="BF32" s="96">
        <f t="shared" si="8"/>
        <v>40.299999999999983</v>
      </c>
      <c r="BG32" s="82">
        <f t="shared" si="9"/>
        <v>-40.299999999999983</v>
      </c>
    </row>
    <row r="33" spans="1:59" ht="15.75" thickBot="1">
      <c r="A33" s="6">
        <f>ELEC!C30</f>
        <v>44283</v>
      </c>
      <c r="B33" s="5">
        <f t="shared" si="10"/>
        <v>109443</v>
      </c>
      <c r="C33" s="5">
        <f t="shared" si="11"/>
        <v>0</v>
      </c>
      <c r="D33" s="419">
        <f t="shared" si="12"/>
        <v>0</v>
      </c>
      <c r="E33" s="333">
        <f>SUM((C33*$E$4)+(7500/'EDl log'!$A$37))</f>
        <v>241.93548387096774</v>
      </c>
      <c r="F33" s="327"/>
      <c r="G33" s="5">
        <v>618063</v>
      </c>
      <c r="H33" s="5">
        <f t="shared" si="14"/>
        <v>282</v>
      </c>
      <c r="I33" s="5">
        <f t="shared" si="0"/>
        <v>282</v>
      </c>
      <c r="J33" s="334">
        <f t="shared" si="1"/>
        <v>0.85792724776938911</v>
      </c>
      <c r="K33" s="5">
        <f>'Swimming Pool quality check '!H33</f>
        <v>6733</v>
      </c>
      <c r="L33" s="274">
        <f t="shared" si="39"/>
        <v>0</v>
      </c>
      <c r="M33" s="410">
        <f t="shared" si="15"/>
        <v>457.44</v>
      </c>
      <c r="N33" s="514">
        <f t="shared" si="43"/>
        <v>0</v>
      </c>
      <c r="O33" s="410">
        <f t="shared" si="16"/>
        <v>529.52</v>
      </c>
      <c r="P33" s="514">
        <f t="shared" si="44"/>
        <v>0</v>
      </c>
      <c r="Q33" s="514">
        <f t="shared" si="45"/>
        <v>0</v>
      </c>
      <c r="R33" s="516"/>
      <c r="S33" s="516"/>
      <c r="T33" s="5">
        <f t="shared" si="17"/>
        <v>5170</v>
      </c>
      <c r="U33" s="5">
        <f t="shared" si="4"/>
        <v>0</v>
      </c>
      <c r="V33" s="5">
        <f t="shared" si="18"/>
        <v>469</v>
      </c>
      <c r="W33" s="324">
        <f t="shared" si="19"/>
        <v>0</v>
      </c>
      <c r="X33" s="5">
        <v>151220</v>
      </c>
      <c r="Y33" s="324">
        <f t="shared" si="40"/>
        <v>45</v>
      </c>
      <c r="Z33" s="5">
        <v>98697</v>
      </c>
      <c r="AA33" s="83">
        <f t="shared" si="21"/>
        <v>13</v>
      </c>
      <c r="AB33" s="5">
        <f t="shared" si="22"/>
        <v>261</v>
      </c>
      <c r="AC33" s="5">
        <f t="shared" si="23"/>
        <v>731</v>
      </c>
      <c r="AD33" s="83">
        <f t="shared" si="37"/>
        <v>0</v>
      </c>
      <c r="AE33" s="5">
        <f t="shared" si="24"/>
        <v>229.03</v>
      </c>
      <c r="AF33" s="83">
        <f>AE33-AE32</f>
        <v>0</v>
      </c>
      <c r="AG33" s="5">
        <f t="shared" si="26"/>
        <v>2198.54</v>
      </c>
      <c r="AH33" s="83">
        <f t="shared" si="27"/>
        <v>0</v>
      </c>
      <c r="AI33" s="83">
        <f t="shared" si="28"/>
        <v>0</v>
      </c>
      <c r="AJ33" s="326">
        <f t="shared" si="29"/>
        <v>13</v>
      </c>
      <c r="AK33" s="327">
        <f t="shared" si="38"/>
        <v>45</v>
      </c>
      <c r="AL33" s="327">
        <f t="shared" si="30"/>
        <v>13</v>
      </c>
      <c r="AM33" s="327">
        <f>'General information '!D33</f>
        <v>15</v>
      </c>
      <c r="AN33" s="84">
        <f>'General information '!H33</f>
        <v>0</v>
      </c>
      <c r="AO33" s="84"/>
      <c r="AP33" s="84">
        <f>'General information '!J33</f>
        <v>0</v>
      </c>
      <c r="AR33" s="277">
        <f t="shared" si="31"/>
        <v>44283</v>
      </c>
      <c r="AS33" s="424">
        <f t="shared" si="55"/>
        <v>0.9</v>
      </c>
      <c r="AT33" s="201">
        <v>173</v>
      </c>
      <c r="AU33" s="425">
        <f t="shared" si="41"/>
        <v>1.1000000000000001</v>
      </c>
      <c r="AV33" s="201">
        <v>201</v>
      </c>
      <c r="AW33" s="5">
        <v>2.9</v>
      </c>
      <c r="AX33" s="201">
        <v>194</v>
      </c>
      <c r="AY33" s="426">
        <f t="shared" si="7"/>
        <v>155.70000000000002</v>
      </c>
      <c r="AZ33" s="426">
        <f t="shared" si="32"/>
        <v>221.10000000000002</v>
      </c>
      <c r="BA33" s="426">
        <f t="shared" si="33"/>
        <v>562.6</v>
      </c>
      <c r="BB33" s="21">
        <f t="shared" si="34"/>
        <v>101.70000000000002</v>
      </c>
      <c r="BC33" s="21">
        <f t="shared" si="34"/>
        <v>9.9000000000000057</v>
      </c>
      <c r="BD33" s="21">
        <f t="shared" si="34"/>
        <v>8.7000000000000455</v>
      </c>
      <c r="BE33" s="24">
        <f t="shared" si="36"/>
        <v>120.30000000000007</v>
      </c>
      <c r="BF33" s="96">
        <f t="shared" si="8"/>
        <v>161.69999999999993</v>
      </c>
      <c r="BG33" s="82">
        <f t="shared" si="9"/>
        <v>120.30000000000007</v>
      </c>
    </row>
    <row r="34" spans="1:59" ht="15.75" thickBot="1">
      <c r="A34" s="6">
        <f>ELEC!C31</f>
        <v>44284</v>
      </c>
      <c r="B34" s="5">
        <f t="shared" si="10"/>
        <v>109443</v>
      </c>
      <c r="C34" s="5">
        <f t="shared" ref="C34:C36" si="56">B34-B33</f>
        <v>0</v>
      </c>
      <c r="D34" s="419">
        <f t="shared" ref="D34:D36" si="57">C34/27</f>
        <v>0</v>
      </c>
      <c r="E34" s="333">
        <f>SUM((C34*$E$4)+(7500/'EDl log'!$A$37))</f>
        <v>241.93548387096774</v>
      </c>
      <c r="F34" s="327"/>
      <c r="G34" s="5">
        <f t="shared" si="13"/>
        <v>618063</v>
      </c>
      <c r="H34" s="5">
        <f t="shared" ref="H34:H36" si="58">G34-G33</f>
        <v>0</v>
      </c>
      <c r="I34" s="5">
        <f t="shared" ref="I34:I36" si="59">C34+H34</f>
        <v>0</v>
      </c>
      <c r="J34" s="334">
        <f t="shared" ref="J34:J36" si="60">IF(I34&gt;0,E34/I34,0)</f>
        <v>0</v>
      </c>
      <c r="K34" s="5">
        <f>'Swimming Pool quality check '!H34</f>
        <v>6733</v>
      </c>
      <c r="L34" s="274">
        <f t="shared" ref="L34:L36" si="61">K34-K33</f>
        <v>0</v>
      </c>
      <c r="M34" s="410">
        <f t="shared" si="15"/>
        <v>457.44</v>
      </c>
      <c r="N34" s="514">
        <f t="shared" ref="N34:N36" si="62">SUM(M34-M33)</f>
        <v>0</v>
      </c>
      <c r="O34" s="410">
        <f t="shared" si="16"/>
        <v>529.52</v>
      </c>
      <c r="P34" s="514">
        <f t="shared" ref="P34:P36" si="63">SUM(O34-O33)</f>
        <v>0</v>
      </c>
      <c r="Q34" s="514">
        <f t="shared" ref="Q34:Q36" si="64">SUM(P34+N34)</f>
        <v>0</v>
      </c>
      <c r="R34" s="516"/>
      <c r="S34" s="516"/>
      <c r="T34" s="5">
        <v>5171</v>
      </c>
      <c r="U34" s="5">
        <f t="shared" ref="U34:U36" si="65">SUM(T34-T33)</f>
        <v>1</v>
      </c>
      <c r="V34" s="5">
        <f t="shared" si="18"/>
        <v>469</v>
      </c>
      <c r="W34" s="324">
        <f t="shared" ref="W34:W36" si="66">+V34-V33</f>
        <v>0</v>
      </c>
      <c r="X34" s="5">
        <f t="shared" si="20"/>
        <v>151220</v>
      </c>
      <c r="Y34" s="324">
        <f t="shared" ref="Y34:Y36" si="67">SUM(X34-X33)</f>
        <v>0</v>
      </c>
      <c r="Z34" s="5">
        <f t="shared" si="46"/>
        <v>98697</v>
      </c>
      <c r="AA34" s="83">
        <f t="shared" ref="AA34:AA36" si="68">Z34-Z33</f>
        <v>0</v>
      </c>
      <c r="AB34" s="5">
        <f t="shared" si="22"/>
        <v>261</v>
      </c>
      <c r="AC34" s="5">
        <f t="shared" si="23"/>
        <v>731</v>
      </c>
      <c r="AD34" s="83">
        <f t="shared" ref="AD34:AD36" si="69">AC34-AC33</f>
        <v>0</v>
      </c>
      <c r="AE34" s="5">
        <f t="shared" si="24"/>
        <v>229.03</v>
      </c>
      <c r="AF34" s="83">
        <f t="shared" ref="AF34:AF36" si="70">AE34-AE33</f>
        <v>0</v>
      </c>
      <c r="AG34" s="5">
        <f t="shared" si="26"/>
        <v>2198.54</v>
      </c>
      <c r="AH34" s="83">
        <f t="shared" ref="AH34:AH36" si="71">AG34-AG33</f>
        <v>0</v>
      </c>
      <c r="AI34" s="83">
        <f t="shared" ref="AI34:AI36" si="72">AF34+AH34</f>
        <v>0</v>
      </c>
      <c r="AJ34" s="326">
        <f t="shared" ref="AJ34:AJ36" si="73">+Z34-Z33</f>
        <v>0</v>
      </c>
      <c r="AK34" s="327">
        <f t="shared" ref="AK34:AK36" si="74">SUM(Y34-L34)</f>
        <v>0</v>
      </c>
      <c r="AL34" s="327">
        <f t="shared" ref="AL34:AL36" si="75">SUM(AJ34-W34)</f>
        <v>0</v>
      </c>
      <c r="AM34" s="327">
        <f>'General information '!D34</f>
        <v>15.5</v>
      </c>
      <c r="AN34" s="84">
        <f>'General information '!H34</f>
        <v>0</v>
      </c>
      <c r="AO34" s="84"/>
      <c r="AP34" s="84">
        <f>'General information '!J34</f>
        <v>0</v>
      </c>
      <c r="AR34" s="277">
        <f t="shared" ref="AR34:AR36" si="76">A34</f>
        <v>44284</v>
      </c>
      <c r="AS34" s="424">
        <f t="shared" ref="AS34:AT34" si="77">AS33</f>
        <v>0.9</v>
      </c>
      <c r="AT34" s="201">
        <f t="shared" si="77"/>
        <v>173</v>
      </c>
      <c r="AU34" s="425">
        <f t="shared" ref="AU34" si="78">AU33</f>
        <v>1.1000000000000001</v>
      </c>
      <c r="AV34" s="201">
        <v>196</v>
      </c>
      <c r="AW34" s="5">
        <v>2.9</v>
      </c>
      <c r="AX34" s="201">
        <v>189</v>
      </c>
      <c r="AY34" s="426">
        <f t="shared" ref="AY34:AY36" si="79">AS34*AT34</f>
        <v>155.70000000000002</v>
      </c>
      <c r="AZ34" s="426">
        <f t="shared" ref="AZ34:AZ36" si="80">AU34*AV34</f>
        <v>215.60000000000002</v>
      </c>
      <c r="BA34" s="426">
        <f t="shared" ref="BA34:BA36" si="81">AW34*AX34</f>
        <v>548.1</v>
      </c>
      <c r="BB34" s="21">
        <f t="shared" ref="BB34:BB36" si="82">AY34-AY33</f>
        <v>0</v>
      </c>
      <c r="BC34" s="21">
        <f t="shared" ref="BC34:BC36" si="83">AZ34-AZ33</f>
        <v>-5.5</v>
      </c>
      <c r="BD34" s="21">
        <f t="shared" ref="BD34:BD36" si="84">BA34-BA33</f>
        <v>-14.5</v>
      </c>
      <c r="BE34" s="24">
        <f t="shared" ref="BE34:BE36" si="85">SUM(BB34:BD34)</f>
        <v>-20</v>
      </c>
      <c r="BF34" s="96">
        <f t="shared" ref="BF34:BF36" si="86">SUM(I34-BE34)</f>
        <v>20</v>
      </c>
      <c r="BG34" s="82">
        <f t="shared" ref="BG34:BG36" si="87">SUM(I34-BF34)</f>
        <v>-20</v>
      </c>
    </row>
    <row r="35" spans="1:59" ht="15.75" thickBot="1">
      <c r="A35" s="6">
        <f>ELEC!C32</f>
        <v>44285</v>
      </c>
      <c r="B35" s="5">
        <f t="shared" si="10"/>
        <v>109443</v>
      </c>
      <c r="C35" s="5">
        <f t="shared" si="56"/>
        <v>0</v>
      </c>
      <c r="D35" s="419">
        <f t="shared" si="57"/>
        <v>0</v>
      </c>
      <c r="E35" s="333">
        <f>SUM((C35*$E$4)+(7500/'EDl log'!$A$37))</f>
        <v>241.93548387096774</v>
      </c>
      <c r="F35" s="327"/>
      <c r="G35" s="5">
        <f t="shared" si="13"/>
        <v>618063</v>
      </c>
      <c r="H35" s="5">
        <f t="shared" si="58"/>
        <v>0</v>
      </c>
      <c r="I35" s="5">
        <f t="shared" si="59"/>
        <v>0</v>
      </c>
      <c r="J35" s="334">
        <f t="shared" si="60"/>
        <v>0</v>
      </c>
      <c r="K35" s="5">
        <f>'Swimming Pool quality check '!H35</f>
        <v>6733</v>
      </c>
      <c r="L35" s="274">
        <f t="shared" si="61"/>
        <v>0</v>
      </c>
      <c r="M35" s="410">
        <f t="shared" si="15"/>
        <v>457.44</v>
      </c>
      <c r="N35" s="514">
        <f t="shared" si="62"/>
        <v>0</v>
      </c>
      <c r="O35" s="410">
        <f t="shared" si="16"/>
        <v>529.52</v>
      </c>
      <c r="P35" s="514">
        <f t="shared" si="63"/>
        <v>0</v>
      </c>
      <c r="Q35" s="514">
        <f t="shared" si="64"/>
        <v>0</v>
      </c>
      <c r="R35" s="516"/>
      <c r="S35" s="516"/>
      <c r="T35" s="5">
        <f t="shared" si="17"/>
        <v>5171</v>
      </c>
      <c r="U35" s="5">
        <f t="shared" si="65"/>
        <v>0</v>
      </c>
      <c r="V35" s="5">
        <f t="shared" si="18"/>
        <v>469</v>
      </c>
      <c r="W35" s="324">
        <f t="shared" si="66"/>
        <v>0</v>
      </c>
      <c r="X35" s="5">
        <f t="shared" si="20"/>
        <v>151220</v>
      </c>
      <c r="Y35" s="324">
        <f t="shared" si="67"/>
        <v>0</v>
      </c>
      <c r="Z35" s="5">
        <f t="shared" si="46"/>
        <v>98697</v>
      </c>
      <c r="AA35" s="83">
        <f t="shared" si="68"/>
        <v>0</v>
      </c>
      <c r="AB35" s="5">
        <f t="shared" si="22"/>
        <v>261</v>
      </c>
      <c r="AC35" s="5">
        <f t="shared" si="23"/>
        <v>731</v>
      </c>
      <c r="AD35" s="83">
        <f t="shared" si="69"/>
        <v>0</v>
      </c>
      <c r="AE35" s="5">
        <f t="shared" si="24"/>
        <v>229.03</v>
      </c>
      <c r="AF35" s="83">
        <f t="shared" si="70"/>
        <v>0</v>
      </c>
      <c r="AG35" s="5">
        <f t="shared" si="26"/>
        <v>2198.54</v>
      </c>
      <c r="AH35" s="83">
        <f t="shared" si="71"/>
        <v>0</v>
      </c>
      <c r="AI35" s="83">
        <f t="shared" si="72"/>
        <v>0</v>
      </c>
      <c r="AJ35" s="326">
        <f t="shared" si="73"/>
        <v>0</v>
      </c>
      <c r="AK35" s="327">
        <f t="shared" si="74"/>
        <v>0</v>
      </c>
      <c r="AL35" s="327">
        <f t="shared" si="75"/>
        <v>0</v>
      </c>
      <c r="AM35" s="327">
        <f>'General information '!D35</f>
        <v>16</v>
      </c>
      <c r="AN35" s="84">
        <f>'General information '!H35</f>
        <v>0</v>
      </c>
      <c r="AO35" s="84"/>
      <c r="AP35" s="84">
        <f>'General information '!J35</f>
        <v>0</v>
      </c>
      <c r="AR35" s="277">
        <f t="shared" si="76"/>
        <v>44285</v>
      </c>
      <c r="AS35" s="424">
        <f t="shared" ref="AS35" si="88">AS34</f>
        <v>0.9</v>
      </c>
      <c r="AT35" s="201">
        <v>178</v>
      </c>
      <c r="AU35" s="425">
        <f t="shared" ref="AU35" si="89">AU34</f>
        <v>1.1000000000000001</v>
      </c>
      <c r="AV35" s="201">
        <v>193</v>
      </c>
      <c r="AW35" s="5">
        <v>2.9</v>
      </c>
      <c r="AX35" s="201">
        <v>184</v>
      </c>
      <c r="AY35" s="426">
        <f t="shared" si="79"/>
        <v>160.20000000000002</v>
      </c>
      <c r="AZ35" s="426">
        <f t="shared" si="80"/>
        <v>212.3</v>
      </c>
      <c r="BA35" s="426">
        <f t="shared" si="81"/>
        <v>533.6</v>
      </c>
      <c r="BB35" s="21">
        <f t="shared" si="82"/>
        <v>4.5</v>
      </c>
      <c r="BC35" s="21">
        <f t="shared" si="83"/>
        <v>-3.3000000000000114</v>
      </c>
      <c r="BD35" s="21">
        <f t="shared" si="84"/>
        <v>-14.5</v>
      </c>
      <c r="BE35" s="24">
        <f t="shared" si="85"/>
        <v>-13.300000000000011</v>
      </c>
      <c r="BF35" s="96">
        <f t="shared" si="86"/>
        <v>13.300000000000011</v>
      </c>
      <c r="BG35" s="82">
        <f t="shared" si="87"/>
        <v>-13.300000000000011</v>
      </c>
    </row>
    <row r="36" spans="1:59" ht="15.75" thickBot="1">
      <c r="A36" s="6">
        <f>ELEC!C33</f>
        <v>44286</v>
      </c>
      <c r="B36" s="5">
        <f t="shared" si="10"/>
        <v>109443</v>
      </c>
      <c r="C36" s="5">
        <f t="shared" si="56"/>
        <v>0</v>
      </c>
      <c r="D36" s="419">
        <f t="shared" si="57"/>
        <v>0</v>
      </c>
      <c r="E36" s="333">
        <f>SUM((C36*$E$4)+(7500/'EDl log'!$A$37))</f>
        <v>241.93548387096774</v>
      </c>
      <c r="F36" s="327"/>
      <c r="G36" s="5">
        <f t="shared" si="13"/>
        <v>618063</v>
      </c>
      <c r="H36" s="5">
        <f t="shared" si="58"/>
        <v>0</v>
      </c>
      <c r="I36" s="5">
        <f t="shared" si="59"/>
        <v>0</v>
      </c>
      <c r="J36" s="334">
        <f t="shared" si="60"/>
        <v>0</v>
      </c>
      <c r="K36" s="5">
        <f>'Swimming Pool quality check '!H36</f>
        <v>6733</v>
      </c>
      <c r="L36" s="274">
        <f t="shared" si="61"/>
        <v>0</v>
      </c>
      <c r="M36" s="410">
        <f t="shared" si="15"/>
        <v>457.44</v>
      </c>
      <c r="N36" s="514">
        <f t="shared" si="62"/>
        <v>0</v>
      </c>
      <c r="O36" s="410">
        <f t="shared" si="16"/>
        <v>529.52</v>
      </c>
      <c r="P36" s="514">
        <f t="shared" si="63"/>
        <v>0</v>
      </c>
      <c r="Q36" s="514">
        <f t="shared" si="64"/>
        <v>0</v>
      </c>
      <c r="R36" s="516"/>
      <c r="S36" s="516"/>
      <c r="T36" s="5">
        <f t="shared" si="17"/>
        <v>5171</v>
      </c>
      <c r="U36" s="5">
        <f t="shared" si="65"/>
        <v>0</v>
      </c>
      <c r="V36" s="5">
        <f t="shared" si="18"/>
        <v>469</v>
      </c>
      <c r="W36" s="324">
        <f t="shared" si="66"/>
        <v>0</v>
      </c>
      <c r="X36" s="5">
        <f t="shared" si="20"/>
        <v>151220</v>
      </c>
      <c r="Y36" s="324">
        <f t="shared" si="67"/>
        <v>0</v>
      </c>
      <c r="Z36" s="5">
        <f t="shared" si="46"/>
        <v>98697</v>
      </c>
      <c r="AA36" s="83">
        <f t="shared" si="68"/>
        <v>0</v>
      </c>
      <c r="AB36" s="5">
        <f t="shared" si="22"/>
        <v>261</v>
      </c>
      <c r="AC36" s="5">
        <f t="shared" si="23"/>
        <v>731</v>
      </c>
      <c r="AD36" s="83">
        <f t="shared" si="69"/>
        <v>0</v>
      </c>
      <c r="AE36" s="5">
        <f t="shared" si="24"/>
        <v>229.03</v>
      </c>
      <c r="AF36" s="83">
        <f t="shared" si="70"/>
        <v>0</v>
      </c>
      <c r="AG36" s="5">
        <f t="shared" si="26"/>
        <v>2198.54</v>
      </c>
      <c r="AH36" s="83">
        <f t="shared" si="71"/>
        <v>0</v>
      </c>
      <c r="AI36" s="83">
        <f t="shared" si="72"/>
        <v>0</v>
      </c>
      <c r="AJ36" s="326">
        <f t="shared" si="73"/>
        <v>0</v>
      </c>
      <c r="AK36" s="327">
        <f t="shared" si="74"/>
        <v>0</v>
      </c>
      <c r="AL36" s="327">
        <f t="shared" si="75"/>
        <v>0</v>
      </c>
      <c r="AM36" s="327">
        <f>'General information '!D36</f>
        <v>15.5</v>
      </c>
      <c r="AN36" s="84">
        <f>'General information '!H36</f>
        <v>0</v>
      </c>
      <c r="AO36" s="84"/>
      <c r="AP36" s="84">
        <f>'General information '!J36</f>
        <v>0</v>
      </c>
      <c r="AR36" s="277">
        <f t="shared" si="76"/>
        <v>44286</v>
      </c>
      <c r="AS36" s="424">
        <f t="shared" ref="AS36:AT36" si="90">AS35</f>
        <v>0.9</v>
      </c>
      <c r="AT36" s="201">
        <v>177</v>
      </c>
      <c r="AU36" s="425">
        <f t="shared" ref="AU36" si="91">AU35</f>
        <v>1.1000000000000001</v>
      </c>
      <c r="AV36" s="201">
        <v>190</v>
      </c>
      <c r="AW36" s="5">
        <v>2.9</v>
      </c>
      <c r="AX36" s="201">
        <v>180</v>
      </c>
      <c r="AY36" s="426">
        <f t="shared" si="79"/>
        <v>159.30000000000001</v>
      </c>
      <c r="AZ36" s="426">
        <f t="shared" si="80"/>
        <v>209.00000000000003</v>
      </c>
      <c r="BA36" s="426">
        <f t="shared" si="81"/>
        <v>522</v>
      </c>
      <c r="BB36" s="21">
        <f t="shared" si="82"/>
        <v>-0.90000000000000568</v>
      </c>
      <c r="BC36" s="21">
        <f t="shared" si="83"/>
        <v>-3.2999999999999829</v>
      </c>
      <c r="BD36" s="21">
        <f t="shared" si="84"/>
        <v>-11.600000000000023</v>
      </c>
      <c r="BE36" s="24">
        <f t="shared" si="85"/>
        <v>-15.800000000000011</v>
      </c>
      <c r="BF36" s="96">
        <f t="shared" si="86"/>
        <v>15.800000000000011</v>
      </c>
      <c r="BG36" s="82">
        <f t="shared" si="87"/>
        <v>-15.800000000000011</v>
      </c>
    </row>
    <row r="37" spans="1:59">
      <c r="C37" s="412">
        <f>SUM(C6:C33)</f>
        <v>0</v>
      </c>
      <c r="D37" s="322">
        <f>SUM(D6:D33)</f>
        <v>0</v>
      </c>
      <c r="F37" s="414">
        <f>SUM(F6:F33)</f>
        <v>0</v>
      </c>
      <c r="H37" s="412">
        <f>SUM(H6:H33)</f>
        <v>1911</v>
      </c>
      <c r="I37" s="412">
        <f>SUM(I6:I33)</f>
        <v>1911</v>
      </c>
      <c r="L37" s="268">
        <f>SUM(L7:L33)</f>
        <v>12</v>
      </c>
      <c r="Q37" s="495">
        <f>SUM(Q5:Q33)</f>
        <v>0</v>
      </c>
      <c r="U37" s="409">
        <f>SUM(U6:U33)</f>
        <v>3</v>
      </c>
      <c r="X37" s="323"/>
      <c r="Y37" s="322" t="e">
        <f>SUM(#REF!,Y33,Y31,Y29,Y27,Y25,Y23,Y21,Y19,Y17,Y15,Y13,Y11,Y9,Y7,#REF!)</f>
        <v>#REF!</v>
      </c>
      <c r="AJ37" s="322">
        <f>SUM(AJ6:AJ33)</f>
        <v>216</v>
      </c>
      <c r="AK37" s="327" t="e">
        <f>SUM(Y37-L37)</f>
        <v>#REF!</v>
      </c>
      <c r="AL37" s="322">
        <f>SUM(AL6:AL33)</f>
        <v>208</v>
      </c>
      <c r="AP37" s="17"/>
      <c r="AQ37" s="17"/>
      <c r="AR37" s="17"/>
      <c r="AS37" s="226"/>
      <c r="AT37" s="5"/>
      <c r="AU37" s="226"/>
      <c r="AV37" s="17"/>
      <c r="AW37" s="227"/>
      <c r="AX37" s="227"/>
      <c r="AY37" s="227"/>
      <c r="AZ37" s="17"/>
      <c r="BA37" s="17"/>
      <c r="BB37" s="17"/>
      <c r="BC37" s="17"/>
      <c r="BD37" s="17"/>
    </row>
    <row r="38" spans="1:59">
      <c r="C38" s="1">
        <f>+C37*1.66</f>
        <v>0</v>
      </c>
      <c r="E38" s="332">
        <f>SUM(E6:E33)</f>
        <v>6774.1935483870975</v>
      </c>
      <c r="F38" s="417">
        <f>SUM(F6:F33)</f>
        <v>0</v>
      </c>
      <c r="H38" s="157">
        <v>7500</v>
      </c>
      <c r="I38" s="413">
        <f>SUM('General information '!G37/WATER!I37)</f>
        <v>0</v>
      </c>
      <c r="L38" s="157"/>
      <c r="O38" s="492">
        <f>SUM(Q37+I37)</f>
        <v>1911</v>
      </c>
      <c r="Z38" s="322" t="e">
        <f>SUM(Y37:AJ37)</f>
        <v>#REF!</v>
      </c>
      <c r="AK38" s="327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5">
        <f>9*27</f>
        <v>243</v>
      </c>
      <c r="D39" s="414">
        <f>SUM(D6:D33)</f>
        <v>0</v>
      </c>
      <c r="F39" s="415">
        <f>SUM(F6:F33)</f>
        <v>0</v>
      </c>
      <c r="G39" s="1">
        <f>SUM(I37)</f>
        <v>1911</v>
      </c>
      <c r="H39" s="1">
        <f>SUM(H38+C38)</f>
        <v>7500</v>
      </c>
      <c r="K39" s="1">
        <f>SUM(H39/G39)</f>
        <v>3.9246467817896389</v>
      </c>
      <c r="AJ39" s="322">
        <f>SUM(C38-AK38)</f>
        <v>0</v>
      </c>
      <c r="AM39" s="346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K64" sqref="K64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tabSelected="1" zoomScaleNormal="100" workbookViewId="0">
      <pane ySplit="4" topLeftCell="A29" activePane="bottomLeft" state="frozen"/>
      <selection pane="bottomLeft" activeCell="H36" sqref="H36"/>
    </sheetView>
  </sheetViews>
  <sheetFormatPr defaultRowHeight="15"/>
  <cols>
    <col min="1" max="1" width="11.85546875" style="484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40" t="s">
        <v>193</v>
      </c>
      <c r="B1" s="641"/>
      <c r="C1" s="641"/>
      <c r="D1" s="641"/>
      <c r="E1" s="641"/>
      <c r="F1" s="641"/>
      <c r="G1" s="641"/>
      <c r="H1" s="641"/>
      <c r="I1" s="641"/>
      <c r="J1" s="641"/>
      <c r="K1" s="641"/>
      <c r="L1" s="641"/>
      <c r="M1" s="641"/>
      <c r="N1" s="641"/>
      <c r="O1" s="642"/>
    </row>
    <row r="2" spans="1:15" ht="15.75" customHeight="1" thickBot="1">
      <c r="A2" s="643"/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644"/>
      <c r="M2" s="644"/>
      <c r="N2" s="644"/>
      <c r="O2" s="645"/>
    </row>
    <row r="3" spans="1:15" ht="9" customHeight="1" thickBot="1">
      <c r="A3" s="481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82"/>
      <c r="B4" s="149" t="s">
        <v>387</v>
      </c>
      <c r="C4" s="150" t="s">
        <v>158</v>
      </c>
      <c r="D4" s="147" t="s">
        <v>160</v>
      </c>
      <c r="E4" s="151" t="s">
        <v>159</v>
      </c>
      <c r="F4" s="503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83">
        <f>ELEC!C2</f>
        <v>44255</v>
      </c>
      <c r="B5" s="356">
        <v>19</v>
      </c>
      <c r="C5" s="356">
        <v>14</v>
      </c>
      <c r="D5" s="356">
        <f>'[2]General information '!D36</f>
        <v>18</v>
      </c>
      <c r="E5" s="356">
        <f>'[2]General information '!E36</f>
        <v>0.55000000000000004</v>
      </c>
      <c r="F5" s="567">
        <f>'[2]General information '!F36</f>
        <v>0</v>
      </c>
      <c r="G5" s="356">
        <f>'[2]General information '!G36</f>
        <v>0</v>
      </c>
      <c r="H5" s="356">
        <f>'[2]General information '!H36</f>
        <v>0</v>
      </c>
      <c r="I5" s="356">
        <f>'[2]General information '!I36</f>
        <v>0</v>
      </c>
      <c r="J5" s="356">
        <f>'[2]General information '!J36</f>
        <v>0</v>
      </c>
      <c r="K5" s="356">
        <f>'[2]General information '!K36</f>
        <v>0</v>
      </c>
      <c r="L5" s="356">
        <f>'[2]General information '!L36</f>
        <v>0</v>
      </c>
      <c r="M5" s="356">
        <f>'[2]General information '!M36</f>
        <v>0</v>
      </c>
      <c r="N5" s="356">
        <f>'[2]General information '!N36</f>
        <v>0</v>
      </c>
      <c r="O5" s="356">
        <f>'[2]General information '!O36</f>
        <v>0</v>
      </c>
    </row>
    <row r="6" spans="1:15">
      <c r="A6" s="483">
        <f>ELEC!C3</f>
        <v>44256</v>
      </c>
      <c r="B6" s="37">
        <v>18</v>
      </c>
      <c r="C6" s="37">
        <v>14</v>
      </c>
      <c r="D6" s="26">
        <f t="shared" ref="D6:D12" si="0">(C6+B6)/2</f>
        <v>16</v>
      </c>
      <c r="E6" s="340">
        <v>0.69</v>
      </c>
      <c r="F6" s="343">
        <v>0</v>
      </c>
      <c r="G6" s="241">
        <f t="shared" ref="G6:G12" si="1">F6*230</f>
        <v>0</v>
      </c>
      <c r="H6" s="3">
        <v>0</v>
      </c>
      <c r="I6" s="3">
        <v>0</v>
      </c>
      <c r="J6" s="37">
        <v>0</v>
      </c>
      <c r="K6" s="263">
        <f t="shared" ref="K6:K26" si="2">+J6+H6</f>
        <v>0</v>
      </c>
      <c r="L6" s="3"/>
      <c r="M6" s="3"/>
      <c r="N6" s="155"/>
      <c r="O6" s="3"/>
    </row>
    <row r="7" spans="1:15">
      <c r="A7" s="483">
        <f>ELEC!C4</f>
        <v>44257</v>
      </c>
      <c r="B7" s="37">
        <v>18</v>
      </c>
      <c r="C7" s="37">
        <v>13</v>
      </c>
      <c r="D7" s="26">
        <f t="shared" si="0"/>
        <v>15.5</v>
      </c>
      <c r="E7" s="340">
        <v>0.64</v>
      </c>
      <c r="F7" s="394">
        <v>0</v>
      </c>
      <c r="G7" s="241">
        <f t="shared" si="1"/>
        <v>0</v>
      </c>
      <c r="H7" s="3">
        <v>0</v>
      </c>
      <c r="I7" s="3">
        <v>0</v>
      </c>
      <c r="J7" s="37">
        <v>0</v>
      </c>
      <c r="K7" s="263">
        <f t="shared" si="2"/>
        <v>0</v>
      </c>
      <c r="L7" s="3"/>
      <c r="M7" s="3"/>
      <c r="N7" s="155"/>
      <c r="O7" s="3"/>
    </row>
    <row r="8" spans="1:15">
      <c r="A8" s="483">
        <f>ELEC!C5</f>
        <v>44258</v>
      </c>
      <c r="B8" s="37">
        <v>18</v>
      </c>
      <c r="C8" s="37">
        <v>13</v>
      </c>
      <c r="D8" s="26">
        <f t="shared" si="0"/>
        <v>15.5</v>
      </c>
      <c r="E8" s="340">
        <v>0.65</v>
      </c>
      <c r="F8" s="340">
        <v>0</v>
      </c>
      <c r="G8" s="241">
        <f t="shared" si="1"/>
        <v>0</v>
      </c>
      <c r="H8" s="3">
        <v>0</v>
      </c>
      <c r="I8" s="3">
        <v>0</v>
      </c>
      <c r="J8" s="37">
        <v>0</v>
      </c>
      <c r="K8" s="263">
        <f t="shared" si="2"/>
        <v>0</v>
      </c>
      <c r="L8" s="3"/>
      <c r="M8" s="170"/>
      <c r="N8" s="155"/>
      <c r="O8" s="3"/>
    </row>
    <row r="9" spans="1:15">
      <c r="A9" s="483">
        <f>ELEC!C6</f>
        <v>44259</v>
      </c>
      <c r="B9" s="37">
        <v>18</v>
      </c>
      <c r="C9" s="37">
        <v>13</v>
      </c>
      <c r="D9" s="26">
        <f>(C9+B9)/2</f>
        <v>15.5</v>
      </c>
      <c r="E9" s="394">
        <v>0.59</v>
      </c>
      <c r="F9" s="394">
        <v>0</v>
      </c>
      <c r="G9" s="241">
        <f>F9*230</f>
        <v>0</v>
      </c>
      <c r="H9" s="3">
        <v>0</v>
      </c>
      <c r="I9" s="3">
        <v>0</v>
      </c>
      <c r="J9" s="37">
        <v>0</v>
      </c>
      <c r="K9" s="263">
        <f>+J9+H9</f>
        <v>0</v>
      </c>
      <c r="L9" s="3"/>
      <c r="M9" s="3"/>
      <c r="N9" s="155"/>
      <c r="O9" s="3"/>
    </row>
    <row r="10" spans="1:15">
      <c r="A10" s="483">
        <f>ELEC!C7</f>
        <v>44260</v>
      </c>
      <c r="B10" s="37">
        <v>19</v>
      </c>
      <c r="C10" s="37">
        <v>12</v>
      </c>
      <c r="D10" s="26">
        <f t="shared" si="0"/>
        <v>15.5</v>
      </c>
      <c r="E10" s="354">
        <v>0.64</v>
      </c>
      <c r="F10" s="340">
        <v>0</v>
      </c>
      <c r="G10" s="241">
        <f t="shared" si="1"/>
        <v>0</v>
      </c>
      <c r="H10" s="3">
        <v>0</v>
      </c>
      <c r="I10" s="3">
        <v>0</v>
      </c>
      <c r="J10" s="37">
        <v>0</v>
      </c>
      <c r="K10" s="263">
        <f t="shared" si="2"/>
        <v>0</v>
      </c>
      <c r="L10" s="3"/>
      <c r="M10" s="3"/>
      <c r="N10" s="155"/>
      <c r="O10" s="3"/>
    </row>
    <row r="11" spans="1:15">
      <c r="A11" s="483">
        <f>ELEC!C8</f>
        <v>44261</v>
      </c>
      <c r="B11" s="37">
        <v>18</v>
      </c>
      <c r="C11" s="37">
        <v>14</v>
      </c>
      <c r="D11" s="26">
        <f t="shared" si="0"/>
        <v>16</v>
      </c>
      <c r="E11" s="394">
        <v>0.67</v>
      </c>
      <c r="F11" s="394">
        <v>0</v>
      </c>
      <c r="G11" s="241">
        <f t="shared" si="1"/>
        <v>0</v>
      </c>
      <c r="H11" s="3">
        <v>0</v>
      </c>
      <c r="I11" s="3">
        <v>0</v>
      </c>
      <c r="J11" s="37">
        <v>0</v>
      </c>
      <c r="K11" s="263">
        <f>+J11+H11</f>
        <v>0</v>
      </c>
      <c r="L11" s="3"/>
      <c r="M11" s="3"/>
      <c r="N11" s="155"/>
      <c r="O11" s="3"/>
    </row>
    <row r="12" spans="1:15">
      <c r="A12" s="483">
        <f>ELEC!C9</f>
        <v>44262</v>
      </c>
      <c r="B12" s="37">
        <v>19</v>
      </c>
      <c r="C12" s="37">
        <v>14</v>
      </c>
      <c r="D12" s="26">
        <f t="shared" si="0"/>
        <v>16.5</v>
      </c>
      <c r="E12" s="394">
        <v>0.65</v>
      </c>
      <c r="F12" s="394">
        <v>0</v>
      </c>
      <c r="G12" s="241">
        <f t="shared" si="1"/>
        <v>0</v>
      </c>
      <c r="H12" s="3">
        <v>0</v>
      </c>
      <c r="I12" s="3">
        <v>0</v>
      </c>
      <c r="J12" s="37">
        <v>0</v>
      </c>
      <c r="K12" s="263">
        <f t="shared" si="2"/>
        <v>0</v>
      </c>
      <c r="L12" s="3"/>
      <c r="M12" s="3"/>
      <c r="N12" s="155"/>
      <c r="O12" s="3"/>
    </row>
    <row r="13" spans="1:15">
      <c r="A13" s="483">
        <f>ELEC!C10</f>
        <v>44263</v>
      </c>
      <c r="B13" s="37">
        <v>20</v>
      </c>
      <c r="C13" s="37">
        <v>16</v>
      </c>
      <c r="D13" s="26">
        <f>(C13+B13)/2</f>
        <v>18</v>
      </c>
      <c r="E13" s="354">
        <v>0.76</v>
      </c>
      <c r="F13" s="394">
        <v>0</v>
      </c>
      <c r="G13" s="241">
        <f>F13*230</f>
        <v>0</v>
      </c>
      <c r="H13" s="3">
        <v>0</v>
      </c>
      <c r="I13" s="3">
        <v>0</v>
      </c>
      <c r="J13" s="37">
        <v>0</v>
      </c>
      <c r="K13" s="263">
        <f t="shared" si="2"/>
        <v>0</v>
      </c>
      <c r="L13" s="3"/>
      <c r="M13" s="3"/>
      <c r="N13" s="155"/>
      <c r="O13" s="3"/>
    </row>
    <row r="14" spans="1:15">
      <c r="A14" s="483">
        <f>ELEC!C11</f>
        <v>44264</v>
      </c>
      <c r="B14" s="37">
        <v>23</v>
      </c>
      <c r="C14" s="37">
        <v>17</v>
      </c>
      <c r="D14" s="26">
        <f t="shared" ref="D14:D33" si="3">(C14+B14)/2</f>
        <v>20</v>
      </c>
      <c r="E14" s="340">
        <v>0.53</v>
      </c>
      <c r="F14" s="394">
        <v>0</v>
      </c>
      <c r="G14" s="241">
        <f t="shared" ref="G14:G33" si="4">F14*230</f>
        <v>0</v>
      </c>
      <c r="H14" s="3">
        <v>0</v>
      </c>
      <c r="I14" s="3">
        <v>0</v>
      </c>
      <c r="J14" s="37">
        <v>0</v>
      </c>
      <c r="K14" s="263">
        <f t="shared" si="2"/>
        <v>0</v>
      </c>
      <c r="L14" s="3"/>
      <c r="M14" s="3"/>
      <c r="N14" s="155"/>
      <c r="O14" s="3"/>
    </row>
    <row r="15" spans="1:15">
      <c r="A15" s="483">
        <f>ELEC!C12</f>
        <v>44265</v>
      </c>
      <c r="B15" s="37">
        <v>19</v>
      </c>
      <c r="C15" s="37">
        <v>13</v>
      </c>
      <c r="D15" s="26">
        <f t="shared" si="3"/>
        <v>16</v>
      </c>
      <c r="E15" s="340">
        <v>0.74</v>
      </c>
      <c r="F15" s="340">
        <v>0</v>
      </c>
      <c r="G15" s="241">
        <f>F15*230</f>
        <v>0</v>
      </c>
      <c r="H15" s="3">
        <v>0</v>
      </c>
      <c r="I15" s="3">
        <v>0</v>
      </c>
      <c r="J15" s="37">
        <v>0</v>
      </c>
      <c r="K15" s="263">
        <f>+J15+H15</f>
        <v>0</v>
      </c>
      <c r="L15" s="3"/>
      <c r="M15" s="3"/>
      <c r="N15" s="155"/>
      <c r="O15" s="3"/>
    </row>
    <row r="16" spans="1:15">
      <c r="A16" s="483">
        <f>ELEC!C13</f>
        <v>44266</v>
      </c>
      <c r="B16" s="37">
        <v>17</v>
      </c>
      <c r="C16" s="37">
        <v>12</v>
      </c>
      <c r="D16" s="26">
        <f t="shared" si="3"/>
        <v>14.5</v>
      </c>
      <c r="E16" s="340">
        <v>0.57999999999999996</v>
      </c>
      <c r="F16" s="340">
        <v>0</v>
      </c>
      <c r="G16" s="241">
        <f t="shared" si="4"/>
        <v>0</v>
      </c>
      <c r="H16" s="3">
        <v>0</v>
      </c>
      <c r="I16" s="3">
        <v>0</v>
      </c>
      <c r="J16" s="37">
        <v>0</v>
      </c>
      <c r="K16" s="263">
        <f>+J16+H16</f>
        <v>0</v>
      </c>
      <c r="L16" s="3"/>
      <c r="M16" s="3"/>
      <c r="N16" s="155"/>
      <c r="O16" s="3"/>
    </row>
    <row r="17" spans="1:15">
      <c r="A17" s="483">
        <f>ELEC!C14</f>
        <v>44267</v>
      </c>
      <c r="B17" s="37">
        <v>18</v>
      </c>
      <c r="C17" s="37">
        <v>13</v>
      </c>
      <c r="D17" s="26">
        <f t="shared" si="3"/>
        <v>15.5</v>
      </c>
      <c r="E17" s="340">
        <v>0.52</v>
      </c>
      <c r="F17" s="340">
        <v>0</v>
      </c>
      <c r="G17" s="241">
        <f t="shared" si="4"/>
        <v>0</v>
      </c>
      <c r="H17" s="3">
        <v>0</v>
      </c>
      <c r="I17" s="3">
        <v>0</v>
      </c>
      <c r="J17" s="37">
        <v>0</v>
      </c>
      <c r="K17" s="263">
        <f t="shared" si="2"/>
        <v>0</v>
      </c>
      <c r="L17" s="3"/>
      <c r="M17" s="3"/>
      <c r="N17" s="155"/>
      <c r="O17" s="3"/>
    </row>
    <row r="18" spans="1:15">
      <c r="A18" s="483">
        <f>ELEC!C15</f>
        <v>44268</v>
      </c>
      <c r="B18" s="37">
        <v>18</v>
      </c>
      <c r="C18" s="37">
        <v>16</v>
      </c>
      <c r="D18" s="26">
        <f t="shared" si="3"/>
        <v>17</v>
      </c>
      <c r="E18" s="427">
        <v>0.65</v>
      </c>
      <c r="F18" s="340">
        <v>0</v>
      </c>
      <c r="G18" s="241">
        <f t="shared" si="4"/>
        <v>0</v>
      </c>
      <c r="H18" s="3">
        <v>0</v>
      </c>
      <c r="I18" s="3">
        <v>0</v>
      </c>
      <c r="J18" s="37">
        <v>0</v>
      </c>
      <c r="K18" s="263">
        <f t="shared" si="2"/>
        <v>0</v>
      </c>
      <c r="L18" s="3"/>
      <c r="M18" s="3"/>
      <c r="N18" s="155"/>
      <c r="O18" s="3"/>
    </row>
    <row r="19" spans="1:15">
      <c r="A19" s="483">
        <f>ELEC!C16</f>
        <v>44269</v>
      </c>
      <c r="B19" s="37">
        <v>19</v>
      </c>
      <c r="C19" s="37">
        <v>15</v>
      </c>
      <c r="D19" s="26">
        <f t="shared" si="3"/>
        <v>17</v>
      </c>
      <c r="E19" s="340">
        <v>0.63</v>
      </c>
      <c r="F19" s="340">
        <v>0</v>
      </c>
      <c r="G19" s="241">
        <f t="shared" si="4"/>
        <v>0</v>
      </c>
      <c r="H19" s="3">
        <v>0</v>
      </c>
      <c r="I19" s="3">
        <v>0</v>
      </c>
      <c r="J19" s="37">
        <v>0</v>
      </c>
      <c r="K19" s="263">
        <f t="shared" si="2"/>
        <v>0</v>
      </c>
      <c r="L19" s="3"/>
      <c r="M19" s="3"/>
      <c r="N19" s="155"/>
      <c r="O19" s="3"/>
    </row>
    <row r="20" spans="1:15">
      <c r="A20" s="483">
        <f>ELEC!C17</f>
        <v>44270</v>
      </c>
      <c r="B20" s="37">
        <v>19</v>
      </c>
      <c r="C20" s="37">
        <v>15</v>
      </c>
      <c r="D20" s="26">
        <f t="shared" si="3"/>
        <v>17</v>
      </c>
      <c r="E20" s="340">
        <v>0.6</v>
      </c>
      <c r="F20" s="340">
        <v>0</v>
      </c>
      <c r="G20" s="241">
        <f t="shared" si="4"/>
        <v>0</v>
      </c>
      <c r="H20" s="3">
        <v>0</v>
      </c>
      <c r="I20" s="3">
        <v>0</v>
      </c>
      <c r="J20" s="37">
        <v>0</v>
      </c>
      <c r="K20" s="263">
        <f t="shared" si="2"/>
        <v>0</v>
      </c>
      <c r="L20" s="3"/>
      <c r="M20" s="3"/>
      <c r="N20" s="155"/>
      <c r="O20" s="3"/>
    </row>
    <row r="21" spans="1:15">
      <c r="A21" s="483">
        <f>ELEC!C18</f>
        <v>44271</v>
      </c>
      <c r="B21" s="37">
        <v>19</v>
      </c>
      <c r="C21" s="37">
        <v>14</v>
      </c>
      <c r="D21" s="26">
        <f>(C21+B21)/2</f>
        <v>16.5</v>
      </c>
      <c r="E21" s="340">
        <v>0.6</v>
      </c>
      <c r="F21" s="394">
        <v>0</v>
      </c>
      <c r="G21" s="241">
        <f t="shared" si="4"/>
        <v>0</v>
      </c>
      <c r="H21" s="3">
        <v>0</v>
      </c>
      <c r="I21" s="3">
        <v>0</v>
      </c>
      <c r="J21" s="37">
        <v>0</v>
      </c>
      <c r="K21" s="263">
        <f t="shared" si="2"/>
        <v>0</v>
      </c>
      <c r="L21" s="3"/>
      <c r="M21" s="3"/>
      <c r="N21" s="155"/>
      <c r="O21" s="3"/>
    </row>
    <row r="22" spans="1:15">
      <c r="A22" s="483">
        <f>ELEC!C19</f>
        <v>44272</v>
      </c>
      <c r="B22" s="37">
        <v>20</v>
      </c>
      <c r="C22" s="37">
        <v>15</v>
      </c>
      <c r="D22" s="26">
        <f t="shared" si="3"/>
        <v>17.5</v>
      </c>
      <c r="E22" s="340">
        <v>0.55000000000000004</v>
      </c>
      <c r="F22" s="394">
        <v>0</v>
      </c>
      <c r="G22" s="241">
        <f t="shared" si="4"/>
        <v>0</v>
      </c>
      <c r="H22" s="3">
        <v>0</v>
      </c>
      <c r="I22" s="3">
        <v>0</v>
      </c>
      <c r="J22" s="37">
        <v>0</v>
      </c>
      <c r="K22" s="263">
        <f t="shared" si="2"/>
        <v>0</v>
      </c>
      <c r="L22" s="3"/>
      <c r="M22" s="3"/>
      <c r="N22" s="155"/>
      <c r="O22" s="3"/>
    </row>
    <row r="23" spans="1:15">
      <c r="A23" s="483">
        <f>ELEC!C20</f>
        <v>44273</v>
      </c>
      <c r="B23" s="37">
        <v>20</v>
      </c>
      <c r="C23" s="37">
        <v>15</v>
      </c>
      <c r="D23" s="26">
        <f>(C23+B23)/2</f>
        <v>17.5</v>
      </c>
      <c r="E23" s="340">
        <v>0.56999999999999995</v>
      </c>
      <c r="F23" s="394">
        <v>0</v>
      </c>
      <c r="G23" s="241">
        <f t="shared" si="4"/>
        <v>0</v>
      </c>
      <c r="H23" s="3">
        <v>0</v>
      </c>
      <c r="I23" s="3">
        <v>0</v>
      </c>
      <c r="J23" s="37">
        <v>0</v>
      </c>
      <c r="K23" s="263">
        <f t="shared" si="2"/>
        <v>0</v>
      </c>
      <c r="L23" s="3"/>
      <c r="M23" s="3"/>
      <c r="N23" s="155"/>
      <c r="O23" s="3"/>
    </row>
    <row r="24" spans="1:15">
      <c r="A24" s="483">
        <f>ELEC!C21</f>
        <v>44274</v>
      </c>
      <c r="B24" s="37">
        <v>19</v>
      </c>
      <c r="C24" s="37">
        <v>17</v>
      </c>
      <c r="D24" s="26">
        <f t="shared" ref="D24" si="5">(C24+B24)/2</f>
        <v>18</v>
      </c>
      <c r="E24" s="394">
        <v>0.56000000000000005</v>
      </c>
      <c r="F24" s="340">
        <v>0</v>
      </c>
      <c r="G24" s="241">
        <f t="shared" si="4"/>
        <v>0</v>
      </c>
      <c r="H24" s="3">
        <v>0</v>
      </c>
      <c r="I24" s="3">
        <v>0</v>
      </c>
      <c r="J24" s="37">
        <v>0</v>
      </c>
      <c r="K24" s="263">
        <f t="shared" si="2"/>
        <v>0</v>
      </c>
      <c r="L24" s="3"/>
      <c r="M24" s="3"/>
      <c r="N24" s="155"/>
      <c r="O24" s="3"/>
    </row>
    <row r="25" spans="1:15">
      <c r="A25" s="483">
        <f>ELEC!C22</f>
        <v>44275</v>
      </c>
      <c r="B25" s="37">
        <v>21</v>
      </c>
      <c r="C25" s="37">
        <v>18</v>
      </c>
      <c r="D25" s="26">
        <f t="shared" si="3"/>
        <v>19.5</v>
      </c>
      <c r="E25" s="340">
        <v>0.55000000000000004</v>
      </c>
      <c r="F25" s="340">
        <v>0</v>
      </c>
      <c r="G25" s="241">
        <f t="shared" si="4"/>
        <v>0</v>
      </c>
      <c r="H25" s="3">
        <v>0</v>
      </c>
      <c r="I25" s="3">
        <v>0</v>
      </c>
      <c r="J25" s="37">
        <v>0</v>
      </c>
      <c r="K25" s="263">
        <f t="shared" si="2"/>
        <v>0</v>
      </c>
      <c r="L25" s="3"/>
      <c r="M25" s="3"/>
      <c r="N25" s="155"/>
      <c r="O25" s="3"/>
    </row>
    <row r="26" spans="1:15">
      <c r="A26" s="483">
        <f>ELEC!C23</f>
        <v>44276</v>
      </c>
      <c r="B26" s="37">
        <v>23</v>
      </c>
      <c r="C26" s="37">
        <v>14</v>
      </c>
      <c r="D26" s="26">
        <f>(C26+B26)/2</f>
        <v>18.5</v>
      </c>
      <c r="E26" s="340">
        <v>0.55000000000000004</v>
      </c>
      <c r="F26" s="340">
        <v>0</v>
      </c>
      <c r="G26" s="241">
        <f t="shared" si="4"/>
        <v>0</v>
      </c>
      <c r="H26" s="3">
        <v>0</v>
      </c>
      <c r="I26" s="3">
        <v>0</v>
      </c>
      <c r="J26" s="37">
        <v>0</v>
      </c>
      <c r="K26" s="263">
        <f t="shared" si="2"/>
        <v>0</v>
      </c>
      <c r="L26" s="3"/>
      <c r="M26" s="3"/>
      <c r="N26" s="155"/>
      <c r="O26" s="3"/>
    </row>
    <row r="27" spans="1:15">
      <c r="A27" s="483">
        <f>ELEC!C24</f>
        <v>44277</v>
      </c>
      <c r="B27" s="37">
        <v>26</v>
      </c>
      <c r="C27" s="37">
        <v>14</v>
      </c>
      <c r="D27" s="26">
        <f t="shared" si="3"/>
        <v>20</v>
      </c>
      <c r="E27" s="340">
        <v>0.65</v>
      </c>
      <c r="F27" s="340">
        <v>0</v>
      </c>
      <c r="G27" s="241">
        <f t="shared" si="4"/>
        <v>0</v>
      </c>
      <c r="H27" s="3">
        <v>0</v>
      </c>
      <c r="I27" s="3">
        <v>0</v>
      </c>
      <c r="J27" s="37">
        <v>0</v>
      </c>
      <c r="K27" s="263">
        <f>+J27+H27+I27</f>
        <v>0</v>
      </c>
      <c r="L27" s="3"/>
      <c r="M27" s="3"/>
      <c r="N27" s="155"/>
      <c r="O27" s="3"/>
    </row>
    <row r="28" spans="1:15">
      <c r="A28" s="483">
        <f>ELEC!C25</f>
        <v>44278</v>
      </c>
      <c r="B28" s="37">
        <v>33</v>
      </c>
      <c r="C28" s="37">
        <v>17</v>
      </c>
      <c r="D28" s="26">
        <f t="shared" si="3"/>
        <v>25</v>
      </c>
      <c r="E28" s="394">
        <v>0.61</v>
      </c>
      <c r="F28" s="340">
        <v>0</v>
      </c>
      <c r="G28" s="241">
        <f t="shared" si="4"/>
        <v>0</v>
      </c>
      <c r="H28" s="3">
        <v>0</v>
      </c>
      <c r="I28" s="3">
        <v>0</v>
      </c>
      <c r="J28" s="37">
        <v>0</v>
      </c>
      <c r="K28" s="263">
        <f t="shared" ref="K28:K33" si="6">+J28+H28+I28</f>
        <v>0</v>
      </c>
      <c r="L28" s="3"/>
      <c r="M28" s="3"/>
      <c r="N28" s="155"/>
      <c r="O28" s="3"/>
    </row>
    <row r="29" spans="1:15">
      <c r="A29" s="483">
        <f>ELEC!C26</f>
        <v>44279</v>
      </c>
      <c r="B29" s="37">
        <v>15</v>
      </c>
      <c r="C29" s="37">
        <v>12</v>
      </c>
      <c r="D29" s="26">
        <f t="shared" si="3"/>
        <v>13.5</v>
      </c>
      <c r="E29" s="340">
        <v>0.59</v>
      </c>
      <c r="F29" s="340">
        <v>0</v>
      </c>
      <c r="G29" s="241">
        <f t="shared" si="4"/>
        <v>0</v>
      </c>
      <c r="H29" s="3">
        <v>0</v>
      </c>
      <c r="I29" s="3">
        <v>0</v>
      </c>
      <c r="J29" s="37">
        <v>0</v>
      </c>
      <c r="K29" s="263">
        <f t="shared" si="6"/>
        <v>0</v>
      </c>
      <c r="L29" s="3"/>
      <c r="M29" s="3"/>
      <c r="N29" s="155"/>
      <c r="O29" s="3"/>
    </row>
    <row r="30" spans="1:15">
      <c r="A30" s="483">
        <f>ELEC!C27</f>
        <v>44280</v>
      </c>
      <c r="B30" s="37">
        <v>15</v>
      </c>
      <c r="C30" s="37">
        <v>12</v>
      </c>
      <c r="D30" s="26">
        <f t="shared" si="3"/>
        <v>13.5</v>
      </c>
      <c r="E30" s="340">
        <v>0.78</v>
      </c>
      <c r="F30" s="394">
        <v>0</v>
      </c>
      <c r="G30" s="241">
        <f t="shared" si="4"/>
        <v>0</v>
      </c>
      <c r="H30" s="3">
        <v>0</v>
      </c>
      <c r="I30" s="3">
        <v>0</v>
      </c>
      <c r="J30" s="37">
        <v>0</v>
      </c>
      <c r="K30" s="263">
        <f t="shared" si="6"/>
        <v>0</v>
      </c>
      <c r="L30" s="3"/>
      <c r="M30" s="3"/>
      <c r="N30" s="155"/>
      <c r="O30" s="3"/>
    </row>
    <row r="31" spans="1:15">
      <c r="A31" s="483">
        <f>ELEC!C28</f>
        <v>44281</v>
      </c>
      <c r="B31" s="37">
        <v>16</v>
      </c>
      <c r="C31" s="37">
        <v>10</v>
      </c>
      <c r="D31" s="26">
        <f t="shared" si="3"/>
        <v>13</v>
      </c>
      <c r="E31" s="341">
        <v>0.5</v>
      </c>
      <c r="F31" s="280">
        <v>0</v>
      </c>
      <c r="G31" s="241">
        <f t="shared" si="4"/>
        <v>0</v>
      </c>
      <c r="H31" s="3">
        <v>0</v>
      </c>
      <c r="I31" s="3">
        <v>0</v>
      </c>
      <c r="J31" s="37">
        <v>0</v>
      </c>
      <c r="K31" s="263">
        <f t="shared" si="6"/>
        <v>0</v>
      </c>
      <c r="L31" s="3"/>
      <c r="M31" s="3"/>
      <c r="N31" s="155"/>
      <c r="O31" s="3"/>
    </row>
    <row r="32" spans="1:15">
      <c r="A32" s="483">
        <f>ELEC!C29</f>
        <v>44282</v>
      </c>
      <c r="B32" s="37">
        <v>17</v>
      </c>
      <c r="C32" s="37">
        <v>11</v>
      </c>
      <c r="D32" s="279">
        <f>(C32+B32)/2</f>
        <v>14</v>
      </c>
      <c r="E32" s="341">
        <v>0.41</v>
      </c>
      <c r="F32" s="342">
        <v>0</v>
      </c>
      <c r="G32" s="241">
        <f t="shared" si="4"/>
        <v>0</v>
      </c>
      <c r="H32" s="3">
        <v>0</v>
      </c>
      <c r="I32" s="3">
        <v>0</v>
      </c>
      <c r="J32" s="37">
        <v>0</v>
      </c>
      <c r="K32" s="263">
        <f t="shared" si="6"/>
        <v>0</v>
      </c>
      <c r="L32" s="3"/>
      <c r="M32" s="3"/>
      <c r="N32" s="155"/>
      <c r="O32" s="3"/>
    </row>
    <row r="33" spans="1:15">
      <c r="A33" s="483">
        <f>ELEC!C30</f>
        <v>44283</v>
      </c>
      <c r="B33" s="37">
        <v>17</v>
      </c>
      <c r="C33" s="37">
        <v>13</v>
      </c>
      <c r="D33" s="26">
        <f t="shared" si="3"/>
        <v>15</v>
      </c>
      <c r="E33" s="340">
        <v>0.5</v>
      </c>
      <c r="F33" s="342">
        <v>0</v>
      </c>
      <c r="G33" s="241">
        <f t="shared" si="4"/>
        <v>0</v>
      </c>
      <c r="H33" s="3">
        <v>0</v>
      </c>
      <c r="I33" s="3">
        <v>0</v>
      </c>
      <c r="J33" s="37">
        <v>0</v>
      </c>
      <c r="K33" s="263">
        <f t="shared" si="6"/>
        <v>0</v>
      </c>
      <c r="L33" s="3"/>
      <c r="M33" s="3"/>
      <c r="N33" s="155"/>
      <c r="O33" s="3"/>
    </row>
    <row r="34" spans="1:15">
      <c r="A34" s="483">
        <f>ELEC!C31</f>
        <v>44284</v>
      </c>
      <c r="B34" s="37">
        <v>17</v>
      </c>
      <c r="C34" s="37">
        <v>14</v>
      </c>
      <c r="D34" s="26">
        <f t="shared" ref="D34:D36" si="7">(C34+B34)/2</f>
        <v>15.5</v>
      </c>
      <c r="E34" s="394">
        <v>0.55000000000000004</v>
      </c>
      <c r="F34" s="342">
        <v>0</v>
      </c>
      <c r="G34" s="241">
        <f t="shared" ref="G34:G36" si="8">F34*230</f>
        <v>0</v>
      </c>
      <c r="H34" s="3">
        <v>0</v>
      </c>
      <c r="I34" s="3">
        <v>0</v>
      </c>
      <c r="J34" s="37">
        <v>0</v>
      </c>
      <c r="K34" s="263">
        <f t="shared" ref="K34:K36" si="9">+J34+H34+I34</f>
        <v>0</v>
      </c>
      <c r="L34" s="3"/>
      <c r="M34" s="3"/>
      <c r="N34" s="155"/>
      <c r="O34" s="3"/>
    </row>
    <row r="35" spans="1:15">
      <c r="A35" s="483">
        <f>ELEC!C32</f>
        <v>44285</v>
      </c>
      <c r="B35" s="37">
        <v>19</v>
      </c>
      <c r="C35" s="37">
        <v>13</v>
      </c>
      <c r="D35" s="26">
        <f t="shared" si="7"/>
        <v>16</v>
      </c>
      <c r="E35" s="394">
        <v>0.71</v>
      </c>
      <c r="F35" s="342">
        <v>0</v>
      </c>
      <c r="G35" s="241">
        <f t="shared" si="8"/>
        <v>0</v>
      </c>
      <c r="H35" s="3">
        <v>0</v>
      </c>
      <c r="I35" s="3">
        <v>0</v>
      </c>
      <c r="J35" s="37">
        <v>0</v>
      </c>
      <c r="K35" s="263">
        <f t="shared" si="9"/>
        <v>0</v>
      </c>
      <c r="L35" s="3"/>
      <c r="M35" s="3"/>
      <c r="N35" s="155"/>
      <c r="O35" s="3"/>
    </row>
    <row r="36" spans="1:15">
      <c r="A36" s="483">
        <f>ELEC!C33</f>
        <v>44286</v>
      </c>
      <c r="B36" s="37">
        <v>18</v>
      </c>
      <c r="C36" s="37">
        <v>13</v>
      </c>
      <c r="D36" s="26">
        <f t="shared" si="7"/>
        <v>15.5</v>
      </c>
      <c r="E36" s="394">
        <v>0.65</v>
      </c>
      <c r="F36" s="342">
        <v>0</v>
      </c>
      <c r="G36" s="241">
        <f t="shared" si="8"/>
        <v>0</v>
      </c>
      <c r="H36" s="3">
        <v>0</v>
      </c>
      <c r="I36" s="3">
        <v>0</v>
      </c>
      <c r="J36" s="37">
        <v>0</v>
      </c>
      <c r="K36" s="263">
        <f t="shared" si="9"/>
        <v>0</v>
      </c>
      <c r="L36" s="3"/>
      <c r="M36" s="3"/>
      <c r="N36" s="155"/>
      <c r="O36" s="3"/>
    </row>
    <row r="37" spans="1:15">
      <c r="D37" s="261"/>
      <c r="F37" s="530">
        <f>AVERAGE(F6:F33)</f>
        <v>0</v>
      </c>
      <c r="G37" s="203">
        <f>SUM(G6:G33)</f>
        <v>0</v>
      </c>
    </row>
    <row r="38" spans="1:15">
      <c r="D38" s="261">
        <f>SUM(D6:D33)/'EDl log'!A35</f>
        <v>15.064516129032258</v>
      </c>
      <c r="F38" s="211"/>
    </row>
    <row r="41" spans="1:15">
      <c r="I41" s="411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K42"/>
  <sheetViews>
    <sheetView topLeftCell="A22" zoomScale="90" zoomScaleNormal="90" workbookViewId="0">
      <pane xSplit="1" topLeftCell="AG1" activePane="topRight" state="frozen"/>
      <selection pane="topRight" activeCell="AU39" sqref="AU39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34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01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02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00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00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8" t="s">
        <v>108</v>
      </c>
      <c r="AS3" s="648" t="s">
        <v>233</v>
      </c>
      <c r="AT3" s="646" t="s">
        <v>301</v>
      </c>
      <c r="AU3" s="647"/>
      <c r="AV3" s="303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9"/>
      <c r="AS4" s="649"/>
      <c r="AT4" s="3" t="s">
        <v>71</v>
      </c>
      <c r="AU4" s="3" t="s">
        <v>221</v>
      </c>
      <c r="AV4" s="304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44">
        <f>ELEC!C2</f>
        <v>44255</v>
      </c>
      <c r="B5" s="532">
        <f>[1]tanks!B33</f>
        <v>218</v>
      </c>
      <c r="C5" s="532">
        <f>[1]tanks!C33</f>
        <v>4690.5161290322576</v>
      </c>
      <c r="D5" s="532">
        <f>[1]tanks!D33</f>
        <v>218</v>
      </c>
      <c r="E5" s="532">
        <f>[1]tanks!E33</f>
        <v>4690.5161290322576</v>
      </c>
      <c r="F5" s="532">
        <f>[1]tanks!F33</f>
        <v>218</v>
      </c>
      <c r="G5" s="532">
        <f>[1]tanks!G33</f>
        <v>4690.5161290322576</v>
      </c>
      <c r="H5" s="532">
        <f>[1]tanks!H33</f>
        <v>218</v>
      </c>
      <c r="I5" s="532">
        <f>[1]tanks!I33</f>
        <v>4690.5161290322576</v>
      </c>
      <c r="J5" s="532">
        <f>[1]tanks!J33</f>
        <v>218</v>
      </c>
      <c r="K5" s="532">
        <f>[1]tanks!K33</f>
        <v>4690.5161290322576</v>
      </c>
      <c r="L5" s="532">
        <f>[1]tanks!L33</f>
        <v>218</v>
      </c>
      <c r="M5" s="532">
        <f>[1]tanks!M33</f>
        <v>4690.5161290322576</v>
      </c>
      <c r="N5" s="532">
        <f>[1]tanks!N33</f>
        <v>218</v>
      </c>
      <c r="O5" s="532">
        <f>[1]tanks!O33</f>
        <v>4690.5161290322576</v>
      </c>
      <c r="P5" s="532">
        <f>[1]tanks!P33</f>
        <v>218</v>
      </c>
      <c r="Q5" s="532">
        <f>[1]tanks!Q33</f>
        <v>4690.5161290322576</v>
      </c>
      <c r="R5" s="532">
        <f>[1]tanks!R33</f>
        <v>218</v>
      </c>
      <c r="S5" s="532">
        <f>[1]tanks!S33</f>
        <v>4690.5161290322576</v>
      </c>
      <c r="T5" s="532">
        <f>[1]tanks!T33</f>
        <v>218</v>
      </c>
      <c r="U5" s="532">
        <f>[1]tanks!U33</f>
        <v>4690.5161290322576</v>
      </c>
      <c r="V5" s="532">
        <f>[1]tanks!V33</f>
        <v>218</v>
      </c>
      <c r="W5" s="532">
        <f>[1]tanks!W33</f>
        <v>4690.5161290322576</v>
      </c>
      <c r="X5" s="532">
        <f>[1]tanks!X33</f>
        <v>0.70322580645161281</v>
      </c>
      <c r="Y5" s="532">
        <f>[1]tanks!Y33</f>
        <v>51595.677419354834</v>
      </c>
      <c r="Z5" s="532">
        <f>[1]tanks!Z33</f>
        <v>225</v>
      </c>
      <c r="AA5" s="532">
        <f>[1]tanks!AA33</f>
        <v>2250</v>
      </c>
      <c r="AB5" s="532">
        <f>[1]tanks!AB33</f>
        <v>225</v>
      </c>
      <c r="AC5" s="532">
        <f>[1]tanks!AC33</f>
        <v>2250</v>
      </c>
      <c r="AD5" s="532">
        <f>[1]tanks!AD33</f>
        <v>225</v>
      </c>
      <c r="AE5" s="532">
        <f>[1]tanks!AE33</f>
        <v>2250</v>
      </c>
      <c r="AF5" s="532">
        <f>[1]tanks!AF33</f>
        <v>225</v>
      </c>
      <c r="AG5" s="532">
        <f>[1]tanks!AG33</f>
        <v>2250</v>
      </c>
      <c r="AH5" s="532">
        <f>[1]tanks!AH33</f>
        <v>225</v>
      </c>
      <c r="AI5" s="532">
        <f>[1]tanks!AI33</f>
        <v>2250</v>
      </c>
      <c r="AJ5" s="532">
        <f>[1]tanks!AJ33</f>
        <v>225</v>
      </c>
      <c r="AK5" s="532">
        <f>[1]tanks!AK33</f>
        <v>2250</v>
      </c>
      <c r="AL5" s="532">
        <f>[1]tanks!AL33</f>
        <v>225</v>
      </c>
      <c r="AM5" s="532">
        <f>[1]tanks!AM33</f>
        <v>2250</v>
      </c>
      <c r="AN5" s="505">
        <f>[1]tanks!AN33</f>
        <v>0.8035714285714286</v>
      </c>
      <c r="AO5" s="532">
        <f>[1]tanks!AO33</f>
        <v>15750</v>
      </c>
      <c r="AP5" s="532">
        <f>[1]tanks!AP33</f>
        <v>0</v>
      </c>
      <c r="AQ5" s="505">
        <f>[1]tanks!AQ33</f>
        <v>0.72438074023184718</v>
      </c>
      <c r="AR5" s="532">
        <f>[1]tanks!AR33</f>
        <v>67345.677419354834</v>
      </c>
      <c r="AS5" s="532">
        <f>[1]tanks!AS33</f>
        <v>-1840.0645161290304</v>
      </c>
      <c r="AT5" s="532">
        <f>[1]tanks!AT33</f>
        <v>0</v>
      </c>
      <c r="AU5" s="532">
        <f>[1]tanks!AU33</f>
        <v>0</v>
      </c>
      <c r="AV5" s="532">
        <f>[1]tanks!AV33</f>
        <v>0.74</v>
      </c>
      <c r="AW5" s="532">
        <f>[1]tanks!AW33</f>
        <v>-224</v>
      </c>
      <c r="AX5" s="532">
        <f>[1]tanks!AX33</f>
        <v>-1616.0645161290304</v>
      </c>
      <c r="AY5" s="532">
        <f>[1]tanks!AY33</f>
        <v>-1840.0645161290304</v>
      </c>
      <c r="AZ5" s="505">
        <f>[1]tanks!AZ33</f>
        <v>0</v>
      </c>
      <c r="BA5" s="532">
        <f>[1]tanks!BA33</f>
        <v>15</v>
      </c>
      <c r="BB5" s="505">
        <f>[1]tanks!BB33</f>
        <v>0.68</v>
      </c>
      <c r="BC5" s="532">
        <f>[2]tanks!BC36</f>
        <v>0</v>
      </c>
      <c r="BD5" s="532">
        <f>[2]tanks!BD36</f>
        <v>19222</v>
      </c>
      <c r="BE5" s="532" t="e">
        <f>[2]tanks!BE36</f>
        <v>#REF!</v>
      </c>
      <c r="BF5" s="532">
        <f>[2]tanks!BF36</f>
        <v>0</v>
      </c>
      <c r="BG5" s="532" t="e">
        <f>[2]tanks!BG36</f>
        <v>#REF!</v>
      </c>
      <c r="BH5" s="532">
        <f>[4]tanks!BH36</f>
        <v>0</v>
      </c>
      <c r="BI5" s="203"/>
    </row>
    <row r="6" spans="1:63">
      <c r="A6" s="444">
        <f>ELEC!C3</f>
        <v>44256</v>
      </c>
      <c r="B6">
        <f>'B5'!B5</f>
        <v>209</v>
      </c>
      <c r="C6" s="203">
        <f>B6*$B$4</f>
        <v>4496.8709677419356</v>
      </c>
      <c r="D6">
        <f>SUM(B6)</f>
        <v>209</v>
      </c>
      <c r="E6" s="203">
        <f>D6*$B$4</f>
        <v>4496.8709677419356</v>
      </c>
      <c r="F6">
        <f>SUM(D6)</f>
        <v>209</v>
      </c>
      <c r="G6" s="203">
        <f t="shared" ref="G6:G33" si="1">F6*$B$4</f>
        <v>4496.8709677419356</v>
      </c>
      <c r="H6" s="203">
        <f>SUM(F6)</f>
        <v>209</v>
      </c>
      <c r="I6" s="203">
        <f t="shared" ref="I6:I33" si="2">H6*$B$4</f>
        <v>4496.8709677419356</v>
      </c>
      <c r="J6" s="203">
        <f>SUM(H6)</f>
        <v>209</v>
      </c>
      <c r="K6" s="203">
        <f t="shared" ref="K6:K33" si="3">J6*$B$4</f>
        <v>4496.8709677419356</v>
      </c>
      <c r="L6" s="203">
        <f>SUM(J6)</f>
        <v>209</v>
      </c>
      <c r="M6" s="203">
        <f t="shared" ref="M6:M33" si="4">L6*$B$4</f>
        <v>4496.8709677419356</v>
      </c>
      <c r="N6" s="203">
        <f>SUM(L6)</f>
        <v>209</v>
      </c>
      <c r="O6" s="203">
        <f t="shared" ref="O6:O33" si="5">N6*$B$4</f>
        <v>4496.8709677419356</v>
      </c>
      <c r="P6" s="203">
        <f>SUM(N6)</f>
        <v>209</v>
      </c>
      <c r="Q6" s="203">
        <f t="shared" ref="Q6:Q33" si="6">P6*$B$4</f>
        <v>4496.8709677419356</v>
      </c>
      <c r="R6" s="203">
        <f>SUM(P6)</f>
        <v>209</v>
      </c>
      <c r="S6" s="203">
        <f t="shared" ref="S6:S33" si="7">R6*$B$4</f>
        <v>4496.8709677419356</v>
      </c>
      <c r="T6" s="203">
        <f>SUM(R6)</f>
        <v>209</v>
      </c>
      <c r="U6" s="203">
        <f t="shared" ref="U6:U33" si="8">T6*$B$4</f>
        <v>4496.8709677419356</v>
      </c>
      <c r="V6" s="203">
        <f>SUM(T6)</f>
        <v>209</v>
      </c>
      <c r="W6" s="203">
        <f t="shared" ref="W6:W33" si="9">V6*$B$4</f>
        <v>4496.8709677419356</v>
      </c>
      <c r="X6" s="35">
        <f t="shared" ref="X6:X29" si="10">SUM(Y6/73370)</f>
        <v>0.67419354838709689</v>
      </c>
      <c r="Y6" s="36">
        <f>SUM(C6+E6+G6+I6+K6+M6+O6+Q6+S6+U6+W6)</f>
        <v>49465.580645161303</v>
      </c>
      <c r="Z6" s="203">
        <f>'B5'!C5</f>
        <v>206</v>
      </c>
      <c r="AA6" s="203">
        <f>SUM(Z6*$Z$4)</f>
        <v>2060</v>
      </c>
      <c r="AB6" s="203">
        <f>SUM(Z6)</f>
        <v>206</v>
      </c>
      <c r="AC6" s="203">
        <f>SUM(AB6*$Z$4)</f>
        <v>2060</v>
      </c>
      <c r="AD6" s="203">
        <f>SUM(AB6)</f>
        <v>206</v>
      </c>
      <c r="AE6" s="203">
        <f t="shared" ref="AE6:AE33" si="11">SUM(AD6*$Z$4)</f>
        <v>2060</v>
      </c>
      <c r="AF6" s="203">
        <f>SUM(AD6)</f>
        <v>206</v>
      </c>
      <c r="AG6" s="203">
        <f t="shared" ref="AG6:AG33" si="12">SUM(AF6*$Z$4)</f>
        <v>2060</v>
      </c>
      <c r="AH6" s="203">
        <f>SUM(AF6)</f>
        <v>206</v>
      </c>
      <c r="AI6" s="203">
        <f t="shared" ref="AI6:AI33" si="13">SUM(AH6*$Z$4)</f>
        <v>2060</v>
      </c>
      <c r="AJ6" s="203">
        <f>SUM(AH6)</f>
        <v>206</v>
      </c>
      <c r="AK6" s="203">
        <f t="shared" ref="AK6:AK33" si="14">SUM(AJ6*$Z$4)</f>
        <v>2060</v>
      </c>
      <c r="AL6" s="203">
        <f>SUM(AJ6)</f>
        <v>206</v>
      </c>
      <c r="AM6" s="203">
        <f t="shared" ref="AM6:AM33" si="15">SUM(AL6*$Z$4)</f>
        <v>2060</v>
      </c>
      <c r="AN6" s="35">
        <f t="shared" ref="AN6:AN29" si="16">SUM(AO6/19600)</f>
        <v>0.73571428571428577</v>
      </c>
      <c r="AO6" s="36">
        <f t="shared" ref="AO6:AO29" si="17">SUM(AA6+AC6+AE6+AG6+AI6+AK6+AM6)</f>
        <v>14420</v>
      </c>
      <c r="AQ6" s="223">
        <f>SUM(AR6/92970)</f>
        <v>0.68716339297796392</v>
      </c>
      <c r="AR6" s="38">
        <f>Y6+AO6</f>
        <v>63885.580645161303</v>
      </c>
      <c r="AS6" s="197">
        <f>SUM(AR6-AR5-AT6)</f>
        <v>-3460.096774193531</v>
      </c>
      <c r="AT6" s="355"/>
      <c r="AU6" s="436"/>
      <c r="AV6" s="518">
        <f>IF(AT6&gt;0,AU6,AV5)</f>
        <v>0.74</v>
      </c>
      <c r="AW6" s="290">
        <f>-SUM('B5'!AI5)</f>
        <v>-420.20000000001164</v>
      </c>
      <c r="AX6" s="290">
        <f>-SUM(AW6-AS6)</f>
        <v>-3039.8967741935194</v>
      </c>
      <c r="AY6" s="37">
        <f>SUM(AX6+AW6)</f>
        <v>-3460.096774193531</v>
      </c>
      <c r="AZ6" s="100">
        <f>ELEC!A3</f>
        <v>0</v>
      </c>
      <c r="BA6" s="118">
        <f>'General information '!D6</f>
        <v>16</v>
      </c>
      <c r="BB6" s="280">
        <f>SUM('General information '!E6)</f>
        <v>0.69</v>
      </c>
      <c r="BC6" s="3">
        <f>IF(AR3&gt;=AR6,0,1)</f>
        <v>0</v>
      </c>
      <c r="BD6" s="102">
        <v>19222</v>
      </c>
      <c r="BE6" s="14">
        <f>(305/1185)*ELEC!Q4</f>
        <v>1888.1687763711359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-253.32473118279327</v>
      </c>
      <c r="BK6" s="614">
        <f>GEN!AF3</f>
        <v>0.32104166666670153</v>
      </c>
    </row>
    <row r="7" spans="1:63">
      <c r="A7" s="444">
        <f>ELEC!C4</f>
        <v>44257</v>
      </c>
      <c r="B7">
        <f>'B5'!B6</f>
        <v>199</v>
      </c>
      <c r="C7" s="203">
        <f t="shared" ref="C7:E33" si="18">B7*$B$4</f>
        <v>4281.7096774193551</v>
      </c>
      <c r="D7">
        <f t="shared" ref="D7:D29" si="19">SUM(B7)</f>
        <v>199</v>
      </c>
      <c r="E7" s="203">
        <f t="shared" si="18"/>
        <v>4281.7096774193551</v>
      </c>
      <c r="F7">
        <f t="shared" ref="F7:F29" si="20">SUM(D7)</f>
        <v>199</v>
      </c>
      <c r="G7" s="203">
        <f t="shared" si="1"/>
        <v>4281.7096774193551</v>
      </c>
      <c r="H7" s="203">
        <f t="shared" ref="H7:H29" si="21">SUM(F7)</f>
        <v>199</v>
      </c>
      <c r="I7" s="203">
        <f t="shared" si="2"/>
        <v>4281.7096774193551</v>
      </c>
      <c r="J7" s="203">
        <f t="shared" ref="J7:J29" si="22">SUM(H7)</f>
        <v>199</v>
      </c>
      <c r="K7" s="203">
        <f t="shared" si="3"/>
        <v>4281.7096774193551</v>
      </c>
      <c r="L7" s="203">
        <f t="shared" ref="L7:L29" si="23">SUM(J7)</f>
        <v>199</v>
      </c>
      <c r="M7" s="203">
        <f t="shared" si="4"/>
        <v>4281.7096774193551</v>
      </c>
      <c r="N7" s="203">
        <f t="shared" ref="N7:N29" si="24">SUM(L7)</f>
        <v>199</v>
      </c>
      <c r="O7" s="203">
        <f t="shared" si="5"/>
        <v>4281.7096774193551</v>
      </c>
      <c r="P7" s="203">
        <f t="shared" ref="P7:P29" si="25">SUM(N7)</f>
        <v>199</v>
      </c>
      <c r="Q7" s="203">
        <f t="shared" si="6"/>
        <v>4281.7096774193551</v>
      </c>
      <c r="R7" s="203">
        <f t="shared" ref="R7:R29" si="26">SUM(P7)</f>
        <v>199</v>
      </c>
      <c r="S7" s="203">
        <f t="shared" si="7"/>
        <v>4281.7096774193551</v>
      </c>
      <c r="T7" s="203">
        <f t="shared" ref="T7:T29" si="27">SUM(R7)</f>
        <v>199</v>
      </c>
      <c r="U7" s="203">
        <f t="shared" si="8"/>
        <v>4281.7096774193551</v>
      </c>
      <c r="V7" s="203">
        <f t="shared" ref="V7:V29" si="28">SUM(T7)</f>
        <v>199</v>
      </c>
      <c r="W7" s="203">
        <f t="shared" si="9"/>
        <v>4281.7096774193551</v>
      </c>
      <c r="X7" s="35">
        <f t="shared" si="10"/>
        <v>0.64193548387096777</v>
      </c>
      <c r="Y7" s="36">
        <f t="shared" ref="Y7:Y29" si="29">SUM(C7+E7+G7+I7+K7+M7+O7+Q7+S7+U7+W7)</f>
        <v>47098.806451612909</v>
      </c>
      <c r="Z7" s="203">
        <f>'B5'!C6</f>
        <v>205</v>
      </c>
      <c r="AA7" s="203">
        <f t="shared" ref="AA7:AC33" si="30">SUM(Z7*$Z$4)</f>
        <v>2050</v>
      </c>
      <c r="AB7" s="203">
        <f t="shared" ref="AB7:AB29" si="31">SUM(Z7)</f>
        <v>205</v>
      </c>
      <c r="AC7" s="203">
        <f t="shared" si="30"/>
        <v>2050</v>
      </c>
      <c r="AD7" s="203">
        <f t="shared" ref="AD7:AD29" si="32">SUM(AB7)</f>
        <v>205</v>
      </c>
      <c r="AE7" s="203">
        <f t="shared" si="11"/>
        <v>2050</v>
      </c>
      <c r="AF7" s="203">
        <f t="shared" ref="AF7:AF29" si="33">SUM(AD7)</f>
        <v>205</v>
      </c>
      <c r="AG7" s="203">
        <f t="shared" si="12"/>
        <v>2050</v>
      </c>
      <c r="AH7" s="203">
        <f t="shared" ref="AH7:AH29" si="34">SUM(AF7)</f>
        <v>205</v>
      </c>
      <c r="AI7" s="203">
        <f t="shared" si="13"/>
        <v>2050</v>
      </c>
      <c r="AJ7" s="203">
        <f t="shared" ref="AJ7:AJ29" si="35">SUM(AH7)</f>
        <v>205</v>
      </c>
      <c r="AK7" s="203">
        <f t="shared" si="14"/>
        <v>2050</v>
      </c>
      <c r="AL7" s="203">
        <f t="shared" ref="AL7:AL29" si="36">SUM(AJ7)</f>
        <v>205</v>
      </c>
      <c r="AM7" s="203">
        <f t="shared" si="15"/>
        <v>2050</v>
      </c>
      <c r="AN7" s="35">
        <f t="shared" si="16"/>
        <v>0.7321428571428571</v>
      </c>
      <c r="AO7" s="36">
        <f t="shared" si="17"/>
        <v>14350</v>
      </c>
      <c r="AQ7" s="223">
        <f t="shared" ref="AQ7:AQ33" si="37">SUM(AR7/92970)</f>
        <v>0.66095306498454243</v>
      </c>
      <c r="AR7" s="38">
        <f>Y7+AO7</f>
        <v>61448.806451612909</v>
      </c>
      <c r="AS7" s="197">
        <f t="shared" ref="AS7:AS33" si="38">SUM(AR7-AR6-AT7)</f>
        <v>-2436.7741935483937</v>
      </c>
      <c r="AT7" s="271"/>
      <c r="AU7" s="491"/>
      <c r="AV7" s="518">
        <f>IF(AT7&gt;0,AU7,AV6)</f>
        <v>0.74</v>
      </c>
      <c r="AW7" s="290">
        <f>-SUM('B5'!AI6)</f>
        <v>-351</v>
      </c>
      <c r="AX7" s="290">
        <f t="shared" ref="AX7:AX33" si="39">-SUM(AW7-AS7)</f>
        <v>-2085.7741935483937</v>
      </c>
      <c r="AY7" s="37">
        <f t="shared" ref="AY7:AY33" si="40">SUM(AX7+AW7)</f>
        <v>-2436.7741935483937</v>
      </c>
      <c r="AZ7" s="100">
        <f>ELEC!A4</f>
        <v>0</v>
      </c>
      <c r="BA7" s="118">
        <f>'General information '!D7</f>
        <v>15.5</v>
      </c>
      <c r="BB7" s="394">
        <f>SUM('General information '!E7)</f>
        <v>0.64</v>
      </c>
      <c r="BC7" s="3">
        <v>0</v>
      </c>
      <c r="BD7" s="102">
        <v>19222</v>
      </c>
      <c r="BE7" s="14">
        <f>(305/1185)*ELEC!Q5</f>
        <v>1248.3122362874817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1">AX7/BI7</f>
        <v>-139.05161290322624</v>
      </c>
      <c r="BK7" s="614">
        <f>GEN!AF4</f>
        <v>0.30566666666663878</v>
      </c>
    </row>
    <row r="8" spans="1:63">
      <c r="A8" s="444">
        <f>ELEC!C5</f>
        <v>44258</v>
      </c>
      <c r="B8">
        <f>'B5'!B7</f>
        <v>193</v>
      </c>
      <c r="C8" s="203">
        <f t="shared" si="18"/>
        <v>4152.6129032258068</v>
      </c>
      <c r="D8">
        <f t="shared" si="19"/>
        <v>193</v>
      </c>
      <c r="E8" s="203">
        <f t="shared" si="18"/>
        <v>4152.6129032258068</v>
      </c>
      <c r="F8">
        <f t="shared" si="20"/>
        <v>193</v>
      </c>
      <c r="G8" s="203">
        <f t="shared" si="1"/>
        <v>4152.6129032258068</v>
      </c>
      <c r="H8" s="203">
        <f t="shared" si="21"/>
        <v>193</v>
      </c>
      <c r="I8" s="203">
        <f t="shared" si="2"/>
        <v>4152.6129032258068</v>
      </c>
      <c r="J8" s="203">
        <f t="shared" si="22"/>
        <v>193</v>
      </c>
      <c r="K8" s="203">
        <f t="shared" si="3"/>
        <v>4152.6129032258068</v>
      </c>
      <c r="L8" s="203">
        <f t="shared" si="23"/>
        <v>193</v>
      </c>
      <c r="M8" s="203">
        <f t="shared" si="4"/>
        <v>4152.6129032258068</v>
      </c>
      <c r="N8" s="203">
        <f t="shared" si="24"/>
        <v>193</v>
      </c>
      <c r="O8" s="203">
        <f t="shared" si="5"/>
        <v>4152.6129032258068</v>
      </c>
      <c r="P8" s="203">
        <f t="shared" si="25"/>
        <v>193</v>
      </c>
      <c r="Q8" s="203">
        <f t="shared" si="6"/>
        <v>4152.6129032258068</v>
      </c>
      <c r="R8" s="203">
        <f t="shared" si="26"/>
        <v>193</v>
      </c>
      <c r="S8" s="203">
        <f t="shared" si="7"/>
        <v>4152.6129032258068</v>
      </c>
      <c r="T8" s="203">
        <f t="shared" si="27"/>
        <v>193</v>
      </c>
      <c r="U8" s="203">
        <f t="shared" si="8"/>
        <v>4152.6129032258068</v>
      </c>
      <c r="V8" s="203">
        <f t="shared" si="28"/>
        <v>193</v>
      </c>
      <c r="W8" s="203">
        <f t="shared" si="9"/>
        <v>4152.6129032258068</v>
      </c>
      <c r="X8" s="35">
        <f t="shared" si="10"/>
        <v>0.62258064516129019</v>
      </c>
      <c r="Y8" s="36">
        <f t="shared" si="29"/>
        <v>45678.741935483864</v>
      </c>
      <c r="Z8" s="203">
        <f>'B5'!C7</f>
        <v>199</v>
      </c>
      <c r="AA8" s="203">
        <f t="shared" si="30"/>
        <v>1990</v>
      </c>
      <c r="AB8" s="203">
        <f t="shared" si="31"/>
        <v>199</v>
      </c>
      <c r="AC8" s="203">
        <f t="shared" si="30"/>
        <v>1990</v>
      </c>
      <c r="AD8" s="203">
        <f t="shared" si="32"/>
        <v>199</v>
      </c>
      <c r="AE8" s="203">
        <f t="shared" si="11"/>
        <v>1990</v>
      </c>
      <c r="AF8" s="203">
        <f t="shared" si="33"/>
        <v>199</v>
      </c>
      <c r="AG8" s="203">
        <f t="shared" si="12"/>
        <v>1990</v>
      </c>
      <c r="AH8" s="203">
        <f t="shared" si="34"/>
        <v>199</v>
      </c>
      <c r="AI8" s="203">
        <f t="shared" si="13"/>
        <v>1990</v>
      </c>
      <c r="AJ8" s="203">
        <f t="shared" si="35"/>
        <v>199</v>
      </c>
      <c r="AK8" s="203">
        <f t="shared" si="14"/>
        <v>1990</v>
      </c>
      <c r="AL8" s="203">
        <f t="shared" si="36"/>
        <v>199</v>
      </c>
      <c r="AM8" s="203">
        <f t="shared" si="15"/>
        <v>1990</v>
      </c>
      <c r="AN8" s="35">
        <f t="shared" si="16"/>
        <v>0.71071428571428574</v>
      </c>
      <c r="AO8" s="36">
        <f t="shared" si="17"/>
        <v>13930</v>
      </c>
      <c r="AQ8" s="223">
        <f t="shared" si="37"/>
        <v>0.64116104050213896</v>
      </c>
      <c r="AR8" s="38">
        <f t="shared" ref="AR8:AR36" si="42">Y8+AO8</f>
        <v>59608.741935483864</v>
      </c>
      <c r="AS8" s="197">
        <f t="shared" si="38"/>
        <v>-1840.0645161290449</v>
      </c>
      <c r="AT8" s="355"/>
      <c r="AU8" s="436"/>
      <c r="AV8" s="518">
        <f t="shared" ref="AV8:AV31" si="43">IF(AT8&gt;0,AU8,AV7)</f>
        <v>0.74</v>
      </c>
      <c r="AW8" s="290">
        <f>-SUM('B5'!AI7)</f>
        <v>-216</v>
      </c>
      <c r="AX8" s="290">
        <f t="shared" si="39"/>
        <v>-1624.0645161290449</v>
      </c>
      <c r="AY8" s="37">
        <f t="shared" si="40"/>
        <v>-1840.0645161290449</v>
      </c>
      <c r="AZ8" s="100">
        <f>ELEC!A5</f>
        <v>0</v>
      </c>
      <c r="BA8" s="118">
        <f>'General information '!D8</f>
        <v>15.5</v>
      </c>
      <c r="BB8" s="394">
        <f>SUM('General information '!E8)</f>
        <v>0.65</v>
      </c>
      <c r="BC8" s="3">
        <f t="shared" ref="BC8:BC33" si="44">IF(AR7&gt;=AR8,0,1)</f>
        <v>0</v>
      </c>
      <c r="BD8" s="102">
        <v>19222</v>
      </c>
      <c r="BE8" s="14">
        <f>(305/1185)*ELEC!Q6</f>
        <v>899.5569620250543</v>
      </c>
      <c r="BF8" s="14"/>
      <c r="BG8" s="14" t="e">
        <f>#REF!-BE8</f>
        <v>#REF!</v>
      </c>
      <c r="BH8" s="11">
        <v>16</v>
      </c>
      <c r="BI8">
        <v>9</v>
      </c>
      <c r="BJ8">
        <f t="shared" si="41"/>
        <v>-180.45161290322721</v>
      </c>
      <c r="BK8" s="614">
        <f>GEN!AF5</f>
        <v>0.33680555555570713</v>
      </c>
    </row>
    <row r="9" spans="1:63">
      <c r="A9" s="444">
        <f>ELEC!C6</f>
        <v>44259</v>
      </c>
      <c r="B9">
        <f>'B5'!B8</f>
        <v>187</v>
      </c>
      <c r="C9" s="203">
        <f t="shared" si="18"/>
        <v>4023.516129032258</v>
      </c>
      <c r="D9">
        <f t="shared" si="19"/>
        <v>187</v>
      </c>
      <c r="E9" s="203">
        <f t="shared" si="18"/>
        <v>4023.516129032258</v>
      </c>
      <c r="F9">
        <f t="shared" si="20"/>
        <v>187</v>
      </c>
      <c r="G9" s="203">
        <f t="shared" si="1"/>
        <v>4023.516129032258</v>
      </c>
      <c r="H9" s="203">
        <f t="shared" si="21"/>
        <v>187</v>
      </c>
      <c r="I9" s="203">
        <f t="shared" si="2"/>
        <v>4023.516129032258</v>
      </c>
      <c r="J9" s="203">
        <f t="shared" si="22"/>
        <v>187</v>
      </c>
      <c r="K9" s="203">
        <f t="shared" si="3"/>
        <v>4023.516129032258</v>
      </c>
      <c r="L9" s="203">
        <f t="shared" si="23"/>
        <v>187</v>
      </c>
      <c r="M9" s="203">
        <f t="shared" si="4"/>
        <v>4023.516129032258</v>
      </c>
      <c r="N9" s="203">
        <f t="shared" si="24"/>
        <v>187</v>
      </c>
      <c r="O9" s="203">
        <f t="shared" si="5"/>
        <v>4023.516129032258</v>
      </c>
      <c r="P9" s="203">
        <f t="shared" si="25"/>
        <v>187</v>
      </c>
      <c r="Q9" s="203">
        <f t="shared" si="6"/>
        <v>4023.516129032258</v>
      </c>
      <c r="R9" s="203">
        <f t="shared" si="26"/>
        <v>187</v>
      </c>
      <c r="S9" s="203">
        <f t="shared" si="7"/>
        <v>4023.516129032258</v>
      </c>
      <c r="T9" s="203">
        <f t="shared" si="27"/>
        <v>187</v>
      </c>
      <c r="U9" s="203">
        <f t="shared" si="8"/>
        <v>4023.516129032258</v>
      </c>
      <c r="V9" s="203">
        <f t="shared" si="28"/>
        <v>187</v>
      </c>
      <c r="W9" s="203">
        <f t="shared" si="9"/>
        <v>4023.516129032258</v>
      </c>
      <c r="X9" s="35">
        <f t="shared" si="10"/>
        <v>0.60322580645161294</v>
      </c>
      <c r="Y9" s="36">
        <f t="shared" si="29"/>
        <v>44258.677419354841</v>
      </c>
      <c r="Z9" s="203">
        <f>'B5'!C8</f>
        <v>194</v>
      </c>
      <c r="AA9" s="203">
        <f t="shared" si="30"/>
        <v>1940</v>
      </c>
      <c r="AB9" s="203">
        <f t="shared" si="31"/>
        <v>194</v>
      </c>
      <c r="AC9" s="203">
        <f t="shared" si="30"/>
        <v>1940</v>
      </c>
      <c r="AD9" s="203">
        <f t="shared" si="32"/>
        <v>194</v>
      </c>
      <c r="AE9" s="203">
        <f t="shared" si="11"/>
        <v>1940</v>
      </c>
      <c r="AF9" s="203">
        <f t="shared" si="33"/>
        <v>194</v>
      </c>
      <c r="AG9" s="203">
        <f t="shared" si="12"/>
        <v>1940</v>
      </c>
      <c r="AH9" s="203">
        <f t="shared" si="34"/>
        <v>194</v>
      </c>
      <c r="AI9" s="203">
        <f t="shared" si="13"/>
        <v>1940</v>
      </c>
      <c r="AJ9" s="203">
        <f t="shared" si="35"/>
        <v>194</v>
      </c>
      <c r="AK9" s="203">
        <f t="shared" si="14"/>
        <v>1940</v>
      </c>
      <c r="AL9" s="203">
        <f t="shared" si="36"/>
        <v>194</v>
      </c>
      <c r="AM9" s="203">
        <f t="shared" si="15"/>
        <v>1940</v>
      </c>
      <c r="AN9" s="35">
        <f t="shared" si="16"/>
        <v>0.69285714285714284</v>
      </c>
      <c r="AO9" s="36">
        <f>SUM(AA9+AC9+AE9+AG9+AI9+AK9+AM9)</f>
        <v>13580</v>
      </c>
      <c r="AQ9" s="223">
        <f t="shared" si="37"/>
        <v>0.62212194707276369</v>
      </c>
      <c r="AR9" s="38">
        <f t="shared" si="42"/>
        <v>57838.677419354841</v>
      </c>
      <c r="AS9" s="197">
        <f t="shared" si="38"/>
        <v>-1770.0645161290231</v>
      </c>
      <c r="AT9" s="491"/>
      <c r="AU9" s="436"/>
      <c r="AV9" s="518">
        <f t="shared" si="43"/>
        <v>0.74</v>
      </c>
      <c r="AW9" s="290">
        <f>-SUM('B5'!AI8)</f>
        <v>-312</v>
      </c>
      <c r="AX9" s="290">
        <f>-SUM(AW9-AS9)</f>
        <v>-1458.0645161290231</v>
      </c>
      <c r="AY9" s="37">
        <f t="shared" si="40"/>
        <v>-1770.0645161290231</v>
      </c>
      <c r="AZ9" s="100">
        <f>ELEC!A6</f>
        <v>0</v>
      </c>
      <c r="BA9" s="118">
        <f>'General information '!D9</f>
        <v>15.5</v>
      </c>
      <c r="BB9" s="394">
        <f>SUM('General information '!E9)</f>
        <v>0.59</v>
      </c>
      <c r="BC9" s="3">
        <f t="shared" si="44"/>
        <v>0</v>
      </c>
      <c r="BD9" s="102">
        <v>19222</v>
      </c>
      <c r="BE9" s="14">
        <f>(305/1185)*ELEC!Q7</f>
        <v>1180.8776371307345</v>
      </c>
      <c r="BF9" s="14"/>
      <c r="BG9" s="14" t="e">
        <f>#REF!-BE9</f>
        <v>#REF!</v>
      </c>
      <c r="BH9" s="11">
        <v>18</v>
      </c>
      <c r="BI9">
        <v>6</v>
      </c>
      <c r="BJ9">
        <f t="shared" si="41"/>
        <v>-243.01075268817053</v>
      </c>
      <c r="BK9" s="614">
        <f>GEN!AF6</f>
        <v>0.36406249999989393</v>
      </c>
    </row>
    <row r="10" spans="1:63">
      <c r="A10" s="444">
        <f>ELEC!C7</f>
        <v>44260</v>
      </c>
      <c r="B10">
        <f>'B5'!B9</f>
        <v>208</v>
      </c>
      <c r="C10" s="203">
        <f t="shared" si="18"/>
        <v>4475.3548387096771</v>
      </c>
      <c r="D10">
        <f t="shared" si="19"/>
        <v>208</v>
      </c>
      <c r="E10" s="203">
        <f t="shared" si="18"/>
        <v>4475.3548387096771</v>
      </c>
      <c r="F10">
        <f t="shared" si="20"/>
        <v>208</v>
      </c>
      <c r="G10" s="203">
        <f t="shared" si="1"/>
        <v>4475.3548387096771</v>
      </c>
      <c r="H10" s="203">
        <f t="shared" si="21"/>
        <v>208</v>
      </c>
      <c r="I10" s="203">
        <f t="shared" si="2"/>
        <v>4475.3548387096771</v>
      </c>
      <c r="J10" s="203">
        <f t="shared" si="22"/>
        <v>208</v>
      </c>
      <c r="K10" s="203">
        <f t="shared" si="3"/>
        <v>4475.3548387096771</v>
      </c>
      <c r="L10" s="203">
        <f t="shared" si="23"/>
        <v>208</v>
      </c>
      <c r="M10" s="203">
        <f t="shared" si="4"/>
        <v>4475.3548387096771</v>
      </c>
      <c r="N10" s="203">
        <f t="shared" si="24"/>
        <v>208</v>
      </c>
      <c r="O10" s="203">
        <f t="shared" si="5"/>
        <v>4475.3548387096771</v>
      </c>
      <c r="P10" s="203">
        <f t="shared" si="25"/>
        <v>208</v>
      </c>
      <c r="Q10" s="203">
        <f t="shared" si="6"/>
        <v>4475.3548387096771</v>
      </c>
      <c r="R10" s="203">
        <f t="shared" si="26"/>
        <v>208</v>
      </c>
      <c r="S10" s="203">
        <f t="shared" si="7"/>
        <v>4475.3548387096771</v>
      </c>
      <c r="T10" s="203">
        <f t="shared" si="27"/>
        <v>208</v>
      </c>
      <c r="U10" s="203">
        <f t="shared" si="8"/>
        <v>4475.3548387096771</v>
      </c>
      <c r="V10" s="203">
        <f t="shared" si="28"/>
        <v>208</v>
      </c>
      <c r="W10" s="203">
        <f t="shared" si="9"/>
        <v>4475.3548387096771</v>
      </c>
      <c r="X10" s="35">
        <f t="shared" si="10"/>
        <v>0.6709677419354837</v>
      </c>
      <c r="Y10" s="36">
        <f t="shared" si="29"/>
        <v>49228.90322580644</v>
      </c>
      <c r="Z10" s="203">
        <f>'B5'!C9</f>
        <v>214</v>
      </c>
      <c r="AA10" s="203">
        <f t="shared" si="30"/>
        <v>2140</v>
      </c>
      <c r="AB10" s="203">
        <f t="shared" si="31"/>
        <v>214</v>
      </c>
      <c r="AC10" s="203">
        <f t="shared" si="30"/>
        <v>2140</v>
      </c>
      <c r="AD10" s="203">
        <f t="shared" si="32"/>
        <v>214</v>
      </c>
      <c r="AE10" s="203">
        <f t="shared" si="11"/>
        <v>2140</v>
      </c>
      <c r="AF10" s="203">
        <f t="shared" si="33"/>
        <v>214</v>
      </c>
      <c r="AG10" s="203">
        <f t="shared" si="12"/>
        <v>2140</v>
      </c>
      <c r="AH10" s="203">
        <f t="shared" si="34"/>
        <v>214</v>
      </c>
      <c r="AI10" s="203">
        <f t="shared" si="13"/>
        <v>2140</v>
      </c>
      <c r="AJ10" s="203">
        <f t="shared" si="35"/>
        <v>214</v>
      </c>
      <c r="AK10" s="203">
        <f t="shared" si="14"/>
        <v>2140</v>
      </c>
      <c r="AL10" s="203">
        <f t="shared" si="36"/>
        <v>214</v>
      </c>
      <c r="AM10" s="203">
        <f t="shared" si="15"/>
        <v>2140</v>
      </c>
      <c r="AN10" s="35">
        <f t="shared" si="16"/>
        <v>0.76428571428571423</v>
      </c>
      <c r="AO10" s="36">
        <f t="shared" si="17"/>
        <v>14980</v>
      </c>
      <c r="AQ10" s="223">
        <f t="shared" si="37"/>
        <v>0.69064110170814719</v>
      </c>
      <c r="AR10" s="38">
        <f t="shared" si="42"/>
        <v>64208.90322580644</v>
      </c>
      <c r="AS10" s="197">
        <f>SUM(AR10-AR9-AT10)</f>
        <v>-580.77419354840094</v>
      </c>
      <c r="AT10" s="355">
        <v>6951</v>
      </c>
      <c r="AU10" s="436">
        <v>0.78</v>
      </c>
      <c r="AV10" s="518">
        <f>IF(AT10&gt;0,AU10,AV9)</f>
        <v>0.78</v>
      </c>
      <c r="AW10" s="290">
        <f>-SUM('B5'!AI9)</f>
        <v>-238</v>
      </c>
      <c r="AX10" s="290">
        <f>-SUM(AW10-AS10)</f>
        <v>-342.77419354840094</v>
      </c>
      <c r="AY10" s="37">
        <f t="shared" si="40"/>
        <v>-580.77419354840094</v>
      </c>
      <c r="AZ10" s="100">
        <f>ELEC!A7</f>
        <v>0</v>
      </c>
      <c r="BA10" s="118">
        <f>'General information '!D10</f>
        <v>15.5</v>
      </c>
      <c r="BB10" s="394">
        <f>SUM('General information '!E10)</f>
        <v>0.64</v>
      </c>
      <c r="BC10" s="3">
        <f t="shared" si="44"/>
        <v>1</v>
      </c>
      <c r="BD10" s="102">
        <v>19222</v>
      </c>
      <c r="BE10" s="14">
        <f>(305/1185)*ELEC!Q8</f>
        <v>1256.0337552745239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1"/>
        <v>-48.967741935485847</v>
      </c>
      <c r="BK10" s="614">
        <f>GEN!AF7</f>
        <v>0.40964285714283377</v>
      </c>
    </row>
    <row r="11" spans="1:63">
      <c r="A11" s="444">
        <f>ELEC!C8</f>
        <v>44261</v>
      </c>
      <c r="B11">
        <f>'B5'!B10</f>
        <v>202</v>
      </c>
      <c r="C11" s="203">
        <f t="shared" si="18"/>
        <v>4346.2580645161288</v>
      </c>
      <c r="D11">
        <f>SUM(B11)</f>
        <v>202</v>
      </c>
      <c r="E11" s="203">
        <f t="shared" si="18"/>
        <v>4346.2580645161288</v>
      </c>
      <c r="F11">
        <f>SUM(D11)</f>
        <v>202</v>
      </c>
      <c r="G11" s="203">
        <f t="shared" si="1"/>
        <v>4346.2580645161288</v>
      </c>
      <c r="H11" s="203">
        <f>SUM(F11)</f>
        <v>202</v>
      </c>
      <c r="I11" s="203">
        <f t="shared" si="2"/>
        <v>4346.2580645161288</v>
      </c>
      <c r="J11" s="203">
        <f>SUM(H11)</f>
        <v>202</v>
      </c>
      <c r="K11" s="203">
        <f t="shared" si="3"/>
        <v>4346.2580645161288</v>
      </c>
      <c r="L11" s="203">
        <f>SUM(J11)</f>
        <v>202</v>
      </c>
      <c r="M11" s="203">
        <f t="shared" si="4"/>
        <v>4346.2580645161288</v>
      </c>
      <c r="N11" s="203">
        <f>SUM(L11)</f>
        <v>202</v>
      </c>
      <c r="O11" s="203">
        <f t="shared" si="5"/>
        <v>4346.2580645161288</v>
      </c>
      <c r="P11" s="203">
        <f>SUM(N11)</f>
        <v>202</v>
      </c>
      <c r="Q11" s="203">
        <f t="shared" si="6"/>
        <v>4346.2580645161288</v>
      </c>
      <c r="R11" s="203">
        <f>SUM(P11)</f>
        <v>202</v>
      </c>
      <c r="S11" s="203">
        <f t="shared" si="7"/>
        <v>4346.2580645161288</v>
      </c>
      <c r="T11" s="203">
        <f>SUM(R11)</f>
        <v>202</v>
      </c>
      <c r="U11" s="203">
        <f t="shared" si="8"/>
        <v>4346.2580645161288</v>
      </c>
      <c r="V11" s="203">
        <f>SUM(T11)</f>
        <v>202</v>
      </c>
      <c r="W11" s="203">
        <f t="shared" si="9"/>
        <v>4346.2580645161288</v>
      </c>
      <c r="X11" s="35">
        <f>SUM(Y11/73370)</f>
        <v>0.65161290322580645</v>
      </c>
      <c r="Y11" s="36">
        <f>SUM(C11+E11+G11+I11+K11+M11+O11+Q11+S11+U11+W11)</f>
        <v>47808.838709677417</v>
      </c>
      <c r="Z11" s="203">
        <f>'B5'!C10</f>
        <v>208</v>
      </c>
      <c r="AA11" s="203">
        <f t="shared" si="30"/>
        <v>2080</v>
      </c>
      <c r="AB11" s="203">
        <f>SUM(Z11)</f>
        <v>208</v>
      </c>
      <c r="AC11" s="203">
        <f t="shared" si="30"/>
        <v>2080</v>
      </c>
      <c r="AD11" s="203">
        <f>SUM(AB11)</f>
        <v>208</v>
      </c>
      <c r="AE11" s="203">
        <f t="shared" si="11"/>
        <v>2080</v>
      </c>
      <c r="AF11" s="203">
        <f>SUM(AD11)</f>
        <v>208</v>
      </c>
      <c r="AG11" s="203">
        <f t="shared" si="12"/>
        <v>2080</v>
      </c>
      <c r="AH11" s="203">
        <f>SUM(AF11)</f>
        <v>208</v>
      </c>
      <c r="AI11" s="203">
        <f t="shared" si="13"/>
        <v>2080</v>
      </c>
      <c r="AJ11" s="203">
        <f>SUM(AH11)</f>
        <v>208</v>
      </c>
      <c r="AK11" s="203">
        <f t="shared" si="14"/>
        <v>2080</v>
      </c>
      <c r="AL11" s="203">
        <f>SUM(AJ11)</f>
        <v>208</v>
      </c>
      <c r="AM11" s="203">
        <f t="shared" si="15"/>
        <v>2080</v>
      </c>
      <c r="AN11" s="35">
        <f>SUM(AO11/19600)</f>
        <v>0.74285714285714288</v>
      </c>
      <c r="AO11" s="36">
        <f t="shared" si="17"/>
        <v>14560</v>
      </c>
      <c r="AP11" s="565"/>
      <c r="AQ11" s="223">
        <f t="shared" si="37"/>
        <v>0.67084907722574394</v>
      </c>
      <c r="AR11" s="38">
        <f t="shared" si="42"/>
        <v>62368.838709677417</v>
      </c>
      <c r="AS11" s="197">
        <f>SUM(AR11-AR10-AT11)</f>
        <v>-1840.0645161290231</v>
      </c>
      <c r="AT11" s="355"/>
      <c r="AU11" s="436"/>
      <c r="AV11" s="518">
        <f>IF(AT11&gt;0,AU11,AV10)</f>
        <v>0.78</v>
      </c>
      <c r="AW11" s="290">
        <f>-SUM('B5'!AI10)</f>
        <v>-228</v>
      </c>
      <c r="AX11" s="290">
        <f>-SUM(AW11-AS11)</f>
        <v>-1612.0645161290231</v>
      </c>
      <c r="AY11" s="37">
        <f t="shared" si="40"/>
        <v>-1840.0645161290231</v>
      </c>
      <c r="AZ11" s="100">
        <f>ELEC!A8</f>
        <v>0</v>
      </c>
      <c r="BA11" s="118">
        <f>'General information '!D11</f>
        <v>16</v>
      </c>
      <c r="BB11" s="394">
        <f>SUM('General information '!E11)</f>
        <v>0.67</v>
      </c>
      <c r="BC11" s="3">
        <f t="shared" si="44"/>
        <v>0</v>
      </c>
      <c r="BD11" s="102">
        <v>19222</v>
      </c>
      <c r="BE11" s="14">
        <f>(305/1185)*ELEC!Q9</f>
        <v>529.95358649723869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1"/>
        <v>-173.34027055152143</v>
      </c>
      <c r="BK11" s="614">
        <f>GEN!AF8</f>
        <v>0.32795698924740591</v>
      </c>
    </row>
    <row r="12" spans="1:63">
      <c r="A12" s="444">
        <f>ELEC!C9</f>
        <v>44262</v>
      </c>
      <c r="B12">
        <f>'B5'!B11</f>
        <v>199</v>
      </c>
      <c r="C12" s="203">
        <f t="shared" si="18"/>
        <v>4281.7096774193551</v>
      </c>
      <c r="D12">
        <f t="shared" si="19"/>
        <v>199</v>
      </c>
      <c r="E12" s="203">
        <f t="shared" si="18"/>
        <v>4281.7096774193551</v>
      </c>
      <c r="F12">
        <f t="shared" si="20"/>
        <v>199</v>
      </c>
      <c r="G12" s="203">
        <f t="shared" si="1"/>
        <v>4281.7096774193551</v>
      </c>
      <c r="H12" s="203">
        <f t="shared" si="21"/>
        <v>199</v>
      </c>
      <c r="I12" s="203">
        <f t="shared" si="2"/>
        <v>4281.7096774193551</v>
      </c>
      <c r="J12" s="203">
        <f t="shared" si="22"/>
        <v>199</v>
      </c>
      <c r="K12" s="203">
        <f t="shared" si="3"/>
        <v>4281.7096774193551</v>
      </c>
      <c r="L12" s="203">
        <f t="shared" si="23"/>
        <v>199</v>
      </c>
      <c r="M12" s="203">
        <f t="shared" si="4"/>
        <v>4281.7096774193551</v>
      </c>
      <c r="N12" s="203">
        <f t="shared" si="24"/>
        <v>199</v>
      </c>
      <c r="O12" s="203">
        <f t="shared" si="5"/>
        <v>4281.7096774193551</v>
      </c>
      <c r="P12" s="203">
        <f t="shared" si="25"/>
        <v>199</v>
      </c>
      <c r="Q12" s="203">
        <f t="shared" si="6"/>
        <v>4281.7096774193551</v>
      </c>
      <c r="R12" s="203">
        <f t="shared" si="26"/>
        <v>199</v>
      </c>
      <c r="S12" s="203">
        <f t="shared" si="7"/>
        <v>4281.7096774193551</v>
      </c>
      <c r="T12" s="203">
        <f t="shared" si="27"/>
        <v>199</v>
      </c>
      <c r="U12" s="203">
        <f t="shared" si="8"/>
        <v>4281.7096774193551</v>
      </c>
      <c r="V12" s="203">
        <f t="shared" si="28"/>
        <v>199</v>
      </c>
      <c r="W12" s="203">
        <f t="shared" si="9"/>
        <v>4281.7096774193551</v>
      </c>
      <c r="X12" s="35">
        <f t="shared" si="10"/>
        <v>0.64193548387096777</v>
      </c>
      <c r="Y12" s="36">
        <f t="shared" si="29"/>
        <v>47098.806451612909</v>
      </c>
      <c r="Z12" s="203">
        <f>'B5'!C11</f>
        <v>205</v>
      </c>
      <c r="AA12" s="203">
        <f t="shared" si="30"/>
        <v>2050</v>
      </c>
      <c r="AB12" s="203">
        <f t="shared" si="31"/>
        <v>205</v>
      </c>
      <c r="AC12" s="203">
        <f t="shared" si="30"/>
        <v>2050</v>
      </c>
      <c r="AD12" s="203">
        <f t="shared" si="32"/>
        <v>205</v>
      </c>
      <c r="AE12" s="203">
        <f t="shared" si="11"/>
        <v>2050</v>
      </c>
      <c r="AF12" s="203">
        <f t="shared" si="33"/>
        <v>205</v>
      </c>
      <c r="AG12" s="203">
        <f t="shared" si="12"/>
        <v>2050</v>
      </c>
      <c r="AH12" s="203">
        <f t="shared" si="34"/>
        <v>205</v>
      </c>
      <c r="AI12" s="203">
        <f t="shared" si="13"/>
        <v>2050</v>
      </c>
      <c r="AJ12" s="203">
        <f t="shared" si="35"/>
        <v>205</v>
      </c>
      <c r="AK12" s="203">
        <f t="shared" si="14"/>
        <v>2050</v>
      </c>
      <c r="AL12" s="203">
        <f t="shared" si="36"/>
        <v>205</v>
      </c>
      <c r="AM12" s="203">
        <f t="shared" si="15"/>
        <v>2050</v>
      </c>
      <c r="AN12" s="35">
        <f t="shared" si="16"/>
        <v>0.7321428571428571</v>
      </c>
      <c r="AO12" s="36">
        <f t="shared" si="17"/>
        <v>14350</v>
      </c>
      <c r="AP12" s="565"/>
      <c r="AQ12" s="223">
        <f t="shared" si="37"/>
        <v>0.66095306498454243</v>
      </c>
      <c r="AR12" s="38">
        <f t="shared" si="42"/>
        <v>61448.806451612909</v>
      </c>
      <c r="AS12" s="197">
        <f>SUM(AR12-AR11-AT12)</f>
        <v>-920.03225806450791</v>
      </c>
      <c r="AT12" s="271"/>
      <c r="AU12" s="478"/>
      <c r="AV12" s="518">
        <f t="shared" si="43"/>
        <v>0.78</v>
      </c>
      <c r="AW12" s="290">
        <f>-SUM('B5'!AI11)</f>
        <v>-230</v>
      </c>
      <c r="AX12" s="290">
        <f t="shared" si="39"/>
        <v>-690.03225806450791</v>
      </c>
      <c r="AY12" s="37">
        <f t="shared" si="40"/>
        <v>-920.03225806450791</v>
      </c>
      <c r="AZ12" s="100">
        <f>ELEC!A9</f>
        <v>0</v>
      </c>
      <c r="BA12" s="118">
        <f>'General information '!D12</f>
        <v>16.5</v>
      </c>
      <c r="BB12" s="394">
        <f>SUM('General information '!E12)</f>
        <v>0.65</v>
      </c>
      <c r="BC12" s="3">
        <f t="shared" si="44"/>
        <v>0</v>
      </c>
      <c r="BD12" s="102">
        <v>19222</v>
      </c>
      <c r="BE12" s="14">
        <f>(305/1185)*ELEC!Q10</f>
        <v>723.24894514801645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1"/>
        <v>-186.49520488226275</v>
      </c>
      <c r="BK12" s="614">
        <f>GEN!AF9</f>
        <v>0.34780405405355791</v>
      </c>
    </row>
    <row r="13" spans="1:63">
      <c r="A13" s="444">
        <f>ELEC!C10</f>
        <v>44263</v>
      </c>
      <c r="B13">
        <f>'B5'!B12</f>
        <v>194.5</v>
      </c>
      <c r="C13" s="203">
        <f t="shared" si="18"/>
        <v>4184.8870967741932</v>
      </c>
      <c r="D13">
        <f t="shared" si="19"/>
        <v>194.5</v>
      </c>
      <c r="E13" s="203">
        <f t="shared" si="18"/>
        <v>4184.8870967741932</v>
      </c>
      <c r="F13">
        <f t="shared" si="20"/>
        <v>194.5</v>
      </c>
      <c r="G13" s="203">
        <f t="shared" si="1"/>
        <v>4184.8870967741932</v>
      </c>
      <c r="H13" s="203">
        <f t="shared" si="21"/>
        <v>194.5</v>
      </c>
      <c r="I13" s="203">
        <f t="shared" si="2"/>
        <v>4184.8870967741932</v>
      </c>
      <c r="J13" s="203">
        <f t="shared" si="22"/>
        <v>194.5</v>
      </c>
      <c r="K13" s="203">
        <f t="shared" si="3"/>
        <v>4184.8870967741932</v>
      </c>
      <c r="L13" s="203">
        <f t="shared" si="23"/>
        <v>194.5</v>
      </c>
      <c r="M13" s="203">
        <f t="shared" si="4"/>
        <v>4184.8870967741932</v>
      </c>
      <c r="N13" s="203">
        <f t="shared" si="24"/>
        <v>194.5</v>
      </c>
      <c r="O13" s="203">
        <f t="shared" si="5"/>
        <v>4184.8870967741932</v>
      </c>
      <c r="P13" s="203">
        <f t="shared" si="25"/>
        <v>194.5</v>
      </c>
      <c r="Q13" s="203">
        <f t="shared" si="6"/>
        <v>4184.8870967741932</v>
      </c>
      <c r="R13" s="203">
        <f t="shared" si="26"/>
        <v>194.5</v>
      </c>
      <c r="S13" s="203">
        <f t="shared" si="7"/>
        <v>4184.8870967741932</v>
      </c>
      <c r="T13" s="203">
        <f t="shared" si="27"/>
        <v>194.5</v>
      </c>
      <c r="U13" s="203">
        <f t="shared" si="8"/>
        <v>4184.8870967741932</v>
      </c>
      <c r="V13" s="203">
        <f t="shared" si="28"/>
        <v>194.5</v>
      </c>
      <c r="W13" s="203">
        <f t="shared" si="9"/>
        <v>4184.8870967741932</v>
      </c>
      <c r="X13" s="35">
        <f t="shared" si="10"/>
        <v>0.62741935483870981</v>
      </c>
      <c r="Y13" s="36">
        <f t="shared" si="29"/>
        <v>46033.758064516136</v>
      </c>
      <c r="Z13" s="203">
        <f>'B5'!C12</f>
        <v>201</v>
      </c>
      <c r="AA13" s="203">
        <f t="shared" si="30"/>
        <v>2010</v>
      </c>
      <c r="AB13" s="203">
        <f t="shared" si="31"/>
        <v>201</v>
      </c>
      <c r="AC13" s="203">
        <f t="shared" si="30"/>
        <v>2010</v>
      </c>
      <c r="AD13" s="203">
        <f t="shared" si="32"/>
        <v>201</v>
      </c>
      <c r="AE13" s="203">
        <f t="shared" si="11"/>
        <v>2010</v>
      </c>
      <c r="AF13" s="203">
        <f t="shared" si="33"/>
        <v>201</v>
      </c>
      <c r="AG13" s="203">
        <f t="shared" si="12"/>
        <v>2010</v>
      </c>
      <c r="AH13" s="203">
        <f t="shared" si="34"/>
        <v>201</v>
      </c>
      <c r="AI13" s="203">
        <f t="shared" si="13"/>
        <v>2010</v>
      </c>
      <c r="AJ13" s="203">
        <f t="shared" si="35"/>
        <v>201</v>
      </c>
      <c r="AK13" s="203">
        <f t="shared" si="14"/>
        <v>2010</v>
      </c>
      <c r="AL13" s="203">
        <f t="shared" si="36"/>
        <v>201</v>
      </c>
      <c r="AM13" s="203">
        <f t="shared" si="15"/>
        <v>2010</v>
      </c>
      <c r="AN13" s="35">
        <f t="shared" si="16"/>
        <v>0.71785714285714286</v>
      </c>
      <c r="AO13" s="36">
        <f t="shared" si="17"/>
        <v>14070</v>
      </c>
      <c r="AP13" s="565"/>
      <c r="AQ13" s="223">
        <f t="shared" si="37"/>
        <v>0.64648551214925387</v>
      </c>
      <c r="AR13" s="38">
        <f t="shared" si="42"/>
        <v>60103.758064516136</v>
      </c>
      <c r="AS13" s="197">
        <f t="shared" si="38"/>
        <v>-1345.0483870967728</v>
      </c>
      <c r="AT13" s="271"/>
      <c r="AU13" s="436"/>
      <c r="AV13" s="518">
        <f t="shared" si="43"/>
        <v>0.78</v>
      </c>
      <c r="AW13" s="290">
        <f>-SUM('B5'!AI12)</f>
        <v>-290</v>
      </c>
      <c r="AX13" s="290">
        <f t="shared" si="39"/>
        <v>-1055.0483870967728</v>
      </c>
      <c r="AY13" s="37">
        <f t="shared" si="40"/>
        <v>-1345.0483870967728</v>
      </c>
      <c r="AZ13" s="100">
        <f>ELEC!A10</f>
        <v>0</v>
      </c>
      <c r="BA13" s="118">
        <f>'General information '!D13</f>
        <v>18</v>
      </c>
      <c r="BB13" s="394">
        <f>SUM('General information '!E13)</f>
        <v>0.76</v>
      </c>
      <c r="BC13" s="3">
        <f t="shared" si="44"/>
        <v>0</v>
      </c>
      <c r="BD13" s="102">
        <v>19222</v>
      </c>
      <c r="BE13" s="14">
        <f>(305/1185)*ELEC!Q11</f>
        <v>545.13924050596211</v>
      </c>
      <c r="BF13" s="14"/>
      <c r="BG13" s="14" t="e">
        <f>#REF!-BE13</f>
        <v>#REF!</v>
      </c>
      <c r="BH13" s="11"/>
      <c r="BI13">
        <v>5</v>
      </c>
      <c r="BJ13">
        <f t="shared" si="41"/>
        <v>-211.00967741935455</v>
      </c>
      <c r="BK13" s="614">
        <f>GEN!AF10</f>
        <v>0.35125000000016371</v>
      </c>
    </row>
    <row r="14" spans="1:63">
      <c r="A14" s="444">
        <f>ELEC!C11</f>
        <v>44264</v>
      </c>
      <c r="B14">
        <f>'B5'!B13</f>
        <v>192</v>
      </c>
      <c r="C14" s="203">
        <f t="shared" si="18"/>
        <v>4131.0967741935483</v>
      </c>
      <c r="D14">
        <f t="shared" si="19"/>
        <v>192</v>
      </c>
      <c r="E14" s="203">
        <f t="shared" si="18"/>
        <v>4131.0967741935483</v>
      </c>
      <c r="F14">
        <f t="shared" si="20"/>
        <v>192</v>
      </c>
      <c r="G14" s="203">
        <f t="shared" si="1"/>
        <v>4131.0967741935483</v>
      </c>
      <c r="H14" s="203">
        <f t="shared" si="21"/>
        <v>192</v>
      </c>
      <c r="I14" s="203">
        <f t="shared" si="2"/>
        <v>4131.0967741935483</v>
      </c>
      <c r="J14" s="203">
        <f t="shared" si="22"/>
        <v>192</v>
      </c>
      <c r="K14" s="203">
        <f t="shared" si="3"/>
        <v>4131.0967741935483</v>
      </c>
      <c r="L14" s="203">
        <f t="shared" si="23"/>
        <v>192</v>
      </c>
      <c r="M14" s="203">
        <f t="shared" si="4"/>
        <v>4131.0967741935483</v>
      </c>
      <c r="N14" s="203">
        <f t="shared" si="24"/>
        <v>192</v>
      </c>
      <c r="O14" s="203">
        <f t="shared" si="5"/>
        <v>4131.0967741935483</v>
      </c>
      <c r="P14" s="203">
        <f t="shared" si="25"/>
        <v>192</v>
      </c>
      <c r="Q14" s="203">
        <f t="shared" si="6"/>
        <v>4131.0967741935483</v>
      </c>
      <c r="R14" s="203">
        <f t="shared" si="26"/>
        <v>192</v>
      </c>
      <c r="S14" s="203">
        <f t="shared" si="7"/>
        <v>4131.0967741935483</v>
      </c>
      <c r="T14" s="203">
        <f t="shared" si="27"/>
        <v>192</v>
      </c>
      <c r="U14" s="203">
        <f t="shared" si="8"/>
        <v>4131.0967741935483</v>
      </c>
      <c r="V14" s="203">
        <f t="shared" si="28"/>
        <v>192</v>
      </c>
      <c r="W14" s="203">
        <f t="shared" si="9"/>
        <v>4131.0967741935483</v>
      </c>
      <c r="X14" s="35">
        <f t="shared" si="10"/>
        <v>0.61935483870967734</v>
      </c>
      <c r="Y14" s="36">
        <f t="shared" si="29"/>
        <v>45442.064516129023</v>
      </c>
      <c r="Z14" s="203">
        <f>'B5'!C13</f>
        <v>198.5</v>
      </c>
      <c r="AA14" s="203">
        <f t="shared" si="30"/>
        <v>1985</v>
      </c>
      <c r="AB14" s="203">
        <f t="shared" si="31"/>
        <v>198.5</v>
      </c>
      <c r="AC14" s="203">
        <f t="shared" si="30"/>
        <v>1985</v>
      </c>
      <c r="AD14" s="203">
        <f t="shared" si="32"/>
        <v>198.5</v>
      </c>
      <c r="AE14" s="203">
        <f t="shared" si="11"/>
        <v>1985</v>
      </c>
      <c r="AF14" s="203">
        <f t="shared" si="33"/>
        <v>198.5</v>
      </c>
      <c r="AG14" s="203">
        <f t="shared" si="12"/>
        <v>1985</v>
      </c>
      <c r="AH14" s="203">
        <f t="shared" si="34"/>
        <v>198.5</v>
      </c>
      <c r="AI14" s="203">
        <f t="shared" si="13"/>
        <v>1985</v>
      </c>
      <c r="AJ14" s="203">
        <f t="shared" si="35"/>
        <v>198.5</v>
      </c>
      <c r="AK14" s="203">
        <f t="shared" si="14"/>
        <v>1985</v>
      </c>
      <c r="AL14" s="203">
        <f t="shared" si="36"/>
        <v>198.5</v>
      </c>
      <c r="AM14" s="203">
        <f t="shared" si="15"/>
        <v>1985</v>
      </c>
      <c r="AN14" s="35">
        <f t="shared" si="16"/>
        <v>0.70892857142857146</v>
      </c>
      <c r="AO14" s="36">
        <f t="shared" si="17"/>
        <v>13895</v>
      </c>
      <c r="AQ14" s="223">
        <f t="shared" si="37"/>
        <v>0.63823883528158576</v>
      </c>
      <c r="AR14" s="38">
        <f t="shared" si="42"/>
        <v>59337.064516129023</v>
      </c>
      <c r="AS14" s="197">
        <f>SUM(AR14-AR13-AT14)</f>
        <v>-766.69354838711297</v>
      </c>
      <c r="AT14" s="271"/>
      <c r="AU14" s="478"/>
      <c r="AV14" s="518">
        <f t="shared" si="43"/>
        <v>0.78</v>
      </c>
      <c r="AW14" s="290">
        <f>-SUM('B5'!AI13)</f>
        <v>-220</v>
      </c>
      <c r="AX14" s="290">
        <f t="shared" si="39"/>
        <v>-546.69354838711297</v>
      </c>
      <c r="AY14" s="37">
        <f t="shared" si="40"/>
        <v>-766.69354838711297</v>
      </c>
      <c r="AZ14" s="100">
        <f>ELEC!A11</f>
        <v>0</v>
      </c>
      <c r="BA14" s="118">
        <f>'General information '!D14</f>
        <v>20</v>
      </c>
      <c r="BB14" s="394">
        <f>SUM('General information '!E14)</f>
        <v>0.53</v>
      </c>
      <c r="BC14" s="3">
        <f t="shared" si="44"/>
        <v>0</v>
      </c>
      <c r="BD14" s="102">
        <v>19222</v>
      </c>
      <c r="BE14" s="14">
        <f>(305/1185)*ELEC!Q12</f>
        <v>766.74683544380957</v>
      </c>
      <c r="BF14" s="14"/>
      <c r="BG14" s="14" t="e">
        <f>#REF!-BE14</f>
        <v>#REF!</v>
      </c>
      <c r="BH14" s="11"/>
      <c r="BI14">
        <v>3</v>
      </c>
      <c r="BJ14">
        <f t="shared" si="41"/>
        <v>-182.23118279570431</v>
      </c>
      <c r="BK14" s="614">
        <f>GEN!AF11</f>
        <v>0.44124999999970294</v>
      </c>
    </row>
    <row r="15" spans="1:63" ht="13.5" customHeight="1">
      <c r="A15" s="444">
        <f>ELEC!C12</f>
        <v>44265</v>
      </c>
      <c r="B15">
        <f>'B5'!B14</f>
        <v>187.5</v>
      </c>
      <c r="C15" s="203">
        <f t="shared" si="18"/>
        <v>4034.2741935483868</v>
      </c>
      <c r="D15">
        <f t="shared" si="19"/>
        <v>187.5</v>
      </c>
      <c r="E15" s="203">
        <f t="shared" si="18"/>
        <v>4034.2741935483868</v>
      </c>
      <c r="F15">
        <f t="shared" si="20"/>
        <v>187.5</v>
      </c>
      <c r="G15" s="203">
        <f t="shared" si="1"/>
        <v>4034.2741935483868</v>
      </c>
      <c r="H15" s="203">
        <f t="shared" si="21"/>
        <v>187.5</v>
      </c>
      <c r="I15" s="203">
        <f t="shared" si="2"/>
        <v>4034.2741935483868</v>
      </c>
      <c r="J15" s="203">
        <f t="shared" si="22"/>
        <v>187.5</v>
      </c>
      <c r="K15" s="203">
        <f t="shared" si="3"/>
        <v>4034.2741935483868</v>
      </c>
      <c r="L15" s="203">
        <f t="shared" si="23"/>
        <v>187.5</v>
      </c>
      <c r="M15" s="203">
        <f t="shared" si="4"/>
        <v>4034.2741935483868</v>
      </c>
      <c r="N15" s="203">
        <f t="shared" si="24"/>
        <v>187.5</v>
      </c>
      <c r="O15" s="203">
        <f t="shared" si="5"/>
        <v>4034.2741935483868</v>
      </c>
      <c r="P15" s="203">
        <f t="shared" si="25"/>
        <v>187.5</v>
      </c>
      <c r="Q15" s="203">
        <f t="shared" si="6"/>
        <v>4034.2741935483868</v>
      </c>
      <c r="R15" s="203">
        <f t="shared" si="26"/>
        <v>187.5</v>
      </c>
      <c r="S15" s="203">
        <f t="shared" si="7"/>
        <v>4034.2741935483868</v>
      </c>
      <c r="T15" s="203">
        <f t="shared" si="27"/>
        <v>187.5</v>
      </c>
      <c r="U15" s="203">
        <f t="shared" si="8"/>
        <v>4034.2741935483868</v>
      </c>
      <c r="V15" s="203">
        <f t="shared" si="28"/>
        <v>187.5</v>
      </c>
      <c r="W15" s="203">
        <f t="shared" si="9"/>
        <v>4034.2741935483868</v>
      </c>
      <c r="X15" s="35">
        <f t="shared" si="10"/>
        <v>0.60483870967741937</v>
      </c>
      <c r="Y15" s="36">
        <f t="shared" si="29"/>
        <v>44377.016129032258</v>
      </c>
      <c r="Z15" s="203">
        <f>'B5'!C14</f>
        <v>194</v>
      </c>
      <c r="AA15" s="203">
        <f t="shared" si="30"/>
        <v>1940</v>
      </c>
      <c r="AB15" s="203">
        <f t="shared" si="31"/>
        <v>194</v>
      </c>
      <c r="AC15" s="203">
        <f t="shared" si="30"/>
        <v>1940</v>
      </c>
      <c r="AD15" s="203">
        <f t="shared" si="32"/>
        <v>194</v>
      </c>
      <c r="AE15" s="203">
        <f t="shared" si="11"/>
        <v>1940</v>
      </c>
      <c r="AF15" s="203">
        <f t="shared" si="33"/>
        <v>194</v>
      </c>
      <c r="AG15" s="203">
        <f t="shared" si="12"/>
        <v>1940</v>
      </c>
      <c r="AH15" s="203">
        <f t="shared" si="34"/>
        <v>194</v>
      </c>
      <c r="AI15" s="203">
        <f t="shared" si="13"/>
        <v>1940</v>
      </c>
      <c r="AJ15" s="203">
        <f t="shared" si="35"/>
        <v>194</v>
      </c>
      <c r="AK15" s="203">
        <f t="shared" si="14"/>
        <v>1940</v>
      </c>
      <c r="AL15" s="203">
        <f t="shared" si="36"/>
        <v>194</v>
      </c>
      <c r="AM15" s="203">
        <f t="shared" si="15"/>
        <v>1940</v>
      </c>
      <c r="AN15" s="35">
        <f t="shared" si="16"/>
        <v>0.69285714285714284</v>
      </c>
      <c r="AO15" s="36">
        <f t="shared" si="17"/>
        <v>13580</v>
      </c>
      <c r="AQ15" s="223">
        <f t="shared" si="37"/>
        <v>0.62339481691978338</v>
      </c>
      <c r="AR15" s="38">
        <f t="shared" si="42"/>
        <v>57957.016129032258</v>
      </c>
      <c r="AS15" s="197">
        <f>SUM(AR15-AR14-AT15)</f>
        <v>-1380.0483870967655</v>
      </c>
      <c r="AT15" s="271"/>
      <c r="AU15" s="436"/>
      <c r="AV15" s="518">
        <f>IF(AT15&gt;0,AU15,AV14)</f>
        <v>0.78</v>
      </c>
      <c r="AW15" s="290">
        <f>-SUM('B5'!AI14)</f>
        <v>-276</v>
      </c>
      <c r="AX15" s="290">
        <f>-SUM(AW15-AS15)</f>
        <v>-1104.0483870967655</v>
      </c>
      <c r="AY15" s="37">
        <f t="shared" si="40"/>
        <v>-1380.0483870967655</v>
      </c>
      <c r="AZ15" s="100">
        <f>ELEC!A12</f>
        <v>0</v>
      </c>
      <c r="BA15" s="118">
        <f>'General information '!D15</f>
        <v>16</v>
      </c>
      <c r="BB15" s="394">
        <f>SUM('General information '!E15)</f>
        <v>0.74</v>
      </c>
      <c r="BC15" s="3">
        <f t="shared" si="44"/>
        <v>0</v>
      </c>
      <c r="BD15" s="102">
        <v>19222</v>
      </c>
      <c r="BE15" s="14">
        <f>(305/1185)*ELEC!Q13</f>
        <v>522.48945147649363</v>
      </c>
      <c r="BF15" s="14"/>
      <c r="BG15" s="14" t="e">
        <f>#REF!-BE15</f>
        <v>#REF!</v>
      </c>
      <c r="BH15" s="11"/>
      <c r="BI15">
        <v>4</v>
      </c>
      <c r="BJ15">
        <f t="shared" si="41"/>
        <v>-276.01209677419138</v>
      </c>
      <c r="BK15" s="614">
        <f>GEN!AF12</f>
        <v>0.46546875000046839</v>
      </c>
    </row>
    <row r="16" spans="1:63">
      <c r="A16" s="444">
        <f>ELEC!C13</f>
        <v>44266</v>
      </c>
      <c r="B16">
        <f>'B5'!B15</f>
        <v>184</v>
      </c>
      <c r="C16" s="203">
        <f t="shared" si="18"/>
        <v>3958.9677419354839</v>
      </c>
      <c r="D16">
        <f t="shared" si="19"/>
        <v>184</v>
      </c>
      <c r="E16" s="203">
        <f t="shared" si="18"/>
        <v>3958.9677419354839</v>
      </c>
      <c r="F16">
        <f t="shared" si="20"/>
        <v>184</v>
      </c>
      <c r="G16" s="203">
        <f t="shared" si="1"/>
        <v>3958.9677419354839</v>
      </c>
      <c r="H16" s="203">
        <f t="shared" si="21"/>
        <v>184</v>
      </c>
      <c r="I16" s="203">
        <f t="shared" si="2"/>
        <v>3958.9677419354839</v>
      </c>
      <c r="J16" s="203">
        <f t="shared" si="22"/>
        <v>184</v>
      </c>
      <c r="K16" s="203">
        <f t="shared" si="3"/>
        <v>3958.9677419354839</v>
      </c>
      <c r="L16" s="203">
        <f t="shared" si="23"/>
        <v>184</v>
      </c>
      <c r="M16" s="203">
        <f t="shared" si="4"/>
        <v>3958.9677419354839</v>
      </c>
      <c r="N16" s="203">
        <f t="shared" si="24"/>
        <v>184</v>
      </c>
      <c r="O16" s="203">
        <f t="shared" si="5"/>
        <v>3958.9677419354839</v>
      </c>
      <c r="P16" s="203">
        <f t="shared" si="25"/>
        <v>184</v>
      </c>
      <c r="Q16" s="203">
        <f t="shared" si="6"/>
        <v>3958.9677419354839</v>
      </c>
      <c r="R16" s="203">
        <f t="shared" si="26"/>
        <v>184</v>
      </c>
      <c r="S16" s="203">
        <f t="shared" si="7"/>
        <v>3958.9677419354839</v>
      </c>
      <c r="T16" s="203">
        <f t="shared" si="27"/>
        <v>184</v>
      </c>
      <c r="U16" s="203">
        <f t="shared" si="8"/>
        <v>3958.9677419354839</v>
      </c>
      <c r="V16" s="203">
        <f t="shared" si="28"/>
        <v>184</v>
      </c>
      <c r="W16" s="203">
        <f t="shared" si="9"/>
        <v>3958.9677419354839</v>
      </c>
      <c r="X16" s="35">
        <f t="shared" si="10"/>
        <v>0.59354838709677427</v>
      </c>
      <c r="Y16" s="36">
        <f t="shared" si="29"/>
        <v>43548.645161290326</v>
      </c>
      <c r="Z16" s="203">
        <f>'B5'!C15</f>
        <v>190.5</v>
      </c>
      <c r="AA16" s="203">
        <f t="shared" si="30"/>
        <v>1905</v>
      </c>
      <c r="AB16" s="203">
        <f t="shared" si="31"/>
        <v>190.5</v>
      </c>
      <c r="AC16" s="203">
        <f t="shared" si="30"/>
        <v>1905</v>
      </c>
      <c r="AD16" s="203">
        <f t="shared" si="32"/>
        <v>190.5</v>
      </c>
      <c r="AE16" s="203">
        <f t="shared" si="11"/>
        <v>1905</v>
      </c>
      <c r="AF16" s="203">
        <f t="shared" si="33"/>
        <v>190.5</v>
      </c>
      <c r="AG16" s="203">
        <f t="shared" si="12"/>
        <v>1905</v>
      </c>
      <c r="AH16" s="203">
        <f t="shared" si="34"/>
        <v>190.5</v>
      </c>
      <c r="AI16" s="203">
        <f t="shared" si="13"/>
        <v>1905</v>
      </c>
      <c r="AJ16" s="203">
        <f t="shared" si="35"/>
        <v>190.5</v>
      </c>
      <c r="AK16" s="203">
        <f t="shared" si="14"/>
        <v>1905</v>
      </c>
      <c r="AL16" s="203">
        <f t="shared" si="36"/>
        <v>190.5</v>
      </c>
      <c r="AM16" s="203">
        <f t="shared" si="15"/>
        <v>1905</v>
      </c>
      <c r="AN16" s="35">
        <f t="shared" si="16"/>
        <v>0.68035714285714288</v>
      </c>
      <c r="AO16" s="36">
        <f t="shared" si="17"/>
        <v>13335</v>
      </c>
      <c r="AQ16" s="223">
        <f t="shared" si="37"/>
        <v>0.61184946930504813</v>
      </c>
      <c r="AR16" s="38">
        <f t="shared" si="42"/>
        <v>56883.645161290326</v>
      </c>
      <c r="AS16" s="197">
        <f>SUM(AR16-AR15-AT16)</f>
        <v>-1073.370967741932</v>
      </c>
      <c r="AT16" s="355"/>
      <c r="AU16" s="436"/>
      <c r="AV16" s="518">
        <f>IF(AT16&gt;0,AU16,AV15)</f>
        <v>0.78</v>
      </c>
      <c r="AW16" s="290">
        <f>-SUM('B5'!AI15)</f>
        <v>-242</v>
      </c>
      <c r="AX16" s="290">
        <f>-SUM(AW16-AS16)</f>
        <v>-831.37096774193196</v>
      </c>
      <c r="AY16" s="37">
        <f t="shared" si="40"/>
        <v>-1073.370967741932</v>
      </c>
      <c r="AZ16" s="100">
        <f>ELEC!A13</f>
        <v>0</v>
      </c>
      <c r="BA16" s="118">
        <f>'General information '!D16</f>
        <v>14.5</v>
      </c>
      <c r="BB16" s="394">
        <f>SUM('General information '!E16)</f>
        <v>0.57999999999999996</v>
      </c>
      <c r="BC16" s="3">
        <f t="shared" si="44"/>
        <v>0</v>
      </c>
      <c r="BD16" s="102">
        <v>19222</v>
      </c>
      <c r="BE16" s="14">
        <f>(305/1185)*ELEC!Q14</f>
        <v>479.76371307959204</v>
      </c>
      <c r="BF16" s="14"/>
      <c r="BG16" s="14" t="e">
        <f>#REF!-BE16</f>
        <v>#REF!</v>
      </c>
      <c r="BH16" s="11"/>
      <c r="BI16">
        <v>3</v>
      </c>
      <c r="BJ16">
        <f t="shared" si="41"/>
        <v>-277.1236559139773</v>
      </c>
      <c r="BK16" s="614">
        <f>GEN!AF13</f>
        <v>0.42291666666642413</v>
      </c>
    </row>
    <row r="17" spans="1:61">
      <c r="A17" s="444">
        <f>ELEC!C14</f>
        <v>44267</v>
      </c>
      <c r="B17">
        <f>'B5'!B16</f>
        <v>181</v>
      </c>
      <c r="C17" s="203">
        <f t="shared" si="18"/>
        <v>3894.4193548387098</v>
      </c>
      <c r="D17">
        <f t="shared" si="19"/>
        <v>181</v>
      </c>
      <c r="E17" s="203">
        <f t="shared" si="18"/>
        <v>3894.4193548387098</v>
      </c>
      <c r="F17">
        <f t="shared" si="20"/>
        <v>181</v>
      </c>
      <c r="G17" s="203">
        <f t="shared" si="1"/>
        <v>3894.4193548387098</v>
      </c>
      <c r="H17" s="203">
        <f t="shared" si="21"/>
        <v>181</v>
      </c>
      <c r="I17" s="203">
        <f t="shared" si="2"/>
        <v>3894.4193548387098</v>
      </c>
      <c r="J17" s="203">
        <f t="shared" si="22"/>
        <v>181</v>
      </c>
      <c r="K17" s="203">
        <f t="shared" si="3"/>
        <v>3894.4193548387098</v>
      </c>
      <c r="L17" s="203">
        <f t="shared" si="23"/>
        <v>181</v>
      </c>
      <c r="M17" s="203">
        <f t="shared" si="4"/>
        <v>3894.4193548387098</v>
      </c>
      <c r="N17" s="203">
        <f t="shared" si="24"/>
        <v>181</v>
      </c>
      <c r="O17" s="203">
        <f t="shared" si="5"/>
        <v>3894.4193548387098</v>
      </c>
      <c r="P17" s="203">
        <f t="shared" si="25"/>
        <v>181</v>
      </c>
      <c r="Q17" s="203">
        <f t="shared" si="6"/>
        <v>3894.4193548387098</v>
      </c>
      <c r="R17" s="203">
        <f t="shared" si="26"/>
        <v>181</v>
      </c>
      <c r="S17" s="203">
        <f t="shared" si="7"/>
        <v>3894.4193548387098</v>
      </c>
      <c r="T17" s="203">
        <f t="shared" si="27"/>
        <v>181</v>
      </c>
      <c r="U17" s="203">
        <f t="shared" si="8"/>
        <v>3894.4193548387098</v>
      </c>
      <c r="V17" s="203">
        <f t="shared" si="28"/>
        <v>181</v>
      </c>
      <c r="W17" s="203">
        <f t="shared" si="9"/>
        <v>3894.4193548387098</v>
      </c>
      <c r="X17" s="35">
        <f t="shared" si="10"/>
        <v>0.58387096774193559</v>
      </c>
      <c r="Y17" s="36">
        <f t="shared" si="29"/>
        <v>42838.61290322581</v>
      </c>
      <c r="Z17" s="203">
        <f>'B5'!C16</f>
        <v>187.5</v>
      </c>
      <c r="AA17" s="203">
        <f t="shared" si="30"/>
        <v>1875</v>
      </c>
      <c r="AB17" s="203">
        <f t="shared" si="31"/>
        <v>187.5</v>
      </c>
      <c r="AC17" s="203">
        <f t="shared" si="30"/>
        <v>1875</v>
      </c>
      <c r="AD17" s="203">
        <f t="shared" si="32"/>
        <v>187.5</v>
      </c>
      <c r="AE17" s="203">
        <f t="shared" si="11"/>
        <v>1875</v>
      </c>
      <c r="AF17" s="203">
        <f t="shared" si="33"/>
        <v>187.5</v>
      </c>
      <c r="AG17" s="203">
        <f t="shared" si="12"/>
        <v>1875</v>
      </c>
      <c r="AH17" s="203">
        <f t="shared" si="34"/>
        <v>187.5</v>
      </c>
      <c r="AI17" s="203">
        <f t="shared" si="13"/>
        <v>1875</v>
      </c>
      <c r="AJ17" s="203">
        <f t="shared" si="35"/>
        <v>187.5</v>
      </c>
      <c r="AK17" s="203">
        <f t="shared" si="14"/>
        <v>1875</v>
      </c>
      <c r="AL17" s="203">
        <f t="shared" si="36"/>
        <v>187.5</v>
      </c>
      <c r="AM17" s="203">
        <f t="shared" si="15"/>
        <v>1875</v>
      </c>
      <c r="AN17" s="35">
        <f t="shared" si="16"/>
        <v>0.6696428571428571</v>
      </c>
      <c r="AO17" s="36">
        <f>SUM(AA17+AC17+AE17+AG17+AI17+AK17+AM17)</f>
        <v>13125</v>
      </c>
      <c r="AQ17" s="223">
        <f t="shared" si="37"/>
        <v>0.60195345706384651</v>
      </c>
      <c r="AR17" s="38">
        <f t="shared" si="42"/>
        <v>55963.61290322581</v>
      </c>
      <c r="AS17" s="197">
        <f t="shared" si="38"/>
        <v>-920.03225806451519</v>
      </c>
      <c r="AT17" s="355"/>
      <c r="AU17" s="478"/>
      <c r="AV17" s="518">
        <f t="shared" si="43"/>
        <v>0.78</v>
      </c>
      <c r="AW17" s="290">
        <f>-SUM('B5'!AI16)</f>
        <v>-257</v>
      </c>
      <c r="AX17" s="290">
        <f t="shared" si="39"/>
        <v>-663.03225806451519</v>
      </c>
      <c r="AY17" s="37">
        <f t="shared" si="40"/>
        <v>-920.03225806451519</v>
      </c>
      <c r="AZ17" s="100">
        <f>ELEC!A14</f>
        <v>0</v>
      </c>
      <c r="BA17" s="118">
        <f>'General information '!D17</f>
        <v>15.5</v>
      </c>
      <c r="BB17" s="394">
        <f>SUM('General information '!E17)</f>
        <v>0.52</v>
      </c>
      <c r="BC17" s="3">
        <f t="shared" si="44"/>
        <v>0</v>
      </c>
      <c r="BD17" s="102">
        <v>19222</v>
      </c>
      <c r="BE17" s="14">
        <f>(305/1185)*ELEC!Q15</f>
        <v>490.05907173054214</v>
      </c>
      <c r="BF17" s="14"/>
      <c r="BG17" s="14" t="e">
        <f>#REF!-BE17</f>
        <v>#REF!</v>
      </c>
      <c r="BH17" s="11"/>
    </row>
    <row r="18" spans="1:61">
      <c r="A18" s="444">
        <f>ELEC!C15</f>
        <v>44268</v>
      </c>
      <c r="B18">
        <f>'B5'!B17</f>
        <v>178</v>
      </c>
      <c r="C18" s="203">
        <f t="shared" si="18"/>
        <v>3829.8709677419356</v>
      </c>
      <c r="D18">
        <f t="shared" si="19"/>
        <v>178</v>
      </c>
      <c r="E18" s="203">
        <f t="shared" si="18"/>
        <v>3829.8709677419356</v>
      </c>
      <c r="F18">
        <f t="shared" si="20"/>
        <v>178</v>
      </c>
      <c r="G18" s="203">
        <f t="shared" si="1"/>
        <v>3829.8709677419356</v>
      </c>
      <c r="H18" s="203">
        <f t="shared" si="21"/>
        <v>178</v>
      </c>
      <c r="I18" s="203">
        <f t="shared" si="2"/>
        <v>3829.8709677419356</v>
      </c>
      <c r="J18" s="203">
        <f t="shared" si="22"/>
        <v>178</v>
      </c>
      <c r="K18" s="203">
        <f t="shared" si="3"/>
        <v>3829.8709677419356</v>
      </c>
      <c r="L18" s="203">
        <f t="shared" si="23"/>
        <v>178</v>
      </c>
      <c r="M18" s="203">
        <f t="shared" si="4"/>
        <v>3829.8709677419356</v>
      </c>
      <c r="N18" s="203">
        <f t="shared" si="24"/>
        <v>178</v>
      </c>
      <c r="O18" s="203">
        <f t="shared" si="5"/>
        <v>3829.8709677419356</v>
      </c>
      <c r="P18" s="203">
        <f t="shared" si="25"/>
        <v>178</v>
      </c>
      <c r="Q18" s="203">
        <f t="shared" si="6"/>
        <v>3829.8709677419356</v>
      </c>
      <c r="R18" s="203">
        <f t="shared" si="26"/>
        <v>178</v>
      </c>
      <c r="S18" s="203">
        <f t="shared" si="7"/>
        <v>3829.8709677419356</v>
      </c>
      <c r="T18" s="203">
        <f t="shared" si="27"/>
        <v>178</v>
      </c>
      <c r="U18" s="203">
        <f t="shared" si="8"/>
        <v>3829.8709677419356</v>
      </c>
      <c r="V18" s="203">
        <f t="shared" si="28"/>
        <v>178</v>
      </c>
      <c r="W18" s="203">
        <f t="shared" si="9"/>
        <v>3829.8709677419356</v>
      </c>
      <c r="X18" s="35">
        <f t="shared" si="10"/>
        <v>0.57419354838709691</v>
      </c>
      <c r="Y18" s="36">
        <f t="shared" si="29"/>
        <v>42128.580645161303</v>
      </c>
      <c r="Z18" s="203">
        <f>'B5'!C17</f>
        <v>184</v>
      </c>
      <c r="AA18" s="203">
        <f t="shared" si="30"/>
        <v>1840</v>
      </c>
      <c r="AB18" s="203">
        <f t="shared" si="31"/>
        <v>184</v>
      </c>
      <c r="AC18" s="203">
        <f t="shared" si="30"/>
        <v>1840</v>
      </c>
      <c r="AD18" s="203">
        <f t="shared" si="32"/>
        <v>184</v>
      </c>
      <c r="AE18" s="203">
        <f t="shared" si="11"/>
        <v>1840</v>
      </c>
      <c r="AF18" s="203">
        <f t="shared" si="33"/>
        <v>184</v>
      </c>
      <c r="AG18" s="203">
        <f t="shared" si="12"/>
        <v>1840</v>
      </c>
      <c r="AH18" s="203">
        <f t="shared" si="34"/>
        <v>184</v>
      </c>
      <c r="AI18" s="203">
        <f t="shared" si="13"/>
        <v>1840</v>
      </c>
      <c r="AJ18" s="203">
        <f t="shared" si="35"/>
        <v>184</v>
      </c>
      <c r="AK18" s="203">
        <f t="shared" si="14"/>
        <v>1840</v>
      </c>
      <c r="AL18" s="203">
        <f t="shared" si="36"/>
        <v>184</v>
      </c>
      <c r="AM18" s="203">
        <f t="shared" si="15"/>
        <v>1840</v>
      </c>
      <c r="AN18" s="35">
        <f t="shared" si="16"/>
        <v>0.65714285714285714</v>
      </c>
      <c r="AO18" s="36">
        <f t="shared" si="17"/>
        <v>12880</v>
      </c>
      <c r="AQ18" s="223">
        <f t="shared" si="37"/>
        <v>0.59168097929613106</v>
      </c>
      <c r="AR18" s="38">
        <f t="shared" si="42"/>
        <v>55008.580645161303</v>
      </c>
      <c r="AS18" s="197">
        <f t="shared" si="38"/>
        <v>-955.03225806450791</v>
      </c>
      <c r="AT18" s="271"/>
      <c r="AU18" s="436"/>
      <c r="AV18" s="518">
        <f>IF(AT18&gt;0,AU18,AV17)</f>
        <v>0.78</v>
      </c>
      <c r="AW18" s="290">
        <f>-SUM('B5'!AI17)</f>
        <v>-233</v>
      </c>
      <c r="AX18" s="290">
        <f t="shared" si="39"/>
        <v>-722.03225806450791</v>
      </c>
      <c r="AY18" s="37">
        <f t="shared" si="40"/>
        <v>-955.03225806450791</v>
      </c>
      <c r="AZ18" s="100">
        <f>ELEC!A15</f>
        <v>0</v>
      </c>
      <c r="BA18" s="118">
        <f>'General information '!D18</f>
        <v>17</v>
      </c>
      <c r="BB18" s="394">
        <f>SUM('General information '!E18)</f>
        <v>0.65</v>
      </c>
      <c r="BC18" s="3">
        <f t="shared" si="44"/>
        <v>0</v>
      </c>
      <c r="BD18" s="102">
        <v>19222</v>
      </c>
      <c r="BE18" s="14">
        <f>(305/1185)*ELEC!Q16</f>
        <v>715.52742616003798</v>
      </c>
      <c r="BF18" s="14"/>
      <c r="BG18" s="14" t="e">
        <f>#REF!-BE18</f>
        <v>#REF!</v>
      </c>
      <c r="BH18" s="11"/>
    </row>
    <row r="19" spans="1:61">
      <c r="A19" s="444">
        <f>ELEC!C16</f>
        <v>44269</v>
      </c>
      <c r="B19">
        <f>'B5'!B18</f>
        <v>174</v>
      </c>
      <c r="C19" s="203">
        <f t="shared" si="18"/>
        <v>3743.8064516129029</v>
      </c>
      <c r="D19">
        <f t="shared" si="19"/>
        <v>174</v>
      </c>
      <c r="E19" s="203">
        <f t="shared" si="18"/>
        <v>3743.8064516129029</v>
      </c>
      <c r="F19">
        <f t="shared" si="20"/>
        <v>174</v>
      </c>
      <c r="G19" s="203">
        <f t="shared" si="1"/>
        <v>3743.8064516129029</v>
      </c>
      <c r="H19" s="203">
        <f t="shared" si="21"/>
        <v>174</v>
      </c>
      <c r="I19" s="203">
        <f t="shared" si="2"/>
        <v>3743.8064516129029</v>
      </c>
      <c r="J19" s="203">
        <f t="shared" si="22"/>
        <v>174</v>
      </c>
      <c r="K19" s="203">
        <f t="shared" si="3"/>
        <v>3743.8064516129029</v>
      </c>
      <c r="L19" s="203">
        <f t="shared" si="23"/>
        <v>174</v>
      </c>
      <c r="M19" s="203">
        <f t="shared" si="4"/>
        <v>3743.8064516129029</v>
      </c>
      <c r="N19" s="203">
        <f t="shared" si="24"/>
        <v>174</v>
      </c>
      <c r="O19" s="203">
        <f t="shared" si="5"/>
        <v>3743.8064516129029</v>
      </c>
      <c r="P19" s="203">
        <f t="shared" si="25"/>
        <v>174</v>
      </c>
      <c r="Q19" s="203">
        <f t="shared" si="6"/>
        <v>3743.8064516129029</v>
      </c>
      <c r="R19" s="203">
        <f t="shared" si="26"/>
        <v>174</v>
      </c>
      <c r="S19" s="203">
        <f t="shared" si="7"/>
        <v>3743.8064516129029</v>
      </c>
      <c r="T19" s="203">
        <f t="shared" si="27"/>
        <v>174</v>
      </c>
      <c r="U19" s="203">
        <f t="shared" si="8"/>
        <v>3743.8064516129029</v>
      </c>
      <c r="V19" s="203">
        <f t="shared" si="28"/>
        <v>174</v>
      </c>
      <c r="W19" s="203">
        <f t="shared" si="9"/>
        <v>3743.8064516129029</v>
      </c>
      <c r="X19" s="35">
        <f t="shared" si="10"/>
        <v>0.56129032258064504</v>
      </c>
      <c r="Y19" s="36">
        <f t="shared" si="29"/>
        <v>41181.870967741925</v>
      </c>
      <c r="Z19" s="203">
        <f>'B5'!C18</f>
        <v>180</v>
      </c>
      <c r="AA19" s="203">
        <f t="shared" si="30"/>
        <v>1800</v>
      </c>
      <c r="AB19" s="203">
        <f t="shared" si="31"/>
        <v>180</v>
      </c>
      <c r="AC19" s="203">
        <f t="shared" si="30"/>
        <v>1800</v>
      </c>
      <c r="AD19" s="203">
        <f t="shared" si="32"/>
        <v>180</v>
      </c>
      <c r="AE19" s="203">
        <f t="shared" si="11"/>
        <v>1800</v>
      </c>
      <c r="AF19" s="203">
        <f t="shared" si="33"/>
        <v>180</v>
      </c>
      <c r="AG19" s="203">
        <f t="shared" si="12"/>
        <v>1800</v>
      </c>
      <c r="AH19" s="203">
        <f t="shared" si="34"/>
        <v>180</v>
      </c>
      <c r="AI19" s="203">
        <f t="shared" si="13"/>
        <v>1800</v>
      </c>
      <c r="AJ19" s="203">
        <f t="shared" si="35"/>
        <v>180</v>
      </c>
      <c r="AK19" s="203">
        <f t="shared" si="14"/>
        <v>1800</v>
      </c>
      <c r="AL19" s="203">
        <f t="shared" si="36"/>
        <v>180</v>
      </c>
      <c r="AM19" s="203">
        <f t="shared" si="15"/>
        <v>1800</v>
      </c>
      <c r="AN19" s="35">
        <f t="shared" si="16"/>
        <v>0.6428571428571429</v>
      </c>
      <c r="AO19" s="36">
        <f t="shared" si="17"/>
        <v>12600</v>
      </c>
      <c r="AQ19" s="223">
        <f t="shared" si="37"/>
        <v>0.57848629630786197</v>
      </c>
      <c r="AR19" s="38">
        <f t="shared" si="42"/>
        <v>53781.870967741925</v>
      </c>
      <c r="AS19" s="197">
        <f t="shared" si="38"/>
        <v>-1226.7096774193778</v>
      </c>
      <c r="AT19" s="271"/>
      <c r="AU19" s="436"/>
      <c r="AV19" s="518">
        <f t="shared" si="43"/>
        <v>0.78</v>
      </c>
      <c r="AW19" s="290">
        <f>-SUM('B5'!AI18)</f>
        <v>-235</v>
      </c>
      <c r="AX19" s="290">
        <f t="shared" si="39"/>
        <v>-991.70967741937784</v>
      </c>
      <c r="AY19" s="37">
        <f t="shared" si="40"/>
        <v>-1226.7096774193778</v>
      </c>
      <c r="AZ19" s="100">
        <f>ELEC!A16</f>
        <v>0</v>
      </c>
      <c r="BA19" s="118">
        <f>'General information '!D19</f>
        <v>17</v>
      </c>
      <c r="BB19" s="394">
        <f>SUM('General information '!E19)</f>
        <v>0.63</v>
      </c>
      <c r="BC19" s="3">
        <f t="shared" si="44"/>
        <v>0</v>
      </c>
      <c r="BD19" s="102">
        <v>19222</v>
      </c>
      <c r="BE19" s="14">
        <f>(305/1185)*ELEC!Q17</f>
        <v>461.23206751087815</v>
      </c>
      <c r="BF19" s="14"/>
      <c r="BG19" s="14" t="e">
        <f>#REF!-BE19</f>
        <v>#REF!</v>
      </c>
      <c r="BH19" s="11"/>
    </row>
    <row r="20" spans="1:61">
      <c r="A20" s="444">
        <f>ELEC!C17</f>
        <v>44270</v>
      </c>
      <c r="B20">
        <f>'B5'!B19</f>
        <v>171</v>
      </c>
      <c r="C20" s="203">
        <f t="shared" si="18"/>
        <v>3679.2580645161288</v>
      </c>
      <c r="D20">
        <f t="shared" si="19"/>
        <v>171</v>
      </c>
      <c r="E20" s="203">
        <f t="shared" si="18"/>
        <v>3679.2580645161288</v>
      </c>
      <c r="F20">
        <f t="shared" si="20"/>
        <v>171</v>
      </c>
      <c r="G20" s="203">
        <f t="shared" si="1"/>
        <v>3679.2580645161288</v>
      </c>
      <c r="H20" s="203">
        <f t="shared" si="21"/>
        <v>171</v>
      </c>
      <c r="I20" s="203">
        <f t="shared" si="2"/>
        <v>3679.2580645161288</v>
      </c>
      <c r="J20" s="203">
        <f t="shared" si="22"/>
        <v>171</v>
      </c>
      <c r="K20" s="203">
        <f t="shared" si="3"/>
        <v>3679.2580645161288</v>
      </c>
      <c r="L20" s="203">
        <f t="shared" si="23"/>
        <v>171</v>
      </c>
      <c r="M20" s="203">
        <f t="shared" si="4"/>
        <v>3679.2580645161288</v>
      </c>
      <c r="N20" s="203">
        <f t="shared" si="24"/>
        <v>171</v>
      </c>
      <c r="O20" s="203">
        <f t="shared" si="5"/>
        <v>3679.2580645161288</v>
      </c>
      <c r="P20" s="203">
        <f t="shared" si="25"/>
        <v>171</v>
      </c>
      <c r="Q20" s="203">
        <f t="shared" si="6"/>
        <v>3679.2580645161288</v>
      </c>
      <c r="R20" s="203">
        <f t="shared" si="26"/>
        <v>171</v>
      </c>
      <c r="S20" s="203">
        <f t="shared" si="7"/>
        <v>3679.2580645161288</v>
      </c>
      <c r="T20" s="203">
        <f t="shared" si="27"/>
        <v>171</v>
      </c>
      <c r="U20" s="203">
        <f t="shared" si="8"/>
        <v>3679.2580645161288</v>
      </c>
      <c r="V20" s="203">
        <f t="shared" si="28"/>
        <v>171</v>
      </c>
      <c r="W20" s="203">
        <f t="shared" si="9"/>
        <v>3679.2580645161288</v>
      </c>
      <c r="X20" s="35">
        <f t="shared" si="10"/>
        <v>0.55161290322580636</v>
      </c>
      <c r="Y20" s="36">
        <f t="shared" si="29"/>
        <v>40471.838709677417</v>
      </c>
      <c r="Z20" s="203">
        <f>'B5'!C19</f>
        <v>177</v>
      </c>
      <c r="AA20" s="203">
        <f t="shared" si="30"/>
        <v>1770</v>
      </c>
      <c r="AB20" s="203">
        <f t="shared" si="31"/>
        <v>177</v>
      </c>
      <c r="AC20" s="203">
        <f t="shared" si="30"/>
        <v>1770</v>
      </c>
      <c r="AD20" s="203">
        <f t="shared" si="32"/>
        <v>177</v>
      </c>
      <c r="AE20" s="203">
        <f t="shared" si="11"/>
        <v>1770</v>
      </c>
      <c r="AF20" s="203">
        <f t="shared" si="33"/>
        <v>177</v>
      </c>
      <c r="AG20" s="203">
        <f t="shared" si="12"/>
        <v>1770</v>
      </c>
      <c r="AH20" s="203">
        <f t="shared" si="34"/>
        <v>177</v>
      </c>
      <c r="AI20" s="203">
        <f t="shared" si="13"/>
        <v>1770</v>
      </c>
      <c r="AJ20" s="203">
        <f t="shared" si="35"/>
        <v>177</v>
      </c>
      <c r="AK20" s="203">
        <f t="shared" si="14"/>
        <v>1770</v>
      </c>
      <c r="AL20" s="203">
        <f t="shared" si="36"/>
        <v>177</v>
      </c>
      <c r="AM20" s="203">
        <f t="shared" si="15"/>
        <v>1770</v>
      </c>
      <c r="AN20" s="35">
        <f t="shared" si="16"/>
        <v>0.63214285714285712</v>
      </c>
      <c r="AO20" s="36">
        <f t="shared" si="17"/>
        <v>12390</v>
      </c>
      <c r="AQ20" s="223">
        <f t="shared" si="37"/>
        <v>0.56859028406666035</v>
      </c>
      <c r="AR20" s="38">
        <f t="shared" si="42"/>
        <v>52861.838709677417</v>
      </c>
      <c r="AS20" s="197">
        <f t="shared" si="38"/>
        <v>-920.03225806450791</v>
      </c>
      <c r="AT20" s="271"/>
      <c r="AU20" s="436"/>
      <c r="AV20" s="518">
        <f t="shared" si="43"/>
        <v>0.78</v>
      </c>
      <c r="AW20" s="290">
        <f>-SUM('B5'!AI19)</f>
        <v>-228</v>
      </c>
      <c r="AX20" s="290">
        <f t="shared" si="39"/>
        <v>-692.03225806450791</v>
      </c>
      <c r="AY20" s="37">
        <f t="shared" si="40"/>
        <v>-920.03225806450791</v>
      </c>
      <c r="AZ20" s="100">
        <f>ELEC!A17</f>
        <v>0</v>
      </c>
      <c r="BA20" s="118">
        <f>'General information '!D20</f>
        <v>17</v>
      </c>
      <c r="BB20" s="394">
        <f>SUM('General information '!E20)</f>
        <v>0.6</v>
      </c>
      <c r="BC20" s="3">
        <f t="shared" si="44"/>
        <v>0</v>
      </c>
      <c r="BD20" s="102">
        <v>19222</v>
      </c>
      <c r="BE20" s="14">
        <f>(305/1185)*ELEC!Q18</f>
        <v>1314.459915611807</v>
      </c>
      <c r="BF20" s="14"/>
      <c r="BG20" s="14" t="e">
        <f>#REF!-BE20</f>
        <v>#REF!</v>
      </c>
      <c r="BH20" s="11"/>
    </row>
    <row r="21" spans="1:61">
      <c r="A21" s="444">
        <f>ELEC!C18</f>
        <v>44271</v>
      </c>
      <c r="B21">
        <f>'B5'!B20</f>
        <v>190</v>
      </c>
      <c r="C21" s="203">
        <f t="shared" si="18"/>
        <v>4088.0645161290322</v>
      </c>
      <c r="D21">
        <f t="shared" si="19"/>
        <v>190</v>
      </c>
      <c r="E21" s="203">
        <f t="shared" si="18"/>
        <v>4088.0645161290322</v>
      </c>
      <c r="F21">
        <f t="shared" si="20"/>
        <v>190</v>
      </c>
      <c r="G21" s="203">
        <f t="shared" si="1"/>
        <v>4088.0645161290322</v>
      </c>
      <c r="H21" s="203">
        <f t="shared" si="21"/>
        <v>190</v>
      </c>
      <c r="I21" s="203">
        <f t="shared" si="2"/>
        <v>4088.0645161290322</v>
      </c>
      <c r="J21" s="203">
        <f t="shared" si="22"/>
        <v>190</v>
      </c>
      <c r="K21" s="203">
        <f t="shared" si="3"/>
        <v>4088.0645161290322</v>
      </c>
      <c r="L21" s="203">
        <f t="shared" si="23"/>
        <v>190</v>
      </c>
      <c r="M21" s="203">
        <f t="shared" si="4"/>
        <v>4088.0645161290322</v>
      </c>
      <c r="N21" s="203">
        <f t="shared" si="24"/>
        <v>190</v>
      </c>
      <c r="O21" s="203">
        <f t="shared" si="5"/>
        <v>4088.0645161290322</v>
      </c>
      <c r="P21" s="203">
        <f t="shared" si="25"/>
        <v>190</v>
      </c>
      <c r="Q21" s="203">
        <f t="shared" si="6"/>
        <v>4088.0645161290322</v>
      </c>
      <c r="R21" s="203">
        <f t="shared" si="26"/>
        <v>190</v>
      </c>
      <c r="S21" s="203">
        <f t="shared" si="7"/>
        <v>4088.0645161290322</v>
      </c>
      <c r="T21" s="203">
        <f t="shared" si="27"/>
        <v>190</v>
      </c>
      <c r="U21" s="203">
        <f t="shared" si="8"/>
        <v>4088.0645161290322</v>
      </c>
      <c r="V21" s="203">
        <f t="shared" si="28"/>
        <v>190</v>
      </c>
      <c r="W21" s="203">
        <f t="shared" si="9"/>
        <v>4088.0645161290322</v>
      </c>
      <c r="X21" s="35">
        <f t="shared" si="10"/>
        <v>0.6129032258064514</v>
      </c>
      <c r="Y21" s="36">
        <f t="shared" si="29"/>
        <v>44968.709677419341</v>
      </c>
      <c r="Z21" s="203">
        <f>'B5'!C20</f>
        <v>196</v>
      </c>
      <c r="AA21" s="203">
        <f t="shared" si="30"/>
        <v>1960</v>
      </c>
      <c r="AB21" s="203">
        <f t="shared" si="31"/>
        <v>196</v>
      </c>
      <c r="AC21" s="203">
        <f t="shared" si="30"/>
        <v>1960</v>
      </c>
      <c r="AD21" s="203">
        <f t="shared" si="32"/>
        <v>196</v>
      </c>
      <c r="AE21" s="203">
        <f t="shared" si="11"/>
        <v>1960</v>
      </c>
      <c r="AF21" s="203">
        <f t="shared" si="33"/>
        <v>196</v>
      </c>
      <c r="AG21" s="203">
        <f t="shared" si="12"/>
        <v>1960</v>
      </c>
      <c r="AH21" s="203">
        <f t="shared" si="34"/>
        <v>196</v>
      </c>
      <c r="AI21" s="203">
        <f t="shared" si="13"/>
        <v>1960</v>
      </c>
      <c r="AJ21" s="203">
        <f t="shared" si="35"/>
        <v>196</v>
      </c>
      <c r="AK21" s="203">
        <f t="shared" si="14"/>
        <v>1960</v>
      </c>
      <c r="AL21" s="203">
        <f t="shared" si="36"/>
        <v>196</v>
      </c>
      <c r="AM21" s="203">
        <f t="shared" si="15"/>
        <v>1960</v>
      </c>
      <c r="AN21" s="35">
        <f t="shared" si="16"/>
        <v>0.7</v>
      </c>
      <c r="AO21" s="36">
        <f t="shared" si="17"/>
        <v>13720</v>
      </c>
      <c r="AQ21" s="223">
        <f t="shared" si="37"/>
        <v>0.63126502826093733</v>
      </c>
      <c r="AR21" s="38">
        <f t="shared" si="42"/>
        <v>58688.709677419341</v>
      </c>
      <c r="AS21" s="197">
        <f t="shared" si="38"/>
        <v>-1118.1290322580753</v>
      </c>
      <c r="AT21" s="271">
        <v>6945</v>
      </c>
      <c r="AU21" s="436">
        <v>0.83099999999999996</v>
      </c>
      <c r="AV21" s="518">
        <f t="shared" si="43"/>
        <v>0.83099999999999996</v>
      </c>
      <c r="AW21" s="290">
        <f>-SUM('B5'!AI20)</f>
        <v>-442</v>
      </c>
      <c r="AX21" s="290">
        <f t="shared" si="39"/>
        <v>-676.12903225807531</v>
      </c>
      <c r="AY21" s="37">
        <f t="shared" si="40"/>
        <v>-1118.1290322580753</v>
      </c>
      <c r="AZ21" s="100">
        <f>ELEC!A18</f>
        <v>0</v>
      </c>
      <c r="BA21" s="118">
        <f>'General information '!D21</f>
        <v>16.5</v>
      </c>
      <c r="BB21" s="394">
        <f>SUM('General information '!E21)</f>
        <v>0.6</v>
      </c>
      <c r="BC21" s="3">
        <f t="shared" si="44"/>
        <v>1</v>
      </c>
      <c r="BD21" s="102">
        <v>19222</v>
      </c>
      <c r="BE21" s="14">
        <f>(305/1185)*ELEC!Q19</f>
        <v>1261.6962025311886</v>
      </c>
      <c r="BF21" s="14"/>
      <c r="BG21" s="14" t="e">
        <f>#REF!-BE21</f>
        <v>#REF!</v>
      </c>
      <c r="BH21" s="11"/>
    </row>
    <row r="22" spans="1:61">
      <c r="A22" s="444">
        <f>ELEC!C19</f>
        <v>44272</v>
      </c>
      <c r="B22">
        <f>'B5'!B21</f>
        <v>183</v>
      </c>
      <c r="C22" s="203">
        <f t="shared" si="18"/>
        <v>3937.4516129032259</v>
      </c>
      <c r="D22">
        <f t="shared" si="19"/>
        <v>183</v>
      </c>
      <c r="E22" s="203">
        <f t="shared" si="18"/>
        <v>3937.4516129032259</v>
      </c>
      <c r="F22">
        <f t="shared" si="20"/>
        <v>183</v>
      </c>
      <c r="G22" s="203">
        <f t="shared" si="1"/>
        <v>3937.4516129032259</v>
      </c>
      <c r="H22" s="203">
        <f t="shared" si="21"/>
        <v>183</v>
      </c>
      <c r="I22" s="203">
        <f t="shared" si="2"/>
        <v>3937.4516129032259</v>
      </c>
      <c r="J22" s="203">
        <f t="shared" si="22"/>
        <v>183</v>
      </c>
      <c r="K22" s="203">
        <f t="shared" si="3"/>
        <v>3937.4516129032259</v>
      </c>
      <c r="L22" s="203">
        <f t="shared" si="23"/>
        <v>183</v>
      </c>
      <c r="M22" s="203">
        <f t="shared" si="4"/>
        <v>3937.4516129032259</v>
      </c>
      <c r="N22" s="203">
        <f t="shared" si="24"/>
        <v>183</v>
      </c>
      <c r="O22" s="203">
        <f t="shared" si="5"/>
        <v>3937.4516129032259</v>
      </c>
      <c r="P22" s="203">
        <f t="shared" si="25"/>
        <v>183</v>
      </c>
      <c r="Q22" s="203">
        <f t="shared" si="6"/>
        <v>3937.4516129032259</v>
      </c>
      <c r="R22" s="203">
        <f t="shared" si="26"/>
        <v>183</v>
      </c>
      <c r="S22" s="203">
        <f t="shared" si="7"/>
        <v>3937.4516129032259</v>
      </c>
      <c r="T22" s="203">
        <f t="shared" si="27"/>
        <v>183</v>
      </c>
      <c r="U22" s="203">
        <f t="shared" si="8"/>
        <v>3937.4516129032259</v>
      </c>
      <c r="V22" s="203">
        <f t="shared" si="28"/>
        <v>183</v>
      </c>
      <c r="W22" s="203">
        <f t="shared" si="9"/>
        <v>3937.4516129032259</v>
      </c>
      <c r="X22" s="35">
        <f t="shared" si="10"/>
        <v>0.59032258064516141</v>
      </c>
      <c r="Y22" s="36">
        <f t="shared" si="29"/>
        <v>43311.967741935492</v>
      </c>
      <c r="Z22" s="203">
        <f>'B5'!C21</f>
        <v>190</v>
      </c>
      <c r="AA22" s="203">
        <f t="shared" si="30"/>
        <v>1900</v>
      </c>
      <c r="AB22" s="203">
        <f t="shared" si="31"/>
        <v>190</v>
      </c>
      <c r="AC22" s="203">
        <f t="shared" si="30"/>
        <v>1900</v>
      </c>
      <c r="AD22" s="203">
        <f t="shared" si="32"/>
        <v>190</v>
      </c>
      <c r="AE22" s="203">
        <f t="shared" si="11"/>
        <v>1900</v>
      </c>
      <c r="AF22" s="203">
        <f t="shared" si="33"/>
        <v>190</v>
      </c>
      <c r="AG22" s="203">
        <f t="shared" si="12"/>
        <v>1900</v>
      </c>
      <c r="AH22" s="203">
        <f t="shared" si="34"/>
        <v>190</v>
      </c>
      <c r="AI22" s="203">
        <f t="shared" si="13"/>
        <v>1900</v>
      </c>
      <c r="AJ22" s="203">
        <f t="shared" si="35"/>
        <v>190</v>
      </c>
      <c r="AK22" s="203">
        <f t="shared" si="14"/>
        <v>1900</v>
      </c>
      <c r="AL22" s="203">
        <f t="shared" si="36"/>
        <v>190</v>
      </c>
      <c r="AM22" s="203">
        <f t="shared" si="15"/>
        <v>1900</v>
      </c>
      <c r="AN22" s="35">
        <f t="shared" si="16"/>
        <v>0.6785714285714286</v>
      </c>
      <c r="AO22" s="36">
        <f t="shared" si="17"/>
        <v>13300</v>
      </c>
      <c r="AQ22" s="223">
        <f t="shared" si="37"/>
        <v>0.60892726408449493</v>
      </c>
      <c r="AR22" s="38">
        <f t="shared" si="42"/>
        <v>56611.967741935492</v>
      </c>
      <c r="AS22" s="197">
        <f t="shared" si="38"/>
        <v>-2076.7419354838494</v>
      </c>
      <c r="AT22" s="271"/>
      <c r="AU22" s="436"/>
      <c r="AV22" s="518">
        <f t="shared" si="43"/>
        <v>0.83099999999999996</v>
      </c>
      <c r="AW22" s="290">
        <f>-SUM('B5'!AI21)</f>
        <v>-480.79999999998836</v>
      </c>
      <c r="AX22" s="290">
        <f t="shared" si="39"/>
        <v>-1595.941935483861</v>
      </c>
      <c r="AY22" s="37">
        <f t="shared" si="40"/>
        <v>-2076.7419354838494</v>
      </c>
      <c r="AZ22" s="100">
        <f>ELEC!A19</f>
        <v>0</v>
      </c>
      <c r="BA22" s="118">
        <f>'General information '!D22</f>
        <v>17.5</v>
      </c>
      <c r="BB22" s="394">
        <f>SUM('General information '!E22)</f>
        <v>0.55000000000000004</v>
      </c>
      <c r="BC22" s="3">
        <f t="shared" si="44"/>
        <v>0</v>
      </c>
      <c r="BD22" s="102">
        <v>19222</v>
      </c>
      <c r="BE22" s="14">
        <f>(305/1185)*ELEC!Q20</f>
        <v>1503.6371308018302</v>
      </c>
      <c r="BF22" s="14"/>
      <c r="BG22" s="14" t="e">
        <f>#REF!-BE22</f>
        <v>#REF!</v>
      </c>
      <c r="BH22" s="11"/>
    </row>
    <row r="23" spans="1:61">
      <c r="A23" s="444">
        <f>ELEC!C20</f>
        <v>44273</v>
      </c>
      <c r="B23">
        <f>'B5'!B22</f>
        <v>175</v>
      </c>
      <c r="C23" s="203">
        <f t="shared" si="18"/>
        <v>3765.322580645161</v>
      </c>
      <c r="D23">
        <f t="shared" si="19"/>
        <v>175</v>
      </c>
      <c r="E23" s="203">
        <f t="shared" si="18"/>
        <v>3765.322580645161</v>
      </c>
      <c r="F23">
        <f t="shared" si="20"/>
        <v>175</v>
      </c>
      <c r="G23" s="203">
        <f t="shared" si="1"/>
        <v>3765.322580645161</v>
      </c>
      <c r="H23" s="203">
        <f t="shared" si="21"/>
        <v>175</v>
      </c>
      <c r="I23" s="203">
        <f t="shared" si="2"/>
        <v>3765.322580645161</v>
      </c>
      <c r="J23" s="203">
        <f t="shared" si="22"/>
        <v>175</v>
      </c>
      <c r="K23" s="203">
        <f t="shared" si="3"/>
        <v>3765.322580645161</v>
      </c>
      <c r="L23" s="203">
        <f t="shared" si="23"/>
        <v>175</v>
      </c>
      <c r="M23" s="203">
        <f t="shared" si="4"/>
        <v>3765.322580645161</v>
      </c>
      <c r="N23" s="203">
        <f t="shared" si="24"/>
        <v>175</v>
      </c>
      <c r="O23" s="203">
        <f t="shared" si="5"/>
        <v>3765.322580645161</v>
      </c>
      <c r="P23" s="203">
        <f t="shared" si="25"/>
        <v>175</v>
      </c>
      <c r="Q23" s="203">
        <f t="shared" si="6"/>
        <v>3765.322580645161</v>
      </c>
      <c r="R23" s="203">
        <f t="shared" si="26"/>
        <v>175</v>
      </c>
      <c r="S23" s="203">
        <f t="shared" si="7"/>
        <v>3765.322580645161</v>
      </c>
      <c r="T23" s="203">
        <f t="shared" si="27"/>
        <v>175</v>
      </c>
      <c r="U23" s="203">
        <f t="shared" si="8"/>
        <v>3765.322580645161</v>
      </c>
      <c r="V23" s="203">
        <f t="shared" si="28"/>
        <v>175</v>
      </c>
      <c r="W23" s="203">
        <f t="shared" si="9"/>
        <v>3765.322580645161</v>
      </c>
      <c r="X23" s="35">
        <f t="shared" si="10"/>
        <v>0.5645161290322579</v>
      </c>
      <c r="Y23" s="36">
        <f t="shared" si="29"/>
        <v>41418.548387096758</v>
      </c>
      <c r="Z23" s="203">
        <f>'B5'!C22</f>
        <v>181</v>
      </c>
      <c r="AA23" s="203">
        <f t="shared" si="30"/>
        <v>1810</v>
      </c>
      <c r="AB23" s="203">
        <f t="shared" si="31"/>
        <v>181</v>
      </c>
      <c r="AC23" s="203">
        <f t="shared" si="30"/>
        <v>1810</v>
      </c>
      <c r="AD23" s="203">
        <f t="shared" si="32"/>
        <v>181</v>
      </c>
      <c r="AE23" s="203">
        <f t="shared" si="11"/>
        <v>1810</v>
      </c>
      <c r="AF23" s="203">
        <f t="shared" si="33"/>
        <v>181</v>
      </c>
      <c r="AG23" s="203">
        <f t="shared" si="12"/>
        <v>1810</v>
      </c>
      <c r="AH23" s="203">
        <f t="shared" si="34"/>
        <v>181</v>
      </c>
      <c r="AI23" s="203">
        <f t="shared" si="13"/>
        <v>1810</v>
      </c>
      <c r="AJ23" s="203">
        <f t="shared" si="35"/>
        <v>181</v>
      </c>
      <c r="AK23" s="203">
        <f t="shared" si="14"/>
        <v>1810</v>
      </c>
      <c r="AL23" s="203">
        <f t="shared" si="36"/>
        <v>181</v>
      </c>
      <c r="AM23" s="203">
        <f t="shared" si="15"/>
        <v>1810</v>
      </c>
      <c r="AN23" s="35">
        <f t="shared" si="16"/>
        <v>0.64642857142857146</v>
      </c>
      <c r="AO23" s="36">
        <f t="shared" si="17"/>
        <v>12670</v>
      </c>
      <c r="AQ23" s="223">
        <f t="shared" si="37"/>
        <v>0.5817849670549291</v>
      </c>
      <c r="AR23" s="38">
        <f t="shared" si="42"/>
        <v>54088.548387096758</v>
      </c>
      <c r="AS23" s="197">
        <f t="shared" si="38"/>
        <v>-2523.4193548387339</v>
      </c>
      <c r="AT23" s="271"/>
      <c r="AU23" s="436"/>
      <c r="AV23" s="518">
        <f t="shared" si="43"/>
        <v>0.83099999999999996</v>
      </c>
      <c r="AW23" s="290">
        <f>-SUM('B5'!AI22)</f>
        <v>-466</v>
      </c>
      <c r="AX23" s="290">
        <f t="shared" si="39"/>
        <v>-2057.4193548387339</v>
      </c>
      <c r="AY23" s="37">
        <f t="shared" si="40"/>
        <v>-2523.4193548387339</v>
      </c>
      <c r="AZ23" s="100">
        <f>ELEC!A20</f>
        <v>0</v>
      </c>
      <c r="BA23" s="118">
        <f>'General information '!D23</f>
        <v>17.5</v>
      </c>
      <c r="BB23" s="394">
        <f>SUM('General information '!E23)</f>
        <v>0.56999999999999995</v>
      </c>
      <c r="BC23" s="3">
        <f t="shared" si="44"/>
        <v>0</v>
      </c>
      <c r="BD23" s="102">
        <v>19222</v>
      </c>
      <c r="BE23" s="14">
        <f>(305/1185)*ELEC!Q21</f>
        <v>926.58227848157458</v>
      </c>
      <c r="BF23" s="14"/>
      <c r="BG23" s="14" t="e">
        <f>#REF!-BE23</f>
        <v>#REF!</v>
      </c>
      <c r="BH23" s="11"/>
    </row>
    <row r="24" spans="1:61">
      <c r="A24" s="444">
        <f>ELEC!C21</f>
        <v>44274</v>
      </c>
      <c r="B24">
        <f>'B5'!B23</f>
        <v>245</v>
      </c>
      <c r="C24" s="203">
        <f t="shared" si="18"/>
        <v>5271.4516129032254</v>
      </c>
      <c r="D24">
        <f t="shared" si="19"/>
        <v>245</v>
      </c>
      <c r="E24" s="203">
        <f t="shared" si="18"/>
        <v>5271.4516129032254</v>
      </c>
      <c r="F24">
        <f t="shared" si="20"/>
        <v>245</v>
      </c>
      <c r="G24" s="203">
        <f t="shared" si="1"/>
        <v>5271.4516129032254</v>
      </c>
      <c r="H24" s="203">
        <f t="shared" si="21"/>
        <v>245</v>
      </c>
      <c r="I24" s="203">
        <f t="shared" si="2"/>
        <v>5271.4516129032254</v>
      </c>
      <c r="J24" s="203">
        <f t="shared" si="22"/>
        <v>245</v>
      </c>
      <c r="K24" s="203">
        <f t="shared" si="3"/>
        <v>5271.4516129032254</v>
      </c>
      <c r="L24" s="203">
        <f t="shared" si="23"/>
        <v>245</v>
      </c>
      <c r="M24" s="203">
        <f t="shared" si="4"/>
        <v>5271.4516129032254</v>
      </c>
      <c r="N24" s="203">
        <f t="shared" si="24"/>
        <v>245</v>
      </c>
      <c r="O24" s="203">
        <f t="shared" si="5"/>
        <v>5271.4516129032254</v>
      </c>
      <c r="P24" s="203">
        <f t="shared" si="25"/>
        <v>245</v>
      </c>
      <c r="Q24" s="203">
        <f t="shared" si="6"/>
        <v>5271.4516129032254</v>
      </c>
      <c r="R24" s="203">
        <f t="shared" si="26"/>
        <v>245</v>
      </c>
      <c r="S24" s="203">
        <f t="shared" si="7"/>
        <v>5271.4516129032254</v>
      </c>
      <c r="T24" s="203">
        <f t="shared" si="27"/>
        <v>245</v>
      </c>
      <c r="U24" s="203">
        <f t="shared" si="8"/>
        <v>5271.4516129032254</v>
      </c>
      <c r="V24" s="203">
        <f t="shared" si="28"/>
        <v>245</v>
      </c>
      <c r="W24" s="203">
        <f t="shared" si="9"/>
        <v>5271.4516129032254</v>
      </c>
      <c r="X24" s="35">
        <f t="shared" si="10"/>
        <v>0.79032258064516137</v>
      </c>
      <c r="Y24" s="36">
        <f t="shared" si="29"/>
        <v>57985.967741935492</v>
      </c>
      <c r="Z24" s="203">
        <f>'B5'!C23</f>
        <v>251</v>
      </c>
      <c r="AA24" s="203">
        <f t="shared" si="30"/>
        <v>2510</v>
      </c>
      <c r="AB24" s="203">
        <f t="shared" si="31"/>
        <v>251</v>
      </c>
      <c r="AC24" s="203">
        <f t="shared" si="30"/>
        <v>2510</v>
      </c>
      <c r="AD24" s="203">
        <f t="shared" si="32"/>
        <v>251</v>
      </c>
      <c r="AE24" s="203">
        <f t="shared" si="11"/>
        <v>2510</v>
      </c>
      <c r="AF24" s="203">
        <f t="shared" si="33"/>
        <v>251</v>
      </c>
      <c r="AG24" s="203">
        <f t="shared" si="12"/>
        <v>2510</v>
      </c>
      <c r="AH24" s="203">
        <f t="shared" si="34"/>
        <v>251</v>
      </c>
      <c r="AI24" s="203">
        <f t="shared" si="13"/>
        <v>2510</v>
      </c>
      <c r="AJ24" s="203">
        <f t="shared" si="35"/>
        <v>251</v>
      </c>
      <c r="AK24" s="203">
        <f t="shared" si="14"/>
        <v>2510</v>
      </c>
      <c r="AL24" s="203">
        <f t="shared" si="36"/>
        <v>251</v>
      </c>
      <c r="AM24" s="203">
        <f t="shared" si="15"/>
        <v>2510</v>
      </c>
      <c r="AN24" s="35">
        <f t="shared" si="16"/>
        <v>0.89642857142857146</v>
      </c>
      <c r="AO24" s="36">
        <f t="shared" si="17"/>
        <v>17570</v>
      </c>
      <c r="AQ24" s="223">
        <f t="shared" si="37"/>
        <v>0.81269191934963414</v>
      </c>
      <c r="AR24" s="38">
        <f t="shared" si="42"/>
        <v>75555.967741935485</v>
      </c>
      <c r="AS24" s="197">
        <f t="shared" si="38"/>
        <v>1787.4193548387266</v>
      </c>
      <c r="AT24" s="271">
        <v>19680</v>
      </c>
      <c r="AU24" s="436">
        <v>0.97299999999999998</v>
      </c>
      <c r="AV24" s="518">
        <f t="shared" si="43"/>
        <v>0.97299999999999998</v>
      </c>
      <c r="AW24" s="290">
        <f>-SUM('B5'!AI23)</f>
        <v>-380</v>
      </c>
      <c r="AX24" s="290">
        <f t="shared" si="39"/>
        <v>2167.4193548387266</v>
      </c>
      <c r="AY24" s="37">
        <f t="shared" si="40"/>
        <v>1787.4193548387266</v>
      </c>
      <c r="AZ24" s="100">
        <f>ELEC!A21</f>
        <v>0</v>
      </c>
      <c r="BA24" s="118">
        <f>'General information '!D24</f>
        <v>18</v>
      </c>
      <c r="BB24" s="394">
        <f>SUM('General information '!E24)</f>
        <v>0.56000000000000005</v>
      </c>
      <c r="BC24" s="3">
        <f t="shared" si="44"/>
        <v>1</v>
      </c>
      <c r="BD24" s="102">
        <v>19222</v>
      </c>
      <c r="BE24" s="14">
        <f>(305/1185)*ELEC!Q22</f>
        <v>618.75105485196866</v>
      </c>
      <c r="BF24" s="14"/>
      <c r="BG24" s="14" t="e">
        <f>#REF!-BE24</f>
        <v>#REF!</v>
      </c>
      <c r="BH24" s="11"/>
      <c r="BI24" t="s">
        <v>323</v>
      </c>
    </row>
    <row r="25" spans="1:61">
      <c r="A25" s="444">
        <f>ELEC!C22</f>
        <v>44275</v>
      </c>
      <c r="B25">
        <f>'B5'!B24</f>
        <v>242</v>
      </c>
      <c r="C25" s="203">
        <f t="shared" si="18"/>
        <v>5206.9032258064517</v>
      </c>
      <c r="D25">
        <f t="shared" si="19"/>
        <v>242</v>
      </c>
      <c r="E25" s="203">
        <f t="shared" si="18"/>
        <v>5206.9032258064517</v>
      </c>
      <c r="F25">
        <f t="shared" si="20"/>
        <v>242</v>
      </c>
      <c r="G25" s="203">
        <f t="shared" si="1"/>
        <v>5206.9032258064517</v>
      </c>
      <c r="H25" s="203">
        <f t="shared" si="21"/>
        <v>242</v>
      </c>
      <c r="I25" s="203">
        <f t="shared" si="2"/>
        <v>5206.9032258064517</v>
      </c>
      <c r="J25" s="203">
        <f t="shared" si="22"/>
        <v>242</v>
      </c>
      <c r="K25" s="203">
        <f t="shared" si="3"/>
        <v>5206.9032258064517</v>
      </c>
      <c r="L25" s="203">
        <f t="shared" si="23"/>
        <v>242</v>
      </c>
      <c r="M25" s="203">
        <f t="shared" si="4"/>
        <v>5206.9032258064517</v>
      </c>
      <c r="N25" s="203">
        <f t="shared" si="24"/>
        <v>242</v>
      </c>
      <c r="O25" s="203">
        <f t="shared" si="5"/>
        <v>5206.9032258064517</v>
      </c>
      <c r="P25" s="203">
        <f t="shared" si="25"/>
        <v>242</v>
      </c>
      <c r="Q25" s="203">
        <f t="shared" si="6"/>
        <v>5206.9032258064517</v>
      </c>
      <c r="R25" s="203">
        <f t="shared" si="26"/>
        <v>242</v>
      </c>
      <c r="S25" s="203">
        <f t="shared" si="7"/>
        <v>5206.9032258064517</v>
      </c>
      <c r="T25" s="203">
        <f t="shared" si="27"/>
        <v>242</v>
      </c>
      <c r="U25" s="203">
        <f t="shared" si="8"/>
        <v>5206.9032258064517</v>
      </c>
      <c r="V25" s="203">
        <f t="shared" si="28"/>
        <v>242</v>
      </c>
      <c r="W25" s="203">
        <f t="shared" si="9"/>
        <v>5206.9032258064517</v>
      </c>
      <c r="X25" s="35">
        <f t="shared" si="10"/>
        <v>0.78064516129032269</v>
      </c>
      <c r="Y25" s="36">
        <f t="shared" si="29"/>
        <v>57275.935483870977</v>
      </c>
      <c r="Z25" s="203">
        <f>'B5'!C24</f>
        <v>248</v>
      </c>
      <c r="AA25" s="203">
        <f t="shared" si="30"/>
        <v>2480</v>
      </c>
      <c r="AB25" s="203">
        <f t="shared" si="31"/>
        <v>248</v>
      </c>
      <c r="AC25" s="203">
        <f t="shared" si="30"/>
        <v>2480</v>
      </c>
      <c r="AD25" s="203">
        <f t="shared" si="32"/>
        <v>248</v>
      </c>
      <c r="AE25" s="203">
        <f t="shared" si="11"/>
        <v>2480</v>
      </c>
      <c r="AF25" s="203">
        <f t="shared" si="33"/>
        <v>248</v>
      </c>
      <c r="AG25" s="203">
        <f t="shared" si="12"/>
        <v>2480</v>
      </c>
      <c r="AH25" s="203">
        <f t="shared" si="34"/>
        <v>248</v>
      </c>
      <c r="AI25" s="203">
        <f t="shared" si="13"/>
        <v>2480</v>
      </c>
      <c r="AJ25" s="203">
        <f t="shared" si="35"/>
        <v>248</v>
      </c>
      <c r="AK25" s="203">
        <f t="shared" si="14"/>
        <v>2480</v>
      </c>
      <c r="AL25" s="203">
        <f t="shared" si="36"/>
        <v>248</v>
      </c>
      <c r="AM25" s="203">
        <f t="shared" si="15"/>
        <v>2480</v>
      </c>
      <c r="AN25" s="35">
        <f t="shared" si="16"/>
        <v>0.88571428571428568</v>
      </c>
      <c r="AO25" s="36">
        <f t="shared" si="17"/>
        <v>17360</v>
      </c>
      <c r="AQ25" s="223">
        <f t="shared" si="37"/>
        <v>0.80279590710843252</v>
      </c>
      <c r="AR25" s="38">
        <f t="shared" si="42"/>
        <v>74635.93548387097</v>
      </c>
      <c r="AS25" s="197">
        <f t="shared" si="38"/>
        <v>-920.03225806451519</v>
      </c>
      <c r="AT25" s="271"/>
      <c r="AU25" s="436"/>
      <c r="AV25" s="518">
        <f t="shared" si="43"/>
        <v>0.97299999999999998</v>
      </c>
      <c r="AW25" s="290">
        <f>-SUM('B5'!AI24)</f>
        <v>-350</v>
      </c>
      <c r="AX25" s="290">
        <f t="shared" si="39"/>
        <v>-570.03225806451519</v>
      </c>
      <c r="AY25" s="37">
        <f t="shared" si="40"/>
        <v>-920.03225806451519</v>
      </c>
      <c r="AZ25" s="100">
        <f>ELEC!A22</f>
        <v>0</v>
      </c>
      <c r="BA25" s="118">
        <f>'General information '!D25</f>
        <v>19.5</v>
      </c>
      <c r="BB25" s="394">
        <f>SUM('General information '!E25)</f>
        <v>0.55000000000000004</v>
      </c>
      <c r="BC25" s="3">
        <f t="shared" si="44"/>
        <v>0</v>
      </c>
      <c r="BD25" s="102">
        <v>19222</v>
      </c>
      <c r="BE25" s="14">
        <f>(305/1185)*ELEC!Q23</f>
        <v>956.696202531788</v>
      </c>
      <c r="BF25" s="14"/>
      <c r="BG25" s="14" t="e">
        <f>#REF!-BE25</f>
        <v>#REF!</v>
      </c>
      <c r="BH25" s="11"/>
    </row>
    <row r="26" spans="1:61">
      <c r="A26" s="444">
        <f>ELEC!C23</f>
        <v>44276</v>
      </c>
      <c r="B26">
        <f>'B5'!B25</f>
        <v>236</v>
      </c>
      <c r="C26" s="203">
        <f t="shared" si="18"/>
        <v>5077.8064516129034</v>
      </c>
      <c r="D26">
        <f t="shared" si="19"/>
        <v>236</v>
      </c>
      <c r="E26" s="203">
        <f t="shared" si="18"/>
        <v>5077.8064516129034</v>
      </c>
      <c r="F26">
        <f t="shared" si="20"/>
        <v>236</v>
      </c>
      <c r="G26" s="203">
        <f t="shared" si="1"/>
        <v>5077.8064516129034</v>
      </c>
      <c r="H26" s="203">
        <f t="shared" si="21"/>
        <v>236</v>
      </c>
      <c r="I26" s="203">
        <f t="shared" si="2"/>
        <v>5077.8064516129034</v>
      </c>
      <c r="J26" s="203">
        <f t="shared" si="22"/>
        <v>236</v>
      </c>
      <c r="K26" s="203">
        <f t="shared" si="3"/>
        <v>5077.8064516129034</v>
      </c>
      <c r="L26" s="203">
        <f t="shared" si="23"/>
        <v>236</v>
      </c>
      <c r="M26" s="203">
        <f t="shared" si="4"/>
        <v>5077.8064516129034</v>
      </c>
      <c r="N26" s="203">
        <f t="shared" si="24"/>
        <v>236</v>
      </c>
      <c r="O26" s="203">
        <f t="shared" si="5"/>
        <v>5077.8064516129034</v>
      </c>
      <c r="P26" s="203">
        <f t="shared" si="25"/>
        <v>236</v>
      </c>
      <c r="Q26" s="203">
        <f t="shared" si="6"/>
        <v>5077.8064516129034</v>
      </c>
      <c r="R26" s="203">
        <f t="shared" si="26"/>
        <v>236</v>
      </c>
      <c r="S26" s="203">
        <f t="shared" si="7"/>
        <v>5077.8064516129034</v>
      </c>
      <c r="T26" s="203">
        <f t="shared" si="27"/>
        <v>236</v>
      </c>
      <c r="U26" s="203">
        <f t="shared" si="8"/>
        <v>5077.8064516129034</v>
      </c>
      <c r="V26" s="203">
        <f t="shared" si="28"/>
        <v>236</v>
      </c>
      <c r="W26" s="203">
        <f t="shared" si="9"/>
        <v>5077.8064516129034</v>
      </c>
      <c r="X26" s="35">
        <f t="shared" si="10"/>
        <v>0.761290322580645</v>
      </c>
      <c r="Y26" s="36">
        <f t="shared" si="29"/>
        <v>55855.870967741925</v>
      </c>
      <c r="Z26" s="203">
        <f>'B5'!C25</f>
        <v>242</v>
      </c>
      <c r="AA26" s="203">
        <f t="shared" si="30"/>
        <v>2420</v>
      </c>
      <c r="AB26" s="203">
        <f t="shared" si="31"/>
        <v>242</v>
      </c>
      <c r="AC26" s="203">
        <f t="shared" si="30"/>
        <v>2420</v>
      </c>
      <c r="AD26" s="203">
        <f t="shared" si="32"/>
        <v>242</v>
      </c>
      <c r="AE26" s="203">
        <f t="shared" si="11"/>
        <v>2420</v>
      </c>
      <c r="AF26" s="203">
        <f t="shared" si="33"/>
        <v>242</v>
      </c>
      <c r="AG26" s="203">
        <f t="shared" si="12"/>
        <v>2420</v>
      </c>
      <c r="AH26" s="203">
        <f t="shared" si="34"/>
        <v>242</v>
      </c>
      <c r="AI26" s="203">
        <f t="shared" si="13"/>
        <v>2420</v>
      </c>
      <c r="AJ26" s="203">
        <f t="shared" si="35"/>
        <v>242</v>
      </c>
      <c r="AK26" s="203">
        <f t="shared" si="14"/>
        <v>2420</v>
      </c>
      <c r="AL26" s="203">
        <f t="shared" si="36"/>
        <v>242</v>
      </c>
      <c r="AM26" s="203">
        <f t="shared" si="15"/>
        <v>2420</v>
      </c>
      <c r="AN26" s="35">
        <f t="shared" si="16"/>
        <v>0.86428571428571432</v>
      </c>
      <c r="AO26" s="36">
        <f t="shared" si="17"/>
        <v>16940</v>
      </c>
      <c r="AQ26" s="223">
        <f t="shared" si="37"/>
        <v>0.78300388262602905</v>
      </c>
      <c r="AR26" s="38">
        <f t="shared" si="42"/>
        <v>72795.870967741925</v>
      </c>
      <c r="AS26" s="197">
        <f t="shared" si="38"/>
        <v>-1840.0645161290449</v>
      </c>
      <c r="AT26" s="271"/>
      <c r="AU26" s="491"/>
      <c r="AV26" s="518">
        <f t="shared" si="43"/>
        <v>0.97299999999999998</v>
      </c>
      <c r="AW26" s="290">
        <f>-SUM('B5'!AI25)</f>
        <v>-364</v>
      </c>
      <c r="AX26" s="290">
        <f t="shared" si="39"/>
        <v>-1476.0645161290449</v>
      </c>
      <c r="AY26" s="37">
        <f t="shared" si="40"/>
        <v>-1840.0645161290449</v>
      </c>
      <c r="AZ26" s="100">
        <f>ELEC!A23</f>
        <v>0</v>
      </c>
      <c r="BA26" s="118">
        <f>'General information '!D26</f>
        <v>18.5</v>
      </c>
      <c r="BB26" s="394">
        <f>SUM('General information '!E26)</f>
        <v>0.55000000000000004</v>
      </c>
      <c r="BC26" s="3">
        <f t="shared" si="44"/>
        <v>0</v>
      </c>
      <c r="BD26" s="102">
        <v>19222</v>
      </c>
      <c r="BE26" s="14">
        <f>(305/1185)*ELEC!Q24</f>
        <v>1923.9451476789504</v>
      </c>
      <c r="BF26" s="14"/>
      <c r="BG26" s="14" t="e">
        <f>#REF!-BE26</f>
        <v>#REF!</v>
      </c>
      <c r="BH26" s="11"/>
    </row>
    <row r="27" spans="1:61">
      <c r="A27" s="444">
        <f>ELEC!C24</f>
        <v>44277</v>
      </c>
      <c r="B27">
        <f>'B5'!B26</f>
        <v>227</v>
      </c>
      <c r="C27" s="203">
        <f t="shared" si="18"/>
        <v>4884.1612903225805</v>
      </c>
      <c r="D27">
        <f t="shared" si="19"/>
        <v>227</v>
      </c>
      <c r="E27" s="203">
        <f t="shared" si="18"/>
        <v>4884.1612903225805</v>
      </c>
      <c r="F27">
        <f t="shared" si="20"/>
        <v>227</v>
      </c>
      <c r="G27" s="203">
        <f t="shared" si="1"/>
        <v>4884.1612903225805</v>
      </c>
      <c r="H27" s="203">
        <f t="shared" si="21"/>
        <v>227</v>
      </c>
      <c r="I27" s="203">
        <f t="shared" si="2"/>
        <v>4884.1612903225805</v>
      </c>
      <c r="J27" s="203">
        <f t="shared" si="22"/>
        <v>227</v>
      </c>
      <c r="K27" s="203">
        <f t="shared" si="3"/>
        <v>4884.1612903225805</v>
      </c>
      <c r="L27" s="203">
        <f t="shared" si="23"/>
        <v>227</v>
      </c>
      <c r="M27" s="203">
        <f t="shared" si="4"/>
        <v>4884.1612903225805</v>
      </c>
      <c r="N27" s="203">
        <f t="shared" si="24"/>
        <v>227</v>
      </c>
      <c r="O27" s="203">
        <f t="shared" si="5"/>
        <v>4884.1612903225805</v>
      </c>
      <c r="P27" s="203">
        <f t="shared" si="25"/>
        <v>227</v>
      </c>
      <c r="Q27" s="203">
        <f t="shared" si="6"/>
        <v>4884.1612903225805</v>
      </c>
      <c r="R27" s="203">
        <f t="shared" si="26"/>
        <v>227</v>
      </c>
      <c r="S27" s="203">
        <f t="shared" si="7"/>
        <v>4884.1612903225805</v>
      </c>
      <c r="T27" s="203">
        <f t="shared" si="27"/>
        <v>227</v>
      </c>
      <c r="U27" s="203">
        <f t="shared" si="8"/>
        <v>4884.1612903225805</v>
      </c>
      <c r="V27" s="203">
        <f t="shared" si="28"/>
        <v>227</v>
      </c>
      <c r="W27" s="203">
        <f t="shared" si="9"/>
        <v>4884.1612903225805</v>
      </c>
      <c r="X27" s="35">
        <f t="shared" si="10"/>
        <v>0.73225806451612907</v>
      </c>
      <c r="Y27" s="36">
        <f t="shared" si="29"/>
        <v>53725.774193548394</v>
      </c>
      <c r="Z27" s="203">
        <f>'B5'!C26</f>
        <v>233</v>
      </c>
      <c r="AA27" s="203">
        <f t="shared" si="30"/>
        <v>2330</v>
      </c>
      <c r="AB27" s="203">
        <f t="shared" si="31"/>
        <v>233</v>
      </c>
      <c r="AC27" s="203">
        <f t="shared" si="30"/>
        <v>2330</v>
      </c>
      <c r="AD27" s="203">
        <f t="shared" si="32"/>
        <v>233</v>
      </c>
      <c r="AE27" s="203">
        <f t="shared" si="11"/>
        <v>2330</v>
      </c>
      <c r="AF27" s="203">
        <f t="shared" si="33"/>
        <v>233</v>
      </c>
      <c r="AG27" s="203">
        <f t="shared" si="12"/>
        <v>2330</v>
      </c>
      <c r="AH27" s="203">
        <f t="shared" si="34"/>
        <v>233</v>
      </c>
      <c r="AI27" s="203">
        <f t="shared" si="13"/>
        <v>2330</v>
      </c>
      <c r="AJ27" s="203">
        <f t="shared" si="35"/>
        <v>233</v>
      </c>
      <c r="AK27" s="203">
        <f t="shared" si="14"/>
        <v>2330</v>
      </c>
      <c r="AL27" s="203">
        <f t="shared" si="36"/>
        <v>233</v>
      </c>
      <c r="AM27" s="203">
        <f t="shared" si="15"/>
        <v>2330</v>
      </c>
      <c r="AN27" s="35">
        <f t="shared" si="16"/>
        <v>0.83214285714285718</v>
      </c>
      <c r="AO27" s="36">
        <f t="shared" si="17"/>
        <v>16310</v>
      </c>
      <c r="AQ27" s="223">
        <f t="shared" si="37"/>
        <v>0.7533158459024244</v>
      </c>
      <c r="AR27" s="38">
        <f t="shared" si="42"/>
        <v>70035.774193548394</v>
      </c>
      <c r="AS27" s="197">
        <f t="shared" si="38"/>
        <v>-2760.096774193531</v>
      </c>
      <c r="AT27" s="271"/>
      <c r="AU27" s="436"/>
      <c r="AV27" s="518">
        <f t="shared" si="43"/>
        <v>0.97299999999999998</v>
      </c>
      <c r="AW27" s="290">
        <f>-SUM('B5'!AI26)</f>
        <v>-339</v>
      </c>
      <c r="AX27" s="290">
        <f t="shared" si="39"/>
        <v>-2421.096774193531</v>
      </c>
      <c r="AY27" s="37">
        <f t="shared" si="40"/>
        <v>-2760.096774193531</v>
      </c>
      <c r="AZ27" s="100">
        <f>ELEC!A24</f>
        <v>0</v>
      </c>
      <c r="BA27" s="118">
        <f>'General information '!D27</f>
        <v>20</v>
      </c>
      <c r="BB27" s="394">
        <f>SUM('General information '!E27)</f>
        <v>0.65</v>
      </c>
      <c r="BC27" s="3">
        <f t="shared" si="44"/>
        <v>0</v>
      </c>
      <c r="BD27" s="102">
        <v>19222</v>
      </c>
      <c r="BE27" s="14">
        <f>(305/1185)*ELEC!Q25</f>
        <v>2125.4767932493646</v>
      </c>
      <c r="BF27" s="14"/>
      <c r="BG27" s="14" t="e">
        <f>#REF!-BE27</f>
        <v>#REF!</v>
      </c>
      <c r="BH27" s="11"/>
    </row>
    <row r="28" spans="1:61">
      <c r="A28" s="444">
        <f>ELEC!C25</f>
        <v>44278</v>
      </c>
      <c r="B28">
        <f>'B5'!B27</f>
        <v>217</v>
      </c>
      <c r="C28" s="203">
        <f t="shared" si="18"/>
        <v>4669</v>
      </c>
      <c r="D28">
        <f t="shared" si="19"/>
        <v>217</v>
      </c>
      <c r="E28" s="203">
        <f t="shared" si="18"/>
        <v>4669</v>
      </c>
      <c r="F28">
        <f t="shared" si="20"/>
        <v>217</v>
      </c>
      <c r="G28" s="203">
        <f t="shared" si="1"/>
        <v>4669</v>
      </c>
      <c r="H28" s="203">
        <f t="shared" si="21"/>
        <v>217</v>
      </c>
      <c r="I28" s="203">
        <f t="shared" si="2"/>
        <v>4669</v>
      </c>
      <c r="J28" s="203">
        <f t="shared" si="22"/>
        <v>217</v>
      </c>
      <c r="K28" s="203">
        <f t="shared" si="3"/>
        <v>4669</v>
      </c>
      <c r="L28" s="203">
        <f t="shared" si="23"/>
        <v>217</v>
      </c>
      <c r="M28" s="203">
        <f t="shared" si="4"/>
        <v>4669</v>
      </c>
      <c r="N28" s="203">
        <f t="shared" si="24"/>
        <v>217</v>
      </c>
      <c r="O28" s="203">
        <f t="shared" si="5"/>
        <v>4669</v>
      </c>
      <c r="P28" s="203">
        <f t="shared" si="25"/>
        <v>217</v>
      </c>
      <c r="Q28" s="203">
        <f t="shared" si="6"/>
        <v>4669</v>
      </c>
      <c r="R28" s="203">
        <f t="shared" si="26"/>
        <v>217</v>
      </c>
      <c r="S28" s="203">
        <f t="shared" si="7"/>
        <v>4669</v>
      </c>
      <c r="T28" s="203">
        <f t="shared" si="27"/>
        <v>217</v>
      </c>
      <c r="U28" s="203">
        <f t="shared" si="8"/>
        <v>4669</v>
      </c>
      <c r="V28" s="203">
        <f t="shared" si="28"/>
        <v>217</v>
      </c>
      <c r="W28" s="203">
        <f t="shared" si="9"/>
        <v>4669</v>
      </c>
      <c r="X28" s="35">
        <f t="shared" si="10"/>
        <v>0.7</v>
      </c>
      <c r="Y28" s="36">
        <f t="shared" si="29"/>
        <v>51359</v>
      </c>
      <c r="Z28" s="203">
        <f>'B5'!C27</f>
        <v>223</v>
      </c>
      <c r="AA28" s="203">
        <f t="shared" si="30"/>
        <v>2230</v>
      </c>
      <c r="AB28" s="203">
        <f t="shared" si="31"/>
        <v>223</v>
      </c>
      <c r="AC28" s="203">
        <f t="shared" si="30"/>
        <v>2230</v>
      </c>
      <c r="AD28" s="203">
        <f t="shared" si="32"/>
        <v>223</v>
      </c>
      <c r="AE28" s="203">
        <f t="shared" si="11"/>
        <v>2230</v>
      </c>
      <c r="AF28" s="203">
        <f t="shared" si="33"/>
        <v>223</v>
      </c>
      <c r="AG28" s="203">
        <f t="shared" si="12"/>
        <v>2230</v>
      </c>
      <c r="AH28" s="203">
        <f t="shared" si="34"/>
        <v>223</v>
      </c>
      <c r="AI28" s="203">
        <f t="shared" si="13"/>
        <v>2230</v>
      </c>
      <c r="AJ28" s="203">
        <f t="shared" si="35"/>
        <v>223</v>
      </c>
      <c r="AK28" s="203">
        <f t="shared" si="14"/>
        <v>2230</v>
      </c>
      <c r="AL28" s="203">
        <f t="shared" si="36"/>
        <v>223</v>
      </c>
      <c r="AM28" s="203">
        <f t="shared" si="15"/>
        <v>2230</v>
      </c>
      <c r="AN28" s="35">
        <f t="shared" si="16"/>
        <v>0.79642857142857137</v>
      </c>
      <c r="AO28" s="36">
        <f t="shared" si="17"/>
        <v>15610</v>
      </c>
      <c r="AQ28" s="223">
        <f t="shared" si="37"/>
        <v>0.72032913843175217</v>
      </c>
      <c r="AR28" s="38">
        <f t="shared" si="42"/>
        <v>66969</v>
      </c>
      <c r="AS28" s="197">
        <f t="shared" si="38"/>
        <v>-3066.7741935483937</v>
      </c>
      <c r="AT28" s="355"/>
      <c r="AU28" s="436"/>
      <c r="AV28" s="518">
        <f t="shared" si="43"/>
        <v>0.97299999999999998</v>
      </c>
      <c r="AW28" s="290">
        <f>-SUM('B5'!AI27)</f>
        <v>-339</v>
      </c>
      <c r="AX28" s="290">
        <f t="shared" si="39"/>
        <v>-2727.7741935483937</v>
      </c>
      <c r="AY28" s="37">
        <f t="shared" si="40"/>
        <v>-3066.7741935483937</v>
      </c>
      <c r="AZ28" s="100">
        <f>ELEC!A25</f>
        <v>0</v>
      </c>
      <c r="BA28" s="118">
        <f>'General information '!D28</f>
        <v>25</v>
      </c>
      <c r="BB28" s="394">
        <f>SUM('General information '!E28)</f>
        <v>0.61</v>
      </c>
      <c r="BC28" s="3">
        <f t="shared" si="44"/>
        <v>0</v>
      </c>
      <c r="BD28" s="102">
        <v>19222</v>
      </c>
      <c r="BE28" s="14">
        <f>(305/1185)*ELEC!Q26</f>
        <v>1646.7426160330888</v>
      </c>
      <c r="BF28" s="14"/>
      <c r="BG28" s="14" t="e">
        <f>#REF!-BE28</f>
        <v>#REF!</v>
      </c>
      <c r="BH28" s="11"/>
    </row>
    <row r="29" spans="1:61">
      <c r="A29" s="444">
        <f>ELEC!C26</f>
        <v>44279</v>
      </c>
      <c r="B29">
        <f>'B5'!B28</f>
        <v>207</v>
      </c>
      <c r="C29" s="203">
        <f t="shared" si="18"/>
        <v>4453.8387096774195</v>
      </c>
      <c r="D29">
        <f t="shared" si="19"/>
        <v>207</v>
      </c>
      <c r="E29" s="203">
        <f t="shared" si="18"/>
        <v>4453.8387096774195</v>
      </c>
      <c r="F29">
        <f t="shared" si="20"/>
        <v>207</v>
      </c>
      <c r="G29" s="203">
        <f t="shared" si="1"/>
        <v>4453.8387096774195</v>
      </c>
      <c r="H29" s="203">
        <f t="shared" si="21"/>
        <v>207</v>
      </c>
      <c r="I29" s="203">
        <f t="shared" si="2"/>
        <v>4453.8387096774195</v>
      </c>
      <c r="J29" s="203">
        <f t="shared" si="22"/>
        <v>207</v>
      </c>
      <c r="K29" s="203">
        <f t="shared" si="3"/>
        <v>4453.8387096774195</v>
      </c>
      <c r="L29" s="203">
        <f t="shared" si="23"/>
        <v>207</v>
      </c>
      <c r="M29" s="203">
        <f t="shared" si="4"/>
        <v>4453.8387096774195</v>
      </c>
      <c r="N29" s="203">
        <f t="shared" si="24"/>
        <v>207</v>
      </c>
      <c r="O29" s="203">
        <f t="shared" si="5"/>
        <v>4453.8387096774195</v>
      </c>
      <c r="P29" s="203">
        <f t="shared" si="25"/>
        <v>207</v>
      </c>
      <c r="Q29" s="203">
        <f t="shared" si="6"/>
        <v>4453.8387096774195</v>
      </c>
      <c r="R29" s="203">
        <f t="shared" si="26"/>
        <v>207</v>
      </c>
      <c r="S29" s="203">
        <f t="shared" si="7"/>
        <v>4453.8387096774195</v>
      </c>
      <c r="T29" s="203">
        <f t="shared" si="27"/>
        <v>207</v>
      </c>
      <c r="U29" s="203">
        <f t="shared" si="8"/>
        <v>4453.8387096774195</v>
      </c>
      <c r="V29" s="203">
        <f t="shared" si="28"/>
        <v>207</v>
      </c>
      <c r="W29" s="203">
        <f t="shared" si="9"/>
        <v>4453.8387096774195</v>
      </c>
      <c r="X29" s="35">
        <f t="shared" si="10"/>
        <v>0.66774193548387084</v>
      </c>
      <c r="Y29" s="36">
        <f t="shared" si="29"/>
        <v>48992.225806451606</v>
      </c>
      <c r="Z29" s="203">
        <f>'B5'!C28</f>
        <v>214</v>
      </c>
      <c r="AA29" s="203">
        <f t="shared" si="30"/>
        <v>2140</v>
      </c>
      <c r="AB29" s="203">
        <f t="shared" si="31"/>
        <v>214</v>
      </c>
      <c r="AC29" s="203">
        <f t="shared" si="30"/>
        <v>2140</v>
      </c>
      <c r="AD29" s="203">
        <f t="shared" si="32"/>
        <v>214</v>
      </c>
      <c r="AE29" s="203">
        <f t="shared" si="11"/>
        <v>2140</v>
      </c>
      <c r="AF29" s="203">
        <f t="shared" si="33"/>
        <v>214</v>
      </c>
      <c r="AG29" s="203">
        <f t="shared" si="12"/>
        <v>2140</v>
      </c>
      <c r="AH29" s="203">
        <f t="shared" si="34"/>
        <v>214</v>
      </c>
      <c r="AI29" s="203">
        <f t="shared" si="13"/>
        <v>2140</v>
      </c>
      <c r="AJ29" s="203">
        <f t="shared" si="35"/>
        <v>214</v>
      </c>
      <c r="AK29" s="203">
        <f t="shared" si="14"/>
        <v>2140</v>
      </c>
      <c r="AL29" s="203">
        <f t="shared" si="36"/>
        <v>214</v>
      </c>
      <c r="AM29" s="203">
        <f t="shared" si="15"/>
        <v>2140</v>
      </c>
      <c r="AN29" s="35">
        <f t="shared" si="16"/>
        <v>0.76428571428571423</v>
      </c>
      <c r="AO29" s="36">
        <f t="shared" si="17"/>
        <v>14980</v>
      </c>
      <c r="AQ29" s="223">
        <f t="shared" si="37"/>
        <v>0.68809536201410781</v>
      </c>
      <c r="AR29" s="38">
        <f t="shared" si="42"/>
        <v>63972.225806451606</v>
      </c>
      <c r="AS29" s="197">
        <f t="shared" si="38"/>
        <v>-2996.7741935483937</v>
      </c>
      <c r="AT29" s="355"/>
      <c r="AU29" s="436"/>
      <c r="AV29" s="518">
        <f t="shared" si="43"/>
        <v>0.97299999999999998</v>
      </c>
      <c r="AW29" s="290">
        <f>-SUM('B5'!AI28)</f>
        <v>-458</v>
      </c>
      <c r="AX29" s="290">
        <f>-SUM(AW29-AS29)</f>
        <v>-2538.7741935483937</v>
      </c>
      <c r="AY29" s="37">
        <f t="shared" si="40"/>
        <v>-2996.7741935483937</v>
      </c>
      <c r="AZ29" s="100">
        <f>ELEC!A26</f>
        <v>0</v>
      </c>
      <c r="BA29" s="118">
        <f>'General information '!D29</f>
        <v>13.5</v>
      </c>
      <c r="BB29" s="394">
        <f>SUM('General information '!E29)</f>
        <v>0.59</v>
      </c>
      <c r="BC29" s="3">
        <f t="shared" si="44"/>
        <v>0</v>
      </c>
      <c r="BD29" s="102">
        <v>19222</v>
      </c>
      <c r="BE29" s="14">
        <f>(305/1185)*ELEC!Q27</f>
        <v>2153.0168776375431</v>
      </c>
      <c r="BF29" s="14"/>
      <c r="BG29" s="14" t="e">
        <f>#REF!-BE29</f>
        <v>#REF!</v>
      </c>
      <c r="BH29" s="11"/>
    </row>
    <row r="30" spans="1:61">
      <c r="A30" s="444">
        <f>ELEC!C27</f>
        <v>44280</v>
      </c>
      <c r="B30">
        <f>'B5'!B29</f>
        <v>197</v>
      </c>
      <c r="C30" s="203">
        <f t="shared" si="18"/>
        <v>4238.677419354839</v>
      </c>
      <c r="D30">
        <f t="shared" ref="D30:D33" si="45">SUM(B30)</f>
        <v>197</v>
      </c>
      <c r="E30" s="203">
        <f t="shared" si="18"/>
        <v>4238.677419354839</v>
      </c>
      <c r="F30">
        <f t="shared" ref="F30:F33" si="46">SUM(D30)</f>
        <v>197</v>
      </c>
      <c r="G30" s="203">
        <f t="shared" si="1"/>
        <v>4238.677419354839</v>
      </c>
      <c r="H30" s="203">
        <f t="shared" ref="H30:H33" si="47">SUM(F30)</f>
        <v>197</v>
      </c>
      <c r="I30" s="203">
        <f t="shared" si="2"/>
        <v>4238.677419354839</v>
      </c>
      <c r="J30" s="203">
        <f t="shared" ref="J30:J33" si="48">SUM(H30)</f>
        <v>197</v>
      </c>
      <c r="K30" s="203">
        <f t="shared" si="3"/>
        <v>4238.677419354839</v>
      </c>
      <c r="L30" s="203">
        <f t="shared" ref="L30:L33" si="49">SUM(J30)</f>
        <v>197</v>
      </c>
      <c r="M30" s="203">
        <f t="shared" si="4"/>
        <v>4238.677419354839</v>
      </c>
      <c r="N30" s="203">
        <f t="shared" ref="N30:N33" si="50">SUM(L30)</f>
        <v>197</v>
      </c>
      <c r="O30" s="203">
        <f t="shared" si="5"/>
        <v>4238.677419354839</v>
      </c>
      <c r="P30" s="203">
        <f t="shared" ref="P30:P33" si="51">SUM(N30)</f>
        <v>197</v>
      </c>
      <c r="Q30" s="203">
        <f t="shared" si="6"/>
        <v>4238.677419354839</v>
      </c>
      <c r="R30" s="203">
        <f t="shared" ref="R30:R33" si="52">SUM(P30)</f>
        <v>197</v>
      </c>
      <c r="S30" s="203">
        <f t="shared" si="7"/>
        <v>4238.677419354839</v>
      </c>
      <c r="T30" s="203">
        <f t="shared" ref="T30:T33" si="53">SUM(R30)</f>
        <v>197</v>
      </c>
      <c r="U30" s="203">
        <f t="shared" si="8"/>
        <v>4238.677419354839</v>
      </c>
      <c r="V30" s="203">
        <f t="shared" ref="V30:V33" si="54">SUM(T30)</f>
        <v>197</v>
      </c>
      <c r="W30" s="203">
        <f t="shared" si="9"/>
        <v>4238.677419354839</v>
      </c>
      <c r="X30" s="35">
        <f t="shared" ref="X30:X33" si="55">SUM(Y30/73370)</f>
        <v>0.63548387096774217</v>
      </c>
      <c r="Y30" s="36">
        <f t="shared" ref="Y30:Y33" si="56">SUM(C30+E30+G30+I30+K30+M30+O30+Q30+S30+U30+W30)</f>
        <v>46625.451612903242</v>
      </c>
      <c r="Z30" s="203">
        <f>'B5'!C29</f>
        <v>204</v>
      </c>
      <c r="AA30" s="203">
        <f t="shared" si="30"/>
        <v>2040</v>
      </c>
      <c r="AB30" s="203">
        <f t="shared" ref="AB30:AB33" si="57">SUM(Z30)</f>
        <v>204</v>
      </c>
      <c r="AC30" s="203">
        <f t="shared" si="30"/>
        <v>2040</v>
      </c>
      <c r="AD30" s="203">
        <f t="shared" ref="AD30:AD33" si="58">SUM(AB30)</f>
        <v>204</v>
      </c>
      <c r="AE30" s="203">
        <f t="shared" si="11"/>
        <v>2040</v>
      </c>
      <c r="AF30" s="203">
        <f t="shared" ref="AF30:AF33" si="59">SUM(AD30)</f>
        <v>204</v>
      </c>
      <c r="AG30" s="203">
        <f t="shared" si="12"/>
        <v>2040</v>
      </c>
      <c r="AH30" s="203">
        <f t="shared" ref="AH30:AH33" si="60">SUM(AF30)</f>
        <v>204</v>
      </c>
      <c r="AI30" s="203">
        <f t="shared" si="13"/>
        <v>2040</v>
      </c>
      <c r="AJ30" s="203">
        <f t="shared" ref="AJ30:AJ33" si="61">SUM(AH30)</f>
        <v>204</v>
      </c>
      <c r="AK30" s="203">
        <f t="shared" si="14"/>
        <v>2040</v>
      </c>
      <c r="AL30" s="203">
        <f t="shared" ref="AL30:AL33" si="62">SUM(AJ30)</f>
        <v>204</v>
      </c>
      <c r="AM30" s="203">
        <f t="shared" si="15"/>
        <v>2040</v>
      </c>
      <c r="AN30" s="35">
        <f t="shared" ref="AN30:AN33" si="63">SUM(AO30/19600)</f>
        <v>0.72857142857142854</v>
      </c>
      <c r="AO30" s="36">
        <f t="shared" ref="AO30:AO33" si="64">SUM(AA30+AC30+AE30+AG30+AI30+AK30+AM30)</f>
        <v>14280</v>
      </c>
      <c r="AQ30" s="223">
        <f t="shared" si="37"/>
        <v>0.65510865454343592</v>
      </c>
      <c r="AR30" s="38">
        <f t="shared" si="42"/>
        <v>60905.451612903242</v>
      </c>
      <c r="AS30" s="197">
        <f t="shared" si="38"/>
        <v>-3066.7741935483646</v>
      </c>
      <c r="AT30" s="355"/>
      <c r="AU30" s="436"/>
      <c r="AV30" s="518">
        <f t="shared" si="43"/>
        <v>0.97299999999999998</v>
      </c>
      <c r="AW30" s="290">
        <f>-SUM('B5'!AI29)</f>
        <v>-448</v>
      </c>
      <c r="AX30" s="290">
        <f>-SUM(AW30-AS30)</f>
        <v>-2618.7741935483646</v>
      </c>
      <c r="AY30" s="37">
        <f t="shared" si="40"/>
        <v>-3066.7741935483646</v>
      </c>
      <c r="AZ30" s="100">
        <f>ELEC!A27</f>
        <v>0</v>
      </c>
      <c r="BA30" s="118">
        <f>'General information '!D30</f>
        <v>13.5</v>
      </c>
      <c r="BB30" s="394">
        <f>SUM('General information '!E30)</f>
        <v>0.78</v>
      </c>
      <c r="BC30" s="3">
        <f t="shared" si="44"/>
        <v>0</v>
      </c>
      <c r="BD30" s="102">
        <v>19222</v>
      </c>
      <c r="BE30" s="14">
        <f>(305/1185)*ELEC!Q28</f>
        <v>2194.1983122366614</v>
      </c>
      <c r="BF30" s="14"/>
      <c r="BG30" s="14" t="e">
        <f>#REF!-BE30</f>
        <v>#REF!</v>
      </c>
      <c r="BH30" s="11"/>
    </row>
    <row r="31" spans="1:61">
      <c r="A31" s="444">
        <f>ELEC!C28</f>
        <v>44281</v>
      </c>
      <c r="B31">
        <f>'B5'!B30</f>
        <v>187.5</v>
      </c>
      <c r="C31" s="203">
        <f t="shared" si="18"/>
        <v>4034.2741935483868</v>
      </c>
      <c r="D31">
        <f t="shared" si="45"/>
        <v>187.5</v>
      </c>
      <c r="E31" s="203">
        <f t="shared" si="18"/>
        <v>4034.2741935483868</v>
      </c>
      <c r="F31">
        <f t="shared" si="46"/>
        <v>187.5</v>
      </c>
      <c r="G31" s="203">
        <f t="shared" si="1"/>
        <v>4034.2741935483868</v>
      </c>
      <c r="H31" s="203">
        <f t="shared" si="47"/>
        <v>187.5</v>
      </c>
      <c r="I31" s="203">
        <f t="shared" si="2"/>
        <v>4034.2741935483868</v>
      </c>
      <c r="J31" s="203">
        <f t="shared" si="48"/>
        <v>187.5</v>
      </c>
      <c r="K31" s="203">
        <f t="shared" si="3"/>
        <v>4034.2741935483868</v>
      </c>
      <c r="L31" s="203">
        <f t="shared" si="49"/>
        <v>187.5</v>
      </c>
      <c r="M31" s="203">
        <f t="shared" si="4"/>
        <v>4034.2741935483868</v>
      </c>
      <c r="N31" s="203">
        <f t="shared" si="50"/>
        <v>187.5</v>
      </c>
      <c r="O31" s="203">
        <f t="shared" si="5"/>
        <v>4034.2741935483868</v>
      </c>
      <c r="P31" s="203">
        <f t="shared" si="51"/>
        <v>187.5</v>
      </c>
      <c r="Q31" s="203">
        <f t="shared" si="6"/>
        <v>4034.2741935483868</v>
      </c>
      <c r="R31" s="203">
        <f t="shared" si="52"/>
        <v>187.5</v>
      </c>
      <c r="S31" s="203">
        <f t="shared" si="7"/>
        <v>4034.2741935483868</v>
      </c>
      <c r="T31" s="203">
        <f t="shared" si="53"/>
        <v>187.5</v>
      </c>
      <c r="U31" s="203">
        <f t="shared" si="8"/>
        <v>4034.2741935483868</v>
      </c>
      <c r="V31" s="203">
        <f t="shared" si="54"/>
        <v>187.5</v>
      </c>
      <c r="W31" s="203">
        <f t="shared" si="9"/>
        <v>4034.2741935483868</v>
      </c>
      <c r="X31" s="35">
        <f t="shared" si="55"/>
        <v>0.60483870967741937</v>
      </c>
      <c r="Y31" s="36">
        <f t="shared" si="56"/>
        <v>44377.016129032258</v>
      </c>
      <c r="Z31" s="203">
        <f>'B5'!C30</f>
        <v>193.5</v>
      </c>
      <c r="AA31" s="203">
        <f t="shared" si="30"/>
        <v>1935</v>
      </c>
      <c r="AB31" s="203">
        <f t="shared" si="57"/>
        <v>193.5</v>
      </c>
      <c r="AC31" s="203">
        <f t="shared" si="30"/>
        <v>1935</v>
      </c>
      <c r="AD31" s="203">
        <f t="shared" si="58"/>
        <v>193.5</v>
      </c>
      <c r="AE31" s="203">
        <f t="shared" si="11"/>
        <v>1935</v>
      </c>
      <c r="AF31" s="203">
        <f t="shared" si="59"/>
        <v>193.5</v>
      </c>
      <c r="AG31" s="203">
        <f t="shared" si="12"/>
        <v>1935</v>
      </c>
      <c r="AH31" s="203">
        <f t="shared" si="60"/>
        <v>193.5</v>
      </c>
      <c r="AI31" s="203">
        <f t="shared" si="13"/>
        <v>1935</v>
      </c>
      <c r="AJ31" s="203">
        <f t="shared" si="61"/>
        <v>193.5</v>
      </c>
      <c r="AK31" s="203">
        <f t="shared" si="14"/>
        <v>1935</v>
      </c>
      <c r="AL31" s="203">
        <f t="shared" si="62"/>
        <v>193.5</v>
      </c>
      <c r="AM31" s="203">
        <f t="shared" si="15"/>
        <v>1935</v>
      </c>
      <c r="AN31" s="35">
        <f t="shared" si="63"/>
        <v>0.69107142857142856</v>
      </c>
      <c r="AO31" s="36">
        <f t="shared" si="64"/>
        <v>13545</v>
      </c>
      <c r="AQ31" s="223">
        <f t="shared" si="37"/>
        <v>0.62301835139326944</v>
      </c>
      <c r="AR31" s="38">
        <f t="shared" si="42"/>
        <v>57922.016129032258</v>
      </c>
      <c r="AS31" s="197">
        <f>SUM(AR31-AR30-AT31)</f>
        <v>-2983.4354838709842</v>
      </c>
      <c r="AT31" s="355"/>
      <c r="AU31" s="436"/>
      <c r="AV31" s="518">
        <f t="shared" si="43"/>
        <v>0.97299999999999998</v>
      </c>
      <c r="AW31" s="290">
        <f>-SUM('B5'!AI30)</f>
        <v>-425</v>
      </c>
      <c r="AX31" s="290">
        <f t="shared" si="39"/>
        <v>-2558.4354838709842</v>
      </c>
      <c r="AY31" s="37">
        <f t="shared" si="40"/>
        <v>-2983.4354838709842</v>
      </c>
      <c r="AZ31" s="100">
        <f>ELEC!A28</f>
        <v>0</v>
      </c>
      <c r="BA31" s="118">
        <f>'General information '!D31</f>
        <v>13</v>
      </c>
      <c r="BB31" s="394">
        <f>SUM('General information '!E31)</f>
        <v>0.5</v>
      </c>
      <c r="BC31" s="3">
        <f t="shared" si="44"/>
        <v>0</v>
      </c>
      <c r="BD31" s="102">
        <v>19222</v>
      </c>
      <c r="BE31" s="14">
        <f>(305/1185)*ELEC!Q29</f>
        <v>1138.1518987338327</v>
      </c>
      <c r="BF31" s="14"/>
      <c r="BG31" s="14" t="e">
        <f>#REF!-BE31</f>
        <v>#REF!</v>
      </c>
      <c r="BH31" s="11"/>
    </row>
    <row r="32" spans="1:61">
      <c r="A32" s="444">
        <f>ELEC!C29</f>
        <v>44282</v>
      </c>
      <c r="B32">
        <f>'B5'!B31</f>
        <v>177</v>
      </c>
      <c r="C32" s="203">
        <f t="shared" si="18"/>
        <v>3808.3548387096776</v>
      </c>
      <c r="D32">
        <f t="shared" si="45"/>
        <v>177</v>
      </c>
      <c r="E32" s="203">
        <f t="shared" si="18"/>
        <v>3808.3548387096776</v>
      </c>
      <c r="F32">
        <f t="shared" si="46"/>
        <v>177</v>
      </c>
      <c r="G32" s="203">
        <f t="shared" si="1"/>
        <v>3808.3548387096776</v>
      </c>
      <c r="H32" s="203">
        <f t="shared" si="47"/>
        <v>177</v>
      </c>
      <c r="I32" s="203">
        <f t="shared" si="2"/>
        <v>3808.3548387096776</v>
      </c>
      <c r="J32" s="203">
        <f t="shared" si="48"/>
        <v>177</v>
      </c>
      <c r="K32" s="203">
        <f t="shared" si="3"/>
        <v>3808.3548387096776</v>
      </c>
      <c r="L32" s="203">
        <f t="shared" si="49"/>
        <v>177</v>
      </c>
      <c r="M32" s="203">
        <f t="shared" si="4"/>
        <v>3808.3548387096776</v>
      </c>
      <c r="N32" s="203">
        <f t="shared" si="50"/>
        <v>177</v>
      </c>
      <c r="O32" s="203">
        <f t="shared" si="5"/>
        <v>3808.3548387096776</v>
      </c>
      <c r="P32" s="203">
        <f t="shared" si="51"/>
        <v>177</v>
      </c>
      <c r="Q32" s="203">
        <f t="shared" si="6"/>
        <v>3808.3548387096776</v>
      </c>
      <c r="R32" s="203">
        <f t="shared" si="52"/>
        <v>177</v>
      </c>
      <c r="S32" s="203">
        <f t="shared" si="7"/>
        <v>3808.3548387096776</v>
      </c>
      <c r="T32" s="203">
        <f t="shared" si="53"/>
        <v>177</v>
      </c>
      <c r="U32" s="203">
        <f t="shared" si="8"/>
        <v>3808.3548387096776</v>
      </c>
      <c r="V32" s="203">
        <f t="shared" si="54"/>
        <v>177</v>
      </c>
      <c r="W32" s="203">
        <f t="shared" si="9"/>
        <v>3808.3548387096776</v>
      </c>
      <c r="X32" s="35">
        <f t="shared" si="55"/>
        <v>0.57096774193548383</v>
      </c>
      <c r="Y32" s="36">
        <f t="shared" si="56"/>
        <v>41891.903225806447</v>
      </c>
      <c r="Z32" s="203">
        <f>'B5'!C31</f>
        <v>179</v>
      </c>
      <c r="AA32" s="203">
        <f t="shared" si="30"/>
        <v>1790</v>
      </c>
      <c r="AB32" s="203">
        <f t="shared" si="57"/>
        <v>179</v>
      </c>
      <c r="AC32" s="203">
        <f t="shared" si="30"/>
        <v>1790</v>
      </c>
      <c r="AD32" s="203">
        <f t="shared" si="58"/>
        <v>179</v>
      </c>
      <c r="AE32" s="203">
        <f t="shared" si="11"/>
        <v>1790</v>
      </c>
      <c r="AF32" s="203">
        <f t="shared" si="59"/>
        <v>179</v>
      </c>
      <c r="AG32" s="203">
        <f t="shared" si="12"/>
        <v>1790</v>
      </c>
      <c r="AH32" s="203">
        <f t="shared" si="60"/>
        <v>179</v>
      </c>
      <c r="AI32" s="203">
        <f t="shared" si="13"/>
        <v>1790</v>
      </c>
      <c r="AJ32" s="203">
        <f t="shared" si="61"/>
        <v>179</v>
      </c>
      <c r="AK32" s="203">
        <f t="shared" si="14"/>
        <v>1790</v>
      </c>
      <c r="AL32" s="203">
        <f t="shared" si="62"/>
        <v>179</v>
      </c>
      <c r="AM32" s="203">
        <f t="shared" si="15"/>
        <v>1790</v>
      </c>
      <c r="AN32" s="35">
        <f t="shared" si="63"/>
        <v>0.63928571428571423</v>
      </c>
      <c r="AO32" s="36">
        <f t="shared" si="64"/>
        <v>12530</v>
      </c>
      <c r="AQ32" s="223">
        <f t="shared" si="37"/>
        <v>0.58537058433695222</v>
      </c>
      <c r="AR32" s="38">
        <f t="shared" si="42"/>
        <v>54421.903225806447</v>
      </c>
      <c r="AS32" s="197">
        <f t="shared" si="38"/>
        <v>-3500.1129032258104</v>
      </c>
      <c r="AT32" s="355"/>
      <c r="AU32" s="436"/>
      <c r="AV32" s="518">
        <f>IF(AT32&gt;0,AU32,AV31)</f>
        <v>0.97299999999999998</v>
      </c>
      <c r="AW32" s="290">
        <f>-SUM('B5'!AI31)</f>
        <v>-483</v>
      </c>
      <c r="AX32" s="290">
        <f t="shared" si="39"/>
        <v>-3017.1129032258104</v>
      </c>
      <c r="AY32" s="37">
        <f t="shared" si="40"/>
        <v>-3500.1129032258104</v>
      </c>
      <c r="AZ32" s="100">
        <f>ELEC!A29</f>
        <v>0</v>
      </c>
      <c r="BA32" s="118">
        <f>'General information '!D32</f>
        <v>14</v>
      </c>
      <c r="BB32" s="394">
        <f>SUM('General information '!E32)</f>
        <v>0.41</v>
      </c>
      <c r="BC32" s="3">
        <f t="shared" si="44"/>
        <v>0</v>
      </c>
      <c r="BD32" s="102">
        <v>19222</v>
      </c>
      <c r="BE32" s="14">
        <f>(305/1185)*ELEC!Q30</f>
        <v>1715.2067510550248</v>
      </c>
      <c r="BF32" s="14"/>
      <c r="BG32" s="14" t="e">
        <f>#REF!-BE32</f>
        <v>#REF!</v>
      </c>
      <c r="BH32" s="11"/>
    </row>
    <row r="33" spans="1:60">
      <c r="A33" s="444">
        <f>ELEC!C30</f>
        <v>44283</v>
      </c>
      <c r="B33">
        <f>'B5'!B32</f>
        <v>169</v>
      </c>
      <c r="C33" s="203">
        <f t="shared" si="18"/>
        <v>3636.2258064516127</v>
      </c>
      <c r="D33">
        <f t="shared" si="45"/>
        <v>169</v>
      </c>
      <c r="E33" s="203">
        <f t="shared" si="18"/>
        <v>3636.2258064516127</v>
      </c>
      <c r="F33">
        <f t="shared" si="46"/>
        <v>169</v>
      </c>
      <c r="G33" s="203">
        <f t="shared" si="1"/>
        <v>3636.2258064516127</v>
      </c>
      <c r="H33" s="203">
        <f t="shared" si="47"/>
        <v>169</v>
      </c>
      <c r="I33" s="203">
        <f t="shared" si="2"/>
        <v>3636.2258064516127</v>
      </c>
      <c r="J33" s="203">
        <f t="shared" si="48"/>
        <v>169</v>
      </c>
      <c r="K33" s="203">
        <f t="shared" si="3"/>
        <v>3636.2258064516127</v>
      </c>
      <c r="L33" s="203">
        <f t="shared" si="49"/>
        <v>169</v>
      </c>
      <c r="M33" s="203">
        <f t="shared" si="4"/>
        <v>3636.2258064516127</v>
      </c>
      <c r="N33" s="203">
        <f t="shared" si="50"/>
        <v>169</v>
      </c>
      <c r="O33" s="203">
        <f t="shared" si="5"/>
        <v>3636.2258064516127</v>
      </c>
      <c r="P33" s="203">
        <f t="shared" si="51"/>
        <v>169</v>
      </c>
      <c r="Q33" s="203">
        <f t="shared" si="6"/>
        <v>3636.2258064516127</v>
      </c>
      <c r="R33" s="203">
        <f t="shared" si="52"/>
        <v>169</v>
      </c>
      <c r="S33" s="203">
        <f t="shared" si="7"/>
        <v>3636.2258064516127</v>
      </c>
      <c r="T33" s="203">
        <f t="shared" si="53"/>
        <v>169</v>
      </c>
      <c r="U33" s="203">
        <f t="shared" si="8"/>
        <v>3636.2258064516127</v>
      </c>
      <c r="V33" s="203">
        <f t="shared" si="54"/>
        <v>169</v>
      </c>
      <c r="W33" s="203">
        <f t="shared" si="9"/>
        <v>3636.2258064516127</v>
      </c>
      <c r="X33" s="35">
        <f t="shared" si="55"/>
        <v>0.54516129032258065</v>
      </c>
      <c r="Y33" s="36">
        <f t="shared" si="56"/>
        <v>39998.483870967742</v>
      </c>
      <c r="Z33" s="203">
        <f>'B5'!C32</f>
        <v>176</v>
      </c>
      <c r="AA33" s="203">
        <f t="shared" si="30"/>
        <v>1760</v>
      </c>
      <c r="AB33" s="203">
        <f t="shared" si="57"/>
        <v>176</v>
      </c>
      <c r="AC33" s="203">
        <f t="shared" si="30"/>
        <v>1760</v>
      </c>
      <c r="AD33" s="203">
        <f t="shared" si="58"/>
        <v>176</v>
      </c>
      <c r="AE33" s="203">
        <f t="shared" si="11"/>
        <v>1760</v>
      </c>
      <c r="AF33" s="203">
        <f t="shared" si="59"/>
        <v>176</v>
      </c>
      <c r="AG33" s="203">
        <f t="shared" si="12"/>
        <v>1760</v>
      </c>
      <c r="AH33" s="203">
        <f t="shared" si="60"/>
        <v>176</v>
      </c>
      <c r="AI33" s="203">
        <f t="shared" si="13"/>
        <v>1760</v>
      </c>
      <c r="AJ33" s="203">
        <f t="shared" si="61"/>
        <v>176</v>
      </c>
      <c r="AK33" s="203">
        <f t="shared" si="14"/>
        <v>1760</v>
      </c>
      <c r="AL33" s="203">
        <f t="shared" si="62"/>
        <v>176</v>
      </c>
      <c r="AM33" s="203">
        <f t="shared" si="15"/>
        <v>1760</v>
      </c>
      <c r="AN33" s="35">
        <f t="shared" si="63"/>
        <v>0.62857142857142856</v>
      </c>
      <c r="AO33" s="36">
        <f t="shared" si="64"/>
        <v>12320</v>
      </c>
      <c r="AQ33" s="223">
        <f t="shared" si="37"/>
        <v>0.56274587362555384</v>
      </c>
      <c r="AR33" s="38">
        <f t="shared" si="42"/>
        <v>52318.483870967742</v>
      </c>
      <c r="AS33" s="197">
        <f t="shared" si="38"/>
        <v>-2103.4193548387047</v>
      </c>
      <c r="AT33" s="355"/>
      <c r="AU33" s="436"/>
      <c r="AV33" s="518">
        <f>IF(AT33&gt;0,AU33,AV32)</f>
        <v>0.97299999999999998</v>
      </c>
      <c r="AW33" s="290">
        <f>-SUM('B5'!AI32)</f>
        <v>-312</v>
      </c>
      <c r="AX33" s="290">
        <f t="shared" si="39"/>
        <v>-1791.4193548387047</v>
      </c>
      <c r="AY33" s="37">
        <f t="shared" si="40"/>
        <v>-2103.4193548387047</v>
      </c>
      <c r="AZ33" s="100">
        <f>ELEC!A30</f>
        <v>0</v>
      </c>
      <c r="BA33" s="118">
        <f>'General information '!D33</f>
        <v>15</v>
      </c>
      <c r="BB33" s="204">
        <f>SUM('General information '!E33)</f>
        <v>0.5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44">
        <f>ELEC!C31</f>
        <v>44284</v>
      </c>
      <c r="B34">
        <f>'B5'!B33</f>
        <v>193</v>
      </c>
      <c r="C34" s="203">
        <f t="shared" ref="C34:C36" si="65">B34*$B$4</f>
        <v>4152.6129032258068</v>
      </c>
      <c r="D34">
        <f t="shared" ref="D34:D36" si="66">SUM(B34)</f>
        <v>193</v>
      </c>
      <c r="E34" s="203">
        <f t="shared" ref="E34:E36" si="67">D34*$B$4</f>
        <v>4152.6129032258068</v>
      </c>
      <c r="F34">
        <f t="shared" ref="F34:F36" si="68">SUM(D34)</f>
        <v>193</v>
      </c>
      <c r="G34" s="203">
        <f t="shared" ref="G34:G36" si="69">F34*$B$4</f>
        <v>4152.6129032258068</v>
      </c>
      <c r="H34" s="203">
        <f t="shared" ref="H34:H36" si="70">SUM(F34)</f>
        <v>193</v>
      </c>
      <c r="I34" s="203">
        <f t="shared" ref="I34:I36" si="71">H34*$B$4</f>
        <v>4152.6129032258068</v>
      </c>
      <c r="J34" s="203">
        <f t="shared" ref="J34:J36" si="72">SUM(H34)</f>
        <v>193</v>
      </c>
      <c r="K34" s="203">
        <f t="shared" ref="K34:K36" si="73">J34*$B$4</f>
        <v>4152.6129032258068</v>
      </c>
      <c r="L34" s="203">
        <f t="shared" ref="L34:L36" si="74">SUM(J34)</f>
        <v>193</v>
      </c>
      <c r="M34" s="203">
        <f t="shared" ref="M34:M36" si="75">L34*$B$4</f>
        <v>4152.6129032258068</v>
      </c>
      <c r="N34" s="203">
        <f t="shared" ref="N34:N36" si="76">SUM(L34)</f>
        <v>193</v>
      </c>
      <c r="O34" s="203">
        <f t="shared" ref="O34:O36" si="77">N34*$B$4</f>
        <v>4152.6129032258068</v>
      </c>
      <c r="P34" s="203">
        <f t="shared" ref="P34:P36" si="78">SUM(N34)</f>
        <v>193</v>
      </c>
      <c r="Q34" s="203">
        <f t="shared" ref="Q34:Q36" si="79">P34*$B$4</f>
        <v>4152.6129032258068</v>
      </c>
      <c r="R34" s="203">
        <f t="shared" ref="R34:R36" si="80">SUM(P34)</f>
        <v>193</v>
      </c>
      <c r="S34" s="203">
        <f t="shared" ref="S34:S36" si="81">R34*$B$4</f>
        <v>4152.6129032258068</v>
      </c>
      <c r="T34" s="203">
        <f t="shared" ref="T34:T36" si="82">SUM(R34)</f>
        <v>193</v>
      </c>
      <c r="U34" s="203">
        <f t="shared" ref="U34:U36" si="83">T34*$B$4</f>
        <v>4152.6129032258068</v>
      </c>
      <c r="V34" s="203">
        <f t="shared" ref="V34:V36" si="84">SUM(T34)</f>
        <v>193</v>
      </c>
      <c r="W34" s="203">
        <f t="shared" ref="W34:W36" si="85">V34*$B$4</f>
        <v>4152.6129032258068</v>
      </c>
      <c r="X34" s="35">
        <f t="shared" ref="X34:X36" si="86">SUM(Y34/73370)</f>
        <v>0.62258064516129019</v>
      </c>
      <c r="Y34" s="36">
        <f t="shared" ref="Y34:Y36" si="87">SUM(C34+E34+G34+I34+K34+M34+O34+Q34+S34+U34+W34)</f>
        <v>45678.741935483864</v>
      </c>
      <c r="Z34" s="203">
        <f>'B5'!C33</f>
        <v>201</v>
      </c>
      <c r="AA34" s="203">
        <f t="shared" ref="AA34:AA36" si="88">SUM(Z34*$Z$4)</f>
        <v>2010</v>
      </c>
      <c r="AB34" s="203">
        <f t="shared" ref="AB34:AB36" si="89">SUM(Z34)</f>
        <v>201</v>
      </c>
      <c r="AC34" s="203">
        <f t="shared" ref="AC34:AC36" si="90">SUM(AB34*$Z$4)</f>
        <v>2010</v>
      </c>
      <c r="AD34" s="203">
        <f t="shared" ref="AD34:AD36" si="91">SUM(AB34)</f>
        <v>201</v>
      </c>
      <c r="AE34" s="203">
        <f t="shared" ref="AE34:AE36" si="92">SUM(AD34*$Z$4)</f>
        <v>2010</v>
      </c>
      <c r="AF34" s="203">
        <f t="shared" ref="AF34:AF36" si="93">SUM(AD34)</f>
        <v>201</v>
      </c>
      <c r="AG34" s="203">
        <f t="shared" ref="AG34:AG36" si="94">SUM(AF34*$Z$4)</f>
        <v>2010</v>
      </c>
      <c r="AH34" s="203">
        <f t="shared" ref="AH34:AH36" si="95">SUM(AF34)</f>
        <v>201</v>
      </c>
      <c r="AI34" s="203">
        <f t="shared" ref="AI34:AI36" si="96">SUM(AH34*$Z$4)</f>
        <v>2010</v>
      </c>
      <c r="AJ34" s="203">
        <f t="shared" ref="AJ34:AJ36" si="97">SUM(AH34)</f>
        <v>201</v>
      </c>
      <c r="AK34" s="203">
        <f t="shared" ref="AK34:AK36" si="98">SUM(AJ34*$Z$4)</f>
        <v>2010</v>
      </c>
      <c r="AL34" s="203">
        <f t="shared" ref="AL34:AL36" si="99">SUM(AJ34)</f>
        <v>201</v>
      </c>
      <c r="AM34" s="203">
        <f t="shared" ref="AM34:AM36" si="100">SUM(AL34*$Z$4)</f>
        <v>2010</v>
      </c>
      <c r="AN34" s="35">
        <f t="shared" ref="AN34:AN36" si="101">SUM(AO34/19600)</f>
        <v>0.71785714285714286</v>
      </c>
      <c r="AO34" s="36">
        <f t="shared" ref="AO34:AO36" si="102">SUM(AA34+AC34+AE34+AG34+AI34+AK34+AM34)</f>
        <v>14070</v>
      </c>
      <c r="AQ34" s="223">
        <f t="shared" ref="AQ34:AQ36" si="103">SUM(AR34/92970)</f>
        <v>0.6426669026081947</v>
      </c>
      <c r="AR34" s="38">
        <f t="shared" si="42"/>
        <v>59748.741935483864</v>
      </c>
      <c r="AS34" s="197">
        <f t="shared" ref="AS34:AS36" si="104">SUM(AR34-AR33-AT34)</f>
        <v>-1714.7419354838785</v>
      </c>
      <c r="AT34" s="355">
        <v>9145</v>
      </c>
      <c r="AU34" s="436">
        <v>0.99</v>
      </c>
      <c r="AV34" s="518">
        <f t="shared" ref="AV34:AV36" si="105">IF(AT34&gt;0,AU34,AV33)</f>
        <v>0.99</v>
      </c>
      <c r="AW34" s="290">
        <f>-SUM('B5'!AI33)</f>
        <v>-412</v>
      </c>
      <c r="AX34" s="290">
        <f t="shared" ref="AX34:AX36" si="106">-SUM(AW34-AS34)</f>
        <v>-1302.7419354838785</v>
      </c>
      <c r="AY34" s="37">
        <f t="shared" ref="AY34:AY36" si="107">SUM(AX34+AW34)</f>
        <v>-1714.7419354838785</v>
      </c>
      <c r="AZ34" s="100">
        <f>ELEC!A31</f>
        <v>0</v>
      </c>
      <c r="BA34" s="118">
        <f>'General information '!D34</f>
        <v>15.5</v>
      </c>
      <c r="BB34" s="394">
        <f>SUM('General information '!E34)</f>
        <v>0.55000000000000004</v>
      </c>
      <c r="BC34" s="3"/>
      <c r="BD34" s="102"/>
      <c r="BE34" s="14"/>
      <c r="BF34" s="14"/>
      <c r="BG34" s="14"/>
      <c r="BH34" s="11"/>
    </row>
    <row r="35" spans="1:60">
      <c r="A35" s="444">
        <f>ELEC!C32</f>
        <v>44285</v>
      </c>
      <c r="B35">
        <f>'B5'!B34</f>
        <v>229</v>
      </c>
      <c r="C35" s="203">
        <f t="shared" si="65"/>
        <v>4927.1935483870966</v>
      </c>
      <c r="D35">
        <f t="shared" si="66"/>
        <v>229</v>
      </c>
      <c r="E35" s="203">
        <f t="shared" si="67"/>
        <v>4927.1935483870966</v>
      </c>
      <c r="F35">
        <f t="shared" si="68"/>
        <v>229</v>
      </c>
      <c r="G35" s="203">
        <f t="shared" si="69"/>
        <v>4927.1935483870966</v>
      </c>
      <c r="H35" s="203">
        <f t="shared" si="70"/>
        <v>229</v>
      </c>
      <c r="I35" s="203">
        <f t="shared" si="71"/>
        <v>4927.1935483870966</v>
      </c>
      <c r="J35" s="203">
        <f t="shared" si="72"/>
        <v>229</v>
      </c>
      <c r="K35" s="203">
        <f t="shared" si="73"/>
        <v>4927.1935483870966</v>
      </c>
      <c r="L35" s="203">
        <f t="shared" si="74"/>
        <v>229</v>
      </c>
      <c r="M35" s="203">
        <f t="shared" si="75"/>
        <v>4927.1935483870966</v>
      </c>
      <c r="N35" s="203">
        <f t="shared" si="76"/>
        <v>229</v>
      </c>
      <c r="O35" s="203">
        <f t="shared" si="77"/>
        <v>4927.1935483870966</v>
      </c>
      <c r="P35" s="203">
        <f t="shared" si="78"/>
        <v>229</v>
      </c>
      <c r="Q35" s="203">
        <f t="shared" si="79"/>
        <v>4927.1935483870966</v>
      </c>
      <c r="R35" s="203">
        <f t="shared" si="80"/>
        <v>229</v>
      </c>
      <c r="S35" s="203">
        <f t="shared" si="81"/>
        <v>4927.1935483870966</v>
      </c>
      <c r="T35" s="203">
        <f t="shared" si="82"/>
        <v>229</v>
      </c>
      <c r="U35" s="203">
        <f t="shared" si="83"/>
        <v>4927.1935483870966</v>
      </c>
      <c r="V35" s="203">
        <f t="shared" si="84"/>
        <v>229</v>
      </c>
      <c r="W35" s="203">
        <f t="shared" si="85"/>
        <v>4927.1935483870966</v>
      </c>
      <c r="X35" s="35">
        <f t="shared" si="86"/>
        <v>0.738709677419355</v>
      </c>
      <c r="Y35" s="36">
        <f t="shared" si="87"/>
        <v>54199.129032258075</v>
      </c>
      <c r="Z35" s="203">
        <f>'B5'!C34</f>
        <v>235</v>
      </c>
      <c r="AA35" s="203">
        <f t="shared" si="88"/>
        <v>2350</v>
      </c>
      <c r="AB35" s="203">
        <f t="shared" si="89"/>
        <v>235</v>
      </c>
      <c r="AC35" s="203">
        <f t="shared" si="90"/>
        <v>2350</v>
      </c>
      <c r="AD35" s="203">
        <f t="shared" si="91"/>
        <v>235</v>
      </c>
      <c r="AE35" s="203">
        <f t="shared" si="92"/>
        <v>2350</v>
      </c>
      <c r="AF35" s="203">
        <f t="shared" si="93"/>
        <v>235</v>
      </c>
      <c r="AG35" s="203">
        <f t="shared" si="94"/>
        <v>2350</v>
      </c>
      <c r="AH35" s="203">
        <f t="shared" si="95"/>
        <v>235</v>
      </c>
      <c r="AI35" s="203">
        <f t="shared" si="96"/>
        <v>2350</v>
      </c>
      <c r="AJ35" s="203">
        <f t="shared" si="97"/>
        <v>235</v>
      </c>
      <c r="AK35" s="203">
        <f t="shared" si="98"/>
        <v>2350</v>
      </c>
      <c r="AL35" s="203">
        <f t="shared" si="99"/>
        <v>235</v>
      </c>
      <c r="AM35" s="203">
        <f t="shared" si="100"/>
        <v>2350</v>
      </c>
      <c r="AN35" s="35">
        <f t="shared" si="101"/>
        <v>0.8392857142857143</v>
      </c>
      <c r="AO35" s="36">
        <f t="shared" si="102"/>
        <v>16450</v>
      </c>
      <c r="AQ35" s="223">
        <f t="shared" si="103"/>
        <v>0.75991318739655889</v>
      </c>
      <c r="AR35" s="38">
        <f t="shared" si="42"/>
        <v>70649.129032258075</v>
      </c>
      <c r="AS35" s="197">
        <f t="shared" si="104"/>
        <v>-1011.6129032257886</v>
      </c>
      <c r="AT35" s="355">
        <v>11912</v>
      </c>
      <c r="AU35" s="478">
        <v>0.996</v>
      </c>
      <c r="AV35" s="619">
        <f t="shared" si="105"/>
        <v>0.996</v>
      </c>
      <c r="AW35" s="290">
        <f>-SUM('B5'!AI34)</f>
        <v>-363</v>
      </c>
      <c r="AX35" s="290">
        <f t="shared" si="106"/>
        <v>-648.61290322578861</v>
      </c>
      <c r="AY35" s="37">
        <f t="shared" si="107"/>
        <v>-1011.6129032257886</v>
      </c>
      <c r="AZ35" s="100">
        <f>ELEC!A32</f>
        <v>0</v>
      </c>
      <c r="BA35" s="118">
        <f>'General information '!D35</f>
        <v>16</v>
      </c>
      <c r="BB35" s="394">
        <f>SUM('General information '!E35)</f>
        <v>0.71</v>
      </c>
      <c r="BC35" s="3"/>
      <c r="BD35" s="102"/>
      <c r="BE35" s="14"/>
      <c r="BF35" s="14"/>
      <c r="BG35" s="14"/>
      <c r="BH35" s="11"/>
    </row>
    <row r="36" spans="1:60">
      <c r="A36" s="444">
        <f>ELEC!C33</f>
        <v>44286</v>
      </c>
      <c r="B36">
        <f>'B5'!B35</f>
        <v>216</v>
      </c>
      <c r="C36" s="203">
        <f t="shared" si="65"/>
        <v>4647.4838709677415</v>
      </c>
      <c r="D36">
        <f t="shared" si="66"/>
        <v>216</v>
      </c>
      <c r="E36" s="203">
        <f t="shared" si="67"/>
        <v>4647.4838709677415</v>
      </c>
      <c r="F36">
        <f t="shared" si="68"/>
        <v>216</v>
      </c>
      <c r="G36" s="203">
        <f t="shared" si="69"/>
        <v>4647.4838709677415</v>
      </c>
      <c r="H36" s="203">
        <f t="shared" si="70"/>
        <v>216</v>
      </c>
      <c r="I36" s="203">
        <f t="shared" si="71"/>
        <v>4647.4838709677415</v>
      </c>
      <c r="J36" s="203">
        <f t="shared" si="72"/>
        <v>216</v>
      </c>
      <c r="K36" s="203">
        <f t="shared" si="73"/>
        <v>4647.4838709677415</v>
      </c>
      <c r="L36" s="203">
        <f t="shared" si="74"/>
        <v>216</v>
      </c>
      <c r="M36" s="203">
        <f t="shared" si="75"/>
        <v>4647.4838709677415</v>
      </c>
      <c r="N36" s="203">
        <f t="shared" si="76"/>
        <v>216</v>
      </c>
      <c r="O36" s="203">
        <f t="shared" si="77"/>
        <v>4647.4838709677415</v>
      </c>
      <c r="P36" s="203">
        <f t="shared" si="78"/>
        <v>216</v>
      </c>
      <c r="Q36" s="203">
        <f t="shared" si="79"/>
        <v>4647.4838709677415</v>
      </c>
      <c r="R36" s="203">
        <f t="shared" si="80"/>
        <v>216</v>
      </c>
      <c r="S36" s="203">
        <f t="shared" si="81"/>
        <v>4647.4838709677415</v>
      </c>
      <c r="T36" s="203">
        <f t="shared" si="82"/>
        <v>216</v>
      </c>
      <c r="U36" s="203">
        <f t="shared" si="83"/>
        <v>4647.4838709677415</v>
      </c>
      <c r="V36" s="203">
        <f t="shared" si="84"/>
        <v>216</v>
      </c>
      <c r="W36" s="203">
        <f t="shared" si="85"/>
        <v>4647.4838709677415</v>
      </c>
      <c r="X36" s="35">
        <f t="shared" si="86"/>
        <v>0.6967741935483871</v>
      </c>
      <c r="Y36" s="36">
        <f t="shared" si="87"/>
        <v>51122.322580645159</v>
      </c>
      <c r="Z36" s="203">
        <f>'B5'!C35</f>
        <v>223</v>
      </c>
      <c r="AA36" s="203">
        <f t="shared" si="88"/>
        <v>2230</v>
      </c>
      <c r="AB36" s="203">
        <f t="shared" si="89"/>
        <v>223</v>
      </c>
      <c r="AC36" s="203">
        <f t="shared" si="90"/>
        <v>2230</v>
      </c>
      <c r="AD36" s="203">
        <f t="shared" si="91"/>
        <v>223</v>
      </c>
      <c r="AE36" s="203">
        <f t="shared" si="92"/>
        <v>2230</v>
      </c>
      <c r="AF36" s="203">
        <f t="shared" si="93"/>
        <v>223</v>
      </c>
      <c r="AG36" s="203">
        <f t="shared" si="94"/>
        <v>2230</v>
      </c>
      <c r="AH36" s="203">
        <f t="shared" si="95"/>
        <v>223</v>
      </c>
      <c r="AI36" s="203">
        <f t="shared" si="96"/>
        <v>2230</v>
      </c>
      <c r="AJ36" s="203">
        <f t="shared" si="97"/>
        <v>223</v>
      </c>
      <c r="AK36" s="203">
        <f t="shared" si="98"/>
        <v>2230</v>
      </c>
      <c r="AL36" s="203">
        <f t="shared" si="99"/>
        <v>223</v>
      </c>
      <c r="AM36" s="203">
        <f t="shared" si="100"/>
        <v>2230</v>
      </c>
      <c r="AN36" s="35">
        <f t="shared" si="101"/>
        <v>0.79642857142857137</v>
      </c>
      <c r="AO36" s="36">
        <f t="shared" si="102"/>
        <v>15610</v>
      </c>
      <c r="AQ36" s="223">
        <f t="shared" si="103"/>
        <v>0.71778339873771269</v>
      </c>
      <c r="AR36" s="38">
        <f t="shared" si="42"/>
        <v>66732.322580645152</v>
      </c>
      <c r="AS36" s="197">
        <f t="shared" si="104"/>
        <v>-3916.8064516129234</v>
      </c>
      <c r="AT36" s="355"/>
      <c r="AU36" s="436"/>
      <c r="AV36" s="518">
        <f t="shared" si="105"/>
        <v>0.996</v>
      </c>
      <c r="AW36" s="290">
        <f>-SUM('B5'!AI35)</f>
        <v>-385</v>
      </c>
      <c r="AX36" s="290">
        <f t="shared" si="106"/>
        <v>-3531.8064516129234</v>
      </c>
      <c r="AY36" s="37">
        <f t="shared" si="107"/>
        <v>-3916.8064516129234</v>
      </c>
      <c r="AZ36" s="100">
        <f>ELEC!A33</f>
        <v>0</v>
      </c>
      <c r="BA36" s="118">
        <f>'General information '!D36</f>
        <v>15.5</v>
      </c>
      <c r="BB36" s="394">
        <f>SUM('General information '!E36)</f>
        <v>0.65</v>
      </c>
      <c r="BC36" s="3">
        <f t="shared" ref="BC36" si="108">IF(AR33&gt;=AR36,0,1)</f>
        <v>1</v>
      </c>
      <c r="BD36" s="102">
        <v>19222</v>
      </c>
      <c r="BE36" s="14" t="e">
        <f>(305/1185)*ELEC!#REF!</f>
        <v>#REF!</v>
      </c>
      <c r="BF36" s="14"/>
      <c r="BG36" s="14" t="e">
        <f>#REF!-BE36</f>
        <v>#REF!</v>
      </c>
      <c r="BH36" s="11"/>
    </row>
    <row r="37" spans="1:60">
      <c r="AQ37" s="20"/>
      <c r="AR37" s="479" t="s">
        <v>225</v>
      </c>
      <c r="AS37" s="485">
        <f>COUNT(AT6:AT33)</f>
        <v>3</v>
      </c>
      <c r="AT37" s="203">
        <f>SUM(AT6:AT33)</f>
        <v>33576</v>
      </c>
      <c r="AU37">
        <f>SUM(AU6:AU33)/AS37</f>
        <v>0.8613333333333334</v>
      </c>
      <c r="AX37" s="203">
        <f>SUM(AX6:AX33)</f>
        <v>-39340.193548387091</v>
      </c>
      <c r="AY37" s="203">
        <f>SUM(AY6:AY33)</f>
        <v>-48603.193548387091</v>
      </c>
    </row>
    <row r="38" spans="1:60">
      <c r="AS38" s="206"/>
      <c r="AT38">
        <f>+AT37*AU37</f>
        <v>28920.128000000001</v>
      </c>
    </row>
    <row r="40" spans="1:60">
      <c r="AS40" s="165">
        <f>SUM(AS6:AS33)/'EDl log'!A35</f>
        <v>-1567.8449531737772</v>
      </c>
      <c r="AT40" s="203"/>
    </row>
    <row r="41" spans="1:60">
      <c r="AX41">
        <v>43309</v>
      </c>
    </row>
    <row r="42" spans="1:60">
      <c r="AR42" s="203"/>
      <c r="AX42">
        <f>AX37/AX41</f>
        <v>-0.90836069981729184</v>
      </c>
    </row>
  </sheetData>
  <mergeCells count="3">
    <mergeCell ref="AT3:AU3"/>
    <mergeCell ref="AS3:AS4"/>
    <mergeCell ref="AR3:AR4"/>
  </mergeCells>
  <conditionalFormatting sqref="AW6:AX36">
    <cfRule type="cellIs" dxfId="6" priority="5" stopIfTrue="1" operator="greaterThan">
      <formula>0</formula>
    </cfRule>
  </conditionalFormatting>
  <conditionalFormatting sqref="AT6:AU36">
    <cfRule type="cellIs" dxfId="5" priority="3" stopIfTrue="1" operator="greaterThan">
      <formula>0</formula>
    </cfRule>
  </conditionalFormatting>
  <conditionalFormatting sqref="AT10:AU10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675</v>
      </c>
      <c r="C2" s="3">
        <f>ELEC!N3</f>
        <v>8408</v>
      </c>
      <c r="D2" s="3">
        <f>C2-E2</f>
        <v>2243.9999999993306</v>
      </c>
      <c r="E2" s="3">
        <f>ELEC!Q3</f>
        <v>6164.0000000006694</v>
      </c>
      <c r="F2" s="3">
        <f>GEN!Z2</f>
        <v>13</v>
      </c>
      <c r="G2" s="3">
        <f>WATER!C5+WATER!H5</f>
        <v>0</v>
      </c>
      <c r="H2" s="3">
        <f>WATER!L5</f>
        <v>0</v>
      </c>
      <c r="I2" s="15">
        <f>WATER!BC5+WATER!BD5+WATER!BE6-Sheet1!G2</f>
        <v>-28.799999999999983</v>
      </c>
      <c r="J2" s="9">
        <f>'B5'!A4</f>
        <v>44255</v>
      </c>
    </row>
    <row r="3" spans="1:10">
      <c r="A3" s="3">
        <f>ELEC!T4+ELEC!X2+ELEC!AB4</f>
        <v>9</v>
      </c>
      <c r="B3" s="3">
        <f>ELEC!AF4</f>
        <v>859</v>
      </c>
      <c r="C3" s="3">
        <f>ELEC!N4</f>
        <v>9041</v>
      </c>
      <c r="D3" s="3">
        <f t="shared" ref="D3:D30" si="0">C3-E3</f>
        <v>1705.0000000006694</v>
      </c>
      <c r="E3" s="3">
        <f>ELEC!Q4</f>
        <v>7335.9999999993306</v>
      </c>
      <c r="F3" s="3">
        <f>GEN!Z3</f>
        <v>12</v>
      </c>
      <c r="G3" s="3">
        <f>WATER!C6+WATER!H6</f>
        <v>0</v>
      </c>
      <c r="H3" s="3">
        <f>WATER!L6</f>
        <v>0</v>
      </c>
      <c r="I3" s="15">
        <f>WATER!BC6+WATER!BD6+WATER!BE7-Sheet1!G3</f>
        <v>-45.500000000000057</v>
      </c>
      <c r="J3" s="9">
        <f>'B5'!A5</f>
        <v>44256</v>
      </c>
    </row>
    <row r="4" spans="1:10">
      <c r="A4" s="3">
        <f>ELEC!T5+ELEC!X5+ELEC!AB5</f>
        <v>5</v>
      </c>
      <c r="B4" s="3">
        <f>ELEC!AF5</f>
        <v>680</v>
      </c>
      <c r="C4" s="3">
        <f>ELEC!N5</f>
        <v>7715</v>
      </c>
      <c r="D4" s="3">
        <f t="shared" si="0"/>
        <v>2864.9999999978172</v>
      </c>
      <c r="E4" s="3">
        <f>ELEC!Q5</f>
        <v>4850.0000000021828</v>
      </c>
      <c r="F4" s="3">
        <f>GEN!Z4</f>
        <v>15</v>
      </c>
      <c r="G4" s="3">
        <f>WATER!C7+WATER!H7</f>
        <v>0</v>
      </c>
      <c r="H4" s="3">
        <f>WATER!L7</f>
        <v>0</v>
      </c>
      <c r="I4" s="15">
        <f>WATER!BC7+WATER!BD7+WATER!BE8-Sheet1!G4</f>
        <v>-50.30000000000004</v>
      </c>
      <c r="J4" s="9">
        <f>'B5'!A6</f>
        <v>44257</v>
      </c>
    </row>
    <row r="5" spans="1:10">
      <c r="A5" s="3">
        <f>ELEC!T6+ELEC!X6+ELEC!AB6</f>
        <v>3</v>
      </c>
      <c r="B5" s="3">
        <f>ELEC!AF6</f>
        <v>569</v>
      </c>
      <c r="C5" s="3">
        <f>ELEC!N6</f>
        <v>7405</v>
      </c>
      <c r="D5" s="3">
        <f t="shared" si="0"/>
        <v>3910.0000000010186</v>
      </c>
      <c r="E5" s="3">
        <f>ELEC!Q6</f>
        <v>3494.9999999989814</v>
      </c>
      <c r="F5" s="3">
        <f>GEN!Z5</f>
        <v>9</v>
      </c>
      <c r="G5" s="3">
        <f>WATER!C8+WATER!H8</f>
        <v>0</v>
      </c>
      <c r="H5" s="3">
        <f>WATER!L8</f>
        <v>0</v>
      </c>
      <c r="I5" s="15">
        <f>WATER!BC8+WATER!BD8+WATER!BE9-Sheet1!G5</f>
        <v>-32</v>
      </c>
      <c r="J5" s="9">
        <f>'B5'!A7</f>
        <v>44258</v>
      </c>
    </row>
    <row r="6" spans="1:10">
      <c r="A6" s="3">
        <f>ELEC!T7+ELEC!X7+ELEC!AB7</f>
        <v>5</v>
      </c>
      <c r="B6" s="3">
        <f>ELEC!AF7</f>
        <v>822</v>
      </c>
      <c r="C6" s="3">
        <f>ELEC!N7</f>
        <v>7744</v>
      </c>
      <c r="D6" s="3">
        <f t="shared" si="0"/>
        <v>269.00000000145519</v>
      </c>
      <c r="E6" s="3">
        <f>ELEC!Q24</f>
        <v>7474.9999999985448</v>
      </c>
      <c r="F6" s="3">
        <f>GEN!Z6</f>
        <v>6</v>
      </c>
      <c r="G6" s="3">
        <f>WATER!C9+WATER!H9</f>
        <v>0</v>
      </c>
      <c r="H6" s="3">
        <f>WATER!L9</f>
        <v>2</v>
      </c>
      <c r="I6" s="15">
        <f>WATER!BC9+WATER!BD9+WATER!BE10-Sheet1!G6</f>
        <v>-3.5999999999999943</v>
      </c>
      <c r="J6" s="9">
        <f>'B5'!A8</f>
        <v>44259</v>
      </c>
    </row>
    <row r="7" spans="1:10">
      <c r="A7" s="3">
        <f>ELEC!T8+ELEC!X8+ELEC!AB8</f>
        <v>4</v>
      </c>
      <c r="B7" s="3">
        <f>ELEC!AF8</f>
        <v>738</v>
      </c>
      <c r="C7" s="3">
        <f>ELEC!N8</f>
        <v>7618</v>
      </c>
      <c r="D7" s="3">
        <f t="shared" si="0"/>
        <v>2737.9999999989814</v>
      </c>
      <c r="E7" s="3">
        <f>ELEC!Q8</f>
        <v>4880.0000000010186</v>
      </c>
      <c r="F7" s="3">
        <f>GEN!Z7</f>
        <v>7</v>
      </c>
      <c r="G7" s="3">
        <f>WATER!C10+WATER!H10</f>
        <v>0</v>
      </c>
      <c r="H7" s="3">
        <f>WATER!L10</f>
        <v>0</v>
      </c>
      <c r="I7" s="15">
        <f>WATER!BC10+WATER!BD10+WATER!BE11-Sheet1!G7</f>
        <v>-9.4999999999999716</v>
      </c>
      <c r="J7" s="9">
        <f>'B5'!A9</f>
        <v>44260</v>
      </c>
    </row>
    <row r="8" spans="1:10">
      <c r="A8" s="3">
        <f>ELEC!T9+ELEC!X9+ELEC!AB9</f>
        <v>3</v>
      </c>
      <c r="B8" s="3">
        <f>ELEC!AF9</f>
        <v>381</v>
      </c>
      <c r="C8" s="3">
        <f>ELEC!N9</f>
        <v>6359</v>
      </c>
      <c r="D8" s="3">
        <f t="shared" si="0"/>
        <v>4300.000000002532</v>
      </c>
      <c r="E8" s="3">
        <f>ELEC!Q9</f>
        <v>2058.999999997468</v>
      </c>
      <c r="F8" s="3">
        <f>GEN!Z8</f>
        <v>9.2999999999992724</v>
      </c>
      <c r="G8" s="3">
        <f>WATER!C11+WATER!H11</f>
        <v>0</v>
      </c>
      <c r="H8" s="3">
        <f>WATER!L11</f>
        <v>2</v>
      </c>
      <c r="I8" s="15">
        <f>WATER!BC11+WATER!BD11+WATER!BE12-Sheet1!G8</f>
        <v>-17.099999999999966</v>
      </c>
      <c r="J8" s="9">
        <f>'B5'!A10</f>
        <v>44261</v>
      </c>
    </row>
    <row r="9" spans="1:10">
      <c r="A9" s="3">
        <f>ELEC!T10+ELEC!X10+ELEC!AB10</f>
        <v>3</v>
      </c>
      <c r="B9" s="3">
        <f>ELEC!AF10</f>
        <v>606</v>
      </c>
      <c r="C9" s="3">
        <f>ELEC!N10</f>
        <v>6832</v>
      </c>
      <c r="D9" s="3">
        <f t="shared" si="0"/>
        <v>4021.9999999986903</v>
      </c>
      <c r="E9" s="3">
        <f>ELEC!Q10</f>
        <v>2810.0000000013097</v>
      </c>
      <c r="F9" s="3">
        <f>GEN!Z9</f>
        <v>3.7000000000007276</v>
      </c>
      <c r="G9" s="3">
        <f>WATER!C12+WATER!H12</f>
        <v>0</v>
      </c>
      <c r="H9" s="3">
        <f>WATER!L12</f>
        <v>1</v>
      </c>
      <c r="I9" s="15">
        <f>WATER!BC12+WATER!BD12+WATER!BE13-Sheet1!G9</f>
        <v>-24.000000000000028</v>
      </c>
      <c r="J9" s="9">
        <f>'B5'!A11</f>
        <v>44262</v>
      </c>
    </row>
    <row r="10" spans="1:10">
      <c r="A10" s="3">
        <f>ELEC!T11+ELEC!X11+ELEC!AB11</f>
        <v>3</v>
      </c>
      <c r="B10" s="3">
        <f>ELEC!AF11</f>
        <v>489</v>
      </c>
      <c r="C10" s="3">
        <f>ELEC!N11</f>
        <v>6552</v>
      </c>
      <c r="D10" s="3">
        <f t="shared" si="0"/>
        <v>4434.0000000014261</v>
      </c>
      <c r="E10" s="3">
        <f>ELEC!Q11</f>
        <v>2117.9999999985739</v>
      </c>
      <c r="F10" s="3">
        <f>GEN!Z10</f>
        <v>5</v>
      </c>
      <c r="G10" s="3">
        <f>WATER!C13+WATER!H13</f>
        <v>0</v>
      </c>
      <c r="H10" s="3">
        <f>WATER!L13</f>
        <v>0</v>
      </c>
      <c r="I10" s="15">
        <f>WATER!BC13+WATER!BD13+WATER!BE14-Sheet1!G10</f>
        <v>-45.300000000000054</v>
      </c>
      <c r="J10" s="9">
        <f>'B5'!A12</f>
        <v>44263</v>
      </c>
    </row>
    <row r="11" spans="1:10">
      <c r="A11" s="3">
        <f>ELEC!T12+ELEC!X12+ELEC!AB12</f>
        <v>5</v>
      </c>
      <c r="B11" s="3">
        <f>ELEC!AF12</f>
        <v>801</v>
      </c>
      <c r="C11" s="3">
        <f>ELEC!N12</f>
        <v>6673</v>
      </c>
      <c r="D11" s="3">
        <f t="shared" si="0"/>
        <v>3693.9999999970023</v>
      </c>
      <c r="E11" s="3">
        <f>ELEC!Q12</f>
        <v>2979.0000000029977</v>
      </c>
      <c r="F11" s="3">
        <f>GEN!Z11</f>
        <v>3</v>
      </c>
      <c r="G11" s="3">
        <f>WATER!C14+WATER!H14</f>
        <v>0</v>
      </c>
      <c r="H11" s="3">
        <f>WATER!L14</f>
        <v>0</v>
      </c>
      <c r="I11" s="15">
        <f>WATER!BC14+WATER!BD14+WATER!BE15-Sheet1!G11</f>
        <v>147.90000000000003</v>
      </c>
      <c r="J11" s="9">
        <f>'B5'!A13</f>
        <v>44264</v>
      </c>
    </row>
    <row r="12" spans="1:10">
      <c r="A12" s="3">
        <f>ELEC!T13+ELEC!X13+ELEC!AB13</f>
        <v>3</v>
      </c>
      <c r="B12" s="3">
        <f>ELEC!AF13</f>
        <v>574</v>
      </c>
      <c r="C12" s="3">
        <f>ELEC!N13</f>
        <v>6832</v>
      </c>
      <c r="D12" s="3">
        <f t="shared" si="0"/>
        <v>4802.0000000011642</v>
      </c>
      <c r="E12" s="3">
        <f>ELEC!Q13</f>
        <v>2029.9999999988358</v>
      </c>
      <c r="F12" s="3">
        <f>GEN!Z12</f>
        <v>4</v>
      </c>
      <c r="G12" s="3">
        <f>WATER!C15+WATER!H15</f>
        <v>299</v>
      </c>
      <c r="H12" s="3">
        <f>WATER!L15</f>
        <v>0</v>
      </c>
      <c r="I12" s="15">
        <f>WATER!BC15+WATER!BD15+WATER!BE16-Sheet1!G12</f>
        <v>-257.09999999999997</v>
      </c>
      <c r="J12" s="9">
        <f>'B5'!A14</f>
        <v>44265</v>
      </c>
    </row>
    <row r="13" spans="1:10">
      <c r="A13" s="3">
        <f>ELEC!T14+ELEC!X14+ELEC!AB14</f>
        <v>2</v>
      </c>
      <c r="B13" s="3">
        <f>ELEC!AF14</f>
        <v>378</v>
      </c>
      <c r="C13" s="3">
        <f>ELEC!N14</f>
        <v>6743</v>
      </c>
      <c r="D13" s="3">
        <f t="shared" si="0"/>
        <v>4879.000000002241</v>
      </c>
      <c r="E13" s="3">
        <f>ELEC!Q14</f>
        <v>1863.999999997759</v>
      </c>
      <c r="F13" s="3">
        <f>GEN!Z13</f>
        <v>3</v>
      </c>
      <c r="G13" s="3">
        <f>WATER!C16+WATER!H16</f>
        <v>0</v>
      </c>
      <c r="H13" s="3">
        <f>WATER!L16</f>
        <v>2</v>
      </c>
      <c r="I13" s="15">
        <f>WATER!BC16+WATER!BD16+WATER!BE17-Sheet1!G13</f>
        <v>0.99999999999997158</v>
      </c>
      <c r="J13" s="9">
        <f>'B5'!A15</f>
        <v>44266</v>
      </c>
    </row>
    <row r="14" spans="1:10">
      <c r="A14" s="3">
        <f>ELEC!T15+ELEC!X15+ELEC!AB15</f>
        <v>2</v>
      </c>
      <c r="B14" s="3">
        <f>ELEC!AF15</f>
        <v>473</v>
      </c>
      <c r="C14" s="3">
        <f>ELEC!N15</f>
        <v>6400</v>
      </c>
      <c r="D14" s="3">
        <f t="shared" si="0"/>
        <v>4495.9999999977299</v>
      </c>
      <c r="E14" s="3">
        <f>ELEC!Q15</f>
        <v>1904.0000000022701</v>
      </c>
      <c r="F14" s="3">
        <f>GEN!Z14</f>
        <v>3</v>
      </c>
      <c r="G14" s="3">
        <f>WATER!C17+WATER!H17</f>
        <v>0</v>
      </c>
      <c r="H14" s="3">
        <f>WATER!L17</f>
        <v>0</v>
      </c>
      <c r="I14" s="15">
        <f>WATER!BC17+WATER!BD17+WATER!BE18-Sheet1!G14</f>
        <v>-7.3000000000000398</v>
      </c>
      <c r="J14" s="9">
        <f>'B5'!A16</f>
        <v>44267</v>
      </c>
    </row>
    <row r="15" spans="1:10">
      <c r="A15" s="3">
        <f>ELEC!T16+ELEC!X16+ELEC!AB16</f>
        <v>3</v>
      </c>
      <c r="B15" s="3">
        <f>ELEC!AF16</f>
        <v>567</v>
      </c>
      <c r="C15" s="3">
        <f>ELEC!N16</f>
        <v>6878</v>
      </c>
      <c r="D15" s="3">
        <f t="shared" si="0"/>
        <v>4098.0000000011642</v>
      </c>
      <c r="E15" s="3">
        <f>ELEC!Q16</f>
        <v>2779.9999999988358</v>
      </c>
      <c r="F15" s="3">
        <f>GEN!Z15</f>
        <v>4</v>
      </c>
      <c r="G15" s="3">
        <f>WATER!C18+WATER!H18</f>
        <v>0</v>
      </c>
      <c r="H15" s="3">
        <f>WATER!L18</f>
        <v>1</v>
      </c>
      <c r="I15" s="15">
        <f>WATER!BC18+WATER!BD18+WATER!BE19-Sheet1!G15</f>
        <v>-42.899999999999977</v>
      </c>
      <c r="J15" s="9">
        <f>'B5'!A17</f>
        <v>44268</v>
      </c>
    </row>
    <row r="16" spans="1:10">
      <c r="A16" s="3">
        <f>ELEC!T17+ELEC!X17+ELEC!AB17</f>
        <v>2</v>
      </c>
      <c r="B16" s="3">
        <f>ELEC!AF17</f>
        <v>294</v>
      </c>
      <c r="C16" s="3">
        <f>ELEC!N17</f>
        <v>6482</v>
      </c>
      <c r="D16" s="3">
        <f t="shared" si="0"/>
        <v>4689.9999999987194</v>
      </c>
      <c r="E16" s="3">
        <f>ELEC!Q17</f>
        <v>1792.0000000012806</v>
      </c>
      <c r="F16" s="3">
        <f>GEN!Z16</f>
        <v>4</v>
      </c>
      <c r="G16" s="3">
        <f>WATER!C19+WATER!H19</f>
        <v>0</v>
      </c>
      <c r="H16" s="3">
        <f>WATER!L19</f>
        <v>0</v>
      </c>
      <c r="I16" s="15">
        <f>WATER!BC19+WATER!BD19+WATER!BE20-Sheet1!G16</f>
        <v>-42.899999999999977</v>
      </c>
      <c r="J16" s="9">
        <f>'B5'!A18</f>
        <v>44269</v>
      </c>
    </row>
    <row r="17" spans="1:10">
      <c r="A17" s="3">
        <f>ELEC!T18+ELEC!X18+ELEC!AB18</f>
        <v>6</v>
      </c>
      <c r="B17" s="3">
        <f>ELEC!AF18</f>
        <v>982</v>
      </c>
      <c r="C17" s="3">
        <f>ELEC!N18</f>
        <v>8211</v>
      </c>
      <c r="D17" s="3">
        <f t="shared" si="0"/>
        <v>3104.0000000000291</v>
      </c>
      <c r="E17" s="3">
        <f>ELEC!Q18</f>
        <v>5106.9999999999709</v>
      </c>
      <c r="F17" s="3">
        <f>GEN!Z17</f>
        <v>3</v>
      </c>
      <c r="G17" s="3">
        <f>WATER!C20+WATER!H20</f>
        <v>0</v>
      </c>
      <c r="H17" s="3">
        <f>WATER!L20</f>
        <v>0</v>
      </c>
      <c r="I17" s="15">
        <f>WATER!BC20+WATER!BD20+WATER!BE21-Sheet1!G17</f>
        <v>-49.2</v>
      </c>
      <c r="J17" s="9">
        <f>'B5'!A19</f>
        <v>44270</v>
      </c>
    </row>
    <row r="18" spans="1:10">
      <c r="A18" s="3">
        <f>ELEC!T19+ELEC!X19+ELEC!AB19</f>
        <v>6</v>
      </c>
      <c r="B18" s="3">
        <f>ELEC!AF19</f>
        <v>900</v>
      </c>
      <c r="C18" s="3">
        <f>ELEC!N19</f>
        <v>8488</v>
      </c>
      <c r="D18" s="3">
        <f t="shared" si="0"/>
        <v>3586.0000000017753</v>
      </c>
      <c r="E18" s="3">
        <f>ELEC!Q19</f>
        <v>4901.9999999982247</v>
      </c>
      <c r="F18" s="3">
        <f>GEN!Z18</f>
        <v>9</v>
      </c>
      <c r="G18" s="3">
        <f>WATER!C21+WATER!H21</f>
        <v>0</v>
      </c>
      <c r="H18" s="3">
        <f>WATER!L21</f>
        <v>0</v>
      </c>
      <c r="I18" s="15">
        <f>WATER!BC21+WATER!BD21+WATER!BE22-Sheet1!G18</f>
        <v>-58.500000000000028</v>
      </c>
      <c r="J18" s="9">
        <f>'B5'!A20</f>
        <v>44271</v>
      </c>
    </row>
    <row r="19" spans="1:10">
      <c r="A19" s="3">
        <f>ELEC!T20+ELEC!X20+ELEC!AB20</f>
        <v>6</v>
      </c>
      <c r="B19" s="3">
        <f>ELEC!AF20</f>
        <v>922</v>
      </c>
      <c r="C19" s="3">
        <f>ELEC!N20</f>
        <v>8988</v>
      </c>
      <c r="D19" s="3">
        <f t="shared" si="0"/>
        <v>3145.999999999447</v>
      </c>
      <c r="E19" s="3">
        <f>ELEC!Q20</f>
        <v>5842.000000000553</v>
      </c>
      <c r="F19" s="3">
        <f>GEN!Z19</f>
        <v>8</v>
      </c>
      <c r="G19" s="3">
        <f>WATER!C22+WATER!H22</f>
        <v>0</v>
      </c>
      <c r="H19" s="3">
        <f>WATER!L22</f>
        <v>1</v>
      </c>
      <c r="I19" s="15">
        <f>WATER!BC22+WATER!BD22+WATER!BE23-Sheet1!G19</f>
        <v>4</v>
      </c>
      <c r="J19" s="9">
        <f>'B5'!A21</f>
        <v>44272</v>
      </c>
    </row>
    <row r="20" spans="1:10">
      <c r="A20" s="3">
        <f>ELEC!T21+ELEC!X21+ELEC!AB21</f>
        <v>3</v>
      </c>
      <c r="B20" s="3">
        <f>ELEC!AF21</f>
        <v>575</v>
      </c>
      <c r="C20" s="3">
        <f>ELEC!N21</f>
        <v>7145</v>
      </c>
      <c r="D20" s="3">
        <f t="shared" si="0"/>
        <v>3544.9999999978172</v>
      </c>
      <c r="E20" s="3">
        <f>ELEC!Q21</f>
        <v>3600.0000000021828</v>
      </c>
      <c r="F20" s="3">
        <f>GEN!Z20</f>
        <v>10</v>
      </c>
      <c r="G20" s="3">
        <f>WATER!C23+WATER!H23</f>
        <v>255</v>
      </c>
      <c r="H20" s="3">
        <f>WATER!L23</f>
        <v>0</v>
      </c>
      <c r="I20" s="15">
        <f>WATER!BC23+WATER!BD23+WATER!BE24-Sheet1!G20</f>
        <v>-350.79999999999995</v>
      </c>
      <c r="J20" s="9">
        <f>'B5'!A22</f>
        <v>44273</v>
      </c>
    </row>
    <row r="21" spans="1:10">
      <c r="A21" s="3">
        <f>ELEC!T22+ELEC!X22+ELEC!AB22</f>
        <v>3</v>
      </c>
      <c r="B21" s="3">
        <f>ELEC!AF22</f>
        <v>465</v>
      </c>
      <c r="C21" s="3">
        <f>ELEC!N22</f>
        <v>6356</v>
      </c>
      <c r="D21" s="3">
        <f t="shared" si="0"/>
        <v>3952.0000000013679</v>
      </c>
      <c r="E21" s="3">
        <f>ELEC!Q22</f>
        <v>2403.9999999986321</v>
      </c>
      <c r="F21" s="3">
        <f>GEN!Z21</f>
        <v>6</v>
      </c>
      <c r="G21" s="3">
        <f>WATER!C24+WATER!H24</f>
        <v>0</v>
      </c>
      <c r="H21" s="3">
        <f>WATER!L24</f>
        <v>-17</v>
      </c>
      <c r="I21" s="15">
        <f>WATER!BC24+WATER!BD24+WATER!BE25-Sheet1!G21</f>
        <v>145.80000000000001</v>
      </c>
      <c r="J21" s="9">
        <f>'B5'!A23</f>
        <v>44274</v>
      </c>
    </row>
    <row r="22" spans="1:10">
      <c r="A22" s="3">
        <f>ELEC!T23+ELEC!X23+ELEC!AB23</f>
        <v>4</v>
      </c>
      <c r="B22" s="3">
        <f>ELEC!AF23</f>
        <v>757</v>
      </c>
      <c r="C22" s="3">
        <f>ELEC!N23</f>
        <v>7217</v>
      </c>
      <c r="D22" s="3">
        <f t="shared" si="0"/>
        <v>3499.999999999447</v>
      </c>
      <c r="E22" s="3">
        <f>ELEC!Q23</f>
        <v>3717.000000000553</v>
      </c>
      <c r="F22" s="3">
        <f>GEN!Z22</f>
        <v>4</v>
      </c>
      <c r="G22" s="3">
        <f>WATER!C25+WATER!H25</f>
        <v>164</v>
      </c>
      <c r="H22" s="3">
        <f>WATER!L25</f>
        <v>18</v>
      </c>
      <c r="I22" s="15">
        <f>WATER!BC25+WATER!BD25+WATER!BE26-Sheet1!G22</f>
        <v>-219.90000000000003</v>
      </c>
      <c r="J22" s="9">
        <f>'B5'!A24</f>
        <v>44275</v>
      </c>
    </row>
    <row r="23" spans="1:10">
      <c r="A23" s="3">
        <f>ELEC!T24+ELEC!X24+ELEC!AB24</f>
        <v>8</v>
      </c>
      <c r="B23" s="3">
        <f>ELEC!AF24</f>
        <v>1611</v>
      </c>
      <c r="C23" s="3">
        <f>ELEC!N24</f>
        <v>9779</v>
      </c>
      <c r="D23" s="3">
        <f t="shared" si="0"/>
        <v>2304.0000000014552</v>
      </c>
      <c r="E23" s="3">
        <f>ELEC!Q24</f>
        <v>7474.9999999985448</v>
      </c>
      <c r="F23" s="3">
        <f>GEN!Z23</f>
        <v>7</v>
      </c>
      <c r="G23" s="3">
        <f>WATER!C26+WATER!H26</f>
        <v>0</v>
      </c>
      <c r="H23" s="3">
        <f>WATER!L26</f>
        <v>0</v>
      </c>
      <c r="I23" s="15">
        <f>WATER!BC26+WATER!BD26+WATER!BE27-Sheet1!G23</f>
        <v>118.5</v>
      </c>
      <c r="J23" s="9">
        <f>'B5'!A25</f>
        <v>44276</v>
      </c>
    </row>
    <row r="24" spans="1:10">
      <c r="A24" s="3">
        <f>ELEC!T25+ELEC!X25+ELEC!AB25</f>
        <v>9</v>
      </c>
      <c r="B24" s="3">
        <f>ELEC!AF25</f>
        <v>1685</v>
      </c>
      <c r="C24" s="3">
        <f>ELEC!N25</f>
        <v>10356</v>
      </c>
      <c r="D24" s="3">
        <f t="shared" si="0"/>
        <v>2097.9999999983702</v>
      </c>
      <c r="E24" s="3">
        <f>ELEC!Q25</f>
        <v>8258.0000000016298</v>
      </c>
      <c r="F24" s="3">
        <f>GEN!Z24</f>
        <v>12</v>
      </c>
      <c r="G24" s="3">
        <f>WATER!C27+WATER!H27</f>
        <v>372</v>
      </c>
      <c r="H24" s="3">
        <f>WATER!L27</f>
        <v>0</v>
      </c>
      <c r="I24" s="15">
        <f>WATER!BC27+WATER!BD27+WATER!BE28-Sheet1!G24</f>
        <v>-346.2</v>
      </c>
      <c r="J24" s="9">
        <f>'B5'!A26</f>
        <v>44277</v>
      </c>
    </row>
    <row r="25" spans="1:10">
      <c r="A25" s="3">
        <f>ELEC!T26+ELEC!X26+ELEC!AB26</f>
        <v>5</v>
      </c>
      <c r="B25" s="3">
        <f>ELEC!AF26</f>
        <v>882</v>
      </c>
      <c r="C25" s="3">
        <f>ELEC!N26</f>
        <v>8509</v>
      </c>
      <c r="D25" s="3">
        <f t="shared" si="0"/>
        <v>2111.0000000025902</v>
      </c>
      <c r="E25" s="3">
        <f>ELEC!Q26</f>
        <v>6397.9999999974098</v>
      </c>
      <c r="F25" s="3">
        <f>GEN!Z25</f>
        <v>14</v>
      </c>
      <c r="G25" s="3">
        <f>WATER!C28+WATER!H28</f>
        <v>0</v>
      </c>
      <c r="H25" s="3">
        <f>WATER!L28</f>
        <v>0</v>
      </c>
      <c r="I25" s="15">
        <f>WATER!BC28+WATER!BD28+WATER!BE29-Sheet1!G25</f>
        <v>72.599999999999937</v>
      </c>
      <c r="J25" s="9">
        <f>'B5'!A27</f>
        <v>44278</v>
      </c>
    </row>
    <row r="26" spans="1:10">
      <c r="A26" s="3">
        <f>ELEC!T27+ELEC!X27+ELEC!AB27</f>
        <v>9</v>
      </c>
      <c r="B26" s="3">
        <f>ELEC!AF27</f>
        <v>1258</v>
      </c>
      <c r="C26" s="3">
        <f>ELEC!N27</f>
        <v>10240</v>
      </c>
      <c r="D26" s="3">
        <f t="shared" si="0"/>
        <v>1874.9999999983993</v>
      </c>
      <c r="E26" s="3">
        <f>ELEC!Q27</f>
        <v>8365.0000000016007</v>
      </c>
      <c r="F26" s="3">
        <f>GEN!Z26</f>
        <v>13</v>
      </c>
      <c r="G26" s="3">
        <f>WATER!C29+WATER!H29</f>
        <v>290</v>
      </c>
      <c r="H26" s="3">
        <f>WATER!L29</f>
        <v>1</v>
      </c>
      <c r="I26" s="15">
        <f>WATER!BC29+WATER!BD29+WATER!BE30-Sheet1!G26</f>
        <v>-179.10000000000002</v>
      </c>
      <c r="J26" s="9">
        <f>'B5'!A28</f>
        <v>44279</v>
      </c>
    </row>
    <row r="27" spans="1:10">
      <c r="A27" s="3">
        <f>ELEC!T28+ELEC!X28+ELEC!AB28</f>
        <v>10</v>
      </c>
      <c r="B27" s="3">
        <f>ELEC!AF28</f>
        <v>1233</v>
      </c>
      <c r="C27" s="3">
        <f>ELEC!N28</f>
        <v>9202</v>
      </c>
      <c r="D27" s="3">
        <f t="shared" si="0"/>
        <v>676.99999999854481</v>
      </c>
      <c r="E27" s="3">
        <f>ELEC!Q28</f>
        <v>8525.0000000014552</v>
      </c>
      <c r="F27" s="3">
        <f>GEN!Z27</f>
        <v>15</v>
      </c>
      <c r="G27" s="3">
        <f>WATER!C30+WATER!H30</f>
        <v>0</v>
      </c>
      <c r="H27" s="3">
        <f>WATER!L30</f>
        <v>1</v>
      </c>
      <c r="I27" s="15">
        <f>WATER!BC30+WATER!BD30+WATER!BE31-Sheet1!G27</f>
        <v>75.300000000000011</v>
      </c>
      <c r="J27" s="9">
        <f>'B5'!A29</f>
        <v>44280</v>
      </c>
    </row>
    <row r="28" spans="1:10">
      <c r="A28" s="3">
        <f>ELEC!T29+ELEC!X29+ELEC!AB29</f>
        <v>7</v>
      </c>
      <c r="B28" s="3">
        <f>ELEC!AF29</f>
        <v>945</v>
      </c>
      <c r="C28" s="3">
        <f>ELEC!N29</f>
        <v>8809</v>
      </c>
      <c r="D28" s="3">
        <f t="shared" si="0"/>
        <v>4387.0000000013388</v>
      </c>
      <c r="E28" s="3">
        <f>ELEC!Q29</f>
        <v>4421.9999999986612</v>
      </c>
      <c r="F28" s="3">
        <f>GEN!Z28</f>
        <v>16</v>
      </c>
      <c r="G28" s="3">
        <f>WATER!C31+WATER!H31</f>
        <v>249</v>
      </c>
      <c r="H28" s="3">
        <f>WATER!L31</f>
        <v>0</v>
      </c>
      <c r="I28" s="15">
        <f>WATER!BC31+WATER!BD31+WATER!BE32-Sheet1!G28</f>
        <v>-255.6</v>
      </c>
      <c r="J28" s="9">
        <f>'B5'!A30</f>
        <v>44281</v>
      </c>
    </row>
    <row r="29" spans="1:10">
      <c r="A29" s="3">
        <f>ELEC!T30+ELEC!X30+ELEC!AB30</f>
        <v>3</v>
      </c>
      <c r="B29" s="3">
        <f>ELEC!AF30</f>
        <v>528</v>
      </c>
      <c r="C29" s="3">
        <f>ELEC!N30</f>
        <v>7510</v>
      </c>
      <c r="D29" s="3">
        <f t="shared" si="0"/>
        <v>845.99999999933061</v>
      </c>
      <c r="E29" s="3">
        <f>ELEC!Q30</f>
        <v>6664.0000000006694</v>
      </c>
      <c r="F29" s="3">
        <f>GEN!Z29</f>
        <v>12</v>
      </c>
      <c r="G29" s="3">
        <f>WATER!C32+WATER!H32</f>
        <v>0</v>
      </c>
      <c r="H29" s="3">
        <f>WATER!L32</f>
        <v>0</v>
      </c>
      <c r="I29" s="15">
        <f>WATER!BC32+WATER!BD32+WATER!BE33-Sheet1!G29</f>
        <v>160.10000000000008</v>
      </c>
      <c r="J29" s="9">
        <f>'B5'!A31</f>
        <v>44282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12</v>
      </c>
      <c r="G30" s="3">
        <f>WATER!C33+WATER!H33</f>
        <v>282</v>
      </c>
      <c r="H30" s="3">
        <f>WATER!L33</f>
        <v>0</v>
      </c>
      <c r="I30" s="15" t="e">
        <f>WATER!BC33+WATER!BD33+WATER!#REF!-Sheet1!G30</f>
        <v>#REF!</v>
      </c>
      <c r="J30" s="9">
        <f>'B5'!A32</f>
        <v>44283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53"/>
      <c r="B1" s="650" t="s">
        <v>119</v>
      </c>
      <c r="C1" s="650" t="s">
        <v>118</v>
      </c>
      <c r="D1" s="655" t="s">
        <v>113</v>
      </c>
      <c r="E1" s="655" t="s">
        <v>114</v>
      </c>
      <c r="F1" s="656" t="s">
        <v>120</v>
      </c>
      <c r="G1" s="657" t="s">
        <v>75</v>
      </c>
      <c r="H1" s="658" t="s">
        <v>115</v>
      </c>
      <c r="I1" s="659" t="s">
        <v>116</v>
      </c>
      <c r="J1" s="658" t="s">
        <v>117</v>
      </c>
      <c r="K1" s="652" t="s">
        <v>121</v>
      </c>
      <c r="L1" s="652" t="s">
        <v>122</v>
      </c>
      <c r="M1" s="652" t="s">
        <v>123</v>
      </c>
      <c r="N1" s="652" t="s">
        <v>124</v>
      </c>
    </row>
    <row r="2" spans="1:14">
      <c r="A2" s="654"/>
      <c r="B2" s="651"/>
      <c r="C2" s="651"/>
      <c r="D2" s="655"/>
      <c r="E2" s="655"/>
      <c r="F2" s="656"/>
      <c r="G2" s="657"/>
      <c r="H2" s="658"/>
      <c r="I2" s="660"/>
      <c r="J2" s="658"/>
      <c r="K2" s="652"/>
      <c r="L2" s="652"/>
      <c r="M2" s="652"/>
      <c r="N2" s="652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2">
        <v>810</v>
      </c>
      <c r="C4" s="262">
        <v>-606.10000000000582</v>
      </c>
      <c r="D4" s="262">
        <v>1420.5021097047013</v>
      </c>
      <c r="E4" s="262">
        <v>1624.4021097046955</v>
      </c>
      <c r="F4" s="262">
        <v>106</v>
      </c>
      <c r="G4" s="262">
        <v>-58.399999999999977</v>
      </c>
      <c r="H4" s="262">
        <v>6284</v>
      </c>
      <c r="I4" s="262">
        <v>2398.9999999994325</v>
      </c>
      <c r="J4" s="262">
        <v>23932.000000000568</v>
      </c>
      <c r="K4" s="262">
        <v>0</v>
      </c>
      <c r="L4" s="262">
        <v>0</v>
      </c>
      <c r="M4" s="262">
        <v>0</v>
      </c>
      <c r="N4" s="262">
        <v>0</v>
      </c>
    </row>
    <row r="5" spans="1:14">
      <c r="A5" s="63">
        <f>'B5'!A5</f>
        <v>44256</v>
      </c>
      <c r="B5" s="76">
        <f>'B5'!V5</f>
        <v>244</v>
      </c>
      <c r="C5" s="76">
        <f>'B5'!AH5</f>
        <v>176.20000000001164</v>
      </c>
      <c r="D5" s="76">
        <f>GEN!AI3</f>
        <v>1586.5147679326619</v>
      </c>
      <c r="E5" s="242">
        <f t="shared" ref="E5:E33" si="0">B5+C5+D5</f>
        <v>2006.7147679326736</v>
      </c>
      <c r="F5" s="75">
        <f>WATER!L5</f>
        <v>0</v>
      </c>
      <c r="G5" s="78">
        <f>WATER!BG5</f>
        <v>-11.599999999999994</v>
      </c>
      <c r="H5" s="79">
        <f>ELEC!AF3</f>
        <v>675</v>
      </c>
      <c r="I5" s="79">
        <f>ELEC!Q3</f>
        <v>6164.0000000006694</v>
      </c>
      <c r="J5" s="79">
        <f>ELEC!R3</f>
        <v>2243.9999999993306</v>
      </c>
      <c r="K5" s="80"/>
      <c r="L5" s="3"/>
      <c r="M5" s="3"/>
      <c r="N5" s="3"/>
    </row>
    <row r="6" spans="1:14">
      <c r="A6" s="63">
        <f>'B5'!A6</f>
        <v>44257</v>
      </c>
      <c r="B6" s="76">
        <f>'B5'!V6</f>
        <v>241</v>
      </c>
      <c r="C6" s="76">
        <f>'B5'!AH6</f>
        <v>110</v>
      </c>
      <c r="D6" s="76">
        <f>GEN!AI4</f>
        <v>1888.1687763711359</v>
      </c>
      <c r="E6" s="242">
        <f t="shared" si="0"/>
        <v>2239.1687763711361</v>
      </c>
      <c r="F6" s="75">
        <f>WATER!L6</f>
        <v>0</v>
      </c>
      <c r="G6" s="78">
        <f>WATER!BG6</f>
        <v>-20.799999999999983</v>
      </c>
      <c r="H6" s="79">
        <f>ELEC!AF4</f>
        <v>859</v>
      </c>
      <c r="I6" s="79">
        <f>ELEC!Q4</f>
        <v>7335.9999999993306</v>
      </c>
      <c r="J6" s="79">
        <f>ELEC!R4</f>
        <v>1705.0000000006694</v>
      </c>
      <c r="K6" s="3"/>
      <c r="L6" s="3"/>
      <c r="M6" s="3"/>
      <c r="N6" s="3"/>
    </row>
    <row r="7" spans="1:14">
      <c r="A7" s="63">
        <f>'B5'!A7</f>
        <v>44258</v>
      </c>
      <c r="B7" s="76">
        <f>'B5'!V7</f>
        <v>216</v>
      </c>
      <c r="C7" s="76">
        <f>'B5'!AH7</f>
        <v>0</v>
      </c>
      <c r="D7" s="76">
        <f>GEN!AI5</f>
        <v>1248.3122362874817</v>
      </c>
      <c r="E7" s="242">
        <f t="shared" si="0"/>
        <v>1464.3122362874817</v>
      </c>
      <c r="F7" s="75">
        <f>WATER!L7</f>
        <v>0</v>
      </c>
      <c r="G7" s="78">
        <f>WATER!BG7</f>
        <v>-23.800000000000068</v>
      </c>
      <c r="H7" s="79">
        <f>ELEC!AF5</f>
        <v>680</v>
      </c>
      <c r="I7" s="79">
        <f>ELEC!Q5</f>
        <v>4850.0000000021828</v>
      </c>
      <c r="J7" s="79">
        <f>ELEC!R5</f>
        <v>2864.9999999978172</v>
      </c>
      <c r="K7" s="3"/>
      <c r="L7" s="3"/>
      <c r="M7" s="3"/>
      <c r="N7" s="3"/>
    </row>
    <row r="8" spans="1:14">
      <c r="A8" s="63">
        <f>'B5'!A8</f>
        <v>44259</v>
      </c>
      <c r="B8" s="76">
        <f>'B5'!V8</f>
        <v>274</v>
      </c>
      <c r="C8" s="76">
        <f>'B5'!AH8</f>
        <v>38</v>
      </c>
      <c r="D8" s="76">
        <f>GEN!AI6</f>
        <v>899.5569620250543</v>
      </c>
      <c r="E8" s="242">
        <f t="shared" si="0"/>
        <v>1211.5569620250544</v>
      </c>
      <c r="F8" s="75">
        <f>WATER!L8</f>
        <v>0</v>
      </c>
      <c r="G8" s="78">
        <f>WATER!BG8</f>
        <v>-32.799999999999983</v>
      </c>
      <c r="H8" s="79">
        <f>ELEC!AF6</f>
        <v>569</v>
      </c>
      <c r="I8" s="79">
        <f>ELEC!Q6</f>
        <v>3494.9999999989814</v>
      </c>
      <c r="J8" s="79">
        <f>ELEC!R6</f>
        <v>3910.0000000010186</v>
      </c>
      <c r="K8" s="3"/>
      <c r="L8" s="3"/>
      <c r="M8" s="3"/>
      <c r="N8" s="3"/>
    </row>
    <row r="9" spans="1:14">
      <c r="A9" s="63">
        <f>'B5'!A9</f>
        <v>44260</v>
      </c>
      <c r="B9" s="76">
        <f>'B5'!V9</f>
        <v>238</v>
      </c>
      <c r="C9" s="76">
        <f>'B5'!AH9</f>
        <v>0</v>
      </c>
      <c r="D9" s="76">
        <f>GEN!AI7</f>
        <v>1180.8776371307345</v>
      </c>
      <c r="E9" s="242">
        <f t="shared" si="0"/>
        <v>1418.8776371307345</v>
      </c>
      <c r="F9" s="75">
        <f>WATER!L9</f>
        <v>2</v>
      </c>
      <c r="G9" s="78">
        <f>WATER!BG9</f>
        <v>0.79999999999998295</v>
      </c>
      <c r="H9" s="79">
        <f>ELEC!AF7</f>
        <v>822</v>
      </c>
      <c r="I9" s="79">
        <f>ELEC!Q7</f>
        <v>4587.9999999997381</v>
      </c>
      <c r="J9" s="79">
        <f>ELEC!R7</f>
        <v>3156.0000000002619</v>
      </c>
      <c r="K9" s="3"/>
      <c r="L9" s="3"/>
      <c r="M9" s="3"/>
      <c r="N9" s="3"/>
    </row>
    <row r="10" spans="1:14">
      <c r="A10" s="63">
        <f>'B5'!A10</f>
        <v>44261</v>
      </c>
      <c r="B10" s="76">
        <f>'B5'!V10</f>
        <v>228</v>
      </c>
      <c r="C10" s="76">
        <f>'B5'!AH10</f>
        <v>0</v>
      </c>
      <c r="D10" s="76">
        <f>GEN!AI8</f>
        <v>1256.0337552745239</v>
      </c>
      <c r="E10" s="242">
        <f t="shared" si="0"/>
        <v>1484.0337552745239</v>
      </c>
      <c r="F10" s="75">
        <f>WATER!L10</f>
        <v>0</v>
      </c>
      <c r="G10" s="78">
        <f>WATER!BG10</f>
        <v>-4.3999999999999773</v>
      </c>
      <c r="H10" s="79">
        <f>ELEC!AF8</f>
        <v>738</v>
      </c>
      <c r="I10" s="79">
        <f>ELEC!Q8</f>
        <v>4880.0000000010186</v>
      </c>
      <c r="J10" s="79">
        <f>ELEC!R8</f>
        <v>2737.9999999989814</v>
      </c>
      <c r="K10" s="3"/>
      <c r="L10" s="3"/>
      <c r="M10" s="3"/>
      <c r="N10" s="3"/>
    </row>
    <row r="11" spans="1:14">
      <c r="A11" s="63">
        <f>'B5'!A11</f>
        <v>44262</v>
      </c>
      <c r="B11" s="76">
        <f>'B5'!V11</f>
        <v>230</v>
      </c>
      <c r="C11" s="76">
        <f>'B5'!AH11</f>
        <v>0</v>
      </c>
      <c r="D11" s="76">
        <f>GEN!AI9</f>
        <v>529.95358649723869</v>
      </c>
      <c r="E11" s="242">
        <f t="shared" si="0"/>
        <v>759.95358649723869</v>
      </c>
      <c r="F11" s="75">
        <f>WATER!L11</f>
        <v>2</v>
      </c>
      <c r="G11" s="78">
        <f>WATER!BG11</f>
        <v>-5.0999999999999943</v>
      </c>
      <c r="H11" s="79">
        <f>ELEC!AF9</f>
        <v>381</v>
      </c>
      <c r="I11" s="79">
        <f>ELEC!Q9</f>
        <v>2058.999999997468</v>
      </c>
      <c r="J11" s="79">
        <f>ELEC!R9</f>
        <v>4300.000000002532</v>
      </c>
      <c r="K11" s="3"/>
      <c r="L11" s="3"/>
      <c r="M11" s="3"/>
      <c r="N11" s="3"/>
    </row>
    <row r="12" spans="1:14">
      <c r="A12" s="63">
        <f>'B5'!A12</f>
        <v>44263</v>
      </c>
      <c r="B12" s="76">
        <f>'B5'!V12</f>
        <v>290</v>
      </c>
      <c r="C12" s="76">
        <f>'B5'!AH12</f>
        <v>0</v>
      </c>
      <c r="D12" s="76">
        <f>GEN!AI10</f>
        <v>723.24894514801645</v>
      </c>
      <c r="E12" s="242">
        <f t="shared" si="0"/>
        <v>1013.2489451480164</v>
      </c>
      <c r="F12" s="75">
        <f>WATER!L12</f>
        <v>1</v>
      </c>
      <c r="G12" s="78">
        <f>WATER!BG12</f>
        <v>-11.999999999999972</v>
      </c>
      <c r="H12" s="79">
        <f>ELEC!AF10</f>
        <v>606</v>
      </c>
      <c r="I12" s="79">
        <f>ELEC!Q10</f>
        <v>2810.0000000013097</v>
      </c>
      <c r="J12" s="79">
        <f>ELEC!R10</f>
        <v>4021.9999999986903</v>
      </c>
      <c r="K12" s="3"/>
      <c r="L12" s="3"/>
      <c r="M12" s="3"/>
      <c r="N12" s="3"/>
    </row>
    <row r="13" spans="1:14">
      <c r="A13" s="63">
        <f>'B5'!A13</f>
        <v>44264</v>
      </c>
      <c r="B13" s="76">
        <f>'B5'!V13</f>
        <v>220</v>
      </c>
      <c r="C13" s="76">
        <f>'B5'!AH13</f>
        <v>0</v>
      </c>
      <c r="D13" s="76">
        <f>GEN!AI11</f>
        <v>545.13924050596211</v>
      </c>
      <c r="E13" s="242">
        <f t="shared" si="0"/>
        <v>765.13924050596211</v>
      </c>
      <c r="F13" s="75">
        <f>WATER!L13</f>
        <v>0</v>
      </c>
      <c r="G13" s="78">
        <f>WATER!BG13</f>
        <v>-12.000000000000057</v>
      </c>
      <c r="H13" s="79">
        <f>ELEC!AF11</f>
        <v>489</v>
      </c>
      <c r="I13" s="79">
        <f>ELEC!Q11</f>
        <v>2117.9999999985739</v>
      </c>
      <c r="J13" s="79">
        <f>ELEC!R11</f>
        <v>4434.0000000014261</v>
      </c>
      <c r="K13" s="3"/>
      <c r="L13" s="3"/>
      <c r="M13" s="3"/>
      <c r="N13" s="3"/>
    </row>
    <row r="14" spans="1:14">
      <c r="A14" s="63">
        <f>'B5'!A14</f>
        <v>44265</v>
      </c>
      <c r="B14" s="76">
        <f>'B5'!V14</f>
        <v>211</v>
      </c>
      <c r="C14" s="76">
        <f>'B5'!AH14</f>
        <v>65</v>
      </c>
      <c r="D14" s="76">
        <f>GEN!AI12</f>
        <v>766.74683544380957</v>
      </c>
      <c r="E14" s="242">
        <f t="shared" si="0"/>
        <v>1042.7468354438097</v>
      </c>
      <c r="F14" s="75">
        <f>WATER!L14</f>
        <v>0</v>
      </c>
      <c r="G14" s="78">
        <f>WATER!BG14</f>
        <v>-33.299999999999997</v>
      </c>
      <c r="H14" s="79">
        <f>ELEC!AF12</f>
        <v>801</v>
      </c>
      <c r="I14" s="79">
        <f>ELEC!Q12</f>
        <v>2979.0000000029977</v>
      </c>
      <c r="J14" s="79">
        <f>ELEC!R12</f>
        <v>3693.9999999970023</v>
      </c>
      <c r="K14" s="3"/>
      <c r="L14" s="3"/>
      <c r="M14" s="3"/>
      <c r="N14" s="3"/>
    </row>
    <row r="15" spans="1:14">
      <c r="A15" s="63">
        <f>'B5'!A15</f>
        <v>44266</v>
      </c>
      <c r="B15" s="76">
        <f>'B5'!V15</f>
        <v>242</v>
      </c>
      <c r="C15" s="76">
        <f>'B5'!AH15</f>
        <v>0</v>
      </c>
      <c r="D15" s="76">
        <f>GEN!AI13</f>
        <v>522.48945147649363</v>
      </c>
      <c r="E15" s="242">
        <f t="shared" si="0"/>
        <v>764.48945147649363</v>
      </c>
      <c r="F15" s="75">
        <f>WATER!L15</f>
        <v>0</v>
      </c>
      <c r="G15" s="78">
        <f>WATER!BG15</f>
        <v>143.40000000000003</v>
      </c>
      <c r="H15" s="79">
        <f>ELEC!AF13</f>
        <v>574</v>
      </c>
      <c r="I15" s="79">
        <f>ELEC!Q13</f>
        <v>2029.9999999988358</v>
      </c>
      <c r="J15" s="79">
        <f>ELEC!R13</f>
        <v>4802.0000000011642</v>
      </c>
      <c r="K15" s="3"/>
      <c r="L15" s="3"/>
      <c r="M15" s="3"/>
      <c r="N15" s="3"/>
    </row>
    <row r="16" spans="1:14">
      <c r="A16" s="63">
        <f>'B5'!A16</f>
        <v>44267</v>
      </c>
      <c r="B16" s="76">
        <f>'B5'!V16</f>
        <v>257</v>
      </c>
      <c r="C16" s="76">
        <f>'B5'!AH16</f>
        <v>0</v>
      </c>
      <c r="D16" s="76">
        <f>GEN!AI14</f>
        <v>479.76371307959204</v>
      </c>
      <c r="E16" s="242">
        <f t="shared" si="0"/>
        <v>736.76371307959198</v>
      </c>
      <c r="F16" s="75">
        <f>WATER!L16</f>
        <v>2</v>
      </c>
      <c r="G16" s="78">
        <f>WATER!BG16</f>
        <v>-15.999999999999986</v>
      </c>
      <c r="H16" s="79">
        <f>ELEC!AF14</f>
        <v>378</v>
      </c>
      <c r="I16" s="79">
        <f>ELEC!Q14</f>
        <v>1863.999999997759</v>
      </c>
      <c r="J16" s="79">
        <f>ELEC!R14</f>
        <v>4879.000000002241</v>
      </c>
      <c r="K16" s="3"/>
      <c r="L16" s="3"/>
      <c r="M16" s="3"/>
      <c r="N16" s="3"/>
    </row>
    <row r="17" spans="1:14">
      <c r="A17" s="63">
        <f>'B5'!A17</f>
        <v>44268</v>
      </c>
      <c r="B17" s="76">
        <f>'B5'!V17</f>
        <v>233</v>
      </c>
      <c r="C17" s="76">
        <f>'B5'!AH17</f>
        <v>0</v>
      </c>
      <c r="D17" s="76">
        <f>GEN!AI15</f>
        <v>490.05907173054214</v>
      </c>
      <c r="E17" s="242">
        <f t="shared" si="0"/>
        <v>723.0590717305422</v>
      </c>
      <c r="F17" s="75">
        <f>WATER!L17</f>
        <v>0</v>
      </c>
      <c r="G17" s="78">
        <f>WATER!BG17</f>
        <v>-7.3000000000000398</v>
      </c>
      <c r="H17" s="79">
        <f>ELEC!AF15</f>
        <v>473</v>
      </c>
      <c r="I17" s="79">
        <f>ELEC!Q15</f>
        <v>1904.0000000022701</v>
      </c>
      <c r="J17" s="79">
        <f>ELEC!R15</f>
        <v>4495.9999999977299</v>
      </c>
      <c r="K17" s="3"/>
      <c r="L17" s="3"/>
      <c r="M17" s="3"/>
      <c r="N17" s="3"/>
    </row>
    <row r="18" spans="1:14">
      <c r="A18" s="63">
        <f>'B5'!A18</f>
        <v>44269</v>
      </c>
      <c r="B18" s="76">
        <f>'B5'!V18</f>
        <v>235</v>
      </c>
      <c r="C18" s="76">
        <f>'B5'!AH18</f>
        <v>0</v>
      </c>
      <c r="D18" s="76">
        <f>GEN!AI16</f>
        <v>715.52742616003798</v>
      </c>
      <c r="E18" s="242">
        <f t="shared" si="0"/>
        <v>950.52742616003798</v>
      </c>
      <c r="F18" s="75">
        <f>WATER!L18</f>
        <v>1</v>
      </c>
      <c r="G18" s="78">
        <f>WATER!BG18</f>
        <v>0</v>
      </c>
      <c r="H18" s="79">
        <f>ELEC!AF16</f>
        <v>567</v>
      </c>
      <c r="I18" s="79">
        <f>ELEC!Q16</f>
        <v>2779.9999999988358</v>
      </c>
      <c r="J18" s="79">
        <f>ELEC!R16</f>
        <v>4098.0000000011642</v>
      </c>
      <c r="K18" s="3"/>
      <c r="L18" s="3"/>
      <c r="M18" s="3"/>
      <c r="N18" s="3"/>
    </row>
    <row r="19" spans="1:14">
      <c r="A19" s="63">
        <f>'B5'!A19</f>
        <v>44270</v>
      </c>
      <c r="B19" s="76">
        <f>'B5'!V19</f>
        <v>228</v>
      </c>
      <c r="C19" s="76">
        <f>'B5'!AH19</f>
        <v>0</v>
      </c>
      <c r="D19" s="76">
        <f>GEN!AI17</f>
        <v>461.23206751087815</v>
      </c>
      <c r="E19" s="242">
        <f t="shared" si="0"/>
        <v>689.2320675108781</v>
      </c>
      <c r="F19" s="75">
        <f>WATER!L19</f>
        <v>0</v>
      </c>
      <c r="G19" s="78">
        <f>WATER!BG19</f>
        <v>-42.899999999999977</v>
      </c>
      <c r="H19" s="79">
        <f>ELEC!AF17</f>
        <v>294</v>
      </c>
      <c r="I19" s="79">
        <f>ELEC!Q17</f>
        <v>1792.0000000012806</v>
      </c>
      <c r="J19" s="79">
        <f>ELEC!R17</f>
        <v>4689.9999999987194</v>
      </c>
      <c r="K19" s="3"/>
      <c r="L19" s="3"/>
      <c r="M19" s="3"/>
      <c r="N19" s="3"/>
    </row>
    <row r="20" spans="1:14">
      <c r="A20" s="63">
        <f>'B5'!A20</f>
        <v>44271</v>
      </c>
      <c r="B20" s="76">
        <f>'B5'!V20</f>
        <v>442</v>
      </c>
      <c r="C20" s="76">
        <f>'B5'!AH20</f>
        <v>0</v>
      </c>
      <c r="D20" s="76">
        <f>GEN!AI18</f>
        <v>1314.459915611807</v>
      </c>
      <c r="E20" s="242">
        <f t="shared" si="0"/>
        <v>1756.459915611807</v>
      </c>
      <c r="F20" s="75">
        <f>WATER!L20</f>
        <v>0</v>
      </c>
      <c r="G20" s="78">
        <f>WATER!BG20</f>
        <v>0</v>
      </c>
      <c r="H20" s="79">
        <f>ELEC!AF18</f>
        <v>982</v>
      </c>
      <c r="I20" s="79">
        <f>ELEC!Q18</f>
        <v>5106.9999999999709</v>
      </c>
      <c r="J20" s="79">
        <f>ELEC!R18</f>
        <v>3104.0000000000291</v>
      </c>
      <c r="K20" s="3"/>
      <c r="L20" s="3"/>
      <c r="M20" s="3"/>
      <c r="N20" s="3"/>
    </row>
    <row r="21" spans="1:14">
      <c r="A21" s="63">
        <f>'B5'!A21</f>
        <v>44272</v>
      </c>
      <c r="B21" s="76">
        <f>'B5'!V21</f>
        <v>427</v>
      </c>
      <c r="C21" s="76">
        <f>'B5'!AH21</f>
        <v>53.799999999988358</v>
      </c>
      <c r="D21" s="76">
        <f>GEN!AI19</f>
        <v>1261.6962025311886</v>
      </c>
      <c r="E21" s="242">
        <f t="shared" si="0"/>
        <v>1742.496202531177</v>
      </c>
      <c r="F21" s="75">
        <f>WATER!L21</f>
        <v>0</v>
      </c>
      <c r="G21" s="78">
        <f>WATER!BG21</f>
        <v>-49.2</v>
      </c>
      <c r="H21" s="79">
        <f>ELEC!AF19</f>
        <v>900</v>
      </c>
      <c r="I21" s="79">
        <f>ELEC!Q19</f>
        <v>4901.9999999982247</v>
      </c>
      <c r="J21" s="79">
        <f>ELEC!R19</f>
        <v>3586.0000000017753</v>
      </c>
      <c r="K21" s="3"/>
      <c r="L21" s="3"/>
      <c r="M21" s="3"/>
      <c r="N21" s="3"/>
    </row>
    <row r="22" spans="1:14">
      <c r="A22" s="63">
        <f>'B5'!A22</f>
        <v>44273</v>
      </c>
      <c r="B22" s="76">
        <f>'B5'!V22</f>
        <v>466</v>
      </c>
      <c r="C22" s="76">
        <f>'B5'!AH22</f>
        <v>0</v>
      </c>
      <c r="D22" s="76">
        <f>GEN!AI20</f>
        <v>1503.6371308018302</v>
      </c>
      <c r="E22" s="242">
        <f t="shared" si="0"/>
        <v>1969.6371308018302</v>
      </c>
      <c r="F22" s="75">
        <f>WATER!L22</f>
        <v>1</v>
      </c>
      <c r="G22" s="78">
        <f>WATER!BG22</f>
        <v>-29.100000000000023</v>
      </c>
      <c r="H22" s="79">
        <f>ELEC!AF20</f>
        <v>922</v>
      </c>
      <c r="I22" s="79">
        <f>ELEC!Q20</f>
        <v>5842.000000000553</v>
      </c>
      <c r="J22" s="79">
        <f>ELEC!R20</f>
        <v>3145.999999999447</v>
      </c>
      <c r="K22" s="3"/>
      <c r="L22" s="3"/>
      <c r="M22" s="3"/>
      <c r="N22" s="3"/>
    </row>
    <row r="23" spans="1:14">
      <c r="A23" s="63">
        <f>'B5'!A23</f>
        <v>44274</v>
      </c>
      <c r="B23" s="76">
        <f>'B5'!V23</f>
        <v>380</v>
      </c>
      <c r="C23" s="76">
        <f>'B5'!AH23</f>
        <v>0</v>
      </c>
      <c r="D23" s="76">
        <f>GEN!AI21</f>
        <v>926.58227848157458</v>
      </c>
      <c r="E23" s="242">
        <f t="shared" si="0"/>
        <v>1306.5822784815746</v>
      </c>
      <c r="F23" s="75">
        <f>WATER!L23</f>
        <v>0</v>
      </c>
      <c r="G23" s="78">
        <f>WATER!BG23</f>
        <v>33.100000000000023</v>
      </c>
      <c r="H23" s="79">
        <f>ELEC!AF21</f>
        <v>575</v>
      </c>
      <c r="I23" s="79">
        <f>ELEC!Q21</f>
        <v>3600.0000000021828</v>
      </c>
      <c r="J23" s="79">
        <f>ELEC!R21</f>
        <v>3544.9999999978172</v>
      </c>
      <c r="K23" s="3"/>
      <c r="L23" s="3"/>
      <c r="M23" s="3"/>
      <c r="N23" s="3"/>
    </row>
    <row r="24" spans="1:14">
      <c r="A24" s="63">
        <f>'B5'!A24</f>
        <v>44275</v>
      </c>
      <c r="B24" s="76">
        <f>'B5'!V24</f>
        <v>350</v>
      </c>
      <c r="C24" s="76">
        <f>'B5'!AH24</f>
        <v>0</v>
      </c>
      <c r="D24" s="76">
        <f>GEN!AI22</f>
        <v>618.75105485196866</v>
      </c>
      <c r="E24" s="242">
        <f t="shared" si="0"/>
        <v>968.75105485196866</v>
      </c>
      <c r="F24" s="75">
        <f>WATER!L24</f>
        <v>-17</v>
      </c>
      <c r="G24" s="78">
        <f>WATER!BG24</f>
        <v>-54.199999999999989</v>
      </c>
      <c r="H24" s="79">
        <f>ELEC!AF22</f>
        <v>465</v>
      </c>
      <c r="I24" s="79">
        <f>ELEC!Q22</f>
        <v>2403.9999999986321</v>
      </c>
      <c r="J24" s="79">
        <f>ELEC!R22</f>
        <v>3952.0000000013679</v>
      </c>
      <c r="K24" s="3"/>
      <c r="L24" s="3"/>
      <c r="M24" s="3"/>
      <c r="N24" s="3"/>
    </row>
    <row r="25" spans="1:14">
      <c r="A25" s="63">
        <f>'B5'!A25</f>
        <v>44276</v>
      </c>
      <c r="B25" s="76">
        <f>'B5'!V25</f>
        <v>364</v>
      </c>
      <c r="C25" s="76">
        <f>'B5'!AH25</f>
        <v>0</v>
      </c>
      <c r="D25" s="76">
        <f>GEN!AI23</f>
        <v>956.696202531788</v>
      </c>
      <c r="E25" s="242">
        <f t="shared" si="0"/>
        <v>1320.696202531788</v>
      </c>
      <c r="F25" s="75">
        <f>WATER!L25</f>
        <v>18</v>
      </c>
      <c r="G25" s="78">
        <f>WATER!BG25</f>
        <v>98.300000000000011</v>
      </c>
      <c r="H25" s="79">
        <f>ELEC!AF23</f>
        <v>757</v>
      </c>
      <c r="I25" s="79">
        <f>ELEC!Q23</f>
        <v>3717.000000000553</v>
      </c>
      <c r="J25" s="79">
        <f>ELEC!R23</f>
        <v>3499.999999999447</v>
      </c>
      <c r="K25" s="3"/>
      <c r="L25" s="3"/>
      <c r="M25" s="3"/>
      <c r="N25" s="3"/>
    </row>
    <row r="26" spans="1:14">
      <c r="A26" s="63">
        <f>'B5'!A26</f>
        <v>44277</v>
      </c>
      <c r="B26" s="76">
        <f>'B5'!V26</f>
        <v>339</v>
      </c>
      <c r="C26" s="76">
        <f>'B5'!AH26</f>
        <v>0</v>
      </c>
      <c r="D26" s="76">
        <f>GEN!AI24</f>
        <v>1923.9451476789504</v>
      </c>
      <c r="E26" s="242">
        <f t="shared" si="0"/>
        <v>2262.9451476789504</v>
      </c>
      <c r="F26" s="75">
        <f>WATER!L26</f>
        <v>0</v>
      </c>
      <c r="G26" s="78">
        <f>WATER!BG26</f>
        <v>-49.800000000000026</v>
      </c>
      <c r="H26" s="79">
        <f>ELEC!AF24</f>
        <v>1611</v>
      </c>
      <c r="I26" s="79">
        <f>ELEC!Q24</f>
        <v>7474.9999999985448</v>
      </c>
      <c r="J26" s="79">
        <f>ELEC!R24</f>
        <v>2304.0000000014552</v>
      </c>
      <c r="K26" s="3"/>
      <c r="L26" s="3"/>
      <c r="M26" s="3"/>
      <c r="N26" s="3"/>
    </row>
    <row r="27" spans="1:14">
      <c r="A27" s="63">
        <f>'B5'!A27</f>
        <v>44278</v>
      </c>
      <c r="B27" s="76">
        <f>'B5'!V27</f>
        <v>339</v>
      </c>
      <c r="C27" s="76">
        <f>'B5'!AH27</f>
        <v>0</v>
      </c>
      <c r="D27" s="76">
        <f>GEN!AI25</f>
        <v>2125.4767932493646</v>
      </c>
      <c r="E27" s="242">
        <f t="shared" si="0"/>
        <v>2464.4767932493646</v>
      </c>
      <c r="F27" s="75">
        <f>WATER!L27</f>
        <v>0</v>
      </c>
      <c r="G27" s="78">
        <f>WATER!BG27</f>
        <v>87.300000000000011</v>
      </c>
      <c r="H27" s="79">
        <f>ELEC!AF25</f>
        <v>1685</v>
      </c>
      <c r="I27" s="79">
        <f>ELEC!Q25</f>
        <v>8258.0000000016298</v>
      </c>
      <c r="J27" s="79">
        <f>ELEC!R25</f>
        <v>2097.9999999983702</v>
      </c>
      <c r="K27" s="3"/>
      <c r="L27" s="3"/>
      <c r="M27" s="3"/>
      <c r="N27" s="3"/>
    </row>
    <row r="28" spans="1:14">
      <c r="A28" s="63">
        <f>'B5'!A28</f>
        <v>44279</v>
      </c>
      <c r="B28" s="76">
        <f>'B5'!V28</f>
        <v>458</v>
      </c>
      <c r="C28" s="76">
        <f>'B5'!AH28</f>
        <v>0</v>
      </c>
      <c r="D28" s="76">
        <f>GEN!AI26</f>
        <v>1646.7426160330888</v>
      </c>
      <c r="E28" s="242">
        <f t="shared" si="0"/>
        <v>2104.7426160330888</v>
      </c>
      <c r="F28" s="75">
        <f>WATER!L28</f>
        <v>0</v>
      </c>
      <c r="G28" s="78">
        <f>WATER!BG28</f>
        <v>-34.5</v>
      </c>
      <c r="H28" s="79">
        <f>ELEC!AF26</f>
        <v>882</v>
      </c>
      <c r="I28" s="79">
        <f>ELEC!Q26</f>
        <v>6397.9999999974098</v>
      </c>
      <c r="J28" s="79">
        <f>ELEC!R26</f>
        <v>2111.0000000025902</v>
      </c>
      <c r="K28" s="3"/>
      <c r="L28" s="3"/>
      <c r="M28" s="3"/>
      <c r="N28" s="3"/>
    </row>
    <row r="29" spans="1:14">
      <c r="A29" s="63">
        <f>'B5'!A29</f>
        <v>44280</v>
      </c>
      <c r="B29" s="76">
        <f>'B5'!V29</f>
        <v>448</v>
      </c>
      <c r="C29" s="76">
        <f>'B5'!AH29</f>
        <v>0</v>
      </c>
      <c r="D29" s="76">
        <f>GEN!AI27</f>
        <v>2153.0168776375431</v>
      </c>
      <c r="E29" s="77">
        <f t="shared" si="0"/>
        <v>2601.0168776375431</v>
      </c>
      <c r="F29" s="75">
        <f>WATER!L29</f>
        <v>1</v>
      </c>
      <c r="G29" s="78">
        <f>WATER!BG29</f>
        <v>107.09999999999994</v>
      </c>
      <c r="H29" s="79">
        <f>ELEC!AF27</f>
        <v>1258</v>
      </c>
      <c r="I29" s="79">
        <f>ELEC!Q27</f>
        <v>8365.0000000016007</v>
      </c>
      <c r="J29" s="79">
        <f>ELEC!R27</f>
        <v>1874.9999999983993</v>
      </c>
      <c r="K29" s="3"/>
      <c r="L29" s="3"/>
      <c r="M29" s="3"/>
      <c r="N29" s="3"/>
    </row>
    <row r="30" spans="1:14">
      <c r="A30" s="63">
        <f>'B5'!A30</f>
        <v>44281</v>
      </c>
      <c r="B30" s="76">
        <f>'B5'!V30</f>
        <v>425</v>
      </c>
      <c r="C30" s="76">
        <f>'B5'!AH30</f>
        <v>0</v>
      </c>
      <c r="D30" s="76">
        <f>GEN!AI28</f>
        <v>2194.1983122366614</v>
      </c>
      <c r="E30" s="77">
        <f t="shared" si="0"/>
        <v>2619.1983122366614</v>
      </c>
      <c r="F30" s="75">
        <f>WATER!L30</f>
        <v>1</v>
      </c>
      <c r="G30" s="78">
        <f>WATER!BG30</f>
        <v>-42.099999999999966</v>
      </c>
      <c r="H30" s="79">
        <f>ELEC!AF28</f>
        <v>1233</v>
      </c>
      <c r="I30" s="79">
        <f>ELEC!Q28</f>
        <v>8525.0000000014552</v>
      </c>
      <c r="J30" s="79">
        <f>ELEC!R28</f>
        <v>676.99999999854481</v>
      </c>
      <c r="K30" s="3"/>
      <c r="L30" s="3"/>
      <c r="M30" s="3"/>
      <c r="N30" s="3"/>
    </row>
    <row r="31" spans="1:14">
      <c r="A31" s="63">
        <f>'B5'!A31</f>
        <v>44282</v>
      </c>
      <c r="B31" s="76">
        <f>'B5'!V31</f>
        <v>483</v>
      </c>
      <c r="C31" s="76">
        <f>'B5'!AH31</f>
        <v>0</v>
      </c>
      <c r="D31" s="76">
        <f>GEN!AI29</f>
        <v>1138.1518987338327</v>
      </c>
      <c r="E31" s="77">
        <f t="shared" si="0"/>
        <v>1621.1518987338327</v>
      </c>
      <c r="F31" s="75">
        <f>WATER!L31</f>
        <v>0</v>
      </c>
      <c r="G31" s="78">
        <f>WATER!BG31</f>
        <v>117.39999999999998</v>
      </c>
      <c r="H31" s="79">
        <f>ELEC!AF29</f>
        <v>945</v>
      </c>
      <c r="I31" s="79">
        <f>ELEC!Q29</f>
        <v>4421.9999999986612</v>
      </c>
      <c r="J31" s="79">
        <f>ELEC!R29</f>
        <v>4387.0000000013388</v>
      </c>
      <c r="K31" s="3"/>
      <c r="L31" s="3"/>
      <c r="M31" s="3"/>
      <c r="N31" s="3"/>
    </row>
    <row r="32" spans="1:14">
      <c r="A32" s="63">
        <f>'B5'!A32</f>
        <v>44283</v>
      </c>
      <c r="B32" s="76">
        <f>'B5'!V32</f>
        <v>312</v>
      </c>
      <c r="C32" s="76">
        <f>'B5'!AH32</f>
        <v>0</v>
      </c>
      <c r="D32" s="76">
        <f>GEN!AI30</f>
        <v>1715.2067510550248</v>
      </c>
      <c r="E32" s="77">
        <f t="shared" si="0"/>
        <v>2027.2067510550248</v>
      </c>
      <c r="F32" s="75">
        <f>WATER!L32</f>
        <v>0</v>
      </c>
      <c r="G32" s="78">
        <f>WATER!BG32</f>
        <v>-40.299999999999983</v>
      </c>
      <c r="H32" s="79">
        <f>ELEC!AF30</f>
        <v>528</v>
      </c>
      <c r="I32" s="79">
        <f>ELEC!Q30</f>
        <v>6664.0000000006694</v>
      </c>
      <c r="J32" s="79">
        <f>ELEC!R30</f>
        <v>845.99999999933061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120.30000000000007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61" t="s">
        <v>151</v>
      </c>
      <c r="U3" s="661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3</v>
      </c>
      <c r="E5">
        <f t="shared" ref="E5:E37" si="0">D5*90</f>
        <v>270</v>
      </c>
      <c r="F5">
        <f>'B5'!AM4</f>
        <v>0</v>
      </c>
      <c r="G5">
        <f t="shared" ref="G5:G37" si="1">F5*107</f>
        <v>0</v>
      </c>
      <c r="H5">
        <f>GEN!Z3</f>
        <v>12</v>
      </c>
    </row>
    <row r="6" spans="3:21">
      <c r="C6" s="99">
        <v>42430</v>
      </c>
      <c r="D6">
        <f>'B5'!AL5</f>
        <v>4</v>
      </c>
      <c r="E6">
        <f t="shared" si="0"/>
        <v>360</v>
      </c>
      <c r="F6">
        <f>'B5'!AM5</f>
        <v>3</v>
      </c>
      <c r="G6">
        <f t="shared" si="1"/>
        <v>321</v>
      </c>
    </row>
    <row r="7" spans="3:21">
      <c r="C7" s="99">
        <v>42431</v>
      </c>
      <c r="D7">
        <f>'B5'!AL6</f>
        <v>3</v>
      </c>
      <c r="E7">
        <f t="shared" si="0"/>
        <v>270</v>
      </c>
      <c r="F7">
        <f>'B5'!AM6</f>
        <v>2</v>
      </c>
      <c r="G7">
        <f t="shared" si="1"/>
        <v>214</v>
      </c>
    </row>
    <row r="8" spans="3:21">
      <c r="C8" s="99">
        <v>42432</v>
      </c>
      <c r="D8">
        <f>'B5'!AL7</f>
        <v>3</v>
      </c>
      <c r="E8">
        <f t="shared" si="0"/>
        <v>270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3</v>
      </c>
      <c r="E9">
        <f t="shared" si="0"/>
        <v>270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4</v>
      </c>
      <c r="E10">
        <f t="shared" si="0"/>
        <v>360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2</v>
      </c>
      <c r="E11">
        <f t="shared" si="0"/>
        <v>180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3</v>
      </c>
      <c r="E12">
        <f t="shared" si="0"/>
        <v>270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4</v>
      </c>
      <c r="E13">
        <f t="shared" si="0"/>
        <v>360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3</v>
      </c>
      <c r="E14">
        <f t="shared" si="0"/>
        <v>270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3</v>
      </c>
      <c r="E15">
        <f t="shared" si="0"/>
        <v>270</v>
      </c>
      <c r="F15">
        <f>'B5'!AM14</f>
        <v>1</v>
      </c>
      <c r="G15">
        <f t="shared" si="1"/>
        <v>107</v>
      </c>
    </row>
    <row r="16" spans="3:21">
      <c r="C16" s="99">
        <v>42440</v>
      </c>
      <c r="D16">
        <f>'B5'!AL15</f>
        <v>3</v>
      </c>
      <c r="E16">
        <f t="shared" si="0"/>
        <v>270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3</v>
      </c>
      <c r="E17">
        <f t="shared" si="0"/>
        <v>270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3</v>
      </c>
      <c r="E18">
        <f t="shared" si="0"/>
        <v>270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3</v>
      </c>
      <c r="E19">
        <f t="shared" si="0"/>
        <v>270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3</v>
      </c>
      <c r="E20">
        <f t="shared" si="0"/>
        <v>270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7</v>
      </c>
      <c r="E21">
        <f t="shared" si="0"/>
        <v>630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5</v>
      </c>
      <c r="E22">
        <f t="shared" si="0"/>
        <v>450</v>
      </c>
      <c r="F22">
        <f>'B5'!AM21</f>
        <v>1</v>
      </c>
      <c r="G22">
        <f t="shared" si="1"/>
        <v>107</v>
      </c>
    </row>
    <row r="23" spans="3:7">
      <c r="C23" s="99">
        <v>42447</v>
      </c>
      <c r="D23">
        <f>'B5'!AL22</f>
        <v>7</v>
      </c>
      <c r="E23">
        <f t="shared" si="0"/>
        <v>630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4</v>
      </c>
      <c r="E24">
        <f t="shared" si="0"/>
        <v>360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4</v>
      </c>
      <c r="E25">
        <f t="shared" si="0"/>
        <v>360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5</v>
      </c>
      <c r="E26">
        <f t="shared" si="0"/>
        <v>450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5</v>
      </c>
      <c r="E27">
        <f t="shared" si="0"/>
        <v>450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5</v>
      </c>
      <c r="E28">
        <f t="shared" si="0"/>
        <v>450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5</v>
      </c>
      <c r="E29">
        <f t="shared" si="0"/>
        <v>450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6</v>
      </c>
      <c r="E30">
        <f t="shared" si="0"/>
        <v>540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6</v>
      </c>
      <c r="E31">
        <f t="shared" si="0"/>
        <v>540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6</v>
      </c>
      <c r="E32">
        <f t="shared" si="0"/>
        <v>540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5</v>
      </c>
      <c r="E33">
        <f t="shared" si="0"/>
        <v>450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35"/>
  <sheetViews>
    <sheetView topLeftCell="J1" zoomScale="112" zoomScaleNormal="112" workbookViewId="0">
      <pane ySplit="1" topLeftCell="A23" activePane="bottomLeft" state="frozen"/>
      <selection pane="bottomLeft" activeCell="U30" sqref="U30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08" t="s">
        <v>44</v>
      </c>
      <c r="C1" s="25" t="s">
        <v>45</v>
      </c>
      <c r="D1" s="25" t="s">
        <v>369</v>
      </c>
      <c r="E1" s="25" t="s">
        <v>371</v>
      </c>
      <c r="F1" s="25" t="s">
        <v>370</v>
      </c>
      <c r="G1" s="25"/>
      <c r="H1" s="25" t="s">
        <v>46</v>
      </c>
      <c r="I1" s="25" t="s">
        <v>49</v>
      </c>
      <c r="J1" s="408" t="s">
        <v>47</v>
      </c>
      <c r="K1" s="25" t="s">
        <v>45</v>
      </c>
      <c r="L1" s="25" t="s">
        <v>369</v>
      </c>
      <c r="M1" s="25" t="s">
        <v>371</v>
      </c>
      <c r="N1" s="25" t="s">
        <v>370</v>
      </c>
      <c r="O1" s="286"/>
      <c r="P1" s="25" t="s">
        <v>46</v>
      </c>
      <c r="Q1" s="25" t="s">
        <v>49</v>
      </c>
      <c r="R1" s="408" t="s">
        <v>48</v>
      </c>
      <c r="S1" s="25" t="s">
        <v>45</v>
      </c>
      <c r="T1" s="25" t="s">
        <v>369</v>
      </c>
      <c r="U1" s="25" t="s">
        <v>371</v>
      </c>
      <c r="V1" s="25" t="s">
        <v>370</v>
      </c>
      <c r="W1" s="25"/>
      <c r="X1" s="25" t="s">
        <v>46</v>
      </c>
      <c r="Y1" s="25" t="s">
        <v>49</v>
      </c>
      <c r="Z1" s="25" t="s">
        <v>50</v>
      </c>
      <c r="AA1" s="25" t="s">
        <v>373</v>
      </c>
      <c r="AB1" s="286" t="s">
        <v>372</v>
      </c>
      <c r="AC1" s="286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374</v>
      </c>
    </row>
    <row r="2" spans="1:37" ht="15.75" thickBot="1">
      <c r="A2" s="4">
        <f>ELEC!C2</f>
        <v>44255</v>
      </c>
      <c r="B2" s="270">
        <f>[1]GEN!B30</f>
        <v>9649</v>
      </c>
      <c r="C2" s="270">
        <f>[1]GEN!C30</f>
        <v>0</v>
      </c>
      <c r="D2" s="270">
        <f>[1]GEN!D30</f>
        <v>333321</v>
      </c>
      <c r="E2" s="270">
        <f>[1]GEN!E30</f>
        <v>0</v>
      </c>
      <c r="F2" s="270">
        <f>[1]GEN!F30</f>
        <v>0</v>
      </c>
      <c r="G2" s="270">
        <f>[1]GEN!G30</f>
        <v>0</v>
      </c>
      <c r="H2" s="270">
        <f>[1]GEN!H30</f>
        <v>9729</v>
      </c>
      <c r="I2" s="270" t="str">
        <f>[1]GEN!I30</f>
        <v>ok</v>
      </c>
      <c r="J2" s="270">
        <f>[1]GEN!J30</f>
        <v>10698</v>
      </c>
      <c r="K2" s="270">
        <f>[1]GEN!K30</f>
        <v>0</v>
      </c>
      <c r="L2" s="270">
        <f>[1]GEN!L30</f>
        <v>357691</v>
      </c>
      <c r="M2" s="270">
        <f>[1]GEN!M30</f>
        <v>0</v>
      </c>
      <c r="N2" s="270">
        <f>[1]GEN!N30</f>
        <v>0</v>
      </c>
      <c r="O2" s="270">
        <f>[1]GEN!O30</f>
        <v>0</v>
      </c>
      <c r="P2" s="270">
        <f>[1]GEN!P30</f>
        <v>10873</v>
      </c>
      <c r="Q2" s="270" t="str">
        <f>[1]GEN!Q30</f>
        <v>ok</v>
      </c>
      <c r="R2" s="270">
        <f>[1]GEN!R30</f>
        <v>11876</v>
      </c>
      <c r="S2" s="270">
        <f>[1]GEN!S30</f>
        <v>13</v>
      </c>
      <c r="T2" s="270">
        <f>[1]GEN!T30</f>
        <v>395288</v>
      </c>
      <c r="U2" s="270">
        <f>[1]GEN!U30</f>
        <v>3250</v>
      </c>
      <c r="V2" s="270">
        <f>[1]GEN!V30</f>
        <v>250</v>
      </c>
      <c r="W2" s="270">
        <f>[1]GEN!W30</f>
        <v>0</v>
      </c>
      <c r="X2" s="270">
        <f>[1]GEN!X30</f>
        <v>11898</v>
      </c>
      <c r="Y2" s="270" t="str">
        <f>[1]GEN!Y30</f>
        <v>ok</v>
      </c>
      <c r="Z2" s="270">
        <f>[1]GEN!Z30</f>
        <v>13</v>
      </c>
      <c r="AA2" s="270">
        <f>[1]GEN!AA30</f>
        <v>3250</v>
      </c>
      <c r="AB2" s="270">
        <f>[1]GEN!AB30</f>
        <v>250</v>
      </c>
      <c r="AC2" s="270">
        <f>[1]GEN!AC30</f>
        <v>250</v>
      </c>
      <c r="AD2" s="270">
        <f>[1]GEN!AD30</f>
        <v>5560.0000000013097</v>
      </c>
      <c r="AE2" s="270">
        <f>[1]GEN!AE30</f>
        <v>427.69230769240846</v>
      </c>
      <c r="AF2" s="270">
        <f>[1]GEN!AF30</f>
        <v>0.26730769230775531</v>
      </c>
      <c r="AG2" s="270">
        <f>[1]GEN!AG30</f>
        <v>85.538461538481698</v>
      </c>
      <c r="AH2" s="270">
        <f>[1]GEN!AH30</f>
        <v>164.4615384615183</v>
      </c>
      <c r="AI2" s="270">
        <f>[1]GEN!AI30</f>
        <v>1431.0548523210123</v>
      </c>
      <c r="AJ2" s="270">
        <f>[1]GEN!AJ30</f>
        <v>0.25738396624472576</v>
      </c>
      <c r="AK2" s="270">
        <f>[1]GEN!AK30</f>
        <v>110.08114248623171</v>
      </c>
    </row>
    <row r="3" spans="1:37" ht="15.75" thickBot="1">
      <c r="A3" s="4">
        <f>ELEC!C3</f>
        <v>44256</v>
      </c>
      <c r="B3" s="540">
        <f>B2</f>
        <v>9649</v>
      </c>
      <c r="C3" s="287">
        <f>B3-B2</f>
        <v>0</v>
      </c>
      <c r="D3" s="541">
        <f>D2</f>
        <v>333321</v>
      </c>
      <c r="E3" s="287">
        <f>SUM(D3-D2)</f>
        <v>0</v>
      </c>
      <c r="F3" s="287">
        <f t="shared" ref="F3:F30" si="0">IF(C3&gt;0,E3/C3,0)</f>
        <v>0</v>
      </c>
      <c r="G3" s="270">
        <f>[5]GEN!G32</f>
        <v>0</v>
      </c>
      <c r="H3" s="270">
        <f>H2</f>
        <v>9729</v>
      </c>
      <c r="I3" s="287" t="str">
        <f t="shared" ref="I3:I30" si="1">IF(B3-H3&lt;=0,"ok","oil change")</f>
        <v>ok</v>
      </c>
      <c r="J3" s="541">
        <f>J2</f>
        <v>10698</v>
      </c>
      <c r="K3" s="287">
        <f t="shared" ref="K3:K30" si="2">J3-J2</f>
        <v>0</v>
      </c>
      <c r="L3" s="541">
        <f>L2</f>
        <v>357691</v>
      </c>
      <c r="M3" s="287">
        <f>SUM(L3-L2)</f>
        <v>0</v>
      </c>
      <c r="N3" s="287">
        <f>IF(K3&gt;0,M3/K3,0)</f>
        <v>0</v>
      </c>
      <c r="O3" s="270">
        <f>[5]GEN!O32</f>
        <v>0</v>
      </c>
      <c r="P3" s="288">
        <f>P2</f>
        <v>10873</v>
      </c>
      <c r="Q3" s="287" t="str">
        <f t="shared" ref="Q3:Q17" si="3">IF(J3-P3&lt;=0,"ok","oil change")</f>
        <v>ok</v>
      </c>
      <c r="R3" s="606">
        <v>11888</v>
      </c>
      <c r="S3" s="287">
        <f t="shared" ref="S3:S30" si="4">R3-R2</f>
        <v>12</v>
      </c>
      <c r="T3" s="607">
        <f>T2+U3</f>
        <v>397688</v>
      </c>
      <c r="U3" s="287">
        <f>V3*S3</f>
        <v>2400</v>
      </c>
      <c r="V3" s="287">
        <v>200</v>
      </c>
      <c r="W3" s="270">
        <f>[5]GEN!W32</f>
        <v>0</v>
      </c>
      <c r="X3" s="288">
        <f>X2</f>
        <v>11898</v>
      </c>
      <c r="Y3" s="287" t="str">
        <f t="shared" ref="Y3:Y9" si="5">IF(R3-X3&lt;=0,"ok","oil change")</f>
        <v>ok</v>
      </c>
      <c r="Z3" s="287">
        <f t="shared" ref="Z3:Z30" si="6">C3+K3+S3</f>
        <v>12</v>
      </c>
      <c r="AA3" s="287">
        <f>U3+M3+E3</f>
        <v>2400</v>
      </c>
      <c r="AB3" s="287">
        <f>V3+N3+F3</f>
        <v>200</v>
      </c>
      <c r="AC3" s="287">
        <f>IF(Z3&gt;0,AA3/Z3,0)</f>
        <v>200</v>
      </c>
      <c r="AD3" s="73">
        <f>ELEC!Q3</f>
        <v>6164.0000000006694</v>
      </c>
      <c r="AE3" s="73">
        <f>SUM(AD3/Z3)</f>
        <v>513.66666666672245</v>
      </c>
      <c r="AF3" s="403">
        <f>SUM(AE3/1600)</f>
        <v>0.32104166666670153</v>
      </c>
      <c r="AG3" s="404">
        <f>SUM(360*AF3)</f>
        <v>115.57500000001255</v>
      </c>
      <c r="AH3" s="404">
        <f>SUM(AC3-AG3)</f>
        <v>84.424999999987449</v>
      </c>
      <c r="AI3" s="73">
        <f>AD3*AJ3</f>
        <v>1586.5147679326619</v>
      </c>
      <c r="AJ3" s="289">
        <f t="shared" ref="AJ3:AJ33" si="7">305/1185</f>
        <v>0.25738396624472576</v>
      </c>
      <c r="AK3" s="289">
        <f t="shared" ref="AK3:AK8" si="8">AI3/Z3</f>
        <v>132.2095639943885</v>
      </c>
    </row>
    <row r="4" spans="1:37" ht="15.75" thickBot="1">
      <c r="A4" s="4">
        <f>ELEC!C4</f>
        <v>44257</v>
      </c>
      <c r="B4" s="540">
        <f t="shared" ref="B4:B33" si="9">B3</f>
        <v>9649</v>
      </c>
      <c r="C4" s="287">
        <f t="shared" ref="C4:C30" si="10">B4-B3</f>
        <v>0</v>
      </c>
      <c r="D4" s="541">
        <f t="shared" ref="D4:D33" si="11">D3</f>
        <v>333321</v>
      </c>
      <c r="E4" s="287">
        <f t="shared" ref="E4:E30" si="12">SUM(D4-D3)</f>
        <v>0</v>
      </c>
      <c r="F4" s="287">
        <f t="shared" si="0"/>
        <v>0</v>
      </c>
      <c r="G4" s="196"/>
      <c r="H4" s="270">
        <f t="shared" ref="H4:H33" si="13">H3</f>
        <v>9729</v>
      </c>
      <c r="I4" s="287" t="str">
        <f t="shared" si="1"/>
        <v>ok</v>
      </c>
      <c r="J4" s="541">
        <f t="shared" ref="J4:J33" si="14">J3</f>
        <v>10698</v>
      </c>
      <c r="K4" s="287">
        <f t="shared" si="2"/>
        <v>0</v>
      </c>
      <c r="L4" s="541">
        <f t="shared" ref="L4:L30" si="15">L3</f>
        <v>357691</v>
      </c>
      <c r="M4" s="287">
        <f t="shared" ref="M4:M30" si="16">SUM(L4-L3)</f>
        <v>0</v>
      </c>
      <c r="N4" s="287">
        <f t="shared" ref="N4:N30" si="17">IF(K4&gt;0,M4/K4,0)</f>
        <v>0</v>
      </c>
      <c r="O4" s="196"/>
      <c r="P4" s="288">
        <f t="shared" ref="P4:P33" si="18">P3</f>
        <v>10873</v>
      </c>
      <c r="Q4" s="287" t="str">
        <f t="shared" si="3"/>
        <v>ok</v>
      </c>
      <c r="R4" s="606">
        <v>11903</v>
      </c>
      <c r="S4" s="287">
        <f t="shared" si="4"/>
        <v>15</v>
      </c>
      <c r="T4" s="607">
        <f>T3+U4</f>
        <v>400688</v>
      </c>
      <c r="U4" s="287">
        <f t="shared" ref="U4:U33" si="19">V4*S4</f>
        <v>3000</v>
      </c>
      <c r="V4" s="287">
        <v>200</v>
      </c>
      <c r="W4" s="196"/>
      <c r="X4" s="288">
        <f t="shared" ref="X4:X33" si="20">X3</f>
        <v>11898</v>
      </c>
      <c r="Y4" s="287" t="str">
        <f t="shared" si="5"/>
        <v>oil change</v>
      </c>
      <c r="Z4" s="287">
        <f t="shared" si="6"/>
        <v>15</v>
      </c>
      <c r="AA4" s="287">
        <f t="shared" ref="AA4:AA30" si="21">U4+M4+E4</f>
        <v>3000</v>
      </c>
      <c r="AB4" s="287">
        <f t="shared" ref="AB4:AB30" si="22">V4+N4+F4</f>
        <v>200</v>
      </c>
      <c r="AC4" s="287">
        <f t="shared" ref="AC4:AC30" si="23">IF(Z4&gt;0,AA4/Z4,0)</f>
        <v>200</v>
      </c>
      <c r="AD4" s="73">
        <f>ELEC!Q4</f>
        <v>7335.9999999993306</v>
      </c>
      <c r="AE4" s="73">
        <f>SUM(AD4/Z4)</f>
        <v>489.06666666662204</v>
      </c>
      <c r="AF4" s="403">
        <f>SUM(AE4/1600)</f>
        <v>0.30566666666663878</v>
      </c>
      <c r="AG4" s="404">
        <f>SUM(360*AF4)</f>
        <v>110.03999999998996</v>
      </c>
      <c r="AH4" s="404">
        <f t="shared" ref="AH4:AH30" si="24">SUM(AC4-AG4)</f>
        <v>89.960000000010041</v>
      </c>
      <c r="AI4" s="73">
        <f>AD4*AJ4</f>
        <v>1888.1687763711359</v>
      </c>
      <c r="AJ4" s="289">
        <f t="shared" si="7"/>
        <v>0.25738396624472576</v>
      </c>
      <c r="AK4" s="289">
        <f t="shared" si="8"/>
        <v>125.87791842474239</v>
      </c>
    </row>
    <row r="5" spans="1:37" ht="15.75" thickBot="1">
      <c r="A5" s="4">
        <f>ELEC!C5</f>
        <v>44258</v>
      </c>
      <c r="B5" s="540">
        <f t="shared" si="9"/>
        <v>9649</v>
      </c>
      <c r="C5" s="287">
        <f t="shared" si="10"/>
        <v>0</v>
      </c>
      <c r="D5" s="541">
        <f t="shared" si="11"/>
        <v>333321</v>
      </c>
      <c r="E5" s="287">
        <f t="shared" si="12"/>
        <v>0</v>
      </c>
      <c r="F5" s="287">
        <f t="shared" si="0"/>
        <v>0</v>
      </c>
      <c r="G5" s="285"/>
      <c r="H5" s="270">
        <f t="shared" si="13"/>
        <v>9729</v>
      </c>
      <c r="I5" s="287" t="str">
        <f t="shared" si="1"/>
        <v>ok</v>
      </c>
      <c r="J5" s="541">
        <f t="shared" si="14"/>
        <v>10698</v>
      </c>
      <c r="K5" s="287">
        <f t="shared" si="2"/>
        <v>0</v>
      </c>
      <c r="L5" s="541">
        <f t="shared" si="15"/>
        <v>357691</v>
      </c>
      <c r="M5" s="287">
        <f t="shared" si="16"/>
        <v>0</v>
      </c>
      <c r="N5" s="287">
        <f t="shared" si="17"/>
        <v>0</v>
      </c>
      <c r="O5" s="196"/>
      <c r="P5" s="288">
        <f t="shared" si="18"/>
        <v>10873</v>
      </c>
      <c r="Q5" s="287" t="str">
        <f t="shared" si="3"/>
        <v>ok</v>
      </c>
      <c r="R5" s="606">
        <v>11912</v>
      </c>
      <c r="S5" s="287">
        <f t="shared" si="4"/>
        <v>9</v>
      </c>
      <c r="T5" s="541">
        <f>T4+U5</f>
        <v>402488</v>
      </c>
      <c r="U5" s="287">
        <f t="shared" si="19"/>
        <v>1800</v>
      </c>
      <c r="V5" s="287">
        <v>200</v>
      </c>
      <c r="W5" s="196"/>
      <c r="X5" s="288">
        <f t="shared" si="20"/>
        <v>11898</v>
      </c>
      <c r="Y5" s="287" t="str">
        <f t="shared" si="5"/>
        <v>oil change</v>
      </c>
      <c r="Z5" s="287">
        <f t="shared" si="6"/>
        <v>9</v>
      </c>
      <c r="AA5" s="287">
        <f t="shared" si="21"/>
        <v>1800</v>
      </c>
      <c r="AB5" s="287">
        <f t="shared" si="22"/>
        <v>200</v>
      </c>
      <c r="AC5" s="287">
        <f t="shared" si="23"/>
        <v>200</v>
      </c>
      <c r="AD5" s="73">
        <f>ELEC!Q5</f>
        <v>4850.0000000021828</v>
      </c>
      <c r="AE5" s="73">
        <f t="shared" ref="AE5:AE30" si="25">SUM(AD5/Z5)</f>
        <v>538.88888888913141</v>
      </c>
      <c r="AF5" s="403">
        <f t="shared" ref="AF5:AF30" si="26">SUM(AE5/1600)</f>
        <v>0.33680555555570713</v>
      </c>
      <c r="AG5" s="404">
        <f t="shared" ref="AG5:AG30" si="27">SUM(320*AF5)</f>
        <v>107.77777777782629</v>
      </c>
      <c r="AH5" s="404">
        <f t="shared" si="24"/>
        <v>92.222222222173713</v>
      </c>
      <c r="AI5" s="73">
        <f t="shared" ref="AI5:AI30" si="28">AD5*AJ5</f>
        <v>1248.3122362874817</v>
      </c>
      <c r="AJ5" s="289">
        <f t="shared" si="7"/>
        <v>0.25738396624472576</v>
      </c>
      <c r="AK5" s="289">
        <f t="shared" si="8"/>
        <v>138.70135958749796</v>
      </c>
    </row>
    <row r="6" spans="1:37" ht="15.75" thickBot="1">
      <c r="A6" s="4">
        <f>ELEC!C6</f>
        <v>44259</v>
      </c>
      <c r="B6" s="540">
        <f t="shared" si="9"/>
        <v>9649</v>
      </c>
      <c r="C6" s="287">
        <f t="shared" si="10"/>
        <v>0</v>
      </c>
      <c r="D6" s="541">
        <f t="shared" si="11"/>
        <v>333321</v>
      </c>
      <c r="E6" s="287">
        <f t="shared" si="12"/>
        <v>0</v>
      </c>
      <c r="F6" s="287">
        <f t="shared" si="0"/>
        <v>0</v>
      </c>
      <c r="G6" s="196"/>
      <c r="H6" s="270">
        <f t="shared" si="13"/>
        <v>9729</v>
      </c>
      <c r="I6" s="287" t="str">
        <f t="shared" si="1"/>
        <v>ok</v>
      </c>
      <c r="J6" s="541">
        <f t="shared" si="14"/>
        <v>10698</v>
      </c>
      <c r="K6" s="287">
        <f t="shared" si="2"/>
        <v>0</v>
      </c>
      <c r="L6" s="541">
        <f t="shared" si="15"/>
        <v>357691</v>
      </c>
      <c r="M6" s="287">
        <f>SUM(L6-L5)</f>
        <v>0</v>
      </c>
      <c r="N6" s="287">
        <f t="shared" si="17"/>
        <v>0</v>
      </c>
      <c r="O6" s="307"/>
      <c r="P6" s="288">
        <f t="shared" si="18"/>
        <v>10873</v>
      </c>
      <c r="Q6" s="287" t="str">
        <f t="shared" si="3"/>
        <v>ok</v>
      </c>
      <c r="R6" s="606">
        <v>11918</v>
      </c>
      <c r="S6" s="287">
        <f t="shared" si="4"/>
        <v>6</v>
      </c>
      <c r="T6" s="541">
        <f>T5+U6</f>
        <v>403988</v>
      </c>
      <c r="U6" s="287">
        <f>V6*S6</f>
        <v>1500</v>
      </c>
      <c r="V6" s="287">
        <v>250</v>
      </c>
      <c r="W6" s="307"/>
      <c r="X6" s="288">
        <f t="shared" si="20"/>
        <v>11898</v>
      </c>
      <c r="Y6" s="287" t="str">
        <f t="shared" si="5"/>
        <v>oil change</v>
      </c>
      <c r="Z6" s="287">
        <f t="shared" si="6"/>
        <v>6</v>
      </c>
      <c r="AA6" s="287">
        <f t="shared" si="21"/>
        <v>1500</v>
      </c>
      <c r="AB6" s="287">
        <f t="shared" si="22"/>
        <v>250</v>
      </c>
      <c r="AC6" s="287">
        <f t="shared" si="23"/>
        <v>250</v>
      </c>
      <c r="AD6" s="73">
        <f>ELEC!Q6</f>
        <v>3494.9999999989814</v>
      </c>
      <c r="AE6" s="73">
        <f>SUM(AD6/Z6)</f>
        <v>582.49999999983027</v>
      </c>
      <c r="AF6" s="403">
        <f t="shared" si="26"/>
        <v>0.36406249999989393</v>
      </c>
      <c r="AG6" s="404">
        <f>SUM(320*AF6)</f>
        <v>116.49999999996606</v>
      </c>
      <c r="AH6" s="404">
        <f t="shared" si="24"/>
        <v>133.50000000003394</v>
      </c>
      <c r="AI6" s="73">
        <f t="shared" si="28"/>
        <v>899.5569620250543</v>
      </c>
      <c r="AJ6" s="289">
        <f t="shared" si="7"/>
        <v>0.25738396624472576</v>
      </c>
      <c r="AK6" s="289">
        <f t="shared" si="8"/>
        <v>149.92616033750906</v>
      </c>
    </row>
    <row r="7" spans="1:37" ht="15.75" thickBot="1">
      <c r="A7" s="4">
        <f>ELEC!C7</f>
        <v>44260</v>
      </c>
      <c r="B7" s="540">
        <f t="shared" si="9"/>
        <v>9649</v>
      </c>
      <c r="C7" s="287">
        <f t="shared" si="10"/>
        <v>0</v>
      </c>
      <c r="D7" s="541">
        <f t="shared" si="11"/>
        <v>333321</v>
      </c>
      <c r="E7" s="287">
        <f t="shared" si="12"/>
        <v>0</v>
      </c>
      <c r="F7" s="287">
        <f t="shared" si="0"/>
        <v>0</v>
      </c>
      <c r="G7" s="196"/>
      <c r="H7" s="270">
        <f t="shared" si="13"/>
        <v>9729</v>
      </c>
      <c r="I7" s="287" t="str">
        <f t="shared" si="1"/>
        <v>ok</v>
      </c>
      <c r="J7" s="541">
        <f t="shared" si="14"/>
        <v>10698</v>
      </c>
      <c r="K7" s="287">
        <f t="shared" si="2"/>
        <v>0</v>
      </c>
      <c r="L7" s="541">
        <f t="shared" si="15"/>
        <v>357691</v>
      </c>
      <c r="M7" s="287">
        <f t="shared" si="16"/>
        <v>0</v>
      </c>
      <c r="N7" s="287">
        <f t="shared" si="17"/>
        <v>0</v>
      </c>
      <c r="O7" s="307"/>
      <c r="P7" s="288">
        <f t="shared" si="18"/>
        <v>10873</v>
      </c>
      <c r="Q7" s="287" t="str">
        <f t="shared" si="3"/>
        <v>ok</v>
      </c>
      <c r="R7" s="606">
        <v>11925</v>
      </c>
      <c r="S7" s="287">
        <f t="shared" si="4"/>
        <v>7</v>
      </c>
      <c r="T7" s="541">
        <f t="shared" ref="T7:T33" si="29">T6+U7</f>
        <v>405738</v>
      </c>
      <c r="U7" s="287">
        <f>V7*S7</f>
        <v>1750</v>
      </c>
      <c r="V7" s="287">
        <v>250</v>
      </c>
      <c r="W7" s="196"/>
      <c r="X7" s="288">
        <f t="shared" si="20"/>
        <v>11898</v>
      </c>
      <c r="Y7" s="287" t="str">
        <f t="shared" si="5"/>
        <v>oil change</v>
      </c>
      <c r="Z7" s="287">
        <f t="shared" si="6"/>
        <v>7</v>
      </c>
      <c r="AA7" s="287">
        <f>U7+M7+E7</f>
        <v>1750</v>
      </c>
      <c r="AB7" s="287">
        <f t="shared" si="22"/>
        <v>250</v>
      </c>
      <c r="AC7" s="287">
        <f t="shared" si="23"/>
        <v>250</v>
      </c>
      <c r="AD7" s="73">
        <f>ELEC!Q7</f>
        <v>4587.9999999997381</v>
      </c>
      <c r="AE7" s="73">
        <f t="shared" si="25"/>
        <v>655.42857142853404</v>
      </c>
      <c r="AF7" s="403">
        <f t="shared" si="26"/>
        <v>0.40964285714283377</v>
      </c>
      <c r="AG7" s="504" t="s">
        <v>403</v>
      </c>
      <c r="AH7" s="404" t="e">
        <f t="shared" si="24"/>
        <v>#VALUE!</v>
      </c>
      <c r="AI7" s="73">
        <f t="shared" si="28"/>
        <v>1180.8776371307345</v>
      </c>
      <c r="AJ7" s="289">
        <f t="shared" si="7"/>
        <v>0.25738396624472576</v>
      </c>
      <c r="AK7" s="289">
        <f t="shared" si="8"/>
        <v>168.69680530439064</v>
      </c>
    </row>
    <row r="8" spans="1:37" ht="15.75" thickBot="1">
      <c r="A8" s="4">
        <f>ELEC!C8</f>
        <v>44261</v>
      </c>
      <c r="B8" s="540">
        <f t="shared" si="9"/>
        <v>9649</v>
      </c>
      <c r="C8" s="287">
        <f t="shared" si="10"/>
        <v>0</v>
      </c>
      <c r="D8" s="541">
        <f t="shared" si="11"/>
        <v>333321</v>
      </c>
      <c r="E8" s="287">
        <f t="shared" si="12"/>
        <v>0</v>
      </c>
      <c r="F8" s="287">
        <f t="shared" si="0"/>
        <v>0</v>
      </c>
      <c r="G8" s="196"/>
      <c r="H8" s="270">
        <f t="shared" si="13"/>
        <v>9729</v>
      </c>
      <c r="I8" s="287" t="str">
        <f t="shared" si="1"/>
        <v>ok</v>
      </c>
      <c r="J8" s="541">
        <f t="shared" si="14"/>
        <v>10698</v>
      </c>
      <c r="K8" s="287">
        <f t="shared" si="2"/>
        <v>0</v>
      </c>
      <c r="L8" s="541">
        <f t="shared" si="15"/>
        <v>357691</v>
      </c>
      <c r="M8" s="287">
        <f t="shared" si="16"/>
        <v>0</v>
      </c>
      <c r="N8" s="287">
        <f t="shared" si="17"/>
        <v>0</v>
      </c>
      <c r="O8" s="196"/>
      <c r="P8" s="288">
        <f t="shared" si="18"/>
        <v>10873</v>
      </c>
      <c r="Q8" s="287" t="str">
        <f t="shared" si="3"/>
        <v>ok</v>
      </c>
      <c r="R8" s="541">
        <v>11934.3</v>
      </c>
      <c r="S8" s="287">
        <f t="shared" si="4"/>
        <v>9.2999999999992724</v>
      </c>
      <c r="T8" s="541">
        <v>407988</v>
      </c>
      <c r="U8" s="287">
        <f>V8*S8</f>
        <v>2324.9999999998181</v>
      </c>
      <c r="V8" s="287">
        <v>250</v>
      </c>
      <c r="W8" s="196"/>
      <c r="X8" s="288">
        <f t="shared" si="20"/>
        <v>11898</v>
      </c>
      <c r="Y8" s="287" t="str">
        <f t="shared" si="5"/>
        <v>oil change</v>
      </c>
      <c r="Z8" s="287">
        <f t="shared" si="6"/>
        <v>9.2999999999992724</v>
      </c>
      <c r="AA8" s="287">
        <f t="shared" si="21"/>
        <v>2324.9999999998181</v>
      </c>
      <c r="AB8" s="287">
        <f t="shared" si="22"/>
        <v>250</v>
      </c>
      <c r="AC8" s="287">
        <f t="shared" si="23"/>
        <v>250</v>
      </c>
      <c r="AD8" s="73">
        <f>ELEC!Q8</f>
        <v>4880.0000000010186</v>
      </c>
      <c r="AE8" s="73">
        <f t="shared" si="25"/>
        <v>524.73118279584946</v>
      </c>
      <c r="AF8" s="403">
        <f t="shared" si="26"/>
        <v>0.32795698924740591</v>
      </c>
      <c r="AG8" s="404">
        <f t="shared" si="27"/>
        <v>104.94623655916989</v>
      </c>
      <c r="AH8" s="404">
        <f t="shared" si="24"/>
        <v>145.0537634408301</v>
      </c>
      <c r="AI8" s="73">
        <f t="shared" si="28"/>
        <v>1256.0337552745239</v>
      </c>
      <c r="AJ8" s="289">
        <f t="shared" si="7"/>
        <v>0.25738396624472576</v>
      </c>
      <c r="AK8" s="289">
        <f t="shared" si="8"/>
        <v>135.05739304028194</v>
      </c>
    </row>
    <row r="9" spans="1:37" ht="15.75" thickBot="1">
      <c r="A9" s="4">
        <f>ELEC!C9</f>
        <v>44262</v>
      </c>
      <c r="B9" s="540">
        <v>9649</v>
      </c>
      <c r="C9" s="287">
        <f t="shared" si="10"/>
        <v>0</v>
      </c>
      <c r="D9" s="541">
        <v>333323</v>
      </c>
      <c r="E9" s="287">
        <f t="shared" si="12"/>
        <v>2</v>
      </c>
      <c r="F9" s="287">
        <f t="shared" si="0"/>
        <v>0</v>
      </c>
      <c r="G9" s="196"/>
      <c r="H9" s="270">
        <v>9729</v>
      </c>
      <c r="I9" s="287" t="str">
        <f t="shared" si="1"/>
        <v>ok</v>
      </c>
      <c r="J9" s="541">
        <f t="shared" si="14"/>
        <v>10698</v>
      </c>
      <c r="K9" s="287">
        <f t="shared" si="2"/>
        <v>0</v>
      </c>
      <c r="L9" s="541">
        <f t="shared" si="15"/>
        <v>357691</v>
      </c>
      <c r="M9" s="287">
        <f t="shared" si="16"/>
        <v>0</v>
      </c>
      <c r="N9" s="287">
        <f t="shared" si="17"/>
        <v>0</v>
      </c>
      <c r="O9" s="196"/>
      <c r="P9" s="288">
        <f t="shared" si="18"/>
        <v>10873</v>
      </c>
      <c r="Q9" s="287" t="str">
        <f t="shared" si="3"/>
        <v>ok</v>
      </c>
      <c r="R9" s="541">
        <v>11938</v>
      </c>
      <c r="S9" s="287">
        <f t="shared" si="4"/>
        <v>3.7000000000007276</v>
      </c>
      <c r="T9" s="541">
        <v>409913</v>
      </c>
      <c r="U9" s="287">
        <f t="shared" si="19"/>
        <v>925.0000000001819</v>
      </c>
      <c r="V9" s="287">
        <v>250</v>
      </c>
      <c r="W9" s="196"/>
      <c r="X9" s="288">
        <f t="shared" si="20"/>
        <v>11898</v>
      </c>
      <c r="Y9" s="287" t="str">
        <f t="shared" si="5"/>
        <v>oil change</v>
      </c>
      <c r="Z9" s="287">
        <f t="shared" si="6"/>
        <v>3.7000000000007276</v>
      </c>
      <c r="AA9" s="287">
        <f t="shared" si="21"/>
        <v>927.0000000001819</v>
      </c>
      <c r="AB9" s="287">
        <f t="shared" si="22"/>
        <v>250</v>
      </c>
      <c r="AC9" s="287">
        <f t="shared" si="23"/>
        <v>250.54054054054043</v>
      </c>
      <c r="AD9" s="73">
        <f>ELEC!Q9</f>
        <v>2058.999999997468</v>
      </c>
      <c r="AE9" s="73">
        <f t="shared" si="25"/>
        <v>556.48648648569269</v>
      </c>
      <c r="AF9" s="403">
        <f t="shared" si="26"/>
        <v>0.34780405405355791</v>
      </c>
      <c r="AG9" s="404">
        <f t="shared" si="27"/>
        <v>111.29729729713853</v>
      </c>
      <c r="AH9" s="404">
        <f t="shared" si="24"/>
        <v>139.24324324340191</v>
      </c>
      <c r="AI9" s="73">
        <f t="shared" si="28"/>
        <v>529.95358649723869</v>
      </c>
      <c r="AJ9" s="289">
        <v>0.25738396624472576</v>
      </c>
      <c r="AK9" s="289">
        <f t="shared" ref="AK9:AK16" si="30">IF(Z9&gt;0,AI9/Z9,0)</f>
        <v>143.23069905327958</v>
      </c>
    </row>
    <row r="10" spans="1:37" ht="15.75" thickBot="1">
      <c r="A10" s="4">
        <f>ELEC!C10</f>
        <v>44263</v>
      </c>
      <c r="B10" s="540">
        <f t="shared" si="9"/>
        <v>9649</v>
      </c>
      <c r="C10" s="287">
        <f t="shared" si="10"/>
        <v>0</v>
      </c>
      <c r="D10" s="541">
        <f t="shared" si="11"/>
        <v>333323</v>
      </c>
      <c r="E10" s="287">
        <f t="shared" si="12"/>
        <v>0</v>
      </c>
      <c r="F10" s="287">
        <f t="shared" si="0"/>
        <v>0</v>
      </c>
      <c r="G10" s="196"/>
      <c r="H10" s="270">
        <f t="shared" si="13"/>
        <v>9729</v>
      </c>
      <c r="I10" s="287" t="str">
        <f t="shared" si="1"/>
        <v>ok</v>
      </c>
      <c r="J10" s="541">
        <f t="shared" si="14"/>
        <v>10698</v>
      </c>
      <c r="K10" s="287">
        <f t="shared" si="2"/>
        <v>0</v>
      </c>
      <c r="L10" s="541">
        <f t="shared" si="15"/>
        <v>357691</v>
      </c>
      <c r="M10" s="287">
        <f t="shared" si="16"/>
        <v>0</v>
      </c>
      <c r="N10" s="287">
        <f t="shared" si="17"/>
        <v>0</v>
      </c>
      <c r="O10" s="196"/>
      <c r="P10" s="288">
        <f t="shared" si="18"/>
        <v>10873</v>
      </c>
      <c r="Q10" s="287" t="str">
        <f t="shared" si="3"/>
        <v>ok</v>
      </c>
      <c r="R10" s="541">
        <v>11943</v>
      </c>
      <c r="S10" s="287">
        <f t="shared" si="4"/>
        <v>5</v>
      </c>
      <c r="T10" s="541">
        <f t="shared" si="29"/>
        <v>411163</v>
      </c>
      <c r="U10" s="287">
        <f t="shared" si="19"/>
        <v>1250</v>
      </c>
      <c r="V10" s="287">
        <v>250</v>
      </c>
      <c r="W10" s="338"/>
      <c r="X10" s="288">
        <f t="shared" si="20"/>
        <v>11898</v>
      </c>
      <c r="Y10" s="287" t="str">
        <f t="shared" ref="Y10:Y20" si="31">IF(R10-X10&lt;=0,"ok","oil change")</f>
        <v>oil change</v>
      </c>
      <c r="Z10" s="287">
        <f t="shared" si="6"/>
        <v>5</v>
      </c>
      <c r="AA10" s="287">
        <f t="shared" si="21"/>
        <v>1250</v>
      </c>
      <c r="AB10" s="287">
        <f t="shared" si="22"/>
        <v>250</v>
      </c>
      <c r="AC10" s="287">
        <f t="shared" si="23"/>
        <v>250</v>
      </c>
      <c r="AD10" s="73">
        <f>ELEC!Q10</f>
        <v>2810.0000000013097</v>
      </c>
      <c r="AE10" s="73">
        <f t="shared" si="25"/>
        <v>562.00000000026193</v>
      </c>
      <c r="AF10" s="403">
        <f t="shared" si="26"/>
        <v>0.35125000000016371</v>
      </c>
      <c r="AG10" s="404">
        <f t="shared" si="27"/>
        <v>112.40000000005239</v>
      </c>
      <c r="AH10" s="404">
        <f t="shared" si="24"/>
        <v>137.59999999994761</v>
      </c>
      <c r="AI10" s="73">
        <f t="shared" si="28"/>
        <v>723.24894514801645</v>
      </c>
      <c r="AJ10" s="289">
        <f t="shared" si="7"/>
        <v>0.25738396624472576</v>
      </c>
      <c r="AK10" s="289">
        <f t="shared" si="30"/>
        <v>144.64978902960328</v>
      </c>
    </row>
    <row r="11" spans="1:37" ht="15.75" thickBot="1">
      <c r="A11" s="4">
        <f>ELEC!C11</f>
        <v>44264</v>
      </c>
      <c r="B11" s="540">
        <f t="shared" si="9"/>
        <v>9649</v>
      </c>
      <c r="C11" s="287">
        <f t="shared" si="10"/>
        <v>0</v>
      </c>
      <c r="D11" s="541">
        <f t="shared" si="11"/>
        <v>333323</v>
      </c>
      <c r="E11" s="287">
        <f t="shared" si="12"/>
        <v>0</v>
      </c>
      <c r="F11" s="287">
        <f t="shared" si="0"/>
        <v>0</v>
      </c>
      <c r="G11" s="196"/>
      <c r="H11" s="270">
        <f t="shared" si="13"/>
        <v>9729</v>
      </c>
      <c r="I11" s="287" t="str">
        <f t="shared" si="1"/>
        <v>ok</v>
      </c>
      <c r="J11" s="541">
        <f t="shared" si="14"/>
        <v>10698</v>
      </c>
      <c r="K11" s="287">
        <f t="shared" si="2"/>
        <v>0</v>
      </c>
      <c r="L11" s="541">
        <f t="shared" si="15"/>
        <v>357691</v>
      </c>
      <c r="M11" s="287">
        <f t="shared" si="16"/>
        <v>0</v>
      </c>
      <c r="N11" s="287">
        <f t="shared" si="17"/>
        <v>0</v>
      </c>
      <c r="O11" s="196"/>
      <c r="P11" s="288">
        <f t="shared" si="18"/>
        <v>10873</v>
      </c>
      <c r="Q11" s="287" t="str">
        <f t="shared" si="3"/>
        <v>ok</v>
      </c>
      <c r="R11" s="541">
        <v>11946</v>
      </c>
      <c r="S11" s="287">
        <f t="shared" si="4"/>
        <v>3</v>
      </c>
      <c r="T11" s="541">
        <v>412663</v>
      </c>
      <c r="U11" s="287">
        <f t="shared" si="19"/>
        <v>750</v>
      </c>
      <c r="V11" s="287">
        <v>250</v>
      </c>
      <c r="W11" s="338"/>
      <c r="X11" s="288">
        <f t="shared" si="20"/>
        <v>11898</v>
      </c>
      <c r="Y11" s="287" t="str">
        <f t="shared" si="31"/>
        <v>oil change</v>
      </c>
      <c r="Z11" s="287">
        <f t="shared" si="6"/>
        <v>3</v>
      </c>
      <c r="AA11" s="287">
        <f t="shared" si="21"/>
        <v>750</v>
      </c>
      <c r="AB11" s="287">
        <f t="shared" si="22"/>
        <v>250</v>
      </c>
      <c r="AC11" s="287">
        <f t="shared" si="23"/>
        <v>250</v>
      </c>
      <c r="AD11" s="73">
        <f>ELEC!Q11</f>
        <v>2117.9999999985739</v>
      </c>
      <c r="AE11" s="73">
        <f t="shared" si="25"/>
        <v>705.99999999952468</v>
      </c>
      <c r="AF11" s="403">
        <f t="shared" si="26"/>
        <v>0.44124999999970294</v>
      </c>
      <c r="AG11" s="404">
        <f t="shared" si="27"/>
        <v>141.19999999990495</v>
      </c>
      <c r="AH11" s="404">
        <f t="shared" si="24"/>
        <v>108.80000000009505</v>
      </c>
      <c r="AI11" s="73">
        <f t="shared" si="28"/>
        <v>545.13924050596211</v>
      </c>
      <c r="AJ11" s="289">
        <f t="shared" si="7"/>
        <v>0.25738396624472576</v>
      </c>
      <c r="AK11" s="289">
        <f t="shared" si="30"/>
        <v>181.71308016865405</v>
      </c>
    </row>
    <row r="12" spans="1:37" ht="15.75" thickBot="1">
      <c r="A12" s="4">
        <f>ELEC!C12</f>
        <v>44265</v>
      </c>
      <c r="B12" s="540">
        <f t="shared" si="9"/>
        <v>9649</v>
      </c>
      <c r="C12" s="287">
        <f t="shared" si="10"/>
        <v>0</v>
      </c>
      <c r="D12" s="541">
        <f t="shared" si="11"/>
        <v>333323</v>
      </c>
      <c r="E12" s="287">
        <f t="shared" si="12"/>
        <v>0</v>
      </c>
      <c r="F12" s="287">
        <f t="shared" si="0"/>
        <v>0</v>
      </c>
      <c r="G12" s="196"/>
      <c r="H12" s="270">
        <f t="shared" si="13"/>
        <v>9729</v>
      </c>
      <c r="I12" s="287" t="str">
        <f t="shared" si="1"/>
        <v>ok</v>
      </c>
      <c r="J12" s="541">
        <f t="shared" si="14"/>
        <v>10698</v>
      </c>
      <c r="K12" s="287">
        <f t="shared" si="2"/>
        <v>0</v>
      </c>
      <c r="L12" s="541">
        <f t="shared" si="15"/>
        <v>357691</v>
      </c>
      <c r="M12" s="287">
        <f t="shared" si="16"/>
        <v>0</v>
      </c>
      <c r="N12" s="287">
        <f t="shared" si="17"/>
        <v>0</v>
      </c>
      <c r="O12" s="196"/>
      <c r="P12" s="288">
        <f t="shared" si="18"/>
        <v>10873</v>
      </c>
      <c r="Q12" s="287" t="str">
        <f t="shared" si="3"/>
        <v>ok</v>
      </c>
      <c r="R12" s="541">
        <v>11950</v>
      </c>
      <c r="S12" s="287">
        <f t="shared" si="4"/>
        <v>4</v>
      </c>
      <c r="T12" s="541">
        <v>413663</v>
      </c>
      <c r="U12" s="287">
        <f t="shared" si="19"/>
        <v>1000</v>
      </c>
      <c r="V12" s="287">
        <v>250</v>
      </c>
      <c r="W12" s="338"/>
      <c r="X12" s="288">
        <f t="shared" si="20"/>
        <v>11898</v>
      </c>
      <c r="Y12" s="287" t="str">
        <f t="shared" si="31"/>
        <v>oil change</v>
      </c>
      <c r="Z12" s="287">
        <f t="shared" si="6"/>
        <v>4</v>
      </c>
      <c r="AA12" s="287">
        <f t="shared" si="21"/>
        <v>1000</v>
      </c>
      <c r="AB12" s="287">
        <f t="shared" si="22"/>
        <v>250</v>
      </c>
      <c r="AC12" s="287">
        <f t="shared" si="23"/>
        <v>250</v>
      </c>
      <c r="AD12" s="73">
        <f>ELEC!Q12</f>
        <v>2979.0000000029977</v>
      </c>
      <c r="AE12" s="73">
        <f t="shared" si="25"/>
        <v>744.75000000074942</v>
      </c>
      <c r="AF12" s="403">
        <f t="shared" si="26"/>
        <v>0.46546875000046839</v>
      </c>
      <c r="AG12" s="404">
        <f t="shared" si="27"/>
        <v>148.95000000014988</v>
      </c>
      <c r="AH12" s="404">
        <f t="shared" si="24"/>
        <v>101.04999999985012</v>
      </c>
      <c r="AI12" s="73">
        <f t="shared" si="28"/>
        <v>766.74683544380957</v>
      </c>
      <c r="AJ12" s="289">
        <f t="shared" si="7"/>
        <v>0.25738396624472576</v>
      </c>
      <c r="AK12" s="289">
        <f t="shared" si="30"/>
        <v>191.68670886095239</v>
      </c>
    </row>
    <row r="13" spans="1:37" ht="15.75" thickBot="1">
      <c r="A13" s="4">
        <f>ELEC!C13</f>
        <v>44266</v>
      </c>
      <c r="B13" s="540">
        <f t="shared" si="9"/>
        <v>9649</v>
      </c>
      <c r="C13" s="287">
        <f t="shared" si="10"/>
        <v>0</v>
      </c>
      <c r="D13" s="541">
        <f t="shared" si="11"/>
        <v>333323</v>
      </c>
      <c r="E13" s="287">
        <f t="shared" si="12"/>
        <v>0</v>
      </c>
      <c r="F13" s="287">
        <f t="shared" si="0"/>
        <v>0</v>
      </c>
      <c r="G13" s="196"/>
      <c r="H13" s="270">
        <f t="shared" si="13"/>
        <v>9729</v>
      </c>
      <c r="I13" s="287" t="str">
        <f t="shared" si="1"/>
        <v>ok</v>
      </c>
      <c r="J13" s="541">
        <f t="shared" si="14"/>
        <v>10698</v>
      </c>
      <c r="K13" s="287">
        <f t="shared" si="2"/>
        <v>0</v>
      </c>
      <c r="L13" s="541">
        <f t="shared" si="15"/>
        <v>357691</v>
      </c>
      <c r="M13" s="287">
        <f t="shared" si="16"/>
        <v>0</v>
      </c>
      <c r="N13" s="287">
        <f t="shared" si="17"/>
        <v>0</v>
      </c>
      <c r="O13" s="196"/>
      <c r="P13" s="288">
        <f t="shared" si="18"/>
        <v>10873</v>
      </c>
      <c r="Q13" s="287" t="str">
        <f t="shared" si="3"/>
        <v>ok</v>
      </c>
      <c r="R13" s="541">
        <v>11953</v>
      </c>
      <c r="S13" s="287">
        <f t="shared" si="4"/>
        <v>3</v>
      </c>
      <c r="T13" s="541">
        <v>414413</v>
      </c>
      <c r="U13" s="287">
        <f t="shared" si="19"/>
        <v>750</v>
      </c>
      <c r="V13" s="287">
        <v>250</v>
      </c>
      <c r="W13" s="338"/>
      <c r="X13" s="288">
        <f t="shared" si="20"/>
        <v>11898</v>
      </c>
      <c r="Y13" s="287" t="str">
        <f t="shared" si="31"/>
        <v>oil change</v>
      </c>
      <c r="Z13" s="287">
        <f t="shared" si="6"/>
        <v>3</v>
      </c>
      <c r="AA13" s="287">
        <f t="shared" si="21"/>
        <v>750</v>
      </c>
      <c r="AB13" s="287">
        <f t="shared" si="22"/>
        <v>250</v>
      </c>
      <c r="AC13" s="287">
        <f t="shared" si="23"/>
        <v>250</v>
      </c>
      <c r="AD13" s="73">
        <f>ELEC!Q13</f>
        <v>2029.9999999988358</v>
      </c>
      <c r="AE13" s="73">
        <f t="shared" si="25"/>
        <v>676.66666666627862</v>
      </c>
      <c r="AF13" s="403">
        <f t="shared" si="26"/>
        <v>0.42291666666642413</v>
      </c>
      <c r="AG13" s="404">
        <f t="shared" si="27"/>
        <v>135.33333333325572</v>
      </c>
      <c r="AH13" s="404">
        <f t="shared" si="24"/>
        <v>114.66666666674428</v>
      </c>
      <c r="AI13" s="73">
        <f t="shared" si="28"/>
        <v>522.48945147649363</v>
      </c>
      <c r="AJ13" s="289">
        <f t="shared" si="7"/>
        <v>0.25738396624472576</v>
      </c>
      <c r="AK13" s="289">
        <f t="shared" si="30"/>
        <v>174.16315049216453</v>
      </c>
    </row>
    <row r="14" spans="1:37" ht="15.75" thickBot="1">
      <c r="A14" s="4">
        <f>ELEC!C14</f>
        <v>44267</v>
      </c>
      <c r="B14" s="540">
        <f t="shared" si="9"/>
        <v>9649</v>
      </c>
      <c r="C14" s="287">
        <f t="shared" si="10"/>
        <v>0</v>
      </c>
      <c r="D14" s="541">
        <f t="shared" si="11"/>
        <v>333323</v>
      </c>
      <c r="E14" s="287">
        <f t="shared" si="12"/>
        <v>0</v>
      </c>
      <c r="F14" s="287">
        <f t="shared" si="0"/>
        <v>0</v>
      </c>
      <c r="G14" s="196"/>
      <c r="H14" s="270">
        <f t="shared" si="13"/>
        <v>9729</v>
      </c>
      <c r="I14" s="287" t="str">
        <f t="shared" si="1"/>
        <v>ok</v>
      </c>
      <c r="J14" s="541">
        <f t="shared" si="14"/>
        <v>10698</v>
      </c>
      <c r="K14" s="287">
        <f t="shared" si="2"/>
        <v>0</v>
      </c>
      <c r="L14" s="541">
        <f t="shared" si="15"/>
        <v>357691</v>
      </c>
      <c r="M14" s="287">
        <f t="shared" si="16"/>
        <v>0</v>
      </c>
      <c r="N14" s="287">
        <f t="shared" si="17"/>
        <v>0</v>
      </c>
      <c r="O14" s="196"/>
      <c r="P14" s="288">
        <f t="shared" si="18"/>
        <v>10873</v>
      </c>
      <c r="Q14" s="287" t="str">
        <f t="shared" si="3"/>
        <v>ok</v>
      </c>
      <c r="R14" s="541">
        <v>11956</v>
      </c>
      <c r="S14" s="287">
        <f t="shared" si="4"/>
        <v>3</v>
      </c>
      <c r="T14" s="541">
        <f t="shared" si="29"/>
        <v>415163</v>
      </c>
      <c r="U14" s="287">
        <f t="shared" si="19"/>
        <v>750</v>
      </c>
      <c r="V14" s="287">
        <v>250</v>
      </c>
      <c r="W14" s="338"/>
      <c r="X14" s="288">
        <f t="shared" si="20"/>
        <v>11898</v>
      </c>
      <c r="Y14" s="287" t="str">
        <f t="shared" si="31"/>
        <v>oil change</v>
      </c>
      <c r="Z14" s="287">
        <f t="shared" si="6"/>
        <v>3</v>
      </c>
      <c r="AA14" s="287">
        <f t="shared" si="21"/>
        <v>750</v>
      </c>
      <c r="AB14" s="287">
        <f t="shared" si="22"/>
        <v>250</v>
      </c>
      <c r="AC14" s="287">
        <f t="shared" si="23"/>
        <v>250</v>
      </c>
      <c r="AD14" s="73">
        <f>ELEC!Q14</f>
        <v>1863.999999997759</v>
      </c>
      <c r="AE14" s="73">
        <f t="shared" si="25"/>
        <v>621.33333333258634</v>
      </c>
      <c r="AF14" s="403">
        <f t="shared" si="26"/>
        <v>0.38833333333286646</v>
      </c>
      <c r="AG14" s="404">
        <f t="shared" si="27"/>
        <v>124.26666666651727</v>
      </c>
      <c r="AH14" s="404">
        <f t="shared" si="24"/>
        <v>125.73333333348273</v>
      </c>
      <c r="AI14" s="73">
        <f t="shared" si="28"/>
        <v>479.76371307959204</v>
      </c>
      <c r="AJ14" s="289">
        <f t="shared" si="7"/>
        <v>0.25738396624472576</v>
      </c>
      <c r="AK14" s="289">
        <f t="shared" si="30"/>
        <v>159.92123769319736</v>
      </c>
    </row>
    <row r="15" spans="1:37" ht="15.75" thickBot="1">
      <c r="A15" s="4">
        <f>ELEC!C15</f>
        <v>44268</v>
      </c>
      <c r="B15" s="540">
        <f t="shared" si="9"/>
        <v>9649</v>
      </c>
      <c r="C15" s="287">
        <f t="shared" si="10"/>
        <v>0</v>
      </c>
      <c r="D15" s="541">
        <f t="shared" si="11"/>
        <v>333323</v>
      </c>
      <c r="E15" s="287">
        <f t="shared" si="12"/>
        <v>0</v>
      </c>
      <c r="F15" s="287">
        <f t="shared" si="0"/>
        <v>0</v>
      </c>
      <c r="G15" s="196"/>
      <c r="H15" s="270">
        <f t="shared" si="13"/>
        <v>9729</v>
      </c>
      <c r="I15" s="287" t="str">
        <f t="shared" si="1"/>
        <v>ok</v>
      </c>
      <c r="J15" s="541">
        <f t="shared" si="14"/>
        <v>10698</v>
      </c>
      <c r="K15" s="287">
        <f t="shared" si="2"/>
        <v>0</v>
      </c>
      <c r="L15" s="541">
        <f t="shared" si="15"/>
        <v>357691</v>
      </c>
      <c r="M15" s="287">
        <f t="shared" si="16"/>
        <v>0</v>
      </c>
      <c r="N15" s="287">
        <f t="shared" si="17"/>
        <v>0</v>
      </c>
      <c r="O15" s="196"/>
      <c r="P15" s="288">
        <f t="shared" si="18"/>
        <v>10873</v>
      </c>
      <c r="Q15" s="287" t="str">
        <f t="shared" si="3"/>
        <v>ok</v>
      </c>
      <c r="R15" s="541">
        <v>11960</v>
      </c>
      <c r="S15" s="287">
        <f t="shared" si="4"/>
        <v>4</v>
      </c>
      <c r="T15" s="541">
        <f t="shared" si="29"/>
        <v>416163</v>
      </c>
      <c r="U15" s="287">
        <f t="shared" si="19"/>
        <v>1000</v>
      </c>
      <c r="V15" s="287">
        <v>250</v>
      </c>
      <c r="W15" s="338"/>
      <c r="X15" s="288">
        <f t="shared" si="20"/>
        <v>11898</v>
      </c>
      <c r="Y15" s="287" t="str">
        <f t="shared" si="31"/>
        <v>oil change</v>
      </c>
      <c r="Z15" s="287">
        <f t="shared" si="6"/>
        <v>4</v>
      </c>
      <c r="AA15" s="287">
        <f t="shared" si="21"/>
        <v>1000</v>
      </c>
      <c r="AB15" s="287">
        <f t="shared" si="22"/>
        <v>250</v>
      </c>
      <c r="AC15" s="287">
        <f t="shared" si="23"/>
        <v>250</v>
      </c>
      <c r="AD15" s="73">
        <f>ELEC!Q15</f>
        <v>1904.0000000022701</v>
      </c>
      <c r="AE15" s="73">
        <f t="shared" si="25"/>
        <v>476.00000000056752</v>
      </c>
      <c r="AF15" s="403">
        <f t="shared" si="26"/>
        <v>0.2975000000003547</v>
      </c>
      <c r="AG15" s="404">
        <f t="shared" si="27"/>
        <v>95.200000000113505</v>
      </c>
      <c r="AH15" s="404">
        <f t="shared" si="24"/>
        <v>154.7999999998865</v>
      </c>
      <c r="AI15" s="73">
        <f t="shared" si="28"/>
        <v>490.05907173054214</v>
      </c>
      <c r="AJ15" s="289">
        <f t="shared" si="7"/>
        <v>0.25738396624472576</v>
      </c>
      <c r="AK15" s="289">
        <f t="shared" si="30"/>
        <v>122.51476793263554</v>
      </c>
    </row>
    <row r="16" spans="1:37" ht="15.75" thickBot="1">
      <c r="A16" s="4">
        <f>ELEC!C16</f>
        <v>44269</v>
      </c>
      <c r="B16" s="540">
        <v>9649</v>
      </c>
      <c r="C16" s="287">
        <f t="shared" si="10"/>
        <v>0</v>
      </c>
      <c r="D16" s="541">
        <f t="shared" si="11"/>
        <v>333323</v>
      </c>
      <c r="E16" s="287">
        <f t="shared" si="12"/>
        <v>0</v>
      </c>
      <c r="F16" s="287">
        <f t="shared" si="0"/>
        <v>0</v>
      </c>
      <c r="G16" s="196"/>
      <c r="H16" s="270">
        <f t="shared" si="13"/>
        <v>9729</v>
      </c>
      <c r="I16" s="287" t="str">
        <f t="shared" si="1"/>
        <v>ok</v>
      </c>
      <c r="J16" s="541">
        <f t="shared" si="14"/>
        <v>10698</v>
      </c>
      <c r="K16" s="287">
        <f t="shared" si="2"/>
        <v>0</v>
      </c>
      <c r="L16" s="541">
        <f t="shared" si="15"/>
        <v>357691</v>
      </c>
      <c r="M16" s="287">
        <f t="shared" si="16"/>
        <v>0</v>
      </c>
      <c r="N16" s="287">
        <f t="shared" si="17"/>
        <v>0</v>
      </c>
      <c r="O16" s="196"/>
      <c r="P16" s="288">
        <f t="shared" si="18"/>
        <v>10873</v>
      </c>
      <c r="Q16" s="287" t="str">
        <f t="shared" si="3"/>
        <v>ok</v>
      </c>
      <c r="R16" s="541">
        <v>11964</v>
      </c>
      <c r="S16" s="287">
        <f t="shared" si="4"/>
        <v>4</v>
      </c>
      <c r="T16" s="541">
        <f t="shared" si="29"/>
        <v>417163</v>
      </c>
      <c r="U16" s="287">
        <f t="shared" si="19"/>
        <v>1000</v>
      </c>
      <c r="V16" s="287">
        <v>250</v>
      </c>
      <c r="W16" s="338"/>
      <c r="X16" s="288">
        <f t="shared" si="20"/>
        <v>11898</v>
      </c>
      <c r="Y16" s="287" t="str">
        <f t="shared" si="31"/>
        <v>oil change</v>
      </c>
      <c r="Z16" s="287">
        <f t="shared" si="6"/>
        <v>4</v>
      </c>
      <c r="AA16" s="287">
        <f t="shared" si="21"/>
        <v>1000</v>
      </c>
      <c r="AB16" s="287">
        <f t="shared" si="22"/>
        <v>250</v>
      </c>
      <c r="AC16" s="287">
        <f t="shared" si="23"/>
        <v>250</v>
      </c>
      <c r="AD16" s="73">
        <f>ELEC!Q16</f>
        <v>2779.9999999988358</v>
      </c>
      <c r="AE16" s="73">
        <f t="shared" si="25"/>
        <v>694.99999999970896</v>
      </c>
      <c r="AF16" s="403">
        <f t="shared" si="26"/>
        <v>0.4343749999998181</v>
      </c>
      <c r="AG16" s="404">
        <f t="shared" si="27"/>
        <v>138.99999999994179</v>
      </c>
      <c r="AH16" s="404">
        <f t="shared" si="24"/>
        <v>111.00000000005821</v>
      </c>
      <c r="AI16" s="73">
        <f t="shared" si="28"/>
        <v>715.52742616003798</v>
      </c>
      <c r="AJ16" s="289">
        <f t="shared" si="7"/>
        <v>0.25738396624472576</v>
      </c>
      <c r="AK16" s="289">
        <f t="shared" si="30"/>
        <v>178.88185654000949</v>
      </c>
    </row>
    <row r="17" spans="1:37" ht="15.75" thickBot="1">
      <c r="A17" s="4">
        <f>ELEC!C17</f>
        <v>44270</v>
      </c>
      <c r="B17" s="540">
        <f t="shared" si="9"/>
        <v>9649</v>
      </c>
      <c r="C17" s="287">
        <f t="shared" si="10"/>
        <v>0</v>
      </c>
      <c r="D17" s="541">
        <f t="shared" si="11"/>
        <v>333323</v>
      </c>
      <c r="E17" s="287">
        <f t="shared" si="12"/>
        <v>0</v>
      </c>
      <c r="F17" s="287">
        <f t="shared" si="0"/>
        <v>0</v>
      </c>
      <c r="G17" s="196"/>
      <c r="H17" s="270">
        <f t="shared" si="13"/>
        <v>9729</v>
      </c>
      <c r="I17" s="287" t="str">
        <f t="shared" si="1"/>
        <v>ok</v>
      </c>
      <c r="J17" s="541">
        <f t="shared" si="14"/>
        <v>10698</v>
      </c>
      <c r="K17" s="287">
        <f t="shared" si="2"/>
        <v>0</v>
      </c>
      <c r="L17" s="541">
        <f t="shared" si="15"/>
        <v>357691</v>
      </c>
      <c r="M17" s="287">
        <f t="shared" si="16"/>
        <v>0</v>
      </c>
      <c r="N17" s="287">
        <f t="shared" si="17"/>
        <v>0</v>
      </c>
      <c r="O17" s="196"/>
      <c r="P17" s="288">
        <f t="shared" si="18"/>
        <v>10873</v>
      </c>
      <c r="Q17" s="287" t="str">
        <f t="shared" si="3"/>
        <v>ok</v>
      </c>
      <c r="R17" s="541">
        <v>11967</v>
      </c>
      <c r="S17" s="287">
        <f t="shared" si="4"/>
        <v>3</v>
      </c>
      <c r="T17" s="541">
        <f t="shared" si="29"/>
        <v>417913</v>
      </c>
      <c r="U17" s="287">
        <f t="shared" si="19"/>
        <v>750</v>
      </c>
      <c r="V17" s="287">
        <v>250</v>
      </c>
      <c r="W17" s="338"/>
      <c r="X17" s="288">
        <f t="shared" si="20"/>
        <v>11898</v>
      </c>
      <c r="Y17" s="287" t="str">
        <f t="shared" si="31"/>
        <v>oil change</v>
      </c>
      <c r="Z17" s="287">
        <f t="shared" si="6"/>
        <v>3</v>
      </c>
      <c r="AA17" s="287">
        <f t="shared" si="21"/>
        <v>750</v>
      </c>
      <c r="AB17" s="287">
        <f t="shared" si="22"/>
        <v>250</v>
      </c>
      <c r="AC17" s="287">
        <f t="shared" si="23"/>
        <v>250</v>
      </c>
      <c r="AD17" s="73">
        <f>ELEC!Q17</f>
        <v>1792.0000000012806</v>
      </c>
      <c r="AE17" s="73">
        <f t="shared" si="25"/>
        <v>597.33333333376015</v>
      </c>
      <c r="AF17" s="403">
        <f t="shared" si="26"/>
        <v>0.37333333333360008</v>
      </c>
      <c r="AG17" s="404">
        <f t="shared" si="27"/>
        <v>119.46666666675202</v>
      </c>
      <c r="AH17" s="404">
        <f t="shared" si="24"/>
        <v>130.53333333324798</v>
      </c>
      <c r="AI17" s="73">
        <f t="shared" si="28"/>
        <v>461.23206751087815</v>
      </c>
      <c r="AJ17" s="289">
        <f t="shared" si="7"/>
        <v>0.25738396624472576</v>
      </c>
      <c r="AK17" s="289">
        <f t="shared" ref="AK17:AK30" si="32">IF(Z17&gt;0,AI17/Z17,0)</f>
        <v>153.74402250362604</v>
      </c>
    </row>
    <row r="18" spans="1:37" ht="15.75" thickBot="1">
      <c r="A18" s="4">
        <f>ELEC!C18</f>
        <v>44271</v>
      </c>
      <c r="B18" s="540">
        <v>9657</v>
      </c>
      <c r="C18" s="287">
        <f t="shared" si="10"/>
        <v>8</v>
      </c>
      <c r="D18" s="541">
        <v>335204</v>
      </c>
      <c r="E18" s="287">
        <f t="shared" si="12"/>
        <v>1881</v>
      </c>
      <c r="F18" s="287">
        <f t="shared" si="0"/>
        <v>235.125</v>
      </c>
      <c r="G18" s="196"/>
      <c r="H18" s="270">
        <f t="shared" si="13"/>
        <v>9729</v>
      </c>
      <c r="I18" s="287" t="str">
        <f t="shared" si="1"/>
        <v>ok</v>
      </c>
      <c r="J18" s="541">
        <f t="shared" si="14"/>
        <v>10698</v>
      </c>
      <c r="K18" s="287">
        <f t="shared" si="2"/>
        <v>0</v>
      </c>
      <c r="L18" s="541">
        <f t="shared" si="15"/>
        <v>357691</v>
      </c>
      <c r="M18" s="287">
        <f t="shared" si="16"/>
        <v>0</v>
      </c>
      <c r="N18" s="287">
        <f t="shared" si="17"/>
        <v>0</v>
      </c>
      <c r="O18" s="196"/>
      <c r="P18" s="288">
        <f t="shared" si="18"/>
        <v>10873</v>
      </c>
      <c r="Q18" s="287" t="str">
        <f>IF(J18-P14&lt;=0,"ok","oil change")</f>
        <v>ok</v>
      </c>
      <c r="R18" s="541">
        <v>11968</v>
      </c>
      <c r="S18" s="287">
        <f t="shared" si="4"/>
        <v>1</v>
      </c>
      <c r="T18" s="541">
        <f t="shared" si="29"/>
        <v>418163</v>
      </c>
      <c r="U18" s="287">
        <f t="shared" si="19"/>
        <v>250</v>
      </c>
      <c r="V18" s="287">
        <v>250</v>
      </c>
      <c r="W18" s="338"/>
      <c r="X18" s="288">
        <f t="shared" si="20"/>
        <v>11898</v>
      </c>
      <c r="Y18" s="287" t="str">
        <f t="shared" si="31"/>
        <v>oil change</v>
      </c>
      <c r="Z18" s="287">
        <f t="shared" si="6"/>
        <v>9</v>
      </c>
      <c r="AA18" s="287">
        <f t="shared" si="21"/>
        <v>2131</v>
      </c>
      <c r="AB18" s="287">
        <f t="shared" si="22"/>
        <v>485.125</v>
      </c>
      <c r="AC18" s="287">
        <f t="shared" si="23"/>
        <v>236.77777777777777</v>
      </c>
      <c r="AD18" s="73">
        <f>ELEC!Q18</f>
        <v>5106.9999999999709</v>
      </c>
      <c r="AE18" s="73">
        <f t="shared" si="25"/>
        <v>567.44444444444116</v>
      </c>
      <c r="AF18" s="403">
        <f t="shared" si="26"/>
        <v>0.35465277777777571</v>
      </c>
      <c r="AG18" s="404">
        <f t="shared" si="27"/>
        <v>113.48888888888823</v>
      </c>
      <c r="AH18" s="404">
        <f t="shared" si="24"/>
        <v>123.28888888888955</v>
      </c>
      <c r="AI18" s="73">
        <f t="shared" si="28"/>
        <v>1314.459915611807</v>
      </c>
      <c r="AJ18" s="289">
        <f t="shared" si="7"/>
        <v>0.25738396624472576</v>
      </c>
      <c r="AK18" s="289">
        <f t="shared" si="32"/>
        <v>146.05110173464521</v>
      </c>
    </row>
    <row r="19" spans="1:37" ht="15.75" thickBot="1">
      <c r="A19" s="4">
        <f>ELEC!C19</f>
        <v>44272</v>
      </c>
      <c r="B19" s="540">
        <f t="shared" si="9"/>
        <v>9657</v>
      </c>
      <c r="C19" s="287">
        <f t="shared" si="10"/>
        <v>0</v>
      </c>
      <c r="D19" s="541">
        <f t="shared" si="11"/>
        <v>335204</v>
      </c>
      <c r="E19" s="287">
        <f t="shared" si="12"/>
        <v>0</v>
      </c>
      <c r="F19" s="287">
        <f t="shared" si="0"/>
        <v>0</v>
      </c>
      <c r="G19" s="196"/>
      <c r="H19" s="270">
        <f t="shared" si="13"/>
        <v>9729</v>
      </c>
      <c r="I19" s="287" t="str">
        <f t="shared" si="1"/>
        <v>ok</v>
      </c>
      <c r="J19" s="541">
        <f t="shared" si="14"/>
        <v>10698</v>
      </c>
      <c r="K19" s="287">
        <f t="shared" si="2"/>
        <v>0</v>
      </c>
      <c r="L19" s="541">
        <f t="shared" si="15"/>
        <v>357691</v>
      </c>
      <c r="M19" s="287">
        <f t="shared" si="16"/>
        <v>0</v>
      </c>
      <c r="N19" s="287">
        <f t="shared" si="17"/>
        <v>0</v>
      </c>
      <c r="O19" s="196"/>
      <c r="P19" s="288">
        <f t="shared" si="18"/>
        <v>10873</v>
      </c>
      <c r="Q19" s="287" t="str">
        <f t="shared" ref="Q19:Q30" si="33">IF(J19-P19&lt;=0,"ok","oil change")</f>
        <v>ok</v>
      </c>
      <c r="R19" s="541">
        <v>11976</v>
      </c>
      <c r="S19" s="287">
        <f t="shared" si="4"/>
        <v>8</v>
      </c>
      <c r="T19" s="541">
        <f t="shared" si="29"/>
        <v>420163</v>
      </c>
      <c r="U19" s="287">
        <f t="shared" si="19"/>
        <v>2000</v>
      </c>
      <c r="V19" s="287">
        <v>250</v>
      </c>
      <c r="W19" s="338"/>
      <c r="X19" s="288">
        <f t="shared" si="20"/>
        <v>11898</v>
      </c>
      <c r="Y19" s="287" t="str">
        <f t="shared" si="31"/>
        <v>oil change</v>
      </c>
      <c r="Z19" s="287">
        <f t="shared" si="6"/>
        <v>8</v>
      </c>
      <c r="AA19" s="287">
        <f t="shared" si="21"/>
        <v>2000</v>
      </c>
      <c r="AB19" s="287">
        <f t="shared" si="22"/>
        <v>250</v>
      </c>
      <c r="AC19" s="287">
        <f t="shared" si="23"/>
        <v>250</v>
      </c>
      <c r="AD19" s="73">
        <f>ELEC!Q19</f>
        <v>4901.9999999982247</v>
      </c>
      <c r="AE19" s="73">
        <f t="shared" si="25"/>
        <v>612.74999999977808</v>
      </c>
      <c r="AF19" s="403">
        <f t="shared" si="26"/>
        <v>0.3829687499998613</v>
      </c>
      <c r="AG19" s="404">
        <f t="shared" si="27"/>
        <v>122.54999999995562</v>
      </c>
      <c r="AH19" s="404">
        <f t="shared" si="24"/>
        <v>127.45000000004438</v>
      </c>
      <c r="AI19" s="73">
        <f t="shared" si="28"/>
        <v>1261.6962025311886</v>
      </c>
      <c r="AJ19" s="289">
        <f t="shared" si="7"/>
        <v>0.25738396624472576</v>
      </c>
      <c r="AK19" s="289">
        <f t="shared" si="32"/>
        <v>157.71202531639858</v>
      </c>
    </row>
    <row r="20" spans="1:37" ht="15.75" thickBot="1">
      <c r="A20" s="4">
        <f>ELEC!C20</f>
        <v>44273</v>
      </c>
      <c r="B20" s="540">
        <f t="shared" si="9"/>
        <v>9657</v>
      </c>
      <c r="C20" s="287">
        <f>B20-B19</f>
        <v>0</v>
      </c>
      <c r="D20" s="541">
        <f t="shared" si="11"/>
        <v>335204</v>
      </c>
      <c r="E20" s="287">
        <f t="shared" si="12"/>
        <v>0</v>
      </c>
      <c r="F20" s="287">
        <f t="shared" si="0"/>
        <v>0</v>
      </c>
      <c r="G20" s="196"/>
      <c r="H20" s="270">
        <f t="shared" si="13"/>
        <v>9729</v>
      </c>
      <c r="I20" s="287" t="str">
        <f t="shared" si="1"/>
        <v>ok</v>
      </c>
      <c r="J20" s="541">
        <f t="shared" si="14"/>
        <v>10698</v>
      </c>
      <c r="K20" s="287">
        <f t="shared" si="2"/>
        <v>0</v>
      </c>
      <c r="L20" s="541">
        <f t="shared" si="15"/>
        <v>357691</v>
      </c>
      <c r="M20" s="287">
        <f t="shared" si="16"/>
        <v>0</v>
      </c>
      <c r="N20" s="287">
        <f t="shared" si="17"/>
        <v>0</v>
      </c>
      <c r="O20" s="196"/>
      <c r="P20" s="288">
        <f t="shared" si="18"/>
        <v>10873</v>
      </c>
      <c r="Q20" s="287" t="str">
        <f t="shared" si="33"/>
        <v>ok</v>
      </c>
      <c r="R20" s="541">
        <v>11986</v>
      </c>
      <c r="S20" s="287">
        <f t="shared" si="4"/>
        <v>10</v>
      </c>
      <c r="T20" s="541">
        <f t="shared" si="29"/>
        <v>422663</v>
      </c>
      <c r="U20" s="287">
        <f t="shared" si="19"/>
        <v>2500</v>
      </c>
      <c r="V20" s="287">
        <v>250</v>
      </c>
      <c r="W20" s="338"/>
      <c r="X20" s="288">
        <f t="shared" si="20"/>
        <v>11898</v>
      </c>
      <c r="Y20" s="287" t="str">
        <f t="shared" si="31"/>
        <v>oil change</v>
      </c>
      <c r="Z20" s="287">
        <f t="shared" si="6"/>
        <v>10</v>
      </c>
      <c r="AA20" s="287">
        <f t="shared" si="21"/>
        <v>2500</v>
      </c>
      <c r="AB20" s="287">
        <f t="shared" si="22"/>
        <v>250</v>
      </c>
      <c r="AC20" s="287">
        <f t="shared" si="23"/>
        <v>250</v>
      </c>
      <c r="AD20" s="73">
        <f>ELEC!Q20</f>
        <v>5842.000000000553</v>
      </c>
      <c r="AE20" s="73">
        <f t="shared" si="25"/>
        <v>584.2000000000553</v>
      </c>
      <c r="AF20" s="403">
        <f t="shared" si="26"/>
        <v>0.36512500000003456</v>
      </c>
      <c r="AG20" s="404">
        <f t="shared" si="27"/>
        <v>116.84000000001106</v>
      </c>
      <c r="AH20" s="404">
        <f t="shared" si="24"/>
        <v>133.15999999998894</v>
      </c>
      <c r="AI20" s="73">
        <f>AD20*AJ20</f>
        <v>1503.6371308018302</v>
      </c>
      <c r="AJ20" s="289">
        <f t="shared" si="7"/>
        <v>0.25738396624472576</v>
      </c>
      <c r="AK20" s="289">
        <f t="shared" si="32"/>
        <v>150.363713080183</v>
      </c>
    </row>
    <row r="21" spans="1:37" ht="15.75" thickBot="1">
      <c r="A21" s="4">
        <f>ELEC!C21</f>
        <v>44274</v>
      </c>
      <c r="B21" s="540">
        <f t="shared" si="9"/>
        <v>9657</v>
      </c>
      <c r="C21" s="287">
        <f t="shared" ref="C21" si="34">B21-B20</f>
        <v>0</v>
      </c>
      <c r="D21" s="541">
        <f t="shared" si="11"/>
        <v>335204</v>
      </c>
      <c r="E21" s="287">
        <f t="shared" si="12"/>
        <v>0</v>
      </c>
      <c r="F21" s="287">
        <f t="shared" si="0"/>
        <v>0</v>
      </c>
      <c r="G21" s="196"/>
      <c r="H21" s="270">
        <f t="shared" si="13"/>
        <v>9729</v>
      </c>
      <c r="I21" s="287" t="str">
        <f t="shared" si="1"/>
        <v>ok</v>
      </c>
      <c r="J21" s="541">
        <f t="shared" si="14"/>
        <v>10698</v>
      </c>
      <c r="K21" s="287">
        <f t="shared" si="2"/>
        <v>0</v>
      </c>
      <c r="L21" s="541">
        <f t="shared" si="15"/>
        <v>357691</v>
      </c>
      <c r="M21" s="287">
        <f t="shared" si="16"/>
        <v>0</v>
      </c>
      <c r="N21" s="287">
        <f t="shared" si="17"/>
        <v>0</v>
      </c>
      <c r="O21" s="196"/>
      <c r="P21" s="288">
        <f t="shared" si="18"/>
        <v>10873</v>
      </c>
      <c r="Q21" s="287" t="str">
        <f t="shared" si="33"/>
        <v>ok</v>
      </c>
      <c r="R21" s="541">
        <v>11992</v>
      </c>
      <c r="S21" s="287">
        <f t="shared" si="4"/>
        <v>6</v>
      </c>
      <c r="T21" s="541">
        <f t="shared" si="29"/>
        <v>424163</v>
      </c>
      <c r="U21" s="287">
        <f t="shared" si="19"/>
        <v>1500</v>
      </c>
      <c r="V21" s="287">
        <v>250</v>
      </c>
      <c r="W21" s="196"/>
      <c r="X21" s="288">
        <f t="shared" si="20"/>
        <v>11898</v>
      </c>
      <c r="Y21" s="287" t="str">
        <f>Y20</f>
        <v>oil change</v>
      </c>
      <c r="Z21" s="287">
        <f t="shared" si="6"/>
        <v>6</v>
      </c>
      <c r="AA21" s="287">
        <f t="shared" si="21"/>
        <v>1500</v>
      </c>
      <c r="AB21" s="287">
        <f t="shared" si="22"/>
        <v>250</v>
      </c>
      <c r="AC21" s="287">
        <f t="shared" si="23"/>
        <v>250</v>
      </c>
      <c r="AD21" s="73">
        <f>ELEC!Q21</f>
        <v>3600.0000000021828</v>
      </c>
      <c r="AE21" s="73">
        <f t="shared" si="25"/>
        <v>600.0000000003638</v>
      </c>
      <c r="AF21" s="403">
        <f t="shared" si="26"/>
        <v>0.37500000000022737</v>
      </c>
      <c r="AG21" s="404">
        <f t="shared" si="27"/>
        <v>120.00000000007276</v>
      </c>
      <c r="AH21" s="404">
        <f t="shared" si="24"/>
        <v>129.99999999992724</v>
      </c>
      <c r="AI21" s="73">
        <f t="shared" si="28"/>
        <v>926.58227848157458</v>
      </c>
      <c r="AJ21" s="289">
        <f t="shared" si="7"/>
        <v>0.25738396624472576</v>
      </c>
      <c r="AK21" s="289">
        <f t="shared" si="32"/>
        <v>154.43037974692911</v>
      </c>
    </row>
    <row r="22" spans="1:37" ht="15.75" thickBot="1">
      <c r="A22" s="4">
        <f>ELEC!C22</f>
        <v>44275</v>
      </c>
      <c r="B22" s="540">
        <f t="shared" si="9"/>
        <v>9657</v>
      </c>
      <c r="C22" s="287">
        <f t="shared" si="10"/>
        <v>0</v>
      </c>
      <c r="D22" s="541">
        <f t="shared" si="11"/>
        <v>335204</v>
      </c>
      <c r="E22" s="287">
        <f>150*C22</f>
        <v>0</v>
      </c>
      <c r="F22" s="287">
        <f t="shared" si="0"/>
        <v>0</v>
      </c>
      <c r="G22" s="196"/>
      <c r="H22" s="270">
        <f t="shared" si="13"/>
        <v>9729</v>
      </c>
      <c r="I22" s="287" t="str">
        <f t="shared" si="1"/>
        <v>ok</v>
      </c>
      <c r="J22" s="541">
        <f t="shared" si="14"/>
        <v>10698</v>
      </c>
      <c r="K22" s="287">
        <f t="shared" si="2"/>
        <v>0</v>
      </c>
      <c r="L22" s="541">
        <f t="shared" si="15"/>
        <v>357691</v>
      </c>
      <c r="M22" s="287">
        <f t="shared" si="16"/>
        <v>0</v>
      </c>
      <c r="N22" s="287">
        <f t="shared" si="17"/>
        <v>0</v>
      </c>
      <c r="O22" s="196"/>
      <c r="P22" s="288">
        <f t="shared" si="18"/>
        <v>10873</v>
      </c>
      <c r="Q22" s="287" t="str">
        <f t="shared" si="33"/>
        <v>ok</v>
      </c>
      <c r="R22" s="541">
        <v>11996</v>
      </c>
      <c r="S22" s="287">
        <f t="shared" si="4"/>
        <v>4</v>
      </c>
      <c r="T22" s="541">
        <f t="shared" si="29"/>
        <v>425163</v>
      </c>
      <c r="U22" s="287">
        <f t="shared" si="19"/>
        <v>1000</v>
      </c>
      <c r="V22" s="287">
        <v>250</v>
      </c>
      <c r="W22" s="196"/>
      <c r="X22" s="288">
        <f t="shared" si="20"/>
        <v>11898</v>
      </c>
      <c r="Y22" s="287" t="str">
        <f t="shared" ref="Y22:Y30" si="35">IF(R22-X22&lt;=0,"ok","oil change")</f>
        <v>oil change</v>
      </c>
      <c r="Z22" s="287">
        <f t="shared" si="6"/>
        <v>4</v>
      </c>
      <c r="AA22" s="287">
        <f t="shared" si="21"/>
        <v>1000</v>
      </c>
      <c r="AB22" s="287">
        <f t="shared" si="22"/>
        <v>250</v>
      </c>
      <c r="AC22" s="287">
        <f t="shared" si="23"/>
        <v>250</v>
      </c>
      <c r="AD22" s="73">
        <f>ELEC!Q22</f>
        <v>2403.9999999986321</v>
      </c>
      <c r="AE22" s="73">
        <f t="shared" si="25"/>
        <v>600.99999999965803</v>
      </c>
      <c r="AF22" s="403">
        <f t="shared" si="26"/>
        <v>0.37562499999978627</v>
      </c>
      <c r="AG22" s="404">
        <f t="shared" si="27"/>
        <v>120.19999999993161</v>
      </c>
      <c r="AH22" s="404">
        <f t="shared" si="24"/>
        <v>129.80000000006839</v>
      </c>
      <c r="AI22" s="73">
        <f t="shared" si="28"/>
        <v>618.75105485196866</v>
      </c>
      <c r="AJ22" s="289">
        <f t="shared" si="7"/>
        <v>0.25738396624472576</v>
      </c>
      <c r="AK22" s="289">
        <f t="shared" si="32"/>
        <v>154.68776371299217</v>
      </c>
    </row>
    <row r="23" spans="1:37" ht="15.75" thickBot="1">
      <c r="A23" s="4">
        <f>ELEC!C23</f>
        <v>44276</v>
      </c>
      <c r="B23" s="540">
        <f t="shared" si="9"/>
        <v>9657</v>
      </c>
      <c r="C23" s="287">
        <f t="shared" si="10"/>
        <v>0</v>
      </c>
      <c r="D23" s="541">
        <f t="shared" si="11"/>
        <v>335204</v>
      </c>
      <c r="E23" s="287">
        <f>150*C23</f>
        <v>0</v>
      </c>
      <c r="F23" s="287">
        <f t="shared" si="0"/>
        <v>0</v>
      </c>
      <c r="G23" s="196"/>
      <c r="H23" s="270">
        <f t="shared" si="13"/>
        <v>9729</v>
      </c>
      <c r="I23" s="287" t="str">
        <f t="shared" si="1"/>
        <v>ok</v>
      </c>
      <c r="J23" s="541">
        <f t="shared" si="14"/>
        <v>10698</v>
      </c>
      <c r="K23" s="287">
        <f t="shared" si="2"/>
        <v>0</v>
      </c>
      <c r="L23" s="541">
        <f t="shared" si="15"/>
        <v>357691</v>
      </c>
      <c r="M23" s="287">
        <f t="shared" si="16"/>
        <v>0</v>
      </c>
      <c r="N23" s="287">
        <f t="shared" si="17"/>
        <v>0</v>
      </c>
      <c r="O23" s="196"/>
      <c r="P23" s="288">
        <f t="shared" si="18"/>
        <v>10873</v>
      </c>
      <c r="Q23" s="287" t="str">
        <f t="shared" si="33"/>
        <v>ok</v>
      </c>
      <c r="R23" s="606">
        <v>12003</v>
      </c>
      <c r="S23" s="287">
        <f>R23-R22</f>
        <v>7</v>
      </c>
      <c r="T23" s="541">
        <f>T22+U23</f>
        <v>426913</v>
      </c>
      <c r="U23" s="287">
        <f t="shared" si="19"/>
        <v>1750</v>
      </c>
      <c r="V23" s="287">
        <v>250</v>
      </c>
      <c r="W23" s="196"/>
      <c r="X23" s="288">
        <f t="shared" si="20"/>
        <v>11898</v>
      </c>
      <c r="Y23" s="287" t="str">
        <f t="shared" si="35"/>
        <v>oil change</v>
      </c>
      <c r="Z23" s="287">
        <f t="shared" si="6"/>
        <v>7</v>
      </c>
      <c r="AA23" s="287">
        <f t="shared" si="21"/>
        <v>1750</v>
      </c>
      <c r="AB23" s="287">
        <f t="shared" si="22"/>
        <v>250</v>
      </c>
      <c r="AC23" s="287">
        <f t="shared" si="23"/>
        <v>250</v>
      </c>
      <c r="AD23" s="73">
        <f>ELEC!Q23</f>
        <v>3717.000000000553</v>
      </c>
      <c r="AE23" s="73">
        <f t="shared" si="25"/>
        <v>531.00000000007901</v>
      </c>
      <c r="AF23" s="403">
        <f t="shared" si="26"/>
        <v>0.33187500000004938</v>
      </c>
      <c r="AG23" s="404">
        <f t="shared" si="27"/>
        <v>106.20000000001581</v>
      </c>
      <c r="AH23" s="404">
        <f t="shared" si="24"/>
        <v>143.79999999998421</v>
      </c>
      <c r="AI23" s="73">
        <f t="shared" si="28"/>
        <v>956.696202531788</v>
      </c>
      <c r="AJ23" s="289">
        <f t="shared" si="7"/>
        <v>0.25738396624472576</v>
      </c>
      <c r="AK23" s="289">
        <f t="shared" si="32"/>
        <v>136.67088607596972</v>
      </c>
    </row>
    <row r="24" spans="1:37" ht="15.75" thickBot="1">
      <c r="A24" s="4">
        <f>ELEC!C24</f>
        <v>44277</v>
      </c>
      <c r="B24" s="617">
        <v>9662</v>
      </c>
      <c r="C24" s="287">
        <f t="shared" si="10"/>
        <v>5</v>
      </c>
      <c r="D24" s="618">
        <v>336857</v>
      </c>
      <c r="E24" s="287">
        <f t="shared" si="12"/>
        <v>1653</v>
      </c>
      <c r="F24" s="287">
        <f t="shared" si="0"/>
        <v>330.6</v>
      </c>
      <c r="G24" s="196"/>
      <c r="H24" s="270">
        <f t="shared" si="13"/>
        <v>9729</v>
      </c>
      <c r="I24" s="287" t="str">
        <f t="shared" si="1"/>
        <v>ok</v>
      </c>
      <c r="J24" s="541">
        <f t="shared" si="14"/>
        <v>10698</v>
      </c>
      <c r="K24" s="287">
        <f t="shared" si="2"/>
        <v>0</v>
      </c>
      <c r="L24" s="541">
        <f t="shared" si="15"/>
        <v>357691</v>
      </c>
      <c r="M24" s="287">
        <f t="shared" si="16"/>
        <v>0</v>
      </c>
      <c r="N24" s="287">
        <f t="shared" si="17"/>
        <v>0</v>
      </c>
      <c r="O24" s="196"/>
      <c r="P24" s="288">
        <f t="shared" si="18"/>
        <v>10873</v>
      </c>
      <c r="Q24" s="287" t="str">
        <f t="shared" si="33"/>
        <v>ok</v>
      </c>
      <c r="R24" s="541">
        <v>12010</v>
      </c>
      <c r="S24" s="287">
        <f t="shared" si="4"/>
        <v>7</v>
      </c>
      <c r="T24" s="541">
        <f t="shared" si="29"/>
        <v>428663</v>
      </c>
      <c r="U24" s="287">
        <f t="shared" si="19"/>
        <v>1750</v>
      </c>
      <c r="V24" s="287">
        <v>250</v>
      </c>
      <c r="W24" s="196"/>
      <c r="X24" s="288">
        <f t="shared" si="20"/>
        <v>11898</v>
      </c>
      <c r="Y24" s="287" t="str">
        <f t="shared" si="35"/>
        <v>oil change</v>
      </c>
      <c r="Z24" s="287">
        <f t="shared" si="6"/>
        <v>12</v>
      </c>
      <c r="AA24" s="287">
        <f t="shared" si="21"/>
        <v>3403</v>
      </c>
      <c r="AB24" s="287">
        <f t="shared" si="22"/>
        <v>580.6</v>
      </c>
      <c r="AC24" s="287">
        <f t="shared" si="23"/>
        <v>283.58333333333331</v>
      </c>
      <c r="AD24" s="73">
        <f>ELEC!Q24</f>
        <v>7474.9999999985448</v>
      </c>
      <c r="AE24" s="73">
        <f t="shared" si="25"/>
        <v>622.91666666654544</v>
      </c>
      <c r="AF24" s="403">
        <f t="shared" si="26"/>
        <v>0.38932291666659091</v>
      </c>
      <c r="AG24" s="404">
        <f t="shared" si="27"/>
        <v>124.5833333333091</v>
      </c>
      <c r="AH24" s="404">
        <f t="shared" si="24"/>
        <v>159.00000000002422</v>
      </c>
      <c r="AI24" s="73">
        <f t="shared" si="28"/>
        <v>1923.9451476789504</v>
      </c>
      <c r="AJ24" s="289">
        <f t="shared" si="7"/>
        <v>0.25738396624472576</v>
      </c>
      <c r="AK24" s="289">
        <f t="shared" si="32"/>
        <v>160.32876230657919</v>
      </c>
    </row>
    <row r="25" spans="1:37" ht="15.75" thickBot="1">
      <c r="A25" s="4">
        <f>ELEC!C25</f>
        <v>44278</v>
      </c>
      <c r="B25" s="617">
        <v>9672</v>
      </c>
      <c r="C25" s="287">
        <f t="shared" si="10"/>
        <v>10</v>
      </c>
      <c r="D25" s="618">
        <v>338187</v>
      </c>
      <c r="E25" s="287">
        <f t="shared" si="12"/>
        <v>1330</v>
      </c>
      <c r="F25" s="287">
        <f t="shared" si="0"/>
        <v>133</v>
      </c>
      <c r="G25" s="196"/>
      <c r="H25" s="270">
        <f t="shared" si="13"/>
        <v>9729</v>
      </c>
      <c r="I25" s="287" t="str">
        <f t="shared" si="1"/>
        <v>ok</v>
      </c>
      <c r="J25" s="541">
        <f t="shared" si="14"/>
        <v>10698</v>
      </c>
      <c r="K25" s="287">
        <f t="shared" si="2"/>
        <v>0</v>
      </c>
      <c r="L25" s="541">
        <f t="shared" si="15"/>
        <v>357691</v>
      </c>
      <c r="M25" s="287">
        <f t="shared" si="16"/>
        <v>0</v>
      </c>
      <c r="N25" s="287">
        <f t="shared" si="17"/>
        <v>0</v>
      </c>
      <c r="O25" s="196"/>
      <c r="P25" s="288">
        <f t="shared" si="18"/>
        <v>10873</v>
      </c>
      <c r="Q25" s="287" t="str">
        <f t="shared" si="33"/>
        <v>ok</v>
      </c>
      <c r="R25" s="606">
        <v>12014</v>
      </c>
      <c r="S25" s="287">
        <f t="shared" si="4"/>
        <v>4</v>
      </c>
      <c r="T25" s="541">
        <f t="shared" si="29"/>
        <v>429663</v>
      </c>
      <c r="U25" s="287">
        <f t="shared" si="19"/>
        <v>1000</v>
      </c>
      <c r="V25" s="287">
        <v>250</v>
      </c>
      <c r="W25" s="196"/>
      <c r="X25" s="288">
        <f t="shared" si="20"/>
        <v>11898</v>
      </c>
      <c r="Y25" s="287" t="str">
        <f t="shared" si="35"/>
        <v>oil change</v>
      </c>
      <c r="Z25" s="287">
        <f t="shared" si="6"/>
        <v>14</v>
      </c>
      <c r="AA25" s="287">
        <f t="shared" si="21"/>
        <v>2330</v>
      </c>
      <c r="AB25" s="287">
        <f t="shared" si="22"/>
        <v>383</v>
      </c>
      <c r="AC25" s="287">
        <f t="shared" si="23"/>
        <v>166.42857142857142</v>
      </c>
      <c r="AD25" s="73">
        <f>ELEC!Q25</f>
        <v>8258.0000000016298</v>
      </c>
      <c r="AE25" s="73">
        <f t="shared" si="25"/>
        <v>589.8571428572593</v>
      </c>
      <c r="AF25" s="403">
        <f t="shared" si="26"/>
        <v>0.36866071428578706</v>
      </c>
      <c r="AG25" s="404">
        <f t="shared" si="27"/>
        <v>117.97142857145187</v>
      </c>
      <c r="AH25" s="404">
        <f t="shared" si="24"/>
        <v>48.45714285711955</v>
      </c>
      <c r="AI25" s="73">
        <f t="shared" si="28"/>
        <v>2125.4767932493646</v>
      </c>
      <c r="AJ25" s="289">
        <f t="shared" si="7"/>
        <v>0.25738396624472576</v>
      </c>
      <c r="AK25" s="289">
        <f t="shared" si="32"/>
        <v>151.81977094638319</v>
      </c>
    </row>
    <row r="26" spans="1:37" ht="15.75" thickBot="1">
      <c r="A26" s="4">
        <f>ELEC!C26</f>
        <v>44279</v>
      </c>
      <c r="B26" s="540">
        <v>9681</v>
      </c>
      <c r="C26" s="287">
        <f t="shared" si="10"/>
        <v>9</v>
      </c>
      <c r="D26" s="541">
        <v>341268</v>
      </c>
      <c r="E26" s="287">
        <f t="shared" si="12"/>
        <v>3081</v>
      </c>
      <c r="F26" s="287">
        <f t="shared" si="0"/>
        <v>342.33333333333331</v>
      </c>
      <c r="G26" s="196"/>
      <c r="H26" s="270">
        <f t="shared" si="13"/>
        <v>9729</v>
      </c>
      <c r="I26" s="287" t="str">
        <f t="shared" si="1"/>
        <v>ok</v>
      </c>
      <c r="J26" s="541">
        <f t="shared" si="14"/>
        <v>10698</v>
      </c>
      <c r="K26" s="287">
        <f t="shared" si="2"/>
        <v>0</v>
      </c>
      <c r="L26" s="541">
        <f t="shared" si="15"/>
        <v>357691</v>
      </c>
      <c r="M26" s="287">
        <f t="shared" si="16"/>
        <v>0</v>
      </c>
      <c r="N26" s="287">
        <f t="shared" si="17"/>
        <v>0</v>
      </c>
      <c r="O26" s="196"/>
      <c r="P26" s="288">
        <f t="shared" si="18"/>
        <v>10873</v>
      </c>
      <c r="Q26" s="287" t="str">
        <f t="shared" si="33"/>
        <v>ok</v>
      </c>
      <c r="R26" s="541">
        <v>12018</v>
      </c>
      <c r="S26" s="287">
        <f t="shared" si="4"/>
        <v>4</v>
      </c>
      <c r="T26" s="541">
        <f t="shared" si="29"/>
        <v>430663</v>
      </c>
      <c r="U26" s="287">
        <f t="shared" si="19"/>
        <v>1000</v>
      </c>
      <c r="V26" s="287">
        <v>250</v>
      </c>
      <c r="W26" s="196"/>
      <c r="X26" s="288">
        <f t="shared" si="20"/>
        <v>11898</v>
      </c>
      <c r="Y26" s="287" t="str">
        <f t="shared" si="35"/>
        <v>oil change</v>
      </c>
      <c r="Z26" s="287">
        <f t="shared" si="6"/>
        <v>13</v>
      </c>
      <c r="AA26" s="287">
        <f t="shared" si="21"/>
        <v>4081</v>
      </c>
      <c r="AB26" s="287">
        <f t="shared" si="22"/>
        <v>592.33333333333326</v>
      </c>
      <c r="AC26" s="287">
        <f t="shared" si="23"/>
        <v>313.92307692307691</v>
      </c>
      <c r="AD26" s="73">
        <f>ELEC!Q26</f>
        <v>6397.9999999974098</v>
      </c>
      <c r="AE26" s="73">
        <f t="shared" si="25"/>
        <v>492.1538461536469</v>
      </c>
      <c r="AF26" s="403">
        <f t="shared" si="26"/>
        <v>0.30759615384602929</v>
      </c>
      <c r="AG26" s="404">
        <f t="shared" si="27"/>
        <v>98.430769230729368</v>
      </c>
      <c r="AH26" s="404">
        <f t="shared" si="24"/>
        <v>215.49230769234754</v>
      </c>
      <c r="AI26" s="73">
        <f t="shared" si="28"/>
        <v>1646.7426160330888</v>
      </c>
      <c r="AJ26" s="289">
        <f t="shared" si="7"/>
        <v>0.25738396624472576</v>
      </c>
      <c r="AK26" s="289">
        <f t="shared" si="32"/>
        <v>126.67250892562221</v>
      </c>
    </row>
    <row r="27" spans="1:37" ht="15.75" thickBot="1">
      <c r="A27" s="4">
        <f>ELEC!C27</f>
        <v>44280</v>
      </c>
      <c r="B27" s="540">
        <v>9696</v>
      </c>
      <c r="C27" s="287">
        <f t="shared" si="10"/>
        <v>15</v>
      </c>
      <c r="D27" s="541">
        <v>344144</v>
      </c>
      <c r="E27" s="287">
        <f t="shared" si="12"/>
        <v>2876</v>
      </c>
      <c r="F27" s="287">
        <f t="shared" si="0"/>
        <v>191.73333333333332</v>
      </c>
      <c r="G27" s="196"/>
      <c r="H27" s="270">
        <f t="shared" si="13"/>
        <v>9729</v>
      </c>
      <c r="I27" s="287" t="str">
        <f>IF(B27-H27&lt;=0,"ok","oil change")</f>
        <v>ok</v>
      </c>
      <c r="J27" s="541">
        <f t="shared" si="14"/>
        <v>10698</v>
      </c>
      <c r="K27" s="287">
        <f t="shared" si="2"/>
        <v>0</v>
      </c>
      <c r="L27" s="541">
        <f t="shared" si="15"/>
        <v>357691</v>
      </c>
      <c r="M27" s="287">
        <f t="shared" si="16"/>
        <v>0</v>
      </c>
      <c r="N27" s="287">
        <f t="shared" si="17"/>
        <v>0</v>
      </c>
      <c r="O27" s="196"/>
      <c r="P27" s="288">
        <f t="shared" si="18"/>
        <v>10873</v>
      </c>
      <c r="Q27" s="287" t="str">
        <f t="shared" si="33"/>
        <v>ok</v>
      </c>
      <c r="R27" s="541">
        <f t="shared" ref="R27:R33" si="36">R26</f>
        <v>12018</v>
      </c>
      <c r="S27" s="287">
        <f t="shared" si="4"/>
        <v>0</v>
      </c>
      <c r="T27" s="541">
        <f t="shared" si="29"/>
        <v>430663</v>
      </c>
      <c r="U27" s="287">
        <f t="shared" si="19"/>
        <v>0</v>
      </c>
      <c r="V27" s="287">
        <v>250</v>
      </c>
      <c r="W27" s="196"/>
      <c r="X27" s="288">
        <f t="shared" si="20"/>
        <v>11898</v>
      </c>
      <c r="Y27" s="287" t="str">
        <f t="shared" si="35"/>
        <v>oil change</v>
      </c>
      <c r="Z27" s="287">
        <f t="shared" si="6"/>
        <v>15</v>
      </c>
      <c r="AA27" s="287">
        <f t="shared" si="21"/>
        <v>2876</v>
      </c>
      <c r="AB27" s="287">
        <f t="shared" si="22"/>
        <v>441.73333333333335</v>
      </c>
      <c r="AC27" s="287">
        <f t="shared" si="23"/>
        <v>191.73333333333332</v>
      </c>
      <c r="AD27" s="73">
        <f>ELEC!Q27</f>
        <v>8365.0000000016007</v>
      </c>
      <c r="AE27" s="73">
        <f t="shared" si="25"/>
        <v>557.66666666677338</v>
      </c>
      <c r="AF27" s="403">
        <f t="shared" si="26"/>
        <v>0.34854166666673336</v>
      </c>
      <c r="AG27" s="404">
        <f t="shared" si="27"/>
        <v>111.53333333335468</v>
      </c>
      <c r="AH27" s="404">
        <f t="shared" si="24"/>
        <v>80.199999999978644</v>
      </c>
      <c r="AI27" s="73">
        <f t="shared" si="28"/>
        <v>2153.0168776375431</v>
      </c>
      <c r="AJ27" s="289">
        <f t="shared" si="7"/>
        <v>0.25738396624472576</v>
      </c>
      <c r="AK27" s="289">
        <f t="shared" si="32"/>
        <v>143.53445850916953</v>
      </c>
    </row>
    <row r="28" spans="1:37" ht="15.75" thickBot="1">
      <c r="A28" s="4">
        <f>ELEC!C28</f>
        <v>44281</v>
      </c>
      <c r="B28" s="540">
        <v>9711</v>
      </c>
      <c r="C28" s="287">
        <f t="shared" si="10"/>
        <v>15</v>
      </c>
      <c r="D28" s="541">
        <v>347589</v>
      </c>
      <c r="E28" s="287">
        <f t="shared" si="12"/>
        <v>3445</v>
      </c>
      <c r="F28" s="287">
        <f t="shared" si="0"/>
        <v>229.66666666666666</v>
      </c>
      <c r="G28" s="285"/>
      <c r="H28" s="270">
        <f t="shared" si="13"/>
        <v>9729</v>
      </c>
      <c r="I28" s="287" t="str">
        <f t="shared" si="1"/>
        <v>ok</v>
      </c>
      <c r="J28" s="541">
        <f t="shared" si="14"/>
        <v>10698</v>
      </c>
      <c r="K28" s="287">
        <f t="shared" si="2"/>
        <v>0</v>
      </c>
      <c r="L28" s="541">
        <f t="shared" si="15"/>
        <v>357691</v>
      </c>
      <c r="M28" s="287">
        <f t="shared" si="16"/>
        <v>0</v>
      </c>
      <c r="N28" s="287">
        <f t="shared" si="17"/>
        <v>0</v>
      </c>
      <c r="O28" s="196"/>
      <c r="P28" s="288">
        <f t="shared" si="18"/>
        <v>10873</v>
      </c>
      <c r="Q28" s="287" t="str">
        <f t="shared" si="33"/>
        <v>ok</v>
      </c>
      <c r="R28" s="541">
        <v>12019</v>
      </c>
      <c r="S28" s="287">
        <f t="shared" si="4"/>
        <v>1</v>
      </c>
      <c r="T28" s="541">
        <f t="shared" si="29"/>
        <v>430913</v>
      </c>
      <c r="U28" s="287">
        <f t="shared" si="19"/>
        <v>250</v>
      </c>
      <c r="V28" s="287">
        <v>250</v>
      </c>
      <c r="W28" s="196"/>
      <c r="X28" s="288">
        <f t="shared" si="20"/>
        <v>11898</v>
      </c>
      <c r="Y28" s="287" t="str">
        <f t="shared" si="35"/>
        <v>oil change</v>
      </c>
      <c r="Z28" s="287">
        <f t="shared" si="6"/>
        <v>16</v>
      </c>
      <c r="AA28" s="287">
        <f t="shared" si="21"/>
        <v>3695</v>
      </c>
      <c r="AB28" s="287">
        <f t="shared" si="22"/>
        <v>479.66666666666663</v>
      </c>
      <c r="AC28" s="287">
        <f t="shared" si="23"/>
        <v>230.9375</v>
      </c>
      <c r="AD28" s="73">
        <f>ELEC!Q28</f>
        <v>8525.0000000014552</v>
      </c>
      <c r="AE28" s="73">
        <f t="shared" si="25"/>
        <v>532.81250000009095</v>
      </c>
      <c r="AF28" s="403">
        <f t="shared" si="26"/>
        <v>0.33300781250005684</v>
      </c>
      <c r="AG28" s="404">
        <f t="shared" si="27"/>
        <v>106.56250000001819</v>
      </c>
      <c r="AH28" s="404">
        <f t="shared" si="24"/>
        <v>124.37499999998181</v>
      </c>
      <c r="AI28" s="73">
        <f t="shared" si="28"/>
        <v>2194.1983122366614</v>
      </c>
      <c r="AJ28" s="289">
        <f t="shared" si="7"/>
        <v>0.25738396624472576</v>
      </c>
      <c r="AK28" s="289">
        <f t="shared" si="32"/>
        <v>137.13739451479134</v>
      </c>
    </row>
    <row r="29" spans="1:37" ht="15.75" thickBot="1">
      <c r="A29" s="4">
        <f>ELEC!C29</f>
        <v>44282</v>
      </c>
      <c r="B29" s="540">
        <v>9723</v>
      </c>
      <c r="C29" s="287">
        <f t="shared" si="10"/>
        <v>12</v>
      </c>
      <c r="D29" s="541">
        <v>350720</v>
      </c>
      <c r="E29" s="287">
        <f>SUM(D29-D28)</f>
        <v>3131</v>
      </c>
      <c r="F29" s="287">
        <f t="shared" si="0"/>
        <v>260.91666666666669</v>
      </c>
      <c r="G29" s="196"/>
      <c r="H29" s="270">
        <f t="shared" si="13"/>
        <v>9729</v>
      </c>
      <c r="I29" s="287" t="str">
        <f t="shared" si="1"/>
        <v>ok</v>
      </c>
      <c r="J29" s="541">
        <f t="shared" si="14"/>
        <v>10698</v>
      </c>
      <c r="K29" s="287">
        <f t="shared" si="2"/>
        <v>0</v>
      </c>
      <c r="L29" s="541">
        <f t="shared" si="15"/>
        <v>357691</v>
      </c>
      <c r="M29" s="287">
        <f t="shared" si="16"/>
        <v>0</v>
      </c>
      <c r="N29" s="287">
        <f t="shared" si="17"/>
        <v>0</v>
      </c>
      <c r="O29" s="196"/>
      <c r="P29" s="288">
        <f t="shared" si="18"/>
        <v>10873</v>
      </c>
      <c r="Q29" s="287" t="str">
        <f t="shared" si="33"/>
        <v>ok</v>
      </c>
      <c r="R29" s="541">
        <f t="shared" si="36"/>
        <v>12019</v>
      </c>
      <c r="S29" s="287">
        <f t="shared" si="4"/>
        <v>0</v>
      </c>
      <c r="T29" s="541">
        <f t="shared" si="29"/>
        <v>430913</v>
      </c>
      <c r="U29" s="287">
        <f t="shared" si="19"/>
        <v>0</v>
      </c>
      <c r="V29" s="287">
        <v>250</v>
      </c>
      <c r="W29" s="196"/>
      <c r="X29" s="288">
        <f t="shared" si="20"/>
        <v>11898</v>
      </c>
      <c r="Y29" s="287" t="str">
        <f t="shared" si="35"/>
        <v>oil change</v>
      </c>
      <c r="Z29" s="287">
        <f t="shared" si="6"/>
        <v>12</v>
      </c>
      <c r="AA29" s="287">
        <f t="shared" si="21"/>
        <v>3131</v>
      </c>
      <c r="AB29" s="287">
        <f t="shared" si="22"/>
        <v>510.91666666666669</v>
      </c>
      <c r="AC29" s="287">
        <f t="shared" si="23"/>
        <v>260.91666666666669</v>
      </c>
      <c r="AD29" s="73">
        <f>ELEC!Q29</f>
        <v>4421.9999999986612</v>
      </c>
      <c r="AE29" s="73">
        <f t="shared" si="25"/>
        <v>368.49999999988842</v>
      </c>
      <c r="AF29" s="403">
        <f t="shared" si="26"/>
        <v>0.23031249999993025</v>
      </c>
      <c r="AG29" s="404">
        <f t="shared" si="27"/>
        <v>73.699999999977678</v>
      </c>
      <c r="AH29" s="404">
        <f t="shared" si="24"/>
        <v>187.21666666668901</v>
      </c>
      <c r="AI29" s="73">
        <f t="shared" si="28"/>
        <v>1138.1518987338327</v>
      </c>
      <c r="AJ29" s="289">
        <f t="shared" si="7"/>
        <v>0.25738396624472576</v>
      </c>
      <c r="AK29" s="289">
        <f t="shared" si="32"/>
        <v>94.845991561152729</v>
      </c>
    </row>
    <row r="30" spans="1:37" ht="15.75" thickBot="1">
      <c r="A30" s="4">
        <f>ELEC!C30</f>
        <v>44283</v>
      </c>
      <c r="B30" s="540">
        <v>9735</v>
      </c>
      <c r="C30" s="287">
        <f t="shared" si="10"/>
        <v>12</v>
      </c>
      <c r="D30" s="541">
        <v>354003</v>
      </c>
      <c r="E30" s="287">
        <f t="shared" si="12"/>
        <v>3283</v>
      </c>
      <c r="F30" s="287">
        <f t="shared" si="0"/>
        <v>273.58333333333331</v>
      </c>
      <c r="G30" s="196"/>
      <c r="H30" s="270">
        <f t="shared" si="13"/>
        <v>9729</v>
      </c>
      <c r="I30" s="287" t="str">
        <f t="shared" si="1"/>
        <v>oil change</v>
      </c>
      <c r="J30" s="541">
        <f t="shared" si="14"/>
        <v>10698</v>
      </c>
      <c r="K30" s="287">
        <f t="shared" si="2"/>
        <v>0</v>
      </c>
      <c r="L30" s="541">
        <f t="shared" si="15"/>
        <v>357691</v>
      </c>
      <c r="M30" s="287">
        <f t="shared" si="16"/>
        <v>0</v>
      </c>
      <c r="N30" s="287">
        <f t="shared" si="17"/>
        <v>0</v>
      </c>
      <c r="O30" s="196"/>
      <c r="P30" s="288">
        <f t="shared" si="18"/>
        <v>10873</v>
      </c>
      <c r="Q30" s="287" t="str">
        <f t="shared" si="33"/>
        <v>ok</v>
      </c>
      <c r="R30" s="541">
        <f t="shared" si="36"/>
        <v>12019</v>
      </c>
      <c r="S30" s="287">
        <f t="shared" si="4"/>
        <v>0</v>
      </c>
      <c r="T30" s="541">
        <f t="shared" si="29"/>
        <v>430913</v>
      </c>
      <c r="U30" s="287">
        <f t="shared" si="19"/>
        <v>0</v>
      </c>
      <c r="V30" s="287">
        <v>250</v>
      </c>
      <c r="W30" s="285"/>
      <c r="X30" s="288">
        <f t="shared" si="20"/>
        <v>11898</v>
      </c>
      <c r="Y30" s="287" t="str">
        <f t="shared" si="35"/>
        <v>oil change</v>
      </c>
      <c r="Z30" s="287">
        <f t="shared" si="6"/>
        <v>12</v>
      </c>
      <c r="AA30" s="287">
        <f t="shared" si="21"/>
        <v>3283</v>
      </c>
      <c r="AB30" s="287">
        <f t="shared" si="22"/>
        <v>523.58333333333326</v>
      </c>
      <c r="AC30" s="287">
        <f t="shared" si="23"/>
        <v>273.58333333333331</v>
      </c>
      <c r="AD30" s="73">
        <f>ELEC!Q30</f>
        <v>6664.0000000006694</v>
      </c>
      <c r="AE30" s="73">
        <f t="shared" si="25"/>
        <v>555.33333333338908</v>
      </c>
      <c r="AF30" s="403">
        <f t="shared" si="26"/>
        <v>0.34708333333336816</v>
      </c>
      <c r="AG30" s="404">
        <f t="shared" si="27"/>
        <v>111.0666666666778</v>
      </c>
      <c r="AH30" s="404">
        <f t="shared" si="24"/>
        <v>162.51666666665551</v>
      </c>
      <c r="AI30" s="73">
        <f t="shared" si="28"/>
        <v>1715.2067510550248</v>
      </c>
      <c r="AJ30" s="289">
        <f t="shared" si="7"/>
        <v>0.25738396624472576</v>
      </c>
      <c r="AK30" s="289">
        <f t="shared" si="32"/>
        <v>142.93389592125206</v>
      </c>
    </row>
    <row r="31" spans="1:37" ht="15.75" thickBot="1">
      <c r="A31" s="4">
        <f>ELEC!C31</f>
        <v>44284</v>
      </c>
      <c r="B31" s="540">
        <v>9751</v>
      </c>
      <c r="C31" s="287">
        <f t="shared" ref="C31:C33" si="37">B31-B30</f>
        <v>16</v>
      </c>
      <c r="D31" s="541">
        <v>357669</v>
      </c>
      <c r="E31" s="287">
        <f t="shared" ref="E31:E33" si="38">SUM(D31-D30)</f>
        <v>3666</v>
      </c>
      <c r="F31" s="287">
        <f t="shared" ref="F31:F33" si="39">IF(C31&gt;0,E31/C31,0)</f>
        <v>229.125</v>
      </c>
      <c r="G31" s="338"/>
      <c r="H31" s="270">
        <f t="shared" si="13"/>
        <v>9729</v>
      </c>
      <c r="I31" s="287" t="str">
        <f t="shared" ref="I31:I33" si="40">IF(B31-H31&lt;=0,"ok","oil change")</f>
        <v>oil change</v>
      </c>
      <c r="J31" s="541">
        <f t="shared" si="14"/>
        <v>10698</v>
      </c>
      <c r="K31" s="287">
        <f t="shared" ref="K31:K33" si="41">J31-J30</f>
        <v>0</v>
      </c>
      <c r="L31" s="541">
        <f t="shared" ref="L31" si="42">L30</f>
        <v>357691</v>
      </c>
      <c r="M31" s="287">
        <f t="shared" ref="M31:M33" si="43">SUM(L31-L30)</f>
        <v>0</v>
      </c>
      <c r="N31" s="287">
        <f t="shared" ref="N31:N33" si="44">IF(K31&gt;0,M31/K31,0)</f>
        <v>0</v>
      </c>
      <c r="O31" s="338"/>
      <c r="P31" s="288">
        <f t="shared" si="18"/>
        <v>10873</v>
      </c>
      <c r="Q31" s="287" t="str">
        <f t="shared" ref="Q31:Q33" si="45">IF(J31-P31&lt;=0,"ok","oil change")</f>
        <v>ok</v>
      </c>
      <c r="R31" s="541">
        <f t="shared" si="36"/>
        <v>12019</v>
      </c>
      <c r="S31" s="287">
        <f t="shared" ref="S31:S33" si="46">R31-R30</f>
        <v>0</v>
      </c>
      <c r="T31" s="541">
        <f t="shared" si="29"/>
        <v>430913</v>
      </c>
      <c r="U31" s="287">
        <f t="shared" si="19"/>
        <v>0</v>
      </c>
      <c r="V31" s="287">
        <v>250</v>
      </c>
      <c r="W31" s="338"/>
      <c r="X31" s="288">
        <f t="shared" si="20"/>
        <v>11898</v>
      </c>
      <c r="Y31" s="287" t="str">
        <f t="shared" ref="Y31:Y33" si="47">IF(R31-X31&lt;=0,"ok","oil change")</f>
        <v>oil change</v>
      </c>
      <c r="Z31" s="287">
        <f t="shared" ref="Z31:Z33" si="48">C31+K31+S31</f>
        <v>16</v>
      </c>
      <c r="AA31" s="287">
        <f t="shared" ref="AA31:AA33" si="49">U31+M31+E31</f>
        <v>3666</v>
      </c>
      <c r="AB31" s="287">
        <f t="shared" ref="AB31:AB33" si="50">V31+N31+F31</f>
        <v>479.125</v>
      </c>
      <c r="AC31" s="287">
        <f t="shared" ref="AC31:AC33" si="51">IF(Z31&gt;0,AA31/Z31,0)</f>
        <v>229.125</v>
      </c>
      <c r="AD31" s="73">
        <f>ELEC!Q31</f>
        <v>10379.999999997381</v>
      </c>
      <c r="AE31" s="73">
        <f t="shared" ref="AE31:AE33" si="52">SUM(AD31/Z31)</f>
        <v>648.74999999983629</v>
      </c>
      <c r="AF31" s="403">
        <f t="shared" ref="AF31:AF33" si="53">SUM(AE31/1600)</f>
        <v>0.40546874999989768</v>
      </c>
      <c r="AG31" s="504">
        <f t="shared" ref="AG31:AG33" si="54">SUM(320*AF31)</f>
        <v>129.74999999996726</v>
      </c>
      <c r="AH31" s="504">
        <f t="shared" ref="AH31:AH33" si="55">SUM(AC31-AG31)</f>
        <v>99.375000000032742</v>
      </c>
      <c r="AI31" s="73">
        <f t="shared" ref="AI31:AI33" si="56">AD31*AJ31</f>
        <v>2671.6455696195794</v>
      </c>
      <c r="AJ31" s="289">
        <f t="shared" si="7"/>
        <v>0.25738396624472576</v>
      </c>
      <c r="AK31" s="289">
        <f t="shared" ref="AK31:AK33" si="57">IF(Z31&gt;0,AI31/Z31,0)</f>
        <v>166.97784810122371</v>
      </c>
    </row>
    <row r="32" spans="1:37" ht="15.75" thickBot="1">
      <c r="A32" s="4">
        <f>ELEC!C32</f>
        <v>44285</v>
      </c>
      <c r="B32" s="540">
        <v>9765</v>
      </c>
      <c r="C32" s="287">
        <f t="shared" si="37"/>
        <v>14</v>
      </c>
      <c r="D32" s="541">
        <v>360215</v>
      </c>
      <c r="E32" s="287">
        <f t="shared" si="38"/>
        <v>2546</v>
      </c>
      <c r="F32" s="287">
        <f t="shared" si="39"/>
        <v>181.85714285714286</v>
      </c>
      <c r="G32" s="338"/>
      <c r="H32" s="270">
        <f t="shared" si="13"/>
        <v>9729</v>
      </c>
      <c r="I32" s="287" t="str">
        <f t="shared" si="40"/>
        <v>oil change</v>
      </c>
      <c r="J32" s="541">
        <f t="shared" si="14"/>
        <v>10698</v>
      </c>
      <c r="K32" s="287">
        <f t="shared" si="41"/>
        <v>0</v>
      </c>
      <c r="L32" s="541">
        <f t="shared" ref="L32" si="58">L31</f>
        <v>357691</v>
      </c>
      <c r="M32" s="287">
        <f t="shared" si="43"/>
        <v>0</v>
      </c>
      <c r="N32" s="287">
        <f t="shared" si="44"/>
        <v>0</v>
      </c>
      <c r="O32" s="338"/>
      <c r="P32" s="288">
        <f t="shared" si="18"/>
        <v>10873</v>
      </c>
      <c r="Q32" s="287" t="str">
        <f t="shared" si="45"/>
        <v>ok</v>
      </c>
      <c r="R32" s="541">
        <f t="shared" si="36"/>
        <v>12019</v>
      </c>
      <c r="S32" s="287">
        <f t="shared" si="46"/>
        <v>0</v>
      </c>
      <c r="T32" s="541">
        <f t="shared" si="29"/>
        <v>430913</v>
      </c>
      <c r="U32" s="287">
        <f t="shared" si="19"/>
        <v>0</v>
      </c>
      <c r="V32" s="287">
        <v>250</v>
      </c>
      <c r="W32" s="338"/>
      <c r="X32" s="288">
        <f t="shared" si="20"/>
        <v>11898</v>
      </c>
      <c r="Y32" s="287" t="str">
        <f t="shared" si="47"/>
        <v>oil change</v>
      </c>
      <c r="Z32" s="287">
        <f t="shared" si="48"/>
        <v>14</v>
      </c>
      <c r="AA32" s="287">
        <f t="shared" si="49"/>
        <v>2546</v>
      </c>
      <c r="AB32" s="287">
        <f t="shared" si="50"/>
        <v>431.85714285714289</v>
      </c>
      <c r="AC32" s="287">
        <f t="shared" si="51"/>
        <v>181.85714285714286</v>
      </c>
      <c r="AD32" s="73">
        <f>ELEC!Q32</f>
        <v>7817.0000000027358</v>
      </c>
      <c r="AE32" s="73">
        <f t="shared" si="52"/>
        <v>558.35714285733832</v>
      </c>
      <c r="AF32" s="403">
        <f t="shared" si="53"/>
        <v>0.34897321428583644</v>
      </c>
      <c r="AG32" s="504">
        <f t="shared" si="54"/>
        <v>111.67142857146766</v>
      </c>
      <c r="AH32" s="504">
        <f t="shared" si="55"/>
        <v>70.185714285675203</v>
      </c>
      <c r="AI32" s="73">
        <f t="shared" si="56"/>
        <v>2011.9704641357255</v>
      </c>
      <c r="AJ32" s="289">
        <f t="shared" si="7"/>
        <v>0.25738396624472576</v>
      </c>
      <c r="AK32" s="289">
        <f t="shared" si="57"/>
        <v>143.71217600969467</v>
      </c>
    </row>
    <row r="33" spans="1:37">
      <c r="A33" s="4">
        <f>ELEC!C33</f>
        <v>44286</v>
      </c>
      <c r="B33" s="540">
        <v>9772</v>
      </c>
      <c r="C33" s="287">
        <f t="shared" si="37"/>
        <v>7</v>
      </c>
      <c r="D33" s="541">
        <v>361982</v>
      </c>
      <c r="E33" s="287">
        <f t="shared" si="38"/>
        <v>1767</v>
      </c>
      <c r="F33" s="287">
        <f t="shared" si="39"/>
        <v>252.42857142857142</v>
      </c>
      <c r="G33" s="338"/>
      <c r="H33" s="270">
        <f t="shared" si="13"/>
        <v>9729</v>
      </c>
      <c r="I33" s="287" t="str">
        <f t="shared" si="40"/>
        <v>oil change</v>
      </c>
      <c r="J33" s="541">
        <f t="shared" si="14"/>
        <v>10698</v>
      </c>
      <c r="K33" s="287">
        <f t="shared" si="41"/>
        <v>0</v>
      </c>
      <c r="L33" s="541">
        <f t="shared" ref="L33" si="59">L32</f>
        <v>357691</v>
      </c>
      <c r="M33" s="287">
        <f t="shared" si="43"/>
        <v>0</v>
      </c>
      <c r="N33" s="287">
        <f t="shared" si="44"/>
        <v>0</v>
      </c>
      <c r="O33" s="338"/>
      <c r="P33" s="288">
        <f t="shared" si="18"/>
        <v>10873</v>
      </c>
      <c r="Q33" s="287" t="str">
        <f t="shared" si="45"/>
        <v>ok</v>
      </c>
      <c r="R33" s="541">
        <v>12031</v>
      </c>
      <c r="S33" s="287">
        <f t="shared" si="46"/>
        <v>12</v>
      </c>
      <c r="T33" s="541">
        <f t="shared" si="29"/>
        <v>433913</v>
      </c>
      <c r="U33" s="287">
        <f t="shared" si="19"/>
        <v>3000</v>
      </c>
      <c r="V33" s="287">
        <v>250</v>
      </c>
      <c r="W33" s="338"/>
      <c r="X33" s="288">
        <f t="shared" si="20"/>
        <v>11898</v>
      </c>
      <c r="Y33" s="287" t="str">
        <f t="shared" si="47"/>
        <v>oil change</v>
      </c>
      <c r="Z33" s="287">
        <f t="shared" si="48"/>
        <v>19</v>
      </c>
      <c r="AA33" s="287">
        <f t="shared" si="49"/>
        <v>4767</v>
      </c>
      <c r="AB33" s="287">
        <f t="shared" si="50"/>
        <v>502.42857142857144</v>
      </c>
      <c r="AC33" s="287">
        <f t="shared" si="51"/>
        <v>250.89473684210526</v>
      </c>
      <c r="AD33" s="73">
        <f>ELEC!Q33</f>
        <v>9979.9999999995634</v>
      </c>
      <c r="AE33" s="73">
        <f t="shared" si="52"/>
        <v>525.26315789471391</v>
      </c>
      <c r="AF33" s="403">
        <f t="shared" si="53"/>
        <v>0.3282894736841962</v>
      </c>
      <c r="AG33" s="504">
        <f t="shared" si="54"/>
        <v>105.05263157894278</v>
      </c>
      <c r="AH33" s="504">
        <f t="shared" si="55"/>
        <v>145.84210526316247</v>
      </c>
      <c r="AI33" s="73">
        <f t="shared" si="56"/>
        <v>2568.6919831222508</v>
      </c>
      <c r="AJ33" s="289">
        <f t="shared" si="7"/>
        <v>0.25738396624472576</v>
      </c>
      <c r="AK33" s="289">
        <f t="shared" si="57"/>
        <v>135.19431490117108</v>
      </c>
    </row>
    <row r="34" spans="1:37">
      <c r="H34" s="39"/>
      <c r="I34" s="267"/>
      <c r="M34" s="39"/>
      <c r="N34" s="39"/>
      <c r="O34" s="39"/>
      <c r="P34" s="82">
        <f>+O34/3</f>
        <v>0</v>
      </c>
      <c r="S34" s="39"/>
      <c r="T34" s="39"/>
      <c r="U34" s="40">
        <f>SUM(C35:S35)</f>
        <v>229</v>
      </c>
      <c r="V34" s="40"/>
      <c r="X34">
        <v>341</v>
      </c>
      <c r="Z34" s="421">
        <f>SUM(Z3:Z30)</f>
        <v>229</v>
      </c>
    </row>
    <row r="35" spans="1:37">
      <c r="C35" s="40">
        <f>SUM(C3:C30)</f>
        <v>86</v>
      </c>
      <c r="K35" s="40">
        <f>SUM(K3:K30)</f>
        <v>0</v>
      </c>
      <c r="S35" s="40">
        <f>SUM(S3:S30)</f>
        <v>143</v>
      </c>
      <c r="U35" s="40"/>
      <c r="V35" s="40"/>
      <c r="X35" s="40"/>
    </row>
  </sheetData>
  <conditionalFormatting sqref="K3:K33 S3:S33 Z3:Z33 C3:C33">
    <cfRule type="cellIs" dxfId="3" priority="11" stopIfTrue="1" operator="equal">
      <formula>0</formula>
    </cfRule>
  </conditionalFormatting>
  <conditionalFormatting sqref="AA3:AB33">
    <cfRule type="cellIs" dxfId="2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80"/>
  <sheetViews>
    <sheetView topLeftCell="A16" zoomScale="70" zoomScaleNormal="70" workbookViewId="0">
      <selection activeCell="K34" sqref="K34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293" bestFit="1" customWidth="1"/>
    <col min="20" max="20" width="10.28515625" style="337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12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8"/>
      <c r="T1" s="335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362</v>
      </c>
      <c r="M2" s="164" t="s">
        <v>363</v>
      </c>
      <c r="N2" s="164" t="s">
        <v>364</v>
      </c>
      <c r="O2" s="164" t="s">
        <v>365</v>
      </c>
      <c r="P2" s="164" t="s">
        <v>366</v>
      </c>
      <c r="Q2" s="164" t="s">
        <v>367</v>
      </c>
      <c r="R2" s="164" t="s">
        <v>368</v>
      </c>
      <c r="S2" s="298"/>
      <c r="T2" s="335"/>
    </row>
    <row r="3" spans="1:32" ht="15.75" thickBot="1">
      <c r="A3" s="163">
        <f>ELEC!C2</f>
        <v>44255</v>
      </c>
      <c r="B3" s="264">
        <f>'[1]EDl log'!B31</f>
        <v>904978</v>
      </c>
      <c r="C3" s="264">
        <f>'[1]EDl log'!C31</f>
        <v>1184</v>
      </c>
      <c r="D3" s="264">
        <f>'[1]EDl log'!D31</f>
        <v>1185</v>
      </c>
      <c r="E3" s="264">
        <f>'[1]EDl log'!E31</f>
        <v>904979</v>
      </c>
      <c r="F3" s="264">
        <f>'[1]EDl log'!F31</f>
        <v>137108</v>
      </c>
      <c r="G3" s="264">
        <f>'[1]EDl log'!G31</f>
        <v>1</v>
      </c>
      <c r="H3" s="264">
        <f>'[1]EDl log'!H31</f>
        <v>446820</v>
      </c>
      <c r="I3" s="264">
        <f>'[1]EDl log'!I31</f>
        <v>439</v>
      </c>
      <c r="J3" s="264">
        <f>'[1]EDl log'!J31</f>
        <v>321050</v>
      </c>
      <c r="K3" s="264">
        <f>'[1]EDl log'!K31</f>
        <v>745</v>
      </c>
      <c r="L3" s="264">
        <f>'[1]EDl log'!L31</f>
        <v>0.21227197346600332</v>
      </c>
      <c r="M3" s="264">
        <f>'[1]EDl log'!M31</f>
        <v>32.61558872305141</v>
      </c>
      <c r="N3" s="264">
        <f>'[1]EDl log'!N31</f>
        <v>39.535655058043119</v>
      </c>
      <c r="O3" s="264">
        <f>'[1]EDl log'!O31</f>
        <v>171.38907841743662</v>
      </c>
      <c r="P3" s="264">
        <f>'[1]EDl log'!P31</f>
        <v>243.75259417199715</v>
      </c>
      <c r="Q3" s="264">
        <f>'[1]EDl log'!Q31</f>
        <v>1136.4973709677406</v>
      </c>
      <c r="R3" s="264">
        <f>'[1]EDl log'!R31</f>
        <v>1380.2499651397377</v>
      </c>
      <c r="S3" s="264">
        <f>'[1]EDl log'!S31</f>
        <v>7721</v>
      </c>
      <c r="T3" s="264">
        <f>'[1]EDl log'!T31</f>
        <v>0.17876569940936896</v>
      </c>
      <c r="Z3" t="s">
        <v>214</v>
      </c>
      <c r="AA3">
        <v>0.1</v>
      </c>
    </row>
    <row r="4" spans="1:32">
      <c r="A4" s="163">
        <f>ELEC!C3</f>
        <v>44256</v>
      </c>
      <c r="B4" s="600">
        <v>906228</v>
      </c>
      <c r="C4" s="264">
        <f t="shared" ref="C4:C30" si="0">SUM(B4-B3)</f>
        <v>1250</v>
      </c>
      <c r="D4" s="308">
        <f>SUM(G4+I4+K4)</f>
        <v>1249</v>
      </c>
      <c r="E4" s="308">
        <f>B3+D4</f>
        <v>906227</v>
      </c>
      <c r="F4" s="608">
        <v>137169</v>
      </c>
      <c r="G4" s="160">
        <f t="shared" ref="G4:G30" si="1">F4-F3</f>
        <v>61</v>
      </c>
      <c r="H4" s="600">
        <v>447263</v>
      </c>
      <c r="I4" s="161">
        <f t="shared" ref="I4:I30" si="2">H4-H3</f>
        <v>443</v>
      </c>
      <c r="J4" s="600">
        <v>321795</v>
      </c>
      <c r="K4" s="162">
        <f t="shared" ref="K4:K30" si="3">J4-J3</f>
        <v>745</v>
      </c>
      <c r="L4" s="296">
        <f t="shared" ref="L4:L13" si="4">SUM(G4*$Y$28)/1507.5</f>
        <v>12.948590381426202</v>
      </c>
      <c r="M4" s="296">
        <f t="shared" ref="M4:M13" si="5">SUM(I4*$Y$27)/1507.5</f>
        <v>32.912769485903816</v>
      </c>
      <c r="N4" s="296">
        <f t="shared" ref="N4:N13" si="6">SUM(K4*$Y$26)/1507.5</f>
        <v>39.535655058043119</v>
      </c>
      <c r="O4" s="296">
        <f t="shared" ref="O4:O34" si="7">($AC$34/$A$37)/1507.5</f>
        <v>154.80303857058792</v>
      </c>
      <c r="P4" s="297">
        <f>SUM(L4:O4)</f>
        <v>240.20005349596104</v>
      </c>
      <c r="Q4" s="297">
        <f>SUM(-tanks!AX6*tanks!$AU$37)</f>
        <v>2618.3644215053514</v>
      </c>
      <c r="R4" s="297">
        <f>SUM(P4:Q4)</f>
        <v>2858.5644750013125</v>
      </c>
      <c r="S4" s="299">
        <f>SUM(ELEC!N3)</f>
        <v>8408</v>
      </c>
      <c r="T4" s="336">
        <f>IF(S4&gt;0,R4/S4,0)</f>
        <v>0.33998150273564609</v>
      </c>
      <c r="U4" s="250"/>
      <c r="V4" s="251" t="str">
        <f>'[6]EDl log'!V21</f>
        <v xml:space="preserve">EDL </v>
      </c>
      <c r="W4" s="167">
        <v>44248</v>
      </c>
      <c r="X4" s="169"/>
      <c r="Y4" s="169"/>
      <c r="Z4" s="169" t="s">
        <v>202</v>
      </c>
      <c r="AA4" s="169"/>
      <c r="AB4" s="675"/>
      <c r="AC4" s="676"/>
    </row>
    <row r="5" spans="1:32" ht="15.75" thickBot="1">
      <c r="A5" s="163">
        <f>ELEC!C4</f>
        <v>44257</v>
      </c>
      <c r="B5" s="601">
        <v>907184</v>
      </c>
      <c r="C5" s="264">
        <f t="shared" si="0"/>
        <v>956</v>
      </c>
      <c r="D5" s="308">
        <f t="shared" ref="D5:D30" si="8">SUM(G5+I5+K5)</f>
        <v>956</v>
      </c>
      <c r="E5" s="308">
        <f>B4+D5</f>
        <v>907184</v>
      </c>
      <c r="F5" s="608">
        <v>137353</v>
      </c>
      <c r="G5" s="160">
        <f t="shared" si="1"/>
        <v>184</v>
      </c>
      <c r="H5" s="601">
        <v>447369</v>
      </c>
      <c r="I5" s="161">
        <f t="shared" si="2"/>
        <v>106</v>
      </c>
      <c r="J5" s="601">
        <v>322461</v>
      </c>
      <c r="K5" s="162">
        <f t="shared" si="3"/>
        <v>666</v>
      </c>
      <c r="L5" s="296">
        <f t="shared" si="4"/>
        <v>39.05804311774461</v>
      </c>
      <c r="M5" s="296">
        <f t="shared" si="5"/>
        <v>7.8752902155887234</v>
      </c>
      <c r="N5" s="296">
        <f t="shared" si="6"/>
        <v>35.343283582089555</v>
      </c>
      <c r="O5" s="296">
        <f t="shared" si="7"/>
        <v>154.80303857058792</v>
      </c>
      <c r="P5" s="297">
        <f t="shared" ref="P5:P30" si="9">SUM(L5:O5)</f>
        <v>237.07965548601081</v>
      </c>
      <c r="Q5" s="297">
        <f>SUM(-tanks!AX7*tanks!$AU$37)</f>
        <v>1796.5468387096832</v>
      </c>
      <c r="R5" s="297">
        <f t="shared" ref="R5:R30" si="10">SUM(P5:Q5)</f>
        <v>2033.626494195694</v>
      </c>
      <c r="S5" s="299">
        <f>SUM(ELEC!N4)</f>
        <v>9041</v>
      </c>
      <c r="T5" s="336">
        <f>IF(S5&gt;0,R5/S5,0)</f>
        <v>0.2249338009286245</v>
      </c>
      <c r="U5" s="250"/>
      <c r="V5" s="669"/>
      <c r="W5" s="670"/>
      <c r="X5" s="670"/>
      <c r="Y5" s="671"/>
      <c r="Z5" s="26" t="s">
        <v>203</v>
      </c>
      <c r="AA5" s="264">
        <f>'[7]EDl log'!AA22</f>
        <v>5000</v>
      </c>
      <c r="AB5" s="677"/>
      <c r="AC5" s="678"/>
    </row>
    <row r="6" spans="1:32" ht="15.75" thickBot="1">
      <c r="A6" s="163">
        <f>ELEC!C5</f>
        <v>44258</v>
      </c>
      <c r="B6" s="539">
        <v>908753</v>
      </c>
      <c r="C6" s="264">
        <f t="shared" si="0"/>
        <v>1569</v>
      </c>
      <c r="D6" s="308">
        <f t="shared" si="8"/>
        <v>1570</v>
      </c>
      <c r="E6" s="308">
        <f t="shared" ref="E6:E30" si="11">B5+D6</f>
        <v>908754</v>
      </c>
      <c r="F6" s="539">
        <v>137604</v>
      </c>
      <c r="G6" s="160">
        <f t="shared" si="1"/>
        <v>251</v>
      </c>
      <c r="H6" s="539">
        <v>447884</v>
      </c>
      <c r="I6" s="161">
        <f t="shared" si="2"/>
        <v>515</v>
      </c>
      <c r="J6" s="539">
        <v>323265</v>
      </c>
      <c r="K6" s="162">
        <f t="shared" si="3"/>
        <v>804</v>
      </c>
      <c r="L6" s="296">
        <f t="shared" si="4"/>
        <v>53.280265339966832</v>
      </c>
      <c r="M6" s="296">
        <f t="shared" si="5"/>
        <v>38.262023217247098</v>
      </c>
      <c r="N6" s="296">
        <f t="shared" si="6"/>
        <v>42.666666666666664</v>
      </c>
      <c r="O6" s="296">
        <f t="shared" si="7"/>
        <v>154.80303857058792</v>
      </c>
      <c r="P6" s="297">
        <f t="shared" si="9"/>
        <v>289.01199379446848</v>
      </c>
      <c r="Q6" s="297">
        <f>SUM(-tanks!AX8*tanks!$AU$37)</f>
        <v>1398.8609032258175</v>
      </c>
      <c r="R6" s="297">
        <f t="shared" si="10"/>
        <v>1687.872897020286</v>
      </c>
      <c r="S6" s="299">
        <f>SUM(ELEC!N5)</f>
        <v>7715</v>
      </c>
      <c r="T6" s="336">
        <f t="shared" ref="T6:T30" si="12">IF(S6&gt;0,R6/S6,0)</f>
        <v>0.21877808127288217</v>
      </c>
      <c r="V6" s="672"/>
      <c r="W6" s="673"/>
      <c r="X6" s="673"/>
      <c r="Y6" s="674"/>
      <c r="Z6" s="3"/>
      <c r="AA6" s="3"/>
      <c r="AB6" s="677"/>
      <c r="AC6" s="678"/>
    </row>
    <row r="7" spans="1:32" ht="15" customHeight="1">
      <c r="A7" s="163">
        <f>ELEC!C6</f>
        <v>44259</v>
      </c>
      <c r="B7" s="539">
        <v>910852</v>
      </c>
      <c r="C7" s="264">
        <f t="shared" si="0"/>
        <v>2099</v>
      </c>
      <c r="D7" s="308">
        <f t="shared" si="8"/>
        <v>2098</v>
      </c>
      <c r="E7" s="308">
        <f t="shared" si="11"/>
        <v>910851</v>
      </c>
      <c r="F7" s="539">
        <v>137908</v>
      </c>
      <c r="G7" s="160">
        <f t="shared" si="1"/>
        <v>304</v>
      </c>
      <c r="H7" s="539">
        <v>448841</v>
      </c>
      <c r="I7" s="161">
        <f t="shared" si="2"/>
        <v>957</v>
      </c>
      <c r="J7" s="539">
        <v>324102</v>
      </c>
      <c r="K7" s="162">
        <f t="shared" si="3"/>
        <v>837</v>
      </c>
      <c r="L7" s="296">
        <f t="shared" si="4"/>
        <v>64.530679933665013</v>
      </c>
      <c r="M7" s="296">
        <f t="shared" si="5"/>
        <v>71.100497512437812</v>
      </c>
      <c r="N7" s="296">
        <f t="shared" si="6"/>
        <v>44.417910447761194</v>
      </c>
      <c r="O7" s="296">
        <f t="shared" si="7"/>
        <v>154.80303857058792</v>
      </c>
      <c r="P7" s="297">
        <f t="shared" si="9"/>
        <v>334.85212646445189</v>
      </c>
      <c r="Q7" s="297">
        <f>SUM(-tanks!AX9*tanks!$AU$37)</f>
        <v>1255.8795698924653</v>
      </c>
      <c r="R7" s="297">
        <f t="shared" si="10"/>
        <v>1590.7316963569172</v>
      </c>
      <c r="S7" s="299">
        <f>SUM(ELEC!N6)</f>
        <v>7405</v>
      </c>
      <c r="T7" s="336">
        <f t="shared" si="12"/>
        <v>0.21481859505157558</v>
      </c>
      <c r="V7" s="665" t="s">
        <v>204</v>
      </c>
      <c r="W7" s="666"/>
      <c r="X7" s="667" t="s">
        <v>205</v>
      </c>
      <c r="Y7" s="668"/>
      <c r="Z7" s="666"/>
      <c r="AA7" s="26"/>
      <c r="AB7" s="679"/>
      <c r="AC7" s="680"/>
    </row>
    <row r="8" spans="1:32" ht="15.75" customHeight="1" thickBot="1">
      <c r="A8" s="163">
        <f>ELEC!C7</f>
        <v>44260</v>
      </c>
      <c r="B8" s="610">
        <v>912567</v>
      </c>
      <c r="C8" s="264">
        <f t="shared" si="0"/>
        <v>1715</v>
      </c>
      <c r="D8" s="308">
        <f t="shared" si="8"/>
        <v>1715</v>
      </c>
      <c r="E8" s="308">
        <f t="shared" si="11"/>
        <v>912567</v>
      </c>
      <c r="F8" s="608">
        <v>138096</v>
      </c>
      <c r="G8" s="160">
        <f t="shared" si="1"/>
        <v>188</v>
      </c>
      <c r="H8" s="610">
        <v>449557</v>
      </c>
      <c r="I8" s="161">
        <f t="shared" si="2"/>
        <v>716</v>
      </c>
      <c r="J8" s="610">
        <v>324913</v>
      </c>
      <c r="K8" s="162">
        <f>J8-J7</f>
        <v>811</v>
      </c>
      <c r="L8" s="296">
        <f t="shared" si="4"/>
        <v>39.907131011608627</v>
      </c>
      <c r="M8" s="296">
        <f t="shared" si="5"/>
        <v>53.195356550580428</v>
      </c>
      <c r="N8" s="296">
        <f t="shared" si="6"/>
        <v>43.038142620232172</v>
      </c>
      <c r="O8" s="296">
        <f t="shared" si="7"/>
        <v>154.80303857058792</v>
      </c>
      <c r="P8" s="297">
        <f t="shared" si="9"/>
        <v>290.94366875300915</v>
      </c>
      <c r="Q8" s="297">
        <f>SUM(-tanks!AX10*tanks!$AU$37)</f>
        <v>295.24283870968935</v>
      </c>
      <c r="R8" s="297">
        <f t="shared" si="10"/>
        <v>586.1865074626985</v>
      </c>
      <c r="S8" s="299">
        <f>SUM(ELEC!N7)</f>
        <v>7744</v>
      </c>
      <c r="T8" s="336">
        <f>IF(S8&gt;0,R8/S8,0)</f>
        <v>7.569557172813772E-2</v>
      </c>
      <c r="V8" s="255" t="s">
        <v>206</v>
      </c>
      <c r="W8" s="256" t="s">
        <v>207</v>
      </c>
      <c r="X8" s="256"/>
      <c r="Y8" s="256" t="s">
        <v>208</v>
      </c>
      <c r="Z8" s="26" t="s">
        <v>209</v>
      </c>
      <c r="AA8" s="26" t="s">
        <v>210</v>
      </c>
      <c r="AB8" s="533" t="str">
        <f>'[8]EDl log'!AB25</f>
        <v>Total cost LL</v>
      </c>
      <c r="AC8" s="252" t="s">
        <v>212</v>
      </c>
    </row>
    <row r="9" spans="1:32" ht="15.75" thickBot="1">
      <c r="A9" s="163">
        <f>ELEC!C8</f>
        <v>44261</v>
      </c>
      <c r="B9" s="539">
        <v>914077</v>
      </c>
      <c r="C9" s="264">
        <f t="shared" si="0"/>
        <v>1510</v>
      </c>
      <c r="D9" s="308">
        <f t="shared" si="8"/>
        <v>1510</v>
      </c>
      <c r="E9" s="308">
        <f t="shared" si="11"/>
        <v>914077</v>
      </c>
      <c r="F9" s="539">
        <v>138285</v>
      </c>
      <c r="G9" s="160">
        <f t="shared" si="1"/>
        <v>189</v>
      </c>
      <c r="H9" s="539">
        <v>450190</v>
      </c>
      <c r="I9" s="161">
        <f t="shared" si="2"/>
        <v>633</v>
      </c>
      <c r="J9" s="539">
        <v>325601</v>
      </c>
      <c r="K9" s="162">
        <f>J9-J8</f>
        <v>688</v>
      </c>
      <c r="L9" s="296">
        <f t="shared" si="4"/>
        <v>40.119402985074629</v>
      </c>
      <c r="M9" s="296">
        <f t="shared" si="5"/>
        <v>47.028855721393036</v>
      </c>
      <c r="N9" s="296">
        <f t="shared" si="6"/>
        <v>36.510779436152568</v>
      </c>
      <c r="O9" s="296">
        <f t="shared" si="7"/>
        <v>154.80303857058792</v>
      </c>
      <c r="P9" s="297">
        <f t="shared" si="9"/>
        <v>278.46207671320815</v>
      </c>
      <c r="Q9" s="297">
        <f>SUM(-tanks!AX11*tanks!$AU$37)</f>
        <v>1388.5249032257987</v>
      </c>
      <c r="R9" s="297">
        <f>SUM(P9:Q9)</f>
        <v>1666.9869799390067</v>
      </c>
      <c r="S9" s="299">
        <f>SUM(ELEC!N8)</f>
        <v>7618</v>
      </c>
      <c r="T9" s="336">
        <f t="shared" si="12"/>
        <v>0.2188221291597541</v>
      </c>
      <c r="V9" s="254">
        <f>'[1]EDl log'!V26</f>
        <v>297890</v>
      </c>
      <c r="W9" s="254">
        <f>'[1]EDl log'!W26</f>
        <v>321050</v>
      </c>
      <c r="X9" s="254" t="str">
        <f>'[1]EDl log'!X26</f>
        <v>Night</v>
      </c>
      <c r="Y9" s="254">
        <f>'[1]EDl log'!Y26</f>
        <v>80</v>
      </c>
      <c r="Z9" s="254">
        <f>'[1]EDl log'!Z26</f>
        <v>1</v>
      </c>
      <c r="AA9" s="592">
        <f>'[1]EDl log'!AA26</f>
        <v>23160</v>
      </c>
      <c r="AB9" s="592">
        <f>'[1]EDl log'!AB26</f>
        <v>1852800</v>
      </c>
      <c r="AC9" s="592">
        <f>'[1]EDl log'!AC26</f>
        <v>1033333</v>
      </c>
      <c r="AD9" s="598">
        <f>'[1]EDl log'!AD26</f>
        <v>0.43221296152048605</v>
      </c>
    </row>
    <row r="10" spans="1:32" ht="15.75" thickBot="1">
      <c r="A10" s="163">
        <f>ELEC!C9</f>
        <v>44262</v>
      </c>
      <c r="B10" s="539">
        <v>916365</v>
      </c>
      <c r="C10" s="264">
        <f t="shared" si="0"/>
        <v>2288</v>
      </c>
      <c r="D10" s="308">
        <f t="shared" si="8"/>
        <v>2289</v>
      </c>
      <c r="E10" s="308">
        <f t="shared" si="11"/>
        <v>916366</v>
      </c>
      <c r="F10" s="539">
        <v>138525</v>
      </c>
      <c r="G10" s="160">
        <f t="shared" si="1"/>
        <v>240</v>
      </c>
      <c r="H10" s="539">
        <v>451423</v>
      </c>
      <c r="I10" s="161">
        <f t="shared" si="2"/>
        <v>1233</v>
      </c>
      <c r="J10" s="539">
        <v>326417</v>
      </c>
      <c r="K10" s="162">
        <f t="shared" si="3"/>
        <v>816</v>
      </c>
      <c r="L10" s="296">
        <f t="shared" si="4"/>
        <v>50.945273631840799</v>
      </c>
      <c r="M10" s="296">
        <f t="shared" si="5"/>
        <v>91.605970149253736</v>
      </c>
      <c r="N10" s="296">
        <f t="shared" si="6"/>
        <v>43.303482587064678</v>
      </c>
      <c r="O10" s="296">
        <f t="shared" si="7"/>
        <v>154.80303857058792</v>
      </c>
      <c r="P10" s="297">
        <f t="shared" si="9"/>
        <v>340.65776493874716</v>
      </c>
      <c r="Q10" s="297">
        <f>SUM(-tanks!AX12*tanks!$AU$37)</f>
        <v>594.34778494622958</v>
      </c>
      <c r="R10" s="297">
        <f t="shared" si="10"/>
        <v>935.00554988497674</v>
      </c>
      <c r="S10" s="299">
        <f>SUM(ELEC!N9)</f>
        <v>6359</v>
      </c>
      <c r="T10" s="336">
        <f t="shared" si="12"/>
        <v>0.14703657019735442</v>
      </c>
      <c r="V10" s="254">
        <f>'[1]EDl log'!V27</f>
        <v>425107</v>
      </c>
      <c r="W10" s="254">
        <f>'[1]EDl log'!W27</f>
        <v>446820</v>
      </c>
      <c r="X10" s="254" t="str">
        <f>'[1]EDl log'!X27</f>
        <v>day</v>
      </c>
      <c r="Y10" s="254">
        <f>'[1]EDl log'!Y27</f>
        <v>112</v>
      </c>
      <c r="Z10" s="254">
        <f>'[1]EDl log'!Z27</f>
        <v>1</v>
      </c>
      <c r="AA10" s="592">
        <f>'[1]EDl log'!AA27</f>
        <v>21713</v>
      </c>
      <c r="AB10" s="592">
        <f>'[1]EDl log'!AB27</f>
        <v>2431856</v>
      </c>
      <c r="AC10" s="592">
        <f>'[1]EDl log'!AC27</f>
        <v>6200000</v>
      </c>
      <c r="AD10" s="598">
        <f>'[1]EDl log'!AD27</f>
        <v>0.40461909954821623</v>
      </c>
    </row>
    <row r="11" spans="1:32" ht="15.75" thickBot="1">
      <c r="A11" s="163">
        <f>ELEC!C10</f>
        <v>44263</v>
      </c>
      <c r="B11" s="539">
        <v>918520</v>
      </c>
      <c r="C11" s="264">
        <f t="shared" si="0"/>
        <v>2155</v>
      </c>
      <c r="D11" s="308">
        <f>SUM(G11+I11+K11)</f>
        <v>2154</v>
      </c>
      <c r="E11" s="308">
        <f t="shared" si="11"/>
        <v>918519</v>
      </c>
      <c r="F11" s="539">
        <v>138963</v>
      </c>
      <c r="G11" s="160">
        <f t="shared" si="1"/>
        <v>438</v>
      </c>
      <c r="H11" s="539">
        <v>452262</v>
      </c>
      <c r="I11" s="161">
        <f t="shared" si="2"/>
        <v>839</v>
      </c>
      <c r="J11" s="539">
        <v>327294</v>
      </c>
      <c r="K11" s="162">
        <f t="shared" si="3"/>
        <v>877</v>
      </c>
      <c r="L11" s="296">
        <f t="shared" si="4"/>
        <v>92.975124378109456</v>
      </c>
      <c r="M11" s="296">
        <f t="shared" si="5"/>
        <v>62.333665008291874</v>
      </c>
      <c r="N11" s="296">
        <f t="shared" si="6"/>
        <v>46.540630182421225</v>
      </c>
      <c r="O11" s="296">
        <f t="shared" si="7"/>
        <v>154.80303857058792</v>
      </c>
      <c r="P11" s="297">
        <f t="shared" si="9"/>
        <v>356.65245813941044</v>
      </c>
      <c r="Q11" s="297">
        <f>SUM(-tanks!AX13*tanks!$AU$37)</f>
        <v>908.74834408602032</v>
      </c>
      <c r="R11" s="297">
        <f t="shared" si="10"/>
        <v>1265.4008022254307</v>
      </c>
      <c r="S11" s="299">
        <f>SUM(ELEC!N10)</f>
        <v>6832</v>
      </c>
      <c r="T11" s="336">
        <f t="shared" si="12"/>
        <v>0.1852167450564155</v>
      </c>
      <c r="V11" s="254">
        <f>'[1]EDl log'!V28</f>
        <v>128283</v>
      </c>
      <c r="W11" s="254">
        <f>'[1]EDl log'!W28</f>
        <v>137108</v>
      </c>
      <c r="X11" s="254" t="str">
        <f>'[1]EDl log'!X28</f>
        <v>Peak</v>
      </c>
      <c r="Y11" s="254">
        <f>'[1]EDl log'!Y28</f>
        <v>320</v>
      </c>
      <c r="Z11" s="254">
        <f>'[1]EDl log'!Z28</f>
        <v>1</v>
      </c>
      <c r="AA11" s="592">
        <f>'[1]EDl log'!AA28</f>
        <v>8825</v>
      </c>
      <c r="AB11" s="592">
        <f>'[1]EDl log'!AB28</f>
        <v>2824000</v>
      </c>
      <c r="AC11" s="592">
        <f>'[1]EDl log'!AC28</f>
        <v>1000</v>
      </c>
      <c r="AD11" s="598">
        <f>'[1]EDl log'!AD28</f>
        <v>0.16316793893129772</v>
      </c>
      <c r="AE11" s="40">
        <f>SUM(AB11*5%)</f>
        <v>141200</v>
      </c>
      <c r="AF11" s="82">
        <f>SUM(AE11/7)*31</f>
        <v>625314.2857142858</v>
      </c>
    </row>
    <row r="12" spans="1:32" ht="15.75" thickBot="1">
      <c r="A12" s="163">
        <f>ELEC!C11</f>
        <v>44264</v>
      </c>
      <c r="B12" s="539">
        <v>920889</v>
      </c>
      <c r="C12" s="264">
        <f t="shared" si="0"/>
        <v>2369</v>
      </c>
      <c r="D12" s="308">
        <f t="shared" si="8"/>
        <v>2369</v>
      </c>
      <c r="E12" s="308">
        <f t="shared" si="11"/>
        <v>920889</v>
      </c>
      <c r="F12" s="539">
        <v>139360</v>
      </c>
      <c r="G12" s="160">
        <f t="shared" si="1"/>
        <v>397</v>
      </c>
      <c r="H12" s="539">
        <v>453224</v>
      </c>
      <c r="I12" s="161">
        <f t="shared" si="2"/>
        <v>962</v>
      </c>
      <c r="J12" s="539">
        <v>328304</v>
      </c>
      <c r="K12" s="162">
        <f t="shared" si="3"/>
        <v>1010</v>
      </c>
      <c r="L12" s="296">
        <f t="shared" si="4"/>
        <v>84.271973466003317</v>
      </c>
      <c r="M12" s="296">
        <f t="shared" si="5"/>
        <v>71.47197346600332</v>
      </c>
      <c r="N12" s="296">
        <f t="shared" si="6"/>
        <v>53.598673300165835</v>
      </c>
      <c r="O12" s="296">
        <f t="shared" si="7"/>
        <v>154.80303857058792</v>
      </c>
      <c r="P12" s="297">
        <f t="shared" si="9"/>
        <v>364.14565880276041</v>
      </c>
      <c r="Q12" s="297">
        <f>SUM(-tanks!AX14*tanks!$AU$37)</f>
        <v>470.8853763441</v>
      </c>
      <c r="R12" s="297">
        <f t="shared" si="10"/>
        <v>835.0310351468604</v>
      </c>
      <c r="S12" s="299">
        <f>SUM(ELEC!N11)</f>
        <v>6552</v>
      </c>
      <c r="T12" s="336">
        <f t="shared" si="12"/>
        <v>0.12744673918602875</v>
      </c>
      <c r="V12" s="571"/>
      <c r="W12" s="264"/>
      <c r="X12" s="3"/>
      <c r="Y12" s="264"/>
      <c r="Z12" s="568">
        <f>'[9]EDl log'!Z29</f>
        <v>0</v>
      </c>
      <c r="AA12" s="594">
        <f>'[1]EDl log'!$AA$29</f>
        <v>53698</v>
      </c>
      <c r="AB12" s="568">
        <f>'[2]EDl log'!AB29</f>
        <v>0</v>
      </c>
      <c r="AC12" s="568">
        <f>'[2]EDl log'!AC29</f>
        <v>0</v>
      </c>
      <c r="AD12" s="599"/>
    </row>
    <row r="13" spans="1:32" ht="15.75" thickBot="1">
      <c r="A13" s="163">
        <f>ELEC!C12</f>
        <v>44265</v>
      </c>
      <c r="B13" s="539">
        <v>922887</v>
      </c>
      <c r="C13" s="264">
        <f t="shared" si="0"/>
        <v>1998</v>
      </c>
      <c r="D13" s="308">
        <f t="shared" si="8"/>
        <v>1997</v>
      </c>
      <c r="E13" s="308">
        <f t="shared" si="11"/>
        <v>922886</v>
      </c>
      <c r="F13" s="539">
        <v>139609</v>
      </c>
      <c r="G13" s="160">
        <f t="shared" si="1"/>
        <v>249</v>
      </c>
      <c r="H13" s="539">
        <v>454249</v>
      </c>
      <c r="I13" s="161">
        <f t="shared" si="2"/>
        <v>1025</v>
      </c>
      <c r="J13" s="539">
        <v>329027</v>
      </c>
      <c r="K13" s="162">
        <f t="shared" si="3"/>
        <v>723</v>
      </c>
      <c r="L13" s="296">
        <f t="shared" si="4"/>
        <v>52.855721393034827</v>
      </c>
      <c r="M13" s="296">
        <f t="shared" si="5"/>
        <v>76.152570480928688</v>
      </c>
      <c r="N13" s="296">
        <f t="shared" si="6"/>
        <v>38.368159203980099</v>
      </c>
      <c r="O13" s="296">
        <f t="shared" si="7"/>
        <v>154.80303857058792</v>
      </c>
      <c r="P13" s="297">
        <f t="shared" si="9"/>
        <v>322.17948964853156</v>
      </c>
      <c r="Q13" s="297">
        <f>SUM(-tanks!AX15*tanks!$AU$37)</f>
        <v>950.9536774193474</v>
      </c>
      <c r="R13" s="297">
        <f t="shared" si="10"/>
        <v>1273.133167067879</v>
      </c>
      <c r="S13" s="299">
        <f>SUM(ELEC!N12)</f>
        <v>6673</v>
      </c>
      <c r="T13" s="336">
        <f>IF(S13&gt;0,R13/S13,0)</f>
        <v>0.19078872577069969</v>
      </c>
      <c r="V13" s="571" t="str">
        <f>'[7]EDl log'!V30</f>
        <v>Occ %</v>
      </c>
      <c r="W13" s="589">
        <f>'[10]EDl log'!W30</f>
        <v>0</v>
      </c>
      <c r="X13" s="506"/>
      <c r="Y13" s="264" t="str">
        <f>'[4]EDl log'!Y30</f>
        <v>Per G</v>
      </c>
      <c r="Z13" s="3"/>
      <c r="AA13" s="3"/>
      <c r="AB13" s="172">
        <f>SUM(AB9:AB12)</f>
        <v>7108656</v>
      </c>
      <c r="AC13" s="595">
        <f>SUM(AC9:AC12)/A17*A15</f>
        <v>7234006.1648331787</v>
      </c>
    </row>
    <row r="14" spans="1:32" ht="15.75" thickBot="1">
      <c r="A14" s="163">
        <f>ELEC!C13</f>
        <v>44266</v>
      </c>
      <c r="B14" s="539">
        <v>925453</v>
      </c>
      <c r="C14" s="264">
        <f t="shared" si="0"/>
        <v>2566</v>
      </c>
      <c r="D14" s="308">
        <f t="shared" si="8"/>
        <v>2567</v>
      </c>
      <c r="E14" s="308">
        <f t="shared" si="11"/>
        <v>925454</v>
      </c>
      <c r="F14" s="539">
        <v>139868</v>
      </c>
      <c r="G14" s="160">
        <f t="shared" si="1"/>
        <v>259</v>
      </c>
      <c r="H14" s="539">
        <v>455456</v>
      </c>
      <c r="I14" s="161">
        <f t="shared" si="2"/>
        <v>1207</v>
      </c>
      <c r="J14" s="539">
        <v>330128</v>
      </c>
      <c r="K14" s="162">
        <f t="shared" ref="K14:K17" si="13">J14-J13</f>
        <v>1101</v>
      </c>
      <c r="L14" s="296">
        <f t="shared" ref="L14:L17" si="14">SUM(G14*$Y$28)/1507.5</f>
        <v>54.978441127694857</v>
      </c>
      <c r="M14" s="296">
        <f t="shared" ref="M14:M17" si="15">SUM(I14*$Y$27)/1507.5</f>
        <v>89.674295190713096</v>
      </c>
      <c r="N14" s="296">
        <f t="shared" ref="N14:N17" si="16">SUM(K14*$Y$26)/1507.5</f>
        <v>58.427860696517413</v>
      </c>
      <c r="O14" s="296">
        <f t="shared" si="7"/>
        <v>154.80303857058792</v>
      </c>
      <c r="P14" s="297">
        <f t="shared" ref="P14:P17" si="17">SUM(L14:O14)</f>
        <v>357.88363558551328</v>
      </c>
      <c r="Q14" s="297">
        <f>SUM(-tanks!AX16*tanks!$AU$37)</f>
        <v>716.08752688171739</v>
      </c>
      <c r="R14" s="297">
        <f t="shared" ref="R14:R17" si="18">SUM(P14:Q14)</f>
        <v>1073.9711624672307</v>
      </c>
      <c r="S14" s="299">
        <f>SUM(ELEC!N13)</f>
        <v>6832</v>
      </c>
      <c r="T14" s="336">
        <f t="shared" ref="T14:T17" si="19">IF(S14&gt;0,R14/S14,0)</f>
        <v>0.15719718420187803</v>
      </c>
      <c r="V14" s="571" t="str">
        <f>'[7]EDl log'!V31</f>
        <v>Gen RH</v>
      </c>
      <c r="W14" s="571">
        <f>'[1]EDl log'!$W$31</f>
        <v>189</v>
      </c>
      <c r="X14" s="569">
        <f>'[2]EDl log'!X31</f>
        <v>3.7419354838709675</v>
      </c>
      <c r="Y14" s="569">
        <f>'[1]EDl log'!$Y$31</f>
        <v>3.375</v>
      </c>
      <c r="Z14" s="264"/>
      <c r="AA14" s="3"/>
      <c r="AB14" s="188">
        <f>SUM(AB13+AC14)</f>
        <v>14342662.164833179</v>
      </c>
      <c r="AC14" s="595">
        <f>SUM(AC13)</f>
        <v>7234006.1648331787</v>
      </c>
    </row>
    <row r="15" spans="1:32" ht="15.75" thickBot="1">
      <c r="A15" s="163">
        <f>ELEC!C14</f>
        <v>44267</v>
      </c>
      <c r="B15" s="539">
        <v>928063</v>
      </c>
      <c r="C15" s="264">
        <f t="shared" si="0"/>
        <v>2610</v>
      </c>
      <c r="D15" s="308">
        <f t="shared" si="8"/>
        <v>2610</v>
      </c>
      <c r="E15" s="308">
        <f t="shared" si="11"/>
        <v>928063</v>
      </c>
      <c r="F15" s="539">
        <v>140391</v>
      </c>
      <c r="G15" s="160">
        <f t="shared" si="1"/>
        <v>523</v>
      </c>
      <c r="H15" s="539">
        <v>456536</v>
      </c>
      <c r="I15" s="161">
        <f t="shared" si="2"/>
        <v>1080</v>
      </c>
      <c r="J15" s="539">
        <v>331135</v>
      </c>
      <c r="K15" s="162">
        <f t="shared" si="13"/>
        <v>1007</v>
      </c>
      <c r="L15" s="296">
        <f t="shared" si="14"/>
        <v>111.01824212271974</v>
      </c>
      <c r="M15" s="296">
        <f t="shared" si="15"/>
        <v>80.238805970149258</v>
      </c>
      <c r="N15" s="296">
        <f t="shared" si="16"/>
        <v>53.439469320066337</v>
      </c>
      <c r="O15" s="296">
        <f t="shared" si="7"/>
        <v>154.80303857058792</v>
      </c>
      <c r="P15" s="297">
        <f t="shared" si="17"/>
        <v>399.49955598352324</v>
      </c>
      <c r="Q15" s="297">
        <f>SUM(-tanks!AX17*tanks!$AU$37)</f>
        <v>571.09178494623575</v>
      </c>
      <c r="R15" s="297">
        <f t="shared" si="18"/>
        <v>970.59134092975899</v>
      </c>
      <c r="S15" s="299">
        <f>SUM(ELEC!N14)</f>
        <v>6743</v>
      </c>
      <c r="T15" s="336">
        <f t="shared" si="19"/>
        <v>0.14394058148150066</v>
      </c>
      <c r="V15" s="571" t="str">
        <f>'[7]EDl log'!V32</f>
        <v>H Deg</v>
      </c>
      <c r="W15" s="588">
        <f>'[10]EDl log'!W32</f>
        <v>0</v>
      </c>
      <c r="X15" s="593">
        <f>'[1]EDl log'!$X$31</f>
        <v>6.75</v>
      </c>
      <c r="Y15" s="264"/>
      <c r="Z15" s="264"/>
      <c r="AA15" s="3"/>
      <c r="AB15" s="291"/>
      <c r="AC15" s="596"/>
    </row>
    <row r="16" spans="1:32" ht="15.75" thickBot="1">
      <c r="A16" s="163">
        <f>ELEC!C15</f>
        <v>44268</v>
      </c>
      <c r="B16" s="539">
        <v>930474</v>
      </c>
      <c r="C16" s="264">
        <f t="shared" si="0"/>
        <v>2411</v>
      </c>
      <c r="D16" s="308">
        <f t="shared" si="8"/>
        <v>2411</v>
      </c>
      <c r="E16" s="308">
        <f t="shared" si="11"/>
        <v>930474</v>
      </c>
      <c r="F16" s="539">
        <v>140902</v>
      </c>
      <c r="G16" s="160">
        <f t="shared" si="1"/>
        <v>511</v>
      </c>
      <c r="H16" s="539">
        <v>457521</v>
      </c>
      <c r="I16" s="161">
        <f t="shared" si="2"/>
        <v>985</v>
      </c>
      <c r="J16" s="539">
        <v>332050</v>
      </c>
      <c r="K16" s="162">
        <f t="shared" si="13"/>
        <v>915</v>
      </c>
      <c r="L16" s="296">
        <f t="shared" si="14"/>
        <v>108.4709784411277</v>
      </c>
      <c r="M16" s="296">
        <f t="shared" si="15"/>
        <v>73.180762852404641</v>
      </c>
      <c r="N16" s="296">
        <f t="shared" si="16"/>
        <v>48.557213930348261</v>
      </c>
      <c r="O16" s="296">
        <f t="shared" si="7"/>
        <v>154.80303857058792</v>
      </c>
      <c r="P16" s="297">
        <f t="shared" si="17"/>
        <v>385.01199379446848</v>
      </c>
      <c r="Q16" s="297">
        <f>SUM(-tanks!AX18*tanks!$AU$37)</f>
        <v>621.91045161289617</v>
      </c>
      <c r="R16" s="297">
        <f t="shared" si="18"/>
        <v>1006.9224454073646</v>
      </c>
      <c r="S16" s="299">
        <f>SUM(ELEC!N15)</f>
        <v>6400</v>
      </c>
      <c r="T16" s="336">
        <f t="shared" si="19"/>
        <v>0.15733163209490073</v>
      </c>
      <c r="V16" s="571" t="str">
        <f>'[7]EDl log'!V33</f>
        <v>C Deg</v>
      </c>
      <c r="W16" s="588">
        <f>'[10]EDl log'!W33</f>
        <v>0</v>
      </c>
      <c r="X16" s="544">
        <f>'[11]EDl log'!X16</f>
        <v>0</v>
      </c>
      <c r="Y16" s="544" t="e">
        <f>'[7]EDl log'!Y33</f>
        <v>#REF!</v>
      </c>
      <c r="Z16" s="3"/>
      <c r="AA16" s="3"/>
      <c r="AB16" s="577">
        <f>SUM(AB14/1507.5)</f>
        <v>9514.2037577666197</v>
      </c>
      <c r="AC16" s="597"/>
    </row>
    <row r="17" spans="1:32" ht="15.75" thickBot="1">
      <c r="A17" s="163">
        <f>ELEC!C16</f>
        <v>44269</v>
      </c>
      <c r="B17" s="539">
        <v>932658</v>
      </c>
      <c r="C17" s="264">
        <f t="shared" si="0"/>
        <v>2184</v>
      </c>
      <c r="D17" s="308">
        <f t="shared" si="8"/>
        <v>2184</v>
      </c>
      <c r="E17" s="308">
        <f t="shared" si="11"/>
        <v>932658</v>
      </c>
      <c r="F17" s="539">
        <v>141383</v>
      </c>
      <c r="G17" s="160">
        <f t="shared" si="1"/>
        <v>481</v>
      </c>
      <c r="H17" s="539">
        <v>458312</v>
      </c>
      <c r="I17" s="161">
        <f t="shared" si="2"/>
        <v>791</v>
      </c>
      <c r="J17" s="539">
        <v>332962</v>
      </c>
      <c r="K17" s="162">
        <f t="shared" si="13"/>
        <v>912</v>
      </c>
      <c r="L17" s="296">
        <f t="shared" si="14"/>
        <v>102.1028192371476</v>
      </c>
      <c r="M17" s="296">
        <f t="shared" si="15"/>
        <v>58.767495854063021</v>
      </c>
      <c r="N17" s="296">
        <f t="shared" si="16"/>
        <v>48.398009950248756</v>
      </c>
      <c r="O17" s="296">
        <f t="shared" si="7"/>
        <v>154.80303857058792</v>
      </c>
      <c r="P17" s="297">
        <f t="shared" si="17"/>
        <v>364.07136361204732</v>
      </c>
      <c r="Q17" s="297">
        <f>SUM(-tanks!AX19*tanks!$AU$37)</f>
        <v>854.19260215055749</v>
      </c>
      <c r="R17" s="297">
        <f t="shared" si="18"/>
        <v>1218.2639657626048</v>
      </c>
      <c r="S17" s="299">
        <f>SUM(ELEC!N16)</f>
        <v>6878</v>
      </c>
      <c r="T17" s="336">
        <f t="shared" si="19"/>
        <v>0.17712474058775876</v>
      </c>
      <c r="V17" s="253"/>
      <c r="W17" s="506"/>
      <c r="X17" s="17"/>
      <c r="Y17" s="430"/>
      <c r="Z17" s="506" t="s">
        <v>416</v>
      </c>
      <c r="AA17" s="590">
        <f>'[10]EDl log'!AA34</f>
        <v>0.11</v>
      </c>
      <c r="AB17" s="588"/>
      <c r="AC17" s="568">
        <f>'[2]EDl log'!AC34</f>
        <v>0</v>
      </c>
    </row>
    <row r="18" spans="1:32" ht="15.75" thickBot="1">
      <c r="A18" s="163">
        <f>ELEC!C17</f>
        <v>44270</v>
      </c>
      <c r="B18" s="539">
        <v>935157</v>
      </c>
      <c r="C18" s="264">
        <f t="shared" si="0"/>
        <v>2499</v>
      </c>
      <c r="D18" s="308">
        <f t="shared" si="8"/>
        <v>2500</v>
      </c>
      <c r="E18" s="308">
        <f t="shared" si="11"/>
        <v>935158</v>
      </c>
      <c r="F18" s="539">
        <v>141653</v>
      </c>
      <c r="G18" s="160">
        <f t="shared" si="1"/>
        <v>270</v>
      </c>
      <c r="H18" s="539">
        <v>459563</v>
      </c>
      <c r="I18" s="161">
        <f t="shared" si="2"/>
        <v>1251</v>
      </c>
      <c r="J18" s="539">
        <v>333941</v>
      </c>
      <c r="K18" s="162">
        <f t="shared" si="3"/>
        <v>979</v>
      </c>
      <c r="L18" s="296">
        <f t="shared" ref="L18:L30" si="20">SUM(G18*$Y$28)/1507.5</f>
        <v>57.313432835820898</v>
      </c>
      <c r="M18" s="296">
        <f t="shared" ref="M18:M30" si="21">SUM(I18*$Y$27)/1507.5</f>
        <v>92.943283582089549</v>
      </c>
      <c r="N18" s="296">
        <f t="shared" ref="N18:N30" si="22">SUM(K18*$Y$26)/1507.5</f>
        <v>51.953565505804313</v>
      </c>
      <c r="O18" s="296">
        <f t="shared" si="7"/>
        <v>154.80303857058792</v>
      </c>
      <c r="P18" s="297">
        <f t="shared" si="9"/>
        <v>357.01332049430266</v>
      </c>
      <c r="Q18" s="297">
        <f>SUM(-tanks!AX20*tanks!$AU$37)</f>
        <v>596.07045161289625</v>
      </c>
      <c r="R18" s="297">
        <f t="shared" si="10"/>
        <v>953.08377210719891</v>
      </c>
      <c r="S18" s="299">
        <f>SUM(ELEC!N17)</f>
        <v>6482</v>
      </c>
      <c r="T18" s="336">
        <f t="shared" si="12"/>
        <v>0.1470354477178647</v>
      </c>
      <c r="V18" s="228"/>
      <c r="W18" s="229"/>
      <c r="X18" s="229"/>
      <c r="Y18" s="430"/>
      <c r="Z18" s="506"/>
      <c r="AA18" s="590"/>
      <c r="AB18" s="588"/>
      <c r="AC18" s="568">
        <f>'[2]EDl log'!AC35</f>
        <v>0</v>
      </c>
    </row>
    <row r="19" spans="1:32" ht="15.75" thickBot="1">
      <c r="A19" s="163">
        <f>ELEC!C18</f>
        <v>44271</v>
      </c>
      <c r="B19" s="539">
        <v>936869</v>
      </c>
      <c r="C19" s="264">
        <f t="shared" si="0"/>
        <v>1712</v>
      </c>
      <c r="D19" s="308">
        <f t="shared" si="8"/>
        <v>1711</v>
      </c>
      <c r="E19" s="308">
        <f t="shared" si="11"/>
        <v>936868</v>
      </c>
      <c r="F19" s="539">
        <v>141819</v>
      </c>
      <c r="G19" s="160">
        <f t="shared" si="1"/>
        <v>166</v>
      </c>
      <c r="H19" s="539">
        <v>460247</v>
      </c>
      <c r="I19" s="161">
        <f t="shared" si="2"/>
        <v>684</v>
      </c>
      <c r="J19" s="539">
        <v>334802</v>
      </c>
      <c r="K19" s="162">
        <f t="shared" si="3"/>
        <v>861</v>
      </c>
      <c r="L19" s="296">
        <f t="shared" si="20"/>
        <v>35.237147595356554</v>
      </c>
      <c r="M19" s="296">
        <f t="shared" si="21"/>
        <v>50.817910447761193</v>
      </c>
      <c r="N19" s="296">
        <f t="shared" si="22"/>
        <v>45.691542288557216</v>
      </c>
      <c r="O19" s="296">
        <f t="shared" si="7"/>
        <v>154.80303857058792</v>
      </c>
      <c r="P19" s="297">
        <f t="shared" si="9"/>
        <v>286.54963890226293</v>
      </c>
      <c r="Q19" s="297">
        <f>SUM(-tanks!AX21*tanks!$AU$37)</f>
        <v>582.37247311828889</v>
      </c>
      <c r="R19" s="297">
        <f t="shared" si="10"/>
        <v>868.92211202055182</v>
      </c>
      <c r="S19" s="299">
        <f>SUM(ELEC!N18)</f>
        <v>8211</v>
      </c>
      <c r="T19" s="336">
        <f t="shared" si="12"/>
        <v>0.10582415199373424</v>
      </c>
      <c r="V19" s="228"/>
      <c r="W19" s="229"/>
      <c r="X19" s="229"/>
      <c r="Y19" s="572"/>
      <c r="Z19" s="572"/>
      <c r="AA19" s="590"/>
      <c r="AB19" s="588"/>
      <c r="AC19" s="568">
        <f>'[2]EDl log'!AC36</f>
        <v>0</v>
      </c>
    </row>
    <row r="20" spans="1:32" ht="15.75" thickBot="1">
      <c r="A20" s="163">
        <f>ELEC!C19</f>
        <v>44272</v>
      </c>
      <c r="B20" s="539">
        <v>938797</v>
      </c>
      <c r="C20" s="264">
        <f t="shared" si="0"/>
        <v>1928</v>
      </c>
      <c r="D20" s="308">
        <f t="shared" si="8"/>
        <v>1928</v>
      </c>
      <c r="E20" s="308">
        <f t="shared" si="11"/>
        <v>938797</v>
      </c>
      <c r="F20" s="539">
        <v>142002</v>
      </c>
      <c r="G20" s="160">
        <f t="shared" si="1"/>
        <v>183</v>
      </c>
      <c r="H20" s="539">
        <v>460959</v>
      </c>
      <c r="I20" s="161">
        <f t="shared" si="2"/>
        <v>712</v>
      </c>
      <c r="J20" s="539">
        <v>335835</v>
      </c>
      <c r="K20" s="162">
        <f t="shared" si="3"/>
        <v>1033</v>
      </c>
      <c r="L20" s="296">
        <f t="shared" si="20"/>
        <v>38.845771144278608</v>
      </c>
      <c r="M20" s="296">
        <f t="shared" si="21"/>
        <v>52.898175787728029</v>
      </c>
      <c r="N20" s="296">
        <f t="shared" si="22"/>
        <v>54.819237147595359</v>
      </c>
      <c r="O20" s="296">
        <f t="shared" si="7"/>
        <v>154.80303857058792</v>
      </c>
      <c r="P20" s="297">
        <f t="shared" si="9"/>
        <v>301.36622265018991</v>
      </c>
      <c r="Q20" s="297">
        <f>SUM(-tanks!AX22*tanks!$AU$37)</f>
        <v>1374.6379870967658</v>
      </c>
      <c r="R20" s="297">
        <f t="shared" si="10"/>
        <v>1676.0042097469557</v>
      </c>
      <c r="S20" s="299">
        <f>SUM(ELEC!N19)</f>
        <v>8488</v>
      </c>
      <c r="T20" s="336">
        <f t="shared" si="12"/>
        <v>0.19745572687876481</v>
      </c>
      <c r="V20" t="s">
        <v>412</v>
      </c>
      <c r="AB20" s="570"/>
    </row>
    <row r="21" spans="1:32" ht="15.75" thickBot="1">
      <c r="A21" s="163">
        <f>ELEC!C20</f>
        <v>44273</v>
      </c>
      <c r="B21" s="539">
        <v>940497</v>
      </c>
      <c r="C21" s="264">
        <f t="shared" si="0"/>
        <v>1700</v>
      </c>
      <c r="D21" s="308">
        <f t="shared" si="8"/>
        <v>1699</v>
      </c>
      <c r="E21" s="308">
        <f t="shared" si="11"/>
        <v>940496</v>
      </c>
      <c r="F21" s="539">
        <v>142191</v>
      </c>
      <c r="G21" s="160">
        <f t="shared" si="1"/>
        <v>189</v>
      </c>
      <c r="H21" s="539">
        <v>461451</v>
      </c>
      <c r="I21" s="161">
        <f t="shared" si="2"/>
        <v>492</v>
      </c>
      <c r="J21" s="539">
        <v>336853</v>
      </c>
      <c r="K21" s="162">
        <f t="shared" si="3"/>
        <v>1018</v>
      </c>
      <c r="L21" s="296">
        <f t="shared" si="20"/>
        <v>40.119402985074629</v>
      </c>
      <c r="M21" s="296">
        <f t="shared" si="21"/>
        <v>36.55323383084577</v>
      </c>
      <c r="N21" s="296">
        <f t="shared" si="22"/>
        <v>54.023217247097847</v>
      </c>
      <c r="O21" s="296">
        <f t="shared" si="7"/>
        <v>154.80303857058792</v>
      </c>
      <c r="P21" s="297">
        <f t="shared" si="9"/>
        <v>285.49889263360615</v>
      </c>
      <c r="Q21" s="297">
        <f>SUM(-tanks!AX23*tanks!$AU$37)</f>
        <v>1772.123870967763</v>
      </c>
      <c r="R21" s="297">
        <f t="shared" si="10"/>
        <v>2057.6227636013691</v>
      </c>
      <c r="S21" s="299">
        <f>SUM(ELEC!N20)</f>
        <v>8988</v>
      </c>
      <c r="T21" s="336">
        <f t="shared" si="12"/>
        <v>0.22892999149992982</v>
      </c>
      <c r="V21" s="166" t="s">
        <v>201</v>
      </c>
      <c r="W21" s="167">
        <v>44276</v>
      </c>
      <c r="X21" s="168"/>
      <c r="Y21" s="168"/>
      <c r="Z21" s="169" t="s">
        <v>202</v>
      </c>
      <c r="AA21" s="168"/>
      <c r="AB21" s="675"/>
      <c r="AC21" s="676"/>
    </row>
    <row r="22" spans="1:32" ht="15.75" thickBot="1">
      <c r="A22" s="163">
        <f>ELEC!C21</f>
        <v>44274</v>
      </c>
      <c r="B22" s="539">
        <v>942410</v>
      </c>
      <c r="C22" s="264">
        <f t="shared" si="0"/>
        <v>1913</v>
      </c>
      <c r="D22" s="308">
        <f t="shared" si="8"/>
        <v>1914</v>
      </c>
      <c r="E22" s="308">
        <f t="shared" si="11"/>
        <v>942411</v>
      </c>
      <c r="F22" s="539">
        <v>142448</v>
      </c>
      <c r="G22" s="160">
        <f t="shared" si="1"/>
        <v>257</v>
      </c>
      <c r="H22" s="539">
        <v>462256</v>
      </c>
      <c r="I22" s="161">
        <f t="shared" si="2"/>
        <v>805</v>
      </c>
      <c r="J22" s="539">
        <v>337705</v>
      </c>
      <c r="K22" s="162">
        <f t="shared" si="3"/>
        <v>852</v>
      </c>
      <c r="L22" s="296">
        <f t="shared" si="20"/>
        <v>54.553897180762853</v>
      </c>
      <c r="M22" s="296">
        <f t="shared" si="21"/>
        <v>59.807628524046436</v>
      </c>
      <c r="N22" s="296">
        <f t="shared" si="22"/>
        <v>45.213930348258707</v>
      </c>
      <c r="O22" s="296">
        <f t="shared" si="7"/>
        <v>154.80303857058792</v>
      </c>
      <c r="P22" s="297">
        <f t="shared" si="9"/>
        <v>314.37849462365591</v>
      </c>
      <c r="Q22" s="297">
        <f>SUM(-tanks!AX24*tanks!$AU$37)</f>
        <v>-1866.8705376344233</v>
      </c>
      <c r="R22" s="297">
        <f t="shared" si="10"/>
        <v>-1552.4920430107672</v>
      </c>
      <c r="S22" s="299">
        <f>SUM(ELEC!N21)</f>
        <v>7145</v>
      </c>
      <c r="T22" s="336">
        <f t="shared" si="12"/>
        <v>-0.21728370091123406</v>
      </c>
      <c r="V22" s="681"/>
      <c r="W22" s="682"/>
      <c r="X22" s="682"/>
      <c r="Y22" s="683"/>
      <c r="Z22" s="26" t="s">
        <v>203</v>
      </c>
      <c r="AA22" s="26">
        <v>5000</v>
      </c>
      <c r="AB22" s="677"/>
      <c r="AC22" s="678"/>
    </row>
    <row r="23" spans="1:32" ht="15.75" thickBot="1">
      <c r="A23" s="163">
        <f>ELEC!C22</f>
        <v>44275</v>
      </c>
      <c r="B23" s="539">
        <v>944544</v>
      </c>
      <c r="C23" s="264">
        <f t="shared" si="0"/>
        <v>2134</v>
      </c>
      <c r="D23" s="308">
        <f t="shared" si="8"/>
        <v>2134</v>
      </c>
      <c r="E23" s="308">
        <f t="shared" si="11"/>
        <v>944544</v>
      </c>
      <c r="F23" s="539">
        <v>142879</v>
      </c>
      <c r="G23" s="160">
        <f t="shared" si="1"/>
        <v>431</v>
      </c>
      <c r="H23" s="539">
        <v>463074</v>
      </c>
      <c r="I23" s="161">
        <f t="shared" si="2"/>
        <v>818</v>
      </c>
      <c r="J23" s="539">
        <v>338590</v>
      </c>
      <c r="K23" s="162">
        <f t="shared" si="3"/>
        <v>885</v>
      </c>
      <c r="L23" s="296">
        <f t="shared" si="20"/>
        <v>91.489220563847425</v>
      </c>
      <c r="M23" s="296">
        <f t="shared" si="21"/>
        <v>60.773466003316749</v>
      </c>
      <c r="N23" s="296">
        <f t="shared" si="22"/>
        <v>46.965174129353237</v>
      </c>
      <c r="O23" s="296">
        <f t="shared" si="7"/>
        <v>154.80303857058792</v>
      </c>
      <c r="P23" s="297">
        <f t="shared" si="9"/>
        <v>354.03089926710533</v>
      </c>
      <c r="Q23" s="297">
        <f>SUM(-tanks!AX25*tanks!$AU$37)</f>
        <v>490.98778494623576</v>
      </c>
      <c r="R23" s="297">
        <f t="shared" si="10"/>
        <v>845.01868421334109</v>
      </c>
      <c r="S23" s="299">
        <f>SUM(ELEC!N22)</f>
        <v>6356</v>
      </c>
      <c r="T23" s="336">
        <f t="shared" si="12"/>
        <v>0.13294818820222484</v>
      </c>
      <c r="V23" s="684"/>
      <c r="W23" s="685"/>
      <c r="X23" s="685"/>
      <c r="Y23" s="686"/>
      <c r="Z23" s="687"/>
      <c r="AA23" s="688"/>
      <c r="AB23" s="677"/>
      <c r="AC23" s="678"/>
    </row>
    <row r="24" spans="1:32" ht="15" customHeight="1" thickBot="1">
      <c r="A24" s="163">
        <f>ELEC!C23</f>
        <v>44276</v>
      </c>
      <c r="B24" s="539">
        <v>946423</v>
      </c>
      <c r="C24" s="264">
        <f t="shared" si="0"/>
        <v>1879</v>
      </c>
      <c r="D24" s="308">
        <f t="shared" si="8"/>
        <v>1880</v>
      </c>
      <c r="E24" s="308">
        <f t="shared" si="11"/>
        <v>946424</v>
      </c>
      <c r="F24" s="539">
        <v>143131</v>
      </c>
      <c r="G24" s="160">
        <f t="shared" si="1"/>
        <v>252</v>
      </c>
      <c r="H24" s="539">
        <v>463836</v>
      </c>
      <c r="I24" s="161">
        <f t="shared" si="2"/>
        <v>762</v>
      </c>
      <c r="J24" s="539">
        <v>339456</v>
      </c>
      <c r="K24" s="162">
        <f t="shared" si="3"/>
        <v>866</v>
      </c>
      <c r="L24" s="296">
        <f t="shared" si="20"/>
        <v>53.492537313432834</v>
      </c>
      <c r="M24" s="296">
        <f t="shared" si="21"/>
        <v>56.612935323383084</v>
      </c>
      <c r="N24" s="296">
        <f t="shared" si="22"/>
        <v>45.956882255389715</v>
      </c>
      <c r="O24" s="296">
        <f t="shared" si="7"/>
        <v>154.80303857058792</v>
      </c>
      <c r="P24" s="297">
        <f t="shared" si="9"/>
        <v>310.86539346279358</v>
      </c>
      <c r="Q24" s="297">
        <f>SUM(-tanks!AX26*tanks!$AU$37)</f>
        <v>1271.383569892484</v>
      </c>
      <c r="R24" s="297">
        <f t="shared" si="10"/>
        <v>1582.2489633552777</v>
      </c>
      <c r="S24" s="299">
        <f>SUM(ELEC!N23)</f>
        <v>7217</v>
      </c>
      <c r="T24" s="336">
        <f t="shared" si="12"/>
        <v>0.21923915246713008</v>
      </c>
      <c r="V24" s="689" t="s">
        <v>204</v>
      </c>
      <c r="W24" s="690"/>
      <c r="X24" s="691" t="s">
        <v>205</v>
      </c>
      <c r="Y24" s="692"/>
      <c r="Z24" s="693"/>
      <c r="AA24" s="170"/>
      <c r="AB24" s="679"/>
      <c r="AC24" s="680"/>
    </row>
    <row r="25" spans="1:32" ht="17.25" customHeight="1" thickBot="1">
      <c r="A25" s="163">
        <f>ELEC!C24</f>
        <v>44277</v>
      </c>
      <c r="B25" s="539">
        <v>947861</v>
      </c>
      <c r="C25" s="264">
        <f t="shared" si="0"/>
        <v>1438</v>
      </c>
      <c r="D25" s="308">
        <f t="shared" si="8"/>
        <v>1437</v>
      </c>
      <c r="E25" s="308">
        <f t="shared" si="11"/>
        <v>947860</v>
      </c>
      <c r="F25" s="539">
        <v>143370</v>
      </c>
      <c r="G25" s="160">
        <f t="shared" si="1"/>
        <v>239</v>
      </c>
      <c r="H25" s="539">
        <v>464186</v>
      </c>
      <c r="I25" s="161">
        <f t="shared" si="2"/>
        <v>350</v>
      </c>
      <c r="J25" s="539">
        <v>340304</v>
      </c>
      <c r="K25" s="162">
        <f t="shared" si="3"/>
        <v>848</v>
      </c>
      <c r="L25" s="296">
        <f t="shared" si="20"/>
        <v>50.733001658374796</v>
      </c>
      <c r="M25" s="296">
        <f t="shared" si="21"/>
        <v>26.003316749585405</v>
      </c>
      <c r="N25" s="296">
        <f t="shared" si="22"/>
        <v>45.001658374792704</v>
      </c>
      <c r="O25" s="296">
        <f t="shared" si="7"/>
        <v>154.80303857058792</v>
      </c>
      <c r="P25" s="297">
        <f t="shared" si="9"/>
        <v>276.54101535334081</v>
      </c>
      <c r="Q25" s="297">
        <f>SUM(-tanks!AX27*tanks!$AU$37)</f>
        <v>2085.371354838695</v>
      </c>
      <c r="R25" s="297">
        <f t="shared" si="10"/>
        <v>2361.9123701920357</v>
      </c>
      <c r="S25" s="299">
        <f>SUM(ELEC!N24)</f>
        <v>9779</v>
      </c>
      <c r="T25" s="336">
        <f t="shared" si="12"/>
        <v>0.24152902855016214</v>
      </c>
      <c r="V25" s="247" t="s">
        <v>206</v>
      </c>
      <c r="W25" s="248" t="s">
        <v>207</v>
      </c>
      <c r="X25" s="248"/>
      <c r="Y25" s="248" t="s">
        <v>208</v>
      </c>
      <c r="Z25" s="248" t="s">
        <v>209</v>
      </c>
      <c r="AA25" s="248" t="s">
        <v>210</v>
      </c>
      <c r="AB25" s="248" t="s">
        <v>211</v>
      </c>
      <c r="AC25" s="171" t="s">
        <v>212</v>
      </c>
    </row>
    <row r="26" spans="1:32" ht="15.75" thickBot="1">
      <c r="A26" s="163">
        <f>ELEC!C25</f>
        <v>44278</v>
      </c>
      <c r="B26" s="539">
        <v>948922</v>
      </c>
      <c r="C26" s="264">
        <f t="shared" si="0"/>
        <v>1061</v>
      </c>
      <c r="D26" s="308">
        <f t="shared" si="8"/>
        <v>1061</v>
      </c>
      <c r="E26" s="308">
        <f t="shared" si="11"/>
        <v>948922</v>
      </c>
      <c r="F26" s="539">
        <v>143619</v>
      </c>
      <c r="G26" s="160">
        <f t="shared" si="1"/>
        <v>249</v>
      </c>
      <c r="H26" s="539">
        <v>464695</v>
      </c>
      <c r="I26" s="161">
        <f t="shared" si="2"/>
        <v>509</v>
      </c>
      <c r="J26" s="539">
        <v>340607</v>
      </c>
      <c r="K26" s="162">
        <f t="shared" si="3"/>
        <v>303</v>
      </c>
      <c r="L26" s="296">
        <f t="shared" si="20"/>
        <v>52.855721393034827</v>
      </c>
      <c r="M26" s="296">
        <f t="shared" si="21"/>
        <v>37.816252072968489</v>
      </c>
      <c r="N26" s="296">
        <f t="shared" si="22"/>
        <v>16.079601990049753</v>
      </c>
      <c r="O26" s="296">
        <f t="shared" si="7"/>
        <v>154.80303857058792</v>
      </c>
      <c r="P26" s="297">
        <f t="shared" si="9"/>
        <v>261.55461402664099</v>
      </c>
      <c r="Q26" s="297">
        <f>SUM(-tanks!AX28*tanks!$AU$37)</f>
        <v>2349.5228387096831</v>
      </c>
      <c r="R26" s="297">
        <f t="shared" si="10"/>
        <v>2611.0774527363242</v>
      </c>
      <c r="S26" s="299">
        <f>SUM(ELEC!N25)</f>
        <v>10356</v>
      </c>
      <c r="T26" s="336">
        <f t="shared" si="12"/>
        <v>0.25213185136503707</v>
      </c>
      <c r="V26" s="254">
        <f>W9</f>
        <v>321050</v>
      </c>
      <c r="W26" s="170">
        <f>J34</f>
        <v>344256</v>
      </c>
      <c r="X26" s="172" t="s">
        <v>199</v>
      </c>
      <c r="Y26" s="172">
        <v>80</v>
      </c>
      <c r="Z26" s="172">
        <v>1</v>
      </c>
      <c r="AA26" s="338">
        <f>(W26-V26)*Z26</f>
        <v>23206</v>
      </c>
      <c r="AB26" s="338">
        <f>AA26*Y26</f>
        <v>1856480</v>
      </c>
      <c r="AC26" s="249">
        <f>AC9</f>
        <v>1033333</v>
      </c>
      <c r="AD26" s="212">
        <f>SUM(K36)</f>
        <v>0.44904988583149508</v>
      </c>
    </row>
    <row r="27" spans="1:32" ht="15.75" thickBot="1">
      <c r="A27" s="163">
        <f>ELEC!C26</f>
        <v>44279</v>
      </c>
      <c r="B27" s="539">
        <v>950117</v>
      </c>
      <c r="C27" s="264">
        <f t="shared" si="0"/>
        <v>1195</v>
      </c>
      <c r="D27" s="308">
        <f t="shared" si="8"/>
        <v>1195</v>
      </c>
      <c r="E27" s="308">
        <f t="shared" si="11"/>
        <v>950117</v>
      </c>
      <c r="F27" s="539">
        <v>143619</v>
      </c>
      <c r="G27" s="160">
        <f t="shared" si="1"/>
        <v>0</v>
      </c>
      <c r="H27" s="539">
        <v>465140</v>
      </c>
      <c r="I27" s="161">
        <f t="shared" si="2"/>
        <v>445</v>
      </c>
      <c r="J27" s="539">
        <v>341357</v>
      </c>
      <c r="K27" s="162">
        <f t="shared" si="3"/>
        <v>750</v>
      </c>
      <c r="L27" s="296">
        <f t="shared" si="20"/>
        <v>0</v>
      </c>
      <c r="M27" s="296">
        <f t="shared" si="21"/>
        <v>33.061359867330019</v>
      </c>
      <c r="N27" s="296">
        <f t="shared" si="22"/>
        <v>39.800995024875618</v>
      </c>
      <c r="O27" s="296">
        <f t="shared" si="7"/>
        <v>154.80303857058792</v>
      </c>
      <c r="P27" s="297">
        <f t="shared" si="9"/>
        <v>227.66539346279356</v>
      </c>
      <c r="Q27" s="297">
        <f>SUM(-tanks!AX29*tanks!$AU$37)</f>
        <v>2186.7308387096832</v>
      </c>
      <c r="R27" s="297">
        <f t="shared" si="10"/>
        <v>2414.3962321724766</v>
      </c>
      <c r="S27" s="299">
        <f>SUM(ELEC!N26)</f>
        <v>8509</v>
      </c>
      <c r="T27" s="336">
        <f t="shared" si="12"/>
        <v>0.28374617841961181</v>
      </c>
      <c r="V27" s="254">
        <f t="shared" ref="V27:V28" si="23">W10</f>
        <v>446820</v>
      </c>
      <c r="W27" s="170">
        <f>H34</f>
        <v>468436</v>
      </c>
      <c r="X27" s="172" t="s">
        <v>213</v>
      </c>
      <c r="Y27" s="172">
        <v>112</v>
      </c>
      <c r="Z27" s="172">
        <v>1</v>
      </c>
      <c r="AA27" s="338">
        <f>(W27-V27)*Z27</f>
        <v>21616</v>
      </c>
      <c r="AB27" s="338">
        <f>SUM(AA27*Y27)</f>
        <v>2420992</v>
      </c>
      <c r="AC27" s="249">
        <f>AC10</f>
        <v>6200000</v>
      </c>
      <c r="AD27" s="212">
        <f>SUM(I36)</f>
        <v>0.41828244127094699</v>
      </c>
    </row>
    <row r="28" spans="1:32" ht="15.75" thickBot="1">
      <c r="A28" s="163">
        <f>ELEC!C27</f>
        <v>44280</v>
      </c>
      <c r="B28" s="539">
        <v>951218</v>
      </c>
      <c r="C28" s="264">
        <f t="shared" si="0"/>
        <v>1101</v>
      </c>
      <c r="D28" s="308">
        <f t="shared" si="8"/>
        <v>1102</v>
      </c>
      <c r="E28" s="308">
        <f t="shared" si="11"/>
        <v>951219</v>
      </c>
      <c r="F28" s="539">
        <v>143698</v>
      </c>
      <c r="G28" s="160">
        <f t="shared" si="1"/>
        <v>79</v>
      </c>
      <c r="H28" s="539">
        <v>465725</v>
      </c>
      <c r="I28" s="161">
        <f t="shared" si="2"/>
        <v>585</v>
      </c>
      <c r="J28" s="539">
        <v>341795</v>
      </c>
      <c r="K28" s="162">
        <f t="shared" si="3"/>
        <v>438</v>
      </c>
      <c r="L28" s="296">
        <f t="shared" si="20"/>
        <v>16.76948590381426</v>
      </c>
      <c r="M28" s="296">
        <f t="shared" si="21"/>
        <v>43.462686567164177</v>
      </c>
      <c r="N28" s="296">
        <f t="shared" si="22"/>
        <v>23.243781094527364</v>
      </c>
      <c r="O28" s="296">
        <f t="shared" si="7"/>
        <v>154.80303857058792</v>
      </c>
      <c r="P28" s="297">
        <f t="shared" si="9"/>
        <v>238.27899213609373</v>
      </c>
      <c r="Q28" s="297">
        <f>SUM(-tanks!AX30*tanks!$AU$37)</f>
        <v>2255.637505376325</v>
      </c>
      <c r="R28" s="297">
        <f t="shared" si="10"/>
        <v>2493.9164975124186</v>
      </c>
      <c r="S28" s="299">
        <f>SUM(ELEC!N27)</f>
        <v>10240</v>
      </c>
      <c r="T28" s="336">
        <f t="shared" si="12"/>
        <v>0.24354653296019713</v>
      </c>
      <c r="V28" s="254">
        <f t="shared" si="23"/>
        <v>137108</v>
      </c>
      <c r="W28" s="170">
        <f>F34</f>
        <v>143963</v>
      </c>
      <c r="X28" s="172" t="s">
        <v>197</v>
      </c>
      <c r="Y28" s="172">
        <v>320</v>
      </c>
      <c r="Z28" s="172">
        <v>1</v>
      </c>
      <c r="AA28" s="338">
        <f>(W28-V28)*Z28</f>
        <v>6855</v>
      </c>
      <c r="AB28" s="338">
        <f>SUM(AA28*Y28)</f>
        <v>2193600</v>
      </c>
      <c r="AC28" s="249">
        <f>AC11</f>
        <v>1000</v>
      </c>
      <c r="AD28" s="212">
        <f>SUM(G36)</f>
        <v>0.13264832230349471</v>
      </c>
      <c r="AE28" s="40">
        <f>SUM(AB28*5%)</f>
        <v>109680</v>
      </c>
      <c r="AF28" s="82">
        <f>SUM(AE28/7)*31</f>
        <v>485725.71428571432</v>
      </c>
    </row>
    <row r="29" spans="1:32" ht="15.75" thickBot="1">
      <c r="A29" s="163">
        <f>ELEC!C28</f>
        <v>44281</v>
      </c>
      <c r="B29" s="539">
        <v>952109</v>
      </c>
      <c r="C29" s="264">
        <f t="shared" si="0"/>
        <v>891</v>
      </c>
      <c r="D29" s="308">
        <f t="shared" si="8"/>
        <v>889</v>
      </c>
      <c r="E29" s="308">
        <f t="shared" si="11"/>
        <v>952107</v>
      </c>
      <c r="F29" s="539">
        <v>143755</v>
      </c>
      <c r="G29" s="160">
        <f t="shared" si="1"/>
        <v>57</v>
      </c>
      <c r="H29" s="539">
        <v>465990</v>
      </c>
      <c r="I29" s="161">
        <f t="shared" si="2"/>
        <v>265</v>
      </c>
      <c r="J29" s="539">
        <v>342362</v>
      </c>
      <c r="K29" s="162">
        <f t="shared" si="3"/>
        <v>567</v>
      </c>
      <c r="L29" s="296">
        <f t="shared" si="20"/>
        <v>12.099502487562189</v>
      </c>
      <c r="M29" s="296">
        <f t="shared" si="21"/>
        <v>19.688225538971807</v>
      </c>
      <c r="N29" s="296">
        <f t="shared" si="22"/>
        <v>30.089552238805972</v>
      </c>
      <c r="O29" s="296">
        <f t="shared" si="7"/>
        <v>154.80303857058792</v>
      </c>
      <c r="P29" s="297">
        <f t="shared" si="9"/>
        <v>216.68031883592789</v>
      </c>
      <c r="Q29" s="297">
        <f>SUM(-tanks!AX31*tanks!$AU$37)</f>
        <v>2203.6657634408743</v>
      </c>
      <c r="R29" s="297">
        <f t="shared" si="10"/>
        <v>2420.346082276802</v>
      </c>
      <c r="S29" s="299">
        <f>SUM(ELEC!N28)</f>
        <v>9202</v>
      </c>
      <c r="T29" s="336">
        <f t="shared" si="12"/>
        <v>0.2630239167873073</v>
      </c>
      <c r="V29" s="213"/>
      <c r="W29" s="214"/>
      <c r="X29" s="214"/>
      <c r="Y29" s="215"/>
      <c r="Z29" s="3"/>
      <c r="AA29" s="338">
        <f>SUM(AA26:AA28)</f>
        <v>51677</v>
      </c>
      <c r="AB29" s="338"/>
      <c r="AC29" s="249"/>
    </row>
    <row r="30" spans="1:32" ht="14.25" customHeight="1" thickBot="1">
      <c r="A30" s="163">
        <f>ELEC!C29</f>
        <v>44282</v>
      </c>
      <c r="B30" s="539">
        <v>953119</v>
      </c>
      <c r="C30" s="264">
        <f t="shared" si="0"/>
        <v>1010</v>
      </c>
      <c r="D30" s="308">
        <f t="shared" si="8"/>
        <v>1011</v>
      </c>
      <c r="E30" s="308">
        <f t="shared" si="11"/>
        <v>953120</v>
      </c>
      <c r="F30" s="539">
        <v>143906</v>
      </c>
      <c r="G30" s="160">
        <f t="shared" si="1"/>
        <v>151</v>
      </c>
      <c r="H30" s="539">
        <v>466413</v>
      </c>
      <c r="I30" s="161">
        <f t="shared" si="2"/>
        <v>423</v>
      </c>
      <c r="J30" s="539">
        <v>342799</v>
      </c>
      <c r="K30" s="162">
        <f t="shared" si="3"/>
        <v>437</v>
      </c>
      <c r="L30" s="296">
        <f t="shared" si="20"/>
        <v>32.053067993366504</v>
      </c>
      <c r="M30" s="296">
        <f t="shared" si="21"/>
        <v>31.426865671641792</v>
      </c>
      <c r="N30" s="296">
        <f t="shared" si="22"/>
        <v>23.190713101160863</v>
      </c>
      <c r="O30" s="296">
        <f t="shared" si="7"/>
        <v>154.80303857058792</v>
      </c>
      <c r="P30" s="297">
        <f t="shared" si="9"/>
        <v>241.47368533675706</v>
      </c>
      <c r="Q30" s="297">
        <f>SUM(-tanks!AX32*tanks!$AU$37)</f>
        <v>2598.7399139784984</v>
      </c>
      <c r="R30" s="297">
        <f t="shared" si="10"/>
        <v>2840.2135993152556</v>
      </c>
      <c r="S30" s="299">
        <f>SUM(ELEC!N29)</f>
        <v>8809</v>
      </c>
      <c r="T30" s="336">
        <f t="shared" si="12"/>
        <v>0.32242179581283409</v>
      </c>
      <c r="V30" s="216" t="s">
        <v>316</v>
      </c>
      <c r="W30" s="443">
        <f>'General information '!F37</f>
        <v>0</v>
      </c>
      <c r="X30" s="217"/>
      <c r="Y30" s="218" t="s">
        <v>330</v>
      </c>
      <c r="Z30" s="3"/>
      <c r="AA30" s="338"/>
      <c r="AB30" s="338">
        <f>SUM(AB26:AB29)</f>
        <v>6471072</v>
      </c>
      <c r="AC30" s="249">
        <f>SUM(AC26:AC29)/A37*A35</f>
        <v>7234333</v>
      </c>
    </row>
    <row r="31" spans="1:32" ht="14.25" customHeight="1" thickBot="1">
      <c r="A31" s="163">
        <f>ELEC!C30</f>
        <v>44283</v>
      </c>
      <c r="B31" s="539">
        <v>954111</v>
      </c>
      <c r="C31" s="264">
        <f t="shared" ref="C31:C34" si="24">SUM(B31-B30)</f>
        <v>992</v>
      </c>
      <c r="D31" s="308">
        <f t="shared" ref="D31:D34" si="25">SUM(G31+I31+K31)</f>
        <v>992</v>
      </c>
      <c r="E31" s="308">
        <f t="shared" ref="E31:E34" si="26">B30+D31</f>
        <v>954111</v>
      </c>
      <c r="F31" s="539">
        <v>143906</v>
      </c>
      <c r="G31" s="160">
        <f t="shared" ref="G31:G34" si="27">F31-F30</f>
        <v>0</v>
      </c>
      <c r="H31" s="539">
        <v>466882</v>
      </c>
      <c r="I31" s="161">
        <f t="shared" ref="I31:I34" si="28">H31-H30</f>
        <v>469</v>
      </c>
      <c r="J31" s="539">
        <v>343322</v>
      </c>
      <c r="K31" s="162">
        <f t="shared" ref="K31:K34" si="29">J31-J30</f>
        <v>523</v>
      </c>
      <c r="L31" s="296">
        <f t="shared" ref="L31:L34" si="30">SUM(G31*$Y$28)/1507.5</f>
        <v>0</v>
      </c>
      <c r="M31" s="296">
        <f t="shared" ref="M31:M34" si="31">SUM(I31*$Y$27)/1507.5</f>
        <v>34.844444444444441</v>
      </c>
      <c r="N31" s="296">
        <f t="shared" ref="N31:N34" si="32">SUM(K31*$Y$26)/1507.5</f>
        <v>27.754560530679935</v>
      </c>
      <c r="O31" s="296">
        <f t="shared" si="7"/>
        <v>154.80303857058792</v>
      </c>
      <c r="P31" s="297">
        <f t="shared" ref="P31:P34" si="33">SUM(L31:O31)</f>
        <v>217.40204354571227</v>
      </c>
      <c r="Q31" s="297">
        <f>SUM(-tanks!AX33*tanks!$AU$37)</f>
        <v>1543.0092043010711</v>
      </c>
      <c r="R31" s="297">
        <f t="shared" ref="R31:R34" si="34">SUM(P31:Q31)</f>
        <v>1760.4112478467835</v>
      </c>
      <c r="S31" s="299">
        <f>SUM(ELEC!N30)</f>
        <v>7510</v>
      </c>
      <c r="T31" s="336">
        <f t="shared" ref="T31:T34" si="35">IF(S31&gt;0,R31/S31,0)</f>
        <v>0.23440895444031737</v>
      </c>
      <c r="V31" s="216"/>
      <c r="W31" s="554"/>
      <c r="X31" s="217"/>
      <c r="Y31" s="218"/>
      <c r="Z31" s="3"/>
      <c r="AA31" s="338"/>
      <c r="AB31" s="338"/>
      <c r="AC31" s="249"/>
    </row>
    <row r="32" spans="1:32" ht="14.25" customHeight="1" thickBot="1">
      <c r="A32" s="163">
        <f>ELEC!C31</f>
        <v>44284</v>
      </c>
      <c r="B32" s="539">
        <v>955093</v>
      </c>
      <c r="C32" s="264">
        <f t="shared" si="24"/>
        <v>982</v>
      </c>
      <c r="D32" s="308">
        <f t="shared" si="25"/>
        <v>982</v>
      </c>
      <c r="E32" s="308">
        <f t="shared" si="26"/>
        <v>955093</v>
      </c>
      <c r="F32" s="539">
        <v>143963</v>
      </c>
      <c r="G32" s="160">
        <f t="shared" si="27"/>
        <v>57</v>
      </c>
      <c r="H32" s="539">
        <v>467424</v>
      </c>
      <c r="I32" s="161">
        <f t="shared" si="28"/>
        <v>542</v>
      </c>
      <c r="J32" s="539">
        <v>343705</v>
      </c>
      <c r="K32" s="162">
        <f t="shared" si="29"/>
        <v>383</v>
      </c>
      <c r="L32" s="296">
        <f t="shared" si="30"/>
        <v>12.099502487562189</v>
      </c>
      <c r="M32" s="296">
        <f t="shared" si="31"/>
        <v>40.267993366500832</v>
      </c>
      <c r="N32" s="296">
        <f t="shared" si="32"/>
        <v>20.325041459369817</v>
      </c>
      <c r="O32" s="296">
        <f t="shared" si="7"/>
        <v>154.80303857058792</v>
      </c>
      <c r="P32" s="297">
        <f t="shared" si="33"/>
        <v>227.49557588402075</v>
      </c>
      <c r="Q32" s="297">
        <f>SUM(-tanks!AX34*tanks!$AU$37)</f>
        <v>1122.0950537634474</v>
      </c>
      <c r="R32" s="297">
        <f t="shared" si="34"/>
        <v>1349.5906296474682</v>
      </c>
      <c r="S32" s="299">
        <f>SUM(ELEC!N31)</f>
        <v>11005</v>
      </c>
      <c r="T32" s="336">
        <f t="shared" si="35"/>
        <v>0.12263431437051051</v>
      </c>
      <c r="V32" s="216"/>
      <c r="W32" s="554"/>
      <c r="X32" s="217"/>
      <c r="Y32" s="218"/>
      <c r="Z32" s="3"/>
      <c r="AA32" s="338"/>
      <c r="AB32" s="338"/>
      <c r="AC32" s="249"/>
    </row>
    <row r="33" spans="1:32" ht="15.75" thickBot="1">
      <c r="A33" s="163">
        <f>ELEC!C32</f>
        <v>44285</v>
      </c>
      <c r="B33" s="539">
        <v>956069</v>
      </c>
      <c r="C33" s="264">
        <f t="shared" si="24"/>
        <v>976</v>
      </c>
      <c r="D33" s="308">
        <f t="shared" si="25"/>
        <v>976</v>
      </c>
      <c r="E33" s="308">
        <f t="shared" si="26"/>
        <v>956069</v>
      </c>
      <c r="F33" s="539">
        <v>143963</v>
      </c>
      <c r="G33" s="160">
        <f t="shared" si="27"/>
        <v>0</v>
      </c>
      <c r="H33" s="539">
        <v>467949</v>
      </c>
      <c r="I33" s="161">
        <f t="shared" si="28"/>
        <v>525</v>
      </c>
      <c r="J33" s="539">
        <v>344156</v>
      </c>
      <c r="K33" s="162">
        <f t="shared" si="29"/>
        <v>451</v>
      </c>
      <c r="L33" s="296">
        <f t="shared" si="30"/>
        <v>0</v>
      </c>
      <c r="M33" s="296">
        <f t="shared" si="31"/>
        <v>39.004975124378106</v>
      </c>
      <c r="N33" s="296">
        <f t="shared" si="32"/>
        <v>23.933665008291875</v>
      </c>
      <c r="O33" s="296">
        <f t="shared" si="7"/>
        <v>154.80303857058792</v>
      </c>
      <c r="P33" s="297">
        <f t="shared" si="33"/>
        <v>217.74167870325789</v>
      </c>
      <c r="Q33" s="297">
        <f>SUM(-tanks!AX35*tanks!$AU$37)</f>
        <v>558.67191397847932</v>
      </c>
      <c r="R33" s="297">
        <f t="shared" si="34"/>
        <v>776.41359268173721</v>
      </c>
      <c r="S33" s="299">
        <f>SUM(ELEC!N32)</f>
        <v>9445</v>
      </c>
      <c r="T33" s="336">
        <f t="shared" si="35"/>
        <v>8.2203662539093406E-2</v>
      </c>
      <c r="V33" s="216" t="s">
        <v>317</v>
      </c>
      <c r="W33" s="217">
        <f>SUM(GEN!U33)</f>
        <v>3000</v>
      </c>
      <c r="X33" s="222">
        <f>SUM(W33/A34)</f>
        <v>6.7741498441945533E-2</v>
      </c>
      <c r="Y33" s="260">
        <f>SUM(X33/2)</f>
        <v>3.3870749220972766E-2</v>
      </c>
      <c r="Z33" s="3"/>
      <c r="AA33" s="3"/>
      <c r="AB33" s="542">
        <f>SUM(AB29+AC33)</f>
        <v>0</v>
      </c>
      <c r="AC33" s="249">
        <f>SUM(AC29)</f>
        <v>0</v>
      </c>
    </row>
    <row r="34" spans="1:32">
      <c r="A34" s="163">
        <f>ELEC!C33</f>
        <v>44286</v>
      </c>
      <c r="B34" s="539">
        <v>956656</v>
      </c>
      <c r="C34" s="264">
        <f t="shared" si="24"/>
        <v>587</v>
      </c>
      <c r="D34" s="308">
        <f t="shared" si="25"/>
        <v>587</v>
      </c>
      <c r="E34" s="308">
        <f t="shared" si="26"/>
        <v>956656</v>
      </c>
      <c r="F34" s="539">
        <v>143963</v>
      </c>
      <c r="G34" s="160">
        <f t="shared" si="27"/>
        <v>0</v>
      </c>
      <c r="H34" s="539">
        <v>468436</v>
      </c>
      <c r="I34" s="161">
        <f t="shared" si="28"/>
        <v>487</v>
      </c>
      <c r="J34" s="539">
        <v>344256</v>
      </c>
      <c r="K34" s="162">
        <f t="shared" si="29"/>
        <v>100</v>
      </c>
      <c r="L34" s="296">
        <f t="shared" si="30"/>
        <v>0</v>
      </c>
      <c r="M34" s="296">
        <f t="shared" si="31"/>
        <v>36.181757877280262</v>
      </c>
      <c r="N34" s="296">
        <f t="shared" si="32"/>
        <v>5.3067993366500827</v>
      </c>
      <c r="O34" s="296">
        <f t="shared" si="7"/>
        <v>154.80303857058792</v>
      </c>
      <c r="P34" s="297">
        <f t="shared" si="33"/>
        <v>196.29159578451825</v>
      </c>
      <c r="Q34" s="297">
        <f>SUM(-tanks!AX36*tanks!$AU$37)</f>
        <v>3042.0626236559315</v>
      </c>
      <c r="R34" s="297">
        <f t="shared" si="34"/>
        <v>3238.3542194404499</v>
      </c>
      <c r="S34" s="299">
        <f>SUM(ELEC!N33)</f>
        <v>10928</v>
      </c>
      <c r="T34" s="336">
        <f t="shared" si="35"/>
        <v>0.29633548860179815</v>
      </c>
      <c r="V34" s="216" t="s">
        <v>317</v>
      </c>
      <c r="W34" s="217">
        <f>SUM(GEN!U34)</f>
        <v>229</v>
      </c>
      <c r="X34" s="222">
        <f>SUM(W34/A35)</f>
        <v>7.387096774193548</v>
      </c>
      <c r="Y34" s="260">
        <f>SUM(X34/2)</f>
        <v>3.693548387096774</v>
      </c>
      <c r="Z34" s="3"/>
      <c r="AA34" s="3"/>
      <c r="AB34" s="542">
        <f>SUM(AB30+AC34)</f>
        <v>13705405</v>
      </c>
      <c r="AC34" s="249">
        <f>SUM(AC30)</f>
        <v>7234333</v>
      </c>
    </row>
    <row r="35" spans="1:32" ht="15.75" thickBot="1">
      <c r="A35" s="538">
        <f>A37-COUNTIF(C4:C34,0)</f>
        <v>31</v>
      </c>
      <c r="C35" s="173">
        <f>SUM(C4:C34)/A35</f>
        <v>1667.0322580645161</v>
      </c>
      <c r="D35" s="173"/>
      <c r="E35" s="173"/>
      <c r="G35" s="173">
        <f>SUM(G4:G34)/A35</f>
        <v>221.12903225806451</v>
      </c>
      <c r="I35" s="173">
        <f>SUM(I4:I34)/A35</f>
        <v>697.29032258064512</v>
      </c>
      <c r="K35" s="173">
        <f>SUM(K4:K34)/A35</f>
        <v>748.58064516129036</v>
      </c>
      <c r="L35" s="173">
        <f>SUM(L34*1507.5)</f>
        <v>0</v>
      </c>
      <c r="M35" s="173">
        <f>SUM(M34*1507.5)</f>
        <v>54543.999999999993</v>
      </c>
      <c r="N35" s="173">
        <f>SUM(N34*1507.5)</f>
        <v>8000</v>
      </c>
      <c r="O35" s="173">
        <f>SUM(O34*1507.5)</f>
        <v>233365.58064516127</v>
      </c>
      <c r="P35" s="173"/>
      <c r="Q35" s="173"/>
      <c r="R35" s="173"/>
      <c r="S35" s="300"/>
      <c r="V35" s="228"/>
      <c r="W35" s="229"/>
      <c r="X35" s="229"/>
      <c r="Y35" s="229"/>
      <c r="Z35" s="3"/>
      <c r="AA35" s="45"/>
      <c r="AB35" s="291"/>
      <c r="AC35" s="576"/>
    </row>
    <row r="36" spans="1:32" ht="15.75" thickBot="1">
      <c r="A36" s="210"/>
      <c r="C36" s="212">
        <f>SUM(G36:K36)</f>
        <v>0.99998064940593678</v>
      </c>
      <c r="G36" s="225">
        <f>IF(C35&gt;0,G35/C35,0)</f>
        <v>0.13264832230349471</v>
      </c>
      <c r="H36" s="212"/>
      <c r="I36" s="225">
        <f>SUM(I35/C35)</f>
        <v>0.41828244127094699</v>
      </c>
      <c r="J36" s="212"/>
      <c r="K36" s="225">
        <f>SUM(K35/C35)</f>
        <v>0.44904988583149508</v>
      </c>
      <c r="L36" s="225"/>
      <c r="M36" s="225"/>
      <c r="N36" s="225"/>
      <c r="O36" s="225"/>
      <c r="P36" s="225"/>
      <c r="Q36" s="225"/>
      <c r="R36" s="225"/>
      <c r="S36" s="301"/>
      <c r="V36" s="228"/>
      <c r="W36" s="229"/>
      <c r="X36" s="229"/>
      <c r="Y36" s="229"/>
      <c r="Z36" s="229"/>
      <c r="AA36" s="229" t="s">
        <v>215</v>
      </c>
      <c r="AB36" s="577">
        <f>SUM(AB34/1507.5)</f>
        <v>9091.4792703150906</v>
      </c>
      <c r="AC36" s="578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75"/>
      <c r="W37" s="219"/>
      <c r="X37" s="219"/>
      <c r="Y37" s="220"/>
      <c r="Z37" s="573"/>
      <c r="AA37" s="573"/>
      <c r="AB37" s="574"/>
      <c r="AC37" s="575"/>
    </row>
    <row r="38" spans="1:32">
      <c r="V38" s="217"/>
      <c r="W38" s="82">
        <f>AC30/1507.5</f>
        <v>4798.8941956882254</v>
      </c>
      <c r="Z38" s="40"/>
      <c r="AA38" s="292" t="s">
        <v>215</v>
      </c>
      <c r="AB38" s="293">
        <f>SUM(AB36)</f>
        <v>9091.4792703150906</v>
      </c>
    </row>
    <row r="39" spans="1:32">
      <c r="V39" s="217"/>
      <c r="W39" s="82">
        <f>(AB30+AB54)/1507.5</f>
        <v>4292.5850746268661</v>
      </c>
      <c r="X39" s="543"/>
      <c r="Z39" s="294">
        <f>SUM(AB38)</f>
        <v>9091.4792703150906</v>
      </c>
      <c r="AA39" s="293"/>
      <c r="AB39" s="293"/>
    </row>
    <row r="40" spans="1:32">
      <c r="V40" s="17"/>
      <c r="W40" s="82">
        <f>SUM(W38:W39)</f>
        <v>9091.4792703150924</v>
      </c>
      <c r="X40" s="543"/>
      <c r="Y40" s="82"/>
      <c r="Z40" s="294">
        <f>SUM(-tanks!AX37)*tanks!AU37</f>
        <v>33885.020043010751</v>
      </c>
      <c r="AA40" s="101">
        <f>SUM(AB34/A35)</f>
        <v>442109.83870967739</v>
      </c>
      <c r="AB40" s="348">
        <f>SUM(AA40*A37)</f>
        <v>13705405</v>
      </c>
    </row>
    <row r="41" spans="1:32" ht="18.75">
      <c r="W41" s="82">
        <f>(AB30+AB54)/1507.5</f>
        <v>4292.5850746268661</v>
      </c>
      <c r="Z41" s="276">
        <f>SUM(Z39:Z40)</f>
        <v>42976.499313325839</v>
      </c>
      <c r="AA41" s="293">
        <f>SUM(AA40/1507.5)</f>
        <v>293.27352484887388</v>
      </c>
      <c r="AB41" s="347">
        <f>SUM(AB40/1507.5)</f>
        <v>9091.4792703150906</v>
      </c>
    </row>
    <row r="42" spans="1:32">
      <c r="D42" s="519"/>
      <c r="E42" s="519"/>
      <c r="F42" s="519"/>
      <c r="W42" s="82">
        <f>SUM(W40:W41)</f>
        <v>13384.064344941959</v>
      </c>
      <c r="Z42" s="295" t="e">
        <f>SUM(ELEC!#REF!)</f>
        <v>#REF!</v>
      </c>
    </row>
    <row r="43" spans="1:32">
      <c r="Z43" s="293" t="e">
        <f>Z41/Z42</f>
        <v>#REF!</v>
      </c>
    </row>
    <row r="44" spans="1:32"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</row>
    <row r="45" spans="1:32">
      <c r="V45" s="545"/>
      <c r="W45" s="546"/>
      <c r="X45" s="17"/>
      <c r="Y45" s="17"/>
      <c r="Z45" s="547"/>
      <c r="AA45" s="17"/>
      <c r="AB45" s="662"/>
      <c r="AC45" s="662"/>
      <c r="AD45" s="17"/>
      <c r="AE45" s="17"/>
      <c r="AF45" s="17"/>
    </row>
    <row r="46" spans="1:32">
      <c r="V46" s="662"/>
      <c r="W46" s="662"/>
      <c r="X46" s="662"/>
      <c r="Y46" s="662"/>
      <c r="Z46" s="547"/>
      <c r="AA46" s="547"/>
      <c r="AB46" s="662"/>
      <c r="AC46" s="662"/>
      <c r="AD46" s="17"/>
      <c r="AE46" s="17"/>
      <c r="AF46" s="17"/>
    </row>
    <row r="47" spans="1:32">
      <c r="V47" s="662"/>
      <c r="W47" s="662"/>
      <c r="X47" s="662"/>
      <c r="Y47" s="662"/>
      <c r="Z47" s="662"/>
      <c r="AA47" s="662"/>
      <c r="AB47" s="662"/>
      <c r="AC47" s="662"/>
      <c r="AD47" s="17"/>
      <c r="AE47" s="17"/>
      <c r="AF47" s="17"/>
    </row>
    <row r="48" spans="1:32">
      <c r="V48" s="663"/>
      <c r="W48" s="663"/>
      <c r="X48" s="664"/>
      <c r="Y48" s="664"/>
      <c r="Z48" s="664"/>
      <c r="AA48" s="548"/>
      <c r="AB48" s="662"/>
      <c r="AC48" s="662"/>
      <c r="AD48" s="17"/>
      <c r="AE48" s="17"/>
      <c r="AF48" s="17"/>
    </row>
    <row r="49" spans="22:32">
      <c r="V49" s="545"/>
      <c r="W49" s="545"/>
      <c r="X49" s="545"/>
      <c r="Y49" s="545"/>
      <c r="Z49" s="545"/>
      <c r="AA49" s="545"/>
      <c r="AB49" s="545"/>
      <c r="AC49" s="549"/>
      <c r="AD49" s="17"/>
      <c r="AE49" s="17"/>
      <c r="AF49" s="17"/>
    </row>
    <row r="50" spans="22:32">
      <c r="V50" s="548"/>
      <c r="W50" s="548"/>
      <c r="X50" s="550"/>
      <c r="Y50" s="550"/>
      <c r="Z50" s="550"/>
      <c r="AA50" s="73"/>
      <c r="AB50" s="73"/>
      <c r="AC50" s="73"/>
      <c r="AD50" s="551"/>
      <c r="AE50" s="17"/>
      <c r="AF50" s="17"/>
    </row>
    <row r="51" spans="22:32">
      <c r="V51" s="548"/>
      <c r="W51" s="548"/>
      <c r="X51" s="550"/>
      <c r="Y51" s="550"/>
      <c r="Z51" s="550"/>
      <c r="AA51" s="73"/>
      <c r="AB51" s="73"/>
      <c r="AC51" s="73"/>
      <c r="AD51" s="551"/>
      <c r="AE51" s="17"/>
      <c r="AF51" s="17"/>
    </row>
    <row r="52" spans="22:32">
      <c r="V52" s="548"/>
      <c r="W52" s="548"/>
      <c r="X52" s="550"/>
      <c r="Y52" s="550"/>
      <c r="Z52" s="550"/>
      <c r="AA52" s="73"/>
      <c r="AB52" s="73"/>
      <c r="AC52" s="73"/>
      <c r="AD52" s="551"/>
      <c r="AE52" s="552"/>
      <c r="AF52" s="55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17"/>
      <c r="AE53" s="17"/>
      <c r="AF53" s="17"/>
    </row>
    <row r="54" spans="22:32">
      <c r="V54" s="217"/>
      <c r="W54" s="554"/>
      <c r="X54" s="217"/>
      <c r="Y54" s="217"/>
      <c r="Z54" s="17"/>
      <c r="AA54" s="73"/>
      <c r="AB54" s="267"/>
      <c r="AC54" s="73"/>
      <c r="AD54" s="17"/>
      <c r="AE54" s="17"/>
      <c r="AF54" s="17"/>
    </row>
    <row r="55" spans="22:32">
      <c r="V55" s="217"/>
      <c r="W55" s="217"/>
      <c r="X55" s="222"/>
      <c r="Y55" s="555"/>
      <c r="Z55" s="17"/>
      <c r="AA55" s="17"/>
      <c r="AB55" s="73"/>
      <c r="AC55" s="73"/>
      <c r="AD55" s="17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17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17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17"/>
      <c r="AE58" s="17"/>
      <c r="AF58" s="17"/>
    </row>
    <row r="59" spans="22:32">
      <c r="V59" s="17"/>
      <c r="W59" s="17"/>
      <c r="X59" s="17"/>
      <c r="Y59" s="17"/>
      <c r="Z59" s="17"/>
      <c r="AA59" s="556"/>
      <c r="AB59" s="557"/>
      <c r="AC59" s="558"/>
      <c r="AD59" s="17"/>
      <c r="AE59" s="17"/>
      <c r="AF59" s="17"/>
    </row>
    <row r="60" spans="22:32">
      <c r="V60" s="17"/>
      <c r="W60" s="17"/>
      <c r="X60" s="17"/>
      <c r="Y60" s="17"/>
      <c r="Z60" s="17"/>
      <c r="AA60" s="559"/>
      <c r="AB60" s="557"/>
      <c r="AC60" s="558"/>
      <c r="AD60" s="17"/>
      <c r="AE60" s="17"/>
      <c r="AF60" s="17"/>
    </row>
    <row r="61" spans="22:32">
      <c r="V61" s="17"/>
      <c r="W61" s="17"/>
      <c r="X61" s="17"/>
      <c r="Y61" s="17"/>
      <c r="Z61" s="17"/>
      <c r="AA61" s="17"/>
      <c r="AB61" s="557"/>
      <c r="AC61" s="558"/>
      <c r="AD61" s="17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60"/>
      <c r="AC62" s="17"/>
      <c r="AD62" s="17"/>
      <c r="AE62" s="17"/>
      <c r="AF62" s="17"/>
    </row>
    <row r="63" spans="22:32">
      <c r="V63" s="217"/>
      <c r="W63" s="553"/>
      <c r="X63" s="17"/>
      <c r="Y63" s="17"/>
      <c r="Z63" s="552"/>
      <c r="AA63" s="561"/>
      <c r="AB63" s="550"/>
      <c r="AC63" s="17"/>
      <c r="AD63" s="17"/>
      <c r="AE63" s="17"/>
      <c r="AF63" s="17"/>
    </row>
    <row r="64" spans="22:32">
      <c r="V64" s="217"/>
      <c r="W64" s="553"/>
      <c r="X64" s="17"/>
      <c r="Y64" s="17"/>
      <c r="Z64" s="422"/>
      <c r="AA64" s="550"/>
      <c r="AB64" s="550"/>
      <c r="AC64" s="17"/>
      <c r="AD64" s="17"/>
      <c r="AE64" s="17"/>
      <c r="AF64" s="17"/>
    </row>
    <row r="65" spans="22:32">
      <c r="V65" s="17"/>
      <c r="W65" s="553"/>
      <c r="X65" s="17"/>
      <c r="Y65" s="553"/>
      <c r="Z65" s="422"/>
      <c r="AA65" s="550"/>
      <c r="AB65" s="562"/>
      <c r="AC65" s="17"/>
      <c r="AD65" s="17"/>
      <c r="AE65" s="17"/>
      <c r="AF65" s="17"/>
    </row>
    <row r="66" spans="22:32" ht="18.75">
      <c r="V66" s="17"/>
      <c r="W66" s="553"/>
      <c r="X66" s="17"/>
      <c r="Y66" s="17"/>
      <c r="Z66" s="563"/>
      <c r="AA66" s="550"/>
      <c r="AB66" s="564"/>
      <c r="AC66" s="17"/>
      <c r="AD66" s="17"/>
      <c r="AE66" s="17"/>
      <c r="AF66" s="17"/>
    </row>
    <row r="67" spans="22:32">
      <c r="V67" s="17"/>
      <c r="W67" s="553"/>
      <c r="X67" s="17"/>
      <c r="Y67" s="17"/>
      <c r="Z67" s="73"/>
      <c r="AA67" s="17"/>
      <c r="AB67" s="17"/>
      <c r="AC67" s="17"/>
      <c r="AD67" s="17"/>
      <c r="AE67" s="17"/>
      <c r="AF67" s="17"/>
    </row>
    <row r="68" spans="22:32">
      <c r="V68" s="17"/>
      <c r="W68" s="17"/>
      <c r="X68" s="17"/>
      <c r="Y68" s="17"/>
      <c r="Z68" s="550"/>
      <c r="AA68" s="17"/>
      <c r="AB68" s="17"/>
      <c r="AC68" s="17"/>
      <c r="AD68" s="17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</sheetData>
  <mergeCells count="14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14" activePane="bottomLeft" state="frozen"/>
      <selection pane="bottomLeft" activeCell="I36" sqref="I36"/>
    </sheetView>
  </sheetViews>
  <sheetFormatPr defaultRowHeight="15"/>
  <cols>
    <col min="1" max="1" width="13.5703125" customWidth="1"/>
    <col min="2" max="2" width="6.7109375" customWidth="1"/>
    <col min="3" max="7" width="6.7109375" bestFit="1" customWidth="1"/>
    <col min="8" max="8" width="11.5703125" style="74" customWidth="1"/>
    <col min="9" max="9" width="12.7109375" bestFit="1" customWidth="1"/>
    <col min="10" max="10" width="25.42578125" style="490" customWidth="1"/>
    <col min="12" max="12" width="26.42578125" bestFit="1" customWidth="1"/>
    <col min="14" max="14" width="14.28515625" customWidth="1"/>
  </cols>
  <sheetData>
    <row r="1" spans="1:18" ht="39.75" customHeight="1" thickBot="1">
      <c r="A1" s="694" t="s">
        <v>51</v>
      </c>
      <c r="B1" s="706" t="s">
        <v>318</v>
      </c>
      <c r="C1" s="707"/>
      <c r="D1" s="709"/>
      <c r="E1" s="706" t="s">
        <v>319</v>
      </c>
      <c r="F1" s="707"/>
      <c r="G1" s="708"/>
      <c r="H1" s="703" t="s">
        <v>324</v>
      </c>
      <c r="I1" s="700" t="s">
        <v>325</v>
      </c>
      <c r="J1" s="697" t="s">
        <v>43</v>
      </c>
    </row>
    <row r="2" spans="1:18" ht="38.25" thickBot="1">
      <c r="A2" s="695"/>
      <c r="B2" s="257" t="s">
        <v>320</v>
      </c>
      <c r="C2" s="258" t="s">
        <v>321</v>
      </c>
      <c r="D2" s="234"/>
      <c r="E2" s="235">
        <v>3.5</v>
      </c>
      <c r="F2" s="259" t="s">
        <v>321</v>
      </c>
      <c r="G2" s="236"/>
      <c r="H2" s="704"/>
      <c r="I2" s="701"/>
      <c r="J2" s="698"/>
    </row>
    <row r="3" spans="1:18" ht="24" customHeight="1" thickBot="1">
      <c r="A3" s="696"/>
      <c r="B3" s="237" t="s">
        <v>328</v>
      </c>
      <c r="C3" s="238" t="s">
        <v>322</v>
      </c>
      <c r="D3" s="238" t="s">
        <v>329</v>
      </c>
      <c r="E3" s="239" t="s">
        <v>328</v>
      </c>
      <c r="F3" s="238" t="s">
        <v>322</v>
      </c>
      <c r="G3" s="239" t="s">
        <v>329</v>
      </c>
      <c r="H3" s="705"/>
      <c r="I3" s="702"/>
      <c r="J3" s="699"/>
    </row>
    <row r="4" spans="1:18" ht="19.5" thickBot="1">
      <c r="A4" s="243"/>
      <c r="B4" s="508"/>
      <c r="C4" s="508"/>
      <c r="D4" s="508"/>
      <c r="E4" s="508"/>
      <c r="F4" s="508"/>
      <c r="G4" s="508"/>
      <c r="H4" s="583">
        <v>0</v>
      </c>
      <c r="I4" s="244"/>
      <c r="J4" s="486"/>
      <c r="L4" s="3"/>
      <c r="M4" s="3" t="s">
        <v>389</v>
      </c>
      <c r="N4" s="3" t="s">
        <v>390</v>
      </c>
      <c r="O4" s="3" t="s">
        <v>391</v>
      </c>
    </row>
    <row r="5" spans="1:18" ht="16.5" customHeight="1" thickBot="1">
      <c r="A5" s="507">
        <f>ELEC!C2</f>
        <v>44255</v>
      </c>
      <c r="B5" s="45">
        <f>'[1]Swimming Pool quality check '!B33</f>
        <v>0.6</v>
      </c>
      <c r="C5" s="45">
        <f>'[1]Swimming Pool quality check '!C33</f>
        <v>7.8</v>
      </c>
      <c r="D5" s="45">
        <f>'[1]Swimming Pool quality check '!D33</f>
        <v>0</v>
      </c>
      <c r="E5" s="45">
        <f>'[1]Swimming Pool quality check '!E33</f>
        <v>0.1</v>
      </c>
      <c r="F5" s="45">
        <f>'[1]Swimming Pool quality check '!F33</f>
        <v>8</v>
      </c>
      <c r="G5" s="45">
        <f>'[1]Swimming Pool quality check '!G33</f>
        <v>0</v>
      </c>
      <c r="H5" s="45">
        <f>'[1]Swimming Pool quality check '!H33</f>
        <v>6721</v>
      </c>
      <c r="I5" s="45">
        <f>'[10]Swimming Pool quality check '!I36</f>
        <v>0</v>
      </c>
      <c r="J5" s="517">
        <f>'[12]Swimming Pool quality check '!J36</f>
        <v>0.33333333333333398</v>
      </c>
      <c r="K5" s="407">
        <v>0</v>
      </c>
      <c r="L5" s="534">
        <f>A5</f>
        <v>44255</v>
      </c>
      <c r="M5" s="509">
        <v>6541</v>
      </c>
      <c r="N5" s="509">
        <f>'[7]Swimming Pool quality check '!N36</f>
        <v>642</v>
      </c>
      <c r="O5" s="509">
        <f>'[7]Swimming Pool quality check '!O36</f>
        <v>6836</v>
      </c>
    </row>
    <row r="6" spans="1:18" ht="15.75" customHeight="1" thickBot="1">
      <c r="A6" s="240">
        <f>ELEC!C3</f>
        <v>44256</v>
      </c>
      <c r="B6" s="254">
        <v>0.4</v>
      </c>
      <c r="C6" s="609">
        <v>7.8</v>
      </c>
      <c r="D6" s="170"/>
      <c r="E6" s="170">
        <v>0.1</v>
      </c>
      <c r="F6" s="170">
        <v>8</v>
      </c>
      <c r="G6" s="586"/>
      <c r="H6" s="587">
        <f>H5</f>
        <v>6721</v>
      </c>
      <c r="I6" s="509">
        <f>H6-H5</f>
        <v>0</v>
      </c>
      <c r="J6" s="487">
        <v>0.29166666666666669</v>
      </c>
      <c r="L6" s="99">
        <f t="shared" ref="L6:L33" si="0">A6</f>
        <v>44256</v>
      </c>
      <c r="M6" s="3">
        <v>6543</v>
      </c>
      <c r="N6" s="509">
        <v>487</v>
      </c>
      <c r="O6" s="509">
        <f t="shared" ref="O6:O33" si="1">M6+N6</f>
        <v>7030</v>
      </c>
    </row>
    <row r="7" spans="1:18" ht="15.75" thickBot="1">
      <c r="A7" s="240">
        <f>ELEC!C4</f>
        <v>44257</v>
      </c>
      <c r="B7" s="254">
        <v>2.5</v>
      </c>
      <c r="C7" s="609">
        <v>7.8</v>
      </c>
      <c r="D7" s="170"/>
      <c r="E7" s="170">
        <v>2</v>
      </c>
      <c r="F7" s="170">
        <v>8</v>
      </c>
      <c r="G7" s="170"/>
      <c r="H7" s="587">
        <f>H6</f>
        <v>6721</v>
      </c>
      <c r="I7" s="509">
        <f>H7-H6</f>
        <v>0</v>
      </c>
      <c r="J7" s="488">
        <v>0.29166666666666669</v>
      </c>
      <c r="L7" s="99">
        <f t="shared" si="0"/>
        <v>44257</v>
      </c>
      <c r="M7" s="3">
        <v>6550</v>
      </c>
      <c r="N7" s="509">
        <v>487</v>
      </c>
      <c r="O7" s="509">
        <f t="shared" si="1"/>
        <v>7037</v>
      </c>
    </row>
    <row r="8" spans="1:18" ht="15.75" thickBot="1">
      <c r="A8" s="240">
        <f>ELEC!C5</f>
        <v>44258</v>
      </c>
      <c r="B8" s="537">
        <v>2.5</v>
      </c>
      <c r="C8" s="609">
        <v>7.8</v>
      </c>
      <c r="D8" s="609"/>
      <c r="E8" s="609">
        <v>2</v>
      </c>
      <c r="F8" s="609">
        <v>8</v>
      </c>
      <c r="G8" s="587"/>
      <c r="H8" s="587">
        <f t="shared" ref="H8:H36" si="2">H7</f>
        <v>6721</v>
      </c>
      <c r="I8" s="509">
        <f t="shared" ref="I8:I33" si="3">H8-H7</f>
        <v>0</v>
      </c>
      <c r="J8" s="488">
        <v>0.29166666666666669</v>
      </c>
      <c r="L8" s="99">
        <f t="shared" si="0"/>
        <v>44258</v>
      </c>
      <c r="M8" s="3">
        <v>6555</v>
      </c>
      <c r="N8" s="509">
        <v>487</v>
      </c>
      <c r="O8" s="509">
        <f t="shared" si="1"/>
        <v>7042</v>
      </c>
    </row>
    <row r="9" spans="1:18" ht="15.75" thickBot="1">
      <c r="A9" s="240">
        <f>ELEC!C6</f>
        <v>44259</v>
      </c>
      <c r="B9" s="254">
        <v>2</v>
      </c>
      <c r="C9" s="609">
        <v>7.9</v>
      </c>
      <c r="D9" s="170"/>
      <c r="E9" s="170">
        <v>0.6</v>
      </c>
      <c r="F9" s="170">
        <v>8</v>
      </c>
      <c r="G9" s="45"/>
      <c r="H9" s="587">
        <v>6723</v>
      </c>
      <c r="I9" s="509">
        <f t="shared" si="3"/>
        <v>2</v>
      </c>
      <c r="J9" s="488">
        <v>0.25</v>
      </c>
      <c r="L9" s="99">
        <f t="shared" si="0"/>
        <v>44259</v>
      </c>
      <c r="M9" s="3">
        <f t="shared" ref="M9:M36" si="4">M8</f>
        <v>6555</v>
      </c>
      <c r="N9" s="509">
        <v>487</v>
      </c>
      <c r="O9" s="509">
        <f t="shared" si="1"/>
        <v>7042</v>
      </c>
    </row>
    <row r="10" spans="1:18" ht="15.75" thickBot="1">
      <c r="A10" s="240">
        <f>ELEC!C7</f>
        <v>44260</v>
      </c>
      <c r="B10" s="254">
        <v>2.5</v>
      </c>
      <c r="C10" s="610">
        <v>7.8</v>
      </c>
      <c r="D10" s="170"/>
      <c r="E10" s="170">
        <v>1</v>
      </c>
      <c r="F10" s="170">
        <v>8</v>
      </c>
      <c r="G10" s="582"/>
      <c r="H10" s="587">
        <f t="shared" si="2"/>
        <v>6723</v>
      </c>
      <c r="I10" s="509">
        <f t="shared" si="3"/>
        <v>0</v>
      </c>
      <c r="J10" s="488">
        <v>0.29166666666666669</v>
      </c>
      <c r="L10" s="99">
        <f t="shared" si="0"/>
        <v>44260</v>
      </c>
      <c r="M10" s="3">
        <f t="shared" si="4"/>
        <v>6555</v>
      </c>
      <c r="N10" s="509">
        <v>487</v>
      </c>
      <c r="O10" s="509">
        <f t="shared" si="1"/>
        <v>7042</v>
      </c>
    </row>
    <row r="11" spans="1:18" ht="15.75" thickBot="1">
      <c r="A11" s="240">
        <f>ELEC!C8</f>
        <v>44261</v>
      </c>
      <c r="B11" s="537">
        <v>2</v>
      </c>
      <c r="C11" s="537">
        <v>7.8</v>
      </c>
      <c r="D11" s="537"/>
      <c r="E11" s="537">
        <v>1</v>
      </c>
      <c r="F11" s="537">
        <v>8</v>
      </c>
      <c r="G11" s="537"/>
      <c r="H11" s="587">
        <v>6725</v>
      </c>
      <c r="I11" s="509">
        <f t="shared" si="3"/>
        <v>2</v>
      </c>
      <c r="J11" s="488">
        <v>0.29166666666666669</v>
      </c>
      <c r="L11" s="99">
        <f t="shared" si="0"/>
        <v>44261</v>
      </c>
      <c r="M11" s="3">
        <f t="shared" si="4"/>
        <v>6555</v>
      </c>
      <c r="N11" s="509">
        <v>487</v>
      </c>
      <c r="O11" s="509">
        <f t="shared" si="1"/>
        <v>7042</v>
      </c>
    </row>
    <row r="12" spans="1:18" ht="16.5" thickBot="1">
      <c r="A12" s="240">
        <f>ELEC!C9</f>
        <v>44262</v>
      </c>
      <c r="B12" s="537">
        <v>2</v>
      </c>
      <c r="C12" s="537">
        <v>7.8</v>
      </c>
      <c r="D12" s="537"/>
      <c r="E12" s="537">
        <v>1</v>
      </c>
      <c r="F12" s="537">
        <v>8</v>
      </c>
      <c r="G12" s="537"/>
      <c r="H12" s="587">
        <v>6726</v>
      </c>
      <c r="I12" s="509">
        <f t="shared" si="3"/>
        <v>1</v>
      </c>
      <c r="J12" s="488">
        <v>0.29166666666666669</v>
      </c>
      <c r="L12" s="99">
        <f t="shared" si="0"/>
        <v>44262</v>
      </c>
      <c r="M12" s="3">
        <f t="shared" si="4"/>
        <v>6555</v>
      </c>
      <c r="N12" s="509">
        <v>487</v>
      </c>
      <c r="O12" s="509">
        <f t="shared" si="1"/>
        <v>7042</v>
      </c>
      <c r="P12" s="437"/>
      <c r="Q12" s="358"/>
      <c r="R12" s="358"/>
    </row>
    <row r="13" spans="1:18" ht="15.75" thickBot="1">
      <c r="A13" s="240">
        <f>ELEC!C10</f>
        <v>44263</v>
      </c>
      <c r="B13" s="537">
        <v>2.5</v>
      </c>
      <c r="C13" s="537">
        <v>7.8</v>
      </c>
      <c r="D13" s="537"/>
      <c r="E13" s="537">
        <v>2</v>
      </c>
      <c r="F13" s="537">
        <v>8</v>
      </c>
      <c r="G13" s="537"/>
      <c r="H13" s="587">
        <f t="shared" si="2"/>
        <v>6726</v>
      </c>
      <c r="I13" s="509">
        <f t="shared" si="3"/>
        <v>0</v>
      </c>
      <c r="J13" s="488">
        <v>0.29166666666666669</v>
      </c>
      <c r="L13" s="99">
        <f t="shared" si="0"/>
        <v>44263</v>
      </c>
      <c r="M13" s="3">
        <f t="shared" si="4"/>
        <v>6555</v>
      </c>
      <c r="N13" s="509">
        <v>487</v>
      </c>
      <c r="O13" s="509">
        <f t="shared" si="1"/>
        <v>7042</v>
      </c>
    </row>
    <row r="14" spans="1:18" ht="15.75" thickBot="1">
      <c r="A14" s="240">
        <f>ELEC!C11</f>
        <v>44264</v>
      </c>
      <c r="B14" s="537">
        <v>2</v>
      </c>
      <c r="C14" s="609">
        <v>7.8</v>
      </c>
      <c r="D14" s="170"/>
      <c r="E14" s="170">
        <v>1</v>
      </c>
      <c r="F14" s="170">
        <v>8</v>
      </c>
      <c r="G14" s="170"/>
      <c r="H14" s="587">
        <f t="shared" si="2"/>
        <v>6726</v>
      </c>
      <c r="I14" s="509">
        <f t="shared" si="3"/>
        <v>0</v>
      </c>
      <c r="J14" s="488">
        <v>0.29166666666666669</v>
      </c>
      <c r="L14" s="99">
        <f t="shared" si="0"/>
        <v>44264</v>
      </c>
      <c r="M14" s="3">
        <f t="shared" si="4"/>
        <v>6555</v>
      </c>
      <c r="N14" s="509">
        <v>487</v>
      </c>
      <c r="O14" s="509">
        <f t="shared" si="1"/>
        <v>7042</v>
      </c>
    </row>
    <row r="15" spans="1:18" ht="15.75" thickBot="1">
      <c r="A15" s="240">
        <f>ELEC!C12</f>
        <v>44265</v>
      </c>
      <c r="B15" s="537">
        <v>2</v>
      </c>
      <c r="C15" s="609">
        <v>7.8</v>
      </c>
      <c r="D15" s="609"/>
      <c r="E15" s="609">
        <v>1</v>
      </c>
      <c r="F15" s="609">
        <v>8</v>
      </c>
      <c r="G15" s="585"/>
      <c r="H15" s="587">
        <f t="shared" si="2"/>
        <v>6726</v>
      </c>
      <c r="I15" s="509">
        <f t="shared" si="3"/>
        <v>0</v>
      </c>
      <c r="J15" s="488">
        <v>0.29166666666666669</v>
      </c>
      <c r="L15" s="99">
        <f t="shared" si="0"/>
        <v>44265</v>
      </c>
      <c r="M15" s="3">
        <f t="shared" si="4"/>
        <v>6555</v>
      </c>
      <c r="N15" s="509">
        <v>487</v>
      </c>
      <c r="O15" s="509">
        <f t="shared" si="1"/>
        <v>7042</v>
      </c>
    </row>
    <row r="16" spans="1:18" ht="15.75" thickBot="1">
      <c r="A16" s="240">
        <f>ELEC!C13</f>
        <v>44266</v>
      </c>
      <c r="B16" s="537">
        <v>2</v>
      </c>
      <c r="C16" s="609">
        <v>7.8</v>
      </c>
      <c r="D16" s="609"/>
      <c r="E16" s="609">
        <v>1</v>
      </c>
      <c r="F16" s="609">
        <v>8</v>
      </c>
      <c r="G16" s="585"/>
      <c r="H16" s="587">
        <v>6728</v>
      </c>
      <c r="I16" s="509">
        <f t="shared" si="3"/>
        <v>2</v>
      </c>
      <c r="J16" s="488">
        <v>0.29166666666666669</v>
      </c>
      <c r="L16" s="99">
        <f t="shared" si="0"/>
        <v>44266</v>
      </c>
      <c r="M16" s="3">
        <f t="shared" si="4"/>
        <v>6555</v>
      </c>
      <c r="N16" s="509">
        <v>487</v>
      </c>
      <c r="O16" s="509">
        <f t="shared" si="1"/>
        <v>7042</v>
      </c>
    </row>
    <row r="17" spans="1:15" ht="15.75" thickBot="1">
      <c r="A17" s="240">
        <f>ELEC!C14</f>
        <v>44267</v>
      </c>
      <c r="B17" s="537">
        <v>2</v>
      </c>
      <c r="C17" s="537">
        <v>7.8</v>
      </c>
      <c r="D17" s="537"/>
      <c r="E17" s="537">
        <v>1</v>
      </c>
      <c r="F17" s="537">
        <v>8</v>
      </c>
      <c r="G17" s="537"/>
      <c r="H17" s="587">
        <f t="shared" si="2"/>
        <v>6728</v>
      </c>
      <c r="I17" s="509">
        <f t="shared" si="3"/>
        <v>0</v>
      </c>
      <c r="J17" s="488">
        <v>0.29166666666666669</v>
      </c>
      <c r="L17" s="99">
        <f t="shared" si="0"/>
        <v>44267</v>
      </c>
      <c r="M17" s="3">
        <f t="shared" si="4"/>
        <v>6555</v>
      </c>
      <c r="N17" s="509">
        <v>487</v>
      </c>
      <c r="O17" s="509">
        <f t="shared" si="1"/>
        <v>7042</v>
      </c>
    </row>
    <row r="18" spans="1:15" ht="15.75" thickBot="1">
      <c r="A18" s="240">
        <f>ELEC!C15</f>
        <v>44268</v>
      </c>
      <c r="B18" s="537">
        <v>1.5</v>
      </c>
      <c r="C18" s="609">
        <v>7.8</v>
      </c>
      <c r="D18" s="170"/>
      <c r="E18" s="170">
        <v>1</v>
      </c>
      <c r="F18" s="170">
        <v>8</v>
      </c>
      <c r="G18" s="537"/>
      <c r="H18" s="587">
        <v>6729</v>
      </c>
      <c r="I18" s="509">
        <f t="shared" si="3"/>
        <v>1</v>
      </c>
      <c r="J18" s="488">
        <v>0.29166666666666669</v>
      </c>
      <c r="L18" s="99">
        <f t="shared" si="0"/>
        <v>44268</v>
      </c>
      <c r="M18" s="3">
        <f t="shared" si="4"/>
        <v>6555</v>
      </c>
      <c r="N18" s="509">
        <v>487</v>
      </c>
      <c r="O18" s="509">
        <f t="shared" si="1"/>
        <v>7042</v>
      </c>
    </row>
    <row r="19" spans="1:15" ht="15.75" thickBot="1">
      <c r="A19" s="240">
        <f>ELEC!C16</f>
        <v>44269</v>
      </c>
      <c r="B19" s="537">
        <v>1.4</v>
      </c>
      <c r="C19" s="609">
        <v>7.8</v>
      </c>
      <c r="D19" s="170"/>
      <c r="E19" s="170">
        <v>1</v>
      </c>
      <c r="F19" s="170">
        <v>8</v>
      </c>
      <c r="G19" s="537"/>
      <c r="H19" s="587">
        <f t="shared" si="2"/>
        <v>6729</v>
      </c>
      <c r="I19" s="509">
        <f t="shared" si="3"/>
        <v>0</v>
      </c>
      <c r="J19" s="488">
        <v>0.29166666666666669</v>
      </c>
      <c r="L19" s="99">
        <f t="shared" si="0"/>
        <v>44269</v>
      </c>
      <c r="M19" s="3">
        <f t="shared" si="4"/>
        <v>6555</v>
      </c>
      <c r="N19" s="509">
        <v>487</v>
      </c>
      <c r="O19" s="509">
        <f t="shared" si="1"/>
        <v>7042</v>
      </c>
    </row>
    <row r="20" spans="1:15" ht="15.75" thickBot="1">
      <c r="A20" s="240">
        <f>ELEC!C17</f>
        <v>44270</v>
      </c>
      <c r="B20" s="537">
        <v>1.5</v>
      </c>
      <c r="C20" s="537">
        <v>7.8</v>
      </c>
      <c r="D20" s="537"/>
      <c r="E20" s="537">
        <v>1</v>
      </c>
      <c r="F20" s="537">
        <v>8</v>
      </c>
      <c r="G20" s="537"/>
      <c r="H20" s="587">
        <f t="shared" si="2"/>
        <v>6729</v>
      </c>
      <c r="I20" s="509">
        <f t="shared" si="3"/>
        <v>0</v>
      </c>
      <c r="J20" s="488">
        <v>0.29166666666666669</v>
      </c>
      <c r="L20" s="99">
        <f t="shared" si="0"/>
        <v>44270</v>
      </c>
      <c r="M20" s="3">
        <f t="shared" si="4"/>
        <v>6555</v>
      </c>
      <c r="N20" s="509">
        <v>645</v>
      </c>
      <c r="O20" s="509">
        <f t="shared" si="1"/>
        <v>7200</v>
      </c>
    </row>
    <row r="21" spans="1:15" ht="15.75" thickBot="1">
      <c r="A21" s="240">
        <f>ELEC!C18</f>
        <v>44271</v>
      </c>
      <c r="B21" s="537">
        <v>1.5</v>
      </c>
      <c r="C21" s="609">
        <v>7.8</v>
      </c>
      <c r="D21" s="170"/>
      <c r="E21" s="170">
        <v>1</v>
      </c>
      <c r="F21" s="170">
        <v>8</v>
      </c>
      <c r="G21" s="537"/>
      <c r="H21" s="587">
        <f t="shared" si="2"/>
        <v>6729</v>
      </c>
      <c r="I21" s="509">
        <f t="shared" si="3"/>
        <v>0</v>
      </c>
      <c r="J21" s="580" t="s">
        <v>415</v>
      </c>
      <c r="L21" s="99">
        <f t="shared" si="0"/>
        <v>44271</v>
      </c>
      <c r="M21" s="3">
        <f t="shared" si="4"/>
        <v>6555</v>
      </c>
      <c r="N21" s="509">
        <v>645</v>
      </c>
      <c r="O21" s="509">
        <f t="shared" si="1"/>
        <v>7200</v>
      </c>
    </row>
    <row r="22" spans="1:15" ht="15.75" thickBot="1">
      <c r="A22" s="240">
        <f>ELEC!C19</f>
        <v>44272</v>
      </c>
      <c r="B22" s="537">
        <v>1.5</v>
      </c>
      <c r="C22" s="537">
        <v>7.8</v>
      </c>
      <c r="D22" s="537"/>
      <c r="E22" s="537">
        <v>1</v>
      </c>
      <c r="F22" s="537">
        <v>8</v>
      </c>
      <c r="G22" s="537"/>
      <c r="H22" s="587">
        <v>6730</v>
      </c>
      <c r="I22" s="509">
        <f t="shared" si="3"/>
        <v>1</v>
      </c>
      <c r="J22" s="488">
        <v>0.29166666666666669</v>
      </c>
      <c r="L22" s="99">
        <f t="shared" si="0"/>
        <v>44272</v>
      </c>
      <c r="M22" s="3">
        <f t="shared" si="4"/>
        <v>6555</v>
      </c>
      <c r="N22" s="509">
        <v>645</v>
      </c>
      <c r="O22" s="509">
        <f t="shared" si="1"/>
        <v>7200</v>
      </c>
    </row>
    <row r="23" spans="1:15" ht="15.75" thickBot="1">
      <c r="A23" s="240">
        <f>ELEC!C20</f>
        <v>44273</v>
      </c>
      <c r="B23" s="537">
        <v>1.4</v>
      </c>
      <c r="C23" s="537">
        <v>7.8</v>
      </c>
      <c r="D23" s="537"/>
      <c r="E23" s="537">
        <v>1</v>
      </c>
      <c r="F23" s="537">
        <v>8</v>
      </c>
      <c r="G23" s="537"/>
      <c r="H23" s="587">
        <f t="shared" si="2"/>
        <v>6730</v>
      </c>
      <c r="I23" s="509">
        <f t="shared" si="3"/>
        <v>0</v>
      </c>
      <c r="J23" s="488">
        <v>0.29166666666666669</v>
      </c>
      <c r="L23" s="99">
        <f t="shared" si="0"/>
        <v>44273</v>
      </c>
      <c r="M23" s="3">
        <f t="shared" si="4"/>
        <v>6555</v>
      </c>
      <c r="N23" s="509">
        <v>645</v>
      </c>
      <c r="O23" s="509">
        <f t="shared" si="1"/>
        <v>7200</v>
      </c>
    </row>
    <row r="24" spans="1:15" ht="15.75" thickBot="1">
      <c r="A24" s="240">
        <f>ELEC!C21</f>
        <v>44274</v>
      </c>
      <c r="B24" s="537">
        <v>1.4</v>
      </c>
      <c r="C24" s="609">
        <v>7.8</v>
      </c>
      <c r="D24" s="170"/>
      <c r="E24" s="170">
        <v>1</v>
      </c>
      <c r="F24" s="170">
        <v>8</v>
      </c>
      <c r="G24" s="170"/>
      <c r="H24" s="587">
        <v>6731</v>
      </c>
      <c r="I24" s="509">
        <f t="shared" si="3"/>
        <v>1</v>
      </c>
      <c r="J24" s="488">
        <v>0.29166666666666702</v>
      </c>
      <c r="L24" s="99">
        <f t="shared" si="0"/>
        <v>44274</v>
      </c>
      <c r="M24" s="3">
        <f t="shared" si="4"/>
        <v>6555</v>
      </c>
      <c r="N24" s="509">
        <v>645</v>
      </c>
      <c r="O24" s="509">
        <f t="shared" si="1"/>
        <v>7200</v>
      </c>
    </row>
    <row r="25" spans="1:15" ht="15.75" thickBot="1">
      <c r="A25" s="240">
        <f>ELEC!C22</f>
        <v>44275</v>
      </c>
      <c r="B25" s="581">
        <v>1.5</v>
      </c>
      <c r="C25" s="609">
        <v>7.8</v>
      </c>
      <c r="D25" s="170"/>
      <c r="E25" s="170">
        <v>1</v>
      </c>
      <c r="F25" s="170">
        <v>8</v>
      </c>
      <c r="G25" s="170"/>
      <c r="H25" s="587">
        <f t="shared" si="2"/>
        <v>6731</v>
      </c>
      <c r="I25" s="509">
        <f t="shared" si="3"/>
        <v>0</v>
      </c>
      <c r="J25" s="488">
        <v>0.29166666666666702</v>
      </c>
      <c r="L25" s="99">
        <f t="shared" si="0"/>
        <v>44275</v>
      </c>
      <c r="M25" s="3">
        <f t="shared" si="4"/>
        <v>6555</v>
      </c>
      <c r="N25" s="509">
        <v>645</v>
      </c>
      <c r="O25" s="509">
        <f t="shared" si="1"/>
        <v>7200</v>
      </c>
    </row>
    <row r="26" spans="1:15" ht="15.75" thickBot="1">
      <c r="A26" s="240">
        <f>ELEC!C23</f>
        <v>44276</v>
      </c>
      <c r="B26" s="254">
        <v>1.5</v>
      </c>
      <c r="C26" s="615">
        <v>7.8</v>
      </c>
      <c r="D26" s="170"/>
      <c r="E26" s="537">
        <v>1</v>
      </c>
      <c r="F26" s="615">
        <v>8</v>
      </c>
      <c r="G26" s="170"/>
      <c r="H26" s="587">
        <f t="shared" si="2"/>
        <v>6731</v>
      </c>
      <c r="I26" s="509">
        <f t="shared" si="3"/>
        <v>0</v>
      </c>
      <c r="J26" s="488">
        <v>0.29166666666666702</v>
      </c>
      <c r="L26" s="99">
        <f t="shared" si="0"/>
        <v>44276</v>
      </c>
      <c r="M26" s="3">
        <f t="shared" si="4"/>
        <v>6555</v>
      </c>
      <c r="N26" s="509">
        <v>645</v>
      </c>
      <c r="O26" s="509">
        <f t="shared" si="1"/>
        <v>7200</v>
      </c>
    </row>
    <row r="27" spans="1:15" ht="15.75" thickBot="1">
      <c r="A27" s="240">
        <f>ELEC!C24</f>
        <v>44277</v>
      </c>
      <c r="B27" s="170">
        <v>1.5</v>
      </c>
      <c r="C27" s="170">
        <v>7.8</v>
      </c>
      <c r="D27" s="170"/>
      <c r="E27" s="170">
        <v>1</v>
      </c>
      <c r="F27" s="170">
        <v>8</v>
      </c>
      <c r="G27" s="170"/>
      <c r="H27" s="587">
        <f t="shared" si="2"/>
        <v>6731</v>
      </c>
      <c r="I27" s="509">
        <f t="shared" si="3"/>
        <v>0</v>
      </c>
      <c r="J27" s="488">
        <v>0.29166666666666702</v>
      </c>
      <c r="L27" s="99">
        <f t="shared" si="0"/>
        <v>44277</v>
      </c>
      <c r="M27" s="3">
        <f t="shared" si="4"/>
        <v>6555</v>
      </c>
      <c r="N27" s="509">
        <v>645</v>
      </c>
      <c r="O27" s="509">
        <f t="shared" si="1"/>
        <v>7200</v>
      </c>
    </row>
    <row r="28" spans="1:15" ht="15.75" thickBot="1">
      <c r="A28" s="240">
        <f>ELEC!C25</f>
        <v>44278</v>
      </c>
      <c r="B28" s="254">
        <v>1.5</v>
      </c>
      <c r="C28" s="616">
        <v>7.8</v>
      </c>
      <c r="D28" s="170"/>
      <c r="E28" s="537">
        <v>1</v>
      </c>
      <c r="F28" s="616">
        <v>8</v>
      </c>
      <c r="G28" s="170"/>
      <c r="H28" s="587">
        <f t="shared" si="2"/>
        <v>6731</v>
      </c>
      <c r="I28" s="509">
        <f t="shared" si="3"/>
        <v>0</v>
      </c>
      <c r="J28" s="489">
        <v>0.29166666666666702</v>
      </c>
      <c r="L28" s="99">
        <f t="shared" si="0"/>
        <v>44278</v>
      </c>
      <c r="M28" s="3">
        <f t="shared" si="4"/>
        <v>6555</v>
      </c>
      <c r="N28" s="509">
        <v>645</v>
      </c>
      <c r="O28" s="509">
        <f t="shared" si="1"/>
        <v>7200</v>
      </c>
    </row>
    <row r="29" spans="1:15" ht="15.75" thickBot="1">
      <c r="A29" s="240">
        <f>ELEC!C26</f>
        <v>44279</v>
      </c>
      <c r="B29" s="537">
        <v>1.3</v>
      </c>
      <c r="C29" s="537">
        <v>7.8</v>
      </c>
      <c r="D29" s="537"/>
      <c r="E29" s="170">
        <v>1</v>
      </c>
      <c r="F29" s="170">
        <v>8</v>
      </c>
      <c r="G29" s="537"/>
      <c r="H29" s="587">
        <v>6732</v>
      </c>
      <c r="I29" s="509">
        <f t="shared" si="3"/>
        <v>1</v>
      </c>
      <c r="J29" s="488">
        <v>0.29166666666666702</v>
      </c>
      <c r="L29" s="99">
        <f t="shared" si="0"/>
        <v>44279</v>
      </c>
      <c r="M29" s="3">
        <f t="shared" si="4"/>
        <v>6555</v>
      </c>
      <c r="N29" s="509">
        <v>645</v>
      </c>
      <c r="O29" s="509">
        <f t="shared" si="1"/>
        <v>7200</v>
      </c>
    </row>
    <row r="30" spans="1:15" ht="15.75" thickBot="1">
      <c r="A30" s="240">
        <f>ELEC!C27</f>
        <v>44280</v>
      </c>
      <c r="B30" s="170">
        <v>1.5</v>
      </c>
      <c r="C30" s="170">
        <v>7.8</v>
      </c>
      <c r="D30" s="170"/>
      <c r="E30" s="170">
        <v>1</v>
      </c>
      <c r="F30" s="170">
        <v>8</v>
      </c>
      <c r="G30" s="170"/>
      <c r="H30" s="587">
        <v>6733</v>
      </c>
      <c r="I30" s="509">
        <f t="shared" si="3"/>
        <v>1</v>
      </c>
      <c r="J30" s="488">
        <v>0.29166666666666702</v>
      </c>
      <c r="L30" s="99">
        <f t="shared" si="0"/>
        <v>44280</v>
      </c>
      <c r="M30" s="3">
        <f t="shared" si="4"/>
        <v>6555</v>
      </c>
      <c r="N30" s="509">
        <v>645</v>
      </c>
      <c r="O30" s="509">
        <f t="shared" si="1"/>
        <v>7200</v>
      </c>
    </row>
    <row r="31" spans="1:15" ht="15.75" thickBot="1">
      <c r="A31" s="240">
        <f>ELEC!C28</f>
        <v>44281</v>
      </c>
      <c r="B31" s="254">
        <v>1.5</v>
      </c>
      <c r="C31" s="609">
        <v>7.8</v>
      </c>
      <c r="D31" s="170"/>
      <c r="E31" s="170">
        <v>0.8</v>
      </c>
      <c r="F31" s="170">
        <v>8</v>
      </c>
      <c r="G31" s="170"/>
      <c r="H31" s="587">
        <f t="shared" si="2"/>
        <v>6733</v>
      </c>
      <c r="I31" s="509">
        <f t="shared" si="3"/>
        <v>0</v>
      </c>
      <c r="J31" s="488">
        <v>0.29166666666666702</v>
      </c>
      <c r="L31" s="99">
        <f t="shared" si="0"/>
        <v>44281</v>
      </c>
      <c r="M31" s="3">
        <f t="shared" si="4"/>
        <v>6555</v>
      </c>
      <c r="N31" s="509">
        <v>645</v>
      </c>
      <c r="O31" s="509">
        <f t="shared" si="1"/>
        <v>7200</v>
      </c>
    </row>
    <row r="32" spans="1:15" ht="15.75" thickBot="1">
      <c r="A32" s="240">
        <f>ELEC!C29</f>
        <v>44282</v>
      </c>
      <c r="B32" s="170">
        <v>1.5</v>
      </c>
      <c r="C32" s="170">
        <v>7.8</v>
      </c>
      <c r="D32" s="170"/>
      <c r="E32" s="170">
        <v>1</v>
      </c>
      <c r="F32" s="170">
        <v>8</v>
      </c>
      <c r="G32" s="509"/>
      <c r="H32" s="587">
        <f t="shared" si="2"/>
        <v>6733</v>
      </c>
      <c r="I32" s="509">
        <f t="shared" si="3"/>
        <v>0</v>
      </c>
      <c r="J32" s="488">
        <v>0.29166666666666702</v>
      </c>
      <c r="L32" s="99">
        <f t="shared" si="0"/>
        <v>44282</v>
      </c>
      <c r="M32" s="3">
        <f t="shared" si="4"/>
        <v>6555</v>
      </c>
      <c r="N32" s="509">
        <v>645</v>
      </c>
      <c r="O32" s="509">
        <f t="shared" si="1"/>
        <v>7200</v>
      </c>
    </row>
    <row r="33" spans="1:15" ht="15.75" thickBot="1">
      <c r="A33" s="240">
        <f>ELEC!C30</f>
        <v>44283</v>
      </c>
      <c r="B33" s="170">
        <v>1.5</v>
      </c>
      <c r="C33" s="170">
        <v>7.8</v>
      </c>
      <c r="D33" s="170"/>
      <c r="E33" s="170">
        <v>1</v>
      </c>
      <c r="F33" s="170">
        <v>8</v>
      </c>
      <c r="G33" s="509"/>
      <c r="H33" s="587">
        <v>6733</v>
      </c>
      <c r="I33" s="509">
        <f t="shared" si="3"/>
        <v>0</v>
      </c>
      <c r="J33" s="488">
        <v>0.29166666666666702</v>
      </c>
      <c r="L33" s="99">
        <f t="shared" si="0"/>
        <v>44283</v>
      </c>
      <c r="M33" s="3">
        <f t="shared" si="4"/>
        <v>6555</v>
      </c>
      <c r="N33" s="509">
        <v>645</v>
      </c>
      <c r="O33" s="509">
        <f t="shared" si="1"/>
        <v>7200</v>
      </c>
    </row>
    <row r="34" spans="1:15" ht="15.75" thickBot="1">
      <c r="A34" s="240">
        <f>ELEC!C31</f>
        <v>44284</v>
      </c>
      <c r="B34" s="170">
        <v>1.5</v>
      </c>
      <c r="C34" s="170">
        <v>7.8</v>
      </c>
      <c r="D34" s="170"/>
      <c r="E34" s="170">
        <v>1.4</v>
      </c>
      <c r="F34" s="170">
        <v>8</v>
      </c>
      <c r="G34" s="509"/>
      <c r="H34" s="587">
        <f t="shared" si="2"/>
        <v>6733</v>
      </c>
      <c r="I34" s="509">
        <f t="shared" ref="I34:I36" si="5">H34-H33</f>
        <v>0</v>
      </c>
      <c r="J34" s="488">
        <v>0.33333333333333398</v>
      </c>
      <c r="L34" s="99">
        <f t="shared" ref="L34:L36" si="6">A34</f>
        <v>44284</v>
      </c>
      <c r="M34" s="3">
        <f t="shared" si="4"/>
        <v>6555</v>
      </c>
      <c r="N34" s="509">
        <v>646</v>
      </c>
      <c r="O34" s="509">
        <f t="shared" ref="O34:O36" si="7">M34+N34</f>
        <v>7201</v>
      </c>
    </row>
    <row r="35" spans="1:15" ht="15.75" thickBot="1">
      <c r="A35" s="240">
        <f>ELEC!C32</f>
        <v>44285</v>
      </c>
      <c r="B35" s="170">
        <v>1.5</v>
      </c>
      <c r="C35" s="170">
        <v>7.8</v>
      </c>
      <c r="D35" s="170"/>
      <c r="E35" s="170">
        <v>1.2</v>
      </c>
      <c r="F35" s="170">
        <v>8</v>
      </c>
      <c r="G35" s="509"/>
      <c r="H35" s="587">
        <f t="shared" si="2"/>
        <v>6733</v>
      </c>
      <c r="I35" s="509">
        <f t="shared" si="5"/>
        <v>0</v>
      </c>
      <c r="J35" s="488">
        <v>0.375</v>
      </c>
      <c r="L35" s="99">
        <f t="shared" si="6"/>
        <v>44285</v>
      </c>
      <c r="M35" s="3">
        <f t="shared" si="4"/>
        <v>6555</v>
      </c>
      <c r="N35" s="509">
        <v>647</v>
      </c>
      <c r="O35" s="509">
        <f t="shared" si="7"/>
        <v>7202</v>
      </c>
    </row>
    <row r="36" spans="1:15">
      <c r="A36" s="240">
        <f>ELEC!C33</f>
        <v>44286</v>
      </c>
      <c r="B36" s="170">
        <v>1.4</v>
      </c>
      <c r="C36" s="170">
        <v>7.8</v>
      </c>
      <c r="D36" s="170"/>
      <c r="E36" s="170">
        <v>1</v>
      </c>
      <c r="F36" s="170">
        <v>8</v>
      </c>
      <c r="G36" s="509"/>
      <c r="H36" s="587">
        <f t="shared" si="2"/>
        <v>6733</v>
      </c>
      <c r="I36" s="509">
        <f t="shared" si="5"/>
        <v>0</v>
      </c>
      <c r="J36" s="488">
        <v>0.41666666666666702</v>
      </c>
      <c r="L36" s="99">
        <f t="shared" si="6"/>
        <v>44286</v>
      </c>
      <c r="M36" s="3">
        <f t="shared" si="4"/>
        <v>6555</v>
      </c>
      <c r="N36" s="509">
        <v>648</v>
      </c>
      <c r="O36" s="509">
        <f t="shared" si="7"/>
        <v>7203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C16" zoomScale="80" zoomScaleNormal="80" workbookViewId="0">
      <selection activeCell="J10" sqref="J10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10" t="s">
        <v>161</v>
      </c>
      <c r="B1" s="710"/>
      <c r="C1" s="710"/>
      <c r="D1" s="710"/>
      <c r="E1" s="710"/>
      <c r="F1" s="710"/>
      <c r="G1" s="710"/>
      <c r="H1" s="710"/>
      <c r="I1" s="710"/>
      <c r="J1" s="710"/>
      <c r="K1" s="710"/>
      <c r="L1" s="710"/>
      <c r="M1" s="710"/>
      <c r="N1" s="710"/>
      <c r="O1" s="710"/>
      <c r="P1" s="710"/>
      <c r="Q1" s="710"/>
      <c r="R1" s="710"/>
      <c r="S1" s="710"/>
      <c r="T1" s="710"/>
      <c r="U1" s="710"/>
      <c r="V1" s="710"/>
      <c r="W1" s="710"/>
      <c r="X1" s="710"/>
    </row>
    <row r="2" spans="1:28" ht="19.5">
      <c r="A2" s="711"/>
      <c r="B2" s="711"/>
      <c r="C2" s="711"/>
      <c r="D2" s="711"/>
      <c r="E2" s="711"/>
      <c r="F2" s="711"/>
      <c r="G2" s="711"/>
      <c r="H2" s="711"/>
      <c r="I2" s="711"/>
      <c r="J2" s="711"/>
      <c r="K2" s="711"/>
      <c r="L2" s="711"/>
      <c r="M2" s="711"/>
      <c r="N2" s="711"/>
      <c r="O2" s="711"/>
      <c r="P2" s="711"/>
      <c r="Q2" s="711"/>
      <c r="R2" s="711"/>
      <c r="S2" s="711"/>
      <c r="T2" s="711"/>
      <c r="U2" s="711"/>
      <c r="V2" s="711"/>
      <c r="W2" s="711"/>
      <c r="X2" s="711"/>
    </row>
    <row r="3" spans="1:28" ht="19.5">
      <c r="A3" s="711" t="s">
        <v>162</v>
      </c>
      <c r="B3" s="711"/>
      <c r="C3" s="711"/>
      <c r="D3" s="711"/>
      <c r="E3" s="711"/>
      <c r="F3" s="711"/>
      <c r="G3" s="711"/>
      <c r="H3" s="711"/>
      <c r="I3" s="711"/>
      <c r="J3" s="711"/>
      <c r="K3" s="711"/>
      <c r="L3" s="711"/>
      <c r="M3" s="711"/>
      <c r="N3" s="711"/>
      <c r="O3" s="711"/>
      <c r="P3" s="711"/>
      <c r="Q3" s="711"/>
      <c r="R3" s="711"/>
      <c r="S3" s="711"/>
      <c r="T3" s="711"/>
      <c r="U3" s="711"/>
      <c r="V3" s="711"/>
      <c r="W3" s="711"/>
      <c r="X3" s="711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11" t="s">
        <v>409</v>
      </c>
      <c r="B5" s="711"/>
      <c r="C5" s="711"/>
      <c r="D5" s="711"/>
      <c r="E5" s="711"/>
      <c r="F5" s="711"/>
      <c r="G5" s="711"/>
      <c r="H5" s="711"/>
      <c r="I5" s="711"/>
      <c r="J5" s="711"/>
      <c r="K5" s="711"/>
      <c r="L5" s="711"/>
      <c r="M5" s="711"/>
      <c r="N5" s="711"/>
      <c r="O5" s="711"/>
      <c r="P5" s="711"/>
      <c r="Q5" s="711"/>
      <c r="R5" s="711"/>
      <c r="S5" s="711"/>
      <c r="T5" s="711"/>
      <c r="U5" s="711"/>
      <c r="V5" s="711"/>
      <c r="W5" s="711"/>
      <c r="X5" s="711"/>
    </row>
    <row r="6" spans="1:28" ht="15.75" thickBot="1">
      <c r="A6" s="712"/>
      <c r="B6" s="712"/>
      <c r="C6" s="712"/>
      <c r="D6" s="712"/>
      <c r="E6" s="712"/>
      <c r="F6" s="712"/>
      <c r="G6" s="712"/>
      <c r="H6" s="712"/>
      <c r="I6" s="712"/>
      <c r="J6" s="712"/>
      <c r="K6" s="712"/>
      <c r="L6" s="712"/>
      <c r="M6" s="712"/>
      <c r="N6" s="712"/>
      <c r="O6" s="712"/>
      <c r="P6" s="712"/>
      <c r="Q6" s="712"/>
      <c r="R6" s="712"/>
      <c r="S6" s="712"/>
      <c r="T6" s="712"/>
      <c r="U6" s="712"/>
      <c r="V6" s="712"/>
      <c r="W6" s="712"/>
      <c r="X6" s="712"/>
    </row>
    <row r="7" spans="1:28" ht="15.75" thickBot="1">
      <c r="A7" s="714" t="s">
        <v>163</v>
      </c>
      <c r="B7" s="715"/>
      <c r="C7" s="716" t="s">
        <v>164</v>
      </c>
      <c r="D7" s="717"/>
      <c r="E7" s="717"/>
      <c r="F7" s="717"/>
      <c r="G7" s="717"/>
      <c r="H7" s="717"/>
      <c r="I7" s="717"/>
      <c r="J7" s="717"/>
      <c r="K7" s="718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2">
        <f>'[10]Degree Days 2020'!B10</f>
        <v>20</v>
      </c>
      <c r="C10" s="272">
        <f>'[10]Degree Days 2020'!C10</f>
        <v>15</v>
      </c>
      <c r="D10" s="272">
        <f>'[10]Degree Days 2020'!D10</f>
        <v>-0.80000000000000071</v>
      </c>
      <c r="E10" s="272">
        <f>'[11]Degree Days 2020'!E10</f>
        <v>1</v>
      </c>
      <c r="F10" s="272">
        <f>'[1]General information '!B6</f>
        <v>21</v>
      </c>
      <c r="G10" s="272">
        <f>'[1]General information '!C6</f>
        <v>16</v>
      </c>
      <c r="H10" s="272">
        <f>(F10+G10)/2-18.3</f>
        <v>0.19999999999999929</v>
      </c>
      <c r="I10" s="272">
        <f>'[8]Degree Days 2018'!I10</f>
        <v>1</v>
      </c>
      <c r="J10" s="272">
        <f>'General information '!B6</f>
        <v>18</v>
      </c>
      <c r="K10" s="272">
        <f>'General information '!C6</f>
        <v>14</v>
      </c>
      <c r="L10" s="272">
        <f>(J10+K10)/2-18.3</f>
        <v>-2.3000000000000007</v>
      </c>
      <c r="M10" s="272">
        <f>'[11]Degree Days 2020'!M10</f>
        <v>1</v>
      </c>
      <c r="N10" s="272"/>
      <c r="O10" s="272"/>
      <c r="P10" s="272">
        <f>(N10+O10)/2-18.3</f>
        <v>-18.3</v>
      </c>
      <c r="Q10" s="531">
        <v>1</v>
      </c>
      <c r="R10" s="272"/>
      <c r="S10" s="272"/>
      <c r="T10" s="272">
        <f>(R10+S10)/2-18.3</f>
        <v>-18.3</v>
      </c>
      <c r="U10" s="531">
        <v>1</v>
      </c>
      <c r="V10" s="272"/>
      <c r="W10" s="272"/>
      <c r="X10" s="272">
        <f>(V10+W10)/2-18.3</f>
        <v>-18.3</v>
      </c>
      <c r="Z10" t="s">
        <v>165</v>
      </c>
      <c r="AA10" s="272">
        <f>B43</f>
        <v>-92.59999999999998</v>
      </c>
      <c r="AB10" s="272">
        <f>C43</f>
        <v>2.7999999999999936</v>
      </c>
    </row>
    <row r="11" spans="1:28">
      <c r="A11" s="117">
        <v>2</v>
      </c>
      <c r="B11" s="272">
        <f>'[10]Degree Days 2020'!B11</f>
        <v>21</v>
      </c>
      <c r="C11" s="272">
        <f>'[10]Degree Days 2020'!C11</f>
        <v>15</v>
      </c>
      <c r="D11" s="272">
        <f>'[10]Degree Days 2020'!D11</f>
        <v>-0.30000000000000071</v>
      </c>
      <c r="E11" s="272">
        <f>'[11]Degree Days 2020'!E11</f>
        <v>2</v>
      </c>
      <c r="F11" s="272">
        <f>'[1]General information '!B7</f>
        <v>23</v>
      </c>
      <c r="G11" s="272">
        <f>'[1]General information '!C7</f>
        <v>17</v>
      </c>
      <c r="H11" s="272">
        <f t="shared" ref="H11:H37" si="0">(F11+G11)/2-18.3</f>
        <v>1.6999999999999993</v>
      </c>
      <c r="I11" s="272">
        <f>'[8]Degree Days 2018'!I11</f>
        <v>2</v>
      </c>
      <c r="J11" s="272">
        <f>'General information '!B7</f>
        <v>18</v>
      </c>
      <c r="K11" s="272">
        <f>'General information '!C7</f>
        <v>13</v>
      </c>
      <c r="L11" s="272">
        <f t="shared" ref="L11:L40" si="1">(J11+K11)/2-18.3</f>
        <v>-2.8000000000000007</v>
      </c>
      <c r="M11" s="272">
        <f>'[11]Degree Days 2020'!M11</f>
        <v>2</v>
      </c>
      <c r="N11" s="272"/>
      <c r="O11" s="272"/>
      <c r="P11" s="272">
        <f t="shared" ref="P11:P39" si="2">(N11+O11)/2-18.3</f>
        <v>-18.3</v>
      </c>
      <c r="Q11" s="531">
        <v>2</v>
      </c>
      <c r="R11" s="272"/>
      <c r="S11" s="272"/>
      <c r="T11" s="272">
        <f t="shared" ref="T11:T40" si="3">(R11+S11)/2-18.3</f>
        <v>-18.3</v>
      </c>
      <c r="U11" s="531">
        <v>2</v>
      </c>
      <c r="V11" s="272"/>
      <c r="W11" s="272"/>
      <c r="X11" s="272">
        <f t="shared" ref="X11:X39" si="4">(V11+W11)/2-18.3</f>
        <v>-18.3</v>
      </c>
      <c r="Z11" t="s">
        <v>169</v>
      </c>
      <c r="AA11" s="272"/>
      <c r="AB11" s="272"/>
    </row>
    <row r="12" spans="1:28">
      <c r="A12" s="117">
        <v>3</v>
      </c>
      <c r="B12" s="272">
        <f>'[10]Degree Days 2020'!B12</f>
        <v>21</v>
      </c>
      <c r="C12" s="272">
        <f>'[10]Degree Days 2020'!C12</f>
        <v>16</v>
      </c>
      <c r="D12" s="272">
        <f>'[10]Degree Days 2020'!D12</f>
        <v>0.19999999999999929</v>
      </c>
      <c r="E12" s="272">
        <f>'[11]Degree Days 2020'!E12</f>
        <v>3</v>
      </c>
      <c r="F12" s="272">
        <f>'[1]General information '!B8</f>
        <v>20</v>
      </c>
      <c r="G12" s="272">
        <f>'[1]General information '!C8</f>
        <v>15</v>
      </c>
      <c r="H12" s="272">
        <f t="shared" si="0"/>
        <v>-0.80000000000000071</v>
      </c>
      <c r="I12" s="272">
        <f>'[8]Degree Days 2018'!I12</f>
        <v>3</v>
      </c>
      <c r="J12" s="272">
        <f>'General information '!B8</f>
        <v>18</v>
      </c>
      <c r="K12" s="272">
        <f>'General information '!C8</f>
        <v>13</v>
      </c>
      <c r="L12" s="272">
        <f t="shared" si="1"/>
        <v>-2.8000000000000007</v>
      </c>
      <c r="M12" s="272">
        <f>'[11]Degree Days 2020'!M12</f>
        <v>3</v>
      </c>
      <c r="N12" s="272"/>
      <c r="O12" s="272"/>
      <c r="P12" s="272">
        <f t="shared" si="2"/>
        <v>-18.3</v>
      </c>
      <c r="Q12" s="531">
        <v>3</v>
      </c>
      <c r="R12" s="272"/>
      <c r="S12" s="272"/>
      <c r="T12" s="272">
        <f t="shared" si="3"/>
        <v>-18.3</v>
      </c>
      <c r="U12" s="531">
        <v>3</v>
      </c>
      <c r="V12" s="272"/>
      <c r="W12" s="272"/>
      <c r="X12" s="272">
        <f t="shared" si="4"/>
        <v>-18.3</v>
      </c>
      <c r="Z12" t="s">
        <v>170</v>
      </c>
      <c r="AA12" s="272"/>
      <c r="AB12" s="272"/>
    </row>
    <row r="13" spans="1:28">
      <c r="A13" s="117">
        <v>4</v>
      </c>
      <c r="B13" s="272">
        <f>'[10]Degree Days 2020'!B13</f>
        <v>22</v>
      </c>
      <c r="C13" s="272">
        <f>'[10]Degree Days 2020'!C13</f>
        <v>15</v>
      </c>
      <c r="D13" s="272">
        <f>'[10]Degree Days 2020'!D13</f>
        <v>0.19999999999999929</v>
      </c>
      <c r="E13" s="272">
        <f>'[11]Degree Days 2020'!E13</f>
        <v>4</v>
      </c>
      <c r="F13" s="272">
        <f>'[1]General information '!B9</f>
        <v>20</v>
      </c>
      <c r="G13" s="272">
        <f>'[1]General information '!C9</f>
        <v>15</v>
      </c>
      <c r="H13" s="272">
        <f t="shared" si="0"/>
        <v>-0.80000000000000071</v>
      </c>
      <c r="I13" s="272">
        <f>'[8]Degree Days 2018'!I13</f>
        <v>4</v>
      </c>
      <c r="J13" s="272">
        <f>'General information '!B9</f>
        <v>18</v>
      </c>
      <c r="K13" s="272">
        <f>'General information '!C9</f>
        <v>13</v>
      </c>
      <c r="L13" s="272">
        <f t="shared" si="1"/>
        <v>-2.8000000000000007</v>
      </c>
      <c r="M13" s="272">
        <f>'[11]Degree Days 2020'!M13</f>
        <v>4</v>
      </c>
      <c r="N13" s="272"/>
      <c r="O13" s="272"/>
      <c r="P13" s="272">
        <f t="shared" si="2"/>
        <v>-18.3</v>
      </c>
      <c r="Q13" s="531">
        <v>4</v>
      </c>
      <c r="R13" s="272"/>
      <c r="S13" s="272"/>
      <c r="T13" s="272">
        <f t="shared" si="3"/>
        <v>-18.3</v>
      </c>
      <c r="U13" s="531">
        <v>4</v>
      </c>
      <c r="V13" s="272"/>
      <c r="W13" s="272"/>
      <c r="X13" s="272">
        <f t="shared" si="4"/>
        <v>-18.3</v>
      </c>
      <c r="Z13" t="s">
        <v>171</v>
      </c>
      <c r="AA13" s="272"/>
      <c r="AB13" s="272"/>
    </row>
    <row r="14" spans="1:28">
      <c r="A14" s="117">
        <v>5</v>
      </c>
      <c r="B14" s="272">
        <f>'[10]Degree Days 2020'!B14</f>
        <v>22</v>
      </c>
      <c r="C14" s="272">
        <f>'[10]Degree Days 2020'!C14</f>
        <v>16</v>
      </c>
      <c r="D14" s="272">
        <f>'[10]Degree Days 2020'!D14</f>
        <v>0.69999999999999929</v>
      </c>
      <c r="E14" s="272">
        <f>'[11]Degree Days 2020'!E14</f>
        <v>5</v>
      </c>
      <c r="F14" s="272">
        <f>'[1]General information '!B10</f>
        <v>20</v>
      </c>
      <c r="G14" s="272">
        <f>'[1]General information '!C10</f>
        <v>15</v>
      </c>
      <c r="H14" s="272">
        <f t="shared" si="0"/>
        <v>-0.80000000000000071</v>
      </c>
      <c r="I14" s="272">
        <f>'[8]Degree Days 2018'!I14</f>
        <v>5</v>
      </c>
      <c r="J14" s="272">
        <f>'General information '!B10</f>
        <v>19</v>
      </c>
      <c r="K14" s="272">
        <f>'General information '!C10</f>
        <v>12</v>
      </c>
      <c r="L14" s="272">
        <f t="shared" si="1"/>
        <v>-2.8000000000000007</v>
      </c>
      <c r="M14" s="272">
        <f>'[11]Degree Days 2020'!M14</f>
        <v>5</v>
      </c>
      <c r="N14" s="272"/>
      <c r="O14" s="272"/>
      <c r="P14" s="272">
        <f t="shared" si="2"/>
        <v>-18.3</v>
      </c>
      <c r="Q14" s="531">
        <v>5</v>
      </c>
      <c r="R14" s="272"/>
      <c r="S14" s="272"/>
      <c r="T14" s="272">
        <f t="shared" si="3"/>
        <v>-18.3</v>
      </c>
      <c r="U14" s="531">
        <v>5</v>
      </c>
      <c r="V14" s="272"/>
      <c r="W14" s="272"/>
      <c r="X14" s="272">
        <f t="shared" si="4"/>
        <v>-18.3</v>
      </c>
      <c r="Z14" t="s">
        <v>172</v>
      </c>
      <c r="AA14" s="272"/>
      <c r="AB14" s="272"/>
    </row>
    <row r="15" spans="1:28">
      <c r="A15" s="117">
        <v>6</v>
      </c>
      <c r="B15" s="272">
        <f>'[10]Degree Days 2020'!B15</f>
        <v>22</v>
      </c>
      <c r="C15" s="272">
        <f>'[10]Degree Days 2020'!C15</f>
        <v>15</v>
      </c>
      <c r="D15" s="272">
        <f>'[10]Degree Days 2020'!D15</f>
        <v>0.19999999999999929</v>
      </c>
      <c r="E15" s="272">
        <f>'[11]Degree Days 2020'!E15</f>
        <v>6</v>
      </c>
      <c r="F15" s="272">
        <f>'[1]General information '!B11</f>
        <v>19</v>
      </c>
      <c r="G15" s="272">
        <f>'[1]General information '!C11</f>
        <v>15</v>
      </c>
      <c r="H15" s="272">
        <f t="shared" si="0"/>
        <v>-1.3000000000000007</v>
      </c>
      <c r="I15" s="272">
        <f>'[8]Degree Days 2018'!I15</f>
        <v>6</v>
      </c>
      <c r="J15" s="272">
        <f>'General information '!B11</f>
        <v>18</v>
      </c>
      <c r="K15" s="272">
        <f>'General information '!C11</f>
        <v>14</v>
      </c>
      <c r="L15" s="272">
        <f t="shared" si="1"/>
        <v>-2.3000000000000007</v>
      </c>
      <c r="M15" s="272">
        <f>'[11]Degree Days 2020'!M15</f>
        <v>6</v>
      </c>
      <c r="N15" s="272"/>
      <c r="O15" s="272"/>
      <c r="P15" s="272">
        <f t="shared" si="2"/>
        <v>-18.3</v>
      </c>
      <c r="Q15" s="531">
        <v>6</v>
      </c>
      <c r="R15" s="272"/>
      <c r="S15" s="272"/>
      <c r="T15" s="272">
        <f t="shared" si="3"/>
        <v>-18.3</v>
      </c>
      <c r="U15" s="531">
        <v>6</v>
      </c>
      <c r="V15" s="272"/>
      <c r="W15" s="272"/>
      <c r="X15" s="272">
        <f t="shared" si="4"/>
        <v>-18.3</v>
      </c>
      <c r="Z15" t="s">
        <v>173</v>
      </c>
      <c r="AA15" s="272"/>
      <c r="AB15" s="272"/>
    </row>
    <row r="16" spans="1:28">
      <c r="A16" s="117">
        <v>7</v>
      </c>
      <c r="B16" s="272">
        <f>'[10]Degree Days 2020'!B16</f>
        <v>20</v>
      </c>
      <c r="C16" s="272">
        <f>'[10]Degree Days 2020'!C16</f>
        <v>14</v>
      </c>
      <c r="D16" s="272">
        <f>'[10]Degree Days 2020'!D16</f>
        <v>-1.3000000000000007</v>
      </c>
      <c r="E16" s="272">
        <f>'[11]Degree Days 2020'!E16</f>
        <v>7</v>
      </c>
      <c r="F16" s="272">
        <f>'[1]General information '!B12</f>
        <v>21</v>
      </c>
      <c r="G16" s="272">
        <f>'[1]General information '!C12</f>
        <v>17</v>
      </c>
      <c r="H16" s="272">
        <f t="shared" si="0"/>
        <v>0.69999999999999929</v>
      </c>
      <c r="I16" s="272">
        <f>'[8]Degree Days 2018'!I16</f>
        <v>7</v>
      </c>
      <c r="J16" s="272">
        <f>'General information '!B12</f>
        <v>19</v>
      </c>
      <c r="K16" s="272">
        <f>'General information '!C12</f>
        <v>14</v>
      </c>
      <c r="L16" s="272">
        <f t="shared" si="1"/>
        <v>-1.8000000000000007</v>
      </c>
      <c r="M16" s="272">
        <f>'[11]Degree Days 2020'!M16</f>
        <v>7</v>
      </c>
      <c r="N16" s="272"/>
      <c r="O16" s="272"/>
      <c r="P16" s="272">
        <f t="shared" si="2"/>
        <v>-18.3</v>
      </c>
      <c r="Q16" s="531">
        <v>7</v>
      </c>
      <c r="R16" s="272"/>
      <c r="S16" s="272"/>
      <c r="T16" s="272">
        <f t="shared" si="3"/>
        <v>-18.3</v>
      </c>
      <c r="U16" s="531">
        <v>7</v>
      </c>
      <c r="V16" s="272"/>
      <c r="W16" s="272"/>
      <c r="X16" s="272">
        <f t="shared" si="4"/>
        <v>-18.3</v>
      </c>
      <c r="Z16" t="s">
        <v>176</v>
      </c>
      <c r="AA16" s="272"/>
      <c r="AB16" s="272"/>
    </row>
    <row r="17" spans="1:28">
      <c r="A17" s="117">
        <v>8</v>
      </c>
      <c r="B17" s="272">
        <f>'[10]Degree Days 2020'!B17</f>
        <v>21</v>
      </c>
      <c r="C17" s="272">
        <f>'[10]Degree Days 2020'!C17</f>
        <v>14</v>
      </c>
      <c r="D17" s="272">
        <f>'[10]Degree Days 2020'!D17</f>
        <v>-0.80000000000000071</v>
      </c>
      <c r="E17" s="272">
        <f>'[11]Degree Days 2020'!E17</f>
        <v>8</v>
      </c>
      <c r="F17" s="272">
        <f>'[1]General information '!B13</f>
        <v>23</v>
      </c>
      <c r="G17" s="272">
        <f>'[1]General information '!C13</f>
        <v>19</v>
      </c>
      <c r="H17" s="272">
        <f t="shared" si="0"/>
        <v>2.6999999999999993</v>
      </c>
      <c r="I17" s="272">
        <f>'[8]Degree Days 2018'!I17</f>
        <v>8</v>
      </c>
      <c r="J17" s="272">
        <f>'General information '!B13</f>
        <v>20</v>
      </c>
      <c r="K17" s="272">
        <f>'General information '!C13</f>
        <v>16</v>
      </c>
      <c r="L17" s="272">
        <f t="shared" si="1"/>
        <v>-0.30000000000000071</v>
      </c>
      <c r="M17" s="272">
        <f>'[11]Degree Days 2020'!M17</f>
        <v>8</v>
      </c>
      <c r="N17" s="272"/>
      <c r="O17" s="272"/>
      <c r="P17" s="272">
        <f t="shared" si="2"/>
        <v>-18.3</v>
      </c>
      <c r="Q17" s="531">
        <v>8</v>
      </c>
      <c r="R17" s="272"/>
      <c r="S17" s="272"/>
      <c r="T17" s="272">
        <f t="shared" si="3"/>
        <v>-18.3</v>
      </c>
      <c r="U17" s="531">
        <v>8</v>
      </c>
      <c r="V17" s="272"/>
      <c r="W17" s="272"/>
      <c r="X17" s="272">
        <f t="shared" si="4"/>
        <v>-18.3</v>
      </c>
      <c r="Z17" t="s">
        <v>177</v>
      </c>
      <c r="AA17" s="272"/>
      <c r="AB17" s="272"/>
    </row>
    <row r="18" spans="1:28">
      <c r="A18" s="117">
        <v>9</v>
      </c>
      <c r="B18" s="272">
        <f>'[10]Degree Days 2020'!B18</f>
        <v>22</v>
      </c>
      <c r="C18" s="272">
        <f>'[10]Degree Days 2020'!C18</f>
        <v>15</v>
      </c>
      <c r="D18" s="272">
        <f>'[10]Degree Days 2020'!D18</f>
        <v>0.19999999999999929</v>
      </c>
      <c r="E18" s="272">
        <f>'[11]Degree Days 2020'!E18</f>
        <v>9</v>
      </c>
      <c r="F18" s="272">
        <f>'[1]General information '!B14</f>
        <v>21</v>
      </c>
      <c r="G18" s="272">
        <f>'[1]General information '!C14</f>
        <v>18</v>
      </c>
      <c r="H18" s="272">
        <f t="shared" si="0"/>
        <v>1.1999999999999993</v>
      </c>
      <c r="I18" s="272">
        <f>'[8]Degree Days 2018'!I18</f>
        <v>9</v>
      </c>
      <c r="J18" s="272">
        <f>'General information '!B14</f>
        <v>23</v>
      </c>
      <c r="K18" s="272">
        <f>'General information '!C14</f>
        <v>17</v>
      </c>
      <c r="L18" s="272">
        <f t="shared" si="1"/>
        <v>1.6999999999999993</v>
      </c>
      <c r="M18" s="272">
        <f>'[11]Degree Days 2020'!M18</f>
        <v>9</v>
      </c>
      <c r="N18" s="272"/>
      <c r="O18" s="272"/>
      <c r="P18" s="272">
        <f t="shared" si="2"/>
        <v>-18.3</v>
      </c>
      <c r="Q18" s="531">
        <v>9</v>
      </c>
      <c r="R18" s="272"/>
      <c r="S18" s="272"/>
      <c r="T18" s="272">
        <f t="shared" si="3"/>
        <v>-18.3</v>
      </c>
      <c r="U18" s="531">
        <v>9</v>
      </c>
      <c r="V18" s="272"/>
      <c r="W18" s="272"/>
      <c r="X18" s="272">
        <f t="shared" si="4"/>
        <v>-18.3</v>
      </c>
      <c r="Z18" t="s">
        <v>178</v>
      </c>
      <c r="AA18" s="272"/>
      <c r="AB18" s="272"/>
    </row>
    <row r="19" spans="1:28">
      <c r="A19" s="117">
        <v>10</v>
      </c>
      <c r="B19" s="272">
        <f>'[10]Degree Days 2020'!B19</f>
        <v>22</v>
      </c>
      <c r="C19" s="272">
        <f>'[10]Degree Days 2020'!C19</f>
        <v>15</v>
      </c>
      <c r="D19" s="272">
        <f>'[10]Degree Days 2020'!D19</f>
        <v>0.19999999999999929</v>
      </c>
      <c r="E19" s="272">
        <f>'[11]Degree Days 2020'!E19</f>
        <v>10</v>
      </c>
      <c r="F19" s="272">
        <f>'[1]General information '!B15</f>
        <v>19</v>
      </c>
      <c r="G19" s="272">
        <f>'[1]General information '!C15</f>
        <v>14</v>
      </c>
      <c r="H19" s="272">
        <f t="shared" si="0"/>
        <v>-1.8000000000000007</v>
      </c>
      <c r="I19" s="272">
        <f>'[8]Degree Days 2018'!I19</f>
        <v>10</v>
      </c>
      <c r="J19" s="272">
        <f>'General information '!B15</f>
        <v>19</v>
      </c>
      <c r="K19" s="272">
        <f>'General information '!C15</f>
        <v>13</v>
      </c>
      <c r="L19" s="272">
        <f t="shared" si="1"/>
        <v>-2.3000000000000007</v>
      </c>
      <c r="M19" s="272">
        <f>'[11]Degree Days 2020'!M19</f>
        <v>10</v>
      </c>
      <c r="N19" s="272"/>
      <c r="O19" s="272"/>
      <c r="P19" s="272">
        <f t="shared" si="2"/>
        <v>-18.3</v>
      </c>
      <c r="Q19" s="531">
        <v>10</v>
      </c>
      <c r="R19" s="272"/>
      <c r="S19" s="272"/>
      <c r="T19" s="272">
        <f t="shared" si="3"/>
        <v>-18.3</v>
      </c>
      <c r="U19" s="531">
        <v>10</v>
      </c>
      <c r="V19" s="272"/>
      <c r="W19" s="272"/>
      <c r="X19" s="272">
        <f t="shared" si="4"/>
        <v>-18.3</v>
      </c>
      <c r="Z19" t="s">
        <v>179</v>
      </c>
      <c r="AA19" s="272"/>
      <c r="AB19" s="272"/>
    </row>
    <row r="20" spans="1:28">
      <c r="A20" s="117">
        <v>11</v>
      </c>
      <c r="B20" s="272">
        <f>'[10]Degree Days 2020'!B20</f>
        <v>22</v>
      </c>
      <c r="C20" s="272">
        <f>'[10]Degree Days 2020'!C20</f>
        <v>16</v>
      </c>
      <c r="D20" s="272">
        <f>'[10]Degree Days 2020'!D20</f>
        <v>0.69999999999999929</v>
      </c>
      <c r="E20" s="272">
        <f>'[11]Degree Days 2020'!E20</f>
        <v>11</v>
      </c>
      <c r="F20" s="272">
        <f>'[1]General information '!B16</f>
        <v>18</v>
      </c>
      <c r="G20" s="272">
        <f>'[1]General information '!C16</f>
        <v>13</v>
      </c>
      <c r="H20" s="272">
        <f t="shared" si="0"/>
        <v>-2.8000000000000007</v>
      </c>
      <c r="I20" s="272">
        <f>'[8]Degree Days 2018'!I20</f>
        <v>11</v>
      </c>
      <c r="J20" s="272">
        <f>'General information '!B16</f>
        <v>17</v>
      </c>
      <c r="K20" s="272">
        <f>'General information '!C16</f>
        <v>12</v>
      </c>
      <c r="L20" s="272">
        <f t="shared" si="1"/>
        <v>-3.8000000000000007</v>
      </c>
      <c r="M20" s="272">
        <f>'[11]Degree Days 2020'!M20</f>
        <v>11</v>
      </c>
      <c r="N20" s="272"/>
      <c r="O20" s="272"/>
      <c r="P20" s="272">
        <f t="shared" si="2"/>
        <v>-18.3</v>
      </c>
      <c r="Q20" s="531">
        <v>11</v>
      </c>
      <c r="R20" s="272"/>
      <c r="S20" s="272"/>
      <c r="T20" s="272">
        <f t="shared" si="3"/>
        <v>-18.3</v>
      </c>
      <c r="U20" s="531">
        <v>11</v>
      </c>
      <c r="V20" s="272"/>
      <c r="W20" s="272"/>
      <c r="X20" s="272">
        <f t="shared" si="4"/>
        <v>-18.3</v>
      </c>
      <c r="Z20" t="s">
        <v>180</v>
      </c>
      <c r="AA20" s="272"/>
      <c r="AB20" s="272"/>
    </row>
    <row r="21" spans="1:28">
      <c r="A21" s="117">
        <v>12</v>
      </c>
      <c r="B21" s="272">
        <f>'[10]Degree Days 2020'!B21</f>
        <v>24</v>
      </c>
      <c r="C21" s="272">
        <f>'[10]Degree Days 2020'!C21</f>
        <v>13</v>
      </c>
      <c r="D21" s="272">
        <f>'[10]Degree Days 2020'!D21</f>
        <v>0.19999999999999929</v>
      </c>
      <c r="E21" s="272">
        <f>'[11]Degree Days 2020'!E21</f>
        <v>12</v>
      </c>
      <c r="F21" s="272">
        <f>'[1]General information '!B17</f>
        <v>18</v>
      </c>
      <c r="G21" s="272">
        <f>'[1]General information '!C17</f>
        <v>13</v>
      </c>
      <c r="H21" s="272">
        <f t="shared" si="0"/>
        <v>-2.8000000000000007</v>
      </c>
      <c r="I21" s="272">
        <f>'[8]Degree Days 2018'!I21</f>
        <v>12</v>
      </c>
      <c r="J21" s="272">
        <f>'General information '!B17</f>
        <v>18</v>
      </c>
      <c r="K21" s="272">
        <f>'General information '!C17</f>
        <v>13</v>
      </c>
      <c r="L21" s="272">
        <f t="shared" si="1"/>
        <v>-2.8000000000000007</v>
      </c>
      <c r="M21" s="272">
        <f>'[11]Degree Days 2020'!M21</f>
        <v>12</v>
      </c>
      <c r="N21" s="272"/>
      <c r="O21" s="272"/>
      <c r="P21" s="272">
        <f t="shared" si="2"/>
        <v>-18.3</v>
      </c>
      <c r="Q21" s="531">
        <v>12</v>
      </c>
      <c r="R21" s="272"/>
      <c r="S21" s="272"/>
      <c r="T21" s="272">
        <f t="shared" si="3"/>
        <v>-18.3</v>
      </c>
      <c r="U21" s="531">
        <v>12</v>
      </c>
      <c r="V21" s="272"/>
      <c r="W21" s="272"/>
      <c r="X21" s="272">
        <f t="shared" si="4"/>
        <v>-18.3</v>
      </c>
      <c r="Z21" t="s">
        <v>181</v>
      </c>
      <c r="AA21" s="134">
        <f t="shared" ref="AA21" si="5">SUM(B54)</f>
        <v>0</v>
      </c>
      <c r="AB21" s="134">
        <f t="shared" ref="AB21" si="6">SUM(C54)</f>
        <v>0</v>
      </c>
    </row>
    <row r="22" spans="1:28">
      <c r="A22" s="117">
        <v>13</v>
      </c>
      <c r="B22" s="272">
        <f>'[10]Degree Days 2020'!B22</f>
        <v>18</v>
      </c>
      <c r="C22" s="272">
        <f>'[10]Degree Days 2020'!C22</f>
        <v>12</v>
      </c>
      <c r="D22" s="272">
        <f>'[10]Degree Days 2020'!D22</f>
        <v>-3.3000000000000007</v>
      </c>
      <c r="E22" s="272">
        <f>'[11]Degree Days 2020'!E22</f>
        <v>13</v>
      </c>
      <c r="F22" s="272">
        <f>'[1]General information '!B18</f>
        <v>19</v>
      </c>
      <c r="G22" s="272">
        <f>'[1]General information '!C18</f>
        <v>14</v>
      </c>
      <c r="H22" s="272">
        <f t="shared" si="0"/>
        <v>-1.8000000000000007</v>
      </c>
      <c r="I22" s="272">
        <f>'[8]Degree Days 2018'!I22</f>
        <v>13</v>
      </c>
      <c r="J22" s="272">
        <f>'General information '!B18</f>
        <v>18</v>
      </c>
      <c r="K22" s="272">
        <f>'General information '!C18</f>
        <v>16</v>
      </c>
      <c r="L22" s="272">
        <f t="shared" si="1"/>
        <v>-1.3000000000000007</v>
      </c>
      <c r="M22" s="272">
        <f>'[11]Degree Days 2020'!M22</f>
        <v>13</v>
      </c>
      <c r="N22" s="272"/>
      <c r="O22" s="272"/>
      <c r="P22" s="272">
        <f t="shared" si="2"/>
        <v>-18.3</v>
      </c>
      <c r="Q22" s="531">
        <v>13</v>
      </c>
      <c r="R22" s="272"/>
      <c r="S22" s="272"/>
      <c r="T22" s="272">
        <f t="shared" si="3"/>
        <v>-18.3</v>
      </c>
      <c r="U22" s="531">
        <v>13</v>
      </c>
      <c r="V22" s="272"/>
      <c r="W22" s="272"/>
      <c r="X22" s="272">
        <f t="shared" si="4"/>
        <v>-18.3</v>
      </c>
    </row>
    <row r="23" spans="1:28">
      <c r="A23" s="117">
        <v>14</v>
      </c>
      <c r="B23" s="272">
        <f>'[10]Degree Days 2020'!B23</f>
        <v>17</v>
      </c>
      <c r="C23" s="272">
        <f>'[10]Degree Days 2020'!C23</f>
        <v>12</v>
      </c>
      <c r="D23" s="272">
        <f>'[10]Degree Days 2020'!D23</f>
        <v>-3.8000000000000007</v>
      </c>
      <c r="E23" s="272">
        <f>'[11]Degree Days 2020'!E23</f>
        <v>14</v>
      </c>
      <c r="F23" s="272">
        <f>'[1]General information '!B19</f>
        <v>18</v>
      </c>
      <c r="G23" s="272">
        <f>'[1]General information '!C19</f>
        <v>13</v>
      </c>
      <c r="H23" s="272">
        <f t="shared" si="0"/>
        <v>-2.8000000000000007</v>
      </c>
      <c r="I23" s="272">
        <f>'[8]Degree Days 2018'!I23</f>
        <v>14</v>
      </c>
      <c r="J23" s="272">
        <f>'General information '!B19</f>
        <v>19</v>
      </c>
      <c r="K23" s="272">
        <f>'General information '!C19</f>
        <v>15</v>
      </c>
      <c r="L23" s="272">
        <f t="shared" si="1"/>
        <v>-1.3000000000000007</v>
      </c>
      <c r="M23" s="272">
        <f>'[11]Degree Days 2020'!M23</f>
        <v>14</v>
      </c>
      <c r="N23" s="272"/>
      <c r="O23" s="272"/>
      <c r="P23" s="272">
        <f t="shared" si="2"/>
        <v>-18.3</v>
      </c>
      <c r="Q23" s="531">
        <v>14</v>
      </c>
      <c r="R23" s="272"/>
      <c r="S23" s="272"/>
      <c r="T23" s="272">
        <f t="shared" si="3"/>
        <v>-18.3</v>
      </c>
      <c r="U23" s="531">
        <v>14</v>
      </c>
      <c r="V23" s="272"/>
      <c r="W23" s="272"/>
      <c r="X23" s="272">
        <f t="shared" si="4"/>
        <v>-18.3</v>
      </c>
      <c r="AA23" s="134">
        <f>SUM(AA10:AA22)</f>
        <v>-92.59999999999998</v>
      </c>
      <c r="AB23" s="134">
        <f>SUM(AB10:AB22)</f>
        <v>2.7999999999999936</v>
      </c>
    </row>
    <row r="24" spans="1:28">
      <c r="A24" s="117">
        <v>15</v>
      </c>
      <c r="B24" s="272">
        <f>'[10]Degree Days 2020'!B24</f>
        <v>19</v>
      </c>
      <c r="C24" s="272">
        <f>'[10]Degree Days 2020'!C24</f>
        <v>13</v>
      </c>
      <c r="D24" s="272">
        <f>'[10]Degree Days 2020'!D24</f>
        <v>-2.3000000000000007</v>
      </c>
      <c r="E24" s="272">
        <f>'[11]Degree Days 2020'!E24</f>
        <v>15</v>
      </c>
      <c r="F24" s="272">
        <f>'[1]General information '!B20</f>
        <v>18</v>
      </c>
      <c r="G24" s="272">
        <f>'[1]General information '!C20</f>
        <v>12</v>
      </c>
      <c r="H24" s="272">
        <f t="shared" si="0"/>
        <v>-3.3000000000000007</v>
      </c>
      <c r="I24" s="272">
        <f>'[8]Degree Days 2018'!I24</f>
        <v>15</v>
      </c>
      <c r="J24" s="272">
        <f>'General information '!B20</f>
        <v>19</v>
      </c>
      <c r="K24" s="272">
        <f>'General information '!C20</f>
        <v>15</v>
      </c>
      <c r="L24" s="272">
        <f t="shared" si="1"/>
        <v>-1.3000000000000007</v>
      </c>
      <c r="M24" s="272">
        <f>'[11]Degree Days 2020'!M24</f>
        <v>15</v>
      </c>
      <c r="N24" s="272"/>
      <c r="O24" s="272"/>
      <c r="P24" s="272">
        <f t="shared" si="2"/>
        <v>-18.3</v>
      </c>
      <c r="Q24" s="531">
        <v>15</v>
      </c>
      <c r="R24" s="272"/>
      <c r="S24" s="272"/>
      <c r="T24" s="272">
        <f t="shared" si="3"/>
        <v>-18.3</v>
      </c>
      <c r="U24" s="531">
        <v>15</v>
      </c>
      <c r="V24" s="272"/>
      <c r="W24" s="272"/>
      <c r="X24" s="272">
        <f t="shared" si="4"/>
        <v>-18.3</v>
      </c>
    </row>
    <row r="25" spans="1:28">
      <c r="A25" s="117">
        <v>16</v>
      </c>
      <c r="B25" s="272">
        <f>'[10]Degree Days 2020'!B25</f>
        <v>15</v>
      </c>
      <c r="C25" s="272">
        <f>'[10]Degree Days 2020'!C25</f>
        <v>9</v>
      </c>
      <c r="D25" s="272">
        <f>'[10]Degree Days 2020'!D25</f>
        <v>-6.3000000000000007</v>
      </c>
      <c r="E25" s="272">
        <f>'[11]Degree Days 2020'!E25</f>
        <v>16</v>
      </c>
      <c r="F25" s="272">
        <f>'[1]General information '!B21</f>
        <v>11</v>
      </c>
      <c r="G25" s="272">
        <f>'[1]General information '!C21</f>
        <v>7</v>
      </c>
      <c r="H25" s="272">
        <f t="shared" si="0"/>
        <v>-9.3000000000000007</v>
      </c>
      <c r="I25" s="272">
        <f>'[8]Degree Days 2018'!I25</f>
        <v>16</v>
      </c>
      <c r="J25" s="272">
        <f>'General information '!B21</f>
        <v>19</v>
      </c>
      <c r="K25" s="272">
        <f>'General information '!C21</f>
        <v>14</v>
      </c>
      <c r="L25" s="272">
        <f t="shared" si="1"/>
        <v>-1.8000000000000007</v>
      </c>
      <c r="M25" s="272">
        <f>'[11]Degree Days 2020'!M25</f>
        <v>16</v>
      </c>
      <c r="N25" s="272"/>
      <c r="O25" s="272"/>
      <c r="P25" s="272">
        <f t="shared" si="2"/>
        <v>-18.3</v>
      </c>
      <c r="Q25" s="531">
        <v>16</v>
      </c>
      <c r="R25" s="272"/>
      <c r="S25" s="272"/>
      <c r="T25" s="272">
        <f t="shared" si="3"/>
        <v>-18.3</v>
      </c>
      <c r="U25" s="531">
        <v>16</v>
      </c>
      <c r="V25" s="272"/>
      <c r="W25" s="272"/>
      <c r="X25" s="272">
        <f t="shared" si="4"/>
        <v>-18.3</v>
      </c>
    </row>
    <row r="26" spans="1:28">
      <c r="A26" s="117">
        <v>17</v>
      </c>
      <c r="B26" s="272">
        <f>'[10]Degree Days 2020'!B26</f>
        <v>15</v>
      </c>
      <c r="C26" s="272">
        <f>'[10]Degree Days 2020'!C26</f>
        <v>12</v>
      </c>
      <c r="D26" s="272">
        <f>'[10]Degree Days 2020'!D26</f>
        <v>-4.8000000000000007</v>
      </c>
      <c r="E26" s="272">
        <f>'[11]Degree Days 2020'!E26</f>
        <v>17</v>
      </c>
      <c r="F26" s="272">
        <f>'[1]General information '!B22</f>
        <v>13</v>
      </c>
      <c r="G26" s="272">
        <f>'[1]General information '!C22</f>
        <v>7</v>
      </c>
      <c r="H26" s="272">
        <f t="shared" si="0"/>
        <v>-8.3000000000000007</v>
      </c>
      <c r="I26" s="272">
        <f>'[8]Degree Days 2018'!I26</f>
        <v>17</v>
      </c>
      <c r="J26" s="272">
        <f>'General information '!B22</f>
        <v>20</v>
      </c>
      <c r="K26" s="272">
        <f>'General information '!C22</f>
        <v>15</v>
      </c>
      <c r="L26" s="272">
        <f t="shared" si="1"/>
        <v>-0.80000000000000071</v>
      </c>
      <c r="M26" s="272">
        <f>'[11]Degree Days 2020'!M26</f>
        <v>17</v>
      </c>
      <c r="N26" s="272"/>
      <c r="O26" s="272"/>
      <c r="P26" s="272">
        <f t="shared" si="2"/>
        <v>-18.3</v>
      </c>
      <c r="Q26" s="531">
        <v>17</v>
      </c>
      <c r="R26" s="272"/>
      <c r="S26" s="272"/>
      <c r="T26" s="272">
        <f t="shared" si="3"/>
        <v>-18.3</v>
      </c>
      <c r="U26" s="531">
        <v>17</v>
      </c>
      <c r="V26" s="272"/>
      <c r="W26" s="272"/>
      <c r="X26" s="272">
        <f t="shared" si="4"/>
        <v>-18.3</v>
      </c>
    </row>
    <row r="27" spans="1:28">
      <c r="A27" s="117">
        <v>18</v>
      </c>
      <c r="B27" s="272">
        <f>'[10]Degree Days 2020'!B27</f>
        <v>14</v>
      </c>
      <c r="C27" s="272">
        <f>'[10]Degree Days 2020'!C27</f>
        <v>8</v>
      </c>
      <c r="D27" s="272">
        <f>'[10]Degree Days 2020'!D27</f>
        <v>-7.3000000000000007</v>
      </c>
      <c r="E27" s="272">
        <f>'[11]Degree Days 2020'!E27</f>
        <v>18</v>
      </c>
      <c r="F27" s="272">
        <f>'[1]General information '!B23</f>
        <v>13</v>
      </c>
      <c r="G27" s="272">
        <f>'[1]General information '!C23</f>
        <v>7</v>
      </c>
      <c r="H27" s="272">
        <f t="shared" si="0"/>
        <v>-8.3000000000000007</v>
      </c>
      <c r="I27" s="272">
        <f>'[8]Degree Days 2018'!I27</f>
        <v>18</v>
      </c>
      <c r="J27" s="272">
        <f>'General information '!B23</f>
        <v>20</v>
      </c>
      <c r="K27" s="272">
        <f>'General information '!C23</f>
        <v>15</v>
      </c>
      <c r="L27" s="272">
        <f t="shared" si="1"/>
        <v>-0.80000000000000071</v>
      </c>
      <c r="M27" s="272">
        <f>'[11]Degree Days 2020'!M27</f>
        <v>18</v>
      </c>
      <c r="N27" s="272"/>
      <c r="O27" s="272"/>
      <c r="P27" s="272">
        <f t="shared" si="2"/>
        <v>-18.3</v>
      </c>
      <c r="Q27" s="531">
        <v>18</v>
      </c>
      <c r="R27" s="272"/>
      <c r="S27" s="272"/>
      <c r="T27" s="272">
        <f t="shared" si="3"/>
        <v>-18.3</v>
      </c>
      <c r="U27" s="531">
        <v>18</v>
      </c>
      <c r="V27" s="272"/>
      <c r="W27" s="272"/>
      <c r="X27" s="272">
        <f t="shared" si="4"/>
        <v>-18.3</v>
      </c>
    </row>
    <row r="28" spans="1:28">
      <c r="A28" s="117">
        <v>19</v>
      </c>
      <c r="B28" s="272">
        <f>'[10]Degree Days 2020'!B28</f>
        <v>17</v>
      </c>
      <c r="C28" s="272">
        <f>'[10]Degree Days 2020'!C28</f>
        <v>10</v>
      </c>
      <c r="D28" s="272">
        <f>'[10]Degree Days 2020'!D28</f>
        <v>-4.8000000000000007</v>
      </c>
      <c r="E28" s="272">
        <f>'[11]Degree Days 2020'!E28</f>
        <v>19</v>
      </c>
      <c r="F28" s="272">
        <f>'[1]General information '!B24</f>
        <v>14</v>
      </c>
      <c r="G28" s="272">
        <f>'[1]General information '!C24</f>
        <v>7</v>
      </c>
      <c r="H28" s="272">
        <f t="shared" si="0"/>
        <v>-7.8000000000000007</v>
      </c>
      <c r="I28" s="272">
        <f>'[8]Degree Days 2018'!I28</f>
        <v>19</v>
      </c>
      <c r="J28" s="272">
        <f>'General information '!B24</f>
        <v>19</v>
      </c>
      <c r="K28" s="272">
        <f>'General information '!C24</f>
        <v>17</v>
      </c>
      <c r="L28" s="272">
        <f t="shared" si="1"/>
        <v>-0.30000000000000071</v>
      </c>
      <c r="M28" s="272">
        <f>'[11]Degree Days 2020'!M28</f>
        <v>19</v>
      </c>
      <c r="N28" s="272"/>
      <c r="O28" s="272"/>
      <c r="P28" s="272">
        <f t="shared" si="2"/>
        <v>-18.3</v>
      </c>
      <c r="Q28" s="531">
        <v>19</v>
      </c>
      <c r="R28" s="272"/>
      <c r="S28" s="272"/>
      <c r="T28" s="272">
        <f t="shared" si="3"/>
        <v>-18.3</v>
      </c>
      <c r="U28" s="531">
        <v>19</v>
      </c>
      <c r="V28" s="272"/>
      <c r="W28" s="272"/>
      <c r="X28" s="272">
        <f t="shared" si="4"/>
        <v>-18.3</v>
      </c>
    </row>
    <row r="29" spans="1:28">
      <c r="A29" s="117">
        <v>20</v>
      </c>
      <c r="B29" s="272">
        <f>'[10]Degree Days 2020'!B29</f>
        <v>17</v>
      </c>
      <c r="C29" s="272">
        <f>'[10]Degree Days 2020'!C29</f>
        <v>10</v>
      </c>
      <c r="D29" s="272">
        <f>'[10]Degree Days 2020'!D29</f>
        <v>-4.8000000000000007</v>
      </c>
      <c r="E29" s="272">
        <f>'[11]Degree Days 2020'!E29</f>
        <v>20</v>
      </c>
      <c r="F29" s="272">
        <f>'[1]General information '!B25</f>
        <v>19</v>
      </c>
      <c r="G29" s="272">
        <f>'[1]General information '!C25</f>
        <v>14</v>
      </c>
      <c r="H29" s="272">
        <f t="shared" si="0"/>
        <v>-1.8000000000000007</v>
      </c>
      <c r="I29" s="272">
        <f>'[8]Degree Days 2018'!I29</f>
        <v>20</v>
      </c>
      <c r="J29" s="272">
        <f>'General information '!B25</f>
        <v>21</v>
      </c>
      <c r="K29" s="272">
        <f>'General information '!C25</f>
        <v>18</v>
      </c>
      <c r="L29" s="272">
        <f t="shared" si="1"/>
        <v>1.1999999999999993</v>
      </c>
      <c r="M29" s="272">
        <f>'[11]Degree Days 2020'!M29</f>
        <v>20</v>
      </c>
      <c r="N29" s="272"/>
      <c r="O29" s="272"/>
      <c r="P29" s="272">
        <f t="shared" si="2"/>
        <v>-18.3</v>
      </c>
      <c r="Q29" s="531">
        <v>20</v>
      </c>
      <c r="R29" s="272"/>
      <c r="S29" s="272"/>
      <c r="T29" s="272">
        <f t="shared" si="3"/>
        <v>-18.3</v>
      </c>
      <c r="U29" s="531">
        <v>20</v>
      </c>
      <c r="V29" s="272"/>
      <c r="W29" s="272"/>
      <c r="X29" s="272">
        <f t="shared" si="4"/>
        <v>-18.3</v>
      </c>
    </row>
    <row r="30" spans="1:28">
      <c r="A30" s="117">
        <v>21</v>
      </c>
      <c r="B30" s="272">
        <f>'[10]Degree Days 2020'!B30</f>
        <v>16</v>
      </c>
      <c r="C30" s="272">
        <f>'[10]Degree Days 2020'!C30</f>
        <v>9</v>
      </c>
      <c r="D30" s="272">
        <f>'[10]Degree Days 2020'!D30</f>
        <v>-5.8000000000000007</v>
      </c>
      <c r="E30" s="272">
        <f>'[11]Degree Days 2020'!E30</f>
        <v>21</v>
      </c>
      <c r="F30" s="272">
        <f>'[1]General information '!B26</f>
        <v>18</v>
      </c>
      <c r="G30" s="272">
        <f>'[1]General information '!C26</f>
        <v>13</v>
      </c>
      <c r="H30" s="272">
        <f t="shared" si="0"/>
        <v>-2.8000000000000007</v>
      </c>
      <c r="I30" s="272">
        <f>'[8]Degree Days 2018'!I30</f>
        <v>21</v>
      </c>
      <c r="J30" s="272">
        <f>'General information '!B26</f>
        <v>23</v>
      </c>
      <c r="K30" s="272">
        <f>'General information '!C26</f>
        <v>14</v>
      </c>
      <c r="L30" s="272">
        <f t="shared" si="1"/>
        <v>0.19999999999999929</v>
      </c>
      <c r="M30" s="272">
        <f>'[11]Degree Days 2020'!M30</f>
        <v>21</v>
      </c>
      <c r="N30" s="272"/>
      <c r="O30" s="272"/>
      <c r="P30" s="272">
        <f t="shared" si="2"/>
        <v>-18.3</v>
      </c>
      <c r="Q30" s="531">
        <v>21</v>
      </c>
      <c r="R30" s="272"/>
      <c r="S30" s="272"/>
      <c r="T30" s="272">
        <f t="shared" si="3"/>
        <v>-18.3</v>
      </c>
      <c r="U30" s="531">
        <v>21</v>
      </c>
      <c r="V30" s="272"/>
      <c r="W30" s="272"/>
      <c r="X30" s="272">
        <f t="shared" si="4"/>
        <v>-18.3</v>
      </c>
    </row>
    <row r="31" spans="1:28">
      <c r="A31" s="117">
        <v>22</v>
      </c>
      <c r="B31" s="272">
        <f>'[10]Degree Days 2020'!B31</f>
        <v>17</v>
      </c>
      <c r="C31" s="272">
        <f>'[10]Degree Days 2020'!C31</f>
        <v>10</v>
      </c>
      <c r="D31" s="272">
        <f>'[10]Degree Days 2020'!D31</f>
        <v>-4.8000000000000007</v>
      </c>
      <c r="E31" s="272">
        <f>'[11]Degree Days 2020'!E31</f>
        <v>22</v>
      </c>
      <c r="F31" s="272">
        <f>'[1]General information '!B27</f>
        <v>21</v>
      </c>
      <c r="G31" s="272">
        <f>'[1]General information '!C27</f>
        <v>12</v>
      </c>
      <c r="H31" s="272">
        <f t="shared" si="0"/>
        <v>-1.8000000000000007</v>
      </c>
      <c r="I31" s="272">
        <f>'[8]Degree Days 2018'!I31</f>
        <v>22</v>
      </c>
      <c r="J31" s="272">
        <f>'General information '!B27</f>
        <v>26</v>
      </c>
      <c r="K31" s="272">
        <f>'General information '!C27</f>
        <v>14</v>
      </c>
      <c r="L31" s="272">
        <f t="shared" si="1"/>
        <v>1.6999999999999993</v>
      </c>
      <c r="M31" s="272">
        <f>'[11]Degree Days 2020'!M31</f>
        <v>22</v>
      </c>
      <c r="N31" s="272"/>
      <c r="O31" s="272"/>
      <c r="P31" s="272">
        <f t="shared" si="2"/>
        <v>-18.3</v>
      </c>
      <c r="Q31" s="531">
        <v>22</v>
      </c>
      <c r="R31" s="272"/>
      <c r="S31" s="272"/>
      <c r="T31" s="272">
        <f t="shared" si="3"/>
        <v>-18.3</v>
      </c>
      <c r="U31" s="531">
        <v>22</v>
      </c>
      <c r="V31" s="272"/>
      <c r="W31" s="272"/>
      <c r="X31" s="272">
        <f t="shared" si="4"/>
        <v>-18.3</v>
      </c>
    </row>
    <row r="32" spans="1:28">
      <c r="A32" s="117">
        <v>23</v>
      </c>
      <c r="B32" s="272">
        <f>'[10]Degree Days 2020'!B32</f>
        <v>18</v>
      </c>
      <c r="C32" s="272">
        <f>'[10]Degree Days 2020'!C32</f>
        <v>12</v>
      </c>
      <c r="D32" s="272">
        <f>'[10]Degree Days 2020'!D32</f>
        <v>-3.3000000000000007</v>
      </c>
      <c r="E32" s="272">
        <f>'[11]Degree Days 2020'!E32</f>
        <v>23</v>
      </c>
      <c r="F32" s="272">
        <f>'[1]General information '!B28</f>
        <v>19</v>
      </c>
      <c r="G32" s="272">
        <f>'[1]General information '!C28</f>
        <v>13</v>
      </c>
      <c r="H32" s="272">
        <f t="shared" si="0"/>
        <v>-2.3000000000000007</v>
      </c>
      <c r="I32" s="272">
        <f>'[8]Degree Days 2018'!I32</f>
        <v>23</v>
      </c>
      <c r="J32" s="272">
        <f>'General information '!B28</f>
        <v>33</v>
      </c>
      <c r="K32" s="272">
        <f>'General information '!C28</f>
        <v>17</v>
      </c>
      <c r="L32" s="272">
        <f t="shared" si="1"/>
        <v>6.6999999999999993</v>
      </c>
      <c r="M32" s="272">
        <f>'[11]Degree Days 2020'!M32</f>
        <v>23</v>
      </c>
      <c r="N32" s="272"/>
      <c r="O32" s="272"/>
      <c r="P32" s="272">
        <f t="shared" si="2"/>
        <v>-18.3</v>
      </c>
      <c r="Q32" s="531">
        <v>23</v>
      </c>
      <c r="R32" s="272"/>
      <c r="S32" s="272"/>
      <c r="T32" s="272">
        <f t="shared" si="3"/>
        <v>-18.3</v>
      </c>
      <c r="U32" s="531">
        <v>23</v>
      </c>
      <c r="V32" s="272"/>
      <c r="W32" s="272"/>
      <c r="X32" s="272">
        <f t="shared" si="4"/>
        <v>-18.3</v>
      </c>
    </row>
    <row r="33" spans="1:24">
      <c r="A33" s="117">
        <v>24</v>
      </c>
      <c r="B33" s="272">
        <f>'[10]Degree Days 2020'!B33</f>
        <v>17</v>
      </c>
      <c r="C33" s="272">
        <f>'[10]Degree Days 2020'!C33</f>
        <v>11</v>
      </c>
      <c r="D33" s="272">
        <f>'[10]Degree Days 2020'!D33</f>
        <v>-4.3000000000000007</v>
      </c>
      <c r="E33" s="272">
        <f>'[11]Degree Days 2020'!E33</f>
        <v>24</v>
      </c>
      <c r="F33" s="272">
        <f>'[1]General information '!B29</f>
        <v>19</v>
      </c>
      <c r="G33" s="272">
        <f>'[1]General information '!C29</f>
        <v>12</v>
      </c>
      <c r="H33" s="272">
        <f t="shared" si="0"/>
        <v>-2.8000000000000007</v>
      </c>
      <c r="I33" s="272">
        <f>'[8]Degree Days 2018'!I33</f>
        <v>24</v>
      </c>
      <c r="J33" s="272">
        <f>'General information '!B29</f>
        <v>15</v>
      </c>
      <c r="K33" s="272">
        <f>'General information '!C29</f>
        <v>12</v>
      </c>
      <c r="L33" s="272">
        <f t="shared" si="1"/>
        <v>-4.8000000000000007</v>
      </c>
      <c r="M33" s="272">
        <f>'[11]Degree Days 2020'!M33</f>
        <v>24</v>
      </c>
      <c r="N33" s="272"/>
      <c r="O33" s="272"/>
      <c r="P33" s="272">
        <f t="shared" si="2"/>
        <v>-18.3</v>
      </c>
      <c r="Q33" s="531">
        <v>24</v>
      </c>
      <c r="R33" s="272"/>
      <c r="S33" s="272"/>
      <c r="T33" s="272">
        <f t="shared" si="3"/>
        <v>-18.3</v>
      </c>
      <c r="U33" s="531">
        <v>24</v>
      </c>
      <c r="V33" s="272"/>
      <c r="W33" s="272"/>
      <c r="X33" s="272">
        <f t="shared" si="4"/>
        <v>-18.3</v>
      </c>
    </row>
    <row r="34" spans="1:24">
      <c r="A34" s="117">
        <v>25</v>
      </c>
      <c r="B34" s="272">
        <f>'[10]Degree Days 2020'!B34</f>
        <v>21</v>
      </c>
      <c r="C34" s="272">
        <f>'[10]Degree Days 2020'!C34</f>
        <v>12</v>
      </c>
      <c r="D34" s="272">
        <f>'[10]Degree Days 2020'!D34</f>
        <v>-1.8000000000000007</v>
      </c>
      <c r="E34" s="272">
        <f>'[11]Degree Days 2020'!E34</f>
        <v>25</v>
      </c>
      <c r="F34" s="272">
        <f>'[1]General information '!B30</f>
        <v>18</v>
      </c>
      <c r="G34" s="272">
        <f>'[1]General information '!C30</f>
        <v>13</v>
      </c>
      <c r="H34" s="272">
        <f t="shared" si="0"/>
        <v>-2.8000000000000007</v>
      </c>
      <c r="I34" s="272">
        <f>'[8]Degree Days 2018'!I34</f>
        <v>25</v>
      </c>
      <c r="J34" s="272">
        <f>'General information '!B30</f>
        <v>15</v>
      </c>
      <c r="K34" s="272">
        <f>'General information '!C30</f>
        <v>12</v>
      </c>
      <c r="L34" s="272">
        <f t="shared" si="1"/>
        <v>-4.8000000000000007</v>
      </c>
      <c r="M34" s="272">
        <f>'[11]Degree Days 2020'!M34</f>
        <v>25</v>
      </c>
      <c r="N34" s="272"/>
      <c r="O34" s="272"/>
      <c r="P34" s="272">
        <f t="shared" si="2"/>
        <v>-18.3</v>
      </c>
      <c r="Q34" s="531">
        <v>25</v>
      </c>
      <c r="R34" s="272"/>
      <c r="S34" s="272"/>
      <c r="T34" s="272">
        <f t="shared" si="3"/>
        <v>-18.3</v>
      </c>
      <c r="U34" s="531">
        <v>25</v>
      </c>
      <c r="V34" s="272"/>
      <c r="W34" s="272"/>
      <c r="X34" s="272">
        <f t="shared" si="4"/>
        <v>-18.3</v>
      </c>
    </row>
    <row r="35" spans="1:24">
      <c r="A35" s="117">
        <v>26</v>
      </c>
      <c r="B35" s="272">
        <f>'[10]Degree Days 2020'!B35</f>
        <v>18</v>
      </c>
      <c r="C35" s="272">
        <f>'[10]Degree Days 2020'!C35</f>
        <v>11</v>
      </c>
      <c r="D35" s="272">
        <f>'[10]Degree Days 2020'!D35</f>
        <v>-3.8000000000000007</v>
      </c>
      <c r="E35" s="272">
        <f>'[11]Degree Days 2020'!E35</f>
        <v>26</v>
      </c>
      <c r="F35" s="272">
        <f>'[1]General information '!B31</f>
        <v>18</v>
      </c>
      <c r="G35" s="272">
        <f>'[1]General information '!C31</f>
        <v>13</v>
      </c>
      <c r="H35" s="272">
        <f t="shared" si="0"/>
        <v>-2.8000000000000007</v>
      </c>
      <c r="I35" s="272">
        <f>'[8]Degree Days 2018'!I35</f>
        <v>26</v>
      </c>
      <c r="J35" s="272">
        <f>'General information '!B31</f>
        <v>16</v>
      </c>
      <c r="K35" s="272">
        <f>'General information '!C31</f>
        <v>10</v>
      </c>
      <c r="L35" s="272">
        <f t="shared" si="1"/>
        <v>-5.3000000000000007</v>
      </c>
      <c r="M35" s="272">
        <f>'[11]Degree Days 2020'!M35</f>
        <v>26</v>
      </c>
      <c r="N35" s="272"/>
      <c r="O35" s="272"/>
      <c r="P35" s="272">
        <f t="shared" si="2"/>
        <v>-18.3</v>
      </c>
      <c r="Q35" s="531">
        <v>26</v>
      </c>
      <c r="R35" s="272"/>
      <c r="S35" s="272"/>
      <c r="T35" s="272">
        <f t="shared" si="3"/>
        <v>-18.3</v>
      </c>
      <c r="U35" s="531">
        <v>26</v>
      </c>
      <c r="V35" s="272"/>
      <c r="W35" s="272"/>
      <c r="X35" s="272">
        <f t="shared" si="4"/>
        <v>-18.3</v>
      </c>
    </row>
    <row r="36" spans="1:24">
      <c r="A36" s="117">
        <v>27</v>
      </c>
      <c r="B36" s="272">
        <f>'[10]Degree Days 2020'!B36</f>
        <v>14</v>
      </c>
      <c r="C36" s="272">
        <f>'[10]Degree Days 2020'!C36</f>
        <v>10</v>
      </c>
      <c r="D36" s="272">
        <f>'[10]Degree Days 2020'!D36</f>
        <v>-6.3000000000000007</v>
      </c>
      <c r="E36" s="272">
        <f>'[11]Degree Days 2020'!E36</f>
        <v>27</v>
      </c>
      <c r="F36" s="272">
        <f>'[1]General information '!B32</f>
        <v>18</v>
      </c>
      <c r="G36" s="272">
        <f>'[1]General information '!C32</f>
        <v>13</v>
      </c>
      <c r="H36" s="272">
        <f t="shared" si="0"/>
        <v>-2.8000000000000007</v>
      </c>
      <c r="I36" s="272">
        <f>'[8]Degree Days 2018'!I36</f>
        <v>27</v>
      </c>
      <c r="J36" s="272">
        <f>'General information '!B32</f>
        <v>17</v>
      </c>
      <c r="K36" s="272">
        <f>'General information '!C32</f>
        <v>11</v>
      </c>
      <c r="L36" s="272">
        <f t="shared" si="1"/>
        <v>-4.3000000000000007</v>
      </c>
      <c r="M36" s="272">
        <f>'[11]Degree Days 2020'!M36</f>
        <v>27</v>
      </c>
      <c r="N36" s="272"/>
      <c r="O36" s="272"/>
      <c r="P36" s="272">
        <f t="shared" si="2"/>
        <v>-18.3</v>
      </c>
      <c r="Q36" s="531">
        <v>27</v>
      </c>
      <c r="R36" s="272"/>
      <c r="S36" s="272"/>
      <c r="T36" s="272">
        <f t="shared" si="3"/>
        <v>-18.3</v>
      </c>
      <c r="U36" s="531">
        <v>27</v>
      </c>
      <c r="V36" s="272"/>
      <c r="W36" s="272"/>
      <c r="X36" s="272">
        <f t="shared" si="4"/>
        <v>-18.3</v>
      </c>
    </row>
    <row r="37" spans="1:24">
      <c r="A37" s="117">
        <v>28</v>
      </c>
      <c r="B37" s="272">
        <f>'[10]Degree Days 2020'!B37</f>
        <v>14</v>
      </c>
      <c r="C37" s="272">
        <f>'[10]Degree Days 2020'!C37</f>
        <v>10</v>
      </c>
      <c r="D37" s="272">
        <f>'[10]Degree Days 2020'!D37</f>
        <v>-6.3000000000000007</v>
      </c>
      <c r="E37" s="272">
        <f>'[11]Degree Days 2020'!E37</f>
        <v>28</v>
      </c>
      <c r="F37" s="272">
        <f>'[1]General information '!B33</f>
        <v>17</v>
      </c>
      <c r="G37" s="272">
        <f>'[1]General information '!C33</f>
        <v>13</v>
      </c>
      <c r="H37" s="272">
        <f t="shared" si="0"/>
        <v>-3.3000000000000007</v>
      </c>
      <c r="I37" s="272">
        <f>'[8]Degree Days 2018'!I37</f>
        <v>28</v>
      </c>
      <c r="J37" s="272">
        <f>'General information '!B33</f>
        <v>17</v>
      </c>
      <c r="K37" s="272">
        <f>'General information '!C33</f>
        <v>13</v>
      </c>
      <c r="L37" s="272">
        <f t="shared" si="1"/>
        <v>-3.3000000000000007</v>
      </c>
      <c r="M37" s="272">
        <f>'[11]Degree Days 2020'!M37</f>
        <v>28</v>
      </c>
      <c r="N37" s="272"/>
      <c r="O37" s="272"/>
      <c r="P37" s="272">
        <f t="shared" si="2"/>
        <v>-18.3</v>
      </c>
      <c r="Q37" s="531">
        <v>28</v>
      </c>
      <c r="R37" s="272"/>
      <c r="S37" s="272"/>
      <c r="T37" s="272">
        <f t="shared" si="3"/>
        <v>-18.3</v>
      </c>
      <c r="U37" s="531">
        <v>28</v>
      </c>
      <c r="V37" s="272"/>
      <c r="W37" s="272"/>
      <c r="X37" s="272">
        <f t="shared" si="4"/>
        <v>-18.3</v>
      </c>
    </row>
    <row r="38" spans="1:24">
      <c r="A38" s="117">
        <v>29</v>
      </c>
      <c r="B38" s="272">
        <f>'[10]Degree Days 2020'!B38</f>
        <v>16</v>
      </c>
      <c r="C38" s="272">
        <f>'[10]Degree Days 2020'!C38</f>
        <v>12</v>
      </c>
      <c r="D38" s="272">
        <f>'[10]Degree Days 2020'!D38</f>
        <v>-4.3000000000000007</v>
      </c>
      <c r="E38" s="272"/>
      <c r="F38" s="272"/>
      <c r="G38" s="272"/>
      <c r="H38" s="272"/>
      <c r="I38" s="272">
        <f>'[8]Degree Days 2018'!I38</f>
        <v>29</v>
      </c>
      <c r="J38" s="272">
        <f>'General information '!B34</f>
        <v>17</v>
      </c>
      <c r="K38" s="272">
        <f>'General information '!C34</f>
        <v>14</v>
      </c>
      <c r="L38" s="272">
        <f t="shared" si="1"/>
        <v>-2.8000000000000007</v>
      </c>
      <c r="M38" s="272">
        <f>'[11]Degree Days 2020'!M38</f>
        <v>29</v>
      </c>
      <c r="N38" s="272"/>
      <c r="O38" s="272"/>
      <c r="P38" s="272">
        <f t="shared" si="2"/>
        <v>-18.3</v>
      </c>
      <c r="Q38" s="531">
        <v>29</v>
      </c>
      <c r="R38" s="272"/>
      <c r="S38" s="272"/>
      <c r="T38" s="272">
        <f t="shared" si="3"/>
        <v>-18.3</v>
      </c>
      <c r="U38" s="531">
        <v>29</v>
      </c>
      <c r="V38" s="272"/>
      <c r="W38" s="272"/>
      <c r="X38" s="272">
        <f t="shared" si="4"/>
        <v>-18.3</v>
      </c>
    </row>
    <row r="39" spans="1:24">
      <c r="A39" s="117">
        <v>30</v>
      </c>
      <c r="B39" s="272">
        <f>'[10]Degree Days 2020'!B39</f>
        <v>10</v>
      </c>
      <c r="C39" s="272">
        <f>'[10]Degree Days 2020'!C39</f>
        <v>4</v>
      </c>
      <c r="D39" s="272">
        <f>'[10]Degree Days 2020'!D39</f>
        <v>-11.3</v>
      </c>
      <c r="E39" s="272"/>
      <c r="F39" s="272"/>
      <c r="G39" s="272"/>
      <c r="H39" s="272"/>
      <c r="I39" s="272">
        <f>'[8]Degree Days 2018'!I39</f>
        <v>30</v>
      </c>
      <c r="J39" s="272">
        <f>'General information '!B35</f>
        <v>19</v>
      </c>
      <c r="K39" s="272">
        <f>'General information '!C35</f>
        <v>13</v>
      </c>
      <c r="L39" s="272">
        <f t="shared" si="1"/>
        <v>-2.3000000000000007</v>
      </c>
      <c r="M39" s="272">
        <f>'[11]Degree Days 2020'!M39</f>
        <v>30</v>
      </c>
      <c r="N39" s="272"/>
      <c r="O39" s="272"/>
      <c r="P39" s="272">
        <f t="shared" si="2"/>
        <v>-18.3</v>
      </c>
      <c r="Q39" s="531">
        <v>30</v>
      </c>
      <c r="R39" s="272"/>
      <c r="S39" s="272"/>
      <c r="T39" s="272">
        <f t="shared" si="3"/>
        <v>-18.3</v>
      </c>
      <c r="U39" s="531">
        <v>30</v>
      </c>
      <c r="V39" s="272"/>
      <c r="W39" s="272"/>
      <c r="X39" s="272">
        <f t="shared" si="4"/>
        <v>-18.3</v>
      </c>
    </row>
    <row r="40" spans="1:24">
      <c r="A40" s="117">
        <v>31</v>
      </c>
      <c r="B40" s="272">
        <f>'[10]Degree Days 2020'!B40</f>
        <v>21</v>
      </c>
      <c r="C40" s="272">
        <f>'[10]Degree Days 2020'!C40</f>
        <v>16</v>
      </c>
      <c r="D40" s="272">
        <f>'[10]Degree Days 2020'!D40</f>
        <v>0.19999999999999929</v>
      </c>
      <c r="E40" s="272"/>
      <c r="F40" s="272"/>
      <c r="G40" s="272"/>
      <c r="H40" s="272"/>
      <c r="I40" s="272">
        <f>'[8]Degree Days 2018'!I40</f>
        <v>31</v>
      </c>
      <c r="J40" s="272">
        <f>'General information '!B36</f>
        <v>18</v>
      </c>
      <c r="K40" s="272">
        <f>'General information '!C36</f>
        <v>13</v>
      </c>
      <c r="L40" s="272">
        <f t="shared" si="1"/>
        <v>-2.8000000000000007</v>
      </c>
      <c r="M40" s="272"/>
      <c r="N40" s="272"/>
      <c r="O40" s="272"/>
      <c r="P40" s="272"/>
      <c r="Q40" s="531">
        <v>31</v>
      </c>
      <c r="R40" s="272"/>
      <c r="S40" s="272"/>
      <c r="T40" s="272">
        <f t="shared" si="3"/>
        <v>-18.3</v>
      </c>
      <c r="U40" s="272"/>
      <c r="V40" s="272"/>
      <c r="W40" s="272"/>
      <c r="X40" s="272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'[10]Degree Days 2020'!B43</f>
        <v>-92.59999999999998</v>
      </c>
      <c r="C43" s="119">
        <f>'[10]Degree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-512.4000000000002</v>
      </c>
      <c r="O43" s="119">
        <f>SUMIF(P10:P37,"&gt;0")</f>
        <v>0</v>
      </c>
      <c r="P43" s="130"/>
      <c r="Q43" s="129"/>
      <c r="R43" s="119">
        <f>SUMIF(T10:T37,"&lt;0")</f>
        <v>-512.4000000000002</v>
      </c>
      <c r="S43" s="119">
        <f>SUMIF(T10:T37,"&gt;0")</f>
        <v>0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2"/>
      <c r="C48" s="272"/>
      <c r="D48" s="119">
        <f t="shared" ref="D48:D56" si="7">(B48+C48)/2-18.3</f>
        <v>-18.3</v>
      </c>
      <c r="E48" s="117">
        <v>1</v>
      </c>
      <c r="F48" s="272"/>
      <c r="G48" s="272"/>
      <c r="H48" s="119">
        <f t="shared" ref="H48:H78" si="8">(F48+G48)/2-18.3</f>
        <v>-18.3</v>
      </c>
      <c r="I48" s="117">
        <v>1</v>
      </c>
      <c r="J48" s="272"/>
      <c r="K48" s="272"/>
      <c r="L48" s="119">
        <f>(J48+K48)/2-18.3</f>
        <v>-18.3</v>
      </c>
      <c r="M48" s="117">
        <v>1</v>
      </c>
      <c r="N48" s="272"/>
      <c r="O48" s="272"/>
      <c r="P48" s="119">
        <f>(N48+O48)/2-18.3</f>
        <v>-18.3</v>
      </c>
      <c r="Q48" s="117">
        <v>1</v>
      </c>
      <c r="R48" s="272"/>
      <c r="S48" s="272"/>
      <c r="T48" s="119">
        <f>(R48+S48)/2-18.3</f>
        <v>-18.3</v>
      </c>
      <c r="U48" s="117">
        <v>1</v>
      </c>
      <c r="V48" s="272"/>
      <c r="W48" s="272"/>
      <c r="X48" s="119">
        <f t="shared" ref="X48:X78" si="9">(V48+W48)/2-18.3</f>
        <v>-18.3</v>
      </c>
    </row>
    <row r="49" spans="1:24">
      <c r="A49" s="117">
        <v>2</v>
      </c>
      <c r="B49" s="272"/>
      <c r="C49" s="272"/>
      <c r="D49" s="119">
        <f t="shared" si="7"/>
        <v>-18.3</v>
      </c>
      <c r="E49" s="117">
        <v>2</v>
      </c>
      <c r="F49" s="272"/>
      <c r="G49" s="272"/>
      <c r="H49" s="119">
        <f t="shared" si="8"/>
        <v>-18.3</v>
      </c>
      <c r="I49" s="117">
        <v>2</v>
      </c>
      <c r="J49" s="272"/>
      <c r="K49" s="272"/>
      <c r="L49" s="119">
        <f t="shared" ref="L49:L77" si="10">(J49+K49)/2-18.3</f>
        <v>-18.3</v>
      </c>
      <c r="M49" s="117">
        <v>2</v>
      </c>
      <c r="N49" s="272"/>
      <c r="O49" s="272"/>
      <c r="P49" s="119">
        <f t="shared" ref="P49:P78" si="11">(N49+O49)/2-18.3</f>
        <v>-18.3</v>
      </c>
      <c r="Q49" s="117">
        <v>2</v>
      </c>
      <c r="R49" s="272"/>
      <c r="S49" s="272"/>
      <c r="T49" s="119">
        <f t="shared" ref="T49:T77" si="12">(R49+S49)/2-18.3</f>
        <v>-18.3</v>
      </c>
      <c r="U49" s="117">
        <v>2</v>
      </c>
      <c r="V49" s="272"/>
      <c r="W49" s="272"/>
      <c r="X49" s="119">
        <f t="shared" si="9"/>
        <v>-18.3</v>
      </c>
    </row>
    <row r="50" spans="1:24">
      <c r="A50" s="117">
        <v>3</v>
      </c>
      <c r="B50" s="272"/>
      <c r="C50" s="272"/>
      <c r="D50" s="119">
        <f t="shared" si="7"/>
        <v>-18.3</v>
      </c>
      <c r="E50" s="117">
        <v>3</v>
      </c>
      <c r="F50" s="272"/>
      <c r="G50" s="272"/>
      <c r="H50" s="119">
        <f t="shared" si="8"/>
        <v>-18.3</v>
      </c>
      <c r="I50" s="117">
        <v>3</v>
      </c>
      <c r="J50" s="272"/>
      <c r="K50" s="272"/>
      <c r="L50" s="119">
        <f t="shared" si="10"/>
        <v>-18.3</v>
      </c>
      <c r="M50" s="117">
        <v>3</v>
      </c>
      <c r="N50" s="272"/>
      <c r="O50" s="272"/>
      <c r="P50" s="119">
        <f t="shared" si="11"/>
        <v>-18.3</v>
      </c>
      <c r="Q50" s="117">
        <v>3</v>
      </c>
      <c r="R50" s="272"/>
      <c r="S50" s="272"/>
      <c r="T50" s="119">
        <f t="shared" si="12"/>
        <v>-18.3</v>
      </c>
      <c r="U50" s="117">
        <v>3</v>
      </c>
      <c r="V50" s="272"/>
      <c r="W50" s="272"/>
      <c r="X50" s="119">
        <f t="shared" si="9"/>
        <v>-18.3</v>
      </c>
    </row>
    <row r="51" spans="1:24">
      <c r="A51" s="117">
        <v>4</v>
      </c>
      <c r="B51" s="272"/>
      <c r="C51" s="272"/>
      <c r="D51" s="119">
        <f t="shared" si="7"/>
        <v>-18.3</v>
      </c>
      <c r="E51" s="117">
        <v>4</v>
      </c>
      <c r="F51" s="272"/>
      <c r="G51" s="272"/>
      <c r="H51" s="119">
        <f t="shared" si="8"/>
        <v>-18.3</v>
      </c>
      <c r="I51" s="117">
        <v>4</v>
      </c>
      <c r="J51" s="272"/>
      <c r="K51" s="272"/>
      <c r="L51" s="119">
        <f t="shared" si="10"/>
        <v>-18.3</v>
      </c>
      <c r="M51" s="117">
        <v>4</v>
      </c>
      <c r="N51" s="272"/>
      <c r="O51" s="272"/>
      <c r="P51" s="119">
        <f t="shared" si="11"/>
        <v>-18.3</v>
      </c>
      <c r="Q51" s="117">
        <v>4</v>
      </c>
      <c r="R51" s="272"/>
      <c r="S51" s="272"/>
      <c r="T51" s="119">
        <f t="shared" si="12"/>
        <v>-18.3</v>
      </c>
      <c r="U51" s="117">
        <v>4</v>
      </c>
      <c r="V51" s="272"/>
      <c r="W51" s="272"/>
      <c r="X51" s="119">
        <f t="shared" si="9"/>
        <v>-18.3</v>
      </c>
    </row>
    <row r="52" spans="1:24">
      <c r="A52" s="117">
        <v>5</v>
      </c>
      <c r="B52" s="272"/>
      <c r="C52" s="272"/>
      <c r="D52" s="119">
        <f t="shared" si="7"/>
        <v>-18.3</v>
      </c>
      <c r="E52" s="117">
        <v>5</v>
      </c>
      <c r="F52" s="272"/>
      <c r="G52" s="272"/>
      <c r="H52" s="119">
        <f t="shared" si="8"/>
        <v>-18.3</v>
      </c>
      <c r="I52" s="117">
        <v>5</v>
      </c>
      <c r="J52" s="272"/>
      <c r="K52" s="272"/>
      <c r="L52" s="119">
        <f t="shared" si="10"/>
        <v>-18.3</v>
      </c>
      <c r="M52" s="117">
        <v>5</v>
      </c>
      <c r="N52" s="272"/>
      <c r="O52" s="272"/>
      <c r="P52" s="119">
        <f t="shared" si="11"/>
        <v>-18.3</v>
      </c>
      <c r="Q52" s="117">
        <v>5</v>
      </c>
      <c r="R52" s="272"/>
      <c r="S52" s="272"/>
      <c r="T52" s="119">
        <f t="shared" si="12"/>
        <v>-18.3</v>
      </c>
      <c r="U52" s="117">
        <v>5</v>
      </c>
      <c r="V52" s="272"/>
      <c r="W52" s="272"/>
      <c r="X52" s="119">
        <f t="shared" si="9"/>
        <v>-18.3</v>
      </c>
    </row>
    <row r="53" spans="1:24">
      <c r="A53" s="117">
        <v>6</v>
      </c>
      <c r="B53" s="272"/>
      <c r="C53" s="272"/>
      <c r="D53" s="119">
        <f t="shared" si="7"/>
        <v>-18.3</v>
      </c>
      <c r="E53" s="117">
        <v>6</v>
      </c>
      <c r="F53" s="272"/>
      <c r="G53" s="272"/>
      <c r="H53" s="119">
        <f t="shared" si="8"/>
        <v>-18.3</v>
      </c>
      <c r="I53" s="117">
        <v>6</v>
      </c>
      <c r="J53" s="272"/>
      <c r="K53" s="272"/>
      <c r="L53" s="119">
        <f t="shared" si="10"/>
        <v>-18.3</v>
      </c>
      <c r="M53" s="117">
        <v>6</v>
      </c>
      <c r="N53" s="272"/>
      <c r="O53" s="272"/>
      <c r="P53" s="119">
        <f t="shared" si="11"/>
        <v>-18.3</v>
      </c>
      <c r="Q53" s="117">
        <v>6</v>
      </c>
      <c r="R53" s="272"/>
      <c r="S53" s="272"/>
      <c r="T53" s="119">
        <f t="shared" si="12"/>
        <v>-18.3</v>
      </c>
      <c r="U53" s="117">
        <v>6</v>
      </c>
      <c r="V53" s="272"/>
      <c r="W53" s="272"/>
      <c r="X53" s="119">
        <f t="shared" si="9"/>
        <v>-18.3</v>
      </c>
    </row>
    <row r="54" spans="1:24">
      <c r="A54" s="117">
        <v>7</v>
      </c>
      <c r="B54" s="272"/>
      <c r="C54" s="272"/>
      <c r="D54" s="119">
        <f t="shared" si="7"/>
        <v>-18.3</v>
      </c>
      <c r="E54" s="117">
        <v>7</v>
      </c>
      <c r="F54" s="272"/>
      <c r="G54" s="272"/>
      <c r="H54" s="119">
        <f t="shared" si="8"/>
        <v>-18.3</v>
      </c>
      <c r="I54" s="117">
        <v>7</v>
      </c>
      <c r="J54" s="272"/>
      <c r="K54" s="272"/>
      <c r="L54" s="119">
        <f t="shared" si="10"/>
        <v>-18.3</v>
      </c>
      <c r="M54" s="117">
        <v>7</v>
      </c>
      <c r="N54" s="272"/>
      <c r="O54" s="272"/>
      <c r="P54" s="119">
        <f t="shared" si="11"/>
        <v>-18.3</v>
      </c>
      <c r="Q54" s="117">
        <v>7</v>
      </c>
      <c r="R54" s="272"/>
      <c r="S54" s="272"/>
      <c r="T54" s="119">
        <f t="shared" si="12"/>
        <v>-18.3</v>
      </c>
      <c r="U54" s="117">
        <v>7</v>
      </c>
      <c r="V54" s="272"/>
      <c r="W54" s="272"/>
      <c r="X54" s="119">
        <f t="shared" si="9"/>
        <v>-18.3</v>
      </c>
    </row>
    <row r="55" spans="1:24">
      <c r="A55" s="117">
        <v>8</v>
      </c>
      <c r="B55" s="272"/>
      <c r="C55" s="272"/>
      <c r="D55" s="119">
        <f t="shared" si="7"/>
        <v>-18.3</v>
      </c>
      <c r="E55" s="117">
        <v>8</v>
      </c>
      <c r="F55" s="272"/>
      <c r="G55" s="272"/>
      <c r="H55" s="119">
        <f t="shared" si="8"/>
        <v>-18.3</v>
      </c>
      <c r="I55" s="117">
        <v>8</v>
      </c>
      <c r="J55" s="272"/>
      <c r="K55" s="272"/>
      <c r="L55" s="119">
        <f t="shared" si="10"/>
        <v>-18.3</v>
      </c>
      <c r="M55" s="117">
        <v>8</v>
      </c>
      <c r="N55" s="272"/>
      <c r="O55" s="272"/>
      <c r="P55" s="119">
        <f t="shared" si="11"/>
        <v>-18.3</v>
      </c>
      <c r="Q55" s="117">
        <v>8</v>
      </c>
      <c r="R55" s="272"/>
      <c r="S55" s="272"/>
      <c r="T55" s="119">
        <f t="shared" si="12"/>
        <v>-18.3</v>
      </c>
      <c r="U55" s="117">
        <v>8</v>
      </c>
      <c r="V55" s="272"/>
      <c r="W55" s="272"/>
      <c r="X55" s="119">
        <f t="shared" si="9"/>
        <v>-18.3</v>
      </c>
    </row>
    <row r="56" spans="1:24">
      <c r="A56" s="117">
        <v>9</v>
      </c>
      <c r="B56" s="272"/>
      <c r="C56" s="272"/>
      <c r="D56" s="119">
        <f t="shared" si="7"/>
        <v>-18.3</v>
      </c>
      <c r="E56" s="117">
        <v>9</v>
      </c>
      <c r="F56" s="272"/>
      <c r="G56" s="272"/>
      <c r="H56" s="119">
        <f t="shared" si="8"/>
        <v>-18.3</v>
      </c>
      <c r="I56" s="117">
        <v>9</v>
      </c>
      <c r="J56" s="272"/>
      <c r="K56" s="272"/>
      <c r="L56" s="119">
        <f t="shared" si="10"/>
        <v>-18.3</v>
      </c>
      <c r="M56" s="117">
        <v>9</v>
      </c>
      <c r="N56" s="272"/>
      <c r="O56" s="272"/>
      <c r="P56" s="119">
        <f t="shared" si="11"/>
        <v>-18.3</v>
      </c>
      <c r="Q56" s="117">
        <v>9</v>
      </c>
      <c r="R56" s="272"/>
      <c r="S56" s="272"/>
      <c r="T56" s="119">
        <f t="shared" si="12"/>
        <v>-18.3</v>
      </c>
      <c r="U56" s="117">
        <v>9</v>
      </c>
      <c r="V56" s="272"/>
      <c r="W56" s="272"/>
      <c r="X56" s="119">
        <f t="shared" si="9"/>
        <v>-18.3</v>
      </c>
    </row>
    <row r="57" spans="1:24">
      <c r="A57" s="117">
        <v>10</v>
      </c>
      <c r="B57" s="272"/>
      <c r="C57" s="272"/>
      <c r="D57" s="119">
        <f t="shared" ref="D57:D78" si="13">(B57+C57)/2-18.3</f>
        <v>-18.3</v>
      </c>
      <c r="E57" s="117">
        <v>10</v>
      </c>
      <c r="F57" s="272"/>
      <c r="G57" s="272"/>
      <c r="H57" s="119">
        <f t="shared" si="8"/>
        <v>-18.3</v>
      </c>
      <c r="I57" s="117">
        <v>10</v>
      </c>
      <c r="J57" s="272"/>
      <c r="K57" s="272"/>
      <c r="L57" s="119">
        <f t="shared" si="10"/>
        <v>-18.3</v>
      </c>
      <c r="M57" s="117">
        <v>10</v>
      </c>
      <c r="N57" s="272"/>
      <c r="O57" s="272"/>
      <c r="P57" s="119">
        <f t="shared" si="11"/>
        <v>-18.3</v>
      </c>
      <c r="Q57" s="117">
        <v>10</v>
      </c>
      <c r="R57" s="272"/>
      <c r="S57" s="272"/>
      <c r="T57" s="119">
        <f t="shared" si="12"/>
        <v>-18.3</v>
      </c>
      <c r="U57" s="117">
        <v>10</v>
      </c>
      <c r="V57" s="272"/>
      <c r="W57" s="272"/>
      <c r="X57" s="119">
        <f t="shared" si="9"/>
        <v>-18.3</v>
      </c>
    </row>
    <row r="58" spans="1:24">
      <c r="A58" s="117">
        <v>11</v>
      </c>
      <c r="B58" s="272"/>
      <c r="C58" s="272"/>
      <c r="D58" s="119">
        <f t="shared" si="13"/>
        <v>-18.3</v>
      </c>
      <c r="E58" s="117">
        <v>11</v>
      </c>
      <c r="F58" s="272"/>
      <c r="G58" s="272"/>
      <c r="H58" s="119">
        <f t="shared" si="8"/>
        <v>-18.3</v>
      </c>
      <c r="I58" s="117">
        <v>11</v>
      </c>
      <c r="J58" s="272"/>
      <c r="K58" s="272"/>
      <c r="L58" s="119">
        <f t="shared" si="10"/>
        <v>-18.3</v>
      </c>
      <c r="M58" s="117">
        <v>11</v>
      </c>
      <c r="N58" s="272"/>
      <c r="O58" s="272"/>
      <c r="P58" s="119">
        <f t="shared" si="11"/>
        <v>-18.3</v>
      </c>
      <c r="Q58" s="117">
        <v>11</v>
      </c>
      <c r="R58" s="272"/>
      <c r="S58" s="272"/>
      <c r="T58" s="119">
        <f t="shared" si="12"/>
        <v>-18.3</v>
      </c>
      <c r="U58" s="117">
        <v>11</v>
      </c>
      <c r="V58" s="272"/>
      <c r="W58" s="272"/>
      <c r="X58" s="119">
        <f t="shared" si="9"/>
        <v>-18.3</v>
      </c>
    </row>
    <row r="59" spans="1:24">
      <c r="A59" s="117">
        <v>12</v>
      </c>
      <c r="B59" s="272"/>
      <c r="C59" s="272"/>
      <c r="D59" s="119">
        <f t="shared" si="13"/>
        <v>-18.3</v>
      </c>
      <c r="E59" s="117">
        <v>12</v>
      </c>
      <c r="F59" s="272"/>
      <c r="G59" s="272"/>
      <c r="H59" s="119">
        <f t="shared" si="8"/>
        <v>-18.3</v>
      </c>
      <c r="I59" s="117">
        <v>12</v>
      </c>
      <c r="J59" s="272"/>
      <c r="K59" s="272"/>
      <c r="L59" s="119">
        <f t="shared" si="10"/>
        <v>-18.3</v>
      </c>
      <c r="M59" s="117">
        <v>12</v>
      </c>
      <c r="N59" s="272"/>
      <c r="O59" s="272"/>
      <c r="P59" s="119">
        <f t="shared" si="11"/>
        <v>-18.3</v>
      </c>
      <c r="Q59" s="117">
        <v>12</v>
      </c>
      <c r="R59" s="272"/>
      <c r="S59" s="272"/>
      <c r="T59" s="119">
        <f t="shared" si="12"/>
        <v>-18.3</v>
      </c>
      <c r="U59" s="117">
        <v>12</v>
      </c>
      <c r="V59" s="272"/>
      <c r="W59" s="272"/>
      <c r="X59" s="119">
        <f t="shared" si="9"/>
        <v>-18.3</v>
      </c>
    </row>
    <row r="60" spans="1:24">
      <c r="A60" s="117">
        <v>13</v>
      </c>
      <c r="B60" s="272"/>
      <c r="C60" s="272"/>
      <c r="D60" s="119">
        <f t="shared" si="13"/>
        <v>-18.3</v>
      </c>
      <c r="E60" s="117">
        <v>13</v>
      </c>
      <c r="F60" s="272"/>
      <c r="G60" s="272"/>
      <c r="H60" s="119">
        <f t="shared" si="8"/>
        <v>-18.3</v>
      </c>
      <c r="I60" s="117">
        <v>13</v>
      </c>
      <c r="J60" s="272"/>
      <c r="K60" s="272"/>
      <c r="L60" s="119">
        <f t="shared" si="10"/>
        <v>-18.3</v>
      </c>
      <c r="M60" s="117">
        <v>13</v>
      </c>
      <c r="N60" s="272"/>
      <c r="O60" s="272"/>
      <c r="P60" s="119">
        <f t="shared" si="11"/>
        <v>-18.3</v>
      </c>
      <c r="Q60" s="117">
        <v>13</v>
      </c>
      <c r="R60" s="272"/>
      <c r="S60" s="272"/>
      <c r="T60" s="119">
        <f t="shared" si="12"/>
        <v>-18.3</v>
      </c>
      <c r="U60" s="117">
        <v>13</v>
      </c>
      <c r="V60" s="272"/>
      <c r="W60" s="272"/>
      <c r="X60" s="119">
        <f t="shared" si="9"/>
        <v>-18.3</v>
      </c>
    </row>
    <row r="61" spans="1:24">
      <c r="A61" s="117">
        <v>14</v>
      </c>
      <c r="B61" s="272"/>
      <c r="C61" s="272"/>
      <c r="D61" s="119">
        <f t="shared" si="13"/>
        <v>-18.3</v>
      </c>
      <c r="E61" s="117">
        <v>14</v>
      </c>
      <c r="F61" s="272"/>
      <c r="G61" s="272"/>
      <c r="H61" s="119">
        <f t="shared" si="8"/>
        <v>-18.3</v>
      </c>
      <c r="I61" s="117">
        <v>14</v>
      </c>
      <c r="J61" s="272"/>
      <c r="K61" s="272"/>
      <c r="L61" s="119">
        <f t="shared" si="10"/>
        <v>-18.3</v>
      </c>
      <c r="M61" s="117">
        <v>14</v>
      </c>
      <c r="N61" s="272"/>
      <c r="O61" s="272"/>
      <c r="P61" s="119">
        <f t="shared" si="11"/>
        <v>-18.3</v>
      </c>
      <c r="Q61" s="117">
        <v>14</v>
      </c>
      <c r="R61" s="272"/>
      <c r="S61" s="272"/>
      <c r="T61" s="119">
        <f t="shared" si="12"/>
        <v>-18.3</v>
      </c>
      <c r="U61" s="117">
        <v>14</v>
      </c>
      <c r="V61" s="272"/>
      <c r="W61" s="272"/>
      <c r="X61" s="119">
        <f t="shared" si="9"/>
        <v>-18.3</v>
      </c>
    </row>
    <row r="62" spans="1:24">
      <c r="A62" s="117">
        <v>15</v>
      </c>
      <c r="B62" s="272"/>
      <c r="C62" s="272"/>
      <c r="D62" s="119">
        <f t="shared" si="13"/>
        <v>-18.3</v>
      </c>
      <c r="E62" s="117">
        <v>15</v>
      </c>
      <c r="F62" s="272"/>
      <c r="G62" s="272"/>
      <c r="H62" s="119">
        <f t="shared" si="8"/>
        <v>-18.3</v>
      </c>
      <c r="I62" s="117">
        <v>15</v>
      </c>
      <c r="J62" s="272"/>
      <c r="K62" s="272"/>
      <c r="L62" s="119">
        <f t="shared" si="10"/>
        <v>-18.3</v>
      </c>
      <c r="M62" s="117">
        <v>15</v>
      </c>
      <c r="N62" s="272"/>
      <c r="O62" s="272"/>
      <c r="P62" s="119">
        <f t="shared" si="11"/>
        <v>-18.3</v>
      </c>
      <c r="Q62" s="117">
        <v>15</v>
      </c>
      <c r="R62" s="272"/>
      <c r="S62" s="272"/>
      <c r="T62" s="119">
        <f t="shared" si="12"/>
        <v>-18.3</v>
      </c>
      <c r="U62" s="117">
        <v>15</v>
      </c>
      <c r="V62" s="272"/>
      <c r="W62" s="272"/>
      <c r="X62" s="119">
        <f t="shared" si="9"/>
        <v>-18.3</v>
      </c>
    </row>
    <row r="63" spans="1:24">
      <c r="A63" s="117">
        <v>16</v>
      </c>
      <c r="B63" s="272"/>
      <c r="C63" s="272"/>
      <c r="D63" s="119">
        <f t="shared" si="13"/>
        <v>-18.3</v>
      </c>
      <c r="E63" s="117">
        <v>16</v>
      </c>
      <c r="F63" s="272"/>
      <c r="G63" s="272"/>
      <c r="H63" s="119">
        <f t="shared" si="8"/>
        <v>-18.3</v>
      </c>
      <c r="I63" s="117">
        <v>16</v>
      </c>
      <c r="J63" s="272"/>
      <c r="K63" s="272"/>
      <c r="L63" s="119">
        <f t="shared" si="10"/>
        <v>-18.3</v>
      </c>
      <c r="M63" s="117">
        <v>16</v>
      </c>
      <c r="N63" s="272"/>
      <c r="O63" s="272"/>
      <c r="P63" s="119">
        <f t="shared" si="11"/>
        <v>-18.3</v>
      </c>
      <c r="Q63" s="117">
        <v>16</v>
      </c>
      <c r="R63" s="272"/>
      <c r="S63" s="272"/>
      <c r="T63" s="119">
        <f t="shared" si="12"/>
        <v>-18.3</v>
      </c>
      <c r="U63" s="117">
        <v>16</v>
      </c>
      <c r="V63" s="272"/>
      <c r="W63" s="272"/>
      <c r="X63" s="119">
        <f t="shared" si="9"/>
        <v>-18.3</v>
      </c>
    </row>
    <row r="64" spans="1:24">
      <c r="A64" s="117">
        <v>17</v>
      </c>
      <c r="B64" s="272"/>
      <c r="C64" s="272"/>
      <c r="D64" s="119">
        <f t="shared" si="13"/>
        <v>-18.3</v>
      </c>
      <c r="E64" s="117">
        <v>17</v>
      </c>
      <c r="F64" s="272"/>
      <c r="G64" s="272"/>
      <c r="H64" s="119">
        <f t="shared" si="8"/>
        <v>-18.3</v>
      </c>
      <c r="I64" s="117">
        <v>17</v>
      </c>
      <c r="J64" s="272"/>
      <c r="K64" s="272"/>
      <c r="L64" s="119">
        <f t="shared" si="10"/>
        <v>-18.3</v>
      </c>
      <c r="M64" s="117">
        <v>17</v>
      </c>
      <c r="N64" s="272"/>
      <c r="O64" s="272"/>
      <c r="P64" s="119">
        <f t="shared" si="11"/>
        <v>-18.3</v>
      </c>
      <c r="Q64" s="117">
        <v>17</v>
      </c>
      <c r="R64" s="272"/>
      <c r="S64" s="272"/>
      <c r="T64" s="119">
        <f t="shared" si="12"/>
        <v>-18.3</v>
      </c>
      <c r="U64" s="117">
        <v>17</v>
      </c>
      <c r="V64" s="272"/>
      <c r="W64" s="272"/>
      <c r="X64" s="119">
        <f t="shared" si="9"/>
        <v>-18.3</v>
      </c>
    </row>
    <row r="65" spans="1:24">
      <c r="A65" s="117">
        <v>18</v>
      </c>
      <c r="B65" s="272"/>
      <c r="C65" s="272"/>
      <c r="D65" s="119">
        <f t="shared" si="13"/>
        <v>-18.3</v>
      </c>
      <c r="E65" s="117">
        <v>18</v>
      </c>
      <c r="F65" s="272"/>
      <c r="G65" s="272"/>
      <c r="H65" s="119">
        <f t="shared" si="8"/>
        <v>-18.3</v>
      </c>
      <c r="I65" s="117">
        <v>18</v>
      </c>
      <c r="J65" s="272"/>
      <c r="K65" s="272"/>
      <c r="L65" s="119">
        <f t="shared" si="10"/>
        <v>-18.3</v>
      </c>
      <c r="M65" s="117">
        <v>18</v>
      </c>
      <c r="N65" s="272"/>
      <c r="O65" s="272"/>
      <c r="P65" s="119">
        <f t="shared" si="11"/>
        <v>-18.3</v>
      </c>
      <c r="Q65" s="117">
        <v>18</v>
      </c>
      <c r="R65" s="272"/>
      <c r="S65" s="272"/>
      <c r="T65" s="119">
        <f t="shared" si="12"/>
        <v>-18.3</v>
      </c>
      <c r="U65" s="117">
        <v>18</v>
      </c>
      <c r="V65" s="272"/>
      <c r="W65" s="272"/>
      <c r="X65" s="119">
        <f t="shared" si="9"/>
        <v>-18.3</v>
      </c>
    </row>
    <row r="66" spans="1:24">
      <c r="A66" s="117">
        <v>19</v>
      </c>
      <c r="B66" s="272"/>
      <c r="C66" s="272"/>
      <c r="D66" s="119">
        <f t="shared" si="13"/>
        <v>-18.3</v>
      </c>
      <c r="E66" s="117">
        <v>19</v>
      </c>
      <c r="F66" s="272"/>
      <c r="G66" s="272"/>
      <c r="H66" s="119">
        <f t="shared" si="8"/>
        <v>-18.3</v>
      </c>
      <c r="I66" s="117">
        <v>19</v>
      </c>
      <c r="J66" s="272"/>
      <c r="K66" s="272"/>
      <c r="L66" s="119">
        <f t="shared" si="10"/>
        <v>-18.3</v>
      </c>
      <c r="M66" s="117">
        <v>19</v>
      </c>
      <c r="N66" s="272"/>
      <c r="O66" s="272"/>
      <c r="P66" s="119">
        <f t="shared" si="11"/>
        <v>-18.3</v>
      </c>
      <c r="Q66" s="117">
        <v>19</v>
      </c>
      <c r="R66" s="272"/>
      <c r="S66" s="272"/>
      <c r="T66" s="119">
        <f t="shared" si="12"/>
        <v>-18.3</v>
      </c>
      <c r="U66" s="117">
        <v>19</v>
      </c>
      <c r="V66" s="272"/>
      <c r="W66" s="272"/>
      <c r="X66" s="119">
        <f t="shared" si="9"/>
        <v>-18.3</v>
      </c>
    </row>
    <row r="67" spans="1:24">
      <c r="A67" s="117">
        <v>20</v>
      </c>
      <c r="B67" s="272"/>
      <c r="C67" s="272"/>
      <c r="D67" s="119">
        <f t="shared" si="13"/>
        <v>-18.3</v>
      </c>
      <c r="E67" s="117">
        <v>20</v>
      </c>
      <c r="F67" s="272"/>
      <c r="G67" s="272"/>
      <c r="H67" s="119">
        <f t="shared" si="8"/>
        <v>-18.3</v>
      </c>
      <c r="I67" s="117">
        <v>20</v>
      </c>
      <c r="J67" s="272"/>
      <c r="K67" s="272"/>
      <c r="L67" s="119">
        <f t="shared" si="10"/>
        <v>-18.3</v>
      </c>
      <c r="M67" s="117">
        <v>20</v>
      </c>
      <c r="N67" s="272"/>
      <c r="O67" s="272"/>
      <c r="P67" s="119">
        <f t="shared" si="11"/>
        <v>-18.3</v>
      </c>
      <c r="Q67" s="117">
        <v>20</v>
      </c>
      <c r="R67" s="272"/>
      <c r="S67" s="272"/>
      <c r="T67" s="119">
        <f t="shared" si="12"/>
        <v>-18.3</v>
      </c>
      <c r="U67" s="117">
        <v>20</v>
      </c>
      <c r="V67" s="272"/>
      <c r="W67" s="272"/>
      <c r="X67" s="119">
        <f t="shared" si="9"/>
        <v>-18.3</v>
      </c>
    </row>
    <row r="68" spans="1:24">
      <c r="A68" s="117">
        <v>21</v>
      </c>
      <c r="B68" s="272"/>
      <c r="C68" s="272"/>
      <c r="D68" s="119">
        <f t="shared" si="13"/>
        <v>-18.3</v>
      </c>
      <c r="E68" s="117">
        <v>21</v>
      </c>
      <c r="F68" s="272"/>
      <c r="G68" s="272"/>
      <c r="H68" s="119">
        <f t="shared" si="8"/>
        <v>-18.3</v>
      </c>
      <c r="I68" s="117">
        <v>21</v>
      </c>
      <c r="J68" s="272"/>
      <c r="K68" s="272"/>
      <c r="L68" s="119">
        <f t="shared" si="10"/>
        <v>-18.3</v>
      </c>
      <c r="M68" s="117">
        <v>21</v>
      </c>
      <c r="N68" s="272"/>
      <c r="O68" s="272"/>
      <c r="P68" s="119">
        <f t="shared" si="11"/>
        <v>-18.3</v>
      </c>
      <c r="Q68" s="117">
        <v>21</v>
      </c>
      <c r="R68" s="272"/>
      <c r="S68" s="272"/>
      <c r="T68" s="119">
        <f t="shared" si="12"/>
        <v>-18.3</v>
      </c>
      <c r="U68" s="117">
        <v>21</v>
      </c>
      <c r="V68" s="272"/>
      <c r="W68" s="272"/>
      <c r="X68" s="119">
        <f t="shared" si="9"/>
        <v>-18.3</v>
      </c>
    </row>
    <row r="69" spans="1:24">
      <c r="A69" s="117">
        <v>22</v>
      </c>
      <c r="B69" s="272"/>
      <c r="C69" s="272"/>
      <c r="D69" s="119">
        <f t="shared" si="13"/>
        <v>-18.3</v>
      </c>
      <c r="E69" s="117">
        <v>22</v>
      </c>
      <c r="F69" s="272"/>
      <c r="G69" s="272"/>
      <c r="H69" s="119">
        <f t="shared" si="8"/>
        <v>-18.3</v>
      </c>
      <c r="I69" s="117">
        <v>22</v>
      </c>
      <c r="J69" s="272"/>
      <c r="K69" s="272"/>
      <c r="L69" s="119">
        <f t="shared" si="10"/>
        <v>-18.3</v>
      </c>
      <c r="M69" s="117">
        <v>22</v>
      </c>
      <c r="N69" s="272"/>
      <c r="O69" s="272"/>
      <c r="P69" s="119">
        <f t="shared" si="11"/>
        <v>-18.3</v>
      </c>
      <c r="Q69" s="117">
        <v>22</v>
      </c>
      <c r="R69" s="272"/>
      <c r="S69" s="272"/>
      <c r="T69" s="119">
        <f>(R69+S69)/2-18.3</f>
        <v>-18.3</v>
      </c>
      <c r="U69" s="117">
        <v>22</v>
      </c>
      <c r="V69" s="272"/>
      <c r="W69" s="272"/>
      <c r="X69" s="119">
        <f t="shared" si="9"/>
        <v>-18.3</v>
      </c>
    </row>
    <row r="70" spans="1:24">
      <c r="A70" s="117">
        <v>23</v>
      </c>
      <c r="B70" s="272"/>
      <c r="C70" s="272"/>
      <c r="D70" s="119">
        <f t="shared" si="13"/>
        <v>-18.3</v>
      </c>
      <c r="E70" s="117">
        <v>23</v>
      </c>
      <c r="F70" s="272"/>
      <c r="G70" s="272"/>
      <c r="H70" s="119">
        <f t="shared" si="8"/>
        <v>-18.3</v>
      </c>
      <c r="I70" s="117">
        <v>23</v>
      </c>
      <c r="J70" s="272"/>
      <c r="K70" s="272"/>
      <c r="L70" s="119">
        <f t="shared" si="10"/>
        <v>-18.3</v>
      </c>
      <c r="M70" s="117">
        <v>23</v>
      </c>
      <c r="N70" s="272"/>
      <c r="O70" s="272"/>
      <c r="P70" s="119">
        <f t="shared" si="11"/>
        <v>-18.3</v>
      </c>
      <c r="Q70" s="117">
        <v>23</v>
      </c>
      <c r="R70" s="272"/>
      <c r="S70" s="272"/>
      <c r="T70" s="119">
        <f t="shared" si="12"/>
        <v>-18.3</v>
      </c>
      <c r="U70" s="117">
        <v>23</v>
      </c>
      <c r="V70" s="272"/>
      <c r="W70" s="272"/>
      <c r="X70" s="119">
        <f t="shared" si="9"/>
        <v>-18.3</v>
      </c>
    </row>
    <row r="71" spans="1:24">
      <c r="A71" s="117">
        <v>24</v>
      </c>
      <c r="B71" s="272"/>
      <c r="C71" s="272"/>
      <c r="D71" s="119">
        <f t="shared" si="13"/>
        <v>-18.3</v>
      </c>
      <c r="E71" s="117">
        <v>24</v>
      </c>
      <c r="F71" s="272"/>
      <c r="G71" s="272"/>
      <c r="H71" s="119">
        <f t="shared" si="8"/>
        <v>-18.3</v>
      </c>
      <c r="I71" s="117">
        <v>24</v>
      </c>
      <c r="J71" s="272"/>
      <c r="K71" s="272"/>
      <c r="L71" s="119">
        <f t="shared" si="10"/>
        <v>-18.3</v>
      </c>
      <c r="M71" s="117">
        <v>24</v>
      </c>
      <c r="N71" s="272"/>
      <c r="O71" s="272"/>
      <c r="P71" s="119">
        <f t="shared" si="11"/>
        <v>-18.3</v>
      </c>
      <c r="Q71" s="117">
        <v>24</v>
      </c>
      <c r="R71" s="272"/>
      <c r="S71" s="272"/>
      <c r="T71" s="119">
        <f t="shared" si="12"/>
        <v>-18.3</v>
      </c>
      <c r="U71" s="117">
        <v>24</v>
      </c>
      <c r="V71" s="272"/>
      <c r="W71" s="272"/>
      <c r="X71" s="119">
        <f t="shared" si="9"/>
        <v>-18.3</v>
      </c>
    </row>
    <row r="72" spans="1:24">
      <c r="A72" s="117">
        <v>25</v>
      </c>
      <c r="B72" s="272"/>
      <c r="C72" s="272"/>
      <c r="D72" s="119">
        <f t="shared" si="13"/>
        <v>-18.3</v>
      </c>
      <c r="E72" s="117">
        <v>25</v>
      </c>
      <c r="F72" s="272"/>
      <c r="G72" s="272"/>
      <c r="H72" s="119">
        <f t="shared" si="8"/>
        <v>-18.3</v>
      </c>
      <c r="I72" s="117">
        <v>25</v>
      </c>
      <c r="J72" s="272"/>
      <c r="K72" s="272"/>
      <c r="L72" s="119">
        <f t="shared" si="10"/>
        <v>-18.3</v>
      </c>
      <c r="M72" s="117">
        <v>25</v>
      </c>
      <c r="N72" s="272"/>
      <c r="O72" s="272"/>
      <c r="P72" s="119">
        <f t="shared" si="11"/>
        <v>-18.3</v>
      </c>
      <c r="Q72" s="117">
        <v>25</v>
      </c>
      <c r="R72" s="272"/>
      <c r="S72" s="272"/>
      <c r="T72" s="119">
        <f t="shared" si="12"/>
        <v>-18.3</v>
      </c>
      <c r="U72" s="117">
        <v>25</v>
      </c>
      <c r="V72" s="272"/>
      <c r="W72" s="272"/>
      <c r="X72" s="119">
        <f t="shared" si="9"/>
        <v>-18.3</v>
      </c>
    </row>
    <row r="73" spans="1:24">
      <c r="A73" s="117">
        <v>26</v>
      </c>
      <c r="B73" s="272"/>
      <c r="C73" s="272"/>
      <c r="D73" s="119">
        <f t="shared" si="13"/>
        <v>-18.3</v>
      </c>
      <c r="E73" s="117">
        <v>26</v>
      </c>
      <c r="F73" s="272"/>
      <c r="G73" s="272"/>
      <c r="H73" s="119">
        <f t="shared" si="8"/>
        <v>-18.3</v>
      </c>
      <c r="I73" s="117">
        <v>26</v>
      </c>
      <c r="J73" s="272"/>
      <c r="K73" s="272"/>
      <c r="L73" s="119">
        <f t="shared" si="10"/>
        <v>-18.3</v>
      </c>
      <c r="M73" s="117">
        <v>26</v>
      </c>
      <c r="N73" s="272"/>
      <c r="O73" s="272"/>
      <c r="P73" s="119">
        <f t="shared" si="11"/>
        <v>-18.3</v>
      </c>
      <c r="Q73" s="117">
        <v>26</v>
      </c>
      <c r="R73" s="272"/>
      <c r="S73" s="272"/>
      <c r="T73" s="119">
        <f t="shared" si="12"/>
        <v>-18.3</v>
      </c>
      <c r="U73" s="117">
        <v>26</v>
      </c>
      <c r="V73" s="272"/>
      <c r="W73" s="272"/>
      <c r="X73" s="119">
        <f t="shared" si="9"/>
        <v>-18.3</v>
      </c>
    </row>
    <row r="74" spans="1:24">
      <c r="A74" s="117">
        <v>27</v>
      </c>
      <c r="B74" s="272"/>
      <c r="C74" s="272"/>
      <c r="D74" s="119">
        <f t="shared" si="13"/>
        <v>-18.3</v>
      </c>
      <c r="E74" s="117">
        <v>27</v>
      </c>
      <c r="F74" s="272"/>
      <c r="G74" s="272"/>
      <c r="H74" s="119">
        <f t="shared" si="8"/>
        <v>-18.3</v>
      </c>
      <c r="I74" s="117">
        <v>27</v>
      </c>
      <c r="J74" s="272"/>
      <c r="K74" s="272"/>
      <c r="L74" s="119">
        <f t="shared" si="10"/>
        <v>-18.3</v>
      </c>
      <c r="M74" s="117">
        <v>27</v>
      </c>
      <c r="N74" s="272"/>
      <c r="O74" s="272"/>
      <c r="P74" s="119">
        <f t="shared" si="11"/>
        <v>-18.3</v>
      </c>
      <c r="Q74" s="117">
        <v>27</v>
      </c>
      <c r="R74" s="272"/>
      <c r="S74" s="272"/>
      <c r="T74" s="119">
        <f t="shared" si="12"/>
        <v>-18.3</v>
      </c>
      <c r="U74" s="117">
        <v>27</v>
      </c>
      <c r="V74" s="272"/>
      <c r="W74" s="272"/>
      <c r="X74" s="119">
        <f t="shared" si="9"/>
        <v>-18.3</v>
      </c>
    </row>
    <row r="75" spans="1:24">
      <c r="A75" s="117">
        <v>28</v>
      </c>
      <c r="B75" s="272"/>
      <c r="C75" s="272"/>
      <c r="D75" s="119">
        <f t="shared" si="13"/>
        <v>-18.3</v>
      </c>
      <c r="E75" s="117">
        <v>28</v>
      </c>
      <c r="F75" s="272"/>
      <c r="G75" s="272"/>
      <c r="H75" s="119">
        <f t="shared" si="8"/>
        <v>-18.3</v>
      </c>
      <c r="I75" s="117">
        <v>28</v>
      </c>
      <c r="J75" s="272"/>
      <c r="K75" s="272"/>
      <c r="L75" s="119">
        <f t="shared" si="10"/>
        <v>-18.3</v>
      </c>
      <c r="M75" s="117">
        <v>28</v>
      </c>
      <c r="N75" s="272"/>
      <c r="O75" s="272"/>
      <c r="P75" s="119">
        <f t="shared" si="11"/>
        <v>-18.3</v>
      </c>
      <c r="Q75" s="117">
        <v>28</v>
      </c>
      <c r="R75" s="272"/>
      <c r="S75" s="272"/>
      <c r="T75" s="119">
        <f t="shared" si="12"/>
        <v>-18.3</v>
      </c>
      <c r="U75" s="117">
        <v>28</v>
      </c>
      <c r="V75" s="272"/>
      <c r="W75" s="272"/>
      <c r="X75" s="119">
        <f t="shared" si="9"/>
        <v>-18.3</v>
      </c>
    </row>
    <row r="76" spans="1:24">
      <c r="A76" s="117">
        <v>29</v>
      </c>
      <c r="B76" s="272"/>
      <c r="C76" s="272"/>
      <c r="D76" s="119">
        <f t="shared" si="13"/>
        <v>-18.3</v>
      </c>
      <c r="E76" s="117">
        <v>29</v>
      </c>
      <c r="F76" s="272"/>
      <c r="G76" s="272"/>
      <c r="H76" s="119">
        <f t="shared" si="8"/>
        <v>-18.3</v>
      </c>
      <c r="I76" s="117">
        <v>29</v>
      </c>
      <c r="J76" s="272"/>
      <c r="K76" s="272"/>
      <c r="L76" s="119">
        <f t="shared" si="10"/>
        <v>-18.3</v>
      </c>
      <c r="M76" s="117">
        <v>29</v>
      </c>
      <c r="N76" s="272"/>
      <c r="O76" s="272"/>
      <c r="P76" s="119">
        <f t="shared" si="11"/>
        <v>-18.3</v>
      </c>
      <c r="Q76" s="117">
        <v>29</v>
      </c>
      <c r="R76" s="272"/>
      <c r="S76" s="272"/>
      <c r="T76" s="119">
        <f t="shared" si="12"/>
        <v>-18.3</v>
      </c>
      <c r="U76" s="117">
        <v>29</v>
      </c>
      <c r="V76" s="272"/>
      <c r="W76" s="272"/>
      <c r="X76" s="119">
        <f t="shared" si="9"/>
        <v>-18.3</v>
      </c>
    </row>
    <row r="77" spans="1:24">
      <c r="A77" s="117">
        <v>30</v>
      </c>
      <c r="B77" s="272"/>
      <c r="C77" s="272"/>
      <c r="D77" s="119">
        <f t="shared" si="13"/>
        <v>-18.3</v>
      </c>
      <c r="E77" s="117">
        <v>30</v>
      </c>
      <c r="F77" s="272"/>
      <c r="G77" s="272"/>
      <c r="H77" s="119">
        <f t="shared" si="8"/>
        <v>-18.3</v>
      </c>
      <c r="I77" s="117">
        <v>30</v>
      </c>
      <c r="J77" s="272"/>
      <c r="K77" s="272"/>
      <c r="L77" s="119">
        <f t="shared" si="10"/>
        <v>-18.3</v>
      </c>
      <c r="M77" s="117">
        <v>30</v>
      </c>
      <c r="N77" s="272"/>
      <c r="O77" s="272"/>
      <c r="P77" s="119">
        <f t="shared" si="11"/>
        <v>-18.3</v>
      </c>
      <c r="Q77" s="117">
        <v>30</v>
      </c>
      <c r="R77" s="272"/>
      <c r="S77" s="272"/>
      <c r="T77" s="119">
        <f t="shared" si="12"/>
        <v>-18.3</v>
      </c>
      <c r="U77" s="117">
        <v>30</v>
      </c>
      <c r="V77" s="272"/>
      <c r="W77" s="272"/>
      <c r="X77" s="119">
        <f t="shared" si="9"/>
        <v>-18.3</v>
      </c>
    </row>
    <row r="78" spans="1:24">
      <c r="A78" s="120">
        <v>31</v>
      </c>
      <c r="B78" s="272"/>
      <c r="C78" s="272"/>
      <c r="D78" s="119">
        <f t="shared" si="13"/>
        <v>-18.3</v>
      </c>
      <c r="E78" s="120">
        <v>31</v>
      </c>
      <c r="F78" s="272"/>
      <c r="G78" s="272"/>
      <c r="H78" s="119">
        <f t="shared" si="8"/>
        <v>-18.3</v>
      </c>
      <c r="I78" s="120"/>
      <c r="J78" s="272"/>
      <c r="K78" s="272"/>
      <c r="L78" s="122"/>
      <c r="M78" s="120">
        <v>31</v>
      </c>
      <c r="N78" s="272"/>
      <c r="O78" s="272"/>
      <c r="P78" s="122">
        <f t="shared" si="11"/>
        <v>-18.3</v>
      </c>
      <c r="Q78" s="120"/>
      <c r="R78" s="272"/>
      <c r="S78" s="272"/>
      <c r="T78" s="122"/>
      <c r="U78" s="120">
        <v>31</v>
      </c>
      <c r="V78" s="272"/>
      <c r="W78" s="272"/>
      <c r="X78" s="119">
        <f t="shared" si="9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9" t="s">
        <v>174</v>
      </c>
      <c r="O84" s="719" t="s">
        <v>175</v>
      </c>
      <c r="P84" s="134"/>
      <c r="T84" s="134"/>
      <c r="X84" s="134"/>
    </row>
    <row r="85" spans="1:24" ht="20.25" thickBot="1">
      <c r="D85" s="134"/>
      <c r="I85" s="721" t="s">
        <v>182</v>
      </c>
      <c r="J85" s="722"/>
      <c r="K85" s="722"/>
      <c r="L85" s="722"/>
      <c r="N85" s="720"/>
      <c r="O85" s="720"/>
      <c r="P85" s="134"/>
      <c r="R85" s="17"/>
      <c r="S85" s="17"/>
      <c r="T85" s="140"/>
      <c r="U85" s="141"/>
      <c r="X85" s="134"/>
    </row>
    <row r="86" spans="1:24" ht="18.75" thickBot="1">
      <c r="D86" s="134"/>
      <c r="I86" s="723" t="s">
        <v>183</v>
      </c>
      <c r="J86" s="723"/>
      <c r="K86" s="723"/>
      <c r="L86" s="723"/>
      <c r="N86" s="142">
        <f>B43+F43+J43+N43+R43+V43+B81+F81+J81+N81+R81+V81</f>
        <v>-5129.8000000000011</v>
      </c>
      <c r="O86" s="142">
        <f>C43+G43+K43+O43+S43+W43+C81+G81+K81+O81+S81+W81</f>
        <v>20.799999999999986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13"/>
      <c r="C88" s="713"/>
      <c r="D88" s="713"/>
      <c r="E88" s="713"/>
      <c r="F88" s="713"/>
      <c r="G88" s="713"/>
      <c r="H88" s="713"/>
      <c r="I88" s="713"/>
      <c r="J88" s="713"/>
      <c r="K88" s="713"/>
      <c r="L88" s="713"/>
      <c r="M88" s="713"/>
      <c r="N88" s="713"/>
      <c r="O88" s="713"/>
      <c r="P88" s="713"/>
      <c r="Q88" s="713"/>
      <c r="R88" s="713"/>
      <c r="S88" s="713"/>
      <c r="T88" s="713"/>
      <c r="U88" s="713"/>
      <c r="V88" s="713"/>
      <c r="W88" s="713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workbookViewId="0">
      <pane xSplit="1" topLeftCell="B1" activePane="topRight" state="frozen"/>
      <selection pane="topRight" activeCell="D5" sqref="D5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4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24" t="s">
        <v>216</v>
      </c>
      <c r="B2" s="724"/>
      <c r="C2" s="724"/>
      <c r="D2" s="724"/>
      <c r="E2" s="724"/>
      <c r="F2" s="724"/>
      <c r="G2" s="724"/>
      <c r="H2" s="724"/>
      <c r="I2" s="724"/>
    </row>
    <row r="3" spans="1:11">
      <c r="A3" s="193">
        <v>44258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222</v>
      </c>
      <c r="D4" s="3">
        <v>1507.5</v>
      </c>
      <c r="E4" s="3"/>
      <c r="F4" s="196">
        <f>'EDl log'!A35</f>
        <v>31</v>
      </c>
      <c r="G4" s="195">
        <v>31</v>
      </c>
      <c r="H4" s="195"/>
      <c r="I4" s="195"/>
    </row>
    <row r="5" spans="1:11">
      <c r="A5" s="245" t="s">
        <v>231</v>
      </c>
      <c r="B5" s="175" t="s">
        <v>230</v>
      </c>
      <c r="C5" s="175" t="s">
        <v>227</v>
      </c>
      <c r="D5" s="175" t="s">
        <v>228</v>
      </c>
      <c r="E5" s="175" t="s">
        <v>229</v>
      </c>
      <c r="F5" s="246" t="s">
        <v>226</v>
      </c>
      <c r="G5" s="248" t="s">
        <v>334</v>
      </c>
      <c r="H5" s="248" t="s">
        <v>333</v>
      </c>
      <c r="I5" s="194" t="s">
        <v>232</v>
      </c>
      <c r="K5" s="429"/>
    </row>
    <row r="6" spans="1:11">
      <c r="A6" s="184" t="s">
        <v>217</v>
      </c>
      <c r="B6" s="350">
        <f>WATER!C37</f>
        <v>0</v>
      </c>
      <c r="C6" s="329">
        <v>1.66</v>
      </c>
      <c r="D6" s="184">
        <f>SUM(C6*B6)*D4</f>
        <v>0</v>
      </c>
      <c r="E6" s="435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79">
        <v>0</v>
      </c>
      <c r="J6" s="276"/>
    </row>
    <row r="7" spans="1:11">
      <c r="A7" s="184" t="s">
        <v>218</v>
      </c>
      <c r="B7" s="350">
        <f>WATER!H37</f>
        <v>1911</v>
      </c>
      <c r="C7" s="184">
        <v>8200</v>
      </c>
      <c r="D7" s="187">
        <f>SUM(C7)*D4</f>
        <v>12361500</v>
      </c>
      <c r="E7" s="185">
        <f>SUM(I7/G4)</f>
        <v>264.51612903225805</v>
      </c>
      <c r="F7" s="185">
        <f>SUM(E7*F4)</f>
        <v>8200</v>
      </c>
      <c r="G7" s="510">
        <v>8200</v>
      </c>
      <c r="H7" s="189">
        <f>'[13]Budget 2021'!$C$15</f>
        <v>8200</v>
      </c>
      <c r="I7" s="185">
        <f>'[13]Budget 2021'!$C$15</f>
        <v>8200</v>
      </c>
      <c r="J7" s="276"/>
    </row>
    <row r="8" spans="1:11">
      <c r="A8" s="190" t="s">
        <v>219</v>
      </c>
      <c r="B8" s="351">
        <f>tanks!AT37</f>
        <v>33576</v>
      </c>
      <c r="C8" s="493">
        <f>SUM(tanks!AU37)</f>
        <v>0.8613333333333334</v>
      </c>
      <c r="D8" s="191">
        <f>SUM(B8*C8)*D4</f>
        <v>43597092.960000001</v>
      </c>
      <c r="E8" s="192">
        <f>SUM(D8/D4/F4)</f>
        <v>932.90735483870969</v>
      </c>
      <c r="F8" s="192">
        <f>SUM(E8*F4)</f>
        <v>28920.128000000001</v>
      </c>
      <c r="G8" s="510">
        <f>E8*$F$4</f>
        <v>28920.128000000001</v>
      </c>
      <c r="H8" s="189">
        <v>20021</v>
      </c>
      <c r="I8" s="192">
        <f>'[13]Budget 2021'!$D$14</f>
        <v>20021.203249462367</v>
      </c>
      <c r="J8" s="276"/>
    </row>
    <row r="9" spans="1:11">
      <c r="A9" s="2" t="s">
        <v>414</v>
      </c>
      <c r="B9" s="352">
        <f>'B5'!AV37</f>
        <v>0</v>
      </c>
      <c r="C9" s="349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510">
        <f>E9*$G$4</f>
        <v>0</v>
      </c>
      <c r="H9" s="189">
        <v>0</v>
      </c>
      <c r="I9" s="189">
        <f>H9</f>
        <v>0</v>
      </c>
      <c r="J9" s="276"/>
    </row>
    <row r="10" spans="1:11">
      <c r="A10" s="181" t="s">
        <v>220</v>
      </c>
      <c r="B10" s="353"/>
      <c r="C10" s="181"/>
      <c r="D10" s="183">
        <f>SUM('EDl log'!AB34)</f>
        <v>13705405</v>
      </c>
      <c r="E10" s="182">
        <f>SUM(D10/D4/F4)</f>
        <v>293.27352484887388</v>
      </c>
      <c r="F10" s="182">
        <f>SUM(E10*F4)</f>
        <v>9091.4792703150906</v>
      </c>
      <c r="G10" s="510">
        <f>E10*$G$4</f>
        <v>9091.4792703150906</v>
      </c>
      <c r="H10" s="189">
        <v>19000</v>
      </c>
      <c r="I10" s="278">
        <f>'[13]Budget 2021'!$D$12</f>
        <v>19000</v>
      </c>
      <c r="J10" s="276"/>
      <c r="K10" s="276"/>
    </row>
    <row r="11" spans="1:11">
      <c r="I11" s="276"/>
      <c r="J11" s="276"/>
      <c r="K11" s="276"/>
    </row>
    <row r="12" spans="1:11" ht="42.75" customHeight="1">
      <c r="E12" s="428">
        <f>SUM(E6:E11)</f>
        <v>1490.6970087198415</v>
      </c>
      <c r="F12" s="180">
        <f>SUM(F6:F10)</f>
        <v>46211.607270315086</v>
      </c>
      <c r="G12" s="179">
        <f>SUM(G6:G10)</f>
        <v>46211.607270315086</v>
      </c>
      <c r="H12" s="179">
        <f>SUM(H6:H11)</f>
        <v>47221</v>
      </c>
      <c r="I12" s="221">
        <f>SUM(I6:I11)</f>
        <v>47221.203249462371</v>
      </c>
      <c r="J12" s="276"/>
    </row>
    <row r="13" spans="1:11" ht="30">
      <c r="A13" s="3"/>
      <c r="B13" s="175" t="s">
        <v>226</v>
      </c>
      <c r="C13" s="420" t="s">
        <v>384</v>
      </c>
      <c r="D13" s="420" t="s">
        <v>388</v>
      </c>
      <c r="E13" s="420" t="s">
        <v>385</v>
      </c>
      <c r="F13" s="420" t="s">
        <v>410</v>
      </c>
      <c r="G13" s="422"/>
      <c r="H13" s="17"/>
      <c r="I13" s="17"/>
      <c r="J13" s="17"/>
    </row>
    <row r="14" spans="1:11">
      <c r="A14" s="449" t="s">
        <v>302</v>
      </c>
      <c r="B14" s="97">
        <f>'Degree Days 2020'!AA12</f>
        <v>0</v>
      </c>
      <c r="C14" s="433">
        <f>'[14]Utility Cost '!B14</f>
        <v>0.69999999999999929</v>
      </c>
      <c r="D14" s="170"/>
      <c r="E14" s="170">
        <f t="shared" ref="E14:E18" si="0">B14-C14</f>
        <v>-0.69999999999999929</v>
      </c>
      <c r="F14" s="509">
        <v>0</v>
      </c>
      <c r="G14" s="422"/>
      <c r="H14" s="423">
        <f>SUM(G12-H12)</f>
        <v>-1009.3927296849142</v>
      </c>
      <c r="I14" s="423">
        <f>SUM(G12-I12)</f>
        <v>-1009.5959791472851</v>
      </c>
    </row>
    <row r="15" spans="1:11">
      <c r="A15" s="449" t="s">
        <v>303</v>
      </c>
      <c r="B15" s="97">
        <f>'Degree Days 2020'!AA19</f>
        <v>0</v>
      </c>
      <c r="C15" s="433">
        <f>'[14]Utility Cost '!B15</f>
        <v>-153.49999999999997</v>
      </c>
      <c r="D15" s="170"/>
      <c r="E15" s="170">
        <f t="shared" si="0"/>
        <v>153.49999999999997</v>
      </c>
      <c r="F15" s="509">
        <v>0</v>
      </c>
      <c r="G15" s="422"/>
      <c r="H15" s="17"/>
      <c r="I15" s="17"/>
      <c r="J15" s="17"/>
    </row>
    <row r="16" spans="1:11">
      <c r="A16" s="449" t="s">
        <v>304</v>
      </c>
      <c r="B16" s="566">
        <f>'General information '!D38</f>
        <v>15.064516129032258</v>
      </c>
      <c r="C16" s="433">
        <f>'[14]Utility Cost '!B16</f>
        <v>14.293103448275861</v>
      </c>
      <c r="D16" s="432"/>
      <c r="E16" s="433">
        <f t="shared" si="0"/>
        <v>0.7714126807563968</v>
      </c>
      <c r="F16" s="529">
        <v>0</v>
      </c>
      <c r="G16" s="422"/>
      <c r="H16" s="17"/>
      <c r="I16" s="17"/>
      <c r="J16" s="17"/>
    </row>
    <row r="17" spans="1:10">
      <c r="A17" s="521" t="s">
        <v>316</v>
      </c>
      <c r="B17" s="524">
        <f>'General information '!F37</f>
        <v>0</v>
      </c>
      <c r="C17" s="523">
        <f>'[14]Utility Cost '!B17</f>
        <v>0.20819655172413792</v>
      </c>
      <c r="D17" s="477">
        <v>0</v>
      </c>
      <c r="E17" s="523">
        <f t="shared" si="0"/>
        <v>-0.20819655172413792</v>
      </c>
      <c r="F17" s="527">
        <f>B17-D17</f>
        <v>0</v>
      </c>
      <c r="G17" s="17"/>
      <c r="H17" s="17"/>
      <c r="I17" s="17"/>
      <c r="J17" s="17"/>
    </row>
    <row r="18" spans="1:10">
      <c r="A18" s="522" t="s">
        <v>386</v>
      </c>
      <c r="B18" s="526">
        <f>GEN!Z34</f>
        <v>229</v>
      </c>
      <c r="C18" s="433">
        <f>'[14]Utility Cost '!B18</f>
        <v>115.42000000000007</v>
      </c>
      <c r="D18" s="430">
        <f>'[13]Other Fuel Calculation 2021'!$C$117</f>
        <v>172.73885330486587</v>
      </c>
      <c r="E18" s="525">
        <f t="shared" si="0"/>
        <v>113.57999999999993</v>
      </c>
      <c r="F18" s="528">
        <f>B18-D18</f>
        <v>56.26114669513413</v>
      </c>
    </row>
    <row r="19" spans="1:10">
      <c r="A19" s="522" t="s">
        <v>411</v>
      </c>
      <c r="B19" s="520">
        <f>SUM(B18/$F$4)</f>
        <v>7.387096774193548</v>
      </c>
      <c r="C19" s="433">
        <f>'[14]Utility Cost '!B19</f>
        <v>3.9800000000000026</v>
      </c>
      <c r="D19" s="431"/>
      <c r="E19" s="431"/>
      <c r="F19" s="509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topLeftCell="A13" workbookViewId="0">
      <selection activeCell="F23" sqref="E23:F23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198" t="s">
        <v>234</v>
      </c>
      <c r="B1" s="199" t="s">
        <v>235</v>
      </c>
      <c r="C1" s="199" t="s">
        <v>236</v>
      </c>
      <c r="D1" s="199" t="s">
        <v>237</v>
      </c>
      <c r="E1" s="199" t="s">
        <v>307</v>
      </c>
      <c r="F1" s="199" t="s">
        <v>238</v>
      </c>
      <c r="G1" s="199" t="s">
        <v>239</v>
      </c>
      <c r="H1" s="199" t="s">
        <v>240</v>
      </c>
      <c r="I1" s="199" t="s">
        <v>51</v>
      </c>
    </row>
    <row r="2" spans="1:9">
      <c r="A2" s="200" t="s">
        <v>241</v>
      </c>
      <c r="B2" s="200" t="s">
        <v>242</v>
      </c>
      <c r="C2" s="200"/>
      <c r="D2" s="200"/>
      <c r="E2" s="200"/>
      <c r="F2" s="200"/>
      <c r="G2" s="200" t="s">
        <v>243</v>
      </c>
      <c r="H2" s="200"/>
      <c r="I2" s="200"/>
    </row>
    <row r="3" spans="1:9">
      <c r="A3" s="201" t="s">
        <v>244</v>
      </c>
      <c r="B3" s="201" t="s">
        <v>245</v>
      </c>
      <c r="C3" s="201"/>
      <c r="D3" s="201"/>
      <c r="E3" s="201"/>
      <c r="F3" s="201"/>
      <c r="G3" s="201" t="s">
        <v>305</v>
      </c>
      <c r="H3" s="201"/>
      <c r="I3" s="201"/>
    </row>
    <row r="4" spans="1:9">
      <c r="A4" s="201" t="s">
        <v>246</v>
      </c>
      <c r="B4" s="201" t="s">
        <v>247</v>
      </c>
      <c r="C4" s="201"/>
      <c r="D4" s="201"/>
      <c r="E4" s="201"/>
      <c r="F4" s="201"/>
      <c r="G4" s="201" t="s">
        <v>306</v>
      </c>
      <c r="H4" s="201"/>
      <c r="I4" s="201"/>
    </row>
    <row r="5" spans="1:9">
      <c r="A5" s="201" t="s">
        <v>248</v>
      </c>
      <c r="B5" s="201" t="s">
        <v>247</v>
      </c>
      <c r="C5" s="201"/>
      <c r="D5" s="201"/>
      <c r="E5" s="201"/>
      <c r="F5" s="201"/>
      <c r="G5" s="201" t="s">
        <v>248</v>
      </c>
      <c r="H5" s="201"/>
      <c r="I5" s="201"/>
    </row>
    <row r="6" spans="1:9" ht="15.75" thickBot="1">
      <c r="A6" s="202" t="s">
        <v>249</v>
      </c>
      <c r="B6" s="202" t="s">
        <v>247</v>
      </c>
      <c r="C6" s="202"/>
      <c r="D6" s="202"/>
      <c r="E6" s="202"/>
      <c r="F6" s="202"/>
      <c r="G6" s="202" t="s">
        <v>306</v>
      </c>
      <c r="H6" s="202"/>
      <c r="I6" s="202"/>
    </row>
    <row r="7" spans="1:9" ht="15.75" thickBot="1">
      <c r="A7" s="198" t="s">
        <v>250</v>
      </c>
      <c r="B7" s="199" t="s">
        <v>235</v>
      </c>
      <c r="C7" s="199" t="s">
        <v>236</v>
      </c>
      <c r="D7" s="199" t="s">
        <v>251</v>
      </c>
      <c r="E7" s="199" t="s">
        <v>307</v>
      </c>
      <c r="F7" s="199" t="s">
        <v>252</v>
      </c>
      <c r="G7" s="199"/>
      <c r="H7" s="199"/>
      <c r="I7" s="199"/>
    </row>
    <row r="8" spans="1:9">
      <c r="A8" s="200" t="s">
        <v>253</v>
      </c>
      <c r="B8" s="200" t="s">
        <v>242</v>
      </c>
      <c r="C8" s="200"/>
      <c r="D8" s="200"/>
      <c r="E8" s="200"/>
      <c r="F8" s="200"/>
      <c r="G8" s="205" t="s">
        <v>308</v>
      </c>
      <c r="H8" s="200"/>
      <c r="I8" s="200"/>
    </row>
    <row r="9" spans="1:9">
      <c r="A9" s="201" t="s">
        <v>254</v>
      </c>
      <c r="B9" s="201" t="s">
        <v>255</v>
      </c>
      <c r="C9" s="201"/>
      <c r="D9" s="201"/>
      <c r="E9" s="201"/>
      <c r="F9" s="201"/>
      <c r="G9" s="201" t="s">
        <v>309</v>
      </c>
      <c r="H9" s="201"/>
      <c r="I9" s="201"/>
    </row>
    <row r="10" spans="1:9">
      <c r="A10" s="201" t="s">
        <v>256</v>
      </c>
      <c r="B10" s="201" t="s">
        <v>255</v>
      </c>
      <c r="C10" s="201"/>
      <c r="D10" s="201"/>
      <c r="E10" s="201"/>
      <c r="F10" s="201"/>
      <c r="G10" s="201" t="s">
        <v>310</v>
      </c>
      <c r="H10" s="201"/>
      <c r="I10" s="201"/>
    </row>
    <row r="11" spans="1:9">
      <c r="A11" s="201" t="s">
        <v>257</v>
      </c>
      <c r="B11" s="201" t="s">
        <v>255</v>
      </c>
      <c r="C11" s="201"/>
      <c r="D11" s="201"/>
      <c r="E11" s="201"/>
      <c r="F11" s="201"/>
      <c r="G11" s="201" t="s">
        <v>311</v>
      </c>
      <c r="H11" s="201"/>
      <c r="I11" s="201"/>
    </row>
    <row r="12" spans="1:9">
      <c r="A12" s="201" t="s">
        <v>258</v>
      </c>
      <c r="B12" s="201" t="s">
        <v>259</v>
      </c>
      <c r="C12" s="201"/>
      <c r="D12" s="201"/>
      <c r="E12" s="201"/>
      <c r="F12" s="201"/>
      <c r="G12" s="201" t="s">
        <v>309</v>
      </c>
      <c r="H12" s="201"/>
      <c r="I12" s="201"/>
    </row>
    <row r="13" spans="1:9" ht="15.75" thickBot="1">
      <c r="A13" s="202" t="s">
        <v>260</v>
      </c>
      <c r="B13" s="202" t="s">
        <v>242</v>
      </c>
      <c r="C13" s="202"/>
      <c r="D13" s="202"/>
      <c r="E13" s="202"/>
      <c r="F13" s="202"/>
      <c r="G13" s="202" t="s">
        <v>261</v>
      </c>
      <c r="H13" s="202"/>
      <c r="I13" s="202"/>
    </row>
    <row r="14" spans="1:9" ht="15.75" thickBot="1">
      <c r="A14" s="198" t="s">
        <v>262</v>
      </c>
      <c r="B14" s="199" t="s">
        <v>263</v>
      </c>
      <c r="C14" s="199" t="s">
        <v>264</v>
      </c>
      <c r="D14" s="199" t="s">
        <v>265</v>
      </c>
      <c r="E14" s="199" t="s">
        <v>307</v>
      </c>
      <c r="F14" s="199" t="s">
        <v>266</v>
      </c>
      <c r="G14" s="199"/>
      <c r="H14" s="199"/>
      <c r="I14" s="199"/>
    </row>
    <row r="15" spans="1:9">
      <c r="A15" s="200" t="s">
        <v>267</v>
      </c>
      <c r="B15" s="200" t="s">
        <v>242</v>
      </c>
      <c r="C15" s="200"/>
      <c r="D15" s="200"/>
      <c r="E15" s="200"/>
      <c r="F15" s="200"/>
      <c r="G15" s="205" t="s">
        <v>312</v>
      </c>
      <c r="H15" s="200"/>
      <c r="I15" s="200"/>
    </row>
    <row r="16" spans="1:9">
      <c r="A16" s="201" t="s">
        <v>268</v>
      </c>
      <c r="B16" s="201">
        <v>400</v>
      </c>
      <c r="C16" s="201"/>
      <c r="D16" s="201"/>
      <c r="E16" s="201"/>
      <c r="F16" s="201"/>
      <c r="G16" s="201" t="s">
        <v>269</v>
      </c>
      <c r="H16" s="201"/>
      <c r="I16" s="201"/>
    </row>
    <row r="17" spans="1:9">
      <c r="A17" s="201" t="s">
        <v>270</v>
      </c>
      <c r="B17" s="201">
        <v>400</v>
      </c>
      <c r="C17" s="201"/>
      <c r="D17" s="201"/>
      <c r="E17" s="201"/>
      <c r="F17" s="201"/>
      <c r="G17" s="201" t="s">
        <v>271</v>
      </c>
      <c r="H17" s="201"/>
      <c r="I17" s="201"/>
    </row>
    <row r="18" spans="1:9">
      <c r="A18" s="201" t="s">
        <v>272</v>
      </c>
      <c r="B18" s="201">
        <v>400</v>
      </c>
      <c r="C18" s="201"/>
      <c r="D18" s="201"/>
      <c r="E18" s="201"/>
      <c r="F18" s="201"/>
      <c r="G18" s="201" t="s">
        <v>273</v>
      </c>
      <c r="H18" s="201"/>
      <c r="I18" s="201"/>
    </row>
    <row r="19" spans="1:9">
      <c r="A19" s="201" t="s">
        <v>274</v>
      </c>
      <c r="B19" s="201">
        <v>400</v>
      </c>
      <c r="C19" s="201"/>
      <c r="D19" s="201"/>
      <c r="E19" s="201"/>
      <c r="F19" s="201"/>
      <c r="G19" s="178" t="s">
        <v>275</v>
      </c>
      <c r="H19" s="201"/>
      <c r="I19" s="201"/>
    </row>
    <row r="20" spans="1:9">
      <c r="A20" s="201" t="s">
        <v>276</v>
      </c>
      <c r="B20" s="201">
        <v>400</v>
      </c>
      <c r="C20" s="201"/>
      <c r="D20" s="201"/>
      <c r="E20" s="201"/>
      <c r="F20" s="201"/>
      <c r="G20" s="201" t="s">
        <v>277</v>
      </c>
      <c r="H20" s="201"/>
      <c r="I20" s="201"/>
    </row>
    <row r="21" spans="1:9">
      <c r="A21" s="201" t="s">
        <v>278</v>
      </c>
      <c r="B21" s="201">
        <v>800</v>
      </c>
      <c r="C21" s="201"/>
      <c r="D21" s="201"/>
      <c r="E21" s="201"/>
      <c r="F21" s="201"/>
      <c r="G21" s="201" t="s">
        <v>279</v>
      </c>
      <c r="H21" s="201"/>
      <c r="I21" s="201"/>
    </row>
    <row r="22" spans="1:9" ht="15.75" thickBot="1">
      <c r="A22" s="202" t="s">
        <v>280</v>
      </c>
      <c r="B22" s="202" t="s">
        <v>242</v>
      </c>
      <c r="C22" s="202"/>
      <c r="D22" s="202"/>
      <c r="E22" s="202"/>
      <c r="F22" s="202"/>
      <c r="G22" s="202" t="s">
        <v>261</v>
      </c>
      <c r="H22" s="202"/>
      <c r="I22" s="202"/>
    </row>
    <row r="23" spans="1:9" ht="15.75" thickBot="1">
      <c r="A23" s="198" t="s">
        <v>281</v>
      </c>
      <c r="B23" s="199" t="s">
        <v>263</v>
      </c>
      <c r="C23" s="199" t="s">
        <v>264</v>
      </c>
      <c r="D23" s="199" t="s">
        <v>265</v>
      </c>
      <c r="E23" s="199" t="s">
        <v>307</v>
      </c>
      <c r="F23" s="199" t="s">
        <v>266</v>
      </c>
      <c r="G23" s="199"/>
      <c r="H23" s="199"/>
      <c r="I23" s="199"/>
    </row>
    <row r="24" spans="1:9">
      <c r="A24" s="200" t="s">
        <v>282</v>
      </c>
      <c r="B24" s="200" t="s">
        <v>242</v>
      </c>
      <c r="C24" s="200"/>
      <c r="D24" s="200"/>
      <c r="E24" s="200"/>
      <c r="F24" s="200"/>
      <c r="G24" s="178" t="s">
        <v>243</v>
      </c>
      <c r="H24" s="200"/>
      <c r="I24" s="200"/>
    </row>
    <row r="25" spans="1:9">
      <c r="A25" s="201" t="s">
        <v>283</v>
      </c>
      <c r="B25" s="201">
        <v>400</v>
      </c>
      <c r="C25" s="201" t="s">
        <v>284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285</v>
      </c>
      <c r="B26" s="201">
        <v>400</v>
      </c>
      <c r="C26" s="201" t="s">
        <v>284</v>
      </c>
      <c r="D26" s="201"/>
      <c r="E26" s="201"/>
      <c r="F26" s="201"/>
      <c r="G26" s="201" t="s">
        <v>313</v>
      </c>
      <c r="H26" s="201"/>
      <c r="I26" s="201"/>
    </row>
    <row r="27" spans="1:9">
      <c r="A27" s="201" t="s">
        <v>286</v>
      </c>
      <c r="B27" s="201">
        <v>400</v>
      </c>
      <c r="C27" s="201"/>
      <c r="D27" s="201"/>
      <c r="E27" s="201"/>
      <c r="F27" s="201"/>
      <c r="G27" s="201" t="s">
        <v>314</v>
      </c>
      <c r="H27" s="201"/>
      <c r="I27" s="201"/>
    </row>
    <row r="28" spans="1:9">
      <c r="A28" s="201" t="s">
        <v>287</v>
      </c>
      <c r="B28" s="201">
        <v>1000</v>
      </c>
      <c r="C28" s="201"/>
      <c r="D28" s="201"/>
      <c r="E28" s="201"/>
      <c r="F28" s="201"/>
      <c r="G28" s="201" t="s">
        <v>287</v>
      </c>
      <c r="H28" s="201"/>
      <c r="I28" s="201"/>
    </row>
    <row r="29" spans="1:9" ht="15.75" thickBot="1">
      <c r="A29" s="405" t="s">
        <v>379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289</v>
      </c>
      <c r="B30" s="199" t="s">
        <v>263</v>
      </c>
      <c r="C30" s="199" t="s">
        <v>264</v>
      </c>
      <c r="D30" s="199" t="s">
        <v>265</v>
      </c>
      <c r="E30" s="199" t="s">
        <v>307</v>
      </c>
      <c r="F30" s="199" t="s">
        <v>266</v>
      </c>
      <c r="G30" s="199"/>
      <c r="H30" s="199"/>
      <c r="I30" s="199"/>
    </row>
    <row r="31" spans="1:9">
      <c r="A31" s="200" t="s">
        <v>28</v>
      </c>
      <c r="B31" s="200" t="s">
        <v>242</v>
      </c>
      <c r="C31" s="200"/>
      <c r="D31" s="200"/>
      <c r="E31" s="200"/>
      <c r="F31" s="200"/>
      <c r="G31" s="178" t="s">
        <v>243</v>
      </c>
      <c r="H31" s="200"/>
      <c r="I31" s="200"/>
    </row>
    <row r="32" spans="1:9">
      <c r="A32" s="201" t="s">
        <v>290</v>
      </c>
      <c r="B32" s="201">
        <v>1000</v>
      </c>
      <c r="C32" s="201"/>
      <c r="D32" s="201"/>
      <c r="E32" s="201"/>
      <c r="F32" s="201"/>
      <c r="G32" s="201" t="s">
        <v>291</v>
      </c>
      <c r="H32" s="201"/>
      <c r="I32" s="201"/>
    </row>
    <row r="33" spans="1:9">
      <c r="A33" s="201" t="s">
        <v>292</v>
      </c>
      <c r="B33" s="201">
        <v>630</v>
      </c>
      <c r="C33" s="201"/>
      <c r="D33" s="201"/>
      <c r="E33" s="201"/>
      <c r="F33" s="201"/>
      <c r="G33" s="201" t="s">
        <v>293</v>
      </c>
      <c r="H33" s="201"/>
      <c r="I33" s="201"/>
    </row>
    <row r="34" spans="1:9">
      <c r="A34" s="201" t="s">
        <v>294</v>
      </c>
      <c r="B34" s="201">
        <v>630</v>
      </c>
      <c r="C34" s="201"/>
      <c r="D34" s="201"/>
      <c r="E34" s="201"/>
      <c r="F34" s="201"/>
      <c r="G34" s="201" t="s">
        <v>295</v>
      </c>
      <c r="H34" s="201"/>
      <c r="I34" s="201"/>
    </row>
    <row r="35" spans="1:9">
      <c r="A35" s="201" t="s">
        <v>296</v>
      </c>
      <c r="B35" s="201">
        <v>630</v>
      </c>
      <c r="C35" s="201"/>
      <c r="D35" s="201"/>
      <c r="E35" s="201"/>
      <c r="F35" s="201"/>
      <c r="G35" s="201" t="s">
        <v>297</v>
      </c>
      <c r="H35" s="201"/>
      <c r="I35" s="201"/>
    </row>
    <row r="36" spans="1:9">
      <c r="A36" s="201" t="s">
        <v>298</v>
      </c>
      <c r="B36" s="201">
        <v>400</v>
      </c>
      <c r="C36" s="201"/>
      <c r="D36" s="201"/>
      <c r="E36" s="201"/>
      <c r="F36" s="201"/>
      <c r="G36" s="201" t="s">
        <v>273</v>
      </c>
      <c r="H36" s="201"/>
      <c r="I36" s="201"/>
    </row>
    <row r="37" spans="1:9">
      <c r="A37" s="202" t="s">
        <v>288</v>
      </c>
      <c r="B37" s="202">
        <v>1000</v>
      </c>
      <c r="C37" s="202"/>
      <c r="D37" s="202"/>
      <c r="E37" s="202"/>
      <c r="F37" s="202"/>
      <c r="G37" s="202" t="s">
        <v>288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Sheet1</vt:lpstr>
      <vt:lpstr>Report</vt:lpstr>
      <vt:lpstr>Sheet5</vt:lpstr>
      <vt:lpstr>GEN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ahmad.ghazalah</cp:lastModifiedBy>
  <cp:lastPrinted>2020-02-18T09:36:23Z</cp:lastPrinted>
  <dcterms:created xsi:type="dcterms:W3CDTF">2015-01-02T09:20:21Z</dcterms:created>
  <dcterms:modified xsi:type="dcterms:W3CDTF">2021-04-01T05:32:17Z</dcterms:modified>
</cp:coreProperties>
</file>