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38" i="3" l="1"/>
  <c r="J31" i="2" s="1"/>
  <c r="U39" i="3"/>
  <c r="J32" i="2" s="1"/>
  <c r="P38" i="3"/>
  <c r="P39" i="3"/>
  <c r="I32" i="2" s="1"/>
  <c r="N38" i="3"/>
  <c r="H31" i="2" s="1"/>
  <c r="N39" i="3"/>
  <c r="H32" i="2" s="1"/>
  <c r="H38" i="3"/>
  <c r="H39" i="3"/>
  <c r="G32" i="2" s="1"/>
  <c r="F38" i="3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I31" i="2"/>
  <c r="G31" i="2"/>
  <c r="F31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J29" i="2"/>
  <c r="I29" i="1" s="1"/>
  <c r="V35" i="3"/>
  <c r="J28" i="2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X32" i="3" s="1"/>
  <c r="Z32" i="3" s="1"/>
  <c r="E28" i="1"/>
  <c r="I35" i="3"/>
  <c r="K35" i="3" s="1"/>
  <c r="E3" i="2"/>
  <c r="E3" i="1" s="1"/>
  <c r="I9" i="2"/>
  <c r="G9" i="1" s="1"/>
  <c r="I5" i="2"/>
  <c r="G5" i="1" s="1"/>
  <c r="I28" i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I27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X10" i="3" s="1"/>
  <c r="Z10" i="3" s="1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R9" i="3"/>
  <c r="V40" i="3" l="1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<sst xmlns="http://schemas.openxmlformats.org/spreadsheetml/2006/main" count="310" uniqueCount="123">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</sst>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P18" sqref="P18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5</v>
      </c>
      <c r="D2" s="6">
        <v>2021</v>
      </c>
      <c r="E2" s="8">
        <f>Submetring!E2+Submetring!F2+Submetring!G2</f>
        <v>7306</v>
      </c>
      <c r="F2" s="6">
        <v>0.251</v>
      </c>
      <c r="G2" s="8">
        <f>Submetring!H2+Submetring!I2</f>
        <v>1136</v>
      </c>
      <c r="H2" s="6">
        <v>0.56711199999999995</v>
      </c>
      <c r="I2" s="8">
        <f>Submetring!J2</f>
        <v>239</v>
      </c>
      <c r="J2" s="6">
        <v>3.03</v>
      </c>
      <c r="K2" s="8">
        <f>Hotel!Y9</f>
        <v>31</v>
      </c>
    </row>
    <row r="3" spans="1:11" x14ac:dyDescent="0.25">
      <c r="A3" s="6" t="s">
        <v>11</v>
      </c>
      <c r="B3" s="9">
        <f>B2+1</f>
        <v>2</v>
      </c>
      <c r="C3" s="7">
        <v>5</v>
      </c>
      <c r="D3" s="6">
        <v>2021</v>
      </c>
      <c r="E3" s="8">
        <f>Submetring!E3+Submetring!F3+Submetring!G3</f>
        <v>6910</v>
      </c>
      <c r="F3" s="6">
        <v>0.251</v>
      </c>
      <c r="G3" s="8">
        <f>Submetring!H3+Submetring!I3</f>
        <v>1152</v>
      </c>
      <c r="H3" s="6">
        <v>0.56711199999999995</v>
      </c>
      <c r="I3" s="8">
        <f>Submetring!J3</f>
        <v>251</v>
      </c>
      <c r="J3" s="6">
        <v>3.03</v>
      </c>
      <c r="K3" s="8">
        <f>Hotel!Y10</f>
        <v>32</v>
      </c>
    </row>
    <row r="4" spans="1:11" x14ac:dyDescent="0.25">
      <c r="A4" s="6" t="s">
        <v>11</v>
      </c>
      <c r="B4" s="9">
        <f t="shared" ref="B4:B32" si="0">B3+1</f>
        <v>3</v>
      </c>
      <c r="C4" s="7">
        <v>5</v>
      </c>
      <c r="D4" s="6">
        <v>2021</v>
      </c>
      <c r="E4" s="8">
        <f>Submetring!E4+Submetring!F4+Submetring!G4</f>
        <v>6606</v>
      </c>
      <c r="F4" s="6">
        <v>0.251</v>
      </c>
      <c r="G4" s="8">
        <f>Submetring!H4+Submetring!I4</f>
        <v>1160</v>
      </c>
      <c r="H4" s="6">
        <v>0.56711199999999995</v>
      </c>
      <c r="I4" s="8">
        <f>Submetring!J4</f>
        <v>274</v>
      </c>
      <c r="J4" s="6">
        <v>3.03</v>
      </c>
      <c r="K4" s="8">
        <f>Hotel!Y11</f>
        <v>25</v>
      </c>
    </row>
    <row r="5" spans="1:11" x14ac:dyDescent="0.25">
      <c r="A5" s="6" t="s">
        <v>11</v>
      </c>
      <c r="B5" s="9">
        <f t="shared" si="0"/>
        <v>4</v>
      </c>
      <c r="C5" s="7">
        <v>5</v>
      </c>
      <c r="D5" s="6">
        <v>2021</v>
      </c>
      <c r="E5" s="8">
        <f>Submetring!E5+Submetring!F5+Submetring!G5</f>
        <v>6791</v>
      </c>
      <c r="F5" s="6">
        <v>0.251</v>
      </c>
      <c r="G5" s="8">
        <f>Submetring!H5+Submetring!I5</f>
        <v>998</v>
      </c>
      <c r="H5" s="6">
        <v>0.56711199999999995</v>
      </c>
      <c r="I5" s="8">
        <f>Submetring!J5</f>
        <v>116</v>
      </c>
      <c r="J5" s="6">
        <v>3.03</v>
      </c>
      <c r="K5" s="8">
        <f>Hotel!Y12</f>
        <v>41</v>
      </c>
    </row>
    <row r="6" spans="1:11" x14ac:dyDescent="0.25">
      <c r="A6" s="6" t="s">
        <v>11</v>
      </c>
      <c r="B6" s="9">
        <f t="shared" si="0"/>
        <v>5</v>
      </c>
      <c r="C6" s="7">
        <v>5</v>
      </c>
      <c r="D6" s="6">
        <v>2021</v>
      </c>
      <c r="E6" s="8">
        <f>Submetring!E6+Submetring!F6+Submetring!G6</f>
        <v>6927</v>
      </c>
      <c r="F6" s="6">
        <v>0.251</v>
      </c>
      <c r="G6" s="8">
        <f>Submetring!H6+Submetring!I6</f>
        <v>1042</v>
      </c>
      <c r="H6" s="6">
        <v>0.56711199999999995</v>
      </c>
      <c r="I6" s="8">
        <f>Submetring!J6</f>
        <v>410</v>
      </c>
      <c r="J6" s="6">
        <v>3.03</v>
      </c>
      <c r="K6" s="8">
        <f>Hotel!Y13</f>
        <v>31</v>
      </c>
    </row>
    <row r="7" spans="1:11" x14ac:dyDescent="0.25">
      <c r="A7" s="6" t="s">
        <v>11</v>
      </c>
      <c r="B7" s="9">
        <f t="shared" si="0"/>
        <v>6</v>
      </c>
      <c r="C7" s="7">
        <v>5</v>
      </c>
      <c r="D7" s="6">
        <v>2021</v>
      </c>
      <c r="E7" s="8">
        <f>Submetring!E7+Submetring!F7+Submetring!G7</f>
        <v>7522</v>
      </c>
      <c r="F7" s="6">
        <v>0.251</v>
      </c>
      <c r="G7" s="8">
        <f>Submetring!H7+Submetring!I7</f>
        <v>1196</v>
      </c>
      <c r="H7" s="6">
        <v>0.56711199999999995</v>
      </c>
      <c r="I7" s="8">
        <f>Submetring!J7</f>
        <v>51</v>
      </c>
      <c r="J7" s="6">
        <v>3.03</v>
      </c>
      <c r="K7" s="8">
        <f>Hotel!Y14</f>
        <v>42</v>
      </c>
    </row>
    <row r="8" spans="1:11" x14ac:dyDescent="0.25">
      <c r="A8" s="6" t="s">
        <v>11</v>
      </c>
      <c r="B8" s="9">
        <f t="shared" si="0"/>
        <v>7</v>
      </c>
      <c r="C8" s="7">
        <v>5</v>
      </c>
      <c r="D8" s="6">
        <v>2021</v>
      </c>
      <c r="E8" s="8">
        <f>Submetring!E8+Submetring!F8+Submetring!G8</f>
        <v>7324</v>
      </c>
      <c r="F8" s="6">
        <v>0.251</v>
      </c>
      <c r="G8" s="8">
        <f>Submetring!H8+Submetring!I8</f>
        <v>1227</v>
      </c>
      <c r="H8" s="6">
        <v>0.56711199999999995</v>
      </c>
      <c r="I8" s="8">
        <f>Submetring!J8</f>
        <v>219</v>
      </c>
      <c r="J8" s="6">
        <v>3.03</v>
      </c>
      <c r="K8" s="8">
        <f>Hotel!Y15</f>
        <v>35</v>
      </c>
    </row>
    <row r="9" spans="1:11" x14ac:dyDescent="0.25">
      <c r="A9" s="6" t="s">
        <v>11</v>
      </c>
      <c r="B9" s="9">
        <f t="shared" si="0"/>
        <v>8</v>
      </c>
      <c r="C9" s="7">
        <v>5</v>
      </c>
      <c r="D9" s="6">
        <v>2021</v>
      </c>
      <c r="E9" s="8">
        <f>Submetring!E9+Submetring!F9+Submetring!G9</f>
        <v>7104</v>
      </c>
      <c r="F9" s="6">
        <v>0.251</v>
      </c>
      <c r="G9" s="8">
        <f>Submetring!H9+Submetring!I9</f>
        <v>1151</v>
      </c>
      <c r="H9" s="6">
        <v>0.56711199999999995</v>
      </c>
      <c r="I9" s="8">
        <f>Submetring!J9</f>
        <v>189</v>
      </c>
      <c r="J9" s="6">
        <v>3.03</v>
      </c>
      <c r="K9" s="8">
        <f>Hotel!Y16</f>
        <v>30</v>
      </c>
    </row>
    <row r="10" spans="1:11" x14ac:dyDescent="0.25">
      <c r="A10" s="6" t="s">
        <v>11</v>
      </c>
      <c r="B10" s="9">
        <f t="shared" si="0"/>
        <v>9</v>
      </c>
      <c r="C10" s="7">
        <v>5</v>
      </c>
      <c r="D10" s="6">
        <v>2021</v>
      </c>
      <c r="E10" s="8">
        <f>Submetring!E10+Submetring!F10+Submetring!G10</f>
        <v>7278</v>
      </c>
      <c r="F10" s="6">
        <v>0.251</v>
      </c>
      <c r="G10" s="8">
        <f>Submetring!H10+Submetring!I10</f>
        <v>1048</v>
      </c>
      <c r="H10" s="6">
        <v>0.56711199999999995</v>
      </c>
      <c r="I10" s="8">
        <f>Submetring!J10</f>
        <v>191</v>
      </c>
      <c r="J10" s="6">
        <v>3.03</v>
      </c>
      <c r="K10" s="8">
        <f>Hotel!Y17</f>
        <v>37</v>
      </c>
    </row>
    <row r="11" spans="1:11" x14ac:dyDescent="0.25">
      <c r="A11" s="6" t="s">
        <v>11</v>
      </c>
      <c r="B11" s="9">
        <f t="shared" si="0"/>
        <v>10</v>
      </c>
      <c r="C11" s="7">
        <v>5</v>
      </c>
      <c r="D11" s="6">
        <v>2021</v>
      </c>
      <c r="E11" s="8">
        <f>Submetring!E11+Submetring!F11+Submetring!G11</f>
        <v>6715</v>
      </c>
      <c r="F11" s="6">
        <v>0.251</v>
      </c>
      <c r="G11" s="8">
        <f>Submetring!H11+Submetring!I11</f>
        <v>992</v>
      </c>
      <c r="H11" s="6">
        <v>0.56711199999999995</v>
      </c>
      <c r="I11" s="8">
        <f>Submetring!J11</f>
        <v>200</v>
      </c>
      <c r="J11" s="6">
        <v>3.03</v>
      </c>
      <c r="K11" s="8">
        <f>Hotel!Y18</f>
        <v>39</v>
      </c>
    </row>
    <row r="12" spans="1:11" x14ac:dyDescent="0.25">
      <c r="A12" s="6" t="s">
        <v>11</v>
      </c>
      <c r="B12" s="9">
        <f t="shared" si="0"/>
        <v>11</v>
      </c>
      <c r="C12" s="7">
        <v>5</v>
      </c>
      <c r="D12" s="6">
        <v>2021</v>
      </c>
      <c r="E12" s="8">
        <f>Submetring!E12+Submetring!F12+Submetring!G12</f>
        <v>7314</v>
      </c>
      <c r="F12" s="6">
        <v>0.251</v>
      </c>
      <c r="G12" s="8">
        <f>Submetring!H12+Submetring!I12</f>
        <v>982</v>
      </c>
      <c r="H12" s="6">
        <v>0.56711199999999995</v>
      </c>
      <c r="I12" s="8">
        <f>Submetring!J12</f>
        <v>315</v>
      </c>
      <c r="J12" s="6">
        <v>3.03</v>
      </c>
      <c r="K12" s="8">
        <f>Hotel!Y19</f>
        <v>41</v>
      </c>
    </row>
    <row r="13" spans="1:11" x14ac:dyDescent="0.25">
      <c r="A13" s="6" t="s">
        <v>11</v>
      </c>
      <c r="B13" s="9">
        <f t="shared" si="0"/>
        <v>12</v>
      </c>
      <c r="C13" s="7">
        <v>5</v>
      </c>
      <c r="D13" s="6">
        <v>2021</v>
      </c>
      <c r="E13" s="8">
        <f>Submetring!E13+Submetring!F13+Submetring!G13</f>
        <v>7026</v>
      </c>
      <c r="F13" s="6">
        <v>0.251</v>
      </c>
      <c r="G13" s="8">
        <f>Submetring!H13+Submetring!I13</f>
        <v>916</v>
      </c>
      <c r="H13" s="6">
        <v>0.56711199999999995</v>
      </c>
      <c r="I13" s="8">
        <f>Submetring!J13</f>
        <v>203</v>
      </c>
      <c r="J13" s="6">
        <v>3.03</v>
      </c>
      <c r="K13" s="8">
        <f>Hotel!Y20</f>
        <v>35</v>
      </c>
    </row>
    <row r="14" spans="1:11" x14ac:dyDescent="0.25">
      <c r="A14" s="6" t="s">
        <v>11</v>
      </c>
      <c r="B14" s="9">
        <f t="shared" si="0"/>
        <v>13</v>
      </c>
      <c r="C14" s="7">
        <v>5</v>
      </c>
      <c r="D14" s="6">
        <v>2021</v>
      </c>
      <c r="E14" s="8">
        <f>Submetring!E14+Submetring!F14+Submetring!G14</f>
        <v>7036</v>
      </c>
      <c r="F14" s="6">
        <v>0.251</v>
      </c>
      <c r="G14" s="8">
        <f>Submetring!H14+Submetring!I14</f>
        <v>1009</v>
      </c>
      <c r="H14" s="6">
        <v>0.56711199999999995</v>
      </c>
      <c r="I14" s="8">
        <f>Submetring!J14</f>
        <v>310</v>
      </c>
      <c r="J14" s="6">
        <v>3.03</v>
      </c>
      <c r="K14" s="8">
        <f>Hotel!Y21</f>
        <v>45</v>
      </c>
    </row>
    <row r="15" spans="1:11" x14ac:dyDescent="0.25">
      <c r="A15" s="6" t="s">
        <v>11</v>
      </c>
      <c r="B15" s="9">
        <f t="shared" si="0"/>
        <v>14</v>
      </c>
      <c r="C15" s="7">
        <v>5</v>
      </c>
      <c r="D15" s="6">
        <v>2021</v>
      </c>
      <c r="E15" s="8">
        <f>Submetring!E15+Submetring!F15+Submetring!G15</f>
        <v>7039</v>
      </c>
      <c r="F15" s="6">
        <v>0.251</v>
      </c>
      <c r="G15" s="8">
        <f>Submetring!H15+Submetring!I15</f>
        <v>1137</v>
      </c>
      <c r="H15" s="6">
        <v>0.56711199999999995</v>
      </c>
      <c r="I15" s="8">
        <f>Submetring!J15</f>
        <v>291</v>
      </c>
      <c r="J15" s="6">
        <v>3.03</v>
      </c>
      <c r="K15" s="8">
        <f>Hotel!Y22</f>
        <v>62</v>
      </c>
    </row>
    <row r="16" spans="1:11" x14ac:dyDescent="0.25">
      <c r="A16" s="6" t="s">
        <v>11</v>
      </c>
      <c r="B16" s="9">
        <f t="shared" si="0"/>
        <v>15</v>
      </c>
      <c r="C16" s="7">
        <v>5</v>
      </c>
      <c r="D16" s="6">
        <v>2021</v>
      </c>
      <c r="E16" s="8">
        <f>Submetring!E16+Submetring!F16+Submetring!G16</f>
        <v>7117</v>
      </c>
      <c r="F16" s="6">
        <v>0.251</v>
      </c>
      <c r="G16" s="8">
        <f>Submetring!H16+Submetring!I16</f>
        <v>900</v>
      </c>
      <c r="H16" s="6">
        <v>0.56711199999999995</v>
      </c>
      <c r="I16" s="8">
        <f>Submetring!J16</f>
        <v>253</v>
      </c>
      <c r="J16" s="6">
        <v>3.03</v>
      </c>
      <c r="K16" s="8">
        <f>Hotel!Y23</f>
        <v>64</v>
      </c>
    </row>
    <row r="17" spans="1:11" x14ac:dyDescent="0.25">
      <c r="A17" s="6" t="s">
        <v>11</v>
      </c>
      <c r="B17" s="9">
        <f t="shared" si="0"/>
        <v>16</v>
      </c>
      <c r="C17" s="7">
        <v>5</v>
      </c>
      <c r="D17" s="6">
        <v>2021</v>
      </c>
      <c r="E17" s="8">
        <f>Submetring!E17+Submetring!F17+Submetring!G17</f>
        <v>6786</v>
      </c>
      <c r="F17" s="6">
        <v>0.251</v>
      </c>
      <c r="G17" s="8">
        <f>Submetring!H17+Submetring!I17</f>
        <v>966</v>
      </c>
      <c r="H17" s="6">
        <v>0.56711199999999995</v>
      </c>
      <c r="I17" s="8">
        <f>Submetring!J17</f>
        <v>356</v>
      </c>
      <c r="J17" s="6">
        <v>3.03</v>
      </c>
      <c r="K17" s="8">
        <f>Hotel!Y24</f>
        <v>38</v>
      </c>
    </row>
    <row r="18" spans="1:11" x14ac:dyDescent="0.25">
      <c r="A18" s="6" t="s">
        <v>11</v>
      </c>
      <c r="B18" s="9">
        <f t="shared" si="0"/>
        <v>17</v>
      </c>
      <c r="C18" s="7">
        <v>5</v>
      </c>
      <c r="D18" s="6">
        <v>2021</v>
      </c>
      <c r="E18" s="8">
        <f>Submetring!E18+Submetring!F18+Submetring!G18</f>
        <v>6745</v>
      </c>
      <c r="F18" s="6">
        <v>0.251</v>
      </c>
      <c r="G18" s="8">
        <f>Submetring!H18+Submetring!I18</f>
        <v>811</v>
      </c>
      <c r="H18" s="6">
        <v>0.56711199999999995</v>
      </c>
      <c r="I18" s="8">
        <f>Submetring!J18</f>
        <v>242</v>
      </c>
      <c r="J18" s="6">
        <v>3.03</v>
      </c>
      <c r="K18" s="8">
        <f>Hotel!Y25</f>
        <v>49</v>
      </c>
    </row>
    <row r="19" spans="1:11" x14ac:dyDescent="0.25">
      <c r="A19" s="6" t="s">
        <v>11</v>
      </c>
      <c r="B19" s="9">
        <f t="shared" si="0"/>
        <v>18</v>
      </c>
      <c r="C19" s="7">
        <v>5</v>
      </c>
      <c r="D19" s="6">
        <v>2021</v>
      </c>
      <c r="E19" s="8">
        <f>Submetring!E19+Submetring!F19+Submetring!G19</f>
        <v>7841</v>
      </c>
      <c r="F19" s="6">
        <v>0.251</v>
      </c>
      <c r="G19" s="8">
        <f>Submetring!H19+Submetring!I19</f>
        <v>818</v>
      </c>
      <c r="H19" s="6">
        <v>0.56711199999999995</v>
      </c>
      <c r="I19" s="8">
        <f>Submetring!J19</f>
        <v>231</v>
      </c>
      <c r="J19" s="6">
        <v>3.03</v>
      </c>
      <c r="K19" s="8">
        <f>Hotel!Y26</f>
        <v>40</v>
      </c>
    </row>
    <row r="20" spans="1:11" x14ac:dyDescent="0.25">
      <c r="A20" s="6" t="s">
        <v>11</v>
      </c>
      <c r="B20" s="9">
        <f t="shared" si="0"/>
        <v>19</v>
      </c>
      <c r="C20" s="7">
        <v>5</v>
      </c>
      <c r="D20" s="6">
        <v>2021</v>
      </c>
      <c r="E20" s="8">
        <f>Submetring!E20+Submetring!F20+Submetring!G20</f>
        <v>8098</v>
      </c>
      <c r="F20" s="6">
        <v>0.251</v>
      </c>
      <c r="G20" s="8">
        <f>Submetring!H20+Submetring!I20</f>
        <v>864</v>
      </c>
      <c r="H20" s="6">
        <v>0.56711199999999995</v>
      </c>
      <c r="I20" s="8">
        <f>Submetring!J20</f>
        <v>254</v>
      </c>
      <c r="J20" s="6">
        <v>3.03</v>
      </c>
      <c r="K20" s="8">
        <f>Hotel!Y27</f>
        <v>43</v>
      </c>
    </row>
    <row r="21" spans="1:11" x14ac:dyDescent="0.25">
      <c r="A21" s="6" t="s">
        <v>11</v>
      </c>
      <c r="B21" s="9">
        <f t="shared" si="0"/>
        <v>20</v>
      </c>
      <c r="C21" s="7">
        <v>5</v>
      </c>
      <c r="D21" s="6">
        <v>2021</v>
      </c>
      <c r="E21" s="8">
        <f>Submetring!E21+Submetring!F21+Submetring!G21</f>
        <v>8395</v>
      </c>
      <c r="F21" s="6">
        <v>0.251</v>
      </c>
      <c r="G21" s="8">
        <f>Submetring!H21+Submetring!I21</f>
        <v>706</v>
      </c>
      <c r="H21" s="6">
        <v>0.56711199999999995</v>
      </c>
      <c r="I21" s="8">
        <f>Submetring!J21</f>
        <v>240</v>
      </c>
      <c r="J21" s="6">
        <v>3.03</v>
      </c>
      <c r="K21" s="8">
        <f>Hotel!Y28</f>
        <v>43</v>
      </c>
    </row>
    <row r="22" spans="1:11" x14ac:dyDescent="0.25">
      <c r="A22" s="6" t="s">
        <v>11</v>
      </c>
      <c r="B22" s="9">
        <f t="shared" si="0"/>
        <v>21</v>
      </c>
      <c r="C22" s="7">
        <v>5</v>
      </c>
      <c r="D22" s="6">
        <v>2021</v>
      </c>
      <c r="E22" s="8">
        <f>Submetring!E22+Submetring!F22+Submetring!G22</f>
        <v>8680</v>
      </c>
      <c r="F22" s="6">
        <v>0.251</v>
      </c>
      <c r="G22" s="8">
        <f>Submetring!H22+Submetring!I22</f>
        <v>983</v>
      </c>
      <c r="H22" s="6">
        <v>0.56711199999999995</v>
      </c>
      <c r="I22" s="8">
        <f>Submetring!J22</f>
        <v>120</v>
      </c>
      <c r="J22" s="6">
        <v>3.03</v>
      </c>
      <c r="K22" s="8">
        <f>Hotel!Y29</f>
        <v>52</v>
      </c>
    </row>
    <row r="23" spans="1:11" x14ac:dyDescent="0.25">
      <c r="A23" s="6" t="s">
        <v>11</v>
      </c>
      <c r="B23" s="9">
        <f t="shared" si="0"/>
        <v>22</v>
      </c>
      <c r="C23" s="7">
        <v>5</v>
      </c>
      <c r="D23" s="6">
        <v>2021</v>
      </c>
      <c r="E23" s="8">
        <f>Submetring!E23+Submetring!F23+Submetring!G23</f>
        <v>9264</v>
      </c>
      <c r="F23" s="6">
        <v>0.251</v>
      </c>
      <c r="G23" s="8">
        <f>Submetring!H23+Submetring!I23</f>
        <v>974</v>
      </c>
      <c r="H23" s="6">
        <v>0.56711199999999995</v>
      </c>
      <c r="I23" s="8">
        <f>Submetring!J23</f>
        <v>243</v>
      </c>
      <c r="J23" s="6">
        <v>3.03</v>
      </c>
      <c r="K23" s="8">
        <f>Hotel!Y30</f>
        <v>58</v>
      </c>
    </row>
    <row r="24" spans="1:11" x14ac:dyDescent="0.25">
      <c r="A24" s="6" t="s">
        <v>11</v>
      </c>
      <c r="B24" s="9">
        <f t="shared" si="0"/>
        <v>23</v>
      </c>
      <c r="C24" s="7">
        <v>5</v>
      </c>
      <c r="D24" s="6">
        <v>2021</v>
      </c>
      <c r="E24" s="8">
        <f>Submetring!E24+Submetring!F24+Submetring!G24</f>
        <v>10008</v>
      </c>
      <c r="F24" s="6">
        <v>0.251</v>
      </c>
      <c r="G24" s="8">
        <f>Submetring!H24+Submetring!I24</f>
        <v>872</v>
      </c>
      <c r="H24" s="6">
        <v>0.56711199999999995</v>
      </c>
      <c r="I24" s="8">
        <f>Submetring!J24</f>
        <v>167</v>
      </c>
      <c r="J24" s="6">
        <v>3.03</v>
      </c>
      <c r="K24" s="8">
        <f>Hotel!Y31</f>
        <v>58</v>
      </c>
    </row>
    <row r="25" spans="1:11" x14ac:dyDescent="0.25">
      <c r="A25" s="6" t="s">
        <v>11</v>
      </c>
      <c r="B25" s="9">
        <f t="shared" si="0"/>
        <v>24</v>
      </c>
      <c r="C25" s="7">
        <v>5</v>
      </c>
      <c r="D25" s="6">
        <v>2021</v>
      </c>
      <c r="E25" s="8">
        <f>Submetring!E25+Submetring!F25+Submetring!G25</f>
        <v>9617</v>
      </c>
      <c r="F25" s="6">
        <v>0.251</v>
      </c>
      <c r="G25" s="8">
        <f>Submetring!H25+Submetring!I25</f>
        <v>786</v>
      </c>
      <c r="H25" s="6">
        <v>0.56711199999999995</v>
      </c>
      <c r="I25" s="8">
        <f>Submetring!J25</f>
        <v>290</v>
      </c>
      <c r="J25" s="6">
        <v>3.03</v>
      </c>
      <c r="K25" s="8">
        <f>Hotel!Y32</f>
        <v>54</v>
      </c>
    </row>
    <row r="26" spans="1:11" x14ac:dyDescent="0.25">
      <c r="A26" s="6" t="s">
        <v>11</v>
      </c>
      <c r="B26" s="9">
        <f>B25+1</f>
        <v>25</v>
      </c>
      <c r="C26" s="7">
        <v>5</v>
      </c>
      <c r="D26" s="6">
        <v>2021</v>
      </c>
      <c r="E26" s="8">
        <f>Submetring!E26+Submetring!F26+Submetring!G26</f>
        <v>9367</v>
      </c>
      <c r="F26" s="6">
        <v>0.251</v>
      </c>
      <c r="G26" s="8">
        <f>Submetring!H26+Submetring!I26</f>
        <v>885</v>
      </c>
      <c r="H26" s="6">
        <v>0.56711199999999995</v>
      </c>
      <c r="I26" s="8">
        <f>Submetring!J26</f>
        <v>246</v>
      </c>
      <c r="J26" s="6">
        <v>3.03</v>
      </c>
      <c r="K26" s="8">
        <f>Hotel!Y33</f>
        <v>52</v>
      </c>
    </row>
    <row r="27" spans="1:11" x14ac:dyDescent="0.25">
      <c r="A27" s="6" t="s">
        <v>11</v>
      </c>
      <c r="B27" s="9">
        <f t="shared" si="0"/>
        <v>26</v>
      </c>
      <c r="C27" s="7">
        <v>5</v>
      </c>
      <c r="D27" s="6">
        <v>2021</v>
      </c>
      <c r="E27" s="8">
        <f>Submetring!E27+Submetring!F27+Submetring!G27</f>
        <v>8954</v>
      </c>
      <c r="F27" s="6">
        <v>0.251</v>
      </c>
      <c r="G27" s="8">
        <f>Submetring!H27+Submetring!I27</f>
        <v>889</v>
      </c>
      <c r="H27" s="6">
        <v>0.56711199999999995</v>
      </c>
      <c r="I27" s="8">
        <f>Submetring!J27</f>
        <v>254</v>
      </c>
      <c r="J27" s="6">
        <v>3.03</v>
      </c>
      <c r="K27" s="8">
        <f>Hotel!Y34</f>
        <v>55</v>
      </c>
    </row>
    <row r="28" spans="1:11" x14ac:dyDescent="0.25">
      <c r="A28" s="6" t="s">
        <v>11</v>
      </c>
      <c r="B28" s="9">
        <f t="shared" si="0"/>
        <v>27</v>
      </c>
      <c r="C28" s="7">
        <v>5</v>
      </c>
      <c r="D28" s="6">
        <v>2021</v>
      </c>
      <c r="E28" s="8">
        <f>Submetring!E28+Submetring!F28+Submetring!G28</f>
        <v>9185</v>
      </c>
      <c r="F28" s="6">
        <v>0.251</v>
      </c>
      <c r="G28" s="8">
        <f>Submetring!H28+Submetring!I28</f>
        <v>842</v>
      </c>
      <c r="H28" s="6">
        <v>0.56711199999999995</v>
      </c>
      <c r="I28" s="8">
        <f>Submetring!J28</f>
        <v>257</v>
      </c>
      <c r="J28" s="6">
        <v>3.03</v>
      </c>
      <c r="K28" s="8">
        <f>Hotel!Y35</f>
        <v>58</v>
      </c>
    </row>
    <row r="29" spans="1:11" x14ac:dyDescent="0.25">
      <c r="A29" s="6" t="s">
        <v>11</v>
      </c>
      <c r="B29" s="9">
        <f t="shared" si="0"/>
        <v>28</v>
      </c>
      <c r="C29" s="7">
        <v>5</v>
      </c>
      <c r="D29" s="6">
        <v>2021</v>
      </c>
      <c r="E29" s="8">
        <f>Submetring!E29+Submetring!F29+Submetring!G29</f>
        <v>10056</v>
      </c>
      <c r="F29" s="6">
        <v>0.251</v>
      </c>
      <c r="G29" s="8">
        <f>Submetring!H29+Submetring!I29</f>
        <v>1090</v>
      </c>
      <c r="H29" s="6">
        <v>0.56711199999999995</v>
      </c>
      <c r="I29" s="8">
        <f>Submetring!J29</f>
        <v>244</v>
      </c>
      <c r="J29" s="6">
        <v>3.03</v>
      </c>
      <c r="K29" s="8">
        <f>Hotel!Y36</f>
        <v>63</v>
      </c>
    </row>
    <row r="30" spans="1:11" x14ac:dyDescent="0.25">
      <c r="A30" s="6" t="s">
        <v>11</v>
      </c>
      <c r="B30" s="9">
        <f t="shared" si="0"/>
        <v>29</v>
      </c>
      <c r="C30" s="7">
        <v>5</v>
      </c>
      <c r="D30" s="6">
        <v>2021</v>
      </c>
      <c r="E30" s="8">
        <f>Submetring!E30+Submetring!F30+Submetring!G30</f>
        <v>10551</v>
      </c>
      <c r="F30" s="6">
        <v>0.251</v>
      </c>
      <c r="G30" s="8">
        <f>Submetring!H30+Submetring!I30</f>
        <v>1148</v>
      </c>
      <c r="H30" s="6">
        <v>0.56711199999999995</v>
      </c>
      <c r="I30" s="8">
        <f>Submetring!J30</f>
        <v>260</v>
      </c>
      <c r="J30" s="6">
        <v>3.03</v>
      </c>
      <c r="K30" s="8">
        <f>Hotel!Y37</f>
        <v>80</v>
      </c>
    </row>
    <row r="31" spans="1:11" x14ac:dyDescent="0.25">
      <c r="A31" s="6" t="s">
        <v>11</v>
      </c>
      <c r="B31" s="9">
        <f t="shared" si="0"/>
        <v>30</v>
      </c>
      <c r="C31" s="7">
        <v>5</v>
      </c>
      <c r="D31" s="6">
        <v>2021</v>
      </c>
      <c r="E31" s="8">
        <f>Submetring!E31+Submetring!F31+Submetring!G31</f>
        <v>11533</v>
      </c>
      <c r="F31" s="6">
        <v>0.251</v>
      </c>
      <c r="G31" s="8">
        <f>Submetring!H31+Submetring!I31</f>
        <v>1208</v>
      </c>
      <c r="H31" s="6">
        <v>0.56711199999999995</v>
      </c>
      <c r="I31" s="8">
        <f>Submetring!J31</f>
        <v>260</v>
      </c>
      <c r="J31" s="6">
        <v>3.03</v>
      </c>
      <c r="K31" s="8">
        <f>Hotel!Y38</f>
        <v>95</v>
      </c>
    </row>
    <row r="32" spans="1:11" x14ac:dyDescent="0.25">
      <c r="A32" s="6" t="s">
        <v>11</v>
      </c>
      <c r="B32" s="9">
        <f t="shared" si="0"/>
        <v>31</v>
      </c>
      <c r="C32" s="7">
        <v>5</v>
      </c>
      <c r="D32" s="6">
        <v>2021</v>
      </c>
      <c r="E32" s="8">
        <f>Submetring!E32+Submetring!F32+Submetring!G32</f>
        <v>11236</v>
      </c>
      <c r="F32" s="6">
        <v>0.251</v>
      </c>
      <c r="G32" s="8">
        <f>Submetring!H32+Submetring!I32</f>
        <v>1117</v>
      </c>
      <c r="H32" s="6">
        <v>0.56711199999999995</v>
      </c>
      <c r="I32" s="8">
        <f>Submetring!J32</f>
        <v>248</v>
      </c>
      <c r="J32" s="6">
        <v>3.03</v>
      </c>
      <c r="K32" s="8">
        <f>Hotel!Y39</f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N23" sqref="N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5</v>
      </c>
      <c r="D2" s="10">
        <v>2021</v>
      </c>
      <c r="E2" s="11">
        <f>Hotel!D9</f>
        <v>2517</v>
      </c>
      <c r="F2" s="11">
        <f>Hotel!F9</f>
        <v>2494</v>
      </c>
      <c r="G2" s="11">
        <f>Hotel!H9</f>
        <v>2295</v>
      </c>
      <c r="H2" s="11">
        <f>Hotel!N9</f>
        <v>127</v>
      </c>
      <c r="I2" s="11">
        <f>Hotel!P9</f>
        <v>1009</v>
      </c>
      <c r="J2" s="11">
        <f>Hotel!U9</f>
        <v>239</v>
      </c>
      <c r="K2" s="11">
        <f>Hotel!Y9</f>
        <v>31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5</v>
      </c>
      <c r="D3" s="10">
        <v>2021</v>
      </c>
      <c r="E3" s="11">
        <f>Hotel!D10</f>
        <v>2372</v>
      </c>
      <c r="F3" s="11">
        <f>Hotel!F10</f>
        <v>2359</v>
      </c>
      <c r="G3" s="11">
        <f>Hotel!H10</f>
        <v>2179</v>
      </c>
      <c r="H3" s="11">
        <f>Hotel!N10</f>
        <v>115</v>
      </c>
      <c r="I3" s="11">
        <f>Hotel!P10</f>
        <v>1037</v>
      </c>
      <c r="J3" s="11">
        <f>Hotel!U10</f>
        <v>251</v>
      </c>
      <c r="K3" s="11">
        <f>Hotel!Y10</f>
        <v>32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5</v>
      </c>
      <c r="D4" s="10">
        <v>2021</v>
      </c>
      <c r="E4" s="11">
        <f>Hotel!D11</f>
        <v>2278</v>
      </c>
      <c r="F4" s="11">
        <f>Hotel!F11</f>
        <v>2244</v>
      </c>
      <c r="G4" s="11">
        <f>Hotel!H11</f>
        <v>2084</v>
      </c>
      <c r="H4" s="11">
        <f>Hotel!N11</f>
        <v>114</v>
      </c>
      <c r="I4" s="11">
        <f>Hotel!P11</f>
        <v>1046</v>
      </c>
      <c r="J4" s="11">
        <f>Hotel!U11</f>
        <v>274</v>
      </c>
      <c r="K4" s="11">
        <f>Hotel!Y11</f>
        <v>25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5</v>
      </c>
      <c r="D5" s="10">
        <v>2021</v>
      </c>
      <c r="E5" s="11">
        <f>Hotel!D12</f>
        <v>2316</v>
      </c>
      <c r="F5" s="11">
        <f>Hotel!F12</f>
        <v>2358</v>
      </c>
      <c r="G5" s="11">
        <f>Hotel!H12</f>
        <v>2117</v>
      </c>
      <c r="H5" s="11">
        <f>Hotel!N12</f>
        <v>116</v>
      </c>
      <c r="I5" s="11">
        <f>Hotel!P12</f>
        <v>882</v>
      </c>
      <c r="J5" s="11">
        <f>Hotel!U12</f>
        <v>116</v>
      </c>
      <c r="K5" s="11">
        <f>Hotel!Y12</f>
        <v>41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5</v>
      </c>
      <c r="D6" s="10">
        <v>2021</v>
      </c>
      <c r="E6" s="11">
        <f>Hotel!D13</f>
        <v>2402</v>
      </c>
      <c r="F6" s="11">
        <f>Hotel!F13</f>
        <v>2317</v>
      </c>
      <c r="G6" s="11">
        <f>Hotel!H13</f>
        <v>2208</v>
      </c>
      <c r="H6" s="11">
        <f>Hotel!N13</f>
        <v>118</v>
      </c>
      <c r="I6" s="11">
        <f>Hotel!P13</f>
        <v>924</v>
      </c>
      <c r="J6" s="11">
        <f>Hotel!U13</f>
        <v>410</v>
      </c>
      <c r="K6" s="11">
        <f>Hotel!Y13</f>
        <v>31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5</v>
      </c>
      <c r="D7" s="10">
        <v>2021</v>
      </c>
      <c r="E7" s="11">
        <f>Hotel!D14</f>
        <v>2580</v>
      </c>
      <c r="F7" s="11">
        <f>Hotel!F14</f>
        <v>2578</v>
      </c>
      <c r="G7" s="11">
        <f>Hotel!H14</f>
        <v>2364</v>
      </c>
      <c r="H7" s="11">
        <f>Hotel!N14</f>
        <v>121</v>
      </c>
      <c r="I7" s="11">
        <f>Hotel!P14</f>
        <v>1075</v>
      </c>
      <c r="J7" s="11">
        <f>Hotel!U14</f>
        <v>51</v>
      </c>
      <c r="K7" s="11">
        <f>Hotel!Y14</f>
        <v>42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5</v>
      </c>
      <c r="D8" s="10">
        <v>2021</v>
      </c>
      <c r="E8" s="11">
        <f>Hotel!D15</f>
        <v>2510</v>
      </c>
      <c r="F8" s="11">
        <f>Hotel!F15</f>
        <v>2494</v>
      </c>
      <c r="G8" s="11">
        <f>Hotel!H15</f>
        <v>2320</v>
      </c>
      <c r="H8" s="11">
        <f>Hotel!N15</f>
        <v>121</v>
      </c>
      <c r="I8" s="11">
        <f>Hotel!P15</f>
        <v>1106</v>
      </c>
      <c r="J8" s="11">
        <f>Hotel!U15</f>
        <v>219</v>
      </c>
      <c r="K8" s="11">
        <f>Hotel!Y15</f>
        <v>35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5</v>
      </c>
      <c r="D9" s="10">
        <v>2021</v>
      </c>
      <c r="E9" s="11">
        <f>Hotel!D16</f>
        <v>2437</v>
      </c>
      <c r="F9" s="11">
        <f>Hotel!F16</f>
        <v>2421</v>
      </c>
      <c r="G9" s="11">
        <f>Hotel!H16</f>
        <v>2246</v>
      </c>
      <c r="H9" s="11">
        <f>Hotel!N16</f>
        <v>115</v>
      </c>
      <c r="I9" s="11">
        <f>Hotel!P16</f>
        <v>1036</v>
      </c>
      <c r="J9" s="11">
        <f>Hotel!U16</f>
        <v>189</v>
      </c>
      <c r="K9" s="11">
        <f>Hotel!Y16</f>
        <v>30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5</v>
      </c>
      <c r="D10" s="10">
        <v>2021</v>
      </c>
      <c r="E10" s="11">
        <f>Hotel!D17</f>
        <v>2483</v>
      </c>
      <c r="F10" s="11">
        <f>Hotel!F17</f>
        <v>2490</v>
      </c>
      <c r="G10" s="11">
        <f>Hotel!H17</f>
        <v>2305</v>
      </c>
      <c r="H10" s="11">
        <f>Hotel!N17</f>
        <v>135</v>
      </c>
      <c r="I10" s="11">
        <f>Hotel!P17</f>
        <v>913</v>
      </c>
      <c r="J10" s="11">
        <f>Hotel!U17</f>
        <v>191</v>
      </c>
      <c r="K10" s="11">
        <f>Hotel!Y17</f>
        <v>37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5</v>
      </c>
      <c r="D11" s="10">
        <v>2021</v>
      </c>
      <c r="E11" s="11">
        <f>Hotel!D18</f>
        <v>2296</v>
      </c>
      <c r="F11" s="11">
        <f>Hotel!F18</f>
        <v>2301</v>
      </c>
      <c r="G11" s="11">
        <f>Hotel!H18</f>
        <v>2118</v>
      </c>
      <c r="H11" s="11">
        <f>Hotel!N18</f>
        <v>102</v>
      </c>
      <c r="I11" s="11">
        <f>Hotel!P18</f>
        <v>890</v>
      </c>
      <c r="J11" s="11">
        <f>Hotel!U18</f>
        <v>200</v>
      </c>
      <c r="K11" s="11">
        <f>Hotel!Y18</f>
        <v>39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5</v>
      </c>
      <c r="D12" s="10">
        <v>2021</v>
      </c>
      <c r="E12" s="11">
        <f>Hotel!D19</f>
        <v>2512</v>
      </c>
      <c r="F12" s="11">
        <f>Hotel!F19</f>
        <v>2502</v>
      </c>
      <c r="G12" s="11">
        <f>Hotel!H19</f>
        <v>2300</v>
      </c>
      <c r="H12" s="11">
        <f>Hotel!N19</f>
        <v>106</v>
      </c>
      <c r="I12" s="11">
        <f>Hotel!P19</f>
        <v>876</v>
      </c>
      <c r="J12" s="11">
        <f>Hotel!U19</f>
        <v>315</v>
      </c>
      <c r="K12" s="11">
        <f>Hotel!Y19</f>
        <v>41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5</v>
      </c>
      <c r="D13" s="10">
        <v>2021</v>
      </c>
      <c r="E13" s="11">
        <f>Hotel!D20</f>
        <v>2426</v>
      </c>
      <c r="F13" s="11">
        <f>Hotel!F20</f>
        <v>2402</v>
      </c>
      <c r="G13" s="11">
        <f>Hotel!H20</f>
        <v>2198</v>
      </c>
      <c r="H13" s="11">
        <f>Hotel!N20</f>
        <v>107</v>
      </c>
      <c r="I13" s="11">
        <f>Hotel!P20</f>
        <v>809</v>
      </c>
      <c r="J13" s="11">
        <f>Hotel!U20</f>
        <v>203</v>
      </c>
      <c r="K13" s="11">
        <f>Hotel!Y20</f>
        <v>35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5</v>
      </c>
      <c r="D14" s="10">
        <v>2021</v>
      </c>
      <c r="E14" s="11">
        <f>Hotel!D21</f>
        <v>2420</v>
      </c>
      <c r="F14" s="11">
        <f>Hotel!F21</f>
        <v>2409</v>
      </c>
      <c r="G14" s="11">
        <f>Hotel!H21</f>
        <v>2207</v>
      </c>
      <c r="H14" s="11">
        <f>Hotel!N21</f>
        <v>105</v>
      </c>
      <c r="I14" s="11">
        <f>Hotel!P21</f>
        <v>904</v>
      </c>
      <c r="J14" s="11">
        <f>Hotel!U21</f>
        <v>310</v>
      </c>
      <c r="K14" s="11">
        <f>Hotel!Y21</f>
        <v>45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5</v>
      </c>
      <c r="D15" s="10">
        <v>2021</v>
      </c>
      <c r="E15" s="11">
        <f>Hotel!D22</f>
        <v>2428</v>
      </c>
      <c r="F15" s="11">
        <f>Hotel!F22</f>
        <v>2392</v>
      </c>
      <c r="G15" s="11">
        <f>Hotel!H22</f>
        <v>2219</v>
      </c>
      <c r="H15" s="11">
        <f>Hotel!N22</f>
        <v>110</v>
      </c>
      <c r="I15" s="11">
        <f>Hotel!P22</f>
        <v>1027</v>
      </c>
      <c r="J15" s="11">
        <f>Hotel!U22</f>
        <v>291</v>
      </c>
      <c r="K15" s="11">
        <f>Hotel!Y22</f>
        <v>62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5</v>
      </c>
      <c r="D16" s="10">
        <v>2021</v>
      </c>
      <c r="E16" s="11">
        <f>Hotel!D23</f>
        <v>2451</v>
      </c>
      <c r="F16" s="11">
        <f>Hotel!F23</f>
        <v>2429</v>
      </c>
      <c r="G16" s="11">
        <f>Hotel!H23</f>
        <v>2237</v>
      </c>
      <c r="H16" s="11">
        <f>Hotel!N23</f>
        <v>125</v>
      </c>
      <c r="I16" s="11">
        <f>Hotel!P23</f>
        <v>775</v>
      </c>
      <c r="J16" s="11">
        <f>Hotel!U23</f>
        <v>253</v>
      </c>
      <c r="K16" s="11">
        <f>Hotel!Y23</f>
        <v>64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5</v>
      </c>
      <c r="D17" s="10">
        <v>2021</v>
      </c>
      <c r="E17" s="11">
        <f>Hotel!D24</f>
        <v>2328</v>
      </c>
      <c r="F17" s="11">
        <f>Hotel!F24</f>
        <v>2326</v>
      </c>
      <c r="G17" s="11">
        <f>Hotel!H24</f>
        <v>2132</v>
      </c>
      <c r="H17" s="11">
        <f>Hotel!N24</f>
        <v>107</v>
      </c>
      <c r="I17" s="11">
        <f>Hotel!P24</f>
        <v>859</v>
      </c>
      <c r="J17" s="11">
        <f>Hotel!U24</f>
        <v>356</v>
      </c>
      <c r="K17" s="11">
        <f>Hotel!Y24</f>
        <v>38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5</v>
      </c>
      <c r="D18" s="10">
        <v>2021</v>
      </c>
      <c r="E18" s="11">
        <f>Hotel!D25</f>
        <v>2316</v>
      </c>
      <c r="F18" s="11">
        <f>Hotel!F25</f>
        <v>2307</v>
      </c>
      <c r="G18" s="11">
        <f>Hotel!H25</f>
        <v>2122</v>
      </c>
      <c r="H18" s="11">
        <f>Hotel!N25</f>
        <v>95</v>
      </c>
      <c r="I18" s="11">
        <f>Hotel!P25</f>
        <v>716</v>
      </c>
      <c r="J18" s="11">
        <f>Hotel!U25</f>
        <v>242</v>
      </c>
      <c r="K18" s="11">
        <f>Hotel!Y25</f>
        <v>49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5</v>
      </c>
      <c r="D19" s="10">
        <v>2021</v>
      </c>
      <c r="E19" s="11">
        <f>Hotel!D26</f>
        <v>2681</v>
      </c>
      <c r="F19" s="11">
        <f>Hotel!F26</f>
        <v>2693</v>
      </c>
      <c r="G19" s="11">
        <f>Hotel!H26</f>
        <v>2467</v>
      </c>
      <c r="H19" s="11">
        <f>Hotel!N26</f>
        <v>117</v>
      </c>
      <c r="I19" s="11">
        <f>Hotel!P26</f>
        <v>701</v>
      </c>
      <c r="J19" s="11">
        <f>Hotel!U26</f>
        <v>231</v>
      </c>
      <c r="K19" s="11">
        <f>Hotel!Y26</f>
        <v>40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5</v>
      </c>
      <c r="D20" s="10">
        <v>2021</v>
      </c>
      <c r="E20" s="11">
        <f>Hotel!D27</f>
        <v>2771</v>
      </c>
      <c r="F20" s="11">
        <f>Hotel!F27</f>
        <v>2769</v>
      </c>
      <c r="G20" s="11">
        <f>Hotel!H27</f>
        <v>2558</v>
      </c>
      <c r="H20" s="11">
        <f>Hotel!N27</f>
        <v>114</v>
      </c>
      <c r="I20" s="11">
        <f>Hotel!P27</f>
        <v>750</v>
      </c>
      <c r="J20" s="11">
        <f>Hotel!U27</f>
        <v>254</v>
      </c>
      <c r="K20" s="11">
        <f>Hotel!Y27</f>
        <v>43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5</v>
      </c>
      <c r="D21" s="10">
        <v>2021</v>
      </c>
      <c r="E21" s="11">
        <f>Hotel!D28</f>
        <v>2869</v>
      </c>
      <c r="F21" s="11">
        <f>Hotel!F28</f>
        <v>2880</v>
      </c>
      <c r="G21" s="11">
        <f>Hotel!H28</f>
        <v>2646</v>
      </c>
      <c r="H21" s="11">
        <f>Hotel!N28</f>
        <v>99</v>
      </c>
      <c r="I21" s="11">
        <f>Hotel!P28</f>
        <v>607</v>
      </c>
      <c r="J21" s="11">
        <f>Hotel!U28</f>
        <v>240</v>
      </c>
      <c r="K21" s="11">
        <f>Hotel!Y28</f>
        <v>43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5</v>
      </c>
      <c r="D22" s="10">
        <v>2021</v>
      </c>
      <c r="E22" s="11">
        <f>Hotel!D29</f>
        <v>2954</v>
      </c>
      <c r="F22" s="11">
        <f>Hotel!F29</f>
        <v>2987</v>
      </c>
      <c r="G22" s="11">
        <f>Hotel!H29</f>
        <v>2739</v>
      </c>
      <c r="H22" s="11">
        <f>Hotel!N29</f>
        <v>112</v>
      </c>
      <c r="I22" s="11">
        <f>Hotel!P29</f>
        <v>871</v>
      </c>
      <c r="J22" s="11">
        <f>Hotel!U29</f>
        <v>120</v>
      </c>
      <c r="K22" s="11">
        <f>Hotel!Y29</f>
        <v>52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5</v>
      </c>
      <c r="D23" s="10">
        <v>2021</v>
      </c>
      <c r="E23" s="11">
        <f>Hotel!D30</f>
        <v>3162</v>
      </c>
      <c r="F23" s="11">
        <f>Hotel!F30</f>
        <v>3175</v>
      </c>
      <c r="G23" s="11">
        <f>Hotel!H30</f>
        <v>2927</v>
      </c>
      <c r="H23" s="11">
        <f>Hotel!N30</f>
        <v>124</v>
      </c>
      <c r="I23" s="11">
        <f>Hotel!P30</f>
        <v>850</v>
      </c>
      <c r="J23" s="11">
        <f>Hotel!U30</f>
        <v>243</v>
      </c>
      <c r="K23" s="11">
        <f>Hotel!Y30</f>
        <v>58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5</v>
      </c>
      <c r="D24" s="10">
        <v>2021</v>
      </c>
      <c r="E24" s="11">
        <f>Hotel!D31</f>
        <v>3362</v>
      </c>
      <c r="F24" s="11">
        <f>Hotel!F31</f>
        <v>3449</v>
      </c>
      <c r="G24" s="11">
        <f>Hotel!H31</f>
        <v>3197</v>
      </c>
      <c r="H24" s="11">
        <f>Hotel!N31</f>
        <v>123</v>
      </c>
      <c r="I24" s="11">
        <f>Hotel!P31</f>
        <v>749</v>
      </c>
      <c r="J24" s="11">
        <f>Hotel!U31</f>
        <v>167</v>
      </c>
      <c r="K24" s="11">
        <f>Hotel!Y31</f>
        <v>58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5</v>
      </c>
      <c r="D25" s="10">
        <v>2021</v>
      </c>
      <c r="E25" s="11">
        <f>Hotel!D32</f>
        <v>3323</v>
      </c>
      <c r="F25" s="11">
        <f>Hotel!F32</f>
        <v>3268</v>
      </c>
      <c r="G25" s="11">
        <f>Hotel!H32</f>
        <v>3026</v>
      </c>
      <c r="H25" s="11">
        <f>Hotel!N32</f>
        <v>112</v>
      </c>
      <c r="I25" s="11">
        <f>Hotel!P32</f>
        <v>674</v>
      </c>
      <c r="J25" s="11">
        <f>Hotel!U32</f>
        <v>290</v>
      </c>
      <c r="K25" s="11">
        <f>Hotel!Y32</f>
        <v>54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5</v>
      </c>
      <c r="D26" s="10">
        <v>2021</v>
      </c>
      <c r="E26" s="11">
        <f>Hotel!D33</f>
        <v>3190</v>
      </c>
      <c r="F26" s="11">
        <f>Hotel!F33</f>
        <v>3208</v>
      </c>
      <c r="G26" s="11">
        <f>Hotel!H33</f>
        <v>2969</v>
      </c>
      <c r="H26" s="11">
        <f>Hotel!N33</f>
        <v>114</v>
      </c>
      <c r="I26" s="11">
        <f>Hotel!P33</f>
        <v>771</v>
      </c>
      <c r="J26" s="11">
        <f>Hotel!U33</f>
        <v>246</v>
      </c>
      <c r="K26" s="11">
        <f>Hotel!Y33</f>
        <v>52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5</v>
      </c>
      <c r="D27" s="10">
        <v>2021</v>
      </c>
      <c r="E27" s="11">
        <f>Hotel!D34</f>
        <v>3052</v>
      </c>
      <c r="F27" s="11">
        <f>Hotel!F34</f>
        <v>3068</v>
      </c>
      <c r="G27" s="11">
        <f>Hotel!H34</f>
        <v>2834</v>
      </c>
      <c r="H27" s="11">
        <f>Hotel!N34</f>
        <v>101</v>
      </c>
      <c r="I27" s="11">
        <f>Hotel!P34</f>
        <v>788</v>
      </c>
      <c r="J27" s="11">
        <f>Hotel!U34</f>
        <v>254</v>
      </c>
      <c r="K27" s="11">
        <f>Hotel!Y34</f>
        <v>55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5</v>
      </c>
      <c r="D28" s="10">
        <v>2021</v>
      </c>
      <c r="E28" s="11">
        <f>Hotel!D35</f>
        <v>3149</v>
      </c>
      <c r="F28" s="11">
        <f>Hotel!F35</f>
        <v>3135</v>
      </c>
      <c r="G28" s="11">
        <f>Hotel!H35</f>
        <v>2901</v>
      </c>
      <c r="H28" s="11">
        <f>Hotel!N35</f>
        <v>96</v>
      </c>
      <c r="I28" s="11">
        <f>Hotel!P35</f>
        <v>746</v>
      </c>
      <c r="J28" s="11">
        <f>Hotel!U35</f>
        <v>257</v>
      </c>
      <c r="K28" s="11">
        <f>Hotel!Y35</f>
        <v>58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5</v>
      </c>
      <c r="D29" s="10">
        <v>2021</v>
      </c>
      <c r="E29" s="11">
        <f>Hotel!D36</f>
        <v>3437</v>
      </c>
      <c r="F29" s="11">
        <f>Hotel!F36</f>
        <v>3442</v>
      </c>
      <c r="G29" s="11">
        <f>Hotel!H36</f>
        <v>3177</v>
      </c>
      <c r="H29" s="11">
        <f>Hotel!N36</f>
        <v>140</v>
      </c>
      <c r="I29" s="11">
        <f>Hotel!P36</f>
        <v>950</v>
      </c>
      <c r="J29" s="11">
        <f>Hotel!U36</f>
        <v>244</v>
      </c>
      <c r="K29" s="11">
        <f>Hotel!Y36</f>
        <v>63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5</v>
      </c>
      <c r="D30" s="10">
        <v>2021</v>
      </c>
      <c r="E30" s="11">
        <f>Hotel!D37</f>
        <v>3638</v>
      </c>
      <c r="F30" s="11">
        <f>Hotel!F37</f>
        <v>3638</v>
      </c>
      <c r="G30" s="11">
        <f>Hotel!H37</f>
        <v>3275</v>
      </c>
      <c r="H30" s="11">
        <f>Hotel!N37</f>
        <v>132</v>
      </c>
      <c r="I30" s="11">
        <f>Hotel!P37</f>
        <v>1016</v>
      </c>
      <c r="J30" s="11">
        <f>Hotel!U37</f>
        <v>260</v>
      </c>
      <c r="K30" s="11">
        <f>Hotel!Y37</f>
        <v>80</v>
      </c>
    </row>
    <row r="31" spans="1:93" x14ac:dyDescent="0.25">
      <c r="A31" t="s">
        <v>11</v>
      </c>
      <c r="B31" s="10">
        <f t="shared" si="0"/>
        <v>30</v>
      </c>
      <c r="C31" s="10">
        <v>5</v>
      </c>
      <c r="D31" s="10">
        <v>2021</v>
      </c>
      <c r="E31" s="11">
        <f>Hotel!D38</f>
        <v>3902</v>
      </c>
      <c r="F31" s="11">
        <f>Hotel!F38</f>
        <v>3913</v>
      </c>
      <c r="G31" s="11">
        <f>Hotel!H38</f>
        <v>3718</v>
      </c>
      <c r="H31" s="11">
        <f>Hotel!N38</f>
        <v>121</v>
      </c>
      <c r="I31" s="11">
        <f>Hotel!P38</f>
        <v>1087</v>
      </c>
      <c r="J31" s="11">
        <f>Hotel!U38</f>
        <v>260</v>
      </c>
      <c r="K31" s="11">
        <f>Hotel!Y38</f>
        <v>95</v>
      </c>
    </row>
    <row r="32" spans="1:93" x14ac:dyDescent="0.25">
      <c r="A32" t="s">
        <v>11</v>
      </c>
      <c r="B32" s="10">
        <f t="shared" si="0"/>
        <v>31</v>
      </c>
      <c r="C32" s="10">
        <v>5</v>
      </c>
      <c r="D32" s="10">
        <v>2021</v>
      </c>
      <c r="E32" s="11">
        <f>Hotel!D39</f>
        <v>3834</v>
      </c>
      <c r="F32" s="11">
        <f>Hotel!F39</f>
        <v>3844</v>
      </c>
      <c r="G32" s="11">
        <f>Hotel!H39</f>
        <v>3558</v>
      </c>
      <c r="H32" s="11">
        <f>Hotel!N39</f>
        <v>138</v>
      </c>
      <c r="I32" s="11">
        <f>Hotel!P39</f>
        <v>979</v>
      </c>
      <c r="J32" s="11">
        <f>Hotel!U39</f>
        <v>248</v>
      </c>
      <c r="K32" s="11">
        <f>Hotel!Y39</f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7" workbookViewId="0">
      <selection activeCell="AD38" sqref="AD38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0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0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2021</v>
      </c>
      <c r="X3" s="138"/>
      <c r="Y3" s="138"/>
      <c r="Z3" s="139"/>
    </row>
    <row r="4" spans="1:27" x14ac:dyDescent="0.25">
      <c r="A4" s="10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5294150</v>
      </c>
      <c r="D6" s="28"/>
      <c r="E6" s="29">
        <v>5247020</v>
      </c>
      <c r="F6" s="30"/>
      <c r="G6" s="132">
        <v>4960934</v>
      </c>
      <c r="H6" s="31">
        <f>G6-G5</f>
        <v>4960934</v>
      </c>
      <c r="I6" s="32"/>
      <c r="J6" s="33">
        <f>D6+F6+H6</f>
        <v>4960934</v>
      </c>
      <c r="K6" s="33" t="e">
        <f>D6*0.152+F6*0.238+H6*0.115+#REF!*0.218</f>
        <v>#REF!</v>
      </c>
      <c r="L6" s="34"/>
      <c r="M6" s="35">
        <v>137814</v>
      </c>
      <c r="N6" s="31" t="e">
        <f>M6-#REF!</f>
        <v>#REF!</v>
      </c>
      <c r="O6" s="36">
        <v>2202032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255314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1"/>
      <c r="M7" s="143" t="s">
        <v>98</v>
      </c>
      <c r="N7" s="144"/>
      <c r="O7" s="144"/>
      <c r="P7" s="144"/>
      <c r="Q7" s="144"/>
      <c r="R7" s="145"/>
      <c r="S7" s="41"/>
      <c r="T7" s="146" t="s">
        <v>99</v>
      </c>
      <c r="U7" s="146"/>
      <c r="V7" s="147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121</v>
      </c>
      <c r="B9" s="59">
        <v>1</v>
      </c>
      <c r="C9" s="60">
        <v>5296667</v>
      </c>
      <c r="D9" s="61">
        <f>IF((C9-C6&lt;0), "0",C9-C6)</f>
        <v>2517</v>
      </c>
      <c r="E9" s="62">
        <v>5249514</v>
      </c>
      <c r="F9" s="61">
        <f>IF((E9-E6&lt;0), "0",E9-E6)</f>
        <v>2494</v>
      </c>
      <c r="G9" s="63">
        <v>4963229</v>
      </c>
      <c r="H9" s="61">
        <f>IF((G9-G6&lt;0), "0",G9-G6)</f>
        <v>2295</v>
      </c>
      <c r="I9" s="60">
        <f>H9+F9+D9</f>
        <v>7306</v>
      </c>
      <c r="J9" s="64">
        <v>0.99</v>
      </c>
      <c r="K9" s="65">
        <f>I9*0.251</f>
        <v>1833.806</v>
      </c>
      <c r="L9" s="66"/>
      <c r="M9" s="60">
        <v>137941</v>
      </c>
      <c r="N9" s="61">
        <f>IF((M9-M6&lt;0), "0",M9-M6)</f>
        <v>127</v>
      </c>
      <c r="O9" s="60">
        <v>2203041</v>
      </c>
      <c r="P9" s="61">
        <f>IF((O9-O6&lt;0), "0",O9-O6)</f>
        <v>1009</v>
      </c>
      <c r="Q9" s="67">
        <f t="shared" ref="Q9:Q39" si="0">N9+P9</f>
        <v>1136</v>
      </c>
      <c r="R9" s="68">
        <f>(P9+N9*1.2285)*0.056*10.127</f>
        <v>660.69653868399996</v>
      </c>
      <c r="S9" s="69"/>
      <c r="T9" s="70">
        <v>255553</v>
      </c>
      <c r="U9" s="61">
        <f>IF((T9-T6&lt;0), "0",T9-T6)</f>
        <v>239</v>
      </c>
      <c r="V9" s="71">
        <f>U9*(1.315+1.54)</f>
        <v>682.34500000000003</v>
      </c>
      <c r="W9" s="72"/>
      <c r="X9" s="73">
        <f t="shared" ref="X9:X39" si="1">K9+R9+V9</f>
        <v>3176.847538684</v>
      </c>
      <c r="Y9" s="74">
        <v>31</v>
      </c>
      <c r="Z9" s="75">
        <f>X9/Y9</f>
        <v>102.4789528607742</v>
      </c>
    </row>
    <row r="10" spans="1:27" x14ac:dyDescent="0.25">
      <c r="A10" s="10" t="s">
        <v>96</v>
      </c>
      <c r="B10" s="59">
        <f>B9+1</f>
        <v>2</v>
      </c>
      <c r="C10" s="76">
        <v>5299039</v>
      </c>
      <c r="D10" s="61">
        <f t="shared" ref="D10:D39" si="2">IF((C10-C9&lt;0), "0",C10-C9)</f>
        <v>2372</v>
      </c>
      <c r="E10" s="77">
        <v>5251873</v>
      </c>
      <c r="F10" s="61">
        <f>IF((E10-E9&lt;0), "0",E10-E9)</f>
        <v>2359</v>
      </c>
      <c r="G10" s="77">
        <v>4965408</v>
      </c>
      <c r="H10" s="61">
        <f t="shared" ref="H10:H39" si="3">IF((G10-G9&lt;0), "0",G10-G9)</f>
        <v>2179</v>
      </c>
      <c r="I10" s="60">
        <f t="shared" ref="I10:I39" si="4">H10+F10+D10</f>
        <v>6910</v>
      </c>
      <c r="J10" s="64">
        <v>0.99</v>
      </c>
      <c r="K10" s="65">
        <f t="shared" ref="K10:K39" si="5">I10*0.251</f>
        <v>1734.41</v>
      </c>
      <c r="L10" s="66"/>
      <c r="M10" s="77">
        <v>138056</v>
      </c>
      <c r="N10" s="61">
        <f>IF((M10-M9&lt;0), "0",M10-M9)</f>
        <v>115</v>
      </c>
      <c r="O10" s="77">
        <v>2204078</v>
      </c>
      <c r="P10" s="61">
        <f>IF((O10-O9&lt;0), "0",O10-O9)</f>
        <v>1037</v>
      </c>
      <c r="Q10" s="67">
        <f t="shared" si="0"/>
        <v>1152</v>
      </c>
      <c r="R10" s="68">
        <f t="shared" ref="R10:R39" si="6">(P10+N10*1.2285)*0.056*10.127</f>
        <v>668.21530957999994</v>
      </c>
      <c r="S10" s="69"/>
      <c r="T10" s="78">
        <v>255804</v>
      </c>
      <c r="U10" s="61">
        <f>IF((T10-T9&lt;0), "0",T10-T9)</f>
        <v>251</v>
      </c>
      <c r="V10" s="71">
        <f t="shared" ref="V10:V39" si="7">U10*(1.315+1.54)</f>
        <v>716.60500000000002</v>
      </c>
      <c r="W10" s="72"/>
      <c r="X10" s="79">
        <f t="shared" si="1"/>
        <v>3119.2303095800003</v>
      </c>
      <c r="Y10" s="80">
        <v>32</v>
      </c>
      <c r="Z10" s="81">
        <f t="shared" ref="Z10:Z39" si="8">X10/Y10</f>
        <v>97.475947174375008</v>
      </c>
    </row>
    <row r="11" spans="1:27" x14ac:dyDescent="0.25">
      <c r="A11" s="10" t="s">
        <v>116</v>
      </c>
      <c r="B11" s="59">
        <f t="shared" ref="B11:B39" si="9">B10+1</f>
        <v>3</v>
      </c>
      <c r="C11" s="76">
        <v>5301317</v>
      </c>
      <c r="D11" s="61">
        <f t="shared" si="2"/>
        <v>2278</v>
      </c>
      <c r="E11" s="76">
        <v>5254117</v>
      </c>
      <c r="F11" s="61">
        <f t="shared" ref="F11:F39" si="10">IF((E11-E10&lt;0), "0",E11-E10)</f>
        <v>2244</v>
      </c>
      <c r="G11" s="77">
        <v>4967492</v>
      </c>
      <c r="H11" s="61">
        <f t="shared" si="3"/>
        <v>2084</v>
      </c>
      <c r="I11" s="60">
        <f t="shared" si="4"/>
        <v>6606</v>
      </c>
      <c r="J11" s="64">
        <v>0.99</v>
      </c>
      <c r="K11" s="65">
        <f t="shared" si="5"/>
        <v>1658.106</v>
      </c>
      <c r="L11" s="66"/>
      <c r="M11" s="77">
        <v>138170</v>
      </c>
      <c r="N11" s="61">
        <f t="shared" ref="N11:N39" si="11">IF((M11-M10&lt;0), "0",M11-M10)</f>
        <v>114</v>
      </c>
      <c r="O11" s="77">
        <v>2205124</v>
      </c>
      <c r="P11" s="61">
        <f t="shared" ref="P11:P39" si="12">IF((O11-O10&lt;0), "0",O11-O10)</f>
        <v>1046</v>
      </c>
      <c r="Q11" s="67">
        <f t="shared" si="0"/>
        <v>1160</v>
      </c>
      <c r="R11" s="68">
        <f t="shared" si="6"/>
        <v>672.62262048800005</v>
      </c>
      <c r="S11" s="69"/>
      <c r="T11" s="82">
        <v>256078</v>
      </c>
      <c r="U11" s="61">
        <f t="shared" ref="U11:U39" si="13">IF((T11-T10&lt;0), "0",T11-T10)</f>
        <v>274</v>
      </c>
      <c r="V11" s="71">
        <f t="shared" si="7"/>
        <v>782.27</v>
      </c>
      <c r="W11" s="72"/>
      <c r="X11" s="79">
        <f t="shared" si="1"/>
        <v>3112.9986204880001</v>
      </c>
      <c r="Y11" s="80">
        <v>25</v>
      </c>
      <c r="Z11" s="81">
        <f t="shared" si="8"/>
        <v>124.51994481952001</v>
      </c>
    </row>
    <row r="12" spans="1:27" x14ac:dyDescent="0.25">
      <c r="A12" s="10" t="s">
        <v>117</v>
      </c>
      <c r="B12" s="59">
        <f t="shared" si="9"/>
        <v>4</v>
      </c>
      <c r="C12" s="76">
        <v>5303633</v>
      </c>
      <c r="D12" s="61">
        <f t="shared" si="2"/>
        <v>2316</v>
      </c>
      <c r="E12" s="76">
        <v>5256475</v>
      </c>
      <c r="F12" s="61">
        <f t="shared" si="10"/>
        <v>2358</v>
      </c>
      <c r="G12" s="77">
        <v>4969609</v>
      </c>
      <c r="H12" s="61">
        <f t="shared" si="3"/>
        <v>2117</v>
      </c>
      <c r="I12" s="60">
        <f t="shared" si="4"/>
        <v>6791</v>
      </c>
      <c r="J12" s="64">
        <v>0.99</v>
      </c>
      <c r="K12" s="65">
        <f t="shared" si="5"/>
        <v>1704.5409999999999</v>
      </c>
      <c r="L12" s="66"/>
      <c r="M12" s="77">
        <v>138286</v>
      </c>
      <c r="N12" s="61">
        <f t="shared" si="11"/>
        <v>116</v>
      </c>
      <c r="O12" s="77">
        <v>2206006</v>
      </c>
      <c r="P12" s="61">
        <f t="shared" si="12"/>
        <v>882</v>
      </c>
      <c r="Q12" s="67">
        <f t="shared" si="0"/>
        <v>998</v>
      </c>
      <c r="R12" s="68">
        <f t="shared" si="6"/>
        <v>581.00964667200003</v>
      </c>
      <c r="S12" s="69"/>
      <c r="T12" s="78">
        <v>256194</v>
      </c>
      <c r="U12" s="61">
        <f t="shared" si="13"/>
        <v>116</v>
      </c>
      <c r="V12" s="71">
        <f t="shared" si="7"/>
        <v>331.18</v>
      </c>
      <c r="W12" s="72"/>
      <c r="X12" s="79">
        <f t="shared" si="1"/>
        <v>2616.7306466719997</v>
      </c>
      <c r="Y12" s="80">
        <v>41</v>
      </c>
      <c r="Z12" s="81">
        <f t="shared" si="8"/>
        <v>63.822698699317066</v>
      </c>
    </row>
    <row r="13" spans="1:27" x14ac:dyDescent="0.25">
      <c r="A13" s="10" t="s">
        <v>118</v>
      </c>
      <c r="B13" s="59">
        <f t="shared" si="9"/>
        <v>5</v>
      </c>
      <c r="C13" s="63">
        <v>5306035</v>
      </c>
      <c r="D13" s="61">
        <f t="shared" si="2"/>
        <v>2402</v>
      </c>
      <c r="E13" s="76">
        <v>5258792</v>
      </c>
      <c r="F13" s="61">
        <f t="shared" si="10"/>
        <v>2317</v>
      </c>
      <c r="G13" s="63">
        <v>4971817</v>
      </c>
      <c r="H13" s="61">
        <f t="shared" si="3"/>
        <v>2208</v>
      </c>
      <c r="I13" s="60">
        <f t="shared" si="4"/>
        <v>6927</v>
      </c>
      <c r="J13" s="64">
        <v>0.99</v>
      </c>
      <c r="K13" s="65">
        <f t="shared" si="5"/>
        <v>1738.6769999999999</v>
      </c>
      <c r="L13" s="66"/>
      <c r="M13" s="77">
        <v>138404</v>
      </c>
      <c r="N13" s="61">
        <f t="shared" si="11"/>
        <v>118</v>
      </c>
      <c r="O13" s="76">
        <v>2206930</v>
      </c>
      <c r="P13" s="61">
        <f t="shared" si="12"/>
        <v>924</v>
      </c>
      <c r="Q13" s="67">
        <f t="shared" si="0"/>
        <v>1042</v>
      </c>
      <c r="R13" s="68">
        <f t="shared" si="6"/>
        <v>606.22174485599999</v>
      </c>
      <c r="S13" s="69"/>
      <c r="T13" s="83">
        <v>256604</v>
      </c>
      <c r="U13" s="61">
        <f t="shared" si="13"/>
        <v>410</v>
      </c>
      <c r="V13" s="71">
        <f t="shared" si="7"/>
        <v>1170.55</v>
      </c>
      <c r="W13" s="72"/>
      <c r="X13" s="79">
        <f t="shared" si="1"/>
        <v>3515.4487448560003</v>
      </c>
      <c r="Y13" s="80">
        <v>31</v>
      </c>
      <c r="Z13" s="81">
        <f t="shared" si="8"/>
        <v>113.40157241470969</v>
      </c>
    </row>
    <row r="14" spans="1:27" x14ac:dyDescent="0.25">
      <c r="A14" s="10" t="s">
        <v>119</v>
      </c>
      <c r="B14" s="59">
        <f t="shared" si="9"/>
        <v>6</v>
      </c>
      <c r="C14" s="76">
        <v>5308615</v>
      </c>
      <c r="D14" s="61">
        <f t="shared" si="2"/>
        <v>2580</v>
      </c>
      <c r="E14" s="76">
        <v>5261370</v>
      </c>
      <c r="F14" s="61">
        <f t="shared" si="10"/>
        <v>2578</v>
      </c>
      <c r="G14" s="63">
        <v>4974181</v>
      </c>
      <c r="H14" s="61">
        <f t="shared" si="3"/>
        <v>2364</v>
      </c>
      <c r="I14" s="60">
        <f t="shared" si="4"/>
        <v>7522</v>
      </c>
      <c r="J14" s="64">
        <v>0.99</v>
      </c>
      <c r="K14" s="65">
        <f t="shared" si="5"/>
        <v>1888.0219999999999</v>
      </c>
      <c r="L14" s="66"/>
      <c r="M14" s="77">
        <v>138525</v>
      </c>
      <c r="N14" s="61">
        <f t="shared" si="11"/>
        <v>121</v>
      </c>
      <c r="O14" s="76">
        <v>2208005</v>
      </c>
      <c r="P14" s="61">
        <f t="shared" si="12"/>
        <v>1075</v>
      </c>
      <c r="Q14" s="67">
        <f t="shared" si="0"/>
        <v>1196</v>
      </c>
      <c r="R14" s="68">
        <f t="shared" si="6"/>
        <v>693.94574813200006</v>
      </c>
      <c r="S14" s="69"/>
      <c r="T14" s="83">
        <v>256655</v>
      </c>
      <c r="U14" s="61">
        <f t="shared" si="13"/>
        <v>51</v>
      </c>
      <c r="V14" s="71">
        <f t="shared" si="7"/>
        <v>145.60499999999999</v>
      </c>
      <c r="W14" s="72"/>
      <c r="X14" s="79">
        <f t="shared" si="1"/>
        <v>2727.572748132</v>
      </c>
      <c r="Y14" s="80">
        <v>42</v>
      </c>
      <c r="Z14" s="81">
        <f t="shared" si="8"/>
        <v>64.942208288857145</v>
      </c>
    </row>
    <row r="15" spans="1:27" x14ac:dyDescent="0.25">
      <c r="A15" s="10" t="s">
        <v>120</v>
      </c>
      <c r="B15" s="59">
        <f t="shared" si="9"/>
        <v>7</v>
      </c>
      <c r="C15" s="76">
        <v>5311125</v>
      </c>
      <c r="D15" s="61">
        <f t="shared" si="2"/>
        <v>2510</v>
      </c>
      <c r="E15" s="76">
        <v>5263864</v>
      </c>
      <c r="F15" s="61">
        <f t="shared" si="10"/>
        <v>2494</v>
      </c>
      <c r="G15" s="76">
        <v>4976501</v>
      </c>
      <c r="H15" s="61">
        <f t="shared" si="3"/>
        <v>2320</v>
      </c>
      <c r="I15" s="60">
        <f t="shared" si="4"/>
        <v>7324</v>
      </c>
      <c r="J15" s="64">
        <v>0.99</v>
      </c>
      <c r="K15" s="65">
        <f t="shared" si="5"/>
        <v>1838.3240000000001</v>
      </c>
      <c r="L15" s="66"/>
      <c r="M15" s="77">
        <v>138646</v>
      </c>
      <c r="N15" s="61">
        <f t="shared" si="11"/>
        <v>121</v>
      </c>
      <c r="O15" s="76">
        <v>2209111</v>
      </c>
      <c r="P15" s="61">
        <f t="shared" si="12"/>
        <v>1106</v>
      </c>
      <c r="Q15" s="67">
        <f t="shared" si="0"/>
        <v>1227</v>
      </c>
      <c r="R15" s="68">
        <f t="shared" si="6"/>
        <v>711.52622013200005</v>
      </c>
      <c r="S15" s="69"/>
      <c r="T15" s="83">
        <v>256874</v>
      </c>
      <c r="U15" s="61">
        <f t="shared" si="13"/>
        <v>219</v>
      </c>
      <c r="V15" s="71">
        <f t="shared" si="7"/>
        <v>625.245</v>
      </c>
      <c r="W15" s="72"/>
      <c r="X15" s="79">
        <f t="shared" si="1"/>
        <v>3175.0952201320001</v>
      </c>
      <c r="Y15" s="80">
        <v>35</v>
      </c>
      <c r="Z15" s="81">
        <f t="shared" si="8"/>
        <v>90.717006289485724</v>
      </c>
    </row>
    <row r="16" spans="1:27" x14ac:dyDescent="0.25">
      <c r="A16" s="10" t="s">
        <v>121</v>
      </c>
      <c r="B16" s="59">
        <f t="shared" si="9"/>
        <v>8</v>
      </c>
      <c r="C16" s="76">
        <v>5313562</v>
      </c>
      <c r="D16" s="61">
        <f t="shared" si="2"/>
        <v>2437</v>
      </c>
      <c r="E16" s="76">
        <v>5266285</v>
      </c>
      <c r="F16" s="61">
        <f t="shared" si="10"/>
        <v>2421</v>
      </c>
      <c r="G16" s="76">
        <v>4978747</v>
      </c>
      <c r="H16" s="61">
        <f t="shared" si="3"/>
        <v>2246</v>
      </c>
      <c r="I16" s="60">
        <f t="shared" si="4"/>
        <v>7104</v>
      </c>
      <c r="J16" s="64">
        <v>0.99</v>
      </c>
      <c r="K16" s="65">
        <f t="shared" si="5"/>
        <v>1783.104</v>
      </c>
      <c r="L16" s="66"/>
      <c r="M16" s="77">
        <v>138761</v>
      </c>
      <c r="N16" s="61">
        <f t="shared" si="11"/>
        <v>115</v>
      </c>
      <c r="O16" s="76">
        <v>2210147</v>
      </c>
      <c r="P16" s="61">
        <f t="shared" si="12"/>
        <v>1036</v>
      </c>
      <c r="Q16" s="67">
        <f t="shared" si="0"/>
        <v>1151</v>
      </c>
      <c r="R16" s="68">
        <f t="shared" si="6"/>
        <v>667.64819757999999</v>
      </c>
      <c r="S16" s="69"/>
      <c r="T16" s="83">
        <v>257063</v>
      </c>
      <c r="U16" s="61">
        <f t="shared" si="13"/>
        <v>189</v>
      </c>
      <c r="V16" s="71">
        <f t="shared" si="7"/>
        <v>539.59500000000003</v>
      </c>
      <c r="W16" s="72"/>
      <c r="X16" s="79">
        <f t="shared" si="1"/>
        <v>2990.3471975800003</v>
      </c>
      <c r="Y16" s="80">
        <v>30</v>
      </c>
      <c r="Z16" s="81">
        <f t="shared" si="8"/>
        <v>99.678239919333336</v>
      </c>
    </row>
    <row r="17" spans="1:26" x14ac:dyDescent="0.25">
      <c r="A17" s="10" t="s">
        <v>96</v>
      </c>
      <c r="B17" s="59">
        <v>9</v>
      </c>
      <c r="C17" s="84">
        <v>5316045</v>
      </c>
      <c r="D17" s="61">
        <f t="shared" si="2"/>
        <v>2483</v>
      </c>
      <c r="E17" s="84">
        <v>5268775</v>
      </c>
      <c r="F17" s="61">
        <f t="shared" si="10"/>
        <v>2490</v>
      </c>
      <c r="G17" s="84">
        <v>4981052</v>
      </c>
      <c r="H17" s="61">
        <f t="shared" si="3"/>
        <v>2305</v>
      </c>
      <c r="I17" s="60">
        <f t="shared" si="4"/>
        <v>7278</v>
      </c>
      <c r="J17" s="64">
        <v>0.99</v>
      </c>
      <c r="K17" s="65">
        <f t="shared" si="5"/>
        <v>1826.778</v>
      </c>
      <c r="L17" s="66"/>
      <c r="M17" s="84">
        <v>138896</v>
      </c>
      <c r="N17" s="61">
        <f t="shared" si="11"/>
        <v>135</v>
      </c>
      <c r="O17" s="84">
        <v>2211060</v>
      </c>
      <c r="P17" s="61">
        <f t="shared" si="12"/>
        <v>913</v>
      </c>
      <c r="Q17" s="67">
        <f t="shared" si="0"/>
        <v>1048</v>
      </c>
      <c r="R17" s="68">
        <f t="shared" si="6"/>
        <v>611.8273634200001</v>
      </c>
      <c r="S17" s="69"/>
      <c r="T17" s="85">
        <v>257254</v>
      </c>
      <c r="U17" s="61">
        <f t="shared" si="13"/>
        <v>191</v>
      </c>
      <c r="V17" s="71">
        <f t="shared" si="7"/>
        <v>545.30499999999995</v>
      </c>
      <c r="W17" s="72"/>
      <c r="X17" s="79">
        <f t="shared" si="1"/>
        <v>2983.9103634200001</v>
      </c>
      <c r="Y17" s="80">
        <v>37</v>
      </c>
      <c r="Z17" s="81">
        <f t="shared" si="8"/>
        <v>80.646226038378387</v>
      </c>
    </row>
    <row r="18" spans="1:26" x14ac:dyDescent="0.25">
      <c r="A18" s="10" t="s">
        <v>116</v>
      </c>
      <c r="B18" s="86">
        <f t="shared" si="9"/>
        <v>10</v>
      </c>
      <c r="C18" s="84">
        <v>5318341</v>
      </c>
      <c r="D18" s="61">
        <f t="shared" si="2"/>
        <v>2296</v>
      </c>
      <c r="E18" s="76">
        <v>5271076</v>
      </c>
      <c r="F18" s="61">
        <f t="shared" si="10"/>
        <v>2301</v>
      </c>
      <c r="G18" s="76">
        <v>4983170</v>
      </c>
      <c r="H18" s="61">
        <f t="shared" si="3"/>
        <v>2118</v>
      </c>
      <c r="I18" s="60">
        <f t="shared" si="4"/>
        <v>6715</v>
      </c>
      <c r="J18" s="64">
        <v>0.99</v>
      </c>
      <c r="K18" s="65">
        <f t="shared" si="5"/>
        <v>1685.4649999999999</v>
      </c>
      <c r="L18" s="87"/>
      <c r="M18" s="77">
        <v>138998</v>
      </c>
      <c r="N18" s="61">
        <f t="shared" si="11"/>
        <v>102</v>
      </c>
      <c r="O18" s="76">
        <v>2211950</v>
      </c>
      <c r="P18" s="61">
        <f t="shared" si="12"/>
        <v>890</v>
      </c>
      <c r="Q18" s="67">
        <f t="shared" si="0"/>
        <v>992</v>
      </c>
      <c r="R18" s="68">
        <f t="shared" si="6"/>
        <v>575.79278338400013</v>
      </c>
      <c r="S18" s="88"/>
      <c r="T18" s="83">
        <v>257454</v>
      </c>
      <c r="U18" s="61">
        <f t="shared" si="13"/>
        <v>200</v>
      </c>
      <c r="V18" s="71">
        <f t="shared" si="7"/>
        <v>571</v>
      </c>
      <c r="W18" s="72"/>
      <c r="X18" s="79">
        <f t="shared" si="1"/>
        <v>2832.257783384</v>
      </c>
      <c r="Y18" s="80">
        <v>39</v>
      </c>
      <c r="Z18" s="89">
        <f t="shared" si="8"/>
        <v>72.621994445743596</v>
      </c>
    </row>
    <row r="19" spans="1:26" x14ac:dyDescent="0.25">
      <c r="A19" s="10" t="s">
        <v>117</v>
      </c>
      <c r="B19" s="90">
        <f t="shared" si="9"/>
        <v>11</v>
      </c>
      <c r="C19" s="76">
        <v>5320853</v>
      </c>
      <c r="D19" s="61">
        <f t="shared" si="2"/>
        <v>2512</v>
      </c>
      <c r="E19" s="76">
        <v>5273578</v>
      </c>
      <c r="F19" s="61">
        <f t="shared" si="10"/>
        <v>2502</v>
      </c>
      <c r="G19" s="76">
        <v>4985470</v>
      </c>
      <c r="H19" s="61">
        <f t="shared" si="3"/>
        <v>2300</v>
      </c>
      <c r="I19" s="60">
        <f t="shared" si="4"/>
        <v>7314</v>
      </c>
      <c r="J19" s="64">
        <v>0.99</v>
      </c>
      <c r="K19" s="65">
        <f t="shared" si="5"/>
        <v>1835.8140000000001</v>
      </c>
      <c r="L19" s="66"/>
      <c r="M19" s="77">
        <v>139104</v>
      </c>
      <c r="N19" s="61">
        <f t="shared" si="11"/>
        <v>106</v>
      </c>
      <c r="O19" s="91">
        <v>2212826</v>
      </c>
      <c r="P19" s="61">
        <f t="shared" si="12"/>
        <v>876</v>
      </c>
      <c r="Q19" s="67">
        <f t="shared" si="0"/>
        <v>982</v>
      </c>
      <c r="R19" s="68">
        <f t="shared" si="6"/>
        <v>570.6400037520001</v>
      </c>
      <c r="S19" s="69"/>
      <c r="T19" s="92">
        <v>257769</v>
      </c>
      <c r="U19" s="61">
        <f t="shared" si="13"/>
        <v>315</v>
      </c>
      <c r="V19" s="71">
        <f t="shared" si="7"/>
        <v>899.32500000000005</v>
      </c>
      <c r="W19" s="72"/>
      <c r="X19" s="79">
        <f t="shared" si="1"/>
        <v>3305.7790037519999</v>
      </c>
      <c r="Y19" s="80">
        <v>41</v>
      </c>
      <c r="Z19" s="75">
        <f t="shared" si="8"/>
        <v>80.628756189073172</v>
      </c>
    </row>
    <row r="20" spans="1:26" x14ac:dyDescent="0.25">
      <c r="A20" s="10" t="s">
        <v>118</v>
      </c>
      <c r="B20" s="59">
        <f t="shared" si="9"/>
        <v>12</v>
      </c>
      <c r="C20" s="76">
        <v>5323279</v>
      </c>
      <c r="D20" s="61">
        <f t="shared" si="2"/>
        <v>2426</v>
      </c>
      <c r="E20" s="76">
        <v>5275980</v>
      </c>
      <c r="F20" s="61">
        <f t="shared" si="10"/>
        <v>2402</v>
      </c>
      <c r="G20" s="76">
        <v>4987668</v>
      </c>
      <c r="H20" s="61">
        <f t="shared" si="3"/>
        <v>2198</v>
      </c>
      <c r="I20" s="60">
        <f t="shared" si="4"/>
        <v>7026</v>
      </c>
      <c r="J20" s="64">
        <v>0.99</v>
      </c>
      <c r="K20" s="65">
        <f t="shared" si="5"/>
        <v>1763.5260000000001</v>
      </c>
      <c r="L20" s="66"/>
      <c r="M20" s="77">
        <v>139211</v>
      </c>
      <c r="N20" s="61">
        <f t="shared" si="11"/>
        <v>107</v>
      </c>
      <c r="O20" s="76">
        <v>2213635</v>
      </c>
      <c r="P20" s="61">
        <f t="shared" si="12"/>
        <v>809</v>
      </c>
      <c r="Q20" s="67">
        <f t="shared" si="0"/>
        <v>916</v>
      </c>
      <c r="R20" s="68">
        <f t="shared" si="6"/>
        <v>533.34019684400005</v>
      </c>
      <c r="S20" s="69"/>
      <c r="T20" s="83">
        <v>257972</v>
      </c>
      <c r="U20" s="61">
        <f t="shared" si="13"/>
        <v>203</v>
      </c>
      <c r="V20" s="71">
        <f t="shared" si="7"/>
        <v>579.56499999999994</v>
      </c>
      <c r="W20" s="72"/>
      <c r="X20" s="79">
        <f t="shared" si="1"/>
        <v>2876.4311968440002</v>
      </c>
      <c r="Y20" s="80">
        <v>35</v>
      </c>
      <c r="Z20" s="81">
        <f t="shared" si="8"/>
        <v>82.183748481257155</v>
      </c>
    </row>
    <row r="21" spans="1:26" x14ac:dyDescent="0.25">
      <c r="A21" s="10" t="s">
        <v>119</v>
      </c>
      <c r="B21" s="59">
        <f t="shared" si="9"/>
        <v>13</v>
      </c>
      <c r="C21" s="84">
        <v>5325699</v>
      </c>
      <c r="D21" s="61">
        <f t="shared" si="2"/>
        <v>2420</v>
      </c>
      <c r="E21" s="76">
        <v>5278389</v>
      </c>
      <c r="F21" s="61">
        <f t="shared" si="10"/>
        <v>2409</v>
      </c>
      <c r="G21" s="76">
        <v>4989875</v>
      </c>
      <c r="H21" s="61">
        <f t="shared" si="3"/>
        <v>2207</v>
      </c>
      <c r="I21" s="60">
        <f t="shared" si="4"/>
        <v>7036</v>
      </c>
      <c r="J21" s="64">
        <v>0.98</v>
      </c>
      <c r="K21" s="65">
        <f t="shared" si="5"/>
        <v>1766.0360000000001</v>
      </c>
      <c r="L21" s="66"/>
      <c r="M21" s="77">
        <v>139316</v>
      </c>
      <c r="N21" s="61">
        <f t="shared" si="11"/>
        <v>105</v>
      </c>
      <c r="O21" s="76">
        <v>2214539</v>
      </c>
      <c r="P21" s="61">
        <f t="shared" si="12"/>
        <v>904</v>
      </c>
      <c r="Q21" s="67">
        <f t="shared" si="0"/>
        <v>1009</v>
      </c>
      <c r="R21" s="68">
        <f t="shared" si="6"/>
        <v>585.82244266000009</v>
      </c>
      <c r="S21" s="69"/>
      <c r="T21" s="83">
        <v>258282</v>
      </c>
      <c r="U21" s="61">
        <f t="shared" si="13"/>
        <v>310</v>
      </c>
      <c r="V21" s="71">
        <f t="shared" si="7"/>
        <v>885.05</v>
      </c>
      <c r="W21" s="72"/>
      <c r="X21" s="79">
        <f t="shared" si="1"/>
        <v>3236.9084426600002</v>
      </c>
      <c r="Y21" s="80">
        <v>45</v>
      </c>
      <c r="Z21" s="81">
        <f t="shared" si="8"/>
        <v>71.931298725777779</v>
      </c>
    </row>
    <row r="22" spans="1:26" x14ac:dyDescent="0.25">
      <c r="A22" s="10" t="s">
        <v>120</v>
      </c>
      <c r="B22" s="59">
        <f t="shared" si="9"/>
        <v>14</v>
      </c>
      <c r="C22" s="84">
        <v>5328127</v>
      </c>
      <c r="D22" s="61">
        <f t="shared" si="2"/>
        <v>2428</v>
      </c>
      <c r="E22" s="76">
        <v>5280781</v>
      </c>
      <c r="F22" s="61">
        <f t="shared" si="10"/>
        <v>2392</v>
      </c>
      <c r="G22" s="76">
        <v>4992094</v>
      </c>
      <c r="H22" s="61">
        <f t="shared" si="3"/>
        <v>2219</v>
      </c>
      <c r="I22" s="60">
        <f t="shared" si="4"/>
        <v>7039</v>
      </c>
      <c r="J22" s="64">
        <v>0.98</v>
      </c>
      <c r="K22" s="65">
        <f t="shared" si="5"/>
        <v>1766.789</v>
      </c>
      <c r="L22" s="66"/>
      <c r="M22" s="77">
        <v>139426</v>
      </c>
      <c r="N22" s="61">
        <f t="shared" si="11"/>
        <v>110</v>
      </c>
      <c r="O22" s="76">
        <v>2215566</v>
      </c>
      <c r="P22" s="61">
        <f t="shared" si="12"/>
        <v>1027</v>
      </c>
      <c r="Q22" s="67">
        <f t="shared" si="0"/>
        <v>1137</v>
      </c>
      <c r="R22" s="68">
        <f t="shared" si="6"/>
        <v>659.06070412000008</v>
      </c>
      <c r="S22" s="69"/>
      <c r="T22" s="83">
        <v>258573</v>
      </c>
      <c r="U22" s="61">
        <f t="shared" si="13"/>
        <v>291</v>
      </c>
      <c r="V22" s="71">
        <f t="shared" si="7"/>
        <v>830.80499999999995</v>
      </c>
      <c r="W22" s="72"/>
      <c r="X22" s="79">
        <f t="shared" si="1"/>
        <v>3256.6547041199997</v>
      </c>
      <c r="Y22" s="80">
        <v>62</v>
      </c>
      <c r="Z22" s="81">
        <f t="shared" si="8"/>
        <v>52.526688776129028</v>
      </c>
    </row>
    <row r="23" spans="1:26" x14ac:dyDescent="0.25">
      <c r="A23" s="10" t="s">
        <v>121</v>
      </c>
      <c r="B23" s="59">
        <f t="shared" si="9"/>
        <v>15</v>
      </c>
      <c r="C23" s="76">
        <v>5330578</v>
      </c>
      <c r="D23" s="61">
        <f t="shared" si="2"/>
        <v>2451</v>
      </c>
      <c r="E23" s="76">
        <v>5283210</v>
      </c>
      <c r="F23" s="61">
        <f t="shared" si="10"/>
        <v>2429</v>
      </c>
      <c r="G23" s="76">
        <v>4994331</v>
      </c>
      <c r="H23" s="61">
        <f t="shared" si="3"/>
        <v>2237</v>
      </c>
      <c r="I23" s="60">
        <f t="shared" si="4"/>
        <v>7117</v>
      </c>
      <c r="J23" s="64">
        <v>0.98</v>
      </c>
      <c r="K23" s="65">
        <f t="shared" si="5"/>
        <v>1786.367</v>
      </c>
      <c r="L23" s="66"/>
      <c r="M23" s="77">
        <v>139551</v>
      </c>
      <c r="N23" s="61">
        <f t="shared" si="11"/>
        <v>125</v>
      </c>
      <c r="O23" s="76">
        <v>2216341</v>
      </c>
      <c r="P23" s="61">
        <f t="shared" si="12"/>
        <v>775</v>
      </c>
      <c r="Q23" s="67">
        <f t="shared" si="0"/>
        <v>900</v>
      </c>
      <c r="R23" s="68">
        <f t="shared" si="6"/>
        <v>526.59893650000004</v>
      </c>
      <c r="S23" s="69"/>
      <c r="T23" s="83">
        <v>258826</v>
      </c>
      <c r="U23" s="61">
        <f t="shared" si="13"/>
        <v>253</v>
      </c>
      <c r="V23" s="71">
        <f t="shared" si="7"/>
        <v>722.31499999999994</v>
      </c>
      <c r="W23" s="72"/>
      <c r="X23" s="79">
        <f t="shared" si="1"/>
        <v>3035.2809364999998</v>
      </c>
      <c r="Y23" s="80">
        <v>64</v>
      </c>
      <c r="Z23" s="81">
        <f t="shared" si="8"/>
        <v>47.426264632812497</v>
      </c>
    </row>
    <row r="24" spans="1:26" x14ac:dyDescent="0.25">
      <c r="A24" s="10" t="s">
        <v>96</v>
      </c>
      <c r="B24" s="59">
        <f t="shared" si="9"/>
        <v>16</v>
      </c>
      <c r="C24" s="76">
        <v>5332906</v>
      </c>
      <c r="D24" s="61">
        <f t="shared" si="2"/>
        <v>2328</v>
      </c>
      <c r="E24" s="76">
        <v>5285536</v>
      </c>
      <c r="F24" s="61">
        <f t="shared" si="10"/>
        <v>2326</v>
      </c>
      <c r="G24" s="76">
        <v>4996463</v>
      </c>
      <c r="H24" s="61">
        <f t="shared" si="3"/>
        <v>2132</v>
      </c>
      <c r="I24" s="60">
        <f t="shared" si="4"/>
        <v>6786</v>
      </c>
      <c r="J24" s="64">
        <v>0.98</v>
      </c>
      <c r="K24" s="65">
        <f t="shared" si="5"/>
        <v>1703.2860000000001</v>
      </c>
      <c r="L24" s="66"/>
      <c r="M24" s="77">
        <v>139658</v>
      </c>
      <c r="N24" s="61">
        <f t="shared" si="11"/>
        <v>107</v>
      </c>
      <c r="O24" s="76">
        <v>2217200</v>
      </c>
      <c r="P24" s="61">
        <f t="shared" si="12"/>
        <v>859</v>
      </c>
      <c r="Q24" s="67">
        <f t="shared" si="0"/>
        <v>966</v>
      </c>
      <c r="R24" s="68">
        <f t="shared" si="6"/>
        <v>561.69579684400003</v>
      </c>
      <c r="S24" s="69"/>
      <c r="T24" s="83">
        <v>259182</v>
      </c>
      <c r="U24" s="61">
        <f t="shared" si="13"/>
        <v>356</v>
      </c>
      <c r="V24" s="71">
        <f t="shared" si="7"/>
        <v>1016.38</v>
      </c>
      <c r="W24" s="72"/>
      <c r="X24" s="79">
        <f t="shared" si="1"/>
        <v>3281.3617968440003</v>
      </c>
      <c r="Y24" s="80">
        <v>38</v>
      </c>
      <c r="Z24" s="81">
        <f t="shared" si="8"/>
        <v>86.351626232736848</v>
      </c>
    </row>
    <row r="25" spans="1:26" x14ac:dyDescent="0.25">
      <c r="A25" s="10" t="s">
        <v>116</v>
      </c>
      <c r="B25" s="59">
        <f t="shared" si="9"/>
        <v>17</v>
      </c>
      <c r="C25" s="76">
        <v>5335222</v>
      </c>
      <c r="D25" s="61">
        <f t="shared" si="2"/>
        <v>2316</v>
      </c>
      <c r="E25" s="76">
        <v>5287843</v>
      </c>
      <c r="F25" s="61">
        <f t="shared" si="10"/>
        <v>2307</v>
      </c>
      <c r="G25" s="76">
        <v>4998585</v>
      </c>
      <c r="H25" s="61">
        <f t="shared" si="3"/>
        <v>2122</v>
      </c>
      <c r="I25" s="60">
        <f t="shared" si="4"/>
        <v>6745</v>
      </c>
      <c r="J25" s="64">
        <v>0.98</v>
      </c>
      <c r="K25" s="65">
        <f t="shared" si="5"/>
        <v>1692.9950000000001</v>
      </c>
      <c r="L25" s="66"/>
      <c r="M25" s="77">
        <v>139753</v>
      </c>
      <c r="N25" s="61">
        <f t="shared" si="11"/>
        <v>95</v>
      </c>
      <c r="O25" s="76">
        <v>2217916</v>
      </c>
      <c r="P25" s="61">
        <f t="shared" si="12"/>
        <v>716</v>
      </c>
      <c r="Q25" s="67">
        <f t="shared" si="0"/>
        <v>811</v>
      </c>
      <c r="R25" s="68">
        <f t="shared" si="6"/>
        <v>472.23841573999999</v>
      </c>
      <c r="S25" s="69"/>
      <c r="T25" s="83">
        <v>259424</v>
      </c>
      <c r="U25" s="61">
        <f t="shared" si="13"/>
        <v>242</v>
      </c>
      <c r="V25" s="71">
        <f t="shared" si="7"/>
        <v>690.91</v>
      </c>
      <c r="W25" s="72"/>
      <c r="X25" s="79">
        <f t="shared" si="1"/>
        <v>2856.1434157399999</v>
      </c>
      <c r="Y25" s="80">
        <v>49</v>
      </c>
      <c r="Z25" s="81">
        <f t="shared" si="8"/>
        <v>58.288641137551018</v>
      </c>
    </row>
    <row r="26" spans="1:26" x14ac:dyDescent="0.25">
      <c r="A26" s="10" t="s">
        <v>117</v>
      </c>
      <c r="B26" s="59">
        <f t="shared" si="9"/>
        <v>18</v>
      </c>
      <c r="C26" s="76">
        <v>5337903</v>
      </c>
      <c r="D26" s="61">
        <f t="shared" si="2"/>
        <v>2681</v>
      </c>
      <c r="E26" s="76">
        <v>5290536</v>
      </c>
      <c r="F26" s="61">
        <f t="shared" si="10"/>
        <v>2693</v>
      </c>
      <c r="G26" s="76">
        <v>5001052</v>
      </c>
      <c r="H26" s="61">
        <f t="shared" si="3"/>
        <v>2467</v>
      </c>
      <c r="I26" s="60">
        <f t="shared" si="4"/>
        <v>7841</v>
      </c>
      <c r="J26" s="64">
        <v>0.98</v>
      </c>
      <c r="K26" s="65">
        <f t="shared" si="5"/>
        <v>1968.0909999999999</v>
      </c>
      <c r="L26" s="66"/>
      <c r="M26" s="77">
        <v>139870</v>
      </c>
      <c r="N26" s="61">
        <f t="shared" si="11"/>
        <v>117</v>
      </c>
      <c r="O26" s="76">
        <v>2218617</v>
      </c>
      <c r="P26" s="61">
        <f t="shared" si="12"/>
        <v>701</v>
      </c>
      <c r="Q26" s="67">
        <f t="shared" si="0"/>
        <v>818</v>
      </c>
      <c r="R26" s="68">
        <f t="shared" si="6"/>
        <v>479.05907176400001</v>
      </c>
      <c r="S26" s="69"/>
      <c r="T26" s="83">
        <v>259655</v>
      </c>
      <c r="U26" s="61">
        <f t="shared" si="13"/>
        <v>231</v>
      </c>
      <c r="V26" s="71">
        <f t="shared" si="7"/>
        <v>659.505</v>
      </c>
      <c r="W26" s="72"/>
      <c r="X26" s="79">
        <f t="shared" si="1"/>
        <v>3106.6550717640002</v>
      </c>
      <c r="Y26" s="80">
        <v>40</v>
      </c>
      <c r="Z26" s="81">
        <f t="shared" si="8"/>
        <v>77.666376794100003</v>
      </c>
    </row>
    <row r="27" spans="1:26" x14ac:dyDescent="0.25">
      <c r="A27" s="10" t="s">
        <v>118</v>
      </c>
      <c r="B27" s="59">
        <f t="shared" si="9"/>
        <v>19</v>
      </c>
      <c r="C27" s="76">
        <v>5340674</v>
      </c>
      <c r="D27" s="61">
        <f t="shared" si="2"/>
        <v>2771</v>
      </c>
      <c r="E27" s="76">
        <v>5293305</v>
      </c>
      <c r="F27" s="61">
        <f t="shared" si="10"/>
        <v>2769</v>
      </c>
      <c r="G27" s="76">
        <v>5003610</v>
      </c>
      <c r="H27" s="61">
        <f t="shared" si="3"/>
        <v>2558</v>
      </c>
      <c r="I27" s="60">
        <f t="shared" si="4"/>
        <v>8098</v>
      </c>
      <c r="J27" s="64">
        <v>0.99</v>
      </c>
      <c r="K27" s="65">
        <f t="shared" si="5"/>
        <v>2032.598</v>
      </c>
      <c r="L27" s="93"/>
      <c r="M27" s="77">
        <v>139984</v>
      </c>
      <c r="N27" s="61">
        <f t="shared" si="11"/>
        <v>114</v>
      </c>
      <c r="O27" s="76">
        <v>2219367</v>
      </c>
      <c r="P27" s="61">
        <f t="shared" si="12"/>
        <v>750</v>
      </c>
      <c r="Q27" s="67">
        <f t="shared" si="0"/>
        <v>864</v>
      </c>
      <c r="R27" s="68">
        <f t="shared" si="6"/>
        <v>504.75746848800009</v>
      </c>
      <c r="S27" s="69"/>
      <c r="T27" s="83">
        <v>259909</v>
      </c>
      <c r="U27" s="61">
        <f t="shared" si="13"/>
        <v>254</v>
      </c>
      <c r="V27" s="71">
        <f t="shared" si="7"/>
        <v>725.17</v>
      </c>
      <c r="W27" s="72"/>
      <c r="X27" s="79">
        <f t="shared" si="1"/>
        <v>3262.5254684880001</v>
      </c>
      <c r="Y27" s="80">
        <v>43</v>
      </c>
      <c r="Z27" s="81">
        <f t="shared" si="8"/>
        <v>75.872685313674424</v>
      </c>
    </row>
    <row r="28" spans="1:26" x14ac:dyDescent="0.25">
      <c r="A28" s="10" t="s">
        <v>119</v>
      </c>
      <c r="B28" s="86">
        <f t="shared" si="9"/>
        <v>20</v>
      </c>
      <c r="C28" s="84">
        <v>5343543</v>
      </c>
      <c r="D28" s="61">
        <f t="shared" si="2"/>
        <v>2869</v>
      </c>
      <c r="E28" s="84">
        <v>5296185</v>
      </c>
      <c r="F28" s="61">
        <f t="shared" si="10"/>
        <v>2880</v>
      </c>
      <c r="G28" s="84">
        <v>5006256</v>
      </c>
      <c r="H28" s="61">
        <f t="shared" si="3"/>
        <v>2646</v>
      </c>
      <c r="I28" s="60">
        <f t="shared" si="4"/>
        <v>8395</v>
      </c>
      <c r="J28" s="64">
        <v>0.99</v>
      </c>
      <c r="K28" s="65">
        <f t="shared" si="5"/>
        <v>2107.145</v>
      </c>
      <c r="L28" s="94"/>
      <c r="M28" s="77">
        <v>140083</v>
      </c>
      <c r="N28" s="61">
        <f t="shared" si="11"/>
        <v>99</v>
      </c>
      <c r="O28" s="76">
        <v>2219974</v>
      </c>
      <c r="P28" s="61">
        <f t="shared" si="12"/>
        <v>607</v>
      </c>
      <c r="Q28" s="67">
        <f t="shared" si="0"/>
        <v>706</v>
      </c>
      <c r="R28" s="68">
        <f t="shared" si="6"/>
        <v>413.20999610800004</v>
      </c>
      <c r="S28" s="76"/>
      <c r="T28" s="83">
        <v>260149</v>
      </c>
      <c r="U28" s="61">
        <f t="shared" si="13"/>
        <v>240</v>
      </c>
      <c r="V28" s="71">
        <f t="shared" si="7"/>
        <v>685.2</v>
      </c>
      <c r="W28" s="72"/>
      <c r="X28" s="95">
        <f t="shared" si="1"/>
        <v>3205.5549961079996</v>
      </c>
      <c r="Y28" s="80">
        <v>43</v>
      </c>
      <c r="Z28" s="89">
        <f t="shared" si="8"/>
        <v>74.547790607162781</v>
      </c>
    </row>
    <row r="29" spans="1:26" x14ac:dyDescent="0.25">
      <c r="A29" s="10" t="s">
        <v>120</v>
      </c>
      <c r="B29" s="90">
        <f t="shared" si="9"/>
        <v>21</v>
      </c>
      <c r="C29" s="76">
        <v>5346497</v>
      </c>
      <c r="D29" s="61">
        <f t="shared" si="2"/>
        <v>2954</v>
      </c>
      <c r="E29" s="76">
        <v>5299172</v>
      </c>
      <c r="F29" s="61">
        <f t="shared" si="10"/>
        <v>2987</v>
      </c>
      <c r="G29" s="76">
        <v>5008995</v>
      </c>
      <c r="H29" s="61">
        <f t="shared" si="3"/>
        <v>2739</v>
      </c>
      <c r="I29" s="60">
        <f t="shared" si="4"/>
        <v>8680</v>
      </c>
      <c r="J29" s="64">
        <v>0.99</v>
      </c>
      <c r="K29" s="65">
        <f t="shared" si="5"/>
        <v>2178.6799999999998</v>
      </c>
      <c r="L29" s="66"/>
      <c r="M29" s="77">
        <v>140195</v>
      </c>
      <c r="N29" s="61">
        <f t="shared" si="11"/>
        <v>112</v>
      </c>
      <c r="O29" s="76">
        <v>2220845</v>
      </c>
      <c r="P29" s="61">
        <f t="shared" si="12"/>
        <v>871</v>
      </c>
      <c r="Q29" s="67">
        <f t="shared" si="0"/>
        <v>983</v>
      </c>
      <c r="R29" s="68">
        <f t="shared" si="6"/>
        <v>571.98462630400002</v>
      </c>
      <c r="S29" s="69"/>
      <c r="T29" s="83">
        <v>260269</v>
      </c>
      <c r="U29" s="61">
        <f t="shared" si="13"/>
        <v>120</v>
      </c>
      <c r="V29" s="71">
        <f t="shared" si="7"/>
        <v>342.6</v>
      </c>
      <c r="W29" s="72"/>
      <c r="X29" s="73">
        <f t="shared" si="1"/>
        <v>3093.2646263039996</v>
      </c>
      <c r="Y29" s="80">
        <v>52</v>
      </c>
      <c r="Z29" s="75">
        <f t="shared" si="8"/>
        <v>59.485858198153842</v>
      </c>
    </row>
    <row r="30" spans="1:26" x14ac:dyDescent="0.25">
      <c r="A30" s="10" t="s">
        <v>121</v>
      </c>
      <c r="B30" s="59">
        <f t="shared" si="9"/>
        <v>22</v>
      </c>
      <c r="C30" s="76">
        <v>5349659</v>
      </c>
      <c r="D30" s="61">
        <f t="shared" si="2"/>
        <v>3162</v>
      </c>
      <c r="E30" s="76">
        <v>5302347</v>
      </c>
      <c r="F30" s="61">
        <f t="shared" si="10"/>
        <v>3175</v>
      </c>
      <c r="G30" s="76">
        <v>5011922</v>
      </c>
      <c r="H30" s="61">
        <f t="shared" si="3"/>
        <v>2927</v>
      </c>
      <c r="I30" s="60">
        <f t="shared" si="4"/>
        <v>9264</v>
      </c>
      <c r="J30" s="64">
        <v>0.99</v>
      </c>
      <c r="K30" s="65">
        <f t="shared" si="5"/>
        <v>2325.2640000000001</v>
      </c>
      <c r="L30" s="66"/>
      <c r="M30" s="77">
        <v>140319</v>
      </c>
      <c r="N30" s="61">
        <f t="shared" si="11"/>
        <v>124</v>
      </c>
      <c r="O30" s="76">
        <v>2221695</v>
      </c>
      <c r="P30" s="61">
        <f t="shared" si="12"/>
        <v>850</v>
      </c>
      <c r="Q30" s="67">
        <f t="shared" si="0"/>
        <v>974</v>
      </c>
      <c r="R30" s="68">
        <f t="shared" si="6"/>
        <v>568.43563940800004</v>
      </c>
      <c r="S30" s="69"/>
      <c r="T30" s="83">
        <v>260512</v>
      </c>
      <c r="U30" s="61">
        <f t="shared" si="13"/>
        <v>243</v>
      </c>
      <c r="V30" s="71">
        <f t="shared" si="7"/>
        <v>693.76499999999999</v>
      </c>
      <c r="W30" s="72"/>
      <c r="X30" s="79">
        <f t="shared" si="1"/>
        <v>3587.464639408</v>
      </c>
      <c r="Y30" s="80">
        <v>58</v>
      </c>
      <c r="Z30" s="81">
        <f t="shared" si="8"/>
        <v>61.852838610482756</v>
      </c>
    </row>
    <row r="31" spans="1:26" x14ac:dyDescent="0.25">
      <c r="A31" s="10" t="s">
        <v>96</v>
      </c>
      <c r="B31" s="59">
        <f t="shared" si="9"/>
        <v>23</v>
      </c>
      <c r="C31" s="76">
        <v>5353021</v>
      </c>
      <c r="D31" s="61">
        <f t="shared" si="2"/>
        <v>3362</v>
      </c>
      <c r="E31" s="76">
        <v>5305796</v>
      </c>
      <c r="F31" s="61">
        <f t="shared" si="10"/>
        <v>3449</v>
      </c>
      <c r="G31" s="76">
        <v>5015119</v>
      </c>
      <c r="H31" s="61">
        <f t="shared" si="3"/>
        <v>3197</v>
      </c>
      <c r="I31" s="60">
        <f t="shared" si="4"/>
        <v>10008</v>
      </c>
      <c r="J31" s="64">
        <v>0.99</v>
      </c>
      <c r="K31" s="65">
        <f t="shared" si="5"/>
        <v>2512.0079999999998</v>
      </c>
      <c r="L31" s="66"/>
      <c r="M31" s="77">
        <v>140442</v>
      </c>
      <c r="N31" s="61">
        <f t="shared" si="11"/>
        <v>123</v>
      </c>
      <c r="O31" s="76">
        <v>2222444</v>
      </c>
      <c r="P31" s="61">
        <f t="shared" si="12"/>
        <v>749</v>
      </c>
      <c r="Q31" s="67">
        <f t="shared" si="0"/>
        <v>872</v>
      </c>
      <c r="R31" s="68">
        <f t="shared" si="6"/>
        <v>510.46063031600005</v>
      </c>
      <c r="S31" s="69"/>
      <c r="T31" s="83">
        <v>260679</v>
      </c>
      <c r="U31" s="61">
        <f t="shared" si="13"/>
        <v>167</v>
      </c>
      <c r="V31" s="71">
        <f t="shared" si="7"/>
        <v>476.78500000000003</v>
      </c>
      <c r="W31" s="72"/>
      <c r="X31" s="96">
        <f t="shared" si="1"/>
        <v>3499.2536303159995</v>
      </c>
      <c r="Y31" s="80">
        <v>58</v>
      </c>
      <c r="Z31" s="81">
        <f t="shared" si="8"/>
        <v>60.331959143379301</v>
      </c>
    </row>
    <row r="32" spans="1:26" x14ac:dyDescent="0.25">
      <c r="A32" s="10" t="s">
        <v>116</v>
      </c>
      <c r="B32" s="59">
        <f t="shared" si="9"/>
        <v>24</v>
      </c>
      <c r="C32" s="76">
        <v>5356344</v>
      </c>
      <c r="D32" s="61">
        <f t="shared" si="2"/>
        <v>3323</v>
      </c>
      <c r="E32" s="76">
        <v>5309064</v>
      </c>
      <c r="F32" s="61">
        <f t="shared" si="10"/>
        <v>3268</v>
      </c>
      <c r="G32" s="76">
        <v>5018145</v>
      </c>
      <c r="H32" s="61">
        <f t="shared" si="3"/>
        <v>3026</v>
      </c>
      <c r="I32" s="60">
        <f t="shared" si="4"/>
        <v>9617</v>
      </c>
      <c r="J32" s="64">
        <v>0.99</v>
      </c>
      <c r="K32" s="65">
        <f t="shared" si="5"/>
        <v>2413.8670000000002</v>
      </c>
      <c r="L32" s="66"/>
      <c r="M32" s="77">
        <v>140554</v>
      </c>
      <c r="N32" s="61">
        <f t="shared" si="11"/>
        <v>112</v>
      </c>
      <c r="O32" s="76">
        <v>2223118</v>
      </c>
      <c r="P32" s="61">
        <f t="shared" si="12"/>
        <v>674</v>
      </c>
      <c r="Q32" s="67">
        <f t="shared" si="0"/>
        <v>786</v>
      </c>
      <c r="R32" s="68">
        <f t="shared" si="6"/>
        <v>460.263562304</v>
      </c>
      <c r="S32" s="69"/>
      <c r="T32" s="83">
        <v>260969</v>
      </c>
      <c r="U32" s="61">
        <f t="shared" si="13"/>
        <v>290</v>
      </c>
      <c r="V32" s="71">
        <f t="shared" si="7"/>
        <v>827.95</v>
      </c>
      <c r="W32" s="72"/>
      <c r="X32" s="96">
        <f t="shared" si="1"/>
        <v>3702.0805623040005</v>
      </c>
      <c r="Y32" s="80">
        <v>54</v>
      </c>
      <c r="Z32" s="81">
        <f t="shared" si="8"/>
        <v>68.55704745007408</v>
      </c>
    </row>
    <row r="33" spans="1:26" x14ac:dyDescent="0.25">
      <c r="A33" s="10" t="s">
        <v>117</v>
      </c>
      <c r="B33" s="59">
        <f t="shared" si="9"/>
        <v>25</v>
      </c>
      <c r="C33" s="76">
        <v>5359534</v>
      </c>
      <c r="D33" s="61">
        <f t="shared" si="2"/>
        <v>3190</v>
      </c>
      <c r="E33" s="76">
        <v>5312272</v>
      </c>
      <c r="F33" s="61">
        <f t="shared" si="10"/>
        <v>3208</v>
      </c>
      <c r="G33" s="76">
        <v>5021114</v>
      </c>
      <c r="H33" s="61">
        <f t="shared" si="3"/>
        <v>2969</v>
      </c>
      <c r="I33" s="60">
        <f t="shared" si="4"/>
        <v>9367</v>
      </c>
      <c r="J33" s="64">
        <v>0.99</v>
      </c>
      <c r="K33" s="65">
        <f t="shared" si="5"/>
        <v>2351.1170000000002</v>
      </c>
      <c r="L33" s="66"/>
      <c r="M33" s="77">
        <v>140668</v>
      </c>
      <c r="N33" s="61">
        <f t="shared" si="11"/>
        <v>114</v>
      </c>
      <c r="O33" s="76">
        <v>2223889</v>
      </c>
      <c r="P33" s="61">
        <f t="shared" si="12"/>
        <v>771</v>
      </c>
      <c r="Q33" s="67">
        <f t="shared" si="0"/>
        <v>885</v>
      </c>
      <c r="R33" s="68">
        <f t="shared" si="6"/>
        <v>516.66682048799998</v>
      </c>
      <c r="S33" s="69"/>
      <c r="T33" s="83">
        <v>261215</v>
      </c>
      <c r="U33" s="61">
        <f t="shared" si="13"/>
        <v>246</v>
      </c>
      <c r="V33" s="71">
        <f t="shared" si="7"/>
        <v>702.33</v>
      </c>
      <c r="W33" s="72"/>
      <c r="X33" s="96">
        <f t="shared" si="1"/>
        <v>3570.1138204879999</v>
      </c>
      <c r="Y33" s="80">
        <v>52</v>
      </c>
      <c r="Z33" s="81">
        <f t="shared" si="8"/>
        <v>68.65603500938461</v>
      </c>
    </row>
    <row r="34" spans="1:26" x14ac:dyDescent="0.25">
      <c r="A34" s="10" t="s">
        <v>118</v>
      </c>
      <c r="B34" s="59">
        <f t="shared" si="9"/>
        <v>26</v>
      </c>
      <c r="C34" s="84">
        <v>5362586</v>
      </c>
      <c r="D34" s="61">
        <f t="shared" si="2"/>
        <v>3052</v>
      </c>
      <c r="E34" s="76">
        <v>5315340</v>
      </c>
      <c r="F34" s="61">
        <f t="shared" si="10"/>
        <v>3068</v>
      </c>
      <c r="G34" s="76">
        <v>5023948</v>
      </c>
      <c r="H34" s="61">
        <f t="shared" si="3"/>
        <v>2834</v>
      </c>
      <c r="I34" s="60">
        <f t="shared" si="4"/>
        <v>8954</v>
      </c>
      <c r="J34" s="64">
        <v>0.99</v>
      </c>
      <c r="K34" s="65">
        <f t="shared" si="5"/>
        <v>2247.4540000000002</v>
      </c>
      <c r="L34" s="66"/>
      <c r="M34" s="77">
        <v>140769</v>
      </c>
      <c r="N34" s="61">
        <f t="shared" si="11"/>
        <v>101</v>
      </c>
      <c r="O34" s="76">
        <v>2224677</v>
      </c>
      <c r="P34" s="61">
        <f t="shared" si="12"/>
        <v>788</v>
      </c>
      <c r="Q34" s="67">
        <f t="shared" si="0"/>
        <v>889</v>
      </c>
      <c r="R34" s="68">
        <f t="shared" si="6"/>
        <v>517.25066229200002</v>
      </c>
      <c r="S34" s="69"/>
      <c r="T34" s="83">
        <v>261469</v>
      </c>
      <c r="U34" s="61">
        <f t="shared" si="13"/>
        <v>254</v>
      </c>
      <c r="V34" s="71">
        <f t="shared" si="7"/>
        <v>725.17</v>
      </c>
      <c r="W34" s="72"/>
      <c r="X34" s="96">
        <f t="shared" si="1"/>
        <v>3489.8746622920003</v>
      </c>
      <c r="Y34" s="80">
        <v>55</v>
      </c>
      <c r="Z34" s="81">
        <f t="shared" si="8"/>
        <v>63.452266587127276</v>
      </c>
    </row>
    <row r="35" spans="1:26" x14ac:dyDescent="0.25">
      <c r="A35" s="10" t="s">
        <v>119</v>
      </c>
      <c r="B35" s="59">
        <f t="shared" si="9"/>
        <v>27</v>
      </c>
      <c r="C35" s="84">
        <v>5365735</v>
      </c>
      <c r="D35" s="61">
        <f t="shared" si="2"/>
        <v>3149</v>
      </c>
      <c r="E35" s="76">
        <v>5318475</v>
      </c>
      <c r="F35" s="61">
        <f t="shared" si="10"/>
        <v>3135</v>
      </c>
      <c r="G35" s="76">
        <v>5026849</v>
      </c>
      <c r="H35" s="61">
        <f t="shared" si="3"/>
        <v>2901</v>
      </c>
      <c r="I35" s="60">
        <f t="shared" si="4"/>
        <v>9185</v>
      </c>
      <c r="J35" s="64">
        <v>0.99</v>
      </c>
      <c r="K35" s="65">
        <f t="shared" si="5"/>
        <v>2305.4349999999999</v>
      </c>
      <c r="L35" s="66"/>
      <c r="M35" s="77">
        <v>140865</v>
      </c>
      <c r="N35" s="61">
        <f t="shared" si="11"/>
        <v>96</v>
      </c>
      <c r="O35" s="76">
        <v>2225423</v>
      </c>
      <c r="P35" s="61">
        <f t="shared" si="12"/>
        <v>746</v>
      </c>
      <c r="Q35" s="67">
        <f t="shared" si="0"/>
        <v>842</v>
      </c>
      <c r="R35" s="68">
        <f t="shared" si="6"/>
        <v>489.94847283200005</v>
      </c>
      <c r="S35" s="69"/>
      <c r="T35" s="83">
        <v>261726</v>
      </c>
      <c r="U35" s="61">
        <f t="shared" si="13"/>
        <v>257</v>
      </c>
      <c r="V35" s="71">
        <f t="shared" si="7"/>
        <v>733.73500000000001</v>
      </c>
      <c r="W35" s="72"/>
      <c r="X35" s="96">
        <f t="shared" si="1"/>
        <v>3529.118472832</v>
      </c>
      <c r="Y35" s="80">
        <v>58</v>
      </c>
      <c r="Z35" s="81">
        <f t="shared" si="8"/>
        <v>60.846870221241382</v>
      </c>
    </row>
    <row r="36" spans="1:26" x14ac:dyDescent="0.25">
      <c r="A36" s="10" t="s">
        <v>120</v>
      </c>
      <c r="B36" s="59">
        <f t="shared" si="9"/>
        <v>28</v>
      </c>
      <c r="C36" s="84">
        <v>5369172</v>
      </c>
      <c r="D36" s="61">
        <f t="shared" si="2"/>
        <v>3437</v>
      </c>
      <c r="E36" s="76">
        <v>5321917</v>
      </c>
      <c r="F36" s="61">
        <f t="shared" si="10"/>
        <v>3442</v>
      </c>
      <c r="G36" s="76">
        <v>5030026</v>
      </c>
      <c r="H36" s="61">
        <f t="shared" si="3"/>
        <v>3177</v>
      </c>
      <c r="I36" s="60">
        <f t="shared" si="4"/>
        <v>10056</v>
      </c>
      <c r="J36" s="64">
        <v>0.98</v>
      </c>
      <c r="K36" s="65">
        <f t="shared" si="5"/>
        <v>2524.056</v>
      </c>
      <c r="L36" s="66"/>
      <c r="M36" s="77">
        <v>141005</v>
      </c>
      <c r="N36" s="61">
        <f t="shared" si="11"/>
        <v>140</v>
      </c>
      <c r="O36" s="76">
        <v>2226373</v>
      </c>
      <c r="P36" s="61">
        <f t="shared" si="12"/>
        <v>950</v>
      </c>
      <c r="Q36" s="67">
        <f t="shared" si="0"/>
        <v>1090</v>
      </c>
      <c r="R36" s="68">
        <f t="shared" si="6"/>
        <v>636.29399288000002</v>
      </c>
      <c r="S36" s="69"/>
      <c r="T36" s="83">
        <v>261970</v>
      </c>
      <c r="U36" s="61">
        <f t="shared" si="13"/>
        <v>244</v>
      </c>
      <c r="V36" s="71">
        <f t="shared" si="7"/>
        <v>696.62</v>
      </c>
      <c r="W36" s="72"/>
      <c r="X36" s="96">
        <f t="shared" si="1"/>
        <v>3856.9699928800001</v>
      </c>
      <c r="Y36" s="80">
        <v>63</v>
      </c>
      <c r="Z36" s="81">
        <f t="shared" si="8"/>
        <v>61.221745918730157</v>
      </c>
    </row>
    <row r="37" spans="1:26" x14ac:dyDescent="0.25">
      <c r="A37" s="10" t="s">
        <v>121</v>
      </c>
      <c r="B37" s="59">
        <f t="shared" si="9"/>
        <v>29</v>
      </c>
      <c r="C37" s="63">
        <v>5372810</v>
      </c>
      <c r="D37" s="61">
        <f t="shared" si="2"/>
        <v>3638</v>
      </c>
      <c r="E37" s="109">
        <v>5325555</v>
      </c>
      <c r="F37" s="61">
        <f t="shared" si="10"/>
        <v>3638</v>
      </c>
      <c r="G37" s="60">
        <v>5033301</v>
      </c>
      <c r="H37" s="61">
        <f t="shared" si="3"/>
        <v>3275</v>
      </c>
      <c r="I37" s="60">
        <f t="shared" si="4"/>
        <v>10551</v>
      </c>
      <c r="J37" s="64">
        <v>0.99</v>
      </c>
      <c r="K37" s="65">
        <f t="shared" si="5"/>
        <v>2648.3009999999999</v>
      </c>
      <c r="L37" s="66"/>
      <c r="M37" s="60">
        <v>141137</v>
      </c>
      <c r="N37" s="61">
        <f t="shared" si="11"/>
        <v>132</v>
      </c>
      <c r="O37" s="60">
        <v>2227389</v>
      </c>
      <c r="P37" s="61">
        <f t="shared" si="12"/>
        <v>1016</v>
      </c>
      <c r="Q37" s="67">
        <f t="shared" si="0"/>
        <v>1148</v>
      </c>
      <c r="R37" s="68">
        <f t="shared" si="6"/>
        <v>668.14980814400008</v>
      </c>
      <c r="S37" s="69"/>
      <c r="T37" s="70">
        <v>262230</v>
      </c>
      <c r="U37" s="61">
        <f t="shared" si="13"/>
        <v>260</v>
      </c>
      <c r="V37" s="71">
        <f t="shared" si="7"/>
        <v>742.3</v>
      </c>
      <c r="W37" s="72"/>
      <c r="X37" s="96">
        <f t="shared" si="1"/>
        <v>4058.7508081440001</v>
      </c>
      <c r="Y37" s="110">
        <v>80</v>
      </c>
      <c r="Z37" s="81">
        <f t="shared" si="8"/>
        <v>50.734385101800001</v>
      </c>
    </row>
    <row r="38" spans="1:26" x14ac:dyDescent="0.25">
      <c r="A38" s="10" t="s">
        <v>96</v>
      </c>
      <c r="B38" s="59">
        <f t="shared" si="9"/>
        <v>30</v>
      </c>
      <c r="C38" s="63">
        <v>5376712</v>
      </c>
      <c r="D38" s="61">
        <f t="shared" si="2"/>
        <v>3902</v>
      </c>
      <c r="E38" s="109">
        <v>5329468</v>
      </c>
      <c r="F38" s="61">
        <f t="shared" si="10"/>
        <v>3913</v>
      </c>
      <c r="G38" s="60">
        <v>5037019</v>
      </c>
      <c r="H38" s="61">
        <f t="shared" si="3"/>
        <v>3718</v>
      </c>
      <c r="I38" s="60">
        <f t="shared" si="4"/>
        <v>11533</v>
      </c>
      <c r="J38" s="64">
        <v>0.99</v>
      </c>
      <c r="K38" s="65">
        <f t="shared" si="5"/>
        <v>2894.7829999999999</v>
      </c>
      <c r="L38" s="66"/>
      <c r="M38" s="60">
        <v>141258</v>
      </c>
      <c r="N38" s="61">
        <f t="shared" si="11"/>
        <v>121</v>
      </c>
      <c r="O38" s="60">
        <v>2228476</v>
      </c>
      <c r="P38" s="61">
        <f t="shared" si="12"/>
        <v>1087</v>
      </c>
      <c r="Q38" s="67">
        <f t="shared" si="0"/>
        <v>1208</v>
      </c>
      <c r="R38" s="68">
        <f t="shared" si="6"/>
        <v>700.75109213200005</v>
      </c>
      <c r="S38" s="69"/>
      <c r="T38" s="70">
        <v>262490</v>
      </c>
      <c r="U38" s="61">
        <f t="shared" si="13"/>
        <v>260</v>
      </c>
      <c r="V38" s="71">
        <f t="shared" si="7"/>
        <v>742.3</v>
      </c>
      <c r="W38" s="72"/>
      <c r="X38" s="96">
        <f t="shared" si="1"/>
        <v>4337.8340921319996</v>
      </c>
      <c r="Y38" s="110">
        <v>95</v>
      </c>
      <c r="Z38" s="81">
        <f t="shared" si="8"/>
        <v>45.661411496126313</v>
      </c>
    </row>
    <row r="39" spans="1:26" x14ac:dyDescent="0.25">
      <c r="A39" s="10" t="s">
        <v>116</v>
      </c>
      <c r="B39" s="59">
        <f t="shared" si="9"/>
        <v>31</v>
      </c>
      <c r="C39" s="63">
        <v>5380546</v>
      </c>
      <c r="D39" s="61">
        <f t="shared" si="2"/>
        <v>3834</v>
      </c>
      <c r="E39" s="109">
        <v>5333312</v>
      </c>
      <c r="F39" s="61">
        <f t="shared" si="10"/>
        <v>3844</v>
      </c>
      <c r="G39" s="60">
        <v>5040577</v>
      </c>
      <c r="H39" s="61">
        <f t="shared" si="3"/>
        <v>3558</v>
      </c>
      <c r="I39" s="60">
        <f t="shared" si="4"/>
        <v>11236</v>
      </c>
      <c r="J39" s="64">
        <v>0.99</v>
      </c>
      <c r="K39" s="65">
        <f t="shared" si="5"/>
        <v>2820.2359999999999</v>
      </c>
      <c r="L39" s="66"/>
      <c r="M39" s="60">
        <v>141396</v>
      </c>
      <c r="N39" s="61">
        <f t="shared" si="11"/>
        <v>138</v>
      </c>
      <c r="O39" s="60">
        <v>2229455</v>
      </c>
      <c r="P39" s="61">
        <f t="shared" si="12"/>
        <v>979</v>
      </c>
      <c r="Q39" s="67">
        <f t="shared" si="0"/>
        <v>1117</v>
      </c>
      <c r="R39" s="68">
        <f t="shared" si="6"/>
        <v>651.34684669600006</v>
      </c>
      <c r="S39" s="69"/>
      <c r="T39" s="83">
        <v>262738</v>
      </c>
      <c r="U39" s="61">
        <f t="shared" si="13"/>
        <v>248</v>
      </c>
      <c r="V39" s="71">
        <f t="shared" si="7"/>
        <v>708.04</v>
      </c>
      <c r="W39" s="72"/>
      <c r="X39" s="96">
        <f t="shared" si="1"/>
        <v>4179.6228466960001</v>
      </c>
      <c r="Y39" s="110">
        <v>74</v>
      </c>
      <c r="Z39" s="81">
        <f t="shared" si="8"/>
        <v>56.481389820216215</v>
      </c>
    </row>
    <row r="40" spans="1:26" x14ac:dyDescent="0.25">
      <c r="A40" s="10"/>
      <c r="B40" s="97"/>
      <c r="C40" s="98">
        <f>SUMIF(D9:D36,"&gt;0")</f>
        <v>75022</v>
      </c>
      <c r="D40" s="99"/>
      <c r="E40" s="148">
        <f>SUMIF(F9:F36,"&gt;0")</f>
        <v>74897</v>
      </c>
      <c r="F40" s="149"/>
      <c r="G40" s="150">
        <f>SUMIF(H9:H36,"&gt;0")</f>
        <v>69092</v>
      </c>
      <c r="H40" s="149"/>
      <c r="I40" s="100">
        <f>SUMIF(I9:I36,"&gt;0")</f>
        <v>219011</v>
      </c>
      <c r="J40" s="101"/>
      <c r="K40" s="102">
        <f>SUMIF(K9:K36,"&gt;0")</f>
        <v>54971.760999999991</v>
      </c>
      <c r="L40" s="100"/>
      <c r="M40" s="150">
        <f>SUMIF(N9:N36,"&gt;0")</f>
        <v>3191</v>
      </c>
      <c r="N40" s="149"/>
      <c r="O40" s="150">
        <f>SUMIF(P9:P36,"&gt;0")</f>
        <v>24341</v>
      </c>
      <c r="P40" s="149"/>
      <c r="Q40" s="101">
        <f>SUMIF(Q9:Q36,"&gt;0")</f>
        <v>27532</v>
      </c>
      <c r="R40" s="102">
        <f>SUMIF(R9:R36,"&gt;0")</f>
        <v>16027.233612572005</v>
      </c>
      <c r="S40" s="103"/>
      <c r="T40" s="151">
        <f>SUMIF(U9:U36,"&gt;0")</f>
        <v>6656</v>
      </c>
      <c r="U40" s="151"/>
      <c r="V40" s="104">
        <f>SUMIF(V9:V36,"&gt;0")</f>
        <v>19002.879999999997</v>
      </c>
      <c r="W40" s="105"/>
      <c r="X40" s="106">
        <f>SUMIF(X9:X36,"&gt;0")</f>
        <v>90001.874612571992</v>
      </c>
      <c r="Y40" s="107">
        <f>SUM(Y9:Y39)</f>
        <v>1502</v>
      </c>
      <c r="Z40" s="108">
        <f>(SUMIF(Z9:Z36,"&gt;0")/31)</f>
        <v>68.455912547720715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53" zoomScaleNormal="53" workbookViewId="0">
      <selection activeCell="T46" sqref="T46"/>
    </sheetView>
  </sheetViews>
  <sheetFormatPr defaultRowHeight="15" x14ac:dyDescent="0.25"/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71728</v>
      </c>
      <c r="C8" s="122">
        <v>97355</v>
      </c>
      <c r="D8" s="122">
        <v>18804</v>
      </c>
      <c r="E8" s="122">
        <v>20284</v>
      </c>
      <c r="F8" s="122">
        <v>257024</v>
      </c>
      <c r="G8" s="122">
        <v>4666</v>
      </c>
      <c r="H8" s="122">
        <v>7847</v>
      </c>
      <c r="I8" s="122">
        <v>505010</v>
      </c>
      <c r="J8" s="122">
        <v>87602</v>
      </c>
      <c r="K8" s="122">
        <v>8021</v>
      </c>
      <c r="L8" s="122">
        <v>37539</v>
      </c>
      <c r="M8" s="122">
        <v>59610</v>
      </c>
      <c r="N8" s="122">
        <v>52306</v>
      </c>
      <c r="O8" s="122">
        <v>251768</v>
      </c>
      <c r="P8" s="122">
        <v>515692</v>
      </c>
      <c r="Q8" s="122">
        <v>4600</v>
      </c>
      <c r="R8" s="122">
        <v>25240</v>
      </c>
      <c r="S8" s="122">
        <v>25503</v>
      </c>
      <c r="T8" s="122">
        <v>356906</v>
      </c>
      <c r="U8" s="122">
        <v>504260</v>
      </c>
      <c r="V8" s="122">
        <v>55617</v>
      </c>
      <c r="W8" s="122">
        <v>7089</v>
      </c>
      <c r="X8" s="122">
        <v>20246</v>
      </c>
      <c r="Y8" s="122">
        <v>117582</v>
      </c>
      <c r="Z8" s="122">
        <v>1188</v>
      </c>
      <c r="AA8" s="122">
        <v>223569</v>
      </c>
      <c r="AB8" s="122">
        <v>11177</v>
      </c>
      <c r="AC8" s="122">
        <v>2578</v>
      </c>
      <c r="AD8" s="122">
        <v>23616</v>
      </c>
      <c r="AE8" s="122">
        <v>113436</v>
      </c>
      <c r="AF8" s="122">
        <v>286842</v>
      </c>
      <c r="AG8" s="122">
        <v>1433006</v>
      </c>
      <c r="AH8" s="122">
        <v>13353</v>
      </c>
      <c r="AI8" s="122">
        <v>490861</v>
      </c>
      <c r="AJ8" s="122">
        <v>844679</v>
      </c>
      <c r="AK8" s="122">
        <v>13342</v>
      </c>
      <c r="AL8" s="123">
        <v>43207</v>
      </c>
      <c r="AM8" s="122">
        <v>42282</v>
      </c>
      <c r="AN8" s="124">
        <v>782319</v>
      </c>
      <c r="AO8" s="124">
        <v>5645</v>
      </c>
      <c r="AP8" s="124">
        <v>0</v>
      </c>
      <c r="AQ8" s="122">
        <v>141092</v>
      </c>
      <c r="AR8" s="122">
        <v>281343</v>
      </c>
      <c r="AS8" s="122">
        <v>80173</v>
      </c>
      <c r="AT8" s="122">
        <v>807</v>
      </c>
      <c r="AU8" s="122">
        <v>149418</v>
      </c>
      <c r="AV8" s="122">
        <v>57528</v>
      </c>
      <c r="AW8" s="122">
        <v>48098</v>
      </c>
      <c r="AX8" s="122">
        <v>241847</v>
      </c>
      <c r="AY8" s="125">
        <v>649430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71782</v>
      </c>
      <c r="C9" s="112">
        <v>97378</v>
      </c>
      <c r="D9" s="112">
        <v>18807</v>
      </c>
      <c r="E9" s="112">
        <v>20296</v>
      </c>
      <c r="F9" s="112">
        <v>257202</v>
      </c>
      <c r="G9" s="112">
        <v>4668</v>
      </c>
      <c r="H9" s="112">
        <v>7880</v>
      </c>
      <c r="I9" s="112">
        <v>505364</v>
      </c>
      <c r="J9" s="112">
        <v>87646</v>
      </c>
      <c r="K9" s="112">
        <v>8021</v>
      </c>
      <c r="L9" s="112">
        <v>37564</v>
      </c>
      <c r="M9" s="112">
        <v>59621</v>
      </c>
      <c r="N9" s="112">
        <v>52339</v>
      </c>
      <c r="O9" s="112">
        <v>251951</v>
      </c>
      <c r="P9" s="112">
        <v>516011</v>
      </c>
      <c r="Q9" s="112">
        <v>4604</v>
      </c>
      <c r="R9" s="112">
        <v>25260</v>
      </c>
      <c r="S9" s="112">
        <v>25503</v>
      </c>
      <c r="T9" s="112">
        <v>357090</v>
      </c>
      <c r="U9" s="112">
        <v>504568</v>
      </c>
      <c r="V9" s="112">
        <v>55650</v>
      </c>
      <c r="W9" s="112">
        <v>7089</v>
      </c>
      <c r="X9" s="112">
        <v>20260</v>
      </c>
      <c r="Y9" s="112">
        <v>117648</v>
      </c>
      <c r="Z9" s="112">
        <v>1188</v>
      </c>
      <c r="AA9" s="112">
        <v>223690</v>
      </c>
      <c r="AB9" s="112">
        <v>11177</v>
      </c>
      <c r="AC9" s="112">
        <v>2580</v>
      </c>
      <c r="AD9" s="112">
        <v>23625</v>
      </c>
      <c r="AE9" s="112">
        <v>113518</v>
      </c>
      <c r="AF9" s="112">
        <v>287094</v>
      </c>
      <c r="AG9" s="112">
        <v>1433506</v>
      </c>
      <c r="AH9" s="112">
        <v>13354</v>
      </c>
      <c r="AI9" s="112">
        <v>490878</v>
      </c>
      <c r="AJ9" s="112">
        <v>845376</v>
      </c>
      <c r="AK9" s="112">
        <v>13346</v>
      </c>
      <c r="AL9" s="127">
        <v>43222</v>
      </c>
      <c r="AM9" s="112">
        <v>42319</v>
      </c>
      <c r="AN9" s="116">
        <v>782953</v>
      </c>
      <c r="AO9" s="116">
        <v>5646</v>
      </c>
      <c r="AP9" s="116">
        <v>0</v>
      </c>
      <c r="AQ9" s="112">
        <v>141182</v>
      </c>
      <c r="AR9" s="112">
        <v>281529</v>
      </c>
      <c r="AS9" s="112">
        <v>80216</v>
      </c>
      <c r="AT9" s="112">
        <v>808</v>
      </c>
      <c r="AU9" s="112">
        <v>149523</v>
      </c>
      <c r="AV9" s="112">
        <v>57574</v>
      </c>
      <c r="AW9" s="112">
        <v>48128</v>
      </c>
      <c r="AX9" s="112">
        <v>241898</v>
      </c>
      <c r="AY9" s="112">
        <v>649786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71842</v>
      </c>
      <c r="C10" s="112">
        <v>97381</v>
      </c>
      <c r="D10" s="112">
        <v>18811</v>
      </c>
      <c r="E10" s="112">
        <v>20312</v>
      </c>
      <c r="F10" s="112">
        <v>257375</v>
      </c>
      <c r="G10" s="112">
        <v>4611</v>
      </c>
      <c r="H10" s="112">
        <v>7914</v>
      </c>
      <c r="I10" s="112">
        <v>505733</v>
      </c>
      <c r="J10" s="112">
        <v>87686</v>
      </c>
      <c r="K10" s="112">
        <v>8022</v>
      </c>
      <c r="L10" s="112">
        <v>37589</v>
      </c>
      <c r="M10" s="112">
        <v>59636</v>
      </c>
      <c r="N10" s="112">
        <v>52372</v>
      </c>
      <c r="O10" s="112">
        <v>252133</v>
      </c>
      <c r="P10" s="112">
        <v>516313</v>
      </c>
      <c r="Q10" s="112">
        <v>4607</v>
      </c>
      <c r="R10" s="112">
        <v>25283</v>
      </c>
      <c r="S10" s="112">
        <v>25503</v>
      </c>
      <c r="T10" s="112">
        <v>357271</v>
      </c>
      <c r="U10" s="112">
        <v>504865</v>
      </c>
      <c r="V10" s="112">
        <v>55685</v>
      </c>
      <c r="W10" s="112">
        <v>7089</v>
      </c>
      <c r="X10" s="112">
        <v>20279</v>
      </c>
      <c r="Y10" s="112">
        <v>117734</v>
      </c>
      <c r="Z10" s="112">
        <v>1188</v>
      </c>
      <c r="AA10" s="112">
        <v>223814</v>
      </c>
      <c r="AB10" s="112">
        <v>11182</v>
      </c>
      <c r="AC10" s="112">
        <v>2582</v>
      </c>
      <c r="AD10" s="112">
        <v>23637</v>
      </c>
      <c r="AE10" s="112">
        <v>113606</v>
      </c>
      <c r="AF10" s="112">
        <v>287350</v>
      </c>
      <c r="AG10" s="112">
        <v>1434057</v>
      </c>
      <c r="AH10" s="112">
        <v>13355</v>
      </c>
      <c r="AI10" s="112">
        <v>490896</v>
      </c>
      <c r="AJ10" s="112">
        <v>845992</v>
      </c>
      <c r="AK10" s="112">
        <v>13358</v>
      </c>
      <c r="AL10" s="127">
        <v>43238</v>
      </c>
      <c r="AM10" s="112">
        <v>42358</v>
      </c>
      <c r="AN10" s="116">
        <v>783542</v>
      </c>
      <c r="AO10" s="116">
        <v>5648</v>
      </c>
      <c r="AP10" s="116">
        <v>0</v>
      </c>
      <c r="AQ10" s="112">
        <v>141280</v>
      </c>
      <c r="AR10" s="112">
        <v>281726</v>
      </c>
      <c r="AS10" s="112">
        <v>80267</v>
      </c>
      <c r="AT10" s="112">
        <v>809</v>
      </c>
      <c r="AU10" s="112">
        <v>149631</v>
      </c>
      <c r="AV10" s="112">
        <v>57625</v>
      </c>
      <c r="AW10" s="112">
        <v>48161</v>
      </c>
      <c r="AX10" s="112">
        <v>241948</v>
      </c>
      <c r="AY10" s="112">
        <v>650149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71899</v>
      </c>
      <c r="C11" s="112">
        <v>97383</v>
      </c>
      <c r="D11" s="112">
        <v>18818</v>
      </c>
      <c r="E11" s="112">
        <v>20322</v>
      </c>
      <c r="F11" s="112">
        <v>257549</v>
      </c>
      <c r="G11" s="112">
        <v>4674</v>
      </c>
      <c r="H11" s="112">
        <v>7932</v>
      </c>
      <c r="I11" s="112">
        <v>506105</v>
      </c>
      <c r="J11" s="112">
        <v>87722</v>
      </c>
      <c r="K11" s="112">
        <v>8022</v>
      </c>
      <c r="L11" s="112">
        <v>37608</v>
      </c>
      <c r="M11" s="112">
        <v>59651</v>
      </c>
      <c r="N11" s="112">
        <v>52409</v>
      </c>
      <c r="O11" s="112">
        <v>252320</v>
      </c>
      <c r="P11" s="112">
        <v>516787</v>
      </c>
      <c r="Q11" s="112">
        <v>4611</v>
      </c>
      <c r="R11" s="112">
        <v>25303</v>
      </c>
      <c r="S11" s="112">
        <v>25503</v>
      </c>
      <c r="T11" s="112">
        <v>357458</v>
      </c>
      <c r="U11" s="112">
        <v>505195</v>
      </c>
      <c r="V11" s="112">
        <v>55720</v>
      </c>
      <c r="W11" s="112">
        <v>7092</v>
      </c>
      <c r="X11" s="112">
        <v>20298</v>
      </c>
      <c r="Y11" s="112">
        <v>117811</v>
      </c>
      <c r="Z11" s="112">
        <v>1188</v>
      </c>
      <c r="AA11" s="112">
        <v>223938</v>
      </c>
      <c r="AB11" s="112">
        <v>11182</v>
      </c>
      <c r="AC11" s="112">
        <v>2584</v>
      </c>
      <c r="AD11" s="112">
        <v>23649</v>
      </c>
      <c r="AE11" s="112">
        <v>113692</v>
      </c>
      <c r="AF11" s="112">
        <v>287621</v>
      </c>
      <c r="AG11" s="112">
        <v>1434696</v>
      </c>
      <c r="AH11" s="112">
        <v>13357</v>
      </c>
      <c r="AI11" s="112">
        <v>490914</v>
      </c>
      <c r="AJ11" s="112">
        <v>846692</v>
      </c>
      <c r="AK11" s="112">
        <v>13366</v>
      </c>
      <c r="AL11" s="127">
        <v>43253</v>
      </c>
      <c r="AM11" s="112">
        <v>42401</v>
      </c>
      <c r="AN11" s="116">
        <v>784167</v>
      </c>
      <c r="AO11" s="116">
        <v>5649</v>
      </c>
      <c r="AP11" s="116">
        <v>0</v>
      </c>
      <c r="AQ11" s="112">
        <v>141388</v>
      </c>
      <c r="AR11" s="112">
        <v>281912</v>
      </c>
      <c r="AS11" s="112">
        <v>80310</v>
      </c>
      <c r="AT11" s="112">
        <v>809</v>
      </c>
      <c r="AU11" s="112">
        <v>149734</v>
      </c>
      <c r="AV11" s="112">
        <v>57668</v>
      </c>
      <c r="AW11" s="112">
        <v>48194</v>
      </c>
      <c r="AX11" s="112">
        <v>241994</v>
      </c>
      <c r="AY11" s="112">
        <v>650518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71951</v>
      </c>
      <c r="C12" s="112">
        <v>97441</v>
      </c>
      <c r="D12" s="112">
        <v>18824</v>
      </c>
      <c r="E12" s="112">
        <v>20334</v>
      </c>
      <c r="F12" s="112">
        <v>257729</v>
      </c>
      <c r="G12" s="112">
        <v>4677</v>
      </c>
      <c r="H12" s="112">
        <v>7949</v>
      </c>
      <c r="I12" s="112">
        <v>506492</v>
      </c>
      <c r="J12" s="112">
        <v>87754</v>
      </c>
      <c r="K12" s="112">
        <v>8023</v>
      </c>
      <c r="L12" s="112">
        <v>37635</v>
      </c>
      <c r="M12" s="112">
        <v>59665</v>
      </c>
      <c r="N12" s="112">
        <v>52447</v>
      </c>
      <c r="O12" s="112">
        <v>252524</v>
      </c>
      <c r="P12" s="112">
        <v>517118</v>
      </c>
      <c r="Q12" s="112">
        <v>4615</v>
      </c>
      <c r="R12" s="112">
        <v>25326</v>
      </c>
      <c r="S12" s="112">
        <v>25503</v>
      </c>
      <c r="T12" s="112">
        <v>357651</v>
      </c>
      <c r="U12" s="112">
        <v>505530</v>
      </c>
      <c r="V12" s="112">
        <v>55757</v>
      </c>
      <c r="W12" s="112">
        <v>7094</v>
      </c>
      <c r="X12" s="112">
        <v>20321</v>
      </c>
      <c r="Y12" s="112">
        <v>117891</v>
      </c>
      <c r="Z12" s="112">
        <v>1188</v>
      </c>
      <c r="AA12" s="112">
        <v>224097</v>
      </c>
      <c r="AB12" s="112">
        <v>11183</v>
      </c>
      <c r="AC12" s="112">
        <v>2586</v>
      </c>
      <c r="AD12" s="112">
        <v>23658</v>
      </c>
      <c r="AE12" s="112">
        <v>113783</v>
      </c>
      <c r="AF12" s="112">
        <v>287907</v>
      </c>
      <c r="AG12" s="112">
        <v>1435636</v>
      </c>
      <c r="AH12" s="112">
        <v>13358</v>
      </c>
      <c r="AI12" s="112">
        <v>490932</v>
      </c>
      <c r="AJ12" s="112">
        <v>847365</v>
      </c>
      <c r="AK12" s="112">
        <v>13380</v>
      </c>
      <c r="AL12" s="112">
        <v>43280</v>
      </c>
      <c r="AM12" s="112">
        <v>42445</v>
      </c>
      <c r="AN12" s="112">
        <v>784792</v>
      </c>
      <c r="AO12" s="112">
        <v>5650</v>
      </c>
      <c r="AP12" s="112">
        <v>0</v>
      </c>
      <c r="AQ12" s="112">
        <v>141502</v>
      </c>
      <c r="AR12" s="112">
        <v>282118</v>
      </c>
      <c r="AS12" s="112">
        <v>80379</v>
      </c>
      <c r="AT12" s="112">
        <v>810</v>
      </c>
      <c r="AU12" s="112">
        <v>149847</v>
      </c>
      <c r="AV12" s="112">
        <v>57718</v>
      </c>
      <c r="AW12" s="112">
        <v>48228</v>
      </c>
      <c r="AX12" s="112">
        <v>242049</v>
      </c>
      <c r="AY12" s="112">
        <v>650881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72004</v>
      </c>
      <c r="C13" s="112">
        <v>97521</v>
      </c>
      <c r="D13" s="112">
        <v>18835</v>
      </c>
      <c r="E13" s="112">
        <v>20342</v>
      </c>
      <c r="F13" s="112">
        <v>257930</v>
      </c>
      <c r="G13" s="112">
        <v>4679</v>
      </c>
      <c r="H13" s="112">
        <v>7963</v>
      </c>
      <c r="I13" s="112">
        <v>506858</v>
      </c>
      <c r="J13" s="112">
        <v>87782</v>
      </c>
      <c r="K13" s="112">
        <v>8023</v>
      </c>
      <c r="L13" s="112">
        <v>37656</v>
      </c>
      <c r="M13" s="112">
        <v>59679</v>
      </c>
      <c r="N13" s="112">
        <v>52484</v>
      </c>
      <c r="O13" s="112">
        <v>252712</v>
      </c>
      <c r="P13" s="112">
        <v>517473</v>
      </c>
      <c r="Q13" s="112">
        <v>4619</v>
      </c>
      <c r="R13" s="112">
        <v>25348</v>
      </c>
      <c r="S13" s="112">
        <v>25503</v>
      </c>
      <c r="T13" s="112">
        <v>357831</v>
      </c>
      <c r="U13" s="112">
        <v>505882</v>
      </c>
      <c r="V13" s="112">
        <v>55792</v>
      </c>
      <c r="W13" s="112">
        <v>7095</v>
      </c>
      <c r="X13" s="112">
        <v>20340</v>
      </c>
      <c r="Y13" s="112">
        <v>117968</v>
      </c>
      <c r="Z13" s="112">
        <v>1188</v>
      </c>
      <c r="AA13" s="112">
        <v>224216</v>
      </c>
      <c r="AB13" s="112">
        <v>11189</v>
      </c>
      <c r="AC13" s="112">
        <v>2587</v>
      </c>
      <c r="AD13" s="112">
        <v>23671</v>
      </c>
      <c r="AE13" s="112">
        <v>113876</v>
      </c>
      <c r="AF13" s="112">
        <v>288201</v>
      </c>
      <c r="AG13" s="112">
        <v>1436617</v>
      </c>
      <c r="AH13" s="112">
        <v>13360</v>
      </c>
      <c r="AI13" s="112">
        <v>490950</v>
      </c>
      <c r="AJ13" s="112">
        <v>847985</v>
      </c>
      <c r="AK13" s="112">
        <v>13392</v>
      </c>
      <c r="AL13" s="127">
        <v>43284</v>
      </c>
      <c r="AM13" s="112">
        <v>42488</v>
      </c>
      <c r="AN13" s="116">
        <v>785423</v>
      </c>
      <c r="AO13" s="116">
        <v>5652</v>
      </c>
      <c r="AP13" s="116">
        <v>0</v>
      </c>
      <c r="AQ13" s="112">
        <v>141610</v>
      </c>
      <c r="AR13" s="112">
        <v>282333</v>
      </c>
      <c r="AS13" s="112">
        <v>80429</v>
      </c>
      <c r="AT13" s="112">
        <v>810</v>
      </c>
      <c r="AU13" s="112">
        <v>149979</v>
      </c>
      <c r="AV13" s="112">
        <v>57739</v>
      </c>
      <c r="AW13" s="112">
        <v>48262</v>
      </c>
      <c r="AX13" s="112">
        <v>242101</v>
      </c>
      <c r="AY13" s="112">
        <v>651261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72056</v>
      </c>
      <c r="C14" s="112">
        <v>97599</v>
      </c>
      <c r="D14" s="112">
        <v>18839</v>
      </c>
      <c r="E14" s="112">
        <v>20346</v>
      </c>
      <c r="F14" s="112">
        <v>258104</v>
      </c>
      <c r="G14" s="112">
        <v>4682</v>
      </c>
      <c r="H14" s="112">
        <v>7974</v>
      </c>
      <c r="I14" s="112">
        <v>507236</v>
      </c>
      <c r="J14" s="112">
        <v>87819</v>
      </c>
      <c r="K14" s="112">
        <v>8024</v>
      </c>
      <c r="L14" s="112">
        <v>37682</v>
      </c>
      <c r="M14" s="112">
        <v>59691</v>
      </c>
      <c r="N14" s="112">
        <v>52520</v>
      </c>
      <c r="O14" s="112">
        <v>252896</v>
      </c>
      <c r="P14" s="112">
        <v>517877</v>
      </c>
      <c r="Q14" s="112">
        <v>4622</v>
      </c>
      <c r="R14" s="112">
        <v>25368</v>
      </c>
      <c r="S14" s="112">
        <v>25503</v>
      </c>
      <c r="T14" s="112">
        <v>358012</v>
      </c>
      <c r="U14" s="112">
        <v>506174</v>
      </c>
      <c r="V14" s="112">
        <v>55825</v>
      </c>
      <c r="W14" s="112">
        <v>7103</v>
      </c>
      <c r="X14" s="112">
        <v>20362</v>
      </c>
      <c r="Y14" s="112">
        <v>118048</v>
      </c>
      <c r="Z14" s="112">
        <v>1188</v>
      </c>
      <c r="AA14" s="112">
        <v>224337</v>
      </c>
      <c r="AB14" s="112">
        <v>11197</v>
      </c>
      <c r="AC14" s="112">
        <v>2590</v>
      </c>
      <c r="AD14" s="112">
        <v>23683</v>
      </c>
      <c r="AE14" s="112">
        <v>113961</v>
      </c>
      <c r="AF14" s="112">
        <v>288476</v>
      </c>
      <c r="AG14" s="112">
        <v>1437368</v>
      </c>
      <c r="AH14" s="112">
        <v>13361</v>
      </c>
      <c r="AI14" s="112">
        <v>490968</v>
      </c>
      <c r="AJ14" s="112">
        <v>848626</v>
      </c>
      <c r="AK14" s="112">
        <v>13402</v>
      </c>
      <c r="AL14" s="127">
        <v>43300</v>
      </c>
      <c r="AM14" s="112">
        <v>42531</v>
      </c>
      <c r="AN14" s="116">
        <v>786050</v>
      </c>
      <c r="AO14" s="116">
        <v>5653</v>
      </c>
      <c r="AP14" s="116">
        <v>0</v>
      </c>
      <c r="AQ14" s="112">
        <v>141718</v>
      </c>
      <c r="AR14" s="112">
        <v>282547</v>
      </c>
      <c r="AS14" s="112">
        <v>80473</v>
      </c>
      <c r="AT14" s="112">
        <v>811</v>
      </c>
      <c r="AU14" s="112">
        <v>150085</v>
      </c>
      <c r="AV14" s="112">
        <v>57775</v>
      </c>
      <c r="AW14" s="112">
        <v>48295</v>
      </c>
      <c r="AX14" s="112">
        <v>242155</v>
      </c>
      <c r="AY14" s="112">
        <v>651644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72109</v>
      </c>
      <c r="C15" s="112">
        <v>97674</v>
      </c>
      <c r="D15" s="112">
        <v>18843</v>
      </c>
      <c r="E15" s="112">
        <v>20352</v>
      </c>
      <c r="F15" s="112">
        <v>258290</v>
      </c>
      <c r="G15" s="112">
        <v>4684</v>
      </c>
      <c r="H15" s="112">
        <v>7983</v>
      </c>
      <c r="I15" s="112">
        <v>507620</v>
      </c>
      <c r="J15" s="112">
        <v>87855</v>
      </c>
      <c r="K15" s="112">
        <v>8024</v>
      </c>
      <c r="L15" s="112">
        <v>37711</v>
      </c>
      <c r="M15" s="112">
        <v>59710</v>
      </c>
      <c r="N15" s="112">
        <v>52560</v>
      </c>
      <c r="O15" s="112">
        <v>253079</v>
      </c>
      <c r="P15" s="112">
        <v>518150</v>
      </c>
      <c r="Q15" s="112">
        <v>4627</v>
      </c>
      <c r="R15" s="112">
        <v>25390</v>
      </c>
      <c r="S15" s="112">
        <v>25503</v>
      </c>
      <c r="T15" s="112">
        <v>358201</v>
      </c>
      <c r="U15" s="112">
        <v>506475</v>
      </c>
      <c r="V15" s="112">
        <v>55859</v>
      </c>
      <c r="W15" s="112">
        <v>7108</v>
      </c>
      <c r="X15" s="112">
        <v>20386</v>
      </c>
      <c r="Y15" s="112">
        <v>118119</v>
      </c>
      <c r="Z15" s="112">
        <v>1188</v>
      </c>
      <c r="AA15" s="112">
        <v>224457</v>
      </c>
      <c r="AB15" s="112">
        <v>11197</v>
      </c>
      <c r="AC15" s="112">
        <v>2591</v>
      </c>
      <c r="AD15" s="112">
        <v>23696</v>
      </c>
      <c r="AE15" s="112">
        <v>114050</v>
      </c>
      <c r="AF15" s="112">
        <v>288733</v>
      </c>
      <c r="AG15" s="112">
        <v>1438290</v>
      </c>
      <c r="AH15" s="112">
        <v>13362</v>
      </c>
      <c r="AI15" s="112">
        <v>490986</v>
      </c>
      <c r="AJ15" s="112">
        <v>849333</v>
      </c>
      <c r="AK15" s="112">
        <v>13413</v>
      </c>
      <c r="AL15" s="127">
        <v>43315</v>
      </c>
      <c r="AM15" s="112">
        <v>42576</v>
      </c>
      <c r="AN15" s="116">
        <v>786674</v>
      </c>
      <c r="AO15" s="116">
        <v>5654</v>
      </c>
      <c r="AP15" s="116">
        <v>0</v>
      </c>
      <c r="AQ15" s="112">
        <v>141823</v>
      </c>
      <c r="AR15" s="112">
        <v>282760</v>
      </c>
      <c r="AS15" s="112">
        <v>80517</v>
      </c>
      <c r="AT15" s="112">
        <v>812</v>
      </c>
      <c r="AU15" s="112">
        <v>150182</v>
      </c>
      <c r="AV15" s="112">
        <v>57809</v>
      </c>
      <c r="AW15" s="112">
        <v>48326</v>
      </c>
      <c r="AX15" s="112">
        <v>242207</v>
      </c>
      <c r="AY15" s="112">
        <v>652015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72156</v>
      </c>
      <c r="C16" s="112">
        <v>97743</v>
      </c>
      <c r="D16" s="112">
        <v>18845</v>
      </c>
      <c r="E16" s="112">
        <v>20358</v>
      </c>
      <c r="F16" s="112">
        <v>258471</v>
      </c>
      <c r="G16" s="112">
        <v>4686</v>
      </c>
      <c r="H16" s="112">
        <v>7996</v>
      </c>
      <c r="I16" s="112">
        <v>507976</v>
      </c>
      <c r="J16" s="112">
        <v>87890</v>
      </c>
      <c r="K16" s="112">
        <v>8024</v>
      </c>
      <c r="L16" s="112">
        <v>37742</v>
      </c>
      <c r="M16" s="112">
        <v>59724</v>
      </c>
      <c r="N16" s="112">
        <v>52589</v>
      </c>
      <c r="O16" s="112">
        <v>253256</v>
      </c>
      <c r="P16" s="112">
        <v>518396</v>
      </c>
      <c r="Q16" s="112">
        <v>4631</v>
      </c>
      <c r="R16" s="112">
        <v>25408</v>
      </c>
      <c r="S16" s="112">
        <v>25503</v>
      </c>
      <c r="T16" s="112">
        <v>358372</v>
      </c>
      <c r="U16" s="112">
        <v>506786</v>
      </c>
      <c r="V16" s="112">
        <v>55890</v>
      </c>
      <c r="W16" s="112">
        <v>7112</v>
      </c>
      <c r="X16" s="112">
        <v>20406</v>
      </c>
      <c r="Y16" s="112">
        <v>118176</v>
      </c>
      <c r="Z16" s="112">
        <v>1188</v>
      </c>
      <c r="AA16" s="112">
        <v>224573</v>
      </c>
      <c r="AB16" s="112">
        <v>11198</v>
      </c>
      <c r="AC16" s="112">
        <v>2592</v>
      </c>
      <c r="AD16" s="112">
        <v>23706</v>
      </c>
      <c r="AE16" s="112">
        <v>114139</v>
      </c>
      <c r="AF16" s="112">
        <v>288993</v>
      </c>
      <c r="AG16" s="112">
        <v>1439118</v>
      </c>
      <c r="AH16" s="112">
        <v>13364</v>
      </c>
      <c r="AI16" s="112">
        <v>491003</v>
      </c>
      <c r="AJ16" s="112">
        <v>849958</v>
      </c>
      <c r="AK16" s="112">
        <v>13420</v>
      </c>
      <c r="AL16" s="127">
        <v>43330</v>
      </c>
      <c r="AM16" s="112">
        <v>42618</v>
      </c>
      <c r="AN16" s="116">
        <v>787190</v>
      </c>
      <c r="AO16" s="116">
        <v>5655</v>
      </c>
      <c r="AP16" s="116">
        <v>0</v>
      </c>
      <c r="AQ16" s="112">
        <v>141920</v>
      </c>
      <c r="AR16" s="112">
        <v>282964</v>
      </c>
      <c r="AS16" s="112">
        <v>80563</v>
      </c>
      <c r="AT16" s="112">
        <v>812</v>
      </c>
      <c r="AU16" s="112">
        <v>150283</v>
      </c>
      <c r="AV16" s="112">
        <v>57843</v>
      </c>
      <c r="AW16" s="112">
        <v>48355</v>
      </c>
      <c r="AX16" s="112">
        <v>242256</v>
      </c>
      <c r="AY16" s="112">
        <v>652344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72216</v>
      </c>
      <c r="C17" s="112">
        <v>97815</v>
      </c>
      <c r="D17" s="112">
        <v>18847</v>
      </c>
      <c r="E17" s="112">
        <v>20368</v>
      </c>
      <c r="F17" s="112">
        <v>258662</v>
      </c>
      <c r="G17" s="112">
        <v>4689</v>
      </c>
      <c r="H17" s="112">
        <v>8011</v>
      </c>
      <c r="I17" s="112">
        <v>508364</v>
      </c>
      <c r="J17" s="112">
        <v>87923</v>
      </c>
      <c r="K17" s="112">
        <v>8024</v>
      </c>
      <c r="L17" s="112">
        <v>37772</v>
      </c>
      <c r="M17" s="112">
        <v>59734</v>
      </c>
      <c r="N17" s="112">
        <v>52621</v>
      </c>
      <c r="O17" s="112">
        <v>253454</v>
      </c>
      <c r="P17" s="112">
        <v>518778</v>
      </c>
      <c r="Q17" s="112">
        <v>4635</v>
      </c>
      <c r="R17" s="112">
        <v>25429</v>
      </c>
      <c r="S17" s="112">
        <v>25503</v>
      </c>
      <c r="T17" s="112">
        <v>358578</v>
      </c>
      <c r="U17" s="112">
        <v>507098</v>
      </c>
      <c r="V17" s="112">
        <v>55925</v>
      </c>
      <c r="W17" s="112">
        <v>7114</v>
      </c>
      <c r="X17" s="112">
        <v>20422</v>
      </c>
      <c r="Y17" s="112">
        <v>118241</v>
      </c>
      <c r="Z17" s="112">
        <v>1188</v>
      </c>
      <c r="AA17" s="112">
        <v>224692</v>
      </c>
      <c r="AB17" s="112">
        <v>11199</v>
      </c>
      <c r="AC17" s="112">
        <v>2594</v>
      </c>
      <c r="AD17" s="112">
        <v>23717</v>
      </c>
      <c r="AE17" s="112">
        <v>114227</v>
      </c>
      <c r="AF17" s="112">
        <v>289274</v>
      </c>
      <c r="AG17" s="112">
        <v>1439853</v>
      </c>
      <c r="AH17" s="112">
        <v>13365</v>
      </c>
      <c r="AI17" s="112">
        <v>491022</v>
      </c>
      <c r="AJ17" s="112">
        <v>850683</v>
      </c>
      <c r="AK17" s="112">
        <v>13433</v>
      </c>
      <c r="AL17" s="127">
        <v>43346</v>
      </c>
      <c r="AM17" s="112">
        <v>42668</v>
      </c>
      <c r="AN17" s="116">
        <v>787763</v>
      </c>
      <c r="AO17" s="116">
        <v>5657</v>
      </c>
      <c r="AP17" s="116">
        <v>0</v>
      </c>
      <c r="AQ17" s="112">
        <v>142024</v>
      </c>
      <c r="AR17" s="112">
        <v>283173</v>
      </c>
      <c r="AS17" s="112">
        <v>80614</v>
      </c>
      <c r="AT17" s="112">
        <v>813</v>
      </c>
      <c r="AU17" s="112">
        <v>150389</v>
      </c>
      <c r="AV17" s="112">
        <v>57879</v>
      </c>
      <c r="AW17" s="112">
        <v>48389</v>
      </c>
      <c r="AX17" s="112">
        <v>242307</v>
      </c>
      <c r="AY17" s="112">
        <v>652695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72280</v>
      </c>
      <c r="C18" s="112">
        <v>97830</v>
      </c>
      <c r="D18" s="112">
        <v>18848</v>
      </c>
      <c r="E18" s="112">
        <v>20372</v>
      </c>
      <c r="F18" s="112">
        <v>258843</v>
      </c>
      <c r="G18" s="112">
        <v>4692</v>
      </c>
      <c r="H18" s="112">
        <v>8025</v>
      </c>
      <c r="I18" s="112">
        <v>508735</v>
      </c>
      <c r="J18" s="112">
        <v>87943</v>
      </c>
      <c r="K18" s="112">
        <v>8025</v>
      </c>
      <c r="L18" s="112">
        <v>37797</v>
      </c>
      <c r="M18" s="112">
        <v>59745</v>
      </c>
      <c r="N18" s="112">
        <v>52653</v>
      </c>
      <c r="O18" s="112">
        <v>253640</v>
      </c>
      <c r="P18" s="112">
        <v>519208</v>
      </c>
      <c r="Q18" s="112">
        <v>4638</v>
      </c>
      <c r="R18" s="112">
        <v>25450</v>
      </c>
      <c r="S18" s="112">
        <v>25503</v>
      </c>
      <c r="T18" s="112">
        <v>358776</v>
      </c>
      <c r="U18" s="112">
        <v>507425</v>
      </c>
      <c r="V18" s="112">
        <v>55958</v>
      </c>
      <c r="W18" s="112">
        <v>7131</v>
      </c>
      <c r="X18" s="112">
        <v>20440</v>
      </c>
      <c r="Y18" s="112">
        <v>118303</v>
      </c>
      <c r="Z18" s="112">
        <v>1188</v>
      </c>
      <c r="AA18" s="112">
        <v>224813</v>
      </c>
      <c r="AB18" s="112">
        <v>11208</v>
      </c>
      <c r="AC18" s="112">
        <v>2595</v>
      </c>
      <c r="AD18" s="112">
        <v>23730</v>
      </c>
      <c r="AE18" s="112">
        <v>114315</v>
      </c>
      <c r="AF18" s="112">
        <v>289545</v>
      </c>
      <c r="AG18" s="112">
        <v>1440482</v>
      </c>
      <c r="AH18" s="112">
        <v>13366</v>
      </c>
      <c r="AI18" s="112">
        <v>491040</v>
      </c>
      <c r="AJ18" s="112">
        <v>851417</v>
      </c>
      <c r="AK18" s="112">
        <v>13446</v>
      </c>
      <c r="AL18" s="127">
        <v>43361</v>
      </c>
      <c r="AM18" s="112">
        <v>42713</v>
      </c>
      <c r="AN18" s="116">
        <v>788336</v>
      </c>
      <c r="AO18" s="116">
        <v>5658</v>
      </c>
      <c r="AP18" s="116">
        <v>0</v>
      </c>
      <c r="AQ18" s="112">
        <v>142123</v>
      </c>
      <c r="AR18" s="112">
        <v>283439</v>
      </c>
      <c r="AS18" s="112">
        <v>80662</v>
      </c>
      <c r="AT18" s="112">
        <v>814</v>
      </c>
      <c r="AU18" s="112">
        <v>150495</v>
      </c>
      <c r="AV18" s="112">
        <v>57917</v>
      </c>
      <c r="AW18" s="112">
        <v>48427</v>
      </c>
      <c r="AX18" s="112">
        <v>242357</v>
      </c>
      <c r="AY18" s="112">
        <v>653052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72377</v>
      </c>
      <c r="C19" s="112">
        <v>97832</v>
      </c>
      <c r="D19" s="112">
        <v>18856</v>
      </c>
      <c r="E19" s="112">
        <v>20377</v>
      </c>
      <c r="F19" s="112">
        <v>259027</v>
      </c>
      <c r="G19" s="112">
        <v>4694</v>
      </c>
      <c r="H19" s="112">
        <v>8032</v>
      </c>
      <c r="I19" s="112">
        <v>509113</v>
      </c>
      <c r="J19" s="112">
        <v>87964</v>
      </c>
      <c r="K19" s="112">
        <v>8025</v>
      </c>
      <c r="L19" s="112">
        <v>37824</v>
      </c>
      <c r="M19" s="112">
        <v>59765</v>
      </c>
      <c r="N19" s="112">
        <v>52686</v>
      </c>
      <c r="O19" s="112">
        <v>253840</v>
      </c>
      <c r="P19" s="112">
        <v>519540</v>
      </c>
      <c r="Q19" s="112">
        <v>4642</v>
      </c>
      <c r="R19" s="112">
        <v>25470</v>
      </c>
      <c r="S19" s="112">
        <v>25503</v>
      </c>
      <c r="T19" s="112">
        <v>358971</v>
      </c>
      <c r="U19" s="112">
        <v>507760</v>
      </c>
      <c r="V19" s="112">
        <v>55991</v>
      </c>
      <c r="W19" s="112">
        <v>7142</v>
      </c>
      <c r="X19" s="112">
        <v>20459</v>
      </c>
      <c r="Y19" s="112">
        <v>118370</v>
      </c>
      <c r="Z19" s="112">
        <v>1188</v>
      </c>
      <c r="AA19" s="112">
        <v>224934</v>
      </c>
      <c r="AB19" s="112">
        <v>11214</v>
      </c>
      <c r="AC19" s="112">
        <v>2597</v>
      </c>
      <c r="AD19" s="112">
        <v>23741</v>
      </c>
      <c r="AE19" s="112">
        <v>114401</v>
      </c>
      <c r="AF19" s="112">
        <v>289820</v>
      </c>
      <c r="AG19" s="112">
        <v>1441078</v>
      </c>
      <c r="AH19" s="112">
        <v>13367</v>
      </c>
      <c r="AI19" s="112">
        <v>491058</v>
      </c>
      <c r="AJ19" s="112">
        <v>852132</v>
      </c>
      <c r="AK19" s="112">
        <v>13456</v>
      </c>
      <c r="AL19" s="127">
        <v>43377</v>
      </c>
      <c r="AM19" s="112">
        <v>42761</v>
      </c>
      <c r="AN19" s="116">
        <v>788968</v>
      </c>
      <c r="AO19" s="116">
        <v>5659</v>
      </c>
      <c r="AP19" s="116">
        <v>0</v>
      </c>
      <c r="AQ19" s="112">
        <v>142224</v>
      </c>
      <c r="AR19" s="112">
        <v>283661</v>
      </c>
      <c r="AS19" s="112">
        <v>80707</v>
      </c>
      <c r="AT19" s="112">
        <v>814</v>
      </c>
      <c r="AU19" s="112">
        <v>150604</v>
      </c>
      <c r="AV19" s="112">
        <v>57954</v>
      </c>
      <c r="AW19" s="112">
        <v>48455</v>
      </c>
      <c r="AX19" s="112">
        <v>242403</v>
      </c>
      <c r="AY19" s="112">
        <v>653411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72392</v>
      </c>
      <c r="C20" s="112">
        <v>97843</v>
      </c>
      <c r="D20" s="112">
        <v>18866</v>
      </c>
      <c r="E20" s="112">
        <v>20382</v>
      </c>
      <c r="F20" s="112">
        <v>259218</v>
      </c>
      <c r="G20" s="112">
        <v>4697</v>
      </c>
      <c r="H20" s="112">
        <v>8040</v>
      </c>
      <c r="I20" s="112">
        <v>509483</v>
      </c>
      <c r="J20" s="112">
        <v>87991</v>
      </c>
      <c r="K20" s="112">
        <v>8025</v>
      </c>
      <c r="L20" s="112">
        <v>37850</v>
      </c>
      <c r="M20" s="112">
        <v>59775</v>
      </c>
      <c r="N20" s="112">
        <v>52718</v>
      </c>
      <c r="O20" s="112">
        <v>254028</v>
      </c>
      <c r="P20" s="112">
        <v>519962</v>
      </c>
      <c r="Q20" s="112">
        <v>4644</v>
      </c>
      <c r="R20" s="112">
        <v>25487</v>
      </c>
      <c r="S20" s="112">
        <v>25503</v>
      </c>
      <c r="T20" s="112">
        <v>359157</v>
      </c>
      <c r="U20" s="112">
        <v>508099</v>
      </c>
      <c r="V20" s="112">
        <v>56026</v>
      </c>
      <c r="W20" s="112">
        <v>7150</v>
      </c>
      <c r="X20" s="112">
        <v>20478</v>
      </c>
      <c r="Y20" s="112">
        <v>118436</v>
      </c>
      <c r="Z20" s="112">
        <v>1188</v>
      </c>
      <c r="AA20" s="112">
        <v>225052</v>
      </c>
      <c r="AB20" s="112">
        <v>11215</v>
      </c>
      <c r="AC20" s="112">
        <v>2598</v>
      </c>
      <c r="AD20" s="112">
        <v>23751</v>
      </c>
      <c r="AE20" s="112">
        <v>114487</v>
      </c>
      <c r="AF20" s="112">
        <v>290116</v>
      </c>
      <c r="AG20" s="112">
        <v>1441662</v>
      </c>
      <c r="AH20" s="112">
        <v>13368</v>
      </c>
      <c r="AI20" s="112">
        <v>491077</v>
      </c>
      <c r="AJ20" s="116">
        <v>852763</v>
      </c>
      <c r="AK20" s="116">
        <v>13469</v>
      </c>
      <c r="AL20" s="127">
        <v>43392</v>
      </c>
      <c r="AM20" s="116">
        <v>42808</v>
      </c>
      <c r="AN20" s="116">
        <v>789641</v>
      </c>
      <c r="AO20" s="116">
        <v>5661</v>
      </c>
      <c r="AP20" s="116">
        <v>0</v>
      </c>
      <c r="AQ20" s="116">
        <v>142332</v>
      </c>
      <c r="AR20" s="116">
        <v>283903</v>
      </c>
      <c r="AS20" s="116">
        <v>80753</v>
      </c>
      <c r="AT20" s="116">
        <v>815</v>
      </c>
      <c r="AU20" s="116">
        <v>150740</v>
      </c>
      <c r="AV20" s="116">
        <v>57990</v>
      </c>
      <c r="AW20" s="116">
        <v>48489</v>
      </c>
      <c r="AX20" s="116">
        <v>242452</v>
      </c>
      <c r="AY20" s="116">
        <v>653762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72443</v>
      </c>
      <c r="C21" s="112">
        <v>97859</v>
      </c>
      <c r="D21" s="112">
        <v>18869</v>
      </c>
      <c r="E21" s="112">
        <v>20388</v>
      </c>
      <c r="F21" s="112">
        <v>259421</v>
      </c>
      <c r="G21" s="112">
        <v>4699</v>
      </c>
      <c r="H21" s="112">
        <v>8052</v>
      </c>
      <c r="I21" s="112">
        <v>509868</v>
      </c>
      <c r="J21" s="112">
        <v>88015</v>
      </c>
      <c r="K21" s="112">
        <v>8025</v>
      </c>
      <c r="L21" s="112">
        <v>37873</v>
      </c>
      <c r="M21" s="112">
        <v>59782</v>
      </c>
      <c r="N21" s="112">
        <v>52753</v>
      </c>
      <c r="O21" s="112">
        <v>254218</v>
      </c>
      <c r="P21" s="112">
        <v>520355</v>
      </c>
      <c r="Q21" s="112">
        <v>4647</v>
      </c>
      <c r="R21" s="112">
        <v>25504</v>
      </c>
      <c r="S21" s="112">
        <v>25503</v>
      </c>
      <c r="T21" s="112">
        <v>359344</v>
      </c>
      <c r="U21" s="112">
        <v>508463</v>
      </c>
      <c r="V21" s="112">
        <v>56060</v>
      </c>
      <c r="W21" s="112">
        <v>7158</v>
      </c>
      <c r="X21" s="112">
        <v>20501</v>
      </c>
      <c r="Y21" s="112">
        <v>118500</v>
      </c>
      <c r="Z21" s="112">
        <v>1188</v>
      </c>
      <c r="AA21" s="112">
        <v>225171</v>
      </c>
      <c r="AB21" s="112">
        <v>11216</v>
      </c>
      <c r="AC21" s="112">
        <v>2600</v>
      </c>
      <c r="AD21" s="112">
        <v>23764</v>
      </c>
      <c r="AE21" s="112">
        <v>114571</v>
      </c>
      <c r="AF21" s="112">
        <v>290392</v>
      </c>
      <c r="AG21" s="112">
        <v>1442275</v>
      </c>
      <c r="AH21" s="112">
        <v>13368</v>
      </c>
      <c r="AI21" s="112">
        <v>491095</v>
      </c>
      <c r="AJ21" s="116">
        <v>853525</v>
      </c>
      <c r="AK21" s="116">
        <v>13479</v>
      </c>
      <c r="AL21" s="127">
        <v>43408</v>
      </c>
      <c r="AM21" s="116">
        <v>42858</v>
      </c>
      <c r="AN21" s="116">
        <v>790233</v>
      </c>
      <c r="AO21" s="116">
        <v>5662</v>
      </c>
      <c r="AP21" s="116">
        <v>0</v>
      </c>
      <c r="AQ21" s="116">
        <v>142442</v>
      </c>
      <c r="AR21" s="116">
        <v>284145</v>
      </c>
      <c r="AS21" s="116">
        <v>80800</v>
      </c>
      <c r="AT21" s="116">
        <v>815</v>
      </c>
      <c r="AU21" s="116">
        <v>150856</v>
      </c>
      <c r="AV21" s="116">
        <v>58026</v>
      </c>
      <c r="AW21" s="116">
        <v>48520</v>
      </c>
      <c r="AX21" s="116">
        <v>242503</v>
      </c>
      <c r="AY21" s="116">
        <v>654119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72497</v>
      </c>
      <c r="C22" s="112">
        <v>97905</v>
      </c>
      <c r="D22" s="112">
        <v>18870</v>
      </c>
      <c r="E22" s="112">
        <v>20395</v>
      </c>
      <c r="F22" s="112">
        <v>259606</v>
      </c>
      <c r="G22" s="112">
        <v>4701</v>
      </c>
      <c r="H22" s="112">
        <v>8064</v>
      </c>
      <c r="I22" s="112">
        <v>510244</v>
      </c>
      <c r="J22" s="112">
        <v>88039</v>
      </c>
      <c r="K22" s="112">
        <v>8026</v>
      </c>
      <c r="L22" s="112">
        <v>37901</v>
      </c>
      <c r="M22" s="112">
        <v>59794</v>
      </c>
      <c r="N22" s="112">
        <v>52787</v>
      </c>
      <c r="O22" s="112">
        <v>254401</v>
      </c>
      <c r="P22" s="112">
        <v>520699</v>
      </c>
      <c r="Q22" s="112">
        <v>4651</v>
      </c>
      <c r="R22" s="112">
        <v>25520</v>
      </c>
      <c r="S22" s="112">
        <v>25503</v>
      </c>
      <c r="T22" s="112">
        <v>359516</v>
      </c>
      <c r="U22" s="112">
        <v>508814</v>
      </c>
      <c r="V22" s="112">
        <v>56093</v>
      </c>
      <c r="W22" s="112">
        <v>7161</v>
      </c>
      <c r="X22" s="112">
        <v>20522</v>
      </c>
      <c r="Y22" s="112">
        <v>118562</v>
      </c>
      <c r="Z22" s="112">
        <v>1188</v>
      </c>
      <c r="AA22" s="112">
        <v>225287</v>
      </c>
      <c r="AB22" s="112">
        <v>11216</v>
      </c>
      <c r="AC22" s="112">
        <v>2602</v>
      </c>
      <c r="AD22" s="112">
        <v>23775</v>
      </c>
      <c r="AE22" s="112">
        <v>114660</v>
      </c>
      <c r="AF22" s="112">
        <v>290658</v>
      </c>
      <c r="AG22" s="112">
        <v>1442836</v>
      </c>
      <c r="AH22" s="112">
        <v>13369</v>
      </c>
      <c r="AI22" s="112">
        <v>491112</v>
      </c>
      <c r="AJ22" s="116">
        <v>854214</v>
      </c>
      <c r="AK22" s="116">
        <v>13488</v>
      </c>
      <c r="AL22" s="127">
        <v>43423</v>
      </c>
      <c r="AM22" s="116">
        <v>42900</v>
      </c>
      <c r="AN22" s="116">
        <v>790813</v>
      </c>
      <c r="AO22" s="116">
        <v>5663</v>
      </c>
      <c r="AP22" s="116">
        <v>0</v>
      </c>
      <c r="AQ22" s="116">
        <v>142557</v>
      </c>
      <c r="AR22" s="116">
        <v>284357</v>
      </c>
      <c r="AS22" s="116">
        <v>80849</v>
      </c>
      <c r="AT22" s="116">
        <v>816</v>
      </c>
      <c r="AU22" s="116">
        <v>150960</v>
      </c>
      <c r="AV22" s="116">
        <v>58060</v>
      </c>
      <c r="AW22" s="116">
        <v>48551</v>
      </c>
      <c r="AX22" s="116">
        <v>242543</v>
      </c>
      <c r="AY22" s="116">
        <v>654467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72553</v>
      </c>
      <c r="C23" s="112">
        <v>97954</v>
      </c>
      <c r="D23" s="112">
        <v>18878</v>
      </c>
      <c r="E23" s="112">
        <v>20404</v>
      </c>
      <c r="F23" s="112">
        <v>259780</v>
      </c>
      <c r="G23" s="112">
        <v>4703</v>
      </c>
      <c r="H23" s="112">
        <v>8078</v>
      </c>
      <c r="I23" s="112">
        <v>510610</v>
      </c>
      <c r="J23" s="112">
        <v>88064</v>
      </c>
      <c r="K23" s="112">
        <v>8026</v>
      </c>
      <c r="L23" s="112">
        <v>37925</v>
      </c>
      <c r="M23" s="112">
        <v>59807</v>
      </c>
      <c r="N23" s="112">
        <v>52820</v>
      </c>
      <c r="O23" s="112">
        <v>254582</v>
      </c>
      <c r="P23" s="112">
        <v>521122</v>
      </c>
      <c r="Q23" s="112">
        <v>4655</v>
      </c>
      <c r="R23" s="112">
        <v>25536</v>
      </c>
      <c r="S23" s="112">
        <v>25503</v>
      </c>
      <c r="T23" s="112">
        <v>359692</v>
      </c>
      <c r="U23" s="112">
        <v>509126</v>
      </c>
      <c r="V23" s="112">
        <v>56125</v>
      </c>
      <c r="W23" s="112">
        <v>7162</v>
      </c>
      <c r="X23" s="112">
        <v>20540</v>
      </c>
      <c r="Y23" s="112">
        <v>118625</v>
      </c>
      <c r="Z23" s="112">
        <v>1188</v>
      </c>
      <c r="AA23" s="112">
        <v>225398</v>
      </c>
      <c r="AB23" s="112">
        <v>11226</v>
      </c>
      <c r="AC23" s="112">
        <v>2603</v>
      </c>
      <c r="AD23" s="112">
        <v>23785</v>
      </c>
      <c r="AE23" s="112">
        <v>114740</v>
      </c>
      <c r="AF23" s="112">
        <v>290921</v>
      </c>
      <c r="AG23" s="112">
        <v>1443426</v>
      </c>
      <c r="AH23" s="112">
        <v>13369</v>
      </c>
      <c r="AI23" s="112">
        <v>491129</v>
      </c>
      <c r="AJ23" s="112">
        <v>854862</v>
      </c>
      <c r="AK23" s="112">
        <v>13498</v>
      </c>
      <c r="AL23" s="127">
        <v>43438</v>
      </c>
      <c r="AM23" s="112">
        <v>42993</v>
      </c>
      <c r="AN23" s="116">
        <v>791420</v>
      </c>
      <c r="AO23" s="116">
        <v>5664</v>
      </c>
      <c r="AP23" s="116">
        <v>0</v>
      </c>
      <c r="AQ23" s="112">
        <v>142657</v>
      </c>
      <c r="AR23" s="112">
        <v>284558</v>
      </c>
      <c r="AS23" s="112">
        <v>80904</v>
      </c>
      <c r="AT23" s="112">
        <v>817</v>
      </c>
      <c r="AU23" s="112">
        <v>151051</v>
      </c>
      <c r="AV23" s="112">
        <v>58094</v>
      </c>
      <c r="AW23" s="112">
        <v>48580</v>
      </c>
      <c r="AX23" s="112">
        <v>242584</v>
      </c>
      <c r="AY23" s="112">
        <v>654809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72618</v>
      </c>
      <c r="C24" s="112">
        <v>97972</v>
      </c>
      <c r="D24" s="112">
        <v>18887</v>
      </c>
      <c r="E24" s="112">
        <v>20408</v>
      </c>
      <c r="F24" s="112">
        <v>259971</v>
      </c>
      <c r="G24" s="112">
        <v>4706</v>
      </c>
      <c r="H24" s="112">
        <v>8091</v>
      </c>
      <c r="I24" s="112">
        <v>510992</v>
      </c>
      <c r="J24" s="112">
        <v>88091</v>
      </c>
      <c r="K24" s="112">
        <v>8026</v>
      </c>
      <c r="L24" s="112">
        <v>37951</v>
      </c>
      <c r="M24" s="112">
        <v>59827</v>
      </c>
      <c r="N24" s="112">
        <v>52856</v>
      </c>
      <c r="O24" s="112">
        <v>254769</v>
      </c>
      <c r="P24" s="112">
        <v>521584</v>
      </c>
      <c r="Q24" s="112">
        <v>4658</v>
      </c>
      <c r="R24" s="112">
        <v>25560</v>
      </c>
      <c r="S24" s="112">
        <v>25503</v>
      </c>
      <c r="T24" s="112">
        <v>359882</v>
      </c>
      <c r="U24" s="112">
        <v>509451</v>
      </c>
      <c r="V24" s="112">
        <v>56160</v>
      </c>
      <c r="W24" s="112">
        <v>7165</v>
      </c>
      <c r="X24" s="112">
        <v>20559</v>
      </c>
      <c r="Y24" s="112">
        <v>118704</v>
      </c>
      <c r="Z24" s="112">
        <v>1188</v>
      </c>
      <c r="AA24" s="112">
        <v>225518</v>
      </c>
      <c r="AB24" s="112">
        <v>11232</v>
      </c>
      <c r="AC24" s="112">
        <v>2605</v>
      </c>
      <c r="AD24" s="112">
        <v>23794</v>
      </c>
      <c r="AE24" s="112">
        <v>114825</v>
      </c>
      <c r="AF24" s="112">
        <v>291160</v>
      </c>
      <c r="AG24" s="112">
        <v>1444083</v>
      </c>
      <c r="AH24" s="112">
        <v>13369</v>
      </c>
      <c r="AI24" s="112">
        <v>491147</v>
      </c>
      <c r="AJ24" s="112">
        <v>855578</v>
      </c>
      <c r="AK24" s="112">
        <v>13516</v>
      </c>
      <c r="AL24" s="127">
        <v>43453</v>
      </c>
      <c r="AM24" s="112">
        <v>43005</v>
      </c>
      <c r="AN24" s="116">
        <v>792032</v>
      </c>
      <c r="AO24" s="116">
        <v>5666</v>
      </c>
      <c r="AP24" s="116">
        <v>0</v>
      </c>
      <c r="AQ24" s="112">
        <v>142760</v>
      </c>
      <c r="AR24" s="112">
        <v>284781</v>
      </c>
      <c r="AS24" s="112">
        <v>80958</v>
      </c>
      <c r="AT24" s="112">
        <v>817</v>
      </c>
      <c r="AU24" s="112">
        <v>151143</v>
      </c>
      <c r="AV24" s="112">
        <v>58130</v>
      </c>
      <c r="AW24" s="112">
        <v>48613</v>
      </c>
      <c r="AX24" s="112">
        <v>242626</v>
      </c>
      <c r="AY24" s="112">
        <v>655184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72675</v>
      </c>
      <c r="C25" s="112">
        <v>97996</v>
      </c>
      <c r="D25" s="112">
        <v>18893</v>
      </c>
      <c r="E25" s="112">
        <v>20414</v>
      </c>
      <c r="F25" s="112">
        <v>260166</v>
      </c>
      <c r="G25" s="112">
        <v>4708</v>
      </c>
      <c r="H25" s="112">
        <v>8109</v>
      </c>
      <c r="I25" s="112">
        <v>511377</v>
      </c>
      <c r="J25" s="112">
        <v>88129</v>
      </c>
      <c r="K25" s="112">
        <v>8026</v>
      </c>
      <c r="L25" s="112">
        <v>37977</v>
      </c>
      <c r="M25" s="112">
        <v>59839</v>
      </c>
      <c r="N25" s="112">
        <v>52893</v>
      </c>
      <c r="O25" s="112">
        <v>254956</v>
      </c>
      <c r="P25" s="112">
        <v>521987</v>
      </c>
      <c r="Q25" s="112">
        <v>4661</v>
      </c>
      <c r="R25" s="112">
        <v>25578</v>
      </c>
      <c r="S25" s="112">
        <v>25503</v>
      </c>
      <c r="T25" s="112">
        <v>360070</v>
      </c>
      <c r="U25" s="112">
        <v>509790</v>
      </c>
      <c r="V25" s="112">
        <v>56197</v>
      </c>
      <c r="W25" s="112">
        <v>7169</v>
      </c>
      <c r="X25" s="112">
        <v>20584</v>
      </c>
      <c r="Y25" s="112">
        <v>118783</v>
      </c>
      <c r="Z25" s="112">
        <v>1188</v>
      </c>
      <c r="AA25" s="112">
        <v>225650</v>
      </c>
      <c r="AB25" s="112">
        <v>11232</v>
      </c>
      <c r="AC25" s="112">
        <v>2608</v>
      </c>
      <c r="AD25" s="112">
        <v>23806</v>
      </c>
      <c r="AE25" s="112">
        <v>114913</v>
      </c>
      <c r="AF25" s="112">
        <v>291429</v>
      </c>
      <c r="AG25" s="112">
        <v>1444860</v>
      </c>
      <c r="AH25" s="112">
        <v>13370</v>
      </c>
      <c r="AI25" s="112">
        <v>491165</v>
      </c>
      <c r="AJ25" s="112">
        <v>856335</v>
      </c>
      <c r="AK25" s="112">
        <v>13529</v>
      </c>
      <c r="AL25" s="127">
        <v>43468</v>
      </c>
      <c r="AM25" s="112">
        <v>43468</v>
      </c>
      <c r="AN25" s="116">
        <v>792656</v>
      </c>
      <c r="AO25" s="116">
        <v>5667</v>
      </c>
      <c r="AP25" s="116">
        <v>0</v>
      </c>
      <c r="AQ25" s="112">
        <v>142856</v>
      </c>
      <c r="AR25" s="112">
        <v>285008</v>
      </c>
      <c r="AS25" s="112">
        <v>81012</v>
      </c>
      <c r="AT25" s="112">
        <v>818</v>
      </c>
      <c r="AU25" s="112">
        <v>151229</v>
      </c>
      <c r="AV25" s="112">
        <v>58169</v>
      </c>
      <c r="AW25" s="112">
        <v>48642</v>
      </c>
      <c r="AX25" s="112">
        <v>242665</v>
      </c>
      <c r="AY25" s="112">
        <v>655538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72744</v>
      </c>
      <c r="C26" s="112">
        <v>98054</v>
      </c>
      <c r="D26" s="112">
        <v>18901</v>
      </c>
      <c r="E26" s="112">
        <v>20426</v>
      </c>
      <c r="F26" s="112">
        <v>260343</v>
      </c>
      <c r="G26" s="112">
        <v>4711</v>
      </c>
      <c r="H26" s="112">
        <v>8126</v>
      </c>
      <c r="I26" s="112">
        <v>511754</v>
      </c>
      <c r="J26" s="112">
        <v>88182</v>
      </c>
      <c r="K26" s="112">
        <v>8027</v>
      </c>
      <c r="L26" s="112">
        <v>38003</v>
      </c>
      <c r="M26" s="112">
        <v>59856</v>
      </c>
      <c r="N26" s="112">
        <v>52932</v>
      </c>
      <c r="O26" s="112">
        <v>255155</v>
      </c>
      <c r="P26" s="112">
        <v>522363</v>
      </c>
      <c r="Q26" s="112">
        <v>4665</v>
      </c>
      <c r="R26" s="112">
        <v>25591</v>
      </c>
      <c r="S26" s="112">
        <v>25503</v>
      </c>
      <c r="T26" s="112">
        <v>360246</v>
      </c>
      <c r="U26" s="112">
        <v>510137</v>
      </c>
      <c r="V26" s="112">
        <v>56233</v>
      </c>
      <c r="W26" s="112">
        <v>7176</v>
      </c>
      <c r="X26" s="112">
        <v>20606</v>
      </c>
      <c r="Y26" s="112">
        <v>118869</v>
      </c>
      <c r="Z26" s="112">
        <v>1188</v>
      </c>
      <c r="AA26" s="112">
        <v>225788</v>
      </c>
      <c r="AB26" s="112">
        <v>11233</v>
      </c>
      <c r="AC26" s="112">
        <v>2610</v>
      </c>
      <c r="AD26" s="112">
        <v>23816</v>
      </c>
      <c r="AE26" s="112">
        <v>115006</v>
      </c>
      <c r="AF26" s="112">
        <v>291680</v>
      </c>
      <c r="AG26" s="112">
        <v>1445736</v>
      </c>
      <c r="AH26" s="112">
        <v>13372</v>
      </c>
      <c r="AI26" s="112">
        <v>491183</v>
      </c>
      <c r="AJ26" s="112">
        <v>856994</v>
      </c>
      <c r="AK26" s="112">
        <v>13539</v>
      </c>
      <c r="AL26" s="127">
        <v>43483</v>
      </c>
      <c r="AM26" s="112">
        <v>43149</v>
      </c>
      <c r="AN26" s="116">
        <v>793279</v>
      </c>
      <c r="AO26" s="116">
        <v>5668</v>
      </c>
      <c r="AP26" s="116">
        <v>0</v>
      </c>
      <c r="AQ26" s="112">
        <v>142958</v>
      </c>
      <c r="AR26" s="112">
        <v>285231</v>
      </c>
      <c r="AS26" s="112">
        <v>81062</v>
      </c>
      <c r="AT26" s="112">
        <v>819</v>
      </c>
      <c r="AU26" s="112">
        <v>151341</v>
      </c>
      <c r="AV26" s="112">
        <v>58207</v>
      </c>
      <c r="AW26" s="112">
        <v>48674</v>
      </c>
      <c r="AX26" s="112">
        <v>242715</v>
      </c>
      <c r="AY26" s="112">
        <v>655888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72824</v>
      </c>
      <c r="C27" s="112">
        <v>98126</v>
      </c>
      <c r="D27" s="112">
        <v>18911</v>
      </c>
      <c r="E27" s="112">
        <v>20431</v>
      </c>
      <c r="F27" s="112">
        <v>260530</v>
      </c>
      <c r="G27" s="112">
        <v>4713</v>
      </c>
      <c r="H27" s="112">
        <v>8132</v>
      </c>
      <c r="I27" s="112">
        <v>512127</v>
      </c>
      <c r="J27" s="112">
        <v>88239</v>
      </c>
      <c r="K27" s="112">
        <v>8027</v>
      </c>
      <c r="L27" s="112">
        <v>38030</v>
      </c>
      <c r="M27" s="112">
        <v>59871</v>
      </c>
      <c r="N27" s="112">
        <v>52973</v>
      </c>
      <c r="O27" s="112">
        <v>255345</v>
      </c>
      <c r="P27" s="112">
        <v>522771</v>
      </c>
      <c r="Q27" s="112">
        <v>4669</v>
      </c>
      <c r="R27" s="112">
        <v>25606</v>
      </c>
      <c r="S27" s="112">
        <v>25503</v>
      </c>
      <c r="T27" s="112">
        <v>360433</v>
      </c>
      <c r="U27" s="112">
        <v>510493</v>
      </c>
      <c r="V27" s="112">
        <v>56268</v>
      </c>
      <c r="W27" s="112">
        <v>7191</v>
      </c>
      <c r="X27" s="112">
        <v>20625</v>
      </c>
      <c r="Y27" s="112">
        <v>118943</v>
      </c>
      <c r="Z27" s="112">
        <v>1189</v>
      </c>
      <c r="AA27" s="112">
        <v>225926</v>
      </c>
      <c r="AB27" s="112">
        <v>11234</v>
      </c>
      <c r="AC27" s="112">
        <v>2612</v>
      </c>
      <c r="AD27" s="112">
        <v>23829</v>
      </c>
      <c r="AE27" s="112">
        <v>115096</v>
      </c>
      <c r="AF27" s="112">
        <v>291936</v>
      </c>
      <c r="AG27" s="112">
        <v>1446774</v>
      </c>
      <c r="AH27" s="112">
        <v>13373</v>
      </c>
      <c r="AI27" s="112">
        <v>491200</v>
      </c>
      <c r="AJ27" s="112">
        <v>857714</v>
      </c>
      <c r="AK27" s="112">
        <v>13549</v>
      </c>
      <c r="AL27" s="127">
        <v>43499</v>
      </c>
      <c r="AM27" s="112">
        <v>43222</v>
      </c>
      <c r="AN27" s="116">
        <v>793844</v>
      </c>
      <c r="AO27" s="116">
        <v>5669</v>
      </c>
      <c r="AP27" s="116">
        <v>0</v>
      </c>
      <c r="AQ27" s="112">
        <v>143060</v>
      </c>
      <c r="AR27" s="112">
        <v>285457</v>
      </c>
      <c r="AS27" s="112">
        <v>81131</v>
      </c>
      <c r="AT27" s="112">
        <v>819</v>
      </c>
      <c r="AU27" s="112">
        <v>151473</v>
      </c>
      <c r="AV27" s="112">
        <v>58243</v>
      </c>
      <c r="AW27" s="112">
        <v>48699</v>
      </c>
      <c r="AX27" s="112">
        <v>242768</v>
      </c>
      <c r="AY27" s="112">
        <v>656244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72901</v>
      </c>
      <c r="C28" s="112">
        <v>98216</v>
      </c>
      <c r="D28" s="112">
        <v>18919</v>
      </c>
      <c r="E28" s="112">
        <v>20440</v>
      </c>
      <c r="F28" s="112">
        <v>260722</v>
      </c>
      <c r="G28" s="112">
        <v>4716</v>
      </c>
      <c r="H28" s="112">
        <v>8145</v>
      </c>
      <c r="I28" s="112">
        <v>512506</v>
      </c>
      <c r="J28" s="112">
        <v>88287</v>
      </c>
      <c r="K28" s="112">
        <v>8028</v>
      </c>
      <c r="L28" s="112">
        <v>38045</v>
      </c>
      <c r="M28" s="112">
        <v>59885</v>
      </c>
      <c r="N28" s="112">
        <v>53014</v>
      </c>
      <c r="O28" s="112">
        <v>255538</v>
      </c>
      <c r="P28" s="112">
        <v>523137</v>
      </c>
      <c r="Q28" s="112">
        <v>4672</v>
      </c>
      <c r="R28" s="112">
        <v>25623</v>
      </c>
      <c r="S28" s="112">
        <v>25503</v>
      </c>
      <c r="T28" s="112">
        <v>360635</v>
      </c>
      <c r="U28" s="112">
        <v>510844</v>
      </c>
      <c r="V28" s="112">
        <v>56305</v>
      </c>
      <c r="W28" s="112">
        <v>7201</v>
      </c>
      <c r="X28" s="112">
        <v>20648</v>
      </c>
      <c r="Y28" s="112">
        <v>119014</v>
      </c>
      <c r="Z28" s="112">
        <v>1192</v>
      </c>
      <c r="AA28" s="112">
        <v>226064</v>
      </c>
      <c r="AB28" s="112">
        <v>11236</v>
      </c>
      <c r="AC28" s="112">
        <v>2616</v>
      </c>
      <c r="AD28" s="112">
        <v>23840</v>
      </c>
      <c r="AE28" s="112">
        <v>115185</v>
      </c>
      <c r="AF28" s="112">
        <v>292211</v>
      </c>
      <c r="AG28" s="112">
        <v>1447778</v>
      </c>
      <c r="AH28" s="112">
        <v>13375</v>
      </c>
      <c r="AI28" s="112">
        <v>491219</v>
      </c>
      <c r="AJ28" s="112">
        <v>858521</v>
      </c>
      <c r="AK28" s="112">
        <v>13566</v>
      </c>
      <c r="AL28" s="127">
        <v>43514</v>
      </c>
      <c r="AM28" s="112">
        <v>43313</v>
      </c>
      <c r="AN28" s="116">
        <v>794448</v>
      </c>
      <c r="AO28" s="116">
        <v>5671</v>
      </c>
      <c r="AP28" s="116">
        <v>0</v>
      </c>
      <c r="AQ28" s="112">
        <v>143172</v>
      </c>
      <c r="AR28" s="112">
        <v>285691</v>
      </c>
      <c r="AS28" s="112">
        <v>81204</v>
      </c>
      <c r="AT28" s="112">
        <v>820</v>
      </c>
      <c r="AU28" s="112">
        <v>151699</v>
      </c>
      <c r="AV28" s="112">
        <v>58280</v>
      </c>
      <c r="AW28" s="112">
        <v>48731</v>
      </c>
      <c r="AX28" s="112">
        <v>242815</v>
      </c>
      <c r="AY28" s="112">
        <v>656599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72972</v>
      </c>
      <c r="C29" s="112">
        <v>98362</v>
      </c>
      <c r="D29" s="112">
        <v>18923</v>
      </c>
      <c r="E29" s="112">
        <v>20449</v>
      </c>
      <c r="F29" s="112">
        <v>260890</v>
      </c>
      <c r="G29" s="112">
        <v>4719</v>
      </c>
      <c r="H29" s="112">
        <v>8165</v>
      </c>
      <c r="I29" s="112">
        <v>512886</v>
      </c>
      <c r="J29" s="112">
        <v>88331</v>
      </c>
      <c r="K29" s="112">
        <v>8028</v>
      </c>
      <c r="L29" s="112">
        <v>38067</v>
      </c>
      <c r="M29" s="112">
        <v>59900</v>
      </c>
      <c r="N29" s="112">
        <v>53052</v>
      </c>
      <c r="O29" s="112">
        <v>255729</v>
      </c>
      <c r="P29" s="112">
        <v>523560</v>
      </c>
      <c r="Q29" s="112">
        <v>4677</v>
      </c>
      <c r="R29" s="112">
        <v>25637</v>
      </c>
      <c r="S29" s="112">
        <v>25503</v>
      </c>
      <c r="T29" s="112">
        <v>360809</v>
      </c>
      <c r="U29" s="112">
        <v>511184</v>
      </c>
      <c r="V29" s="112">
        <v>56341</v>
      </c>
      <c r="W29" s="112">
        <v>7209</v>
      </c>
      <c r="X29" s="112">
        <v>20672</v>
      </c>
      <c r="Y29" s="112">
        <v>119081</v>
      </c>
      <c r="Z29" s="112">
        <v>1195</v>
      </c>
      <c r="AA29" s="112">
        <v>226203</v>
      </c>
      <c r="AB29" s="112">
        <v>11237</v>
      </c>
      <c r="AC29" s="112">
        <v>2617</v>
      </c>
      <c r="AD29" s="112">
        <v>23852</v>
      </c>
      <c r="AE29" s="112">
        <v>115266</v>
      </c>
      <c r="AF29" s="112">
        <v>292472</v>
      </c>
      <c r="AG29" s="112">
        <v>1448735</v>
      </c>
      <c r="AH29" s="112">
        <v>13378</v>
      </c>
      <c r="AI29" s="112">
        <v>491237</v>
      </c>
      <c r="AJ29" s="112">
        <v>859306</v>
      </c>
      <c r="AK29" s="112">
        <v>13576</v>
      </c>
      <c r="AL29" s="127">
        <v>43529</v>
      </c>
      <c r="AM29" s="112">
        <v>43425</v>
      </c>
      <c r="AN29" s="116">
        <v>795068</v>
      </c>
      <c r="AO29" s="116">
        <v>5672</v>
      </c>
      <c r="AP29" s="116">
        <v>0</v>
      </c>
      <c r="AQ29" s="112">
        <v>143300</v>
      </c>
      <c r="AR29" s="112">
        <v>285924</v>
      </c>
      <c r="AS29" s="112">
        <v>81264</v>
      </c>
      <c r="AT29" s="112">
        <v>820</v>
      </c>
      <c r="AU29" s="112">
        <v>151770</v>
      </c>
      <c r="AV29" s="112">
        <v>58319</v>
      </c>
      <c r="AW29" s="112">
        <v>48759</v>
      </c>
      <c r="AX29" s="112">
        <v>242848</v>
      </c>
      <c r="AY29" s="112">
        <v>656959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>
        <v>73050</v>
      </c>
      <c r="C30" s="112">
        <v>98481</v>
      </c>
      <c r="D30" s="112">
        <v>18927</v>
      </c>
      <c r="E30" s="112">
        <v>20460</v>
      </c>
      <c r="F30" s="112">
        <v>261068</v>
      </c>
      <c r="G30" s="112">
        <v>4721</v>
      </c>
      <c r="H30" s="112">
        <v>8186</v>
      </c>
      <c r="I30" s="112">
        <v>513266</v>
      </c>
      <c r="J30" s="112">
        <v>88367</v>
      </c>
      <c r="K30" s="112">
        <v>8029</v>
      </c>
      <c r="L30" s="112">
        <v>38086</v>
      </c>
      <c r="M30" s="112">
        <v>59916</v>
      </c>
      <c r="N30" s="112">
        <v>53089</v>
      </c>
      <c r="O30" s="112">
        <v>255923</v>
      </c>
      <c r="P30" s="112">
        <v>524008</v>
      </c>
      <c r="Q30" s="112">
        <v>4684</v>
      </c>
      <c r="R30" s="112">
        <v>25651</v>
      </c>
      <c r="S30" s="112">
        <v>25503</v>
      </c>
      <c r="T30" s="112">
        <v>360989</v>
      </c>
      <c r="U30" s="112">
        <v>511509</v>
      </c>
      <c r="V30" s="112">
        <v>56375</v>
      </c>
      <c r="W30" s="112">
        <v>7215</v>
      </c>
      <c r="X30" s="112">
        <v>20697</v>
      </c>
      <c r="Y30" s="112">
        <v>119142</v>
      </c>
      <c r="Z30" s="112">
        <v>1198</v>
      </c>
      <c r="AA30" s="112">
        <v>226337</v>
      </c>
      <c r="AB30" s="112">
        <v>11238</v>
      </c>
      <c r="AC30" s="112">
        <v>2619</v>
      </c>
      <c r="AD30" s="112">
        <v>23861</v>
      </c>
      <c r="AE30" s="112">
        <v>115350</v>
      </c>
      <c r="AF30" s="112">
        <v>292739</v>
      </c>
      <c r="AG30" s="112">
        <v>1449396</v>
      </c>
      <c r="AH30" s="112">
        <v>13381</v>
      </c>
      <c r="AI30" s="112">
        <v>491255</v>
      </c>
      <c r="AJ30" s="112">
        <v>860153</v>
      </c>
      <c r="AK30" s="112">
        <v>13589</v>
      </c>
      <c r="AL30" s="127">
        <v>43544</v>
      </c>
      <c r="AM30" s="112">
        <v>43532</v>
      </c>
      <c r="AN30" s="116">
        <v>795674</v>
      </c>
      <c r="AO30" s="116">
        <v>5673</v>
      </c>
      <c r="AP30" s="116">
        <v>0</v>
      </c>
      <c r="AQ30" s="112">
        <v>143419</v>
      </c>
      <c r="AR30" s="116">
        <v>286169</v>
      </c>
      <c r="AS30" s="112">
        <v>81333</v>
      </c>
      <c r="AT30" s="112">
        <v>821</v>
      </c>
      <c r="AU30" s="112">
        <v>151916</v>
      </c>
      <c r="AV30" s="112">
        <v>58355</v>
      </c>
      <c r="AW30" s="112">
        <v>48793</v>
      </c>
      <c r="AX30" s="112">
        <v>242927</v>
      </c>
      <c r="AY30" s="112">
        <v>657325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>
        <v>73121</v>
      </c>
      <c r="C31" s="112">
        <v>98532</v>
      </c>
      <c r="D31" s="112">
        <v>18932</v>
      </c>
      <c r="E31" s="112">
        <v>20473</v>
      </c>
      <c r="F31" s="112">
        <v>261241</v>
      </c>
      <c r="G31" s="112">
        <v>4724</v>
      </c>
      <c r="H31" s="112">
        <v>8206</v>
      </c>
      <c r="I31" s="112">
        <v>513636</v>
      </c>
      <c r="J31" s="112">
        <v>88413</v>
      </c>
      <c r="K31" s="112">
        <v>8029</v>
      </c>
      <c r="L31" s="112">
        <v>38106</v>
      </c>
      <c r="M31" s="112">
        <v>59941</v>
      </c>
      <c r="N31" s="112">
        <v>53127</v>
      </c>
      <c r="O31" s="112">
        <v>256110</v>
      </c>
      <c r="P31" s="112">
        <v>524423</v>
      </c>
      <c r="Q31" s="112">
        <v>4688</v>
      </c>
      <c r="R31" s="112">
        <v>25667</v>
      </c>
      <c r="S31" s="112">
        <v>25503</v>
      </c>
      <c r="T31" s="112">
        <v>361164</v>
      </c>
      <c r="U31" s="112">
        <v>511824</v>
      </c>
      <c r="V31" s="112">
        <v>56411</v>
      </c>
      <c r="W31" s="112">
        <v>7227</v>
      </c>
      <c r="X31" s="112">
        <v>20721</v>
      </c>
      <c r="Y31" s="112">
        <v>119222</v>
      </c>
      <c r="Z31" s="112">
        <v>1201</v>
      </c>
      <c r="AA31" s="112">
        <v>226474</v>
      </c>
      <c r="AB31" s="112">
        <v>11241</v>
      </c>
      <c r="AC31" s="112">
        <v>2621</v>
      </c>
      <c r="AD31" s="112">
        <v>23874</v>
      </c>
      <c r="AE31" s="112">
        <v>115436</v>
      </c>
      <c r="AF31" s="112">
        <v>293002</v>
      </c>
      <c r="AG31" s="112">
        <v>1450007</v>
      </c>
      <c r="AH31" s="112">
        <v>13382</v>
      </c>
      <c r="AI31" s="112">
        <v>491272</v>
      </c>
      <c r="AJ31" s="112">
        <v>860979</v>
      </c>
      <c r="AK31" s="112">
        <v>13595</v>
      </c>
      <c r="AL31" s="127">
        <v>43555</v>
      </c>
      <c r="AM31" s="112">
        <v>43559</v>
      </c>
      <c r="AN31" s="116">
        <v>796287</v>
      </c>
      <c r="AO31" s="116">
        <v>5674</v>
      </c>
      <c r="AP31" s="116">
        <v>0</v>
      </c>
      <c r="AQ31" s="112">
        <v>143536</v>
      </c>
      <c r="AR31" s="112">
        <v>286408</v>
      </c>
      <c r="AS31" s="112">
        <v>81398</v>
      </c>
      <c r="AT31" s="112">
        <v>822</v>
      </c>
      <c r="AU31" s="112">
        <v>152070</v>
      </c>
      <c r="AV31" s="112">
        <v>58402</v>
      </c>
      <c r="AW31" s="112">
        <v>48821</v>
      </c>
      <c r="AX31" s="112">
        <v>242961</v>
      </c>
      <c r="AY31" s="112">
        <v>657688</v>
      </c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>
        <v>73191</v>
      </c>
      <c r="C32" s="112">
        <v>98577</v>
      </c>
      <c r="D32" s="112">
        <v>18938</v>
      </c>
      <c r="E32" s="112">
        <v>20484</v>
      </c>
      <c r="F32" s="112">
        <v>261415</v>
      </c>
      <c r="G32" s="112">
        <v>4727</v>
      </c>
      <c r="H32" s="112">
        <v>8229</v>
      </c>
      <c r="I32" s="112">
        <v>514019</v>
      </c>
      <c r="J32" s="112">
        <v>88456</v>
      </c>
      <c r="K32" s="112">
        <v>8030</v>
      </c>
      <c r="L32" s="112">
        <v>38125</v>
      </c>
      <c r="M32" s="112">
        <v>59962</v>
      </c>
      <c r="N32" s="112">
        <v>53166</v>
      </c>
      <c r="O32" s="112">
        <v>256296</v>
      </c>
      <c r="P32" s="112">
        <v>524817</v>
      </c>
      <c r="Q32" s="112">
        <v>4691</v>
      </c>
      <c r="R32" s="112">
        <v>25683</v>
      </c>
      <c r="S32" s="112">
        <v>25503</v>
      </c>
      <c r="T32" s="112">
        <v>361338</v>
      </c>
      <c r="U32" s="112">
        <v>512152</v>
      </c>
      <c r="V32" s="112">
        <v>56446</v>
      </c>
      <c r="W32" s="112">
        <v>7232</v>
      </c>
      <c r="X32" s="112">
        <v>20742</v>
      </c>
      <c r="Y32" s="112">
        <v>119299</v>
      </c>
      <c r="Z32" s="112">
        <v>1201</v>
      </c>
      <c r="AA32" s="112">
        <v>226474</v>
      </c>
      <c r="AB32" s="112">
        <v>11247</v>
      </c>
      <c r="AC32" s="112">
        <v>2623</v>
      </c>
      <c r="AD32" s="112">
        <v>23884</v>
      </c>
      <c r="AE32" s="112">
        <v>115523</v>
      </c>
      <c r="AF32" s="112">
        <v>293268</v>
      </c>
      <c r="AG32" s="112">
        <v>1450632</v>
      </c>
      <c r="AH32" s="112">
        <v>13383</v>
      </c>
      <c r="AI32" s="112">
        <v>491290</v>
      </c>
      <c r="AJ32" s="112">
        <v>861751</v>
      </c>
      <c r="AK32" s="112">
        <v>13604</v>
      </c>
      <c r="AL32" s="127">
        <v>43574</v>
      </c>
      <c r="AM32" s="112">
        <v>43731</v>
      </c>
      <c r="AN32" s="116">
        <v>796914</v>
      </c>
      <c r="AO32" s="116">
        <v>5676</v>
      </c>
      <c r="AP32" s="116">
        <v>0</v>
      </c>
      <c r="AQ32" s="112">
        <v>143653</v>
      </c>
      <c r="AR32" s="112">
        <v>286628</v>
      </c>
      <c r="AS32" s="112">
        <v>81462</v>
      </c>
      <c r="AT32" s="112">
        <v>822</v>
      </c>
      <c r="AU32" s="112">
        <v>152217</v>
      </c>
      <c r="AV32" s="112">
        <v>58434</v>
      </c>
      <c r="AW32" s="112">
        <v>48862</v>
      </c>
      <c r="AX32" s="112">
        <v>243105</v>
      </c>
      <c r="AY32" s="112">
        <v>658028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>
        <v>73250</v>
      </c>
      <c r="C33" s="112">
        <v>98628</v>
      </c>
      <c r="D33" s="112">
        <v>18941</v>
      </c>
      <c r="E33" s="112">
        <v>20493</v>
      </c>
      <c r="F33" s="112">
        <v>261587</v>
      </c>
      <c r="G33" s="112">
        <v>4729</v>
      </c>
      <c r="H33" s="112">
        <v>8246</v>
      </c>
      <c r="I33" s="112">
        <v>514412</v>
      </c>
      <c r="J33" s="112">
        <v>88498</v>
      </c>
      <c r="K33" s="112">
        <v>8030</v>
      </c>
      <c r="L33" s="112">
        <v>38143</v>
      </c>
      <c r="M33" s="112">
        <v>59981</v>
      </c>
      <c r="N33" s="112">
        <v>53205</v>
      </c>
      <c r="O33" s="112">
        <v>256495</v>
      </c>
      <c r="P33" s="112">
        <v>525205</v>
      </c>
      <c r="Q33" s="112">
        <v>4695</v>
      </c>
      <c r="R33" s="112">
        <v>25698</v>
      </c>
      <c r="S33" s="112">
        <v>25503</v>
      </c>
      <c r="T33" s="112">
        <v>361538</v>
      </c>
      <c r="U33" s="112">
        <v>512484</v>
      </c>
      <c r="V33" s="112">
        <v>56483</v>
      </c>
      <c r="W33" s="112">
        <v>7234</v>
      </c>
      <c r="X33" s="112">
        <v>20763</v>
      </c>
      <c r="Y33" s="112">
        <v>119379</v>
      </c>
      <c r="Z33" s="112">
        <v>1201</v>
      </c>
      <c r="AA33" s="112">
        <v>226760</v>
      </c>
      <c r="AB33" s="112">
        <v>11247</v>
      </c>
      <c r="AC33" s="112">
        <v>2625</v>
      </c>
      <c r="AD33" s="112">
        <v>23892</v>
      </c>
      <c r="AE33" s="112">
        <v>115610</v>
      </c>
      <c r="AF33" s="112">
        <v>293573</v>
      </c>
      <c r="AG33" s="112">
        <v>1451283</v>
      </c>
      <c r="AH33" s="112">
        <v>13383</v>
      </c>
      <c r="AI33" s="112">
        <v>491308</v>
      </c>
      <c r="AJ33" s="112">
        <v>862462</v>
      </c>
      <c r="AK33" s="112">
        <v>13619</v>
      </c>
      <c r="AL33" s="127">
        <v>43590</v>
      </c>
      <c r="AM33" s="112">
        <v>43832</v>
      </c>
      <c r="AN33" s="116">
        <v>797442</v>
      </c>
      <c r="AO33" s="116">
        <v>5677</v>
      </c>
      <c r="AP33" s="116">
        <v>0</v>
      </c>
      <c r="AQ33" s="112">
        <v>143762</v>
      </c>
      <c r="AR33" s="112">
        <v>286865</v>
      </c>
      <c r="AS33" s="112">
        <v>81530</v>
      </c>
      <c r="AT33" s="112">
        <v>823</v>
      </c>
      <c r="AU33" s="112">
        <v>152336</v>
      </c>
      <c r="AV33" s="112">
        <v>58466</v>
      </c>
      <c r="AW33" s="112">
        <v>48888</v>
      </c>
      <c r="AX33" s="112">
        <v>243297</v>
      </c>
      <c r="AY33" s="112">
        <v>658350</v>
      </c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>
        <v>73315</v>
      </c>
      <c r="C34" s="112">
        <v>98703</v>
      </c>
      <c r="D34" s="112">
        <v>18946</v>
      </c>
      <c r="E34" s="112">
        <v>20502</v>
      </c>
      <c r="F34" s="112">
        <v>261770</v>
      </c>
      <c r="G34" s="112">
        <v>4732</v>
      </c>
      <c r="H34" s="112">
        <v>8272</v>
      </c>
      <c r="I34" s="112">
        <v>514798</v>
      </c>
      <c r="J34" s="112">
        <v>88534</v>
      </c>
      <c r="K34" s="112">
        <v>8031</v>
      </c>
      <c r="L34" s="112">
        <v>38165</v>
      </c>
      <c r="M34" s="112">
        <v>60010</v>
      </c>
      <c r="N34" s="112">
        <v>53246</v>
      </c>
      <c r="O34" s="112">
        <v>256688</v>
      </c>
      <c r="P34" s="112">
        <v>525720</v>
      </c>
      <c r="Q34" s="112">
        <v>4699</v>
      </c>
      <c r="R34" s="112">
        <v>25712</v>
      </c>
      <c r="S34" s="112">
        <v>25503</v>
      </c>
      <c r="T34" s="112">
        <v>361735</v>
      </c>
      <c r="U34" s="112">
        <v>512816</v>
      </c>
      <c r="V34" s="112">
        <v>56521</v>
      </c>
      <c r="W34" s="112">
        <v>7237</v>
      </c>
      <c r="X34" s="112">
        <v>20793</v>
      </c>
      <c r="Y34" s="112">
        <v>119458</v>
      </c>
      <c r="Z34" s="112">
        <v>1201</v>
      </c>
      <c r="AA34" s="112">
        <v>226900</v>
      </c>
      <c r="AB34" s="112">
        <v>11248</v>
      </c>
      <c r="AC34" s="112">
        <v>2627</v>
      </c>
      <c r="AD34" s="112">
        <v>23899</v>
      </c>
      <c r="AE34" s="112">
        <v>115697</v>
      </c>
      <c r="AF34" s="112">
        <v>293853</v>
      </c>
      <c r="AG34" s="112">
        <v>1452055</v>
      </c>
      <c r="AH34" s="112">
        <v>13384</v>
      </c>
      <c r="AI34" s="112">
        <v>491326</v>
      </c>
      <c r="AJ34" s="112">
        <v>863269</v>
      </c>
      <c r="AK34" s="112">
        <v>13633</v>
      </c>
      <c r="AL34" s="127">
        <v>43605</v>
      </c>
      <c r="AM34" s="112">
        <v>43941</v>
      </c>
      <c r="AN34" s="116">
        <v>798039</v>
      </c>
      <c r="AO34" s="116">
        <v>5678</v>
      </c>
      <c r="AP34" s="116">
        <v>0</v>
      </c>
      <c r="AQ34" s="112">
        <v>143878</v>
      </c>
      <c r="AR34" s="112">
        <v>287087</v>
      </c>
      <c r="AS34" s="112">
        <v>81601</v>
      </c>
      <c r="AT34" s="112">
        <v>824</v>
      </c>
      <c r="AU34" s="112">
        <v>152486</v>
      </c>
      <c r="AV34" s="112">
        <v>58504</v>
      </c>
      <c r="AW34" s="112">
        <v>48918</v>
      </c>
      <c r="AX34" s="112">
        <v>243561</v>
      </c>
      <c r="AY34" s="112">
        <v>658701</v>
      </c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>
        <v>73380</v>
      </c>
      <c r="C35" s="112">
        <v>98805</v>
      </c>
      <c r="D35" s="112">
        <v>18955</v>
      </c>
      <c r="E35" s="112">
        <v>20513</v>
      </c>
      <c r="F35" s="112">
        <v>261956</v>
      </c>
      <c r="G35" s="112">
        <v>4735</v>
      </c>
      <c r="H35" s="112">
        <v>8292</v>
      </c>
      <c r="I35" s="112">
        <v>515175</v>
      </c>
      <c r="J35" s="112">
        <v>88555</v>
      </c>
      <c r="K35" s="112">
        <v>8032</v>
      </c>
      <c r="L35" s="112">
        <v>38185</v>
      </c>
      <c r="M35" s="112">
        <v>60043</v>
      </c>
      <c r="N35" s="112">
        <v>53286</v>
      </c>
      <c r="O35" s="112">
        <v>256887</v>
      </c>
      <c r="P35" s="112">
        <v>526144</v>
      </c>
      <c r="Q35" s="112">
        <v>4703</v>
      </c>
      <c r="R35" s="112">
        <v>25726</v>
      </c>
      <c r="S35" s="112">
        <v>25503</v>
      </c>
      <c r="T35" s="112">
        <v>361941</v>
      </c>
      <c r="U35" s="112">
        <v>513145</v>
      </c>
      <c r="V35" s="112">
        <v>56559</v>
      </c>
      <c r="W35" s="112">
        <v>7239</v>
      </c>
      <c r="X35" s="112">
        <v>20816</v>
      </c>
      <c r="Y35" s="112">
        <v>119533</v>
      </c>
      <c r="Z35" s="112">
        <v>1201</v>
      </c>
      <c r="AA35" s="112">
        <v>227004</v>
      </c>
      <c r="AB35" s="112">
        <v>11249</v>
      </c>
      <c r="AC35" s="112">
        <v>2628</v>
      </c>
      <c r="AD35" s="112">
        <v>23910</v>
      </c>
      <c r="AE35" s="112">
        <v>115783</v>
      </c>
      <c r="AF35" s="112">
        <v>294153</v>
      </c>
      <c r="AG35" s="112">
        <v>1452995</v>
      </c>
      <c r="AH35" s="112">
        <v>13387</v>
      </c>
      <c r="AI35" s="112">
        <v>491344</v>
      </c>
      <c r="AJ35" s="112">
        <v>864077</v>
      </c>
      <c r="AK35" s="112">
        <v>13646</v>
      </c>
      <c r="AL35" s="127">
        <v>43620</v>
      </c>
      <c r="AM35" s="112">
        <v>44064</v>
      </c>
      <c r="AN35" s="116">
        <v>798632</v>
      </c>
      <c r="AO35" s="116">
        <v>5679</v>
      </c>
      <c r="AP35" s="116">
        <v>0</v>
      </c>
      <c r="AQ35" s="112">
        <v>143996</v>
      </c>
      <c r="AR35" s="112">
        <v>287326</v>
      </c>
      <c r="AS35" s="112">
        <v>81674</v>
      </c>
      <c r="AT35" s="112">
        <v>824</v>
      </c>
      <c r="AU35" s="112">
        <v>152635</v>
      </c>
      <c r="AV35" s="112">
        <v>58540</v>
      </c>
      <c r="AW35" s="112">
        <v>48945</v>
      </c>
      <c r="AX35" s="112">
        <v>243819</v>
      </c>
      <c r="AY35" s="112">
        <v>659052</v>
      </c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>
        <v>73453</v>
      </c>
      <c r="C36" s="112">
        <v>98950</v>
      </c>
      <c r="D36" s="112">
        <v>18956</v>
      </c>
      <c r="E36" s="112">
        <v>20526</v>
      </c>
      <c r="F36" s="112">
        <v>262142</v>
      </c>
      <c r="G36" s="112">
        <v>4739</v>
      </c>
      <c r="H36" s="112">
        <v>8318</v>
      </c>
      <c r="I36" s="112">
        <v>515573</v>
      </c>
      <c r="J36" s="112">
        <v>88575</v>
      </c>
      <c r="K36" s="112">
        <v>8033</v>
      </c>
      <c r="L36" s="112">
        <v>38207</v>
      </c>
      <c r="M36" s="112">
        <v>60065</v>
      </c>
      <c r="N36" s="112">
        <v>53326</v>
      </c>
      <c r="O36" s="112">
        <v>257089</v>
      </c>
      <c r="P36" s="112">
        <v>526522</v>
      </c>
      <c r="Q36" s="112">
        <v>4708</v>
      </c>
      <c r="R36" s="112">
        <v>25742</v>
      </c>
      <c r="S36" s="112">
        <v>25503</v>
      </c>
      <c r="T36" s="112">
        <v>362122</v>
      </c>
      <c r="U36" s="112">
        <v>513525</v>
      </c>
      <c r="V36" s="112">
        <v>56598</v>
      </c>
      <c r="W36" s="112">
        <v>7240</v>
      </c>
      <c r="X36" s="112">
        <v>20842</v>
      </c>
      <c r="Y36" s="112">
        <v>119593</v>
      </c>
      <c r="Z36" s="112">
        <v>1201</v>
      </c>
      <c r="AA36" s="112">
        <v>227182</v>
      </c>
      <c r="AB36" s="112">
        <v>11251</v>
      </c>
      <c r="AC36" s="112">
        <v>2630</v>
      </c>
      <c r="AD36" s="112">
        <v>23919</v>
      </c>
      <c r="AE36" s="112">
        <v>115872</v>
      </c>
      <c r="AF36" s="112">
        <v>294447</v>
      </c>
      <c r="AG36" s="112">
        <v>1454175</v>
      </c>
      <c r="AH36" s="112">
        <v>13391</v>
      </c>
      <c r="AI36" s="112">
        <v>491362</v>
      </c>
      <c r="AJ36" s="112">
        <v>864967</v>
      </c>
      <c r="AK36" s="112">
        <v>13668</v>
      </c>
      <c r="AL36" s="127">
        <v>43635</v>
      </c>
      <c r="AM36" s="112">
        <v>44185</v>
      </c>
      <c r="AN36" s="116">
        <v>799428</v>
      </c>
      <c r="AO36" s="116">
        <v>5680</v>
      </c>
      <c r="AP36" s="116">
        <v>0</v>
      </c>
      <c r="AQ36" s="112">
        <v>144125</v>
      </c>
      <c r="AR36" s="112">
        <v>287575</v>
      </c>
      <c r="AS36" s="112">
        <v>81745</v>
      </c>
      <c r="AT36" s="112">
        <v>825</v>
      </c>
      <c r="AU36" s="112">
        <v>152786</v>
      </c>
      <c r="AV36" s="112">
        <v>58575</v>
      </c>
      <c r="AW36" s="112">
        <v>48989</v>
      </c>
      <c r="AX36" s="112">
        <v>244084</v>
      </c>
      <c r="AY36" s="112">
        <v>659438</v>
      </c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>
        <v>73509</v>
      </c>
      <c r="C37" s="112">
        <v>99105</v>
      </c>
      <c r="D37" s="112">
        <v>18956</v>
      </c>
      <c r="E37" s="112">
        <v>20539</v>
      </c>
      <c r="F37" s="112">
        <v>262325</v>
      </c>
      <c r="G37" s="112">
        <v>4742</v>
      </c>
      <c r="H37" s="112">
        <v>8340</v>
      </c>
      <c r="I37" s="112">
        <v>515958</v>
      </c>
      <c r="J37" s="112">
        <v>88598</v>
      </c>
      <c r="K37" s="112">
        <v>8034</v>
      </c>
      <c r="L37" s="112">
        <v>38230</v>
      </c>
      <c r="M37" s="112">
        <v>60084</v>
      </c>
      <c r="N37" s="112">
        <v>53362</v>
      </c>
      <c r="O37" s="112">
        <v>257288</v>
      </c>
      <c r="P37" s="112">
        <v>527002</v>
      </c>
      <c r="Q37" s="112">
        <v>4713</v>
      </c>
      <c r="R37" s="112">
        <v>25755</v>
      </c>
      <c r="S37" s="112">
        <v>25503</v>
      </c>
      <c r="T37" s="112">
        <v>362299</v>
      </c>
      <c r="U37" s="112">
        <v>513888</v>
      </c>
      <c r="V37" s="112">
        <v>56637</v>
      </c>
      <c r="W37" s="112">
        <v>7242</v>
      </c>
      <c r="X37" s="112">
        <v>20869</v>
      </c>
      <c r="Y37" s="112">
        <v>119651</v>
      </c>
      <c r="Z37" s="112">
        <v>1201</v>
      </c>
      <c r="AA37" s="112">
        <v>227323</v>
      </c>
      <c r="AB37" s="112">
        <v>11252</v>
      </c>
      <c r="AC37" s="112">
        <v>2632</v>
      </c>
      <c r="AD37" s="112">
        <v>23928</v>
      </c>
      <c r="AE37" s="112">
        <v>115957</v>
      </c>
      <c r="AF37" s="112">
        <v>294738</v>
      </c>
      <c r="AG37" s="112">
        <v>1455376</v>
      </c>
      <c r="AH37" s="112">
        <v>13394</v>
      </c>
      <c r="AI37" s="112">
        <v>491380</v>
      </c>
      <c r="AJ37" s="112">
        <v>865824</v>
      </c>
      <c r="AK37" s="112">
        <v>13681</v>
      </c>
      <c r="AL37" s="127">
        <v>43650</v>
      </c>
      <c r="AM37" s="112">
        <v>44269</v>
      </c>
      <c r="AN37" s="116">
        <v>800225</v>
      </c>
      <c r="AO37" s="116">
        <v>5681</v>
      </c>
      <c r="AP37" s="116">
        <v>0</v>
      </c>
      <c r="AQ37" s="112">
        <v>144258</v>
      </c>
      <c r="AR37" s="112">
        <v>287823</v>
      </c>
      <c r="AS37" s="112">
        <v>81824</v>
      </c>
      <c r="AT37" s="112">
        <v>826</v>
      </c>
      <c r="AU37" s="112">
        <v>152926</v>
      </c>
      <c r="AV37" s="112">
        <v>58620</v>
      </c>
      <c r="AW37" s="112">
        <v>49001</v>
      </c>
      <c r="AX37" s="112">
        <v>244361</v>
      </c>
      <c r="AY37" s="129">
        <v>659802</v>
      </c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>
        <v>73561</v>
      </c>
      <c r="C38" s="112">
        <v>99256</v>
      </c>
      <c r="D38" s="113">
        <v>18958</v>
      </c>
      <c r="E38" s="113">
        <v>20546</v>
      </c>
      <c r="F38" s="113">
        <v>262500</v>
      </c>
      <c r="G38" s="113">
        <v>4745</v>
      </c>
      <c r="H38" s="112">
        <v>8363</v>
      </c>
      <c r="I38" s="113">
        <v>516363</v>
      </c>
      <c r="J38" s="113">
        <v>88627</v>
      </c>
      <c r="K38" s="113">
        <v>8035</v>
      </c>
      <c r="L38" s="113">
        <v>38252</v>
      </c>
      <c r="M38" s="113">
        <v>60099</v>
      </c>
      <c r="N38" s="113">
        <v>53395</v>
      </c>
      <c r="O38" s="113">
        <v>257487</v>
      </c>
      <c r="P38" s="113">
        <v>527434</v>
      </c>
      <c r="Q38" s="113">
        <v>4717</v>
      </c>
      <c r="R38" s="113">
        <v>25771</v>
      </c>
      <c r="S38" s="113">
        <v>25503</v>
      </c>
      <c r="T38" s="113">
        <v>362479</v>
      </c>
      <c r="U38" s="113">
        <v>514211</v>
      </c>
      <c r="V38" s="113">
        <v>56678</v>
      </c>
      <c r="W38" s="113">
        <v>7245</v>
      </c>
      <c r="X38" s="113">
        <v>20897</v>
      </c>
      <c r="Y38" s="113">
        <v>119723</v>
      </c>
      <c r="Z38" s="112">
        <v>1201</v>
      </c>
      <c r="AA38" s="113">
        <v>227463</v>
      </c>
      <c r="AB38" s="113">
        <v>11252</v>
      </c>
      <c r="AC38" s="113">
        <v>2636</v>
      </c>
      <c r="AD38" s="113">
        <v>23939</v>
      </c>
      <c r="AE38" s="113">
        <v>116043</v>
      </c>
      <c r="AF38" s="113">
        <v>295045</v>
      </c>
      <c r="AG38" s="113">
        <v>1456427</v>
      </c>
      <c r="AH38" s="113">
        <v>13401</v>
      </c>
      <c r="AI38" s="113">
        <v>491398</v>
      </c>
      <c r="AJ38" s="113">
        <v>866569</v>
      </c>
      <c r="AK38" s="113">
        <v>13687</v>
      </c>
      <c r="AL38" s="114">
        <v>43665</v>
      </c>
      <c r="AM38" s="113">
        <v>44352</v>
      </c>
      <c r="AN38" s="115">
        <v>801039</v>
      </c>
      <c r="AO38" s="115">
        <v>5681</v>
      </c>
      <c r="AP38" s="116">
        <v>0</v>
      </c>
      <c r="AQ38" s="113">
        <v>144386</v>
      </c>
      <c r="AR38" s="113">
        <v>288064</v>
      </c>
      <c r="AS38" s="113">
        <v>81901</v>
      </c>
      <c r="AT38" s="113">
        <v>826</v>
      </c>
      <c r="AU38" s="113">
        <v>153048</v>
      </c>
      <c r="AV38" s="113">
        <v>58662</v>
      </c>
      <c r="AW38" s="113">
        <v>49042</v>
      </c>
      <c r="AX38" s="113">
        <v>244618</v>
      </c>
      <c r="AY38" s="117">
        <v>660211</v>
      </c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2021-06-09T15:44:25Z</dcterms:modified>
</cp:coreProperties>
</file>