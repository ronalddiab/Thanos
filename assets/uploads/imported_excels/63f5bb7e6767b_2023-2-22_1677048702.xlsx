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354" documentId="11_00C1ED7558031DD21EA57FA15018ADAF4A1ED64B" xr6:coauthVersionLast="47" xr6:coauthVersionMax="47" xr10:uidLastSave="{B1FD1FAD-7096-4F83-96D1-812778851231}"/>
  <bookViews>
    <workbookView xWindow="0" yWindow="0" windowWidth="28800" windowHeight="12435" firstSheet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" l="1"/>
  <c r="I22" i="2"/>
  <c r="H22" i="2"/>
  <c r="F22" i="2"/>
  <c r="E22" i="2"/>
  <c r="L23" i="3"/>
  <c r="K23" i="3"/>
  <c r="I23" i="3"/>
  <c r="G23" i="3"/>
  <c r="E23" i="3"/>
  <c r="L22" i="3"/>
  <c r="K22" i="3"/>
  <c r="I22" i="3"/>
  <c r="G22" i="3"/>
  <c r="E22" i="3"/>
  <c r="L19" i="3"/>
  <c r="K19" i="3"/>
  <c r="I19" i="3"/>
  <c r="G19" i="3"/>
  <c r="E19" i="3"/>
  <c r="J19" i="2"/>
  <c r="I19" i="2"/>
  <c r="H19" i="2"/>
  <c r="F19" i="2"/>
  <c r="E19" i="2"/>
  <c r="L18" i="3"/>
  <c r="K18" i="3"/>
  <c r="I18" i="3"/>
  <c r="G18" i="3"/>
  <c r="E18" i="3"/>
  <c r="J18" i="2"/>
  <c r="I18" i="2"/>
  <c r="H18" i="2"/>
  <c r="F18" i="2"/>
  <c r="E18" i="2"/>
  <c r="L17" i="3"/>
  <c r="K17" i="3"/>
  <c r="I17" i="3"/>
  <c r="G17" i="3"/>
  <c r="E17" i="3"/>
  <c r="J17" i="2"/>
  <c r="I17" i="2"/>
  <c r="H17" i="2"/>
  <c r="F17" i="2"/>
  <c r="E17" i="2"/>
  <c r="L16" i="3"/>
  <c r="K16" i="3"/>
  <c r="I16" i="3"/>
  <c r="G16" i="3"/>
  <c r="E16" i="3"/>
  <c r="J16" i="2"/>
  <c r="I16" i="2"/>
  <c r="H16" i="2"/>
  <c r="F16" i="2"/>
  <c r="E16" i="2"/>
  <c r="J15" i="2"/>
  <c r="I15" i="2"/>
  <c r="H15" i="2"/>
  <c r="F15" i="2"/>
  <c r="E15" i="2"/>
  <c r="L15" i="3"/>
  <c r="K15" i="3"/>
  <c r="I15" i="3"/>
  <c r="G15" i="3"/>
  <c r="E15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J10" i="2"/>
  <c r="I10" i="2"/>
  <c r="H10" i="2"/>
  <c r="F10" i="2"/>
  <c r="E10" i="2"/>
  <c r="L10" i="3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23" i="2" l="1"/>
  <c r="I23" i="2"/>
  <c r="H23" i="2"/>
  <c r="F23" i="2"/>
  <c r="E2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<sst xmlns="http://schemas.openxmlformats.org/spreadsheetml/2006/main" count="101" uniqueCount="38">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</sst>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A18" workbookViewId="0">
      <selection activeCell="N24" sqref="N24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9690</v>
      </c>
      <c r="F10">
        <v>0.11799999999999999</v>
      </c>
      <c r="G10" s="4">
        <f>'02 - 2023'!D16-'02 - 2023'!D15+'02 - 2023'!E16-'02 - 2023'!E15</f>
        <v>24.329999999999927</v>
      </c>
      <c r="H10">
        <v>0.99</v>
      </c>
      <c r="I10" s="4">
        <f>'02 - 2023'!J16-'02 - 2023'!J15</f>
        <v>14587</v>
      </c>
      <c r="J10">
        <v>8.1000000000000003E-2</v>
      </c>
      <c r="K10" s="16">
        <f>'02 - 2023'!H16-'02 - 2023'!H15</f>
        <v>0</v>
      </c>
      <c r="L10" s="4">
        <f>'02 - 2023'!I16-'02 - 2023'!I15</f>
        <v>110</v>
      </c>
      <c r="M10" s="1">
        <v>4.393629424766913</v>
      </c>
      <c r="N10" s="11">
        <v>99</v>
      </c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9952</v>
      </c>
      <c r="F11">
        <v>0.11799999999999999</v>
      </c>
      <c r="G11" s="4">
        <f>'02 - 2023'!D17-'02 - 2023'!D16+'02 - 2023'!E17-'02 - 2023'!E16</f>
        <v>28.93999999999869</v>
      </c>
      <c r="H11">
        <v>0.99</v>
      </c>
      <c r="I11" s="4">
        <f>'02 - 2023'!J17-'02 - 2023'!J16</f>
        <v>11878</v>
      </c>
      <c r="J11">
        <v>8.1000000000000003E-2</v>
      </c>
      <c r="K11" s="16">
        <f>'02 - 2023'!H17-'02 - 2023'!H16</f>
        <v>0</v>
      </c>
      <c r="L11" s="4">
        <f>'02 - 2023'!I17-'02 - 2023'!I16</f>
        <v>122</v>
      </c>
      <c r="M11" s="1">
        <v>4.393629424766913</v>
      </c>
      <c r="N11" s="11">
        <v>100</v>
      </c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10160</v>
      </c>
      <c r="F12">
        <v>0.11799999999999999</v>
      </c>
      <c r="G12" s="4">
        <f>'02 - 2023'!D18-'02 - 2023'!D17+'02 - 2023'!E18-'02 - 2023'!E17</f>
        <v>27.729999999999563</v>
      </c>
      <c r="H12">
        <v>0.99</v>
      </c>
      <c r="I12" s="4">
        <f>'02 - 2023'!J18-'02 - 2023'!J17</f>
        <v>10274</v>
      </c>
      <c r="J12">
        <v>8.1000000000000003E-2</v>
      </c>
      <c r="K12" s="16">
        <f>'02 - 2023'!H18-'02 - 2023'!H17</f>
        <v>0</v>
      </c>
      <c r="L12" s="4">
        <f>'02 - 2023'!I18-'02 - 2023'!I17</f>
        <v>118</v>
      </c>
      <c r="M12" s="1">
        <v>4.393629424766913</v>
      </c>
      <c r="N12" s="11">
        <v>89</v>
      </c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9649</v>
      </c>
      <c r="F13">
        <v>0.11799999999999999</v>
      </c>
      <c r="G13" s="4">
        <f>'02 - 2023'!D19-'02 - 2023'!D18+'02 - 2023'!E19-'02 - 2023'!E18</f>
        <v>26.3700000000008</v>
      </c>
      <c r="H13">
        <v>0.99</v>
      </c>
      <c r="I13" s="4">
        <f>'02 - 2023'!J19-'02 - 2023'!J18</f>
        <v>11000</v>
      </c>
      <c r="J13">
        <v>8.1000000000000003E-2</v>
      </c>
      <c r="K13" s="16">
        <f>'02 - 2023'!H19-'02 - 2023'!H18</f>
        <v>0</v>
      </c>
      <c r="L13" s="4">
        <f>'02 - 2023'!I19-'02 - 2023'!I18</f>
        <v>115</v>
      </c>
      <c r="M13" s="1">
        <v>4.393629424766913</v>
      </c>
      <c r="N13" s="11">
        <v>83</v>
      </c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9573</v>
      </c>
      <c r="F14">
        <v>0.11799999999999999</v>
      </c>
      <c r="G14" s="4">
        <f>'02 - 2023'!D20-'02 - 2023'!D19+'02 - 2023'!E20-'02 - 2023'!E19</f>
        <v>30.010000000000218</v>
      </c>
      <c r="H14">
        <v>0.99</v>
      </c>
      <c r="I14" s="4">
        <f>'02 - 2023'!J20-'02 - 2023'!J19</f>
        <v>12308</v>
      </c>
      <c r="J14">
        <v>8.1000000000000003E-2</v>
      </c>
      <c r="K14" s="16">
        <f>'02 - 2023'!H20-'02 - 2023'!H19</f>
        <v>0</v>
      </c>
      <c r="L14" s="4">
        <f>'02 - 2023'!I20-'02 - 2023'!I19</f>
        <v>104</v>
      </c>
      <c r="M14" s="1">
        <v>4.393629424766913</v>
      </c>
      <c r="N14" s="11">
        <v>92</v>
      </c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9715</v>
      </c>
      <c r="F15">
        <v>0.11799999999999999</v>
      </c>
      <c r="G15" s="4">
        <f>'02 - 2023'!D21-'02 - 2023'!D20+'02 - 2023'!E21-'02 - 2023'!E20</f>
        <v>23.210000000000946</v>
      </c>
      <c r="H15">
        <v>0.99</v>
      </c>
      <c r="I15" s="4">
        <f>'02 - 2023'!J21-'02 - 2023'!J20</f>
        <v>13404</v>
      </c>
      <c r="J15">
        <v>8.1000000000000003E-2</v>
      </c>
      <c r="K15" s="16">
        <f>'02 - 2023'!H21-'02 - 2023'!H20</f>
        <v>0</v>
      </c>
      <c r="L15" s="4">
        <f>'02 - 2023'!I21-'02 - 2023'!I20</f>
        <v>114</v>
      </c>
      <c r="M15" s="1">
        <v>4.393629424766913</v>
      </c>
      <c r="N15" s="11">
        <v>93</v>
      </c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9373</v>
      </c>
      <c r="F16">
        <v>0.11799999999999999</v>
      </c>
      <c r="G16" s="4">
        <f>'02 - 2023'!D22-'02 - 2023'!D21+'02 - 2023'!E22-'02 - 2023'!E21</f>
        <v>24.5</v>
      </c>
      <c r="H16">
        <v>0.99</v>
      </c>
      <c r="I16" s="4">
        <f>'02 - 2023'!J22-'02 - 2023'!J21</f>
        <v>14504</v>
      </c>
      <c r="J16">
        <v>8.1000000000000003E-2</v>
      </c>
      <c r="K16" s="16">
        <f>'02 - 2023'!H22-'02 - 2023'!H21</f>
        <v>0</v>
      </c>
      <c r="L16" s="4">
        <f>'02 - 2023'!I22-'02 - 2023'!I21</f>
        <v>107</v>
      </c>
      <c r="M16" s="1">
        <v>4.393629424766913</v>
      </c>
      <c r="N16" s="11">
        <v>91</v>
      </c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9402</v>
      </c>
      <c r="F17">
        <v>0.11799999999999999</v>
      </c>
      <c r="G17" s="4">
        <f>'02 - 2023'!D23-'02 - 2023'!D22+'02 - 2023'!E23-'02 - 2023'!E22</f>
        <v>26.399999999999636</v>
      </c>
      <c r="H17">
        <v>0.99</v>
      </c>
      <c r="I17" s="4">
        <f>'02 - 2023'!J23-'02 - 2023'!J22</f>
        <v>14894</v>
      </c>
      <c r="J17">
        <v>8.1000000000000003E-2</v>
      </c>
      <c r="K17" s="16">
        <f>'02 - 2023'!H23-'02 - 2023'!H22</f>
        <v>0</v>
      </c>
      <c r="L17" s="4">
        <f>'02 - 2023'!I23-'02 - 2023'!I22</f>
        <v>112</v>
      </c>
      <c r="M17" s="1">
        <v>4.393629424766913</v>
      </c>
      <c r="N17" s="11">
        <v>99</v>
      </c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9853</v>
      </c>
      <c r="F18">
        <v>0.11799999999999999</v>
      </c>
      <c r="G18" s="4">
        <f>'02 - 2023'!D24-'02 - 2023'!D23+'02 - 2023'!E24-'02 - 2023'!E23</f>
        <v>26.760000000000218</v>
      </c>
      <c r="H18">
        <v>0.99</v>
      </c>
      <c r="I18" s="4">
        <f>'02 - 2023'!J24-'02 - 2023'!J23</f>
        <v>15833</v>
      </c>
      <c r="J18">
        <v>8.1000000000000003E-2</v>
      </c>
      <c r="K18" s="16">
        <f>'02 - 2023'!H24-'02 - 2023'!H23</f>
        <v>0</v>
      </c>
      <c r="L18" s="4">
        <f>'02 - 2023'!I24-'02 - 2023'!I23</f>
        <v>119</v>
      </c>
      <c r="M18" s="1">
        <v>4.393629424766913</v>
      </c>
      <c r="N18" s="11">
        <v>95</v>
      </c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10078</v>
      </c>
      <c r="F19">
        <v>0.11799999999999999</v>
      </c>
      <c r="G19" s="4">
        <f>'02 - 2023'!D25-'02 - 2023'!D24+'02 - 2023'!E25-'02 - 2023'!E24</f>
        <v>26.059999999999491</v>
      </c>
      <c r="H19">
        <v>0.99</v>
      </c>
      <c r="I19" s="4">
        <f>'02 - 2023'!J25-'02 - 2023'!J24</f>
        <v>15548</v>
      </c>
      <c r="J19">
        <v>8.1000000000000003E-2</v>
      </c>
      <c r="K19" s="16">
        <f>'02 - 2023'!H25-'02 - 2023'!H24</f>
        <v>0</v>
      </c>
      <c r="L19" s="4">
        <f>'02 - 2023'!I25-'02 - 2023'!I24</f>
        <v>117</v>
      </c>
      <c r="M19" s="1">
        <v>4.393629424766913</v>
      </c>
      <c r="N19" s="11">
        <v>86</v>
      </c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9615</v>
      </c>
      <c r="F20">
        <v>0.11799999999999999</v>
      </c>
      <c r="G20" s="4">
        <f>'02 - 2023'!D26-'02 - 2023'!D25+'02 - 2023'!E26-'02 - 2023'!E25</f>
        <v>27.3799999999992</v>
      </c>
      <c r="H20">
        <v>0.99</v>
      </c>
      <c r="I20" s="4">
        <f>'02 - 2023'!J26-'02 - 2023'!J25</f>
        <v>13874</v>
      </c>
      <c r="J20">
        <v>8.1000000000000003E-2</v>
      </c>
      <c r="K20" s="16">
        <f>'02 - 2023'!H26-'02 - 2023'!H25</f>
        <v>0</v>
      </c>
      <c r="L20" s="4">
        <f>'02 - 2023'!I26-'02 - 2023'!I25</f>
        <v>110</v>
      </c>
      <c r="M20" s="1">
        <v>4.393629424766913</v>
      </c>
      <c r="N20" s="11">
        <v>82</v>
      </c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9463</v>
      </c>
      <c r="F21">
        <v>0.11799999999999999</v>
      </c>
      <c r="G21" s="4">
        <f>'02 - 2023'!D27-'02 - 2023'!D26+'02 - 2023'!E27-'02 - 2023'!E26</f>
        <v>29.709999999999127</v>
      </c>
      <c r="H21">
        <v>0.99</v>
      </c>
      <c r="I21" s="4">
        <f>'02 - 2023'!J27-'02 - 2023'!J26</f>
        <v>12408</v>
      </c>
      <c r="J21">
        <v>8.1000000000000003E-2</v>
      </c>
      <c r="K21" s="16">
        <f>'02 - 2023'!H27-'02 - 2023'!H26</f>
        <v>0</v>
      </c>
      <c r="L21" s="4">
        <f>'02 - 2023'!I27-'02 - 2023'!I26</f>
        <v>109</v>
      </c>
      <c r="M21" s="1">
        <v>4.393629424766913</v>
      </c>
      <c r="N21" s="26">
        <v>82</v>
      </c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9556</v>
      </c>
      <c r="F22">
        <v>0.11799999999999999</v>
      </c>
      <c r="G22" s="4">
        <f>'02 - 2023'!D28-'02 - 2023'!D27+'02 - 2023'!E28-'02 - 2023'!E27</f>
        <v>25.8700000000008</v>
      </c>
      <c r="H22">
        <v>0.99</v>
      </c>
      <c r="I22" s="4">
        <f>'02 - 2023'!J28-'02 - 2023'!J27</f>
        <v>12175</v>
      </c>
      <c r="J22">
        <v>8.1000000000000003E-2</v>
      </c>
      <c r="K22" s="16">
        <f>'02 - 2023'!H28-'02 - 2023'!H27</f>
        <v>0</v>
      </c>
      <c r="L22" s="4">
        <f>'02 - 2023'!I28-'02 - 2023'!I27</f>
        <v>103</v>
      </c>
      <c r="M22" s="1">
        <v>4.393629424766913</v>
      </c>
      <c r="N22" s="11">
        <v>98</v>
      </c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9281</v>
      </c>
      <c r="F23">
        <v>0.11799999999999999</v>
      </c>
      <c r="G23" s="4">
        <f>'02 - 2023'!D29-'02 - 2023'!D28+'02 - 2023'!E29-'02 - 2023'!E28</f>
        <v>24.800000000001091</v>
      </c>
      <c r="H23">
        <v>0.99</v>
      </c>
      <c r="I23" s="4">
        <f>'02 - 2023'!J29-'02 - 2023'!J28</f>
        <v>11780</v>
      </c>
      <c r="J23">
        <v>8.1000000000000003E-2</v>
      </c>
      <c r="K23" s="16">
        <f>'02 - 2023'!H29-'02 - 2023'!H28</f>
        <v>0</v>
      </c>
      <c r="L23" s="4">
        <f>'02 - 2023'!I29-'02 - 2023'!I28</f>
        <v>109</v>
      </c>
      <c r="M23" s="1">
        <v>4.393629424766913</v>
      </c>
      <c r="N23" s="11">
        <v>104</v>
      </c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v>0</v>
      </c>
      <c r="F24">
        <v>0.11799999999999999</v>
      </c>
      <c r="G24" s="4">
        <v>0</v>
      </c>
      <c r="H24">
        <v>0.99</v>
      </c>
      <c r="I24" s="4">
        <v>0</v>
      </c>
      <c r="J24">
        <v>8.1000000000000003E-2</v>
      </c>
      <c r="K24" s="16">
        <v>0</v>
      </c>
      <c r="L24" s="4"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opLeftCell="A17" workbookViewId="0">
      <selection activeCell="K24" sqref="K24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4034</v>
      </c>
      <c r="F10" s="4">
        <f>'02 - 2023'!C16-'02 - 2023'!C15</f>
        <v>5656</v>
      </c>
      <c r="G10">
        <v>0.11799999999999999</v>
      </c>
      <c r="H10" s="4">
        <f>'02 - 2023'!E16-'02 - 2023'!E15</f>
        <v>24.390000000000327</v>
      </c>
      <c r="I10" s="4">
        <f>'02 - 2023'!F16-'02 - 2023'!F15</f>
        <v>7.1899999999995998</v>
      </c>
      <c r="J10" s="4">
        <f>'02 - 2023'!G16-'02 - 2023'!G15</f>
        <v>33.410000000003492</v>
      </c>
      <c r="K10">
        <v>0.74</v>
      </c>
      <c r="L10" s="11">
        <v>99</v>
      </c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4264</v>
      </c>
      <c r="F11" s="4">
        <f>'02 - 2023'!C17-'02 - 2023'!C16</f>
        <v>5688</v>
      </c>
      <c r="G11">
        <v>0.11799999999999999</v>
      </c>
      <c r="H11" s="4">
        <f>'02 - 2023'!E17-'02 - 2023'!E16</f>
        <v>28.459999999999127</v>
      </c>
      <c r="I11" s="4">
        <f>'02 - 2023'!F17-'02 - 2023'!F16</f>
        <v>8.4800000000004729</v>
      </c>
      <c r="J11" s="4">
        <f>'02 - 2023'!G17-'02 - 2023'!G16</f>
        <v>38.25</v>
      </c>
      <c r="K11">
        <v>0.74</v>
      </c>
      <c r="L11" s="11">
        <v>100</v>
      </c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4474</v>
      </c>
      <c r="F12" s="4">
        <f>'02 - 2023'!C18-'02 - 2023'!C17</f>
        <v>5686</v>
      </c>
      <c r="G12">
        <v>0.11799999999999999</v>
      </c>
      <c r="H12" s="4">
        <f>'02 - 2023'!E18-'02 - 2023'!E17</f>
        <v>27.829999999999927</v>
      </c>
      <c r="I12" s="4">
        <f>'02 - 2023'!F18-'02 - 2023'!F17</f>
        <v>7.9399999999995998</v>
      </c>
      <c r="J12" s="4">
        <f>'02 - 2023'!G18-'02 - 2023'!G17</f>
        <v>39.529999999998836</v>
      </c>
      <c r="K12">
        <v>0.74</v>
      </c>
      <c r="L12" s="11">
        <v>89</v>
      </c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4171</v>
      </c>
      <c r="F13" s="4">
        <f>'02 - 2023'!C19-'02 - 2023'!C18</f>
        <v>5478</v>
      </c>
      <c r="G13">
        <v>0.11799999999999999</v>
      </c>
      <c r="H13" s="4">
        <f>'02 - 2023'!E19-'02 - 2023'!E18</f>
        <v>26.450000000000728</v>
      </c>
      <c r="I13" s="4">
        <f>'02 - 2023'!F19-'02 - 2023'!F18</f>
        <v>6.6999999999998181</v>
      </c>
      <c r="J13" s="4">
        <f>'02 - 2023'!G19-'02 - 2023'!G18</f>
        <v>39.409999999996217</v>
      </c>
      <c r="K13">
        <v>0.74</v>
      </c>
      <c r="L13" s="11">
        <v>83</v>
      </c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3997</v>
      </c>
      <c r="F14" s="4">
        <f>'02 - 2023'!C20-'02 - 2023'!C19</f>
        <v>5576</v>
      </c>
      <c r="G14">
        <v>0.11799999999999999</v>
      </c>
      <c r="H14" s="4">
        <f>'02 - 2023'!E20-'02 - 2023'!E19</f>
        <v>30.069999999999709</v>
      </c>
      <c r="I14" s="4">
        <f>'02 - 2023'!F20-'02 - 2023'!F19</f>
        <v>7.1500000000005457</v>
      </c>
      <c r="J14" s="4">
        <f>'02 - 2023'!G20-'02 - 2023'!G19</f>
        <v>34.580000000001746</v>
      </c>
      <c r="K14">
        <v>0.74</v>
      </c>
      <c r="L14" s="11">
        <v>92</v>
      </c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4105</v>
      </c>
      <c r="F15" s="4">
        <f>'02 - 2023'!C21-'02 - 2023'!C20</f>
        <v>5610</v>
      </c>
      <c r="G15">
        <v>0.11799999999999999</v>
      </c>
      <c r="H15" s="4">
        <f>'02 - 2023'!E21-'02 - 2023'!E20</f>
        <v>23.290000000000873</v>
      </c>
      <c r="I15" s="4">
        <f>'02 - 2023'!F21-'02 - 2023'!F20</f>
        <v>7.6700000000000728</v>
      </c>
      <c r="J15" s="4">
        <f>'02 - 2023'!G21-'02 - 2023'!G20</f>
        <v>37.069999999999709</v>
      </c>
      <c r="K15">
        <v>0.74</v>
      </c>
      <c r="L15" s="11">
        <v>93</v>
      </c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3891</v>
      </c>
      <c r="F16" s="4">
        <f>'02 - 2023'!C22-'02 - 2023'!C21</f>
        <v>5482</v>
      </c>
      <c r="G16">
        <v>0.11799999999999999</v>
      </c>
      <c r="H16" s="4">
        <f>'02 - 2023'!E22-'02 - 2023'!E21</f>
        <v>24.549999999999272</v>
      </c>
      <c r="I16" s="4">
        <f>'02 - 2023'!F22-'02 - 2023'!F21</f>
        <v>8</v>
      </c>
      <c r="J16" s="4">
        <f>'02 - 2023'!G22-'02 - 2023'!G21</f>
        <v>33.849999999998545</v>
      </c>
      <c r="K16">
        <v>0.74</v>
      </c>
      <c r="L16" s="11">
        <v>91</v>
      </c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3843</v>
      </c>
      <c r="F17" s="4">
        <f>'02 - 2023'!C23-'02 - 2023'!C22</f>
        <v>5559</v>
      </c>
      <c r="G17">
        <v>0.11799999999999999</v>
      </c>
      <c r="H17" s="4">
        <f>'02 - 2023'!E23-'02 - 2023'!E22</f>
        <v>26.469999999999345</v>
      </c>
      <c r="I17" s="4">
        <f>'02 - 2023'!F23-'02 - 2023'!F22</f>
        <v>7.339999999999236</v>
      </c>
      <c r="J17" s="4">
        <f>'02 - 2023'!G23-'02 - 2023'!G22</f>
        <v>32.150000000001455</v>
      </c>
      <c r="K17">
        <v>0.74</v>
      </c>
      <c r="L17" s="11">
        <v>99</v>
      </c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4096</v>
      </c>
      <c r="F18" s="4">
        <f>'02 - 2023'!C24-'02 - 2023'!C23</f>
        <v>5757</v>
      </c>
      <c r="G18">
        <v>0.11799999999999999</v>
      </c>
      <c r="H18" s="4">
        <f>'02 - 2023'!E24-'02 - 2023'!E23</f>
        <v>26.270000000000437</v>
      </c>
      <c r="I18" s="4">
        <f>'02 - 2023'!F24-'02 - 2023'!F23</f>
        <v>7.8900000000003274</v>
      </c>
      <c r="J18" s="4">
        <f>'02 - 2023'!G24-'02 - 2023'!G23</f>
        <v>40.150000000001455</v>
      </c>
      <c r="K18">
        <v>0.74</v>
      </c>
      <c r="L18" s="11">
        <v>95</v>
      </c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4252</v>
      </c>
      <c r="F19" s="4">
        <f>'02 - 2023'!C25-'02 - 2023'!C24</f>
        <v>5826</v>
      </c>
      <c r="G19">
        <v>0.11799999999999999</v>
      </c>
      <c r="H19" s="4">
        <f>'02 - 2023'!E25-'02 - 2023'!E24</f>
        <v>26.149999999999636</v>
      </c>
      <c r="I19" s="4">
        <f>'02 - 2023'!F25-'02 - 2023'!F24</f>
        <v>8.2200000000002547</v>
      </c>
      <c r="J19" s="4">
        <f>'02 - 2023'!G25-'02 - 2023'!G24</f>
        <v>38.25</v>
      </c>
      <c r="K19">
        <v>0.74</v>
      </c>
      <c r="L19" s="11">
        <v>86</v>
      </c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4075</v>
      </c>
      <c r="F20" s="4">
        <f>'02 - 2023'!C26-'02 - 2023'!C25</f>
        <v>5540</v>
      </c>
      <c r="G20">
        <v>0.11799999999999999</v>
      </c>
      <c r="H20" s="4">
        <f>'02 - 2023'!E26-'02 - 2023'!E25</f>
        <v>27.5</v>
      </c>
      <c r="I20" s="4">
        <f>'02 - 2023'!F26-'02 - 2023'!F25</f>
        <v>8.1499999999996362</v>
      </c>
      <c r="J20" s="4">
        <f>'02 - 2023'!G26-'02 - 2023'!G25</f>
        <v>36.900000000001455</v>
      </c>
      <c r="K20">
        <v>0.74</v>
      </c>
      <c r="L20" s="11">
        <v>82</v>
      </c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4074</v>
      </c>
      <c r="F21" s="4">
        <f>'02 - 2023'!C27-'02 - 2023'!C26</f>
        <v>5389</v>
      </c>
      <c r="G21">
        <v>0.11799999999999999</v>
      </c>
      <c r="H21" s="4">
        <f>'02 - 2023'!E27-'02 - 2023'!E26</f>
        <v>29.75</v>
      </c>
      <c r="I21" s="4">
        <f>'02 - 2023'!F27-'02 - 2023'!F26</f>
        <v>6.3600000000005821</v>
      </c>
      <c r="J21" s="4">
        <f>'02 - 2023'!G27-'02 - 2023'!G26</f>
        <v>34.970000000001164</v>
      </c>
      <c r="K21">
        <v>0.74</v>
      </c>
      <c r="L21" s="26">
        <v>82</v>
      </c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4152</v>
      </c>
      <c r="F22" s="4">
        <f>'02 - 2023'!C28-'02 - 2023'!C27</f>
        <v>5404</v>
      </c>
      <c r="G22">
        <v>0.11799999999999999</v>
      </c>
      <c r="H22" s="4">
        <f>'02 - 2023'!E28-'02 - 2023'!E27</f>
        <v>25.940000000000509</v>
      </c>
      <c r="I22" s="4">
        <f>'02 - 2023'!F28-'02 - 2023'!F27</f>
        <v>8.2599999999993088</v>
      </c>
      <c r="J22" s="4">
        <f>'02 - 2023'!G28-'02 - 2023'!G27</f>
        <v>37.599999999998545</v>
      </c>
      <c r="K22">
        <v>0.74</v>
      </c>
      <c r="L22" s="11">
        <v>98</v>
      </c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3930</v>
      </c>
      <c r="F23" s="4">
        <f>'02 - 2023'!C29-'02 - 2023'!C28</f>
        <v>5351</v>
      </c>
      <c r="G23">
        <v>0.11799999999999999</v>
      </c>
      <c r="H23" s="4">
        <f>'02 - 2023'!E29-'02 - 2023'!E28</f>
        <v>24.850000000000364</v>
      </c>
      <c r="I23" s="4">
        <f>'02 - 2023'!F29-'02 - 2023'!F28</f>
        <v>7.3800000000001091</v>
      </c>
      <c r="J23" s="4">
        <f>'02 - 2023'!G29-'02 - 2023'!G28</f>
        <v>32.360000000000582</v>
      </c>
      <c r="K23">
        <v>0.74</v>
      </c>
      <c r="L23" s="11">
        <v>104</v>
      </c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v>0</v>
      </c>
      <c r="F24" s="4">
        <v>0</v>
      </c>
      <c r="G24">
        <v>0.11799999999999999</v>
      </c>
      <c r="H24" s="4">
        <v>0</v>
      </c>
      <c r="I24" s="4">
        <v>0</v>
      </c>
      <c r="J24" s="4"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opLeftCell="A21" zoomScaleNormal="100" workbookViewId="0">
      <selection activeCell="B34" sqref="B34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>
        <v>1138041</v>
      </c>
      <c r="C15" s="60">
        <v>377212</v>
      </c>
      <c r="D15" s="62">
        <v>0.3</v>
      </c>
      <c r="E15" s="61">
        <v>8150.87</v>
      </c>
      <c r="F15" s="67">
        <v>4526.97</v>
      </c>
      <c r="G15" s="61">
        <v>50468.78</v>
      </c>
      <c r="H15" s="60">
        <v>14528</v>
      </c>
      <c r="I15" s="60">
        <v>187134</v>
      </c>
      <c r="J15" s="60">
        <v>62808925</v>
      </c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>
        <v>1142075</v>
      </c>
      <c r="C16" s="60">
        <v>382868</v>
      </c>
      <c r="D16" s="62">
        <v>0.24</v>
      </c>
      <c r="E16" s="61">
        <v>8175.26</v>
      </c>
      <c r="F16" s="67">
        <v>4534.16</v>
      </c>
      <c r="G16" s="61">
        <v>50502.19</v>
      </c>
      <c r="H16" s="60">
        <v>14528</v>
      </c>
      <c r="I16" s="60">
        <v>187244</v>
      </c>
      <c r="J16" s="60">
        <v>62823512</v>
      </c>
      <c r="K16" s="63">
        <v>4100</v>
      </c>
      <c r="L16" s="65"/>
      <c r="M16" s="22"/>
    </row>
    <row r="17" spans="1:19" s="23" customFormat="1" ht="12.95" customHeight="1">
      <c r="A17" s="54">
        <f t="shared" si="0"/>
        <v>44967</v>
      </c>
      <c r="B17" s="61">
        <v>1146339</v>
      </c>
      <c r="C17" s="61">
        <v>388556</v>
      </c>
      <c r="D17" s="62">
        <v>0.72</v>
      </c>
      <c r="E17" s="61">
        <v>8203.7199999999993</v>
      </c>
      <c r="F17" s="67">
        <v>4542.6400000000003</v>
      </c>
      <c r="G17" s="61">
        <v>50540.44</v>
      </c>
      <c r="H17" s="60">
        <v>14528</v>
      </c>
      <c r="I17" s="61">
        <v>187366</v>
      </c>
      <c r="J17" s="61">
        <v>62835390</v>
      </c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>
        <v>1150813</v>
      </c>
      <c r="C18" s="60">
        <v>394242</v>
      </c>
      <c r="D18" s="62">
        <v>0.62</v>
      </c>
      <c r="E18" s="61">
        <v>8231.5499999999993</v>
      </c>
      <c r="F18" s="61">
        <v>4550.58</v>
      </c>
      <c r="G18" s="61">
        <v>50579.97</v>
      </c>
      <c r="H18" s="60">
        <v>14528</v>
      </c>
      <c r="I18" s="60">
        <v>187484</v>
      </c>
      <c r="J18" s="60">
        <v>62845664</v>
      </c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>
        <v>1154984</v>
      </c>
      <c r="C19" s="60">
        <v>399720</v>
      </c>
      <c r="D19" s="62">
        <v>0.54</v>
      </c>
      <c r="E19" s="61">
        <v>8258</v>
      </c>
      <c r="F19" s="61">
        <v>4557.28</v>
      </c>
      <c r="G19" s="61">
        <v>50619.38</v>
      </c>
      <c r="H19" s="60">
        <v>14528</v>
      </c>
      <c r="I19" s="60">
        <v>187599</v>
      </c>
      <c r="J19" s="60">
        <v>62856664</v>
      </c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>
        <v>1158981</v>
      </c>
      <c r="C20" s="68">
        <v>405296</v>
      </c>
      <c r="D20" s="62">
        <v>0.48</v>
      </c>
      <c r="E20" s="60">
        <v>8288.07</v>
      </c>
      <c r="F20" s="60">
        <v>4564.43</v>
      </c>
      <c r="G20" s="69">
        <v>50653.96</v>
      </c>
      <c r="H20" s="60">
        <v>14528</v>
      </c>
      <c r="I20" s="68">
        <v>187703</v>
      </c>
      <c r="J20" s="68">
        <v>62868972</v>
      </c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>
        <v>1163086</v>
      </c>
      <c r="C21" s="68">
        <v>410906</v>
      </c>
      <c r="D21" s="62">
        <v>0.4</v>
      </c>
      <c r="E21" s="69">
        <v>8311.36</v>
      </c>
      <c r="F21" s="61">
        <v>4572.1000000000004</v>
      </c>
      <c r="G21" s="69">
        <v>50691.03</v>
      </c>
      <c r="H21" s="60">
        <v>14528</v>
      </c>
      <c r="I21" s="68">
        <v>187817</v>
      </c>
      <c r="J21" s="68">
        <v>62882376</v>
      </c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>
        <v>1166977</v>
      </c>
      <c r="C22" s="68">
        <v>416388</v>
      </c>
      <c r="D22" s="62">
        <v>0.35</v>
      </c>
      <c r="E22" s="69">
        <v>8335.91</v>
      </c>
      <c r="F22" s="61">
        <v>4580.1000000000004</v>
      </c>
      <c r="G22" s="69">
        <v>50724.88</v>
      </c>
      <c r="H22" s="60">
        <v>14528</v>
      </c>
      <c r="I22" s="68">
        <v>187924</v>
      </c>
      <c r="J22" s="68">
        <v>62896880</v>
      </c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>
        <v>1170820</v>
      </c>
      <c r="C23" s="68">
        <v>421947</v>
      </c>
      <c r="D23" s="62">
        <v>0.28000000000000003</v>
      </c>
      <c r="E23" s="69">
        <v>8362.3799999999992</v>
      </c>
      <c r="F23" s="61">
        <v>4587.4399999999996</v>
      </c>
      <c r="G23" s="69">
        <v>50757.03</v>
      </c>
      <c r="H23" s="60">
        <v>14528</v>
      </c>
      <c r="I23" s="68">
        <v>188036</v>
      </c>
      <c r="J23" s="68">
        <v>62911774</v>
      </c>
      <c r="K23" s="63">
        <v>4000</v>
      </c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>
        <v>1174916</v>
      </c>
      <c r="C24" s="68">
        <v>427704</v>
      </c>
      <c r="D24" s="62">
        <v>0.77</v>
      </c>
      <c r="E24" s="69">
        <v>8388.65</v>
      </c>
      <c r="F24" s="61">
        <v>4595.33</v>
      </c>
      <c r="G24" s="69">
        <v>50797.18</v>
      </c>
      <c r="H24" s="60">
        <v>14528</v>
      </c>
      <c r="I24" s="68">
        <v>188155</v>
      </c>
      <c r="J24" s="68">
        <v>62927607</v>
      </c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>
        <v>1179168</v>
      </c>
      <c r="C25" s="69">
        <v>433530</v>
      </c>
      <c r="D25" s="62">
        <v>0.68</v>
      </c>
      <c r="E25" s="69">
        <v>8414.7999999999993</v>
      </c>
      <c r="F25" s="61">
        <v>4603.55</v>
      </c>
      <c r="G25" s="69">
        <v>50835.43</v>
      </c>
      <c r="H25" s="60">
        <v>14528</v>
      </c>
      <c r="I25" s="68">
        <v>188272</v>
      </c>
      <c r="J25" s="68">
        <v>62943155</v>
      </c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>
        <v>1183243</v>
      </c>
      <c r="C26" s="69">
        <v>439070</v>
      </c>
      <c r="D26" s="73">
        <v>0.56000000000000005</v>
      </c>
      <c r="E26" s="69">
        <v>8442.2999999999993</v>
      </c>
      <c r="F26" s="61">
        <v>4611.7</v>
      </c>
      <c r="G26" s="69">
        <v>50872.33</v>
      </c>
      <c r="H26" s="60">
        <v>14528</v>
      </c>
      <c r="I26" s="68">
        <v>188382</v>
      </c>
      <c r="J26" s="68">
        <v>62957029</v>
      </c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>
        <v>1187317</v>
      </c>
      <c r="C27" s="68">
        <v>444459</v>
      </c>
      <c r="D27" s="62">
        <v>0.52</v>
      </c>
      <c r="E27" s="69">
        <v>8472.0499999999993</v>
      </c>
      <c r="F27" s="61">
        <v>4618.0600000000004</v>
      </c>
      <c r="G27" s="69">
        <v>50907.3</v>
      </c>
      <c r="H27" s="60">
        <v>14528</v>
      </c>
      <c r="I27" s="68">
        <v>188491</v>
      </c>
      <c r="J27" s="68">
        <v>62969437</v>
      </c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>
        <v>1191469</v>
      </c>
      <c r="C28" s="68">
        <v>449863</v>
      </c>
      <c r="D28" s="62">
        <v>0.45</v>
      </c>
      <c r="E28" s="69">
        <v>8497.99</v>
      </c>
      <c r="F28" s="61">
        <v>4626.32</v>
      </c>
      <c r="G28" s="69">
        <v>50944.9</v>
      </c>
      <c r="H28" s="60">
        <v>14528</v>
      </c>
      <c r="I28" s="68">
        <v>188594</v>
      </c>
      <c r="J28" s="68">
        <v>62981612</v>
      </c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>
        <v>1195399</v>
      </c>
      <c r="C29" s="68">
        <v>455214</v>
      </c>
      <c r="D29" s="62">
        <v>0.4</v>
      </c>
      <c r="E29" s="69">
        <v>8522.84</v>
      </c>
      <c r="F29" s="61">
        <v>4633.7</v>
      </c>
      <c r="G29" s="69">
        <v>50977.26</v>
      </c>
      <c r="H29" s="60">
        <v>14528</v>
      </c>
      <c r="I29" s="68">
        <v>188703</v>
      </c>
      <c r="J29" s="68">
        <v>62993392</v>
      </c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12050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166392-C5BA-4D28-B8E8-50F131BF5F9F}"/>
</file>

<file path=customXml/itemProps2.xml><?xml version="1.0" encoding="utf-8"?>
<ds:datastoreItem xmlns:ds="http://schemas.openxmlformats.org/officeDocument/2006/customXml" ds:itemID="{F49845E7-C347-4ED0-B73F-6C74077570D6}"/>
</file>

<file path=customXml/itemProps3.xml><?xml version="1.0" encoding="utf-8"?>
<ds:datastoreItem xmlns:ds="http://schemas.openxmlformats.org/officeDocument/2006/customXml" ds:itemID="{A864D059-F91F-4AE4-8F04-E7F81AAD4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2023-02-22T06:48:09Z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