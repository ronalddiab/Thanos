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<sst xmlns="http://schemas.openxmlformats.org/spreadsheetml/2006/main" count="315" uniqueCount="148">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</sst>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7.3259999999999996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35399.999999999651</v>
      </c>
      <c r="F33" s="17">
        <f t="shared" ref="F33:BC33" si="0">SUM(F2:F32)</f>
        <v>33400.00000000032</v>
      </c>
      <c r="G33" s="17">
        <f t="shared" si="0"/>
        <v>33400.00000000032</v>
      </c>
      <c r="H33" s="17">
        <f t="shared" si="0"/>
        <v>16900.000000000138</v>
      </c>
      <c r="I33" s="17">
        <f t="shared" si="0"/>
        <v>26299.999999999985</v>
      </c>
      <c r="J33" s="17">
        <f t="shared" si="0"/>
        <v>21699.999999999825</v>
      </c>
      <c r="K33" s="17">
        <f t="shared" si="0"/>
        <v>339</v>
      </c>
      <c r="L33" s="17">
        <f t="shared" si="0"/>
        <v>57</v>
      </c>
      <c r="M33" s="17">
        <f t="shared" si="0"/>
        <v>13.5</v>
      </c>
      <c r="N33" s="17">
        <f t="shared" si="0"/>
        <v>4761.5</v>
      </c>
      <c r="O33" s="17">
        <f t="shared" si="0"/>
        <v>3629.9999999999955</v>
      </c>
      <c r="P33" s="17">
        <f t="shared" si="0"/>
        <v>29700.000000000058</v>
      </c>
      <c r="Q33" s="17">
        <f t="shared" si="0"/>
        <v>4420.0000000000164</v>
      </c>
      <c r="R33" s="17">
        <f t="shared" si="0"/>
        <v>5780.00000000003</v>
      </c>
      <c r="S33" s="17">
        <f t="shared" si="0"/>
        <v>10719.999999999913</v>
      </c>
      <c r="T33" s="17">
        <f t="shared" si="0"/>
        <v>339</v>
      </c>
      <c r="U33" s="35">
        <f t="shared" si="0"/>
        <v>9309.9999999999454</v>
      </c>
      <c r="V33" s="35">
        <f t="shared" si="0"/>
        <v>2680.0000000000068</v>
      </c>
      <c r="W33" s="35">
        <f t="shared" si="0"/>
        <v>2980.0000000000182</v>
      </c>
      <c r="X33" s="35">
        <f t="shared" si="0"/>
        <v>2670.0000000000155</v>
      </c>
      <c r="Y33" s="35">
        <f t="shared" si="0"/>
        <v>2000</v>
      </c>
      <c r="Z33" s="35">
        <f t="shared" si="0"/>
        <v>2569.9999999999932</v>
      </c>
      <c r="AA33" s="35">
        <f t="shared" si="0"/>
        <v>2569.9999999999932</v>
      </c>
      <c r="AB33" s="35">
        <f t="shared" si="0"/>
        <v>2480.0000000000182</v>
      </c>
      <c r="AC33" s="35">
        <f t="shared" si="0"/>
        <v>1779.9999999999727</v>
      </c>
      <c r="AD33" s="35">
        <f t="shared" si="0"/>
        <v>2420.0000000000159</v>
      </c>
      <c r="AE33" s="35">
        <f t="shared" si="0"/>
        <v>1459.9999999999795</v>
      </c>
      <c r="AF33" s="17">
        <f t="shared" si="0"/>
        <v>329</v>
      </c>
      <c r="AG33" s="32">
        <f t="shared" si="0"/>
        <v>420.00000000001592</v>
      </c>
      <c r="AH33" s="32">
        <f t="shared" si="0"/>
        <v>339.99999999997499</v>
      </c>
      <c r="AI33" s="32">
        <f t="shared" si="0"/>
        <v>539.99999999999204</v>
      </c>
      <c r="AJ33" s="32">
        <f t="shared" si="0"/>
        <v>419.99999999998749</v>
      </c>
      <c r="AK33" s="32">
        <f t="shared" si="0"/>
        <v>599.99999999996589</v>
      </c>
      <c r="AL33" s="32">
        <f t="shared" si="0"/>
        <v>447</v>
      </c>
      <c r="AM33" s="32">
        <f t="shared" si="0"/>
        <v>539.99999999999204</v>
      </c>
      <c r="AN33" s="32">
        <f t="shared" si="0"/>
        <v>450</v>
      </c>
      <c r="AO33" s="32">
        <f t="shared" si="0"/>
        <v>460.00000000000796</v>
      </c>
      <c r="AP33" s="32">
        <f t="shared" si="0"/>
        <v>452</v>
      </c>
      <c r="AQ33" s="17">
        <f t="shared" si="0"/>
        <v>626.19999999999709</v>
      </c>
      <c r="AR33" s="17">
        <f t="shared" si="0"/>
        <v>118.29999999999927</v>
      </c>
      <c r="AS33" s="17">
        <f t="shared" si="0"/>
        <v>59.699999999999818</v>
      </c>
      <c r="AT33" s="17">
        <f t="shared" si="0"/>
        <v>494.40000000000873</v>
      </c>
      <c r="AU33" s="17">
        <f t="shared" si="0"/>
        <v>2826</v>
      </c>
      <c r="AV33" s="17">
        <f t="shared" si="0"/>
        <v>8650.0000000000909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51.281999999999996</v>
      </c>
      <c r="BC33" s="17">
        <f t="shared" si="0"/>
        <v>279</v>
      </c>
    </row>
    <row r="35" spans="5:55" x14ac:dyDescent="0.25">
      <c r="E35" s="38">
        <f>E33/E37</f>
        <v>0.26830784156194259</v>
      </c>
      <c r="G35" s="29">
        <f>G33-M36</f>
        <v>28625.00000000032</v>
      </c>
      <c r="AE35" s="35">
        <f>SUM(U33:AE33)</f>
        <v>32919.999999999956</v>
      </c>
      <c r="AG35" s="32">
        <f>SUM(AG33:AP33)</f>
        <v>4668.9999999999363</v>
      </c>
    </row>
    <row r="36" spans="5:55" x14ac:dyDescent="0.25">
      <c r="G36" s="29">
        <f>G35-633*14</f>
        <v>19763.00000000032</v>
      </c>
      <c r="M36" s="29">
        <f>M33+N33</f>
        <v>4775</v>
      </c>
    </row>
    <row r="37" spans="5:55" x14ac:dyDescent="0.25">
      <c r="E37" s="17">
        <f>E33+F33+G33+H33+J33-633*14</f>
        <v>131938.00000000026</v>
      </c>
      <c r="G37" s="37">
        <f>M36/E37</f>
        <v>3.6191241340629621E-2</v>
      </c>
      <c r="M37" s="35">
        <f>AE35</f>
        <v>32919.999999999956</v>
      </c>
    </row>
    <row r="38" spans="5:55" x14ac:dyDescent="0.25">
      <c r="L38" s="27">
        <f>M38/E37</f>
        <v>3.5387833679454951E-2</v>
      </c>
      <c r="M38" s="29">
        <f>AG35</f>
        <v>4668.9999999999363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D1" zoomScale="82" zoomScaleNormal="82" workbookViewId="0">
      <pane ySplit="1" topLeftCell="A2" activePane="bottomLeft" state="frozen"/>
      <selection pane="bottomLeft" activeCell="CI18" sqref="CI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str">
        <f t="shared" si="58"/>
        <v/>
      </c>
      <c r="U13" s="58"/>
      <c r="V13" s="67" t="str">
        <f t="shared" si="59"/>
        <v/>
      </c>
      <c r="W13" s="58"/>
      <c r="X13" s="65" t="str">
        <f t="shared" si="60"/>
        <v/>
      </c>
      <c r="Y13" s="58"/>
      <c r="Z13" s="65" t="str">
        <f t="shared" si="61"/>
        <v/>
      </c>
      <c r="AA13" s="58"/>
      <c r="AB13" s="65" t="str">
        <f t="shared" si="62"/>
        <v/>
      </c>
      <c r="AC13" s="58"/>
      <c r="AD13" s="65" t="str">
        <f t="shared" si="63"/>
        <v/>
      </c>
      <c r="AE13" s="58"/>
      <c r="AF13" s="65" t="str">
        <f t="shared" si="64"/>
        <v/>
      </c>
      <c r="AG13" s="58"/>
      <c r="AH13" s="67" t="str">
        <f t="shared" si="65"/>
        <v/>
      </c>
      <c r="AI13" s="58"/>
      <c r="AJ13" s="65" t="str">
        <f t="shared" si="66"/>
        <v/>
      </c>
      <c r="AK13" s="58"/>
      <c r="AL13" s="65" t="str">
        <f t="shared" si="67"/>
        <v/>
      </c>
      <c r="AM13" s="58"/>
      <c r="AN13" s="65" t="str">
        <f t="shared" si="68"/>
        <v/>
      </c>
      <c r="AO13" s="58"/>
      <c r="AP13" s="65" t="str">
        <f t="shared" si="69"/>
        <v/>
      </c>
      <c r="AQ13" s="58"/>
      <c r="AR13" s="65" t="str">
        <f t="shared" si="70"/>
        <v/>
      </c>
      <c r="AS13" s="58"/>
      <c r="AT13" s="65" t="str">
        <f t="shared" si="71"/>
        <v/>
      </c>
      <c r="AU13" s="58"/>
      <c r="AV13" s="65" t="str">
        <f t="shared" si="72"/>
        <v/>
      </c>
      <c r="AW13" s="58"/>
      <c r="AX13" s="65" t="str">
        <f t="shared" si="73"/>
        <v/>
      </c>
      <c r="AY13" s="58"/>
      <c r="AZ13" s="65" t="str">
        <f t="shared" si="74"/>
        <v/>
      </c>
      <c r="BA13" s="58"/>
      <c r="BB13" s="65" t="str">
        <f t="shared" si="75"/>
        <v/>
      </c>
      <c r="BC13" s="58"/>
      <c r="BD13" s="65" t="str">
        <f t="shared" si="76"/>
        <v/>
      </c>
      <c r="BE13" s="59"/>
      <c r="BF13" s="67" t="str">
        <f t="shared" si="77"/>
        <v/>
      </c>
      <c r="BG13" s="60"/>
      <c r="BH13" s="65" t="str">
        <f t="shared" si="78"/>
        <v/>
      </c>
      <c r="BI13" s="60"/>
      <c r="BJ13" s="65" t="str">
        <f t="shared" si="79"/>
        <v/>
      </c>
      <c r="BK13" s="60"/>
      <c r="BL13" s="65" t="str">
        <f t="shared" si="80"/>
        <v/>
      </c>
      <c r="BM13" s="60"/>
      <c r="BN13" s="65" t="str">
        <f t="shared" si="81"/>
        <v/>
      </c>
      <c r="BO13" s="60"/>
      <c r="BP13" s="65" t="str">
        <f t="shared" si="82"/>
        <v/>
      </c>
      <c r="BQ13" s="60"/>
      <c r="BR13" s="65" t="str">
        <f t="shared" si="83"/>
        <v/>
      </c>
      <c r="BS13" s="60"/>
      <c r="BT13" s="65" t="str">
        <f t="shared" si="84"/>
        <v/>
      </c>
      <c r="BU13" s="60"/>
      <c r="BV13" s="65" t="str">
        <f t="shared" si="85"/>
        <v/>
      </c>
      <c r="BW13" s="60"/>
      <c r="BX13" s="65" t="str">
        <f t="shared" si="86"/>
        <v/>
      </c>
      <c r="BY13" s="60"/>
      <c r="BZ13" s="67" t="str">
        <f t="shared" si="87"/>
        <v/>
      </c>
      <c r="CA13" s="60"/>
      <c r="CB13" s="67" t="str">
        <f t="shared" si="88"/>
        <v/>
      </c>
      <c r="CC13" s="60"/>
      <c r="CD13" s="67" t="str">
        <f t="shared" si="89"/>
        <v/>
      </c>
      <c r="CE13" s="60"/>
      <c r="CF13" s="67" t="str">
        <f t="shared" si="90"/>
        <v/>
      </c>
      <c r="CG13" s="60"/>
      <c r="CH13" s="67" t="str">
        <f t="shared" si="91"/>
        <v/>
      </c>
      <c r="CI13" s="60"/>
      <c r="CJ13" s="67" t="str">
        <f t="shared" si="92"/>
        <v/>
      </c>
      <c r="CK13" s="60"/>
      <c r="CL13" s="64" t="str">
        <f t="shared" si="93"/>
        <v/>
      </c>
      <c r="CM13" s="65" t="e">
        <f t="shared" si="94"/>
        <v>#VALUE!</v>
      </c>
      <c r="CN13" s="62"/>
      <c r="CO13" s="62"/>
      <c r="CP13" s="68"/>
      <c r="CQ13" s="67" t="str">
        <f t="shared" si="45"/>
        <v/>
      </c>
      <c r="CR13" s="68"/>
      <c r="CS13" s="67" t="str">
        <f t="shared" si="45"/>
        <v/>
      </c>
      <c r="CT13" s="75"/>
      <c r="CU13" s="67" t="str">
        <f t="shared" si="47"/>
        <v/>
      </c>
      <c r="CV13" s="68"/>
      <c r="CW13" s="67" t="str">
        <f t="shared" si="95"/>
        <v/>
      </c>
      <c r="CX13" s="58"/>
      <c r="CY13" s="67" t="str">
        <f t="shared" si="96"/>
        <v/>
      </c>
    </row>
    <row r="14" spans="1:103" ht="25.5" customHeight="1" thickBot="1" x14ac:dyDescent="0.45">
      <c r="A14" s="63">
        <v>44692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5"/>
        <v>0</v>
      </c>
      <c r="CT14" s="75"/>
      <c r="CU14" s="67">
        <f t="shared" si="47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-227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2022-05-10T16:46:09Z</dcterms:modified>
</cp:coreProperties>
</file>