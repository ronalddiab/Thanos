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2\"/>
    </mc:Choice>
  </mc:AlternateContent>
  <xr:revisionPtr revIDLastSave="0" documentId="13_ncr:1_{2F1B2B39-2EE0-4F6B-AD34-3E6D8BDF4B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3" i="1" l="1"/>
  <c r="N3" i="1"/>
  <c r="L3" i="1"/>
  <c r="H3" i="1"/>
  <c r="F3" i="1"/>
  <c r="D3" i="1"/>
  <c r="P2" i="1"/>
  <c r="N2" i="1"/>
  <c r="L2" i="1"/>
  <c r="H2" i="1"/>
  <c r="F2" i="1"/>
  <c r="D2" i="1"/>
</calcChain>
</file>

<file path=xl/sharedStrings.xml><?xml version="1.0" encoding="utf-8"?>
<sst xmlns="http://schemas.openxmlformats.org/spreadsheetml/2006/main" count="29" uniqueCount="18">
  <si>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</si>
  <si>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</si>
  <si>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</si>
  <si>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</si>
  <si>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</si>
  <si>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</si>
  <si>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</si>
  <si>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liquid hazardous waste</t>
  </si>
  <si>
    <t>Total cost liquid hazardous waste</t>
  </si>
  <si>
    <t>Total (per Unit) light bulbs</t>
  </si>
  <si>
    <t>Total cost light bulbs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</si>
  <si>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</si>
  <si>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</si>
  <si>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</si>
  <si>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</si>
  <si>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tin</t>
  </si>
  <si>
    <t>Total cost tin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</si>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</sst>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0" fillId="0" borderId="0" xfId="0" applyFill="1"/>
    <xf numFmtId="0" fontId="1" fillId="0" borderId="0" xfId="0" applyFont="1" applyAlignment="1">
      <alignment wrapText="1"/>
    </xf>
    <xf numFmtId="0" fontId="1" fillId="0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S%20Waste%20Data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P Data "/>
      <sheetName val="Summery sheet "/>
      <sheetName val="Jan 2022"/>
      <sheetName val="Feb 2022"/>
      <sheetName val="MAr"/>
      <sheetName val="Apr"/>
      <sheetName val="May"/>
      <sheetName val="Jun22"/>
      <sheetName val="July 22"/>
      <sheetName val="Aug 22"/>
      <sheetName val="Sep 22"/>
    </sheetNames>
    <sheetDataSet>
      <sheetData sheetId="0"/>
      <sheetData sheetId="1"/>
      <sheetData sheetId="2">
        <row r="36">
          <cell r="C36">
            <v>246</v>
          </cell>
          <cell r="D36">
            <v>29</v>
          </cell>
          <cell r="E36">
            <v>578</v>
          </cell>
          <cell r="F36">
            <v>638</v>
          </cell>
          <cell r="G36">
            <v>2615</v>
          </cell>
          <cell r="H36">
            <v>3085</v>
          </cell>
          <cell r="I36">
            <v>40</v>
          </cell>
        </row>
      </sheetData>
      <sheetData sheetId="3">
        <row r="36">
          <cell r="C36">
            <v>270</v>
          </cell>
          <cell r="D36">
            <v>55</v>
          </cell>
          <cell r="E36">
            <v>623</v>
          </cell>
          <cell r="F36">
            <v>745</v>
          </cell>
          <cell r="G36">
            <v>3028</v>
          </cell>
          <cell r="H36">
            <v>4654</v>
          </cell>
          <cell r="I36">
            <v>30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zoomScale="70" zoomScaleNormal="70" workbookViewId="0">
      <selection activeCell="J15" sqref="J15"/>
    </sheetView>
  </sheetViews>
  <sheetFormatPr defaultRowHeight="15" x14ac:dyDescent="0.25"/>
  <cols>
    <col min="1" max="1" width="12.28515625" customWidth="1"/>
    <col min="2" max="3" width="8.42578125" customWidth="1"/>
    <col min="4" max="17" width="13.28515625" style="3" customWidth="1"/>
  </cols>
  <sheetData>
    <row r="1" spans="1:17" s="6" customFormat="1" ht="30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x14ac:dyDescent="0.25">
      <c r="A2" t="s">
        <v>17</v>
      </c>
      <c r="B2" s="1">
        <v>1</v>
      </c>
      <c r="C2" s="1">
        <v>2022</v>
      </c>
      <c r="D2">
        <f>SUM('[1]Jan 2022'!E36,'[1]Jan 2022'!F36)</f>
        <v>1216</v>
      </c>
      <c r="E2"/>
      <c r="F2">
        <f>SUM('[1]Jan 2022'!C36)</f>
        <v>246</v>
      </c>
      <c r="G2"/>
      <c r="H2">
        <f>'[1]Jan 2022'!I36</f>
        <v>40</v>
      </c>
      <c r="I2"/>
      <c r="J2"/>
      <c r="K2"/>
      <c r="L2">
        <f>SUM('[1]Jan 2022'!H36)</f>
        <v>3085</v>
      </c>
      <c r="M2"/>
      <c r="N2">
        <f>'[1]Jan 2022'!G36</f>
        <v>2615</v>
      </c>
      <c r="O2"/>
      <c r="P2">
        <f>'[1]Jan 2022'!D36</f>
        <v>29</v>
      </c>
    </row>
    <row r="3" spans="1:17" x14ac:dyDescent="0.25">
      <c r="A3" t="s">
        <v>17</v>
      </c>
      <c r="B3" s="1">
        <v>2</v>
      </c>
      <c r="C3" s="1">
        <v>2022</v>
      </c>
      <c r="D3">
        <f>SUM('[1]Feb 2022'!E36,'[1]Feb 2022'!F36)</f>
        <v>1368</v>
      </c>
      <c r="E3"/>
      <c r="F3">
        <f>'[1]Feb 2022'!C36</f>
        <v>270</v>
      </c>
      <c r="G3"/>
      <c r="H3">
        <f>'[1]Feb 2022'!I36</f>
        <v>30</v>
      </c>
      <c r="I3"/>
      <c r="J3"/>
      <c r="K3">
        <v>36</v>
      </c>
      <c r="L3">
        <f>'[1]Feb 2022'!H36</f>
        <v>4654</v>
      </c>
      <c r="M3"/>
      <c r="N3">
        <f>'[1]Feb 2022'!G36</f>
        <v>3028</v>
      </c>
      <c r="O3"/>
      <c r="P3">
        <f>'[1]Feb 2022'!D36</f>
        <v>55</v>
      </c>
    </row>
    <row r="4" spans="1:17" x14ac:dyDescent="0.25">
      <c r="A4" t="s">
        <v>17</v>
      </c>
      <c r="B4" s="1">
        <v>3</v>
      </c>
      <c r="C4" s="1">
        <v>2022</v>
      </c>
    </row>
    <row r="5" spans="1:17" x14ac:dyDescent="0.25">
      <c r="A5" t="s">
        <v>17</v>
      </c>
      <c r="B5" s="2">
        <v>4</v>
      </c>
      <c r="C5" s="1">
        <v>2022</v>
      </c>
    </row>
    <row r="6" spans="1:17" x14ac:dyDescent="0.25">
      <c r="A6" t="s">
        <v>17</v>
      </c>
      <c r="B6" s="1">
        <v>5</v>
      </c>
      <c r="C6" s="1">
        <v>2022</v>
      </c>
    </row>
    <row r="7" spans="1:17" x14ac:dyDescent="0.25">
      <c r="A7" t="s">
        <v>17</v>
      </c>
      <c r="B7" s="1">
        <v>6</v>
      </c>
      <c r="C7" s="1">
        <v>2022</v>
      </c>
    </row>
    <row r="8" spans="1:17" x14ac:dyDescent="0.25">
      <c r="A8" t="s">
        <v>17</v>
      </c>
      <c r="B8" s="1">
        <v>7</v>
      </c>
      <c r="C8" s="1">
        <v>2022</v>
      </c>
    </row>
    <row r="9" spans="1:17" x14ac:dyDescent="0.25">
      <c r="A9" t="s">
        <v>17</v>
      </c>
      <c r="B9" s="1">
        <v>8</v>
      </c>
      <c r="C9" s="1">
        <v>2022</v>
      </c>
    </row>
    <row r="10" spans="1:17" x14ac:dyDescent="0.25">
      <c r="A10" t="s">
        <v>17</v>
      </c>
      <c r="B10" s="1">
        <v>9</v>
      </c>
      <c r="C10" s="1">
        <v>2022</v>
      </c>
    </row>
    <row r="11" spans="1:17" x14ac:dyDescent="0.25">
      <c r="A11" t="s">
        <v>17</v>
      </c>
      <c r="B11" s="1">
        <v>10</v>
      </c>
      <c r="C11" s="1">
        <v>2022</v>
      </c>
    </row>
    <row r="12" spans="1:17" x14ac:dyDescent="0.25">
      <c r="A12" t="s">
        <v>17</v>
      </c>
      <c r="B12" s="1">
        <v>11</v>
      </c>
      <c r="C12" s="1">
        <v>2022</v>
      </c>
    </row>
    <row r="13" spans="1:17" x14ac:dyDescent="0.25">
      <c r="A13" t="s">
        <v>17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Sudhakar.Appa</cp:lastModifiedBy>
  <dcterms:created xsi:type="dcterms:W3CDTF">2022-01-28T13:49:17Z</dcterms:created>
  <dcterms:modified xsi:type="dcterms:W3CDTF">2022-03-22T11:58:45Z</dcterms:modified>
</cp:coreProperties>
</file>