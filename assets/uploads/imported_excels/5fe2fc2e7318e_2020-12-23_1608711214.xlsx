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4" i="9" l="1"/>
  <c r="R25" i="9"/>
  <c r="R26" i="9"/>
  <c r="R27" i="9"/>
  <c r="R28" i="9"/>
  <c r="R29" i="9"/>
  <c r="R30" i="9"/>
  <c r="R31" i="9"/>
  <c r="R32" i="9"/>
  <c r="Q25" i="9"/>
  <c r="Q26" i="9"/>
  <c r="Q27" i="9"/>
  <c r="Q28" i="9"/>
  <c r="Q29" i="9"/>
  <c r="Q30" i="9"/>
  <c r="Q31" i="9"/>
  <c r="Q32" i="9"/>
  <c r="P25" i="9"/>
  <c r="P26" i="9"/>
  <c r="P27" i="9"/>
  <c r="P28" i="9"/>
  <c r="P29" i="9"/>
  <c r="P30" i="9"/>
  <c r="P31" i="9"/>
  <c r="P32" i="9"/>
  <c r="O25" i="9"/>
  <c r="O26" i="9"/>
  <c r="O27" i="9"/>
  <c r="O28" i="9"/>
  <c r="O29" i="9"/>
  <c r="O30" i="9"/>
  <c r="O31" i="9"/>
  <c r="O32" i="9"/>
  <c r="N25" i="9"/>
  <c r="N26" i="9"/>
  <c r="N27" i="9"/>
  <c r="N28" i="9"/>
  <c r="N29" i="9"/>
  <c r="N30" i="9"/>
  <c r="N31" i="9"/>
  <c r="M25" i="9"/>
  <c r="M26" i="9"/>
  <c r="M27" i="9"/>
  <c r="M28" i="9"/>
  <c r="M29" i="9"/>
  <c r="M30" i="9"/>
  <c r="M31" i="9"/>
  <c r="M32" i="9"/>
  <c r="L25" i="9"/>
  <c r="L26" i="9"/>
  <c r="L27" i="9"/>
  <c r="L28" i="9"/>
  <c r="L29" i="9"/>
  <c r="L30" i="9"/>
  <c r="L31" i="9"/>
  <c r="L32" i="9"/>
  <c r="K25" i="9"/>
  <c r="K26" i="9"/>
  <c r="K27" i="9"/>
  <c r="K28" i="9"/>
  <c r="K29" i="9"/>
  <c r="K30" i="9"/>
  <c r="K31" i="9"/>
  <c r="K32" i="9"/>
  <c r="J25" i="9"/>
  <c r="J26" i="9"/>
  <c r="J27" i="9"/>
  <c r="J28" i="9"/>
  <c r="J29" i="9"/>
  <c r="J30" i="9"/>
  <c r="J31" i="9"/>
  <c r="J32" i="9"/>
  <c r="I25" i="9"/>
  <c r="I26" i="9"/>
  <c r="I27" i="9"/>
  <c r="I28" i="9"/>
  <c r="I29" i="9"/>
  <c r="I30" i="9"/>
  <c r="I31" i="9"/>
  <c r="I32" i="9"/>
  <c r="H25" i="9"/>
  <c r="H26" i="9"/>
  <c r="H27" i="9"/>
  <c r="H28" i="9"/>
  <c r="H29" i="9"/>
  <c r="H30" i="9"/>
  <c r="H31" i="9"/>
  <c r="H32" i="9"/>
  <c r="G25" i="9"/>
  <c r="G26" i="9"/>
  <c r="G27" i="9"/>
  <c r="G28" i="9"/>
  <c r="G29" i="9"/>
  <c r="G30" i="9"/>
  <c r="G31" i="9"/>
  <c r="G32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W36" i="7" l="1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G24" i="5"/>
  <c r="G25" i="5"/>
  <c r="AW31" i="7"/>
  <c r="AW32" i="7"/>
  <c r="AW33" i="7"/>
  <c r="AW34" i="7"/>
  <c r="AW35" i="7"/>
  <c r="R13" i="9"/>
  <c r="R16" i="9"/>
  <c r="R17" i="9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E19" i="9"/>
  <c r="E20" i="9"/>
  <c r="E21" i="9"/>
  <c r="AF29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R29" i="7" l="1"/>
  <c r="Q24" i="9"/>
  <c r="AM29" i="7"/>
  <c r="L24" i="9"/>
  <c r="AI29" i="7"/>
  <c r="H24" i="9"/>
  <c r="AP29" i="7"/>
  <c r="O24" i="9"/>
  <c r="AL29" i="7"/>
  <c r="K24" i="9"/>
  <c r="AK29" i="7"/>
  <c r="J24" i="9"/>
  <c r="AG29" i="7"/>
  <c r="F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R20" i="9"/>
  <c r="G20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<sst xmlns="http://schemas.openxmlformats.org/spreadsheetml/2006/main" count="128" uniqueCount="49">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</sst>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Submetering!R21</f>
        <v>350.52896599999997</v>
      </c>
      <c r="H21" s="11">
        <v>0.52800000000000002</v>
      </c>
      <c r="I21" s="12">
        <f>Hotel!B26</f>
        <v>71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Submetering!R22</f>
        <v>662.82529099999999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Submetering!R23</f>
        <v>686.67337399999997</v>
      </c>
      <c r="H23" s="11">
        <v>0.52800000000000002</v>
      </c>
      <c r="I23" s="12">
        <f>Hotel!B28</f>
        <v>82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Hotel!AV26*0.00378541*100</f>
        <v>350.52896599999997</v>
      </c>
      <c r="S21" s="4">
        <f>Hotel!B26</f>
        <v>71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Hotel!AV27*0.00378541*100</f>
        <v>662.82529099999999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Hotel!AV28*0.00378541*100</f>
        <v>686.67337399999997</v>
      </c>
      <c r="S23" s="4">
        <f>Hotel!B28</f>
        <v>82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U32" sqref="AU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7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3"/>
        <v>530</v>
      </c>
      <c r="R26" s="37">
        <f t="shared" si="33"/>
        <v>1810</v>
      </c>
      <c r="S26" s="37">
        <f t="shared" si="33"/>
        <v>2580</v>
      </c>
      <c r="T26" s="37">
        <f t="shared" si="33"/>
        <v>1400</v>
      </c>
      <c r="U26" s="37">
        <f t="shared" si="33"/>
        <v>4590</v>
      </c>
      <c r="V26" s="37">
        <f t="shared" si="33"/>
        <v>3348</v>
      </c>
      <c r="W26" s="37">
        <f t="shared" si="33"/>
        <v>2360</v>
      </c>
      <c r="X26" s="37">
        <f t="shared" si="33"/>
        <v>3420</v>
      </c>
      <c r="Y26" s="37">
        <f t="shared" si="33"/>
        <v>5520</v>
      </c>
      <c r="Z26" s="37">
        <f t="shared" si="33"/>
        <v>2380</v>
      </c>
      <c r="AA26" s="37">
        <f t="shared" si="33"/>
        <v>2970</v>
      </c>
      <c r="AB26" s="37">
        <f t="shared" si="33"/>
        <v>6790</v>
      </c>
      <c r="AC26" s="37">
        <f t="shared" si="33"/>
        <v>13652</v>
      </c>
      <c r="AD26" s="35">
        <f t="shared" si="28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29"/>
        <v>256.75</v>
      </c>
      <c r="AU26" s="47">
        <v>363265</v>
      </c>
      <c r="AV26" s="37">
        <f t="shared" si="31"/>
        <v>926</v>
      </c>
      <c r="AW26" s="35">
        <f t="shared" si="30"/>
        <v>1.8520000000000001</v>
      </c>
    </row>
    <row r="27" spans="1:49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3"/>
        <v>560</v>
      </c>
      <c r="R27" s="37">
        <f t="shared" si="33"/>
        <v>1920</v>
      </c>
      <c r="S27" s="37">
        <f t="shared" si="33"/>
        <v>2660</v>
      </c>
      <c r="T27" s="37">
        <f t="shared" si="33"/>
        <v>1470</v>
      </c>
      <c r="U27" s="37">
        <f t="shared" si="33"/>
        <v>5100</v>
      </c>
      <c r="V27" s="37">
        <f t="shared" si="33"/>
        <v>3540</v>
      </c>
      <c r="W27" s="37">
        <f t="shared" si="33"/>
        <v>2500</v>
      </c>
      <c r="X27" s="37">
        <f t="shared" si="33"/>
        <v>3960</v>
      </c>
      <c r="Y27" s="37">
        <f t="shared" si="33"/>
        <v>6120</v>
      </c>
      <c r="Z27" s="37">
        <f t="shared" si="33"/>
        <v>2400</v>
      </c>
      <c r="AA27" s="37">
        <f t="shared" si="33"/>
        <v>3410</v>
      </c>
      <c r="AB27" s="37">
        <f t="shared" si="33"/>
        <v>7020</v>
      </c>
      <c r="AC27" s="37">
        <f t="shared" si="33"/>
        <v>12998</v>
      </c>
      <c r="AD27" s="35">
        <f t="shared" si="28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29"/>
        <v>268.29000000000002</v>
      </c>
      <c r="AU27" s="47">
        <v>365016</v>
      </c>
      <c r="AV27" s="37">
        <f>IF((AU27-AU26&lt;0),"0",AU27-AU26)</f>
        <v>1751</v>
      </c>
      <c r="AW27" s="35">
        <f t="shared" si="30"/>
        <v>3.5020000000000002</v>
      </c>
    </row>
    <row r="28" spans="1:49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16"/>
        <v>550</v>
      </c>
      <c r="R28" s="37">
        <f t="shared" si="17"/>
        <v>1860</v>
      </c>
      <c r="S28" s="37">
        <f t="shared" si="15"/>
        <v>2590</v>
      </c>
      <c r="T28" s="37">
        <f t="shared" si="18"/>
        <v>1430</v>
      </c>
      <c r="U28" s="37">
        <f t="shared" si="19"/>
        <v>5300</v>
      </c>
      <c r="V28" s="37">
        <f t="shared" si="20"/>
        <v>3460</v>
      </c>
      <c r="W28" s="37">
        <f t="shared" si="21"/>
        <v>2460</v>
      </c>
      <c r="X28" s="37">
        <f t="shared" si="22"/>
        <v>3840</v>
      </c>
      <c r="Y28" s="37">
        <f t="shared" si="23"/>
        <v>6170</v>
      </c>
      <c r="Z28" s="37">
        <f t="shared" si="24"/>
        <v>2530</v>
      </c>
      <c r="AA28" s="37">
        <f t="shared" si="25"/>
        <v>3120</v>
      </c>
      <c r="AB28" s="37">
        <f t="shared" si="26"/>
        <v>6710</v>
      </c>
      <c r="AC28" s="37">
        <f t="shared" si="27"/>
        <v>12790</v>
      </c>
      <c r="AD28" s="35">
        <f t="shared" si="28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29"/>
        <v>264.05</v>
      </c>
      <c r="AU28" s="47">
        <v>366830</v>
      </c>
      <c r="AV28" s="37">
        <f>IF((AU28-AU27&lt;0),"0",AU28-AU27)</f>
        <v>1814</v>
      </c>
      <c r="AW28" s="35">
        <f t="shared" si="30"/>
        <v>3.6280000000000001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12210</v>
      </c>
      <c r="R38" s="30">
        <f t="shared" si="62"/>
        <v>41750</v>
      </c>
      <c r="S38" s="30">
        <f t="shared" si="62"/>
        <v>35730</v>
      </c>
      <c r="T38" s="30">
        <f t="shared" si="62"/>
        <v>61430</v>
      </c>
      <c r="U38" s="30">
        <f t="shared" si="62"/>
        <v>109930</v>
      </c>
      <c r="V38" s="30">
        <f t="shared" si="62"/>
        <v>77430</v>
      </c>
      <c r="W38" s="30">
        <f t="shared" si="62"/>
        <v>53340</v>
      </c>
      <c r="X38" s="30">
        <f t="shared" si="62"/>
        <v>84210</v>
      </c>
      <c r="Y38" s="30">
        <f t="shared" si="62"/>
        <v>134070</v>
      </c>
      <c r="Z38" s="30">
        <f t="shared" si="62"/>
        <v>56170</v>
      </c>
      <c r="AA38" s="30">
        <f t="shared" si="62"/>
        <v>73070</v>
      </c>
      <c r="AB38" s="30">
        <f t="shared" si="62"/>
        <v>156240</v>
      </c>
      <c r="AC38" s="30">
        <f t="shared" si="62"/>
        <v>260650</v>
      </c>
      <c r="AD38" s="35">
        <f t="shared" si="62"/>
        <v>1156230</v>
      </c>
      <c r="AF38" s="35">
        <f t="shared" ref="AF38:AS38" si="63">SUM(AF7:AF34)</f>
        <v>61.04999999999999</v>
      </c>
      <c r="AG38" s="35">
        <f t="shared" si="63"/>
        <v>208.75000000000003</v>
      </c>
      <c r="AH38" s="35">
        <f t="shared" si="63"/>
        <v>178.65</v>
      </c>
      <c r="AI38" s="35">
        <f t="shared" si="63"/>
        <v>307.14999999999998</v>
      </c>
      <c r="AJ38" s="35">
        <f t="shared" si="63"/>
        <v>549.65000000000009</v>
      </c>
      <c r="AK38" s="35">
        <f t="shared" si="63"/>
        <v>387.15000000000003</v>
      </c>
      <c r="AL38" s="35">
        <f t="shared" si="63"/>
        <v>266.7</v>
      </c>
      <c r="AM38" s="35">
        <f t="shared" si="63"/>
        <v>421.05000000000007</v>
      </c>
      <c r="AN38" s="35">
        <f t="shared" si="63"/>
        <v>670.35</v>
      </c>
      <c r="AO38" s="35">
        <f t="shared" si="63"/>
        <v>280.84999999999991</v>
      </c>
      <c r="AP38" s="35">
        <f t="shared" si="63"/>
        <v>365.35000000000014</v>
      </c>
      <c r="AQ38" s="35">
        <f t="shared" si="63"/>
        <v>781.2</v>
      </c>
      <c r="AR38" s="35">
        <f t="shared" si="63"/>
        <v>1303.25</v>
      </c>
      <c r="AS38" s="35">
        <f t="shared" si="63"/>
        <v>5781.1500000000015</v>
      </c>
      <c r="AU38" s="48"/>
      <c r="AV38" s="35">
        <f>SUM(AV7:AV34)</f>
        <v>36393</v>
      </c>
      <c r="AW38" s="35">
        <f>SUM(AW7:AW34)</f>
        <v>66.759999999999991</v>
      </c>
    </row>
    <row r="39" spans="1:49" x14ac:dyDescent="0.25">
      <c r="D39">
        <v>5.0000000000000001E-3</v>
      </c>
      <c r="AV39" s="36">
        <f>AV38*0.00378541*1000</f>
        <v>137762.42613000001</v>
      </c>
    </row>
    <row r="40" spans="1:49" x14ac:dyDescent="0.25">
      <c r="D40">
        <v>2E-3</v>
      </c>
      <c r="AV40">
        <f>AV39/31</f>
        <v>4443.9492300000002</v>
      </c>
    </row>
    <row r="41" spans="1:49" x14ac:dyDescent="0.25">
      <c r="AV41">
        <f>AV38*0.00378541</f>
        <v>137.76242612999999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2020-12-23T08:12:56Z</dcterms:modified>
</cp:coreProperties>
</file>