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<sst xmlns="http://schemas.openxmlformats.org/spreadsheetml/2006/main" count="114" uniqueCount="37">
  <si>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</si>
  <si>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</si>
  <si>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</si>
  <si>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</si>
  <si>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</si>
  <si>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</si>
  <si>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</si>
  <si>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</si>
  <si>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</si>
  <si>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</si>
  <si>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</si>
  <si>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</si>
  <si>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</si>
  <si>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</si>
  <si>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</si>
  <si>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</si>
  <si>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</si>
  <si>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</si>
  <si>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</si>
  <si>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</si>
  <si>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</si>
  <si>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</si>
  <si>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</si>
  <si>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</si>
  <si>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</si>
  <si>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</si>
  <si>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</si>
  <si>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</si>
  <si>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</si>
  <si>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</si>
  <si>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</si>
  <si>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</si>
  <si>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</si>
  <si>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</si>
  <si>
    <t>Setpoint boiler 60-70</t>
  </si>
  <si>
    <t>Redémarrage PAC Setpoint boiler 55 - 65</t>
  </si>
  <si>
    <t>PAC en alarme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</si>
</sst>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14" borderId="0" xfId="0" applyNumberFormat="1" applyFill="1" applyAlignment="1">
      <alignment horizontal="center"/>
    </xf>
    <xf numFmtId="0" fontId="0" fillId="14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8213.2900000000009</v>
      </c>
      <c r="F2" s="16">
        <v>0.12</v>
      </c>
      <c r="G2" s="20">
        <f>Submetering!F2+Submetering!G2</f>
        <v>397.35999999999996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8450.93</v>
      </c>
      <c r="F3" s="16">
        <v>0.12</v>
      </c>
      <c r="G3" s="20">
        <f>Submetering!F3+Submetering!G3</f>
        <v>405.12</v>
      </c>
      <c r="H3" s="16">
        <f>H2</f>
        <v>1.0478509999999999</v>
      </c>
      <c r="I3" s="20">
        <f>Submetering!J3+Submetering!I3+Submetering!H3</f>
        <v>90.26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f>Submetering!D4</f>
        <v>2022</v>
      </c>
      <c r="E4" s="20">
        <f>Submetering!E4</f>
        <v>8371.99</v>
      </c>
      <c r="F4" s="16">
        <v>0.12</v>
      </c>
      <c r="G4" s="20">
        <f>Submetering!F4+Submetering!G4</f>
        <v>497.6</v>
      </c>
      <c r="H4" s="16">
        <f t="shared" ref="H4:H32" si="2">H3</f>
        <v>1.0478509999999999</v>
      </c>
      <c r="I4" s="20">
        <f>Submetering!J4+Submetering!I4+Submetering!H4</f>
        <v>106.01</v>
      </c>
      <c r="J4" s="16">
        <f t="shared" ref="J4:J32" si="3">J3</f>
        <v>3.7390400000000001</v>
      </c>
      <c r="K4" s="20">
        <f>Submetering!K4</f>
        <v>89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8277.56</v>
      </c>
      <c r="F5" s="16">
        <v>0.12</v>
      </c>
      <c r="G5" s="20">
        <f>Submetering!F5+Submetering!G5</f>
        <v>558.07000000000005</v>
      </c>
      <c r="H5" s="16">
        <f t="shared" si="2"/>
        <v>1.0478509999999999</v>
      </c>
      <c r="I5" s="20">
        <f>Submetering!J5+Submetering!I5+Submetering!H5</f>
        <v>151.33000000000001</v>
      </c>
      <c r="J5" s="16">
        <f t="shared" si="3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8224.73</v>
      </c>
      <c r="F6" s="16">
        <v>0.12</v>
      </c>
      <c r="G6" s="20">
        <f>Submetering!F6+Submetering!G6</f>
        <v>628.23</v>
      </c>
      <c r="H6" s="16">
        <f t="shared" si="2"/>
        <v>1.0478509999999999</v>
      </c>
      <c r="I6" s="20">
        <f>Submetering!J6+Submetering!I6+Submetering!H6</f>
        <v>137.41</v>
      </c>
      <c r="J6" s="16">
        <f t="shared" si="3"/>
        <v>3.7390400000000001</v>
      </c>
      <c r="K6" s="20">
        <f>Submetering!K6</f>
        <v>89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8008.84</v>
      </c>
      <c r="F7" s="16">
        <v>0.12</v>
      </c>
      <c r="G7" s="20">
        <f>Submetering!F7+Submetering!G7</f>
        <v>584.34</v>
      </c>
      <c r="H7" s="16">
        <f t="shared" si="2"/>
        <v>1.0478509999999999</v>
      </c>
      <c r="I7" s="20">
        <f>Submetering!J7+Submetering!I7+Submetering!H7</f>
        <v>83.84</v>
      </c>
      <c r="J7" s="16">
        <f t="shared" si="3"/>
        <v>3.7390400000000001</v>
      </c>
      <c r="K7" s="20">
        <f>Submetering!K7</f>
        <v>85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8121.98</v>
      </c>
      <c r="F8" s="16">
        <v>0.12</v>
      </c>
      <c r="G8" s="20">
        <f>Submetering!F8+Submetering!G8</f>
        <v>466.83</v>
      </c>
      <c r="H8" s="16">
        <f t="shared" si="2"/>
        <v>1.0478509999999999</v>
      </c>
      <c r="I8" s="20">
        <f>Submetering!J8+Submetering!I8+Submetering!H8</f>
        <v>81.540000000000006</v>
      </c>
      <c r="J8" s="16">
        <f t="shared" si="3"/>
        <v>3.7390400000000001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8391.49</v>
      </c>
      <c r="F9" s="16">
        <v>0.12</v>
      </c>
      <c r="G9" s="20">
        <f>Submetering!F9+Submetering!G9</f>
        <v>483.08</v>
      </c>
      <c r="H9" s="16">
        <f t="shared" si="2"/>
        <v>1.0478509999999999</v>
      </c>
      <c r="I9" s="20">
        <f>Submetering!J9+Submetering!I9+Submetering!H9</f>
        <v>92.3</v>
      </c>
      <c r="J9" s="16">
        <f t="shared" si="3"/>
        <v>3.7390400000000001</v>
      </c>
      <c r="K9" s="20">
        <f>Submetering!K9</f>
        <v>98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8050.8</v>
      </c>
      <c r="F10" s="16">
        <v>0.12</v>
      </c>
      <c r="G10" s="20">
        <f>Submetering!F10+Submetering!G10</f>
        <v>496.3</v>
      </c>
      <c r="H10" s="16">
        <f t="shared" si="2"/>
        <v>1.0478509999999999</v>
      </c>
      <c r="I10" s="20">
        <f>Submetering!J10+Submetering!I10+Submetering!H10</f>
        <v>92.42</v>
      </c>
      <c r="J10" s="16">
        <f t="shared" si="3"/>
        <v>3.7390400000000001</v>
      </c>
      <c r="K10" s="20">
        <f>Submetering!K10</f>
        <v>93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8074.05</v>
      </c>
      <c r="F11" s="16">
        <v>0.12</v>
      </c>
      <c r="G11" s="20">
        <f>Submetering!F11+Submetering!G11</f>
        <v>458.26</v>
      </c>
      <c r="H11" s="16">
        <f t="shared" si="2"/>
        <v>1.0478509999999999</v>
      </c>
      <c r="I11" s="20">
        <f>Submetering!J11+Submetering!I11+Submetering!H11</f>
        <v>98.55</v>
      </c>
      <c r="J11" s="16">
        <f t="shared" si="3"/>
        <v>3.7390400000000001</v>
      </c>
      <c r="K11" s="20">
        <f>Submetering!K11</f>
        <v>96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7897.2</v>
      </c>
      <c r="F12" s="16">
        <v>0.12</v>
      </c>
      <c r="G12" s="20">
        <f>Submetering!F12+Submetering!G12</f>
        <v>446.84999999999997</v>
      </c>
      <c r="H12" s="16">
        <f t="shared" si="2"/>
        <v>1.0478509999999999</v>
      </c>
      <c r="I12" s="20">
        <f>Submetering!J12+Submetering!I12+Submetering!H12</f>
        <v>89.44</v>
      </c>
      <c r="J12" s="16">
        <f t="shared" si="3"/>
        <v>3.7390400000000001</v>
      </c>
      <c r="K12" s="20">
        <f>Submetering!K12</f>
        <v>70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7664.14</v>
      </c>
      <c r="F13" s="16">
        <v>0.12</v>
      </c>
      <c r="G13" s="20">
        <f>Submetering!F13+Submetering!G13</f>
        <v>3250.93</v>
      </c>
      <c r="H13" s="16">
        <f t="shared" si="2"/>
        <v>1.0478509999999999</v>
      </c>
      <c r="I13" s="20">
        <f>Submetering!J13+Submetering!I13+Submetering!H13</f>
        <v>64</v>
      </c>
      <c r="J13" s="16">
        <f t="shared" si="3"/>
        <v>3.7390400000000001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7178.89</v>
      </c>
      <c r="F14" s="16">
        <v>0.12</v>
      </c>
      <c r="G14" s="20">
        <f>Submetering!F14+Submetering!G14</f>
        <v>501.93</v>
      </c>
      <c r="H14" s="16">
        <f t="shared" si="2"/>
        <v>1.0478509999999999</v>
      </c>
      <c r="I14" s="20">
        <f>Submetering!J14+Submetering!I14+Submetering!H14</f>
        <v>74.33</v>
      </c>
      <c r="J14" s="16">
        <f t="shared" si="3"/>
        <v>3.7390400000000001</v>
      </c>
      <c r="K14" s="20">
        <f>Submetering!K14</f>
        <v>61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7392.6</v>
      </c>
      <c r="F15" s="16">
        <v>0.12</v>
      </c>
      <c r="G15" s="20">
        <f>Submetering!F15+Submetering!G15</f>
        <v>311.06</v>
      </c>
      <c r="H15" s="16">
        <f t="shared" si="2"/>
        <v>1.0478509999999999</v>
      </c>
      <c r="I15" s="20">
        <f>Submetering!J15+Submetering!I15+Submetering!H15</f>
        <v>79.55</v>
      </c>
      <c r="J15" s="16">
        <f t="shared" si="3"/>
        <v>3.7390400000000001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7819.58</v>
      </c>
      <c r="F16" s="16">
        <v>0.12</v>
      </c>
      <c r="G16" s="20">
        <f>Submetering!F16+Submetering!G16</f>
        <v>234.70999999999998</v>
      </c>
      <c r="H16" s="16">
        <f t="shared" si="2"/>
        <v>1.0478509999999999</v>
      </c>
      <c r="I16" s="20">
        <f>Submetering!J16+Submetering!I16+Submetering!H16</f>
        <v>85.73</v>
      </c>
      <c r="J16" s="16">
        <f t="shared" si="3"/>
        <v>3.7390400000000001</v>
      </c>
      <c r="K16" s="20">
        <f>Submetering!K16</f>
        <v>79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8050.35</v>
      </c>
      <c r="F17" s="16">
        <v>0.12</v>
      </c>
      <c r="G17" s="20">
        <f>Submetering!F17+Submetering!G17</f>
        <v>219.47</v>
      </c>
      <c r="H17" s="16">
        <f t="shared" si="2"/>
        <v>1.0478509999999999</v>
      </c>
      <c r="I17" s="20">
        <f>Submetering!J17+Submetering!I17+Submetering!H17</f>
        <v>85.73</v>
      </c>
      <c r="J17" s="16">
        <f t="shared" si="3"/>
        <v>3.7390400000000001</v>
      </c>
      <c r="K17" s="20">
        <f>Submetering!K17</f>
        <v>70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8022.56</v>
      </c>
      <c r="F18" s="16">
        <v>0.12</v>
      </c>
      <c r="G18" s="20">
        <f>Submetering!F18+Submetering!G18</f>
        <v>149.08999999999997</v>
      </c>
      <c r="H18" s="16">
        <f t="shared" si="2"/>
        <v>1.0478509999999999</v>
      </c>
      <c r="I18" s="20">
        <f>Submetering!J18+Submetering!I18+Submetering!H18</f>
        <v>82.2</v>
      </c>
      <c r="J18" s="16">
        <f t="shared" si="3"/>
        <v>3.7390400000000001</v>
      </c>
      <c r="K18" s="20">
        <f>Submetering!K18</f>
        <v>70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8155.2</v>
      </c>
      <c r="F19" s="16">
        <v>0.12</v>
      </c>
      <c r="G19" s="20">
        <f>Submetering!F19+Submetering!G19</f>
        <v>217.56</v>
      </c>
      <c r="H19" s="16">
        <f t="shared" si="2"/>
        <v>1.0478509999999999</v>
      </c>
      <c r="I19" s="20">
        <f>Submetering!J19+Submetering!I19+Submetering!H19</f>
        <v>86.69</v>
      </c>
      <c r="J19" s="16">
        <f t="shared" si="3"/>
        <v>3.7390400000000001</v>
      </c>
      <c r="K19" s="20">
        <f>Submetering!K19</f>
        <v>73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8018.59</v>
      </c>
      <c r="F20" s="16">
        <v>0.12</v>
      </c>
      <c r="G20" s="20">
        <f>Submetering!F20+Submetering!G20</f>
        <v>381.45</v>
      </c>
      <c r="H20" s="16">
        <f t="shared" si="2"/>
        <v>1.0478509999999999</v>
      </c>
      <c r="I20" s="20">
        <f>Submetering!J20+Submetering!I20+Submetering!H20</f>
        <v>43.46</v>
      </c>
      <c r="J20" s="16">
        <f t="shared" si="3"/>
        <v>3.7390400000000001</v>
      </c>
      <c r="K20" s="20">
        <f>Submetering!K20</f>
        <v>63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7035.3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59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11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8213.2900000000009</v>
      </c>
      <c r="F2" s="37">
        <v>383.9</v>
      </c>
      <c r="G2" s="37">
        <v>13.46</v>
      </c>
      <c r="H2" s="37">
        <v>6.28</v>
      </c>
      <c r="I2" s="37">
        <v>30.5</v>
      </c>
      <c r="J2" s="37">
        <v>49</v>
      </c>
      <c r="K2" s="6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>
        <v>8450.93</v>
      </c>
      <c r="F3" s="37">
        <v>390.67</v>
      </c>
      <c r="G3" s="37">
        <v>14.45</v>
      </c>
      <c r="H3" s="37">
        <v>3.26</v>
      </c>
      <c r="I3" s="37">
        <v>33</v>
      </c>
      <c r="J3" s="37">
        <v>54</v>
      </c>
      <c r="K3" s="6">
        <v>99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40">
        <f t="shared" ref="D4:D32" si="2">D3</f>
        <v>2022</v>
      </c>
      <c r="E4" s="37">
        <v>8371.99</v>
      </c>
      <c r="F4" s="37">
        <v>476.66</v>
      </c>
      <c r="G4" s="37">
        <v>20.94</v>
      </c>
      <c r="H4" s="37">
        <v>3.01</v>
      </c>
      <c r="I4" s="37">
        <v>31</v>
      </c>
      <c r="J4" s="37">
        <v>72</v>
      </c>
      <c r="K4" s="42">
        <v>89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>
        <v>8277.56</v>
      </c>
      <c r="F5" s="37">
        <v>534.63</v>
      </c>
      <c r="G5" s="37">
        <v>23.44</v>
      </c>
      <c r="H5" s="37">
        <v>2.33</v>
      </c>
      <c r="I5" s="43">
        <v>79.5</v>
      </c>
      <c r="J5" s="37">
        <v>69.5</v>
      </c>
      <c r="K5" s="42">
        <v>97</v>
      </c>
      <c r="M5" s="44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>
        <v>8224.73</v>
      </c>
      <c r="F6" s="37">
        <v>610.79</v>
      </c>
      <c r="G6" s="37">
        <v>17.440000000000001</v>
      </c>
      <c r="H6" s="37">
        <v>1.91</v>
      </c>
      <c r="I6" s="43">
        <v>65.5</v>
      </c>
      <c r="J6" s="37">
        <v>70</v>
      </c>
      <c r="K6" s="42">
        <v>89</v>
      </c>
      <c r="M6" s="44" t="s">
        <v>33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>
        <v>8008.84</v>
      </c>
      <c r="F7" s="37">
        <v>567.39</v>
      </c>
      <c r="G7" s="37">
        <v>16.95</v>
      </c>
      <c r="H7" s="37">
        <v>1.84</v>
      </c>
      <c r="I7" s="37">
        <v>24.5</v>
      </c>
      <c r="J7" s="37">
        <v>57.5</v>
      </c>
      <c r="K7" s="42">
        <v>85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>
        <v>8121.98</v>
      </c>
      <c r="F8" s="37">
        <v>450.38</v>
      </c>
      <c r="G8" s="37">
        <v>16.45</v>
      </c>
      <c r="H8" s="37">
        <v>2.04</v>
      </c>
      <c r="I8" s="37">
        <v>24.5</v>
      </c>
      <c r="J8" s="37">
        <v>55</v>
      </c>
      <c r="K8" s="42">
        <v>96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>
        <v>8391.49</v>
      </c>
      <c r="F9" s="37">
        <v>465.14</v>
      </c>
      <c r="G9" s="37">
        <v>17.940000000000001</v>
      </c>
      <c r="H9" s="37">
        <v>2.2999999999999998</v>
      </c>
      <c r="I9" s="37">
        <v>30</v>
      </c>
      <c r="J9" s="37">
        <v>60</v>
      </c>
      <c r="K9" s="42">
        <v>98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>
        <v>8050.8</v>
      </c>
      <c r="F10" s="37">
        <v>473.87</v>
      </c>
      <c r="G10" s="37">
        <v>22.43</v>
      </c>
      <c r="H10" s="37">
        <v>1.92</v>
      </c>
      <c r="I10" s="37">
        <v>32.5</v>
      </c>
      <c r="J10" s="37">
        <v>58</v>
      </c>
      <c r="K10" s="6">
        <v>93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>
        <v>8074.05</v>
      </c>
      <c r="F11" s="37">
        <v>443.81</v>
      </c>
      <c r="G11" s="37">
        <v>14.45</v>
      </c>
      <c r="H11" s="37">
        <v>2.0499999999999998</v>
      </c>
      <c r="I11" s="37">
        <v>30</v>
      </c>
      <c r="J11" s="37">
        <v>66.5</v>
      </c>
      <c r="K11" s="42">
        <v>96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>
        <v>7897.2</v>
      </c>
      <c r="F12" s="37">
        <v>431.9</v>
      </c>
      <c r="G12" s="37">
        <v>14.95</v>
      </c>
      <c r="H12" s="37">
        <v>1.94</v>
      </c>
      <c r="I12" s="37">
        <v>30</v>
      </c>
      <c r="J12" s="37">
        <v>57.5</v>
      </c>
      <c r="K12" s="6">
        <v>70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>
        <v>7664.14</v>
      </c>
      <c r="F13" s="37">
        <v>3232.99</v>
      </c>
      <c r="G13" s="37">
        <v>17.940000000000001</v>
      </c>
      <c r="H13" s="37">
        <v>2</v>
      </c>
      <c r="I13" s="37">
        <v>31</v>
      </c>
      <c r="J13" s="37">
        <v>31</v>
      </c>
      <c r="K13" s="6">
        <v>72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>
        <v>7178.89</v>
      </c>
      <c r="F14" s="37">
        <v>484.98</v>
      </c>
      <c r="G14" s="37">
        <v>16.95</v>
      </c>
      <c r="H14" s="37">
        <v>1.83</v>
      </c>
      <c r="I14" s="37">
        <v>24.5</v>
      </c>
      <c r="J14" s="37">
        <v>48</v>
      </c>
      <c r="K14" s="6">
        <v>61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>
        <v>7392.6</v>
      </c>
      <c r="F15" s="37">
        <v>296.11</v>
      </c>
      <c r="G15" s="37">
        <v>14.95</v>
      </c>
      <c r="H15" s="37">
        <v>5.55</v>
      </c>
      <c r="I15" s="37">
        <v>26.5</v>
      </c>
      <c r="J15" s="37">
        <v>47.5</v>
      </c>
      <c r="K15" s="6">
        <v>63</v>
      </c>
      <c r="M15" t="s">
        <v>35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>
        <v>7819.58</v>
      </c>
      <c r="F16" s="37">
        <v>220.26</v>
      </c>
      <c r="G16" s="37">
        <v>14.45</v>
      </c>
      <c r="H16" s="37">
        <v>4.2300000000000004</v>
      </c>
      <c r="I16" s="37">
        <v>29</v>
      </c>
      <c r="J16" s="37">
        <v>52.5</v>
      </c>
      <c r="K16" s="6">
        <v>79</v>
      </c>
      <c r="M16" t="s">
        <v>34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>
        <v>8050.35</v>
      </c>
      <c r="F17" s="37">
        <v>209</v>
      </c>
      <c r="G17" s="37">
        <v>10.47</v>
      </c>
      <c r="H17" s="37">
        <v>1.73</v>
      </c>
      <c r="I17" s="37">
        <v>28</v>
      </c>
      <c r="J17" s="37">
        <v>56</v>
      </c>
      <c r="K17" s="6">
        <v>70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>
        <v>8022.56</v>
      </c>
      <c r="F18" s="37">
        <v>133.13999999999999</v>
      </c>
      <c r="G18" s="37">
        <v>15.95</v>
      </c>
      <c r="H18" s="37">
        <v>2.2000000000000002</v>
      </c>
      <c r="I18" s="37">
        <v>26</v>
      </c>
      <c r="J18" s="37">
        <v>54</v>
      </c>
      <c r="K18" s="6">
        <v>70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>
        <v>8155.2</v>
      </c>
      <c r="F19" s="37">
        <v>203.11</v>
      </c>
      <c r="G19" s="37">
        <v>14.45</v>
      </c>
      <c r="H19" s="37">
        <v>1.69</v>
      </c>
      <c r="I19" s="37">
        <v>26.5</v>
      </c>
      <c r="J19" s="37">
        <v>58.5</v>
      </c>
      <c r="K19" s="6">
        <v>73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>
        <v>8018.59</v>
      </c>
      <c r="F20" s="37">
        <v>363.01</v>
      </c>
      <c r="G20" s="37">
        <v>18.440000000000001</v>
      </c>
      <c r="H20" s="37">
        <v>1.96</v>
      </c>
      <c r="I20" s="37">
        <v>26</v>
      </c>
      <c r="J20" s="37">
        <v>15.5</v>
      </c>
      <c r="K20" s="6">
        <v>63</v>
      </c>
      <c r="L20" s="37"/>
      <c r="M20" s="41" t="s">
        <v>36</v>
      </c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>
        <v>7035.3</v>
      </c>
      <c r="F21" s="37"/>
      <c r="G21" s="37"/>
      <c r="H21" s="37"/>
      <c r="I21" s="37"/>
      <c r="J21" s="37"/>
      <c r="K21" s="6">
        <v>59</v>
      </c>
      <c r="L21" s="37"/>
      <c r="M21" s="41" t="s">
        <v>36</v>
      </c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5"/>
      <c r="C1" s="1"/>
      <c r="D1" s="11"/>
      <c r="E1" s="1"/>
      <c r="F1" s="14"/>
      <c r="G1" s="1"/>
      <c r="H1" s="1"/>
      <c r="I1" s="56"/>
      <c r="J1" s="45"/>
      <c r="K1" s="46"/>
      <c r="L1" s="46"/>
      <c r="M1" s="46"/>
      <c r="N1" s="46"/>
      <c r="O1" s="46"/>
      <c r="P1" s="21"/>
      <c r="Q1" s="21"/>
    </row>
    <row r="2" spans="1:17" ht="35.25" customHeight="1" thickBot="1" x14ac:dyDescent="0.3">
      <c r="A2" s="19" t="s">
        <v>15</v>
      </c>
      <c r="B2" s="55"/>
      <c r="C2" s="49" t="s">
        <v>22</v>
      </c>
      <c r="D2" s="50"/>
      <c r="E2" s="59" t="s">
        <v>23</v>
      </c>
      <c r="F2" s="59"/>
      <c r="G2" s="59" t="s">
        <v>24</v>
      </c>
      <c r="H2" s="59"/>
      <c r="I2" s="57"/>
      <c r="J2" s="47" t="s">
        <v>27</v>
      </c>
      <c r="K2" s="48"/>
      <c r="L2" s="51" t="s">
        <v>28</v>
      </c>
      <c r="M2" s="51"/>
      <c r="N2" s="51" t="s">
        <v>29</v>
      </c>
      <c r="O2" s="51"/>
      <c r="P2" s="10"/>
      <c r="Q2" s="10"/>
    </row>
    <row r="3" spans="1:17" ht="44.25" customHeight="1" x14ac:dyDescent="0.25">
      <c r="A3" s="2" t="s">
        <v>0</v>
      </c>
      <c r="B3" s="5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5"/>
      <c r="C4" s="18">
        <v>22342913</v>
      </c>
      <c r="D4" s="52">
        <f>IF((C5-C4&lt;0), "",C5-C4)</f>
        <v>7975</v>
      </c>
      <c r="E4" s="18">
        <v>23837512</v>
      </c>
      <c r="F4" s="53">
        <f>IF((E5-E4&lt;0), "",E5-E4)</f>
        <v>5799</v>
      </c>
      <c r="G4" s="18">
        <v>9975816</v>
      </c>
      <c r="H4" s="52">
        <f>IF((G5-G4&lt;0), "",G5-G4)</f>
        <v>3477</v>
      </c>
      <c r="I4" s="57"/>
      <c r="J4" s="18"/>
      <c r="K4" s="52">
        <v>0</v>
      </c>
      <c r="L4" s="18"/>
      <c r="M4" s="52">
        <v>0</v>
      </c>
      <c r="N4" s="18">
        <v>75776</v>
      </c>
      <c r="O4" s="5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5"/>
      <c r="C5" s="18">
        <v>22350888</v>
      </c>
      <c r="D5" s="52"/>
      <c r="E5" s="18">
        <v>23843311</v>
      </c>
      <c r="F5" s="54"/>
      <c r="G5" s="18">
        <v>9979293</v>
      </c>
      <c r="H5" s="52"/>
      <c r="I5" s="57"/>
      <c r="J5" s="18">
        <v>0</v>
      </c>
      <c r="K5" s="52"/>
      <c r="L5" s="18">
        <v>0</v>
      </c>
      <c r="M5" s="52"/>
      <c r="N5" s="18">
        <v>75809</v>
      </c>
      <c r="O5" s="52"/>
      <c r="P5" s="23"/>
      <c r="Q5" s="23"/>
    </row>
    <row r="6" spans="1:17" ht="45" customHeight="1" x14ac:dyDescent="0.3">
      <c r="A6" s="7">
        <v>43557</v>
      </c>
      <c r="B6" s="5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2022-11-21T10:38:30Z</dcterms:modified>
</cp:coreProperties>
</file>